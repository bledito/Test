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lube001\Desktop\Team Review\"/>
    </mc:Choice>
  </mc:AlternateContent>
  <xr:revisionPtr revIDLastSave="0" documentId="13_ncr:1_{91AA0EE2-D3E3-4160-B235-1EE5B6565E48}" xr6:coauthVersionLast="47" xr6:coauthVersionMax="47" xr10:uidLastSave="{00000000-0000-0000-0000-000000000000}"/>
  <bookViews>
    <workbookView xWindow="28680" yWindow="-105" windowWidth="29040" windowHeight="15840" firstSheet="26" activeTab="32" xr2:uid="{00000000-000D-0000-FFFF-FFFF00000000}"/>
  </bookViews>
  <sheets>
    <sheet name="Silviya" sheetId="2" r:id="rId1"/>
    <sheet name="svetlana" sheetId="4" r:id="rId2"/>
    <sheet name="Detelina" sheetId="7" r:id="rId3"/>
    <sheet name="Silviya Petrova" sheetId="8" r:id="rId4"/>
    <sheet name="Yana Zlatanova" sheetId="6" r:id="rId5"/>
    <sheet name="Daniel" sheetId="5" r:id="rId6"/>
    <sheet name="Hristian Stefanov" sheetId="9" r:id="rId7"/>
    <sheet name="Kristiyan Yanachkov" sheetId="10" r:id="rId8"/>
    <sheet name="Kliment Shopov" sheetId="11" r:id="rId9"/>
    <sheet name="Georgi Ivanov" sheetId="14" r:id="rId10"/>
    <sheet name="Liubomir bistrev" sheetId="15" r:id="rId11"/>
    <sheet name="Vesela Parusheva" sheetId="16" r:id="rId12"/>
    <sheet name="Viktoriya" sheetId="17" r:id="rId13"/>
    <sheet name="Vasilen Tzanev" sheetId="18" r:id="rId14"/>
    <sheet name="Ivan Toshkov" sheetId="19" r:id="rId15"/>
    <sheet name="Olga" sheetId="12" r:id="rId16"/>
    <sheet name="Ivanina Darmo" sheetId="20" r:id="rId17"/>
    <sheet name="Alexandyr Dinev - Denislav Dimi" sheetId="23" r:id="rId18"/>
    <sheet name="Hristina" sheetId="21" r:id="rId19"/>
    <sheet name="Dimitar Petrov" sheetId="25" r:id="rId20"/>
    <sheet name="Stefan Angelov" sheetId="28" r:id="rId21"/>
    <sheet name="Georgi Stojchev" sheetId="29" r:id="rId22"/>
    <sheet name="Kaloyan Nikolov" sheetId="22" r:id="rId23"/>
    <sheet name="Kosta" sheetId="27" r:id="rId24"/>
    <sheet name="Atanas Todorov" sheetId="26" r:id="rId25"/>
    <sheet name="Bala" sheetId="30" r:id="rId26"/>
    <sheet name="Cvetana" sheetId="31" r:id="rId27"/>
    <sheet name="Boris Ivanov" sheetId="32" r:id="rId28"/>
    <sheet name="Venelina Beleva" sheetId="33" r:id="rId29"/>
    <sheet name="Natali Mihaylova" sheetId="34" r:id="rId30"/>
    <sheet name="Mihail Dimitrov" sheetId="35" r:id="rId31"/>
    <sheet name="Ivo Dyakov" sheetId="36" r:id="rId32"/>
    <sheet name="Marina Radulova" sheetId="37" r:id="rId33"/>
    <sheet name="x" sheetId="24" r:id="rId34"/>
    <sheet name="questions" sheetId="1" r:id="rId35"/>
    <sheet name="Tickets" sheetId="3" r:id="rId3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37" l="1"/>
  <c r="H20" i="36"/>
  <c r="H20" i="35"/>
  <c r="H20" i="34"/>
  <c r="M18" i="30"/>
  <c r="C2" i="30"/>
  <c r="K5" i="16" l="1"/>
</calcChain>
</file>

<file path=xl/sharedStrings.xml><?xml version="1.0" encoding="utf-8"?>
<sst xmlns="http://schemas.openxmlformats.org/spreadsheetml/2006/main" count="1575" uniqueCount="571">
  <si>
    <t>Excel</t>
  </si>
  <si>
    <t>vlookup</t>
  </si>
  <si>
    <t>kakvo kude koq kolona I ima oshte neshto koeto trqbva da slojish</t>
  </si>
  <si>
    <t>po jelanie - ako ne go slojish koe e po default</t>
  </si>
  <si>
    <t>$ za kakvo e vuv formulite</t>
  </si>
  <si>
    <t>pivottables</t>
  </si>
  <si>
    <t>how to use</t>
  </si>
  <si>
    <t xml:space="preserve">which areas do you have </t>
  </si>
  <si>
    <t>filter</t>
  </si>
  <si>
    <t>column</t>
  </si>
  <si>
    <t>row value</t>
  </si>
  <si>
    <t>spreadsheet/ workbook</t>
  </si>
  <si>
    <t>ribbon</t>
  </si>
  <si>
    <t>conditional formatting I za kakvo e</t>
  </si>
  <si>
    <t>Merge text/wrap text - difference</t>
  </si>
  <si>
    <t>format painter</t>
  </si>
  <si>
    <t>slicers</t>
  </si>
  <si>
    <t>name manager</t>
  </si>
  <si>
    <t>ima li nachin da vidish formulata ti kak se izpulnqva stupka po stupka</t>
  </si>
  <si>
    <t>evaluate formula</t>
  </si>
  <si>
    <t>v csv edna kolona I dannite sa razdeleni sys tochka zapetaq da gi otdelish</t>
  </si>
  <si>
    <t>text to columns</t>
  </si>
  <si>
    <t>Data validation</t>
  </si>
  <si>
    <t>VBA</t>
  </si>
  <si>
    <t>sumif/sumifs</t>
  </si>
  <si>
    <t>range criteria sum range</t>
  </si>
  <si>
    <t>sum range range criteria</t>
  </si>
  <si>
    <t>array formulas</t>
  </si>
  <si>
    <t>data types</t>
  </si>
  <si>
    <t>Variant?</t>
  </si>
  <si>
    <t>boolenan, integer string double long date currency</t>
  </si>
  <si>
    <t>Option explicit</t>
  </si>
  <si>
    <t>will not return value</t>
  </si>
  <si>
    <t>procedures/subroutines and functions difference</t>
  </si>
  <si>
    <t>ByVal/ByRef</t>
  </si>
  <si>
    <t>byval - changes are lost</t>
  </si>
  <si>
    <t>byref is default</t>
  </si>
  <si>
    <t>shortcut for vba editor screen</t>
  </si>
  <si>
    <t>functiata za suobshteniq</t>
  </si>
  <si>
    <t>msgbox</t>
  </si>
  <si>
    <t>mojesh li da nakarash nqkoe macro/procedura da se runnva pri otvarqne na workbook I kak</t>
  </si>
  <si>
    <t>userforms?</t>
  </si>
  <si>
    <t>for .. next, do while, do until</t>
  </si>
  <si>
    <t>Looping statements/Cikul</t>
  </si>
  <si>
    <t>array</t>
  </si>
  <si>
    <t>enable/disable screenupdating</t>
  </si>
  <si>
    <t>alerts/errors</t>
  </si>
  <si>
    <t>subroutine/module/class module</t>
  </si>
  <si>
    <t>tools-&gt;references za kakvo sa</t>
  </si>
  <si>
    <t>mojesh li da napravish sheet very hidden</t>
  </si>
  <si>
    <t>Connections</t>
  </si>
  <si>
    <t>oledb</t>
  </si>
  <si>
    <t>odbc</t>
  </si>
  <si>
    <t>older, faster whole bulk</t>
  </si>
  <si>
    <t>new uploads row by row</t>
  </si>
  <si>
    <t>Access</t>
  </si>
  <si>
    <t>size limitation?</t>
  </si>
  <si>
    <t>1 gigabyte</t>
  </si>
  <si>
    <t>Table relationsship</t>
  </si>
  <si>
    <t>one to one</t>
  </si>
  <si>
    <t>one to many</t>
  </si>
  <si>
    <t>many to many</t>
  </si>
  <si>
    <t>queries?/types</t>
  </si>
  <si>
    <t>select</t>
  </si>
  <si>
    <t>make table</t>
  </si>
  <si>
    <t>update</t>
  </si>
  <si>
    <t>delete</t>
  </si>
  <si>
    <t>Union - kakvo e I razlika union I union all</t>
  </si>
  <si>
    <t>select from where order by</t>
  </si>
  <si>
    <t>SQL</t>
  </si>
  <si>
    <t>Medium</t>
  </si>
  <si>
    <t>Hard</t>
  </si>
  <si>
    <t>Easy</t>
  </si>
  <si>
    <t>Spodeli mi poveche za rabotata si s access vuv finansovata sreda</t>
  </si>
  <si>
    <t>Pravila li si dashboardi s powerBI</t>
  </si>
  <si>
    <t>Razkaji mi za estestvoto na rabotata si v ingram</t>
  </si>
  <si>
    <t>BioManagement - kak beshe v sofiiskiq</t>
  </si>
  <si>
    <t>Kyde si zavurshila gimnaziq</t>
  </si>
  <si>
    <t>primary/ foreign key</t>
  </si>
  <si>
    <t>unique/ child table maintains relation with master table</t>
  </si>
  <si>
    <t>front end back end components of database</t>
  </si>
  <si>
    <t>v tablica razlika mejdu null I 0</t>
  </si>
  <si>
    <t>macrota v access I za kakvo</t>
  </si>
  <si>
    <t>Power BI</t>
  </si>
  <si>
    <t>Dax function</t>
  </si>
  <si>
    <t>calculate -&gt; cqlata funkciq se pishe</t>
  </si>
  <si>
    <t xml:space="preserve">koj programen ezik se izpolzva v power querito </t>
  </si>
  <si>
    <t>M-code</t>
  </si>
  <si>
    <t>nqkakvi drugi ezici ne li vi muchiha</t>
  </si>
  <si>
    <t>how to buttons work</t>
  </si>
  <si>
    <t>matrici tablici pliusovete na powerbi pred excel</t>
  </si>
  <si>
    <t>bookmarks/selection</t>
  </si>
  <si>
    <t>report/data/model</t>
  </si>
  <si>
    <t>report kudeto pravish vizualizaciqta</t>
  </si>
  <si>
    <t>data - vijdash dannite ot razlichni tablici</t>
  </si>
  <si>
    <t>model gi vruzvash</t>
  </si>
  <si>
    <t>power query editor - kakvo mojesh da pravish v nego</t>
  </si>
  <si>
    <t>left right inner  join</t>
  </si>
  <si>
    <t>normalization in database</t>
  </si>
  <si>
    <t>podobri strukturata taka che da nqma problemi pri updatevane triene I vuvejdane na rekordi</t>
  </si>
  <si>
    <t>ID</t>
  </si>
  <si>
    <t>trigger</t>
  </si>
  <si>
    <t>delete/truncate difference</t>
  </si>
  <si>
    <t>delete where</t>
  </si>
  <si>
    <t>truncate e vsichko</t>
  </si>
  <si>
    <r>
      <t>IT Service Management Center Support Request #</t>
    </r>
    <r>
      <rPr>
        <b/>
        <sz val="11"/>
        <color rgb="FFC7002B"/>
        <rFont val="Consolas"/>
        <family val="3"/>
      </rPr>
      <t>6399673</t>
    </r>
    <r>
      <rPr>
        <sz val="12"/>
        <color theme="1"/>
        <rFont val="Calibri"/>
        <family val="2"/>
        <scheme val="minor"/>
      </rPr>
      <t xml:space="preserve"> has been assigned to .</t>
    </r>
  </si>
  <si>
    <t>pravish li razlika mejud mysql I ssms - sql server management server</t>
  </si>
  <si>
    <t>kakvo e sabre</t>
  </si>
  <si>
    <t xml:space="preserve">otkude se poznavate s marto </t>
  </si>
  <si>
    <t>zdrasti az sum nikolay ediniq a aleksandar e drugiq</t>
  </si>
  <si>
    <t>tursim malko po junierska poziciq</t>
  </si>
  <si>
    <t xml:space="preserve">marto razkazal li ti e za ekipa I sitel </t>
  </si>
  <si>
    <t>razrastva vse poveche zapochnahme 3ma veche sme 20 I moje bi sme edin ot naj golemite reporting ekipi v bulgaria</t>
  </si>
  <si>
    <t>rabotata e mnogo raznoobrazna dulgo vreme chovek moje da ne se sbluska s edna I sushta zadacha no vajnoto e da mojesh da mislish I da iskash da se nauchish</t>
  </si>
  <si>
    <t>rabotim predimno ot vkushti predvid izvunrednite merki I ne se ochertava da se promeni skoro - problem li</t>
  </si>
  <si>
    <t>kak beshe workloada v ipsos I v kakvo tochno se izrazqva rabotata ti</t>
  </si>
  <si>
    <t xml:space="preserve">vidqh che si zavurshila nikola obreshkov - kude se namirashe </t>
  </si>
  <si>
    <t>kak ocenqvash nivoto si na  excel/vba I access ili sql koe bi izbrala kato naj silna zona</t>
  </si>
  <si>
    <t>bi li bilo problem za teb ako rabotata ti e svurzana i s marto</t>
  </si>
  <si>
    <t>viziram dnevnite zadachi</t>
  </si>
  <si>
    <t>I kak beshe tam</t>
  </si>
  <si>
    <t>posle bakalavar I magistatura turizam - tova vpisa li se v rabotniq svqt v posledstvie</t>
  </si>
  <si>
    <t>matematicheski</t>
  </si>
  <si>
    <t>kazanluk</t>
  </si>
  <si>
    <t xml:space="preserve">vba - </t>
  </si>
  <si>
    <t>kak se spravqsh sus stresa</t>
  </si>
  <si>
    <t>pohvali se ot sebe si</t>
  </si>
  <si>
    <t>I kak mina nov bulgarski informatics</t>
  </si>
  <si>
    <t>ko reche programming basics</t>
  </si>
  <si>
    <t>php-to kak e</t>
  </si>
  <si>
    <t>ssms - mysql</t>
  </si>
  <si>
    <t>na kolko si</t>
  </si>
  <si>
    <t>imash li nqkakuv expierience</t>
  </si>
  <si>
    <t>do sega</t>
  </si>
  <si>
    <t>from select order by where I left join</t>
  </si>
  <si>
    <t xml:space="preserve">Арменска филология </t>
  </si>
  <si>
    <t>kak beshe vleze li v upotreba</t>
  </si>
  <si>
    <t>magistraturata haresva shte q mislish li kato ideq</t>
  </si>
  <si>
    <t>kakvo predstavlqva media analyst</t>
  </si>
  <si>
    <t>kak proticha rabotniq den s dve dumi</t>
  </si>
  <si>
    <t>pri social media reportite kakvi toolove si izpolzvala</t>
  </si>
  <si>
    <t>pohvali se s nqkoj adhoc kojto si napravili ili si uchastvala v napravata</t>
  </si>
  <si>
    <t>rabota s excel a sbluskvala li si se s vba I nqkakuv vid bazi danni kato naprimer access ili sql server</t>
  </si>
  <si>
    <t>zahsto reshihte da napravite da smenite firmata si</t>
  </si>
  <si>
    <t>bazi danni</t>
  </si>
  <si>
    <t>kakvko pravish kato imash mnogo zadachi I vremeto ne ti stiga</t>
  </si>
  <si>
    <t>koe prioritizirash</t>
  </si>
  <si>
    <t>razkaji za situciq v koqto si napravila greshka I kak go preudolq</t>
  </si>
  <si>
    <t>kude se vijdash sled 5 godini</t>
  </si>
  <si>
    <t>kakvo iskash da podobrish v rabotata si</t>
  </si>
  <si>
    <t>kakvo ne bi toleriral v budeshtata si rabota</t>
  </si>
  <si>
    <t>smqtash li che si komunikativna lichnost</t>
  </si>
  <si>
    <t>kak se chuvstvash naj dobre - za da se nauchish s novi neshta - sama ili s pomosht</t>
  </si>
  <si>
    <t>kak bi se pochuvstvala sega ako te vzemem pri nas I ti se naloji da smenish sverata si</t>
  </si>
  <si>
    <t xml:space="preserve">vidqh che si raboti sys SSRS - reporting services razkaji mi malko za proekta </t>
  </si>
  <si>
    <t>rabotila li si SQL servera zad SSRS</t>
  </si>
  <si>
    <t>v Pentax Medical</t>
  </si>
  <si>
    <t>Realno predi majchinstvoto sblusuka s reportinga ti ne e mnogo golqm, kak reshi da smenish sverata sled majchinstvoto</t>
  </si>
  <si>
    <t>Kakvo tursish v novoto rabotno mqsto s nqkolko dumi</t>
  </si>
  <si>
    <t>naj obshto nashata rabota e svurzana s nqkolko programi - access, excel, vba v excel ili access, power bi, sql server management studio ssms</t>
  </si>
  <si>
    <t>razbira se ima I mnogo drugi koito polzvame no te zavisqt ot proekta I iziskvaniqta na klientite</t>
  </si>
  <si>
    <t>Kaji mi v koe ot tezi se chuvstvash po-silna</t>
  </si>
  <si>
    <t>Kak beshe v kopenhagen I daniq</t>
  </si>
  <si>
    <t>Pochina li si sled dvete majchinstva, gotova li si za novi predizvikatesltva</t>
  </si>
  <si>
    <t>poli shte razkajesh li malko za sitel</t>
  </si>
  <si>
    <t xml:space="preserve">angliiski - tell me a bit about you current hobbies </t>
  </si>
  <si>
    <t>orientirovachnoto zaplashtane za koeto se borish kolko e</t>
  </si>
  <si>
    <t>excel; ssrs</t>
  </si>
  <si>
    <t>sap saq analytucs, tableu</t>
  </si>
  <si>
    <t>2500- 3000 k neto</t>
  </si>
  <si>
    <t>koj pavel</t>
  </si>
  <si>
    <t>Vidqh che v bnp si bila purvo telefonistka, koi sa bili metrikite/kpi na koito sa vi nablqgali</t>
  </si>
  <si>
    <t>daj mi primer za procesa na avtomatizaciq na nqkoj ot reportite koito si poddurjala</t>
  </si>
  <si>
    <t>kaks si izpolzvala task schedulera</t>
  </si>
  <si>
    <t>kakvo shte reche avtomatizirani reporti koito izpolzvat dve sql aplikacii</t>
  </si>
  <si>
    <t>ssms? - sql server management studio</t>
  </si>
  <si>
    <t>vijdam che si se zanimavala I s excel, vba, sql koe smqtash che si naj podgotvena</t>
  </si>
  <si>
    <t>power bi?</t>
  </si>
  <si>
    <t>160 000</t>
  </si>
  <si>
    <t>3to mqsto v sveta ot outsourcing kompanii</t>
  </si>
  <si>
    <t>BI analyst krusa v udemy</t>
  </si>
  <si>
    <t>software testing ot soft academy</t>
  </si>
  <si>
    <t>Excel, sql, vba, access</t>
  </si>
  <si>
    <t>ot finansi kym programirane</t>
  </si>
  <si>
    <t>kak se testva software</t>
  </si>
  <si>
    <t>ot edna strana pishe hubavi neshta v cv-to ot rabotna gledna tochka nqmash mnogo opit v reportinga</t>
  </si>
  <si>
    <t>angliq, germaniq, holandiq, daniq, bulgaria, v nqkolko durjavi</t>
  </si>
  <si>
    <t>I tova ne sa vsichki</t>
  </si>
  <si>
    <t>sql server management studio</t>
  </si>
  <si>
    <t>java</t>
  </si>
  <si>
    <t>soft uni</t>
  </si>
  <si>
    <t>primary,  foreign key</t>
  </si>
  <si>
    <t>table,view,procedure, trigger, job</t>
  </si>
  <si>
    <t>angliiskiq ne e top</t>
  </si>
  <si>
    <t>1600-2200</t>
  </si>
  <si>
    <t>neto</t>
  </si>
  <si>
    <t xml:space="preserve">predizvestie </t>
  </si>
  <si>
    <t>3 meseca</t>
  </si>
  <si>
    <t>naj kusno na mesec</t>
  </si>
  <si>
    <t>gimnaziqta e v lozenec ot ednata strana na vaptsarov nali</t>
  </si>
  <si>
    <t>po matematika I science</t>
  </si>
  <si>
    <t>sql - s koq programa ste go dostypvali - sql server management studio, mysql ili neshto drugo</t>
  </si>
  <si>
    <t>spodeli za opita si s power bi kak si go izpolzval</t>
  </si>
  <si>
    <t>koe smqtash che ti e naj silno - excel, sql ili power bi</t>
  </si>
  <si>
    <t>orientirovachno zaplashtane</t>
  </si>
  <si>
    <t>tell me more about your hobbies</t>
  </si>
  <si>
    <t>which sports do you prefer</t>
  </si>
  <si>
    <t>userformi s vba?</t>
  </si>
  <si>
    <t>kude nauchi frenski</t>
  </si>
  <si>
    <t>kak praveshe forecasti</t>
  </si>
  <si>
    <t>kakvo e milk run?</t>
  </si>
  <si>
    <t>project coordinator - razkaji kakvi software tools si suzdal I malko poveche moje da razkajesh za tozi vuv vba I sales force</t>
  </si>
  <si>
    <t>parichki?</t>
  </si>
  <si>
    <t>imash li vuzmojnost da idvash do ofisa</t>
  </si>
  <si>
    <t>primerno za purviq raboten den ili ako se naloji vednuj na nqkolko meseca</t>
  </si>
  <si>
    <t>Can you give me an example of how would you use byref or byval in vba code</t>
  </si>
  <si>
    <t>exactly what steps would you take in order to make them usefull</t>
  </si>
  <si>
    <t>report / data/ model view difference and what can you see in each one of them</t>
  </si>
  <si>
    <t>what is the difference between having and where</t>
  </si>
  <si>
    <t>which one is written first in a query</t>
  </si>
  <si>
    <t>Razkaji mi malko za uchilishte/ universitet kude si zavurshil</t>
  </si>
  <si>
    <t>excel</t>
  </si>
  <si>
    <t>sql server management studio - ssms</t>
  </si>
  <si>
    <t>power bi</t>
  </si>
  <si>
    <t>python</t>
  </si>
  <si>
    <t>kak se instalira biblioteka v python - pip install</t>
  </si>
  <si>
    <t>vba</t>
  </si>
  <si>
    <t>module I class module</t>
  </si>
  <si>
    <t>kolko izmereniq</t>
  </si>
  <si>
    <t>select where from order by podredba</t>
  </si>
  <si>
    <t>report/data/model view - kakva e razlikata</t>
  </si>
  <si>
    <t>slagal li si butoni I kak rabotqt</t>
  </si>
  <si>
    <t>power app I power automate opit?</t>
  </si>
  <si>
    <t>new measure/new column razlikata</t>
  </si>
  <si>
    <t>try I except - error handler</t>
  </si>
  <si>
    <t>while I for kakva e razlikata</t>
  </si>
  <si>
    <t>vuprosi kym poziciqta</t>
  </si>
  <si>
    <t>blagodarq ti za otdelenoto vreme</t>
  </si>
  <si>
    <t>zdrasti az sum nikolay ediniq manager v ekipa</t>
  </si>
  <si>
    <t>Principno ako zapochnesh shte imash li vuzmojnost ot vreme na vreme da putyvash do sofia, kogato imame ekipni subiraniq I meropriqtiq - gore doly 1 na 3-6 meseca</t>
  </si>
  <si>
    <t>elektrotehnika</t>
  </si>
  <si>
    <t xml:space="preserve">pc </t>
  </si>
  <si>
    <t>Bistrev Hamburger Trockenbau</t>
  </si>
  <si>
    <t>opit</t>
  </si>
  <si>
    <t>tam li jiveesh</t>
  </si>
  <si>
    <t>razkaji mi za universiteta, kakvo si zavurshil</t>
  </si>
  <si>
    <t>angliiski tell me about your hobies in a few words</t>
  </si>
  <si>
    <t>und wo hast du schon deutch gelernt?</t>
  </si>
  <si>
    <t>Data types</t>
  </si>
  <si>
    <t>number,int,boolean</t>
  </si>
  <si>
    <t>null I 0 razlika</t>
  </si>
  <si>
    <t>primitive I non primitive types</t>
  </si>
  <si>
    <t>debugger kakvo ti govori</t>
  </si>
  <si>
    <t>razlika kogato neshto e ravno 2 primerno kakva e razlikata mejdu x==2 I x===3</t>
  </si>
  <si>
    <t>3 ravnota sa za values I types</t>
  </si>
  <si>
    <t>var x=2;</t>
  </si>
  <si>
    <t>var y="2";</t>
  </si>
  <si>
    <t>(x==y)</t>
  </si>
  <si>
    <t>(x===y)</t>
  </si>
  <si>
    <t>za kakvo sluji $ vuv formulite</t>
  </si>
  <si>
    <t>kakvi pari</t>
  </si>
  <si>
    <t xml:space="preserve">cbv  </t>
  </si>
  <si>
    <t>+</t>
  </si>
  <si>
    <t>7 godini germaniq -stroitelstvo</t>
  </si>
  <si>
    <t>Bakavalavar Biologiq - kak se reshi</t>
  </si>
  <si>
    <t>zavurshi li</t>
  </si>
  <si>
    <t>otkude dojde interesa ti reportinga</t>
  </si>
  <si>
    <t>kakva e razlikata mejdu vlookup, xlookup and hlookup</t>
  </si>
  <si>
    <t>hotel</t>
  </si>
  <si>
    <t>v samo v dqsno a x I v lqvo</t>
  </si>
  <si>
    <t>horizontalno</t>
  </si>
  <si>
    <t>exact match I approximate match</t>
  </si>
  <si>
    <t>name manager polzvala li si</t>
  </si>
  <si>
    <t>kakvo e array I seshtash li se za array formuli</t>
  </si>
  <si>
    <t>Variable?</t>
  </si>
  <si>
    <t>vidove vruzki mejdu tablicata - left join</t>
  </si>
  <si>
    <t>dax - calculate funkciata kakvo pravi</t>
  </si>
  <si>
    <t>Razkaji mi za nqkakva avtomatizaciq svurzana sus sap koqto si napravila I te e udovletvorila</t>
  </si>
  <si>
    <t>diplomi za ezici</t>
  </si>
  <si>
    <t>tell me a bit about your hobbies currently</t>
  </si>
  <si>
    <t>Kak ot intergraciq I diplomaciq mina prez finansi I stigna do reporting</t>
  </si>
  <si>
    <t>Lean six sigma - yellow - razkaji</t>
  </si>
  <si>
    <t>Tehnicheski znaniq?</t>
  </si>
  <si>
    <t>zashti bi dobavila ili aktivirala biblioteka kum nqkoj excel file</t>
  </si>
  <si>
    <t>dax - calculate funkciata kakvo pravi sum I filter</t>
  </si>
  <si>
    <t xml:space="preserve">mojesh li da slagash measuri vuv folder I seshtash li se gore doly kak </t>
  </si>
  <si>
    <t>Kak beshe tehnicheskiq</t>
  </si>
  <si>
    <t>kak mina ot samoleti I letishta kym BI analyst</t>
  </si>
  <si>
    <t>v kakvo se systoi rabotata ti sega</t>
  </si>
  <si>
    <t>name manager polzval li si</t>
  </si>
  <si>
    <t>Variant</t>
  </si>
  <si>
    <t>вериънт</t>
  </si>
  <si>
    <t>10 noemvri gore doly contractor</t>
  </si>
  <si>
    <t>Koq gimnaziq si zavurshil</t>
  </si>
  <si>
    <t>Avtomatizaciq s koqto se gordeesh moje I po tehnicheski da razkajesh kakvo si napravil</t>
  </si>
  <si>
    <t>Data Validation</t>
  </si>
  <si>
    <t>dax - calculate funkciata ;kakvo pravi sum I filter</t>
  </si>
  <si>
    <t>v tablica slagash stojnostite na razlichni measure, kak mojesh tezi stojnosti da gi slojish v slicer taka che kogato selectirash opredelen measure stojnostite mu da se poqvavat v tablica chart ili kakvoto ti trqbva</t>
  </si>
  <si>
    <t>parameter</t>
  </si>
  <si>
    <t>kakva e razlikata mejdu global promenliva I ne local</t>
  </si>
  <si>
    <r>
      <t>Creating a new class creates a new </t>
    </r>
    <r>
      <rPr>
        <i/>
        <sz val="10"/>
        <color rgb="FF000000"/>
        <rFont val="Arial"/>
        <family val="2"/>
      </rPr>
      <t>type</t>
    </r>
    <r>
      <rPr>
        <sz val="10"/>
        <color rgb="FF000000"/>
        <rFont val="Arial"/>
        <family val="2"/>
      </rPr>
      <t> of object, allowing new </t>
    </r>
    <r>
      <rPr>
        <i/>
        <sz val="10"/>
        <color rgb="FF000000"/>
        <rFont val="Arial"/>
        <family val="2"/>
      </rPr>
      <t>instances</t>
    </r>
    <r>
      <rPr>
        <sz val="10"/>
        <color rgb="FF000000"/>
        <rFont val="Arial"/>
        <family val="2"/>
      </rPr>
      <t> of that type to be made</t>
    </r>
  </si>
  <si>
    <t>class imash li primer v kojto bi go izpolzval razlika mejdu class I object</t>
  </si>
  <si>
    <t>cross join</t>
  </si>
  <si>
    <t>zavurshi li bakalavarskata v sofiiskiq</t>
  </si>
  <si>
    <t>kude jiveesh</t>
  </si>
  <si>
    <t>23 godini</t>
  </si>
  <si>
    <t>vba excel sql</t>
  </si>
  <si>
    <t>semestrialno</t>
  </si>
  <si>
    <t>krumov grad</t>
  </si>
  <si>
    <t>Sofia</t>
  </si>
  <si>
    <t>vbs da se schedulne s task scheduler</t>
  </si>
  <si>
    <t>3000-3500 net</t>
  </si>
  <si>
    <t>angliiskiq e ok</t>
  </si>
  <si>
    <t>2 meseca predizvestie</t>
  </si>
  <si>
    <t xml:space="preserve">Ivanina </t>
  </si>
  <si>
    <t>nqma da moje</t>
  </si>
  <si>
    <t>Denislav Dimitrav</t>
  </si>
  <si>
    <t xml:space="preserve">SQL powerbi </t>
  </si>
  <si>
    <t>Razkaji mi za sebe si</t>
  </si>
  <si>
    <t>ti si ot Varna</t>
  </si>
  <si>
    <t>Kak beshe premestvaneto v Sofia</t>
  </si>
  <si>
    <t>Zavurshi li Nov Bulgarski, samo bakalavar nali taka. Sledvash li sega ili imash li planove</t>
  </si>
  <si>
    <t>Razkaji mi za segashnata si rabota</t>
  </si>
  <si>
    <t>Daj mi primer za neshto s koeto se gordeesh kato razbrabotka ili proekt</t>
  </si>
  <si>
    <t>Koi programi si polzvala za da obuchish mashine learning model I kak proteche celiqt proces</t>
  </si>
  <si>
    <t>report/data/model view I veche slojiha I dax query editor</t>
  </si>
  <si>
    <t>zashto bi dobavila ili aktivirala biblioteka kum nqkoj excel file</t>
  </si>
  <si>
    <t>Planirash li da jiveesh drugude ili vuv Varna se chuvstvash dobre?</t>
  </si>
  <si>
    <t>Kakvi sa razlikitite mejdi tova da budesh finanse ili reporting analyst</t>
  </si>
  <si>
    <t>Amerkanskiq universitet v Sofia li si zavurshil?</t>
  </si>
  <si>
    <t>Planirash li da sledvash magistratura</t>
  </si>
  <si>
    <t>Predizvestie</t>
  </si>
  <si>
    <t>24 godini</t>
  </si>
  <si>
    <t>kakvo ti dostavq udovolstve</t>
  </si>
  <si>
    <t>technicheskata po lesno</t>
  </si>
  <si>
    <t>po zle komunikaciqta</t>
  </si>
  <si>
    <t>back office - kolko vreme e prekarano v status</t>
  </si>
  <si>
    <t>vreme I opercaiq - status</t>
  </si>
  <si>
    <t>sql statement</t>
  </si>
  <si>
    <t>hp boost</t>
  </si>
  <si>
    <t>2 meseca</t>
  </si>
  <si>
    <t>finansovi ochakvaniq</t>
  </si>
  <si>
    <t>vuprosi</t>
  </si>
  <si>
    <t>3k-3.5 k net</t>
  </si>
  <si>
    <t>1.8 k net</t>
  </si>
  <si>
    <t>taka kato ti gledam cv-to nqma kak da ne pitam za my dog benji, kakva poroda</t>
  </si>
  <si>
    <t>30god ruse;</t>
  </si>
  <si>
    <t>kak si importval danni v SAP</t>
  </si>
  <si>
    <t>razkaji mi kakvo se sluchva v accesntior I kolko golqm beshe ekipa</t>
  </si>
  <si>
    <t>ruse</t>
  </si>
  <si>
    <t>koq visualizaciq namirash za interesna I zashto</t>
  </si>
  <si>
    <t>dataflows - ot sharepoint</t>
  </si>
  <si>
    <t>3.7 net</t>
  </si>
  <si>
    <t>mnogo koleblivo</t>
  </si>
  <si>
    <t>accenture</t>
  </si>
  <si>
    <t>3.5-4 k neto</t>
  </si>
  <si>
    <t>January</t>
  </si>
  <si>
    <t>Ruse</t>
  </si>
  <si>
    <t>Apteka</t>
  </si>
  <si>
    <t>Dimitar Stoyanov - asistentka - toj beshe kum ataka nali taka. Imah edna Kolejka po onova vreme kazva se Kalina Balabanova sushto beshe chast ot partiqta ako se poznavate</t>
  </si>
  <si>
    <t>Napravi mi vpechatlenie che ot 2019- 2021 v modis si zapisala dve rabotni mesta - HR Generalist I EMEA recruitment consultant - kak e rabotilo tova</t>
  </si>
  <si>
    <t>Realno se sbluskvash s Reporting aktivno ot fevruary tazi godina</t>
  </si>
  <si>
    <t>Razkaji mi za karierata si, minala se prez dosta pozicii</t>
  </si>
  <si>
    <t>Excel I Power BI samo</t>
  </si>
  <si>
    <t xml:space="preserve">a v Excel na VBA ili nqkakuv kontakt s baza ot danni </t>
  </si>
  <si>
    <t>Kak beshe erazyma v Holandiq?</t>
  </si>
  <si>
    <t>Mashtricht</t>
  </si>
  <si>
    <t>imash li opit s power bi</t>
  </si>
  <si>
    <t>a s nqkakuv ezik za programirane</t>
  </si>
  <si>
    <t>Kude si bil na erazum</t>
  </si>
  <si>
    <t>Bakalavarska stepen?</t>
  </si>
  <si>
    <t>Razkaji mi za proekt ili zadacha koqto si napravila I s koqto se gordeesh</t>
  </si>
  <si>
    <t>Razkaji mi za proekt ili zadacha koqto si napravila I s koqto se gordeesh I ima obshto s reporting</t>
  </si>
  <si>
    <t>na kolko godini si</t>
  </si>
  <si>
    <t>koeto e sravnitelno skoro, kakvo te kara da tursish novo rabotno mqsto</t>
  </si>
  <si>
    <t xml:space="preserve">power bi </t>
  </si>
  <si>
    <t>power automate</t>
  </si>
  <si>
    <t>chast</t>
  </si>
  <si>
    <t>sql server</t>
  </si>
  <si>
    <t>sbluskvala li si se</t>
  </si>
  <si>
    <t>sukrateni</t>
  </si>
  <si>
    <t>predizvestie 12 Januari</t>
  </si>
  <si>
    <t>3k net</t>
  </si>
  <si>
    <t xml:space="preserve">tolerantnost; hurvatiq rumuniq; </t>
  </si>
  <si>
    <t>NBU grafichen</t>
  </si>
  <si>
    <t>ms sql</t>
  </si>
  <si>
    <t>4k net</t>
  </si>
  <si>
    <t>razkaji za sebe si</t>
  </si>
  <si>
    <t>Bakalavarskata si stepen vijdam che si zapisal tehnicheskiq univesitet informatika za koeto pozdravleniq, I az sum go zavurshil no v nemskiq otdel tam, I shte razkajesh za</t>
  </si>
  <si>
    <t>vpechatleniqta si, no vijdam che si zapisal 2025 godina, togava shte zavurshil li</t>
  </si>
  <si>
    <t>Na rabota koe ti dostavq po golqmo udovolstvie nad koe bi nablegnal. Obichash li da govorish s horata I da prezentirash ili obqsnqvash</t>
  </si>
  <si>
    <t>razkaji mi za proekt kojto ti e dostavil udovolstvie I s kojto se gordeesh</t>
  </si>
  <si>
    <t>index match</t>
  </si>
  <si>
    <t>poddurjal li si Trackerite v AIG</t>
  </si>
  <si>
    <t>razlika mejdu subroutine I funkciq</t>
  </si>
  <si>
    <t>kakva e razlikata mejdu global promenliva I  local</t>
  </si>
  <si>
    <t>Seshtash li se kakva e razlikata mejdu class I object</t>
  </si>
  <si>
    <t>a ti si jiveesh v sofia nali taka</t>
  </si>
  <si>
    <t>sviknal li si da hodish do ofisa</t>
  </si>
  <si>
    <t>kak se sbluska s frenskiq</t>
  </si>
  <si>
    <t>uk - imash li aktivni razgovori s klienti</t>
  </si>
  <si>
    <t>na kakvi ezici se uchish</t>
  </si>
  <si>
    <t>diplomna</t>
  </si>
  <si>
    <t>30 dni</t>
  </si>
  <si>
    <t>imash li chesti razgovori s klienti kudeto da prezentirash I obqsnqvash izvun ekipa</t>
  </si>
  <si>
    <t>91vi nabor</t>
  </si>
  <si>
    <t>Minal si prez razlichni mesta na rabota, kak dostigna do AIG ili Accenture veche</t>
  </si>
  <si>
    <t>Dobavql li si addin v excel</t>
  </si>
  <si>
    <t>I seshtash li se gore doly kak stava</t>
  </si>
  <si>
    <t>a suzdaval li si takuv</t>
  </si>
  <si>
    <t>kak mojesh da napravish edin worksheet very hidden</t>
  </si>
  <si>
    <t>kakvo e array I seshtash li se za array formuli I kakva osobenost imat pri sintaksisa</t>
  </si>
  <si>
    <t>subroutines and functions difference</t>
  </si>
  <si>
    <t>razlika mejdi module I class module</t>
  </si>
  <si>
    <t>zashto bi dobavil nova referenciq v workbook</t>
  </si>
  <si>
    <t>triggerite</t>
  </si>
  <si>
    <t>a zashto bi napravi shema v SSMS</t>
  </si>
  <si>
    <t>koga bi izpolzval cross join</t>
  </si>
  <si>
    <r>
      <t>SELECT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FROM</t>
    </r>
    <r>
      <rPr>
        <sz val="11"/>
        <color theme="1"/>
        <rFont val="Calibri"/>
        <family val="2"/>
        <scheme val="minor"/>
      </rPr>
      <t xml:space="preserve">/// </t>
    </r>
    <r>
      <rPr>
        <sz val="10"/>
        <color theme="1"/>
        <rFont val="Arial Unicode MS"/>
        <family val="2"/>
      </rPr>
      <t>WHERE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GROUP BY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HAVING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ORDER BY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JOIN</t>
    </r>
  </si>
  <si>
    <t>s koi ezici za programirane si se sblusvkal</t>
  </si>
  <si>
    <t>vijdam che si napisal che jiveesh v Ruse, taka li e</t>
  </si>
  <si>
    <t>A imash li vuzmojnost ili planove da idvash kym Sofia, tuj kato kontakta na jivo sushto e dosta vajen bilo to I vednuj mesechno</t>
  </si>
  <si>
    <t>PBI certified govori li ti neshto</t>
  </si>
  <si>
    <t>1 mesec</t>
  </si>
  <si>
    <t>do kraq na godinata</t>
  </si>
  <si>
    <t>Januari sredata</t>
  </si>
  <si>
    <t xml:space="preserve">3.5-4k </t>
  </si>
  <si>
    <r>
      <t xml:space="preserve">Use </t>
    </r>
    <r>
      <rPr>
        <sz val="10"/>
        <color theme="1"/>
        <rFont val="Arial Unicode MS"/>
        <family val="2"/>
      </rPr>
      <t>==</t>
    </r>
    <r>
      <rPr>
        <sz val="11"/>
        <color theme="1"/>
        <rFont val="Calibri"/>
        <family val="2"/>
        <scheme val="minor"/>
      </rPr>
      <t xml:space="preserve"> for comparing </t>
    </r>
    <r>
      <rPr>
        <b/>
        <sz val="11"/>
        <color theme="1"/>
        <rFont val="Calibri"/>
        <family val="2"/>
        <scheme val="minor"/>
      </rPr>
      <t>primitives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object references</t>
    </r>
    <r>
      <rPr>
        <sz val="11"/>
        <color theme="1"/>
        <rFont val="Calibri"/>
        <family val="2"/>
        <scheme val="minor"/>
      </rPr>
      <t>.</t>
    </r>
  </si>
  <si>
    <r>
      <t xml:space="preserve">Use </t>
    </r>
    <r>
      <rPr>
        <sz val="10"/>
        <color theme="1"/>
        <rFont val="Arial Unicode MS"/>
        <family val="2"/>
      </rPr>
      <t>.equals()</t>
    </r>
    <r>
      <rPr>
        <sz val="11"/>
        <color theme="1"/>
        <rFont val="Calibri"/>
        <family val="2"/>
        <scheme val="minor"/>
      </rPr>
      <t xml:space="preserve"> when you need to compare the </t>
    </r>
    <r>
      <rPr>
        <b/>
        <sz val="11"/>
        <color theme="1"/>
        <rFont val="Calibri"/>
        <family val="2"/>
        <scheme val="minor"/>
      </rPr>
      <t>content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logical equality</t>
    </r>
    <r>
      <rPr>
        <sz val="11"/>
        <color theme="1"/>
        <rFont val="Calibri"/>
        <family val="2"/>
        <scheme val="minor"/>
      </rPr>
      <t xml:space="preserve"> of objects.</t>
    </r>
  </si>
  <si>
    <t>razlika == I .equals()</t>
  </si>
  <si>
    <t>Java</t>
  </si>
  <si>
    <r>
      <t xml:space="preserve">A </t>
    </r>
    <r>
      <rPr>
        <b/>
        <sz val="11"/>
        <color theme="1"/>
        <rFont val="Calibri"/>
        <family val="2"/>
        <scheme val="minor"/>
      </rPr>
      <t>pointer</t>
    </r>
    <r>
      <rPr>
        <sz val="11"/>
        <color theme="1"/>
        <rFont val="Calibri"/>
        <family val="2"/>
        <scheme val="minor"/>
      </rPr>
      <t xml:space="preserve"> in C++ is a variable that stores the </t>
    </r>
    <r>
      <rPr>
        <b/>
        <sz val="11"/>
        <color theme="1"/>
        <rFont val="Calibri"/>
        <family val="2"/>
        <scheme val="minor"/>
      </rPr>
      <t>memory address</t>
    </r>
    <r>
      <rPr>
        <sz val="11"/>
        <color theme="1"/>
        <rFont val="Calibri"/>
        <family val="2"/>
        <scheme val="minor"/>
      </rPr>
      <t xml:space="preserve"> of another variable</t>
    </r>
  </si>
  <si>
    <t>C++ Pointer</t>
  </si>
  <si>
    <t>указател</t>
  </si>
  <si>
    <t>Ochakvano vuznagrajdenie</t>
  </si>
  <si>
    <t xml:space="preserve">Pozdravleniq za cv-to, sbluskval si se s dosta neshta I si otdelil stabilno vreme ot jivota si na Sitel. Imah sluchaj predi 5-6 godini  edin chovek mi beshe pratil 45 stranici cv s primeri I kartinki za vsichko koeto e svurshil do momenta a beshe nad 40 godishen </t>
  </si>
  <si>
    <t>Shtom kandidatsvash obratno znachi si ostanal s dobri chuvstva</t>
  </si>
  <si>
    <t>razlika ==</t>
  </si>
  <si>
    <t>.equals()</t>
  </si>
  <si>
    <t>dosta godini v sitel I znae neshta</t>
  </si>
  <si>
    <t>avtomatizacii s emaili?</t>
  </si>
  <si>
    <t>tableua</t>
  </si>
  <si>
    <t>Excel/vba/pyhton/power bi/ sql baza danni</t>
  </si>
  <si>
    <t>burgas</t>
  </si>
  <si>
    <t>oshte e novo</t>
  </si>
  <si>
    <t>ot scretch trudno</t>
  </si>
  <si>
    <t>ot sega</t>
  </si>
  <si>
    <t>3k neto</t>
  </si>
  <si>
    <t>vednaga</t>
  </si>
  <si>
    <t>3200-3500</t>
  </si>
  <si>
    <t>Eindhoven</t>
  </si>
  <si>
    <t>na kakuv AI vi uchiha v universiteta</t>
  </si>
  <si>
    <t>bil s v eindhoven na komandirovka, dosta spokojno gradche, kak ti ponese</t>
  </si>
  <si>
    <t>Bookmarks</t>
  </si>
  <si>
    <t>24 godini v holandiq</t>
  </si>
  <si>
    <t>mislish li da zapisvash magistratura</t>
  </si>
  <si>
    <t>koq gimnaziq si zavurshil</t>
  </si>
  <si>
    <t>sequal server management studio</t>
  </si>
  <si>
    <t>kak vizualizirash s python s matplotlib, plotly</t>
  </si>
  <si>
    <t xml:space="preserve">angliiskata </t>
  </si>
  <si>
    <t>tuberg</t>
  </si>
  <si>
    <t>data sciance</t>
  </si>
  <si>
    <t>sledva</t>
  </si>
  <si>
    <t>external tool dax studio I tabular editor</t>
  </si>
  <si>
    <t>kak otide v daniq, tam bakalavarska stepen li si uchil I zavurshil li si</t>
  </si>
  <si>
    <t>imot.bg;</t>
  </si>
  <si>
    <t>24 gdoni</t>
  </si>
  <si>
    <t>3.3-3.5 k</t>
  </si>
  <si>
    <t>Usually what do you prefer, working on the backend, creating visualizations or Presenting and talking to people. What brings you most joy</t>
  </si>
  <si>
    <t>Since you are in the company can you present me with the project you are most proud of</t>
  </si>
  <si>
    <t xml:space="preserve">Tell me about yourselve and your experience so far </t>
  </si>
  <si>
    <t>Give me an example of something you have created with power automate and afterwards power apps</t>
  </si>
  <si>
    <t>Do you have any expirience with any programming languages like visual basic or python</t>
  </si>
  <si>
    <t>Have you ever tried coding in any language?</t>
  </si>
  <si>
    <t xml:space="preserve">Have you used the formula index match </t>
  </si>
  <si>
    <t>Let's start with the basics, do you know what vlookup, hlookup and xlookup do and what is the difference</t>
  </si>
  <si>
    <t>Exact match or approximate</t>
  </si>
  <si>
    <t>Do you know how to make sheet very hidden</t>
  </si>
  <si>
    <t>hide/unhide</t>
  </si>
  <si>
    <t>What is an array formula on excel or in any programming language?</t>
  </si>
  <si>
    <t>addin in excel</t>
  </si>
  <si>
    <t>have you ever scheduled a vb script through a task scheduler or used vbs at all</t>
  </si>
  <si>
    <t>Why would you activate a reference in VBA</t>
  </si>
  <si>
    <t>What is the difference bettwen subroutine and function</t>
  </si>
  <si>
    <t>What is the difference bettwen module and class module</t>
  </si>
  <si>
    <t>What does it mean to normalize a database?</t>
  </si>
  <si>
    <t>duplicates, keys</t>
  </si>
  <si>
    <t>Can you list the different types of joins in a database?</t>
  </si>
  <si>
    <t>What does the cross join do?</t>
  </si>
  <si>
    <t>1. INNER JOIN</t>
  </si>
  <si>
    <t>Returns rows where there is a match in both tables.</t>
  </si>
  <si>
    <t>Example: "Give me all employees who have assigned departments."</t>
  </si>
  <si>
    <t>2. LEFT JOIN (or LEFT OUTER JOIN)</t>
  </si>
  <si>
    <t>Returns all rows from the left table and the matching rows from the right table. If no match is found, NULLs are returned for columns from the right table.</t>
  </si>
  <si>
    <t>Example: "List all employees, even those without a department."</t>
  </si>
  <si>
    <t>3. RIGHT JOIN (or RIGHT OUTER JOIN)</t>
  </si>
  <si>
    <t>Returns all rows from the right table and the matching rows from the left table. If no match is found, NULLs are returned for columns from the left table.</t>
  </si>
  <si>
    <t>Example: "List all departments, even those without employees."</t>
  </si>
  <si>
    <t>4. FULL JOIN (or FULL OUTER JOIN)</t>
  </si>
  <si>
    <t>Combines the results of both LEFT and RIGHT joins, returning all rows from both tables. If there’s no match, NULLs are used for missing values.</t>
  </si>
  <si>
    <t>Example: "Show all employees and all departments, including those without matches."</t>
  </si>
  <si>
    <t>5. CROSS JOIN</t>
  </si>
  <si>
    <t>Produces a Cartesian product of two tables. Every row in the first table is paired with every row in the second table.</t>
  </si>
  <si>
    <t>Example: "Generate all possible combinations of products and stores."</t>
  </si>
  <si>
    <t>6. SELF JOIN</t>
  </si>
  <si>
    <t>A table is joined with itself. Typically used to find relationships within the same table.</t>
  </si>
  <si>
    <t>Example: "Find employees who report to the same manager."</t>
  </si>
  <si>
    <t>7. NATURAL JOIN</t>
  </si>
  <si>
    <t>Automatically matches columns with the same names and compatible data types in both tables.</t>
  </si>
  <si>
    <r>
      <t xml:space="preserve">Example: "Combine student and enrollment tables based on shared column names like </t>
    </r>
    <r>
      <rPr>
        <sz val="10"/>
        <color theme="1"/>
        <rFont val="Arial Unicode MS"/>
        <family val="2"/>
      </rPr>
      <t>StudentID</t>
    </r>
    <r>
      <rPr>
        <sz val="11"/>
        <color theme="1"/>
        <rFont val="Calibri"/>
        <family val="2"/>
        <scheme val="minor"/>
      </rPr>
      <t>."</t>
    </r>
  </si>
  <si>
    <t>What is the difference between having and where in a query</t>
  </si>
  <si>
    <t>RLS - row level security - difference between dynamic and static</t>
  </si>
  <si>
    <t>Have you used external tools in PBI like dax studio or tabular editor and what for</t>
  </si>
  <si>
    <t>In PBI there are different Views like Report, Table, Model and DAX query View. What do you use them for?</t>
  </si>
  <si>
    <t>Do you recall how you can put measures in Folders- there something specific here</t>
  </si>
  <si>
    <t>Bookmarks what can you use them for</t>
  </si>
  <si>
    <t>Does the term "PBI certified" ring a bell or bring anything specific to mind?</t>
  </si>
  <si>
    <t>how do you install a library in python - pip install</t>
  </si>
  <si>
    <t>try I except what do you use it for- error handler</t>
  </si>
  <si>
    <t>What is the difference between local and global variable</t>
  </si>
  <si>
    <t>Difference between class and an object</t>
  </si>
  <si>
    <t>Tell me more about your expirience with Lean Six Sigma, I saw that you have a white belt, a few years back I earned a green one myself</t>
  </si>
  <si>
    <t>Obektno programirane</t>
  </si>
  <si>
    <t>Are you using Kronos to fill your workhours?</t>
  </si>
  <si>
    <t xml:space="preserve">kolko golqm ekip </t>
  </si>
  <si>
    <t>kakvo predstavlqva edin etl</t>
  </si>
  <si>
    <t>proekt s kojto se gordeesh</t>
  </si>
  <si>
    <t>ezici diplomi</t>
  </si>
  <si>
    <t>naprejenie I razgovori</t>
  </si>
  <si>
    <t>kolko si bil zamostoqtelen</t>
  </si>
  <si>
    <t>3800-4600</t>
  </si>
  <si>
    <t>Ubochenie</t>
  </si>
  <si>
    <t>Scrum I agile</t>
  </si>
  <si>
    <t>Reporting sbluskvane</t>
  </si>
  <si>
    <t>Purvata igra koqto si igrala</t>
  </si>
  <si>
    <t>naprejenieto I otgvornosti</t>
  </si>
  <si>
    <t>Ezici na programirane</t>
  </si>
  <si>
    <t xml:space="preserve">python - importva </t>
  </si>
  <si>
    <t>koj universitet I kude</t>
  </si>
  <si>
    <t>ssms, ssis, vba, excel, python, power bi</t>
  </si>
  <si>
    <t>kak se spravqsh sus stresa I kak ti se otrazqva</t>
  </si>
  <si>
    <t>vsichko e na anglijski, tova pritesnqva li te imash li opit</t>
  </si>
  <si>
    <t>Proekt s kojto se gordeesh</t>
  </si>
  <si>
    <t>kolko golqm e ekipa/ kolko samostoqtelna si</t>
  </si>
  <si>
    <t>unns mejdunaro</t>
  </si>
  <si>
    <t>a</t>
  </si>
  <si>
    <t>2800-3200</t>
  </si>
  <si>
    <t xml:space="preserve">imash </t>
  </si>
  <si>
    <t>Magistratura ili bakalavur</t>
  </si>
  <si>
    <t>imash li</t>
  </si>
  <si>
    <t>sertifikat</t>
  </si>
  <si>
    <t>bg</t>
  </si>
  <si>
    <t>Idvaneto do sofia</t>
  </si>
  <si>
    <t>razkaji za green belta</t>
  </si>
  <si>
    <t>Poveche si rabotila s access kato backend - uspq li da stignesh da pishesh vba kod</t>
  </si>
  <si>
    <t>Razkaji mi malko za segashnata ti rabota, poli spomena che se spravqsh samostoqtelno</t>
  </si>
  <si>
    <t>sqk server management studio imash li opit</t>
  </si>
  <si>
    <t>imash li opit s pisane na kod na kakuvto I da bilo ezik</t>
  </si>
  <si>
    <t>pravila li si Sankey diagrama primerno</t>
  </si>
  <si>
    <t>dax - naj grubo sinkatsisa za ako selectiranoto/ izbranoto value ot slicer e 1 togava vurni stojnost da, inache stojnost 2</t>
  </si>
  <si>
    <t>kak se prez conditional formatting mojesh da promenish transeprancyto na izbraniq cvqt</t>
  </si>
  <si>
    <t>Sofia I nqma ochakvaniq da se promeni tova</t>
  </si>
  <si>
    <t>summarize funkciata govori li ti neshto</t>
  </si>
  <si>
    <t>izbirash tablica I ot neq izbirash koi koloni da se pokajat I edin vid slaga group by na tezi koloni</t>
  </si>
  <si>
    <t>edit interactions seshtash li se kakvo pravi</t>
  </si>
  <si>
    <t>dax studio I tabular editor ot external tools?</t>
  </si>
  <si>
    <t>Row level security za bi go polzvala</t>
  </si>
  <si>
    <t>5-6 godini</t>
  </si>
  <si>
    <t>celiqt backend e v power bi</t>
  </si>
  <si>
    <t>fabric?</t>
  </si>
  <si>
    <t>dataflowove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</si>
</sst>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C7002B"/>
      <name val="Consolas"/>
      <family val="3"/>
    </font>
    <font>
      <sz val="14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3.5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Border="1"/>
    <xf numFmtId="0" fontId="1" fillId="2" borderId="0" xfId="0" applyFont="1" applyFill="1"/>
    <xf numFmtId="0" fontId="2" fillId="2" borderId="0" xfId="0" applyFont="1" applyFill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4" fillId="0" borderId="0" xfId="0" applyFont="1"/>
    <xf numFmtId="0" fontId="5" fillId="0" borderId="0" xfId="0" applyFont="1" applyAlignment="1">
      <alignment vertical="center"/>
    </xf>
    <xf numFmtId="0" fontId="0" fillId="0" borderId="1" xfId="0" applyBorder="1"/>
    <xf numFmtId="49" fontId="0" fillId="0" borderId="0" xfId="0" applyNumberFormat="1"/>
    <xf numFmtId="0" fontId="7" fillId="0" borderId="0" xfId="0" applyFont="1"/>
    <xf numFmtId="0" fontId="0" fillId="2" borderId="0" xfId="0" applyFill="1"/>
    <xf numFmtId="0" fontId="8" fillId="0" borderId="0" xfId="0" applyFont="1"/>
    <xf numFmtId="0" fontId="11" fillId="0" borderId="0" xfId="0" applyFont="1"/>
    <xf numFmtId="0" fontId="10" fillId="2" borderId="0" xfId="0" applyFont="1" applyFill="1"/>
    <xf numFmtId="0" fontId="1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A14"/>
  <sheetViews>
    <sheetView workbookViewId="0">
      <selection activeCell="A8" sqref="A8"/>
    </sheetView>
  </sheetViews>
  <sheetFormatPr defaultRowHeight="14.4" x14ac:dyDescent="0.3"/>
  <sheetData>
    <row r="2" spans="1:1" x14ac:dyDescent="0.3">
      <c r="A2" t="s">
        <v>75</v>
      </c>
    </row>
    <row r="4" spans="1:1" x14ac:dyDescent="0.3">
      <c r="A4" t="s">
        <v>76</v>
      </c>
    </row>
    <row r="6" spans="1:1" x14ac:dyDescent="0.3">
      <c r="A6" t="s">
        <v>77</v>
      </c>
    </row>
    <row r="7" spans="1:1" x14ac:dyDescent="0.3">
      <c r="A7" t="s">
        <v>88</v>
      </c>
    </row>
    <row r="10" spans="1:1" x14ac:dyDescent="0.3">
      <c r="A10" t="s">
        <v>73</v>
      </c>
    </row>
    <row r="12" spans="1:1" x14ac:dyDescent="0.3">
      <c r="A12" t="s">
        <v>23</v>
      </c>
    </row>
    <row r="14" spans="1:1" x14ac:dyDescent="0.3">
      <c r="A14" t="s">
        <v>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N26"/>
  <sheetViews>
    <sheetView workbookViewId="0">
      <selection activeCell="K11" sqref="K11"/>
    </sheetView>
  </sheetViews>
  <sheetFormatPr defaultRowHeight="14.4" x14ac:dyDescent="0.3"/>
  <sheetData>
    <row r="1" spans="1:14" x14ac:dyDescent="0.3">
      <c r="A1" t="s">
        <v>116</v>
      </c>
      <c r="G1" t="s">
        <v>120</v>
      </c>
      <c r="I1" t="s">
        <v>122</v>
      </c>
      <c r="K1" t="s">
        <v>123</v>
      </c>
    </row>
    <row r="3" spans="1:14" x14ac:dyDescent="0.3">
      <c r="A3" t="s">
        <v>121</v>
      </c>
      <c r="N3" t="s">
        <v>125</v>
      </c>
    </row>
    <row r="4" spans="1:14" x14ac:dyDescent="0.3">
      <c r="N4" t="s">
        <v>126</v>
      </c>
    </row>
    <row r="5" spans="1:14" x14ac:dyDescent="0.3">
      <c r="A5" t="s">
        <v>107</v>
      </c>
      <c r="N5" t="s">
        <v>143</v>
      </c>
    </row>
    <row r="6" spans="1:14" x14ac:dyDescent="0.3">
      <c r="N6" t="s">
        <v>145</v>
      </c>
    </row>
    <row r="7" spans="1:14" x14ac:dyDescent="0.3">
      <c r="A7" t="s">
        <v>115</v>
      </c>
      <c r="H7" t="s">
        <v>124</v>
      </c>
      <c r="N7" t="s">
        <v>146</v>
      </c>
    </row>
    <row r="8" spans="1:14" x14ac:dyDescent="0.3">
      <c r="N8" t="s">
        <v>147</v>
      </c>
    </row>
    <row r="9" spans="1:14" x14ac:dyDescent="0.3">
      <c r="A9" t="s">
        <v>106</v>
      </c>
      <c r="N9" t="s">
        <v>148</v>
      </c>
    </row>
    <row r="10" spans="1:14" x14ac:dyDescent="0.3">
      <c r="N10" t="s">
        <v>149</v>
      </c>
    </row>
    <row r="11" spans="1:14" x14ac:dyDescent="0.3">
      <c r="A11" t="s">
        <v>117</v>
      </c>
      <c r="N11" t="s">
        <v>150</v>
      </c>
    </row>
    <row r="12" spans="1:14" x14ac:dyDescent="0.3">
      <c r="N12" s="10" t="s">
        <v>151</v>
      </c>
    </row>
    <row r="13" spans="1:14" x14ac:dyDescent="0.3">
      <c r="A13" t="s">
        <v>118</v>
      </c>
      <c r="N13" t="s">
        <v>152</v>
      </c>
    </row>
    <row r="14" spans="1:14" x14ac:dyDescent="0.3">
      <c r="A14" t="s">
        <v>119</v>
      </c>
      <c r="N14" t="s">
        <v>153</v>
      </c>
    </row>
    <row r="16" spans="1:14" s="9" customFormat="1" x14ac:dyDescent="0.3"/>
    <row r="18" spans="1:5" x14ac:dyDescent="0.3">
      <c r="A18" t="s">
        <v>109</v>
      </c>
    </row>
    <row r="19" spans="1:5" x14ac:dyDescent="0.3">
      <c r="A19" t="s">
        <v>110</v>
      </c>
      <c r="E19" t="s">
        <v>108</v>
      </c>
    </row>
    <row r="20" spans="1:5" x14ac:dyDescent="0.3">
      <c r="A20" t="s">
        <v>111</v>
      </c>
    </row>
    <row r="23" spans="1:5" x14ac:dyDescent="0.3">
      <c r="A23" t="s">
        <v>112</v>
      </c>
    </row>
    <row r="25" spans="1:5" x14ac:dyDescent="0.3">
      <c r="A25" t="s">
        <v>113</v>
      </c>
    </row>
    <row r="26" spans="1:5" x14ac:dyDescent="0.3">
      <c r="A26" t="s">
        <v>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J29"/>
  <sheetViews>
    <sheetView topLeftCell="A7" workbookViewId="0">
      <selection activeCell="A19" sqref="A19:F19"/>
    </sheetView>
  </sheetViews>
  <sheetFormatPr defaultRowHeight="14.4" x14ac:dyDescent="0.3"/>
  <sheetData>
    <row r="1" spans="1:9" x14ac:dyDescent="0.3">
      <c r="A1" t="s">
        <v>163</v>
      </c>
    </row>
    <row r="3" spans="1:9" x14ac:dyDescent="0.3">
      <c r="A3" t="s">
        <v>162</v>
      </c>
    </row>
    <row r="5" spans="1:9" x14ac:dyDescent="0.3">
      <c r="A5" t="s">
        <v>157</v>
      </c>
    </row>
    <row r="7" spans="1:9" x14ac:dyDescent="0.3">
      <c r="A7" t="s">
        <v>158</v>
      </c>
    </row>
    <row r="9" spans="1:9" x14ac:dyDescent="0.3">
      <c r="A9" t="s">
        <v>154</v>
      </c>
      <c r="I9" t="s">
        <v>156</v>
      </c>
    </row>
    <row r="10" spans="1:9" x14ac:dyDescent="0.3">
      <c r="A10" t="s">
        <v>155</v>
      </c>
    </row>
    <row r="12" spans="1:9" x14ac:dyDescent="0.3">
      <c r="A12" t="s">
        <v>159</v>
      </c>
    </row>
    <row r="13" spans="1:9" x14ac:dyDescent="0.3">
      <c r="A13" t="s">
        <v>160</v>
      </c>
    </row>
    <row r="15" spans="1:9" x14ac:dyDescent="0.3">
      <c r="A15" t="s">
        <v>161</v>
      </c>
      <c r="G15" t="s">
        <v>167</v>
      </c>
    </row>
    <row r="17" spans="1:10" x14ac:dyDescent="0.3">
      <c r="A17" t="s">
        <v>165</v>
      </c>
      <c r="G17" t="s">
        <v>168</v>
      </c>
    </row>
    <row r="19" spans="1:10" x14ac:dyDescent="0.3">
      <c r="A19" t="s">
        <v>166</v>
      </c>
      <c r="G19" t="s">
        <v>169</v>
      </c>
      <c r="J19" t="s">
        <v>170</v>
      </c>
    </row>
    <row r="20" spans="1:10" s="9" customFormat="1" x14ac:dyDescent="0.3"/>
    <row r="21" spans="1:10" x14ac:dyDescent="0.3">
      <c r="A21" t="s">
        <v>109</v>
      </c>
    </row>
    <row r="23" spans="1:10" x14ac:dyDescent="0.3">
      <c r="A23" t="s">
        <v>164</v>
      </c>
    </row>
    <row r="26" spans="1:10" x14ac:dyDescent="0.3">
      <c r="A26" t="s">
        <v>112</v>
      </c>
    </row>
    <row r="28" spans="1:10" x14ac:dyDescent="0.3">
      <c r="A28" t="s">
        <v>113</v>
      </c>
    </row>
    <row r="29" spans="1:10" x14ac:dyDescent="0.3">
      <c r="A29" t="s">
        <v>114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2:M30"/>
  <sheetViews>
    <sheetView workbookViewId="0">
      <selection activeCell="A15" sqref="A15:G18"/>
    </sheetView>
  </sheetViews>
  <sheetFormatPr defaultRowHeight="14.4" x14ac:dyDescent="0.3"/>
  <sheetData>
    <row r="2" spans="1:13" x14ac:dyDescent="0.3">
      <c r="A2" t="s">
        <v>171</v>
      </c>
    </row>
    <row r="4" spans="1:13" x14ac:dyDescent="0.3">
      <c r="A4" t="s">
        <v>172</v>
      </c>
      <c r="L4" t="s">
        <v>178</v>
      </c>
      <c r="M4" t="s">
        <v>179</v>
      </c>
    </row>
    <row r="6" spans="1:13" x14ac:dyDescent="0.3">
      <c r="A6" t="s">
        <v>173</v>
      </c>
    </row>
    <row r="8" spans="1:13" x14ac:dyDescent="0.3">
      <c r="A8" t="s">
        <v>174</v>
      </c>
    </row>
    <row r="10" spans="1:13" x14ac:dyDescent="0.3">
      <c r="A10" t="s">
        <v>175</v>
      </c>
      <c r="F10" t="s">
        <v>177</v>
      </c>
    </row>
    <row r="12" spans="1:13" x14ac:dyDescent="0.3">
      <c r="A12" t="s">
        <v>176</v>
      </c>
    </row>
    <row r="15" spans="1:13" x14ac:dyDescent="0.3">
      <c r="A15" t="s">
        <v>165</v>
      </c>
    </row>
    <row r="17" spans="1:1" x14ac:dyDescent="0.3">
      <c r="A17" t="s">
        <v>166</v>
      </c>
    </row>
    <row r="21" spans="1:1" s="9" customFormat="1" x14ac:dyDescent="0.3"/>
    <row r="22" spans="1:1" x14ac:dyDescent="0.3">
      <c r="A22" t="s">
        <v>109</v>
      </c>
    </row>
    <row r="24" spans="1:1" x14ac:dyDescent="0.3">
      <c r="A24" t="s">
        <v>164</v>
      </c>
    </row>
    <row r="27" spans="1:1" x14ac:dyDescent="0.3">
      <c r="A27" t="s">
        <v>112</v>
      </c>
    </row>
    <row r="29" spans="1:1" x14ac:dyDescent="0.3">
      <c r="A29" t="s">
        <v>113</v>
      </c>
    </row>
    <row r="30" spans="1:1" x14ac:dyDescent="0.3">
      <c r="A30" t="s">
        <v>114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2:I26"/>
  <sheetViews>
    <sheetView workbookViewId="0">
      <selection activeCell="A14" sqref="A14"/>
    </sheetView>
  </sheetViews>
  <sheetFormatPr defaultRowHeight="14.4" x14ac:dyDescent="0.3"/>
  <sheetData>
    <row r="2" spans="1:9" ht="17.399999999999999" x14ac:dyDescent="0.3">
      <c r="A2" s="11" t="s">
        <v>135</v>
      </c>
      <c r="D2" t="s">
        <v>136</v>
      </c>
    </row>
    <row r="4" spans="1:9" x14ac:dyDescent="0.3">
      <c r="A4" t="s">
        <v>137</v>
      </c>
    </row>
    <row r="6" spans="1:9" x14ac:dyDescent="0.3">
      <c r="A6" t="s">
        <v>138</v>
      </c>
    </row>
    <row r="8" spans="1:9" x14ac:dyDescent="0.3">
      <c r="A8" t="s">
        <v>139</v>
      </c>
    </row>
    <row r="10" spans="1:9" x14ac:dyDescent="0.3">
      <c r="A10" t="s">
        <v>140</v>
      </c>
    </row>
    <row r="12" spans="1:9" x14ac:dyDescent="0.3">
      <c r="A12" t="s">
        <v>141</v>
      </c>
      <c r="I12" t="s">
        <v>144</v>
      </c>
    </row>
    <row r="14" spans="1:9" x14ac:dyDescent="0.3">
      <c r="A14" t="s">
        <v>142</v>
      </c>
    </row>
    <row r="17" spans="1:5" s="9" customFormat="1" x14ac:dyDescent="0.3"/>
    <row r="18" spans="1:5" x14ac:dyDescent="0.3">
      <c r="A18" t="s">
        <v>109</v>
      </c>
    </row>
    <row r="19" spans="1:5" x14ac:dyDescent="0.3">
      <c r="A19" t="s">
        <v>110</v>
      </c>
      <c r="E19" t="s">
        <v>108</v>
      </c>
    </row>
    <row r="20" spans="1:5" x14ac:dyDescent="0.3">
      <c r="A20" t="s">
        <v>111</v>
      </c>
    </row>
    <row r="23" spans="1:5" x14ac:dyDescent="0.3">
      <c r="A23" t="s">
        <v>112</v>
      </c>
    </row>
    <row r="25" spans="1:5" x14ac:dyDescent="0.3">
      <c r="A25" t="s">
        <v>113</v>
      </c>
    </row>
    <row r="26" spans="1:5" x14ac:dyDescent="0.3">
      <c r="A26" t="s">
        <v>114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2:A12"/>
  <sheetViews>
    <sheetView workbookViewId="0">
      <selection activeCell="K22" sqref="K22"/>
    </sheetView>
  </sheetViews>
  <sheetFormatPr defaultRowHeight="14.4" x14ac:dyDescent="0.3"/>
  <sheetData>
    <row r="2" spans="1:1" x14ac:dyDescent="0.3">
      <c r="A2" t="s">
        <v>131</v>
      </c>
    </row>
    <row r="4" spans="1:1" x14ac:dyDescent="0.3">
      <c r="A4" t="s">
        <v>132</v>
      </c>
    </row>
    <row r="5" spans="1:1" x14ac:dyDescent="0.3">
      <c r="A5" t="s">
        <v>133</v>
      </c>
    </row>
    <row r="7" spans="1:1" x14ac:dyDescent="0.3">
      <c r="A7" t="s">
        <v>127</v>
      </c>
    </row>
    <row r="9" spans="1:1" x14ac:dyDescent="0.3">
      <c r="A9" t="s">
        <v>128</v>
      </c>
    </row>
    <row r="10" spans="1:1" x14ac:dyDescent="0.3">
      <c r="A10" t="s">
        <v>129</v>
      </c>
    </row>
    <row r="12" spans="1:1" x14ac:dyDescent="0.3">
      <c r="A12" t="s">
        <v>130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2:J28"/>
  <sheetViews>
    <sheetView zoomScaleNormal="100" workbookViewId="0">
      <selection activeCell="A19" sqref="A19:XFD28"/>
    </sheetView>
  </sheetViews>
  <sheetFormatPr defaultRowHeight="14.4" x14ac:dyDescent="0.3"/>
  <sheetData>
    <row r="2" spans="1:10" x14ac:dyDescent="0.3">
      <c r="A2" t="s">
        <v>183</v>
      </c>
      <c r="E2" t="s">
        <v>185</v>
      </c>
    </row>
    <row r="4" spans="1:10" x14ac:dyDescent="0.3">
      <c r="A4" t="s">
        <v>184</v>
      </c>
    </row>
    <row r="6" spans="1:10" x14ac:dyDescent="0.3">
      <c r="A6" t="s">
        <v>180</v>
      </c>
      <c r="F6" t="s">
        <v>186</v>
      </c>
    </row>
    <row r="7" spans="1:10" x14ac:dyDescent="0.3">
      <c r="F7" t="s">
        <v>187</v>
      </c>
    </row>
    <row r="8" spans="1:10" x14ac:dyDescent="0.3">
      <c r="A8" t="s">
        <v>181</v>
      </c>
    </row>
    <row r="10" spans="1:10" x14ac:dyDescent="0.3">
      <c r="A10" t="s">
        <v>182</v>
      </c>
      <c r="G10" t="s">
        <v>188</v>
      </c>
    </row>
    <row r="12" spans="1:10" x14ac:dyDescent="0.3">
      <c r="A12" t="s">
        <v>165</v>
      </c>
      <c r="F12" t="s">
        <v>193</v>
      </c>
      <c r="I12" t="s">
        <v>189</v>
      </c>
      <c r="J12" t="s">
        <v>190</v>
      </c>
    </row>
    <row r="14" spans="1:10" x14ac:dyDescent="0.3">
      <c r="A14" t="s">
        <v>166</v>
      </c>
      <c r="G14" t="s">
        <v>194</v>
      </c>
      <c r="I14" t="s">
        <v>195</v>
      </c>
    </row>
    <row r="16" spans="1:10" x14ac:dyDescent="0.3">
      <c r="A16" t="s">
        <v>196</v>
      </c>
      <c r="C16" t="s">
        <v>197</v>
      </c>
      <c r="E16" t="s">
        <v>198</v>
      </c>
    </row>
    <row r="19" spans="1:5" s="9" customFormat="1" x14ac:dyDescent="0.3"/>
    <row r="20" spans="1:5" x14ac:dyDescent="0.3">
      <c r="A20" t="s">
        <v>109</v>
      </c>
    </row>
    <row r="21" spans="1:5" x14ac:dyDescent="0.3">
      <c r="A21" t="s">
        <v>110</v>
      </c>
      <c r="E21" t="s">
        <v>108</v>
      </c>
    </row>
    <row r="22" spans="1:5" x14ac:dyDescent="0.3">
      <c r="A22" t="s">
        <v>111</v>
      </c>
    </row>
    <row r="25" spans="1:5" x14ac:dyDescent="0.3">
      <c r="A25" t="s">
        <v>112</v>
      </c>
    </row>
    <row r="27" spans="1:5" x14ac:dyDescent="0.3">
      <c r="A27" t="s">
        <v>113</v>
      </c>
    </row>
    <row r="28" spans="1:5" x14ac:dyDescent="0.3">
      <c r="A28" t="s">
        <v>114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2:G28"/>
  <sheetViews>
    <sheetView workbookViewId="0">
      <selection activeCell="A19" sqref="A19:XFD28"/>
    </sheetView>
  </sheetViews>
  <sheetFormatPr defaultRowHeight="14.4" x14ac:dyDescent="0.3"/>
  <sheetData>
    <row r="2" spans="1:7" x14ac:dyDescent="0.3">
      <c r="A2" t="s">
        <v>199</v>
      </c>
      <c r="G2" t="s">
        <v>200</v>
      </c>
    </row>
    <row r="4" spans="1:7" x14ac:dyDescent="0.3">
      <c r="A4" t="s">
        <v>201</v>
      </c>
    </row>
    <row r="6" spans="1:7" x14ac:dyDescent="0.3">
      <c r="A6" t="s">
        <v>202</v>
      </c>
    </row>
    <row r="8" spans="1:7" x14ac:dyDescent="0.3">
      <c r="A8" t="s">
        <v>203</v>
      </c>
    </row>
    <row r="10" spans="1:7" x14ac:dyDescent="0.3">
      <c r="A10" t="s">
        <v>204</v>
      </c>
    </row>
    <row r="12" spans="1:7" x14ac:dyDescent="0.3">
      <c r="A12" t="s">
        <v>205</v>
      </c>
      <c r="E12" t="s">
        <v>206</v>
      </c>
    </row>
    <row r="19" spans="1:5" s="9" customFormat="1" x14ac:dyDescent="0.3"/>
    <row r="20" spans="1:5" x14ac:dyDescent="0.3">
      <c r="A20" t="s">
        <v>109</v>
      </c>
    </row>
    <row r="21" spans="1:5" x14ac:dyDescent="0.3">
      <c r="A21" t="s">
        <v>110</v>
      </c>
      <c r="E21" t="s">
        <v>108</v>
      </c>
    </row>
    <row r="22" spans="1:5" x14ac:dyDescent="0.3">
      <c r="A22" t="s">
        <v>111</v>
      </c>
    </row>
    <row r="25" spans="1:5" x14ac:dyDescent="0.3">
      <c r="A25" t="s">
        <v>112</v>
      </c>
    </row>
    <row r="27" spans="1:5" x14ac:dyDescent="0.3">
      <c r="A27" t="s">
        <v>113</v>
      </c>
    </row>
    <row r="28" spans="1:5" x14ac:dyDescent="0.3">
      <c r="A28" t="s">
        <v>114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/>
  <dimension ref="A2:E27"/>
  <sheetViews>
    <sheetView workbookViewId="0">
      <selection activeCell="P32" sqref="A19:P32"/>
    </sheetView>
  </sheetViews>
  <sheetFormatPr defaultRowHeight="14.4" x14ac:dyDescent="0.3"/>
  <sheetData>
    <row r="2" spans="1:1" x14ac:dyDescent="0.3">
      <c r="A2" t="s">
        <v>208</v>
      </c>
    </row>
    <row r="4" spans="1:1" x14ac:dyDescent="0.3">
      <c r="A4" t="s">
        <v>207</v>
      </c>
    </row>
    <row r="6" spans="1:1" x14ac:dyDescent="0.3">
      <c r="A6" t="s">
        <v>209</v>
      </c>
    </row>
    <row r="8" spans="1:1" x14ac:dyDescent="0.3">
      <c r="A8" t="s">
        <v>210</v>
      </c>
    </row>
    <row r="10" spans="1:1" x14ac:dyDescent="0.3">
      <c r="A10" t="s">
        <v>211</v>
      </c>
    </row>
    <row r="12" spans="1:1" x14ac:dyDescent="0.3">
      <c r="A12" t="s">
        <v>213</v>
      </c>
    </row>
    <row r="13" spans="1:1" x14ac:dyDescent="0.3">
      <c r="A13" t="s">
        <v>214</v>
      </c>
    </row>
    <row r="15" spans="1:1" x14ac:dyDescent="0.3">
      <c r="A15" t="s">
        <v>212</v>
      </c>
    </row>
    <row r="18" spans="1:5" s="9" customFormat="1" x14ac:dyDescent="0.3"/>
    <row r="19" spans="1:5" x14ac:dyDescent="0.3">
      <c r="A19" t="s">
        <v>109</v>
      </c>
    </row>
    <row r="20" spans="1:5" x14ac:dyDescent="0.3">
      <c r="A20" t="s">
        <v>110</v>
      </c>
      <c r="E20" t="s">
        <v>108</v>
      </c>
    </row>
    <row r="21" spans="1:5" x14ac:dyDescent="0.3">
      <c r="A21" t="s">
        <v>111</v>
      </c>
    </row>
    <row r="24" spans="1:5" x14ac:dyDescent="0.3">
      <c r="A24" t="s">
        <v>112</v>
      </c>
    </row>
    <row r="26" spans="1:5" x14ac:dyDescent="0.3">
      <c r="A26" t="s">
        <v>113</v>
      </c>
    </row>
    <row r="27" spans="1:5" x14ac:dyDescent="0.3">
      <c r="A27" t="s">
        <v>114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/>
  <dimension ref="A1:L44"/>
  <sheetViews>
    <sheetView topLeftCell="A22" workbookViewId="0">
      <selection activeCell="A32" sqref="A32:E35"/>
    </sheetView>
  </sheetViews>
  <sheetFormatPr defaultRowHeight="14.4" x14ac:dyDescent="0.3"/>
  <sheetData>
    <row r="1" spans="1:9" x14ac:dyDescent="0.3">
      <c r="A1" t="s">
        <v>238</v>
      </c>
    </row>
    <row r="3" spans="1:9" x14ac:dyDescent="0.3">
      <c r="A3" t="s">
        <v>112</v>
      </c>
    </row>
    <row r="5" spans="1:9" x14ac:dyDescent="0.3">
      <c r="A5" t="s">
        <v>113</v>
      </c>
    </row>
    <row r="6" spans="1:9" x14ac:dyDescent="0.3">
      <c r="A6" t="s">
        <v>114</v>
      </c>
    </row>
    <row r="8" spans="1:9" s="9" customFormat="1" x14ac:dyDescent="0.3"/>
    <row r="9" spans="1:9" x14ac:dyDescent="0.3">
      <c r="A9" t="s">
        <v>220</v>
      </c>
      <c r="G9" t="s">
        <v>240</v>
      </c>
      <c r="I9" t="s">
        <v>241</v>
      </c>
    </row>
    <row r="13" spans="1:9" x14ac:dyDescent="0.3">
      <c r="A13" t="s">
        <v>221</v>
      </c>
      <c r="H13" t="s">
        <v>226</v>
      </c>
    </row>
    <row r="14" spans="1:9" x14ac:dyDescent="0.3">
      <c r="A14" t="s">
        <v>20</v>
      </c>
      <c r="H14" t="s">
        <v>33</v>
      </c>
    </row>
    <row r="15" spans="1:9" x14ac:dyDescent="0.3">
      <c r="H15" t="s">
        <v>227</v>
      </c>
    </row>
    <row r="16" spans="1:9" x14ac:dyDescent="0.3">
      <c r="A16" t="s">
        <v>22</v>
      </c>
    </row>
    <row r="17" spans="1:12" x14ac:dyDescent="0.3">
      <c r="H17" t="s">
        <v>44</v>
      </c>
      <c r="I17" t="s">
        <v>228</v>
      </c>
    </row>
    <row r="18" spans="1:12" x14ac:dyDescent="0.3">
      <c r="A18" t="s">
        <v>27</v>
      </c>
    </row>
    <row r="21" spans="1:12" x14ac:dyDescent="0.3">
      <c r="A21" t="s">
        <v>222</v>
      </c>
    </row>
    <row r="22" spans="1:12" x14ac:dyDescent="0.3">
      <c r="H22" t="s">
        <v>67</v>
      </c>
    </row>
    <row r="23" spans="1:12" x14ac:dyDescent="0.3">
      <c r="H23" t="s">
        <v>229</v>
      </c>
      <c r="L23" t="s">
        <v>68</v>
      </c>
    </row>
    <row r="24" spans="1:12" x14ac:dyDescent="0.3">
      <c r="H24" t="s">
        <v>78</v>
      </c>
    </row>
    <row r="25" spans="1:12" x14ac:dyDescent="0.3">
      <c r="A25" t="s">
        <v>223</v>
      </c>
    </row>
    <row r="26" spans="1:12" x14ac:dyDescent="0.3">
      <c r="G26" t="s">
        <v>230</v>
      </c>
    </row>
    <row r="27" spans="1:12" x14ac:dyDescent="0.3">
      <c r="G27" t="s">
        <v>231</v>
      </c>
    </row>
    <row r="29" spans="1:12" x14ac:dyDescent="0.3">
      <c r="G29" t="s">
        <v>233</v>
      </c>
    </row>
    <row r="30" spans="1:12" x14ac:dyDescent="0.3">
      <c r="G30" t="s">
        <v>232</v>
      </c>
    </row>
    <row r="32" spans="1:12" x14ac:dyDescent="0.3">
      <c r="A32" t="s">
        <v>224</v>
      </c>
    </row>
    <row r="33" spans="1:1" x14ac:dyDescent="0.3">
      <c r="A33" t="s">
        <v>225</v>
      </c>
    </row>
    <row r="35" spans="1:1" x14ac:dyDescent="0.3">
      <c r="A35" t="s">
        <v>234</v>
      </c>
    </row>
    <row r="37" spans="1:1" x14ac:dyDescent="0.3">
      <c r="A37" t="s">
        <v>235</v>
      </c>
    </row>
    <row r="40" spans="1:1" x14ac:dyDescent="0.3">
      <c r="A40" t="s">
        <v>236</v>
      </c>
    </row>
    <row r="42" spans="1:1" x14ac:dyDescent="0.3">
      <c r="A42" t="s">
        <v>239</v>
      </c>
    </row>
    <row r="44" spans="1:1" x14ac:dyDescent="0.3">
      <c r="A44" t="s">
        <v>237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3"/>
  <dimension ref="A1:Z46"/>
  <sheetViews>
    <sheetView topLeftCell="A4" workbookViewId="0">
      <selection activeCell="L13" sqref="L13"/>
    </sheetView>
  </sheetViews>
  <sheetFormatPr defaultRowHeight="14.4" x14ac:dyDescent="0.3"/>
  <sheetData>
    <row r="1" spans="1:14" x14ac:dyDescent="0.3">
      <c r="A1" t="s">
        <v>238</v>
      </c>
    </row>
    <row r="3" spans="1:14" x14ac:dyDescent="0.3">
      <c r="A3" t="s">
        <v>113</v>
      </c>
    </row>
    <row r="4" spans="1:14" x14ac:dyDescent="0.3">
      <c r="A4" t="s">
        <v>114</v>
      </c>
    </row>
    <row r="6" spans="1:14" s="9" customFormat="1" x14ac:dyDescent="0.3"/>
    <row r="7" spans="1:14" x14ac:dyDescent="0.3">
      <c r="A7" t="s">
        <v>245</v>
      </c>
      <c r="N7" t="s">
        <v>263</v>
      </c>
    </row>
    <row r="8" spans="1:14" x14ac:dyDescent="0.3">
      <c r="A8" t="s">
        <v>242</v>
      </c>
      <c r="E8" t="s">
        <v>243</v>
      </c>
      <c r="G8" t="s">
        <v>244</v>
      </c>
    </row>
    <row r="10" spans="1:14" x14ac:dyDescent="0.3">
      <c r="A10" t="s">
        <v>246</v>
      </c>
    </row>
    <row r="11" spans="1:14" x14ac:dyDescent="0.3">
      <c r="A11" t="s">
        <v>247</v>
      </c>
    </row>
    <row r="13" spans="1:14" x14ac:dyDescent="0.3">
      <c r="A13" t="s">
        <v>221</v>
      </c>
      <c r="H13" t="s">
        <v>226</v>
      </c>
    </row>
    <row r="14" spans="1:14" x14ac:dyDescent="0.3">
      <c r="A14" t="s">
        <v>259</v>
      </c>
      <c r="H14" t="s">
        <v>33</v>
      </c>
    </row>
    <row r="15" spans="1:14" x14ac:dyDescent="0.3">
      <c r="H15" t="s">
        <v>227</v>
      </c>
    </row>
    <row r="16" spans="1:14" x14ac:dyDescent="0.3">
      <c r="A16" t="s">
        <v>22</v>
      </c>
    </row>
    <row r="17" spans="1:12" x14ac:dyDescent="0.3">
      <c r="H17" t="s">
        <v>44</v>
      </c>
      <c r="I17" t="s">
        <v>228</v>
      </c>
    </row>
    <row r="18" spans="1:12" x14ac:dyDescent="0.3">
      <c r="A18" t="s">
        <v>27</v>
      </c>
    </row>
    <row r="21" spans="1:12" x14ac:dyDescent="0.3">
      <c r="A21" t="s">
        <v>222</v>
      </c>
    </row>
    <row r="22" spans="1:12" x14ac:dyDescent="0.3">
      <c r="H22" t="s">
        <v>67</v>
      </c>
    </row>
    <row r="23" spans="1:12" x14ac:dyDescent="0.3">
      <c r="H23" t="s">
        <v>229</v>
      </c>
      <c r="L23" t="s">
        <v>68</v>
      </c>
    </row>
    <row r="24" spans="1:12" x14ac:dyDescent="0.3">
      <c r="H24" t="s">
        <v>78</v>
      </c>
    </row>
    <row r="25" spans="1:12" x14ac:dyDescent="0.3">
      <c r="A25" t="s">
        <v>223</v>
      </c>
    </row>
    <row r="26" spans="1:12" x14ac:dyDescent="0.3">
      <c r="G26" t="s">
        <v>230</v>
      </c>
    </row>
    <row r="27" spans="1:12" x14ac:dyDescent="0.3">
      <c r="G27" t="s">
        <v>231</v>
      </c>
    </row>
    <row r="29" spans="1:12" x14ac:dyDescent="0.3">
      <c r="G29" t="s">
        <v>233</v>
      </c>
    </row>
    <row r="30" spans="1:12" x14ac:dyDescent="0.3">
      <c r="G30" t="s">
        <v>232</v>
      </c>
    </row>
    <row r="32" spans="1:12" x14ac:dyDescent="0.3">
      <c r="A32" t="s">
        <v>224</v>
      </c>
      <c r="I32" t="s">
        <v>189</v>
      </c>
    </row>
    <row r="33" spans="1:26" x14ac:dyDescent="0.3">
      <c r="A33" t="s">
        <v>225</v>
      </c>
      <c r="I33" t="s">
        <v>248</v>
      </c>
      <c r="K33" t="s">
        <v>249</v>
      </c>
    </row>
    <row r="34" spans="1:26" x14ac:dyDescent="0.3">
      <c r="I34" t="s">
        <v>250</v>
      </c>
    </row>
    <row r="35" spans="1:26" x14ac:dyDescent="0.3">
      <c r="A35" t="s">
        <v>234</v>
      </c>
      <c r="I35" t="s">
        <v>251</v>
      </c>
    </row>
    <row r="36" spans="1:26" x14ac:dyDescent="0.3">
      <c r="I36" t="s">
        <v>252</v>
      </c>
    </row>
    <row r="37" spans="1:26" x14ac:dyDescent="0.3">
      <c r="A37" t="s">
        <v>235</v>
      </c>
      <c r="I37" t="s">
        <v>253</v>
      </c>
      <c r="Q37" t="s">
        <v>254</v>
      </c>
      <c r="Z37" t="s">
        <v>262</v>
      </c>
    </row>
    <row r="38" spans="1:26" x14ac:dyDescent="0.3">
      <c r="I38" t="s">
        <v>255</v>
      </c>
      <c r="K38" t="s">
        <v>257</v>
      </c>
    </row>
    <row r="39" spans="1:26" s="9" customFormat="1" x14ac:dyDescent="0.3">
      <c r="I39" s="9" t="s">
        <v>256</v>
      </c>
      <c r="K39" s="9" t="s">
        <v>258</v>
      </c>
      <c r="Z39" s="9">
        <v>5</v>
      </c>
    </row>
    <row r="40" spans="1:26" x14ac:dyDescent="0.3">
      <c r="A40" t="s">
        <v>236</v>
      </c>
    </row>
    <row r="42" spans="1:26" x14ac:dyDescent="0.3">
      <c r="A42" t="s">
        <v>260</v>
      </c>
    </row>
    <row r="43" spans="1:26" x14ac:dyDescent="0.3">
      <c r="A43" t="s">
        <v>261</v>
      </c>
    </row>
    <row r="44" spans="1:26" x14ac:dyDescent="0.3">
      <c r="A44" t="s">
        <v>239</v>
      </c>
    </row>
    <row r="46" spans="1:26" x14ac:dyDescent="0.3">
      <c r="A46" t="s">
        <v>237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/>
  <dimension ref="A2:M45"/>
  <sheetViews>
    <sheetView topLeftCell="A27" workbookViewId="0">
      <selection activeCell="A9" sqref="A9:P46"/>
    </sheetView>
  </sheetViews>
  <sheetFormatPr defaultRowHeight="14.4" x14ac:dyDescent="0.3"/>
  <sheetData>
    <row r="2" spans="1:13" x14ac:dyDescent="0.3">
      <c r="A2" t="s">
        <v>264</v>
      </c>
    </row>
    <row r="3" spans="1:13" x14ac:dyDescent="0.3">
      <c r="A3" t="s">
        <v>265</v>
      </c>
    </row>
    <row r="4" spans="1:13" x14ac:dyDescent="0.3">
      <c r="M4">
        <v>1</v>
      </c>
    </row>
    <row r="5" spans="1:13" x14ac:dyDescent="0.3">
      <c r="A5" t="s">
        <v>266</v>
      </c>
      <c r="K5">
        <f>VLOOKUP(L5,M4:M5,1,TRUE)</f>
        <v>1</v>
      </c>
      <c r="L5">
        <v>2</v>
      </c>
      <c r="M5">
        <v>3</v>
      </c>
    </row>
    <row r="7" spans="1:13" x14ac:dyDescent="0.3">
      <c r="A7" t="s">
        <v>277</v>
      </c>
    </row>
    <row r="9" spans="1:13" x14ac:dyDescent="0.3">
      <c r="A9" s="12" t="s">
        <v>0</v>
      </c>
    </row>
    <row r="10" spans="1:13" x14ac:dyDescent="0.3">
      <c r="A10" t="s">
        <v>267</v>
      </c>
      <c r="G10" t="s">
        <v>268</v>
      </c>
    </row>
    <row r="11" spans="1:13" x14ac:dyDescent="0.3">
      <c r="B11" t="s">
        <v>269</v>
      </c>
      <c r="E11" t="s">
        <v>270</v>
      </c>
    </row>
    <row r="13" spans="1:13" x14ac:dyDescent="0.3">
      <c r="B13" t="s">
        <v>271</v>
      </c>
    </row>
    <row r="16" spans="1:13" x14ac:dyDescent="0.3">
      <c r="A16" t="s">
        <v>272</v>
      </c>
    </row>
    <row r="18" spans="1:7" x14ac:dyDescent="0.3">
      <c r="A18" t="s">
        <v>273</v>
      </c>
    </row>
    <row r="20" spans="1:7" x14ac:dyDescent="0.3">
      <c r="A20" s="12" t="s">
        <v>23</v>
      </c>
    </row>
    <row r="21" spans="1:7" x14ac:dyDescent="0.3">
      <c r="A21" t="s">
        <v>248</v>
      </c>
      <c r="C21" t="s">
        <v>30</v>
      </c>
    </row>
    <row r="22" spans="1:7" x14ac:dyDescent="0.3">
      <c r="A22" t="s">
        <v>274</v>
      </c>
    </row>
    <row r="24" spans="1:7" x14ac:dyDescent="0.3">
      <c r="A24" t="s">
        <v>31</v>
      </c>
      <c r="D24" t="s">
        <v>43</v>
      </c>
      <c r="G24" t="s">
        <v>42</v>
      </c>
    </row>
    <row r="26" spans="1:7" x14ac:dyDescent="0.3">
      <c r="A26" t="s">
        <v>47</v>
      </c>
    </row>
    <row r="28" spans="1:7" x14ac:dyDescent="0.3">
      <c r="A28" s="12" t="s">
        <v>69</v>
      </c>
    </row>
    <row r="29" spans="1:7" x14ac:dyDescent="0.3">
      <c r="A29" t="s">
        <v>98</v>
      </c>
      <c r="E29" t="s">
        <v>99</v>
      </c>
    </row>
    <row r="31" spans="1:7" x14ac:dyDescent="0.3">
      <c r="A31" t="s">
        <v>102</v>
      </c>
      <c r="E31" t="s">
        <v>103</v>
      </c>
      <c r="G31" t="s">
        <v>104</v>
      </c>
    </row>
    <row r="33" spans="1:8" x14ac:dyDescent="0.3">
      <c r="A33" t="s">
        <v>78</v>
      </c>
      <c r="E33" t="s">
        <v>79</v>
      </c>
    </row>
    <row r="35" spans="1:8" x14ac:dyDescent="0.3">
      <c r="A35" t="s">
        <v>275</v>
      </c>
    </row>
    <row r="37" spans="1:8" x14ac:dyDescent="0.3">
      <c r="A37" s="12" t="s">
        <v>83</v>
      </c>
    </row>
    <row r="38" spans="1:8" x14ac:dyDescent="0.3">
      <c r="A38" t="s">
        <v>92</v>
      </c>
      <c r="D38" t="s">
        <v>93</v>
      </c>
      <c r="H38" t="s">
        <v>94</v>
      </c>
    </row>
    <row r="40" spans="1:8" x14ac:dyDescent="0.3">
      <c r="A40" t="s">
        <v>96</v>
      </c>
    </row>
    <row r="42" spans="1:8" x14ac:dyDescent="0.3">
      <c r="A42" t="s">
        <v>276</v>
      </c>
    </row>
    <row r="45" spans="1:8" x14ac:dyDescent="0.3">
      <c r="A45" t="s">
        <v>278</v>
      </c>
      <c r="C45" t="s">
        <v>279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/>
  <dimension ref="A2:H53"/>
  <sheetViews>
    <sheetView topLeftCell="A25" workbookViewId="0">
      <selection activeCell="J26" sqref="J26"/>
    </sheetView>
  </sheetViews>
  <sheetFormatPr defaultRowHeight="14.4" x14ac:dyDescent="0.3"/>
  <sheetData>
    <row r="2" spans="1:7" x14ac:dyDescent="0.3">
      <c r="A2" t="s">
        <v>280</v>
      </c>
    </row>
    <row r="4" spans="1:7" x14ac:dyDescent="0.3">
      <c r="A4" t="s">
        <v>281</v>
      </c>
    </row>
    <row r="6" spans="1:7" x14ac:dyDescent="0.3">
      <c r="A6" t="s">
        <v>282</v>
      </c>
    </row>
    <row r="9" spans="1:7" x14ac:dyDescent="0.3">
      <c r="A9" s="12" t="s">
        <v>0</v>
      </c>
    </row>
    <row r="10" spans="1:7" x14ac:dyDescent="0.3">
      <c r="A10" t="s">
        <v>267</v>
      </c>
      <c r="G10" t="s">
        <v>268</v>
      </c>
    </row>
    <row r="11" spans="1:7" x14ac:dyDescent="0.3">
      <c r="B11" t="s">
        <v>269</v>
      </c>
      <c r="E11" t="s">
        <v>270</v>
      </c>
    </row>
    <row r="13" spans="1:7" x14ac:dyDescent="0.3">
      <c r="B13" t="s">
        <v>271</v>
      </c>
    </row>
    <row r="16" spans="1:7" x14ac:dyDescent="0.3">
      <c r="A16" t="s">
        <v>272</v>
      </c>
    </row>
    <row r="18" spans="1:8" x14ac:dyDescent="0.3">
      <c r="A18" t="s">
        <v>24</v>
      </c>
      <c r="C18" t="s">
        <v>25</v>
      </c>
      <c r="F18" t="s">
        <v>26</v>
      </c>
    </row>
    <row r="20" spans="1:8" x14ac:dyDescent="0.3">
      <c r="A20" t="s">
        <v>5</v>
      </c>
      <c r="C20" t="s">
        <v>6</v>
      </c>
      <c r="E20" s="1"/>
      <c r="F20" s="1"/>
      <c r="G20" s="1"/>
      <c r="H20" s="1"/>
    </row>
    <row r="21" spans="1:8" x14ac:dyDescent="0.3">
      <c r="C21" t="s">
        <v>7</v>
      </c>
      <c r="E21" s="1"/>
      <c r="F21" s="1" t="s">
        <v>8</v>
      </c>
      <c r="G21" s="1" t="s">
        <v>9</v>
      </c>
      <c r="H21" s="1" t="s">
        <v>10</v>
      </c>
    </row>
    <row r="23" spans="1:8" x14ac:dyDescent="0.3">
      <c r="A23" t="s">
        <v>273</v>
      </c>
    </row>
    <row r="25" spans="1:8" x14ac:dyDescent="0.3">
      <c r="A25" s="12" t="s">
        <v>23</v>
      </c>
    </row>
    <row r="26" spans="1:8" x14ac:dyDescent="0.3">
      <c r="A26" t="s">
        <v>248</v>
      </c>
      <c r="C26" t="s">
        <v>30</v>
      </c>
    </row>
    <row r="27" spans="1:8" x14ac:dyDescent="0.3">
      <c r="A27" t="s">
        <v>274</v>
      </c>
    </row>
    <row r="29" spans="1:8" x14ac:dyDescent="0.3">
      <c r="A29" t="s">
        <v>283</v>
      </c>
    </row>
    <row r="31" spans="1:8" x14ac:dyDescent="0.3">
      <c r="A31" t="s">
        <v>31</v>
      </c>
      <c r="D31" t="s">
        <v>43</v>
      </c>
      <c r="G31" t="s">
        <v>42</v>
      </c>
    </row>
    <row r="33" spans="1:8" x14ac:dyDescent="0.3">
      <c r="A33" t="s">
        <v>47</v>
      </c>
    </row>
    <row r="35" spans="1:8" x14ac:dyDescent="0.3">
      <c r="A35" s="12" t="s">
        <v>69</v>
      </c>
    </row>
    <row r="36" spans="1:8" x14ac:dyDescent="0.3">
      <c r="A36" t="s">
        <v>98</v>
      </c>
      <c r="E36" t="s">
        <v>99</v>
      </c>
    </row>
    <row r="38" spans="1:8" x14ac:dyDescent="0.3">
      <c r="A38" t="s">
        <v>102</v>
      </c>
      <c r="E38" t="s">
        <v>103</v>
      </c>
      <c r="G38" t="s">
        <v>104</v>
      </c>
    </row>
    <row r="40" spans="1:8" x14ac:dyDescent="0.3">
      <c r="A40" t="s">
        <v>78</v>
      </c>
      <c r="E40" t="s">
        <v>79</v>
      </c>
    </row>
    <row r="42" spans="1:8" x14ac:dyDescent="0.3">
      <c r="A42" t="s">
        <v>275</v>
      </c>
    </row>
    <row r="44" spans="1:8" x14ac:dyDescent="0.3">
      <c r="A44" s="12" t="s">
        <v>83</v>
      </c>
    </row>
    <row r="45" spans="1:8" x14ac:dyDescent="0.3">
      <c r="A45" t="s">
        <v>92</v>
      </c>
      <c r="D45" t="s">
        <v>93</v>
      </c>
      <c r="H45" t="s">
        <v>94</v>
      </c>
    </row>
    <row r="47" spans="1:8" x14ac:dyDescent="0.3">
      <c r="A47" t="s">
        <v>96</v>
      </c>
    </row>
    <row r="49" spans="1:3" x14ac:dyDescent="0.3">
      <c r="A49" t="s">
        <v>284</v>
      </c>
    </row>
    <row r="51" spans="1:3" x14ac:dyDescent="0.3">
      <c r="A51" t="s">
        <v>285</v>
      </c>
    </row>
    <row r="53" spans="1:3" x14ac:dyDescent="0.3">
      <c r="A53" t="s">
        <v>278</v>
      </c>
      <c r="C53" t="s">
        <v>279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6"/>
  <dimension ref="A2:H56"/>
  <sheetViews>
    <sheetView topLeftCell="A31" workbookViewId="0">
      <selection activeCell="H65" sqref="A1:XFD1048576"/>
    </sheetView>
  </sheetViews>
  <sheetFormatPr defaultRowHeight="14.4" x14ac:dyDescent="0.3"/>
  <sheetData>
    <row r="2" spans="1:7" x14ac:dyDescent="0.3">
      <c r="A2" t="s">
        <v>286</v>
      </c>
    </row>
    <row r="4" spans="1:7" x14ac:dyDescent="0.3">
      <c r="A4" t="s">
        <v>287</v>
      </c>
    </row>
    <row r="6" spans="1:7" x14ac:dyDescent="0.3">
      <c r="A6" t="s">
        <v>288</v>
      </c>
    </row>
    <row r="9" spans="1:7" x14ac:dyDescent="0.3">
      <c r="A9" s="12" t="s">
        <v>0</v>
      </c>
    </row>
    <row r="10" spans="1:7" x14ac:dyDescent="0.3">
      <c r="A10" t="s">
        <v>267</v>
      </c>
      <c r="G10" t="s">
        <v>268</v>
      </c>
    </row>
    <row r="11" spans="1:7" x14ac:dyDescent="0.3">
      <c r="B11" t="s">
        <v>269</v>
      </c>
      <c r="E11" t="s">
        <v>270</v>
      </c>
    </row>
    <row r="13" spans="1:7" x14ac:dyDescent="0.3">
      <c r="B13" t="s">
        <v>271</v>
      </c>
    </row>
    <row r="16" spans="1:7" x14ac:dyDescent="0.3">
      <c r="A16" t="s">
        <v>289</v>
      </c>
    </row>
    <row r="18" spans="1:8" x14ac:dyDescent="0.3">
      <c r="A18" t="s">
        <v>24</v>
      </c>
      <c r="C18" t="s">
        <v>25</v>
      </c>
      <c r="F18" t="s">
        <v>26</v>
      </c>
    </row>
    <row r="20" spans="1:8" x14ac:dyDescent="0.3">
      <c r="A20" t="s">
        <v>5</v>
      </c>
      <c r="C20" t="s">
        <v>6</v>
      </c>
      <c r="E20" s="1"/>
      <c r="F20" s="1"/>
      <c r="G20" s="1"/>
      <c r="H20" s="1"/>
    </row>
    <row r="21" spans="1:8" x14ac:dyDescent="0.3">
      <c r="C21" t="s">
        <v>7</v>
      </c>
      <c r="E21" s="1"/>
      <c r="F21" s="1" t="s">
        <v>8</v>
      </c>
      <c r="G21" s="1" t="s">
        <v>9</v>
      </c>
      <c r="H21" s="1" t="s">
        <v>10</v>
      </c>
    </row>
    <row r="23" spans="1:8" x14ac:dyDescent="0.3">
      <c r="A23" t="s">
        <v>273</v>
      </c>
    </row>
    <row r="25" spans="1:8" x14ac:dyDescent="0.3">
      <c r="A25" s="12" t="s">
        <v>23</v>
      </c>
    </row>
    <row r="26" spans="1:8" x14ac:dyDescent="0.3">
      <c r="A26" t="s">
        <v>248</v>
      </c>
      <c r="C26" t="s">
        <v>30</v>
      </c>
    </row>
    <row r="27" spans="1:8" x14ac:dyDescent="0.3">
      <c r="A27" t="s">
        <v>290</v>
      </c>
      <c r="B27" t="s">
        <v>291</v>
      </c>
    </row>
    <row r="29" spans="1:8" x14ac:dyDescent="0.3">
      <c r="A29" t="s">
        <v>283</v>
      </c>
    </row>
    <row r="31" spans="1:8" x14ac:dyDescent="0.3">
      <c r="A31" t="s">
        <v>31</v>
      </c>
      <c r="D31" t="s">
        <v>43</v>
      </c>
      <c r="G31" t="s">
        <v>42</v>
      </c>
    </row>
    <row r="33" spans="1:8" x14ac:dyDescent="0.3">
      <c r="A33" t="s">
        <v>47</v>
      </c>
    </row>
    <row r="35" spans="1:8" x14ac:dyDescent="0.3">
      <c r="A35" s="12" t="s">
        <v>69</v>
      </c>
    </row>
    <row r="36" spans="1:8" x14ac:dyDescent="0.3">
      <c r="A36" t="s">
        <v>98</v>
      </c>
      <c r="E36" t="s">
        <v>99</v>
      </c>
    </row>
    <row r="38" spans="1:8" x14ac:dyDescent="0.3">
      <c r="A38" t="s">
        <v>102</v>
      </c>
      <c r="E38" t="s">
        <v>103</v>
      </c>
      <c r="G38" t="s">
        <v>104</v>
      </c>
    </row>
    <row r="40" spans="1:8" x14ac:dyDescent="0.3">
      <c r="A40" t="s">
        <v>78</v>
      </c>
      <c r="E40" t="s">
        <v>79</v>
      </c>
    </row>
    <row r="42" spans="1:8" x14ac:dyDescent="0.3">
      <c r="A42" t="s">
        <v>275</v>
      </c>
    </row>
    <row r="44" spans="1:8" x14ac:dyDescent="0.3">
      <c r="A44" s="12" t="s">
        <v>83</v>
      </c>
    </row>
    <row r="45" spans="1:8" x14ac:dyDescent="0.3">
      <c r="A45" t="s">
        <v>92</v>
      </c>
      <c r="D45" t="s">
        <v>93</v>
      </c>
      <c r="H45" t="s">
        <v>94</v>
      </c>
    </row>
    <row r="47" spans="1:8" x14ac:dyDescent="0.3">
      <c r="A47" t="s">
        <v>96</v>
      </c>
    </row>
    <row r="49" spans="1:6" x14ac:dyDescent="0.3">
      <c r="A49" t="s">
        <v>284</v>
      </c>
    </row>
    <row r="51" spans="1:6" x14ac:dyDescent="0.3">
      <c r="A51" t="s">
        <v>285</v>
      </c>
    </row>
    <row r="53" spans="1:6" x14ac:dyDescent="0.3">
      <c r="A53" t="s">
        <v>278</v>
      </c>
      <c r="C53" t="s">
        <v>279</v>
      </c>
    </row>
    <row r="56" spans="1:6" x14ac:dyDescent="0.3">
      <c r="F56" t="s">
        <v>292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7"/>
  <dimension ref="A1:I63"/>
  <sheetViews>
    <sheetView topLeftCell="A28" workbookViewId="0">
      <selection activeCell="A10" sqref="A10:W61"/>
    </sheetView>
  </sheetViews>
  <sheetFormatPr defaultRowHeight="14.4" x14ac:dyDescent="0.3"/>
  <sheetData>
    <row r="1" spans="1:8" x14ac:dyDescent="0.3">
      <c r="A1" t="s">
        <v>304</v>
      </c>
      <c r="C1" t="s">
        <v>309</v>
      </c>
      <c r="E1" t="s">
        <v>305</v>
      </c>
      <c r="H1" t="s">
        <v>306</v>
      </c>
    </row>
    <row r="3" spans="1:8" x14ac:dyDescent="0.3">
      <c r="A3" t="s">
        <v>293</v>
      </c>
      <c r="D3" t="s">
        <v>308</v>
      </c>
    </row>
    <row r="5" spans="1:8" x14ac:dyDescent="0.3">
      <c r="A5" t="s">
        <v>303</v>
      </c>
      <c r="E5" t="s">
        <v>307</v>
      </c>
    </row>
    <row r="7" spans="1:8" x14ac:dyDescent="0.3">
      <c r="A7" t="s">
        <v>294</v>
      </c>
    </row>
    <row r="10" spans="1:8" x14ac:dyDescent="0.3">
      <c r="A10" s="12" t="s">
        <v>0</v>
      </c>
    </row>
    <row r="11" spans="1:8" x14ac:dyDescent="0.3">
      <c r="A11" t="s">
        <v>267</v>
      </c>
      <c r="G11" t="s">
        <v>268</v>
      </c>
    </row>
    <row r="12" spans="1:8" x14ac:dyDescent="0.3">
      <c r="B12" t="s">
        <v>269</v>
      </c>
      <c r="E12" t="s">
        <v>270</v>
      </c>
    </row>
    <row r="14" spans="1:8" x14ac:dyDescent="0.3">
      <c r="B14" t="s">
        <v>271</v>
      </c>
    </row>
    <row r="17" spans="1:9" x14ac:dyDescent="0.3">
      <c r="A17" t="s">
        <v>289</v>
      </c>
    </row>
    <row r="19" spans="1:9" x14ac:dyDescent="0.3">
      <c r="A19" t="s">
        <v>295</v>
      </c>
    </row>
    <row r="21" spans="1:9" x14ac:dyDescent="0.3">
      <c r="A21" t="s">
        <v>273</v>
      </c>
    </row>
    <row r="23" spans="1:9" x14ac:dyDescent="0.3">
      <c r="A23" s="12" t="s">
        <v>23</v>
      </c>
    </row>
    <row r="24" spans="1:9" x14ac:dyDescent="0.3">
      <c r="A24" t="s">
        <v>248</v>
      </c>
      <c r="C24" t="s">
        <v>30</v>
      </c>
      <c r="I24" t="s">
        <v>310</v>
      </c>
    </row>
    <row r="25" spans="1:9" x14ac:dyDescent="0.3">
      <c r="A25" t="s">
        <v>290</v>
      </c>
      <c r="B25" t="s">
        <v>291</v>
      </c>
    </row>
    <row r="27" spans="1:9" x14ac:dyDescent="0.3">
      <c r="A27" t="s">
        <v>283</v>
      </c>
    </row>
    <row r="29" spans="1:9" x14ac:dyDescent="0.3">
      <c r="A29" t="s">
        <v>43</v>
      </c>
      <c r="D29" t="s">
        <v>42</v>
      </c>
    </row>
    <row r="31" spans="1:9" x14ac:dyDescent="0.3">
      <c r="A31" t="s">
        <v>47</v>
      </c>
    </row>
    <row r="33" spans="1:8" x14ac:dyDescent="0.3">
      <c r="A33" s="12" t="s">
        <v>69</v>
      </c>
    </row>
    <row r="34" spans="1:8" x14ac:dyDescent="0.3">
      <c r="A34" t="s">
        <v>98</v>
      </c>
      <c r="E34" t="s">
        <v>99</v>
      </c>
    </row>
    <row r="36" spans="1:8" x14ac:dyDescent="0.3">
      <c r="A36" t="s">
        <v>102</v>
      </c>
      <c r="E36" t="s">
        <v>103</v>
      </c>
      <c r="G36" t="s">
        <v>104</v>
      </c>
    </row>
    <row r="38" spans="1:8" x14ac:dyDescent="0.3">
      <c r="A38" t="s">
        <v>78</v>
      </c>
      <c r="E38" t="s">
        <v>79</v>
      </c>
    </row>
    <row r="40" spans="1:8" x14ac:dyDescent="0.3">
      <c r="A40" t="s">
        <v>275</v>
      </c>
      <c r="E40" t="s">
        <v>302</v>
      </c>
    </row>
    <row r="42" spans="1:8" x14ac:dyDescent="0.3">
      <c r="A42" s="12" t="s">
        <v>83</v>
      </c>
    </row>
    <row r="43" spans="1:8" x14ac:dyDescent="0.3">
      <c r="A43" t="s">
        <v>92</v>
      </c>
      <c r="D43" t="s">
        <v>93</v>
      </c>
      <c r="H43" t="s">
        <v>94</v>
      </c>
    </row>
    <row r="45" spans="1:8" x14ac:dyDescent="0.3">
      <c r="A45" t="s">
        <v>96</v>
      </c>
    </row>
    <row r="47" spans="1:8" x14ac:dyDescent="0.3">
      <c r="A47" t="s">
        <v>296</v>
      </c>
    </row>
    <row r="49" spans="1:8" x14ac:dyDescent="0.3">
      <c r="A49" t="s">
        <v>285</v>
      </c>
    </row>
    <row r="51" spans="1:8" x14ac:dyDescent="0.3">
      <c r="A51" t="s">
        <v>297</v>
      </c>
    </row>
    <row r="52" spans="1:8" x14ac:dyDescent="0.3">
      <c r="B52" t="s">
        <v>298</v>
      </c>
    </row>
    <row r="54" spans="1:8" x14ac:dyDescent="0.3">
      <c r="A54" s="12" t="s">
        <v>224</v>
      </c>
    </row>
    <row r="55" spans="1:8" x14ac:dyDescent="0.3">
      <c r="A55" t="s">
        <v>225</v>
      </c>
    </row>
    <row r="57" spans="1:8" x14ac:dyDescent="0.3">
      <c r="A57" t="s">
        <v>234</v>
      </c>
    </row>
    <row r="59" spans="1:8" x14ac:dyDescent="0.3">
      <c r="A59" t="s">
        <v>299</v>
      </c>
    </row>
    <row r="61" spans="1:8" x14ac:dyDescent="0.3">
      <c r="A61" t="s">
        <v>301</v>
      </c>
      <c r="H61" s="13" t="s">
        <v>300</v>
      </c>
    </row>
    <row r="63" spans="1:8" x14ac:dyDescent="0.3">
      <c r="A63" t="s">
        <v>278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8"/>
  <dimension ref="A1:I6"/>
  <sheetViews>
    <sheetView workbookViewId="0">
      <selection activeCell="J18" sqref="J18"/>
    </sheetView>
  </sheetViews>
  <sheetFormatPr defaultRowHeight="14.4" x14ac:dyDescent="0.3"/>
  <cols>
    <col min="4" max="4" width="10.109375" customWidth="1"/>
  </cols>
  <sheetData>
    <row r="1" spans="1:9" x14ac:dyDescent="0.3">
      <c r="A1" t="s">
        <v>215</v>
      </c>
      <c r="I1" t="s">
        <v>216</v>
      </c>
    </row>
    <row r="3" spans="1:9" x14ac:dyDescent="0.3">
      <c r="A3" t="s">
        <v>217</v>
      </c>
    </row>
    <row r="5" spans="1:9" x14ac:dyDescent="0.3">
      <c r="A5" t="s">
        <v>218</v>
      </c>
    </row>
    <row r="6" spans="1:9" x14ac:dyDescent="0.3">
      <c r="A6" t="s">
        <v>219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2:T75"/>
  <sheetViews>
    <sheetView workbookViewId="0">
      <selection activeCell="E80" sqref="E80"/>
    </sheetView>
  </sheetViews>
  <sheetFormatPr defaultRowHeight="14.4" x14ac:dyDescent="0.3"/>
  <sheetData>
    <row r="2" spans="2:20" x14ac:dyDescent="0.3">
      <c r="B2" t="s">
        <v>311</v>
      </c>
    </row>
    <row r="3" spans="2:20" x14ac:dyDescent="0.3">
      <c r="B3" t="s">
        <v>313</v>
      </c>
    </row>
    <row r="4" spans="2:20" x14ac:dyDescent="0.3">
      <c r="B4" t="s">
        <v>312</v>
      </c>
    </row>
    <row r="6" spans="2:20" x14ac:dyDescent="0.3">
      <c r="B6" t="s">
        <v>314</v>
      </c>
    </row>
    <row r="8" spans="2:20" x14ac:dyDescent="0.3">
      <c r="H8">
        <v>2019</v>
      </c>
    </row>
    <row r="9" spans="2:20" x14ac:dyDescent="0.3">
      <c r="B9" t="s">
        <v>318</v>
      </c>
      <c r="E9" t="s">
        <v>319</v>
      </c>
      <c r="G9" t="s">
        <v>320</v>
      </c>
      <c r="K9" t="s">
        <v>332</v>
      </c>
    </row>
    <row r="11" spans="2:20" x14ac:dyDescent="0.3">
      <c r="B11" t="s">
        <v>321</v>
      </c>
    </row>
    <row r="13" spans="2:20" x14ac:dyDescent="0.3">
      <c r="B13" t="s">
        <v>322</v>
      </c>
      <c r="F13" t="s">
        <v>333</v>
      </c>
      <c r="J13" t="s">
        <v>334</v>
      </c>
      <c r="M13" t="s">
        <v>335</v>
      </c>
    </row>
    <row r="15" spans="2:20" x14ac:dyDescent="0.3">
      <c r="B15" t="s">
        <v>323</v>
      </c>
      <c r="J15" t="s">
        <v>336</v>
      </c>
      <c r="O15" t="s">
        <v>337</v>
      </c>
      <c r="R15" t="s">
        <v>223</v>
      </c>
      <c r="T15" t="s">
        <v>338</v>
      </c>
    </row>
    <row r="17" spans="1:11" x14ac:dyDescent="0.3">
      <c r="B17" t="s">
        <v>324</v>
      </c>
      <c r="K17" t="s">
        <v>339</v>
      </c>
    </row>
    <row r="20" spans="1:11" x14ac:dyDescent="0.3">
      <c r="A20" s="12" t="s">
        <v>0</v>
      </c>
    </row>
    <row r="21" spans="1:11" x14ac:dyDescent="0.3">
      <c r="A21" t="s">
        <v>267</v>
      </c>
      <c r="G21" t="s">
        <v>268</v>
      </c>
    </row>
    <row r="22" spans="1:11" x14ac:dyDescent="0.3">
      <c r="B22" t="s">
        <v>269</v>
      </c>
      <c r="E22" t="s">
        <v>270</v>
      </c>
    </row>
    <row r="24" spans="1:11" x14ac:dyDescent="0.3">
      <c r="B24" t="s">
        <v>271</v>
      </c>
    </row>
    <row r="27" spans="1:11" x14ac:dyDescent="0.3">
      <c r="A27" t="s">
        <v>289</v>
      </c>
    </row>
    <row r="29" spans="1:11" x14ac:dyDescent="0.3">
      <c r="A29" t="s">
        <v>295</v>
      </c>
    </row>
    <row r="31" spans="1:11" x14ac:dyDescent="0.3">
      <c r="A31" t="s">
        <v>273</v>
      </c>
    </row>
    <row r="33" spans="1:9" x14ac:dyDescent="0.3">
      <c r="A33" s="12" t="s">
        <v>23</v>
      </c>
    </row>
    <row r="34" spans="1:9" x14ac:dyDescent="0.3">
      <c r="A34" t="s">
        <v>248</v>
      </c>
      <c r="C34" t="s">
        <v>30</v>
      </c>
      <c r="I34" t="s">
        <v>310</v>
      </c>
    </row>
    <row r="35" spans="1:9" x14ac:dyDescent="0.3">
      <c r="A35" t="s">
        <v>290</v>
      </c>
      <c r="B35" t="s">
        <v>291</v>
      </c>
    </row>
    <row r="37" spans="1:9" x14ac:dyDescent="0.3">
      <c r="A37" t="s">
        <v>326</v>
      </c>
    </row>
    <row r="39" spans="1:9" x14ac:dyDescent="0.3">
      <c r="A39" t="s">
        <v>43</v>
      </c>
      <c r="D39" t="s">
        <v>42</v>
      </c>
    </row>
    <row r="41" spans="1:9" x14ac:dyDescent="0.3">
      <c r="A41" t="s">
        <v>47</v>
      </c>
    </row>
    <row r="43" spans="1:9" x14ac:dyDescent="0.3">
      <c r="A43" s="12" t="s">
        <v>69</v>
      </c>
    </row>
    <row r="44" spans="1:9" x14ac:dyDescent="0.3">
      <c r="A44" t="s">
        <v>98</v>
      </c>
      <c r="E44" t="s">
        <v>99</v>
      </c>
    </row>
    <row r="46" spans="1:9" x14ac:dyDescent="0.3">
      <c r="A46" t="s">
        <v>102</v>
      </c>
      <c r="E46" t="s">
        <v>103</v>
      </c>
      <c r="G46" t="s">
        <v>104</v>
      </c>
    </row>
    <row r="48" spans="1:9" x14ac:dyDescent="0.3">
      <c r="A48" t="s">
        <v>78</v>
      </c>
      <c r="E48" t="s">
        <v>79</v>
      </c>
    </row>
    <row r="50" spans="1:17" x14ac:dyDescent="0.3">
      <c r="A50" t="s">
        <v>275</v>
      </c>
      <c r="E50" t="s">
        <v>302</v>
      </c>
    </row>
    <row r="52" spans="1:17" x14ac:dyDescent="0.3">
      <c r="A52" s="12" t="s">
        <v>83</v>
      </c>
    </row>
    <row r="53" spans="1:17" x14ac:dyDescent="0.3">
      <c r="A53" t="s">
        <v>325</v>
      </c>
      <c r="L53" t="s">
        <v>93</v>
      </c>
      <c r="Q53" t="s">
        <v>94</v>
      </c>
    </row>
    <row r="55" spans="1:17" x14ac:dyDescent="0.3">
      <c r="A55" t="s">
        <v>96</v>
      </c>
    </row>
    <row r="57" spans="1:17" x14ac:dyDescent="0.3">
      <c r="A57" t="s">
        <v>296</v>
      </c>
    </row>
    <row r="59" spans="1:17" x14ac:dyDescent="0.3">
      <c r="A59" t="s">
        <v>285</v>
      </c>
    </row>
    <row r="61" spans="1:17" x14ac:dyDescent="0.3">
      <c r="A61" t="s">
        <v>297</v>
      </c>
    </row>
    <row r="62" spans="1:17" x14ac:dyDescent="0.3">
      <c r="B62" t="s">
        <v>298</v>
      </c>
    </row>
    <row r="64" spans="1:17" x14ac:dyDescent="0.3">
      <c r="A64" s="12" t="s">
        <v>224</v>
      </c>
    </row>
    <row r="65" spans="1:8" x14ac:dyDescent="0.3">
      <c r="A65" t="s">
        <v>225</v>
      </c>
    </row>
    <row r="67" spans="1:8" x14ac:dyDescent="0.3">
      <c r="A67" t="s">
        <v>234</v>
      </c>
    </row>
    <row r="69" spans="1:8" x14ac:dyDescent="0.3">
      <c r="A69" t="s">
        <v>299</v>
      </c>
    </row>
    <row r="71" spans="1:8" x14ac:dyDescent="0.3">
      <c r="A71" t="s">
        <v>301</v>
      </c>
      <c r="H71" s="13" t="s">
        <v>300</v>
      </c>
    </row>
    <row r="73" spans="1:8" x14ac:dyDescent="0.3">
      <c r="B73" t="s">
        <v>331</v>
      </c>
      <c r="D73" t="s">
        <v>340</v>
      </c>
    </row>
    <row r="74" spans="1:8" x14ac:dyDescent="0.3">
      <c r="B74" t="s">
        <v>341</v>
      </c>
      <c r="D74" t="s">
        <v>343</v>
      </c>
    </row>
    <row r="75" spans="1:8" x14ac:dyDescent="0.3">
      <c r="B75" t="s">
        <v>342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2:Q81"/>
  <sheetViews>
    <sheetView topLeftCell="A58" workbookViewId="0">
      <selection activeCell="C78" sqref="C78:D80"/>
    </sheetView>
  </sheetViews>
  <sheetFormatPr defaultRowHeight="14.4" x14ac:dyDescent="0.3"/>
  <sheetData>
    <row r="2" spans="2:15" x14ac:dyDescent="0.3">
      <c r="B2" t="s">
        <v>315</v>
      </c>
    </row>
    <row r="3" spans="2:15" x14ac:dyDescent="0.3">
      <c r="B3" t="s">
        <v>316</v>
      </c>
    </row>
    <row r="7" spans="2:15" x14ac:dyDescent="0.3">
      <c r="B7" t="s">
        <v>317</v>
      </c>
    </row>
    <row r="8" spans="2:15" x14ac:dyDescent="0.3">
      <c r="B8" t="s">
        <v>224</v>
      </c>
    </row>
    <row r="11" spans="2:15" x14ac:dyDescent="0.3">
      <c r="B11" t="s">
        <v>318</v>
      </c>
      <c r="E11" t="s">
        <v>346</v>
      </c>
      <c r="G11" t="s">
        <v>348</v>
      </c>
      <c r="O11" t="s">
        <v>349</v>
      </c>
    </row>
    <row r="13" spans="2:15" x14ac:dyDescent="0.3">
      <c r="B13" t="s">
        <v>327</v>
      </c>
    </row>
    <row r="15" spans="2:15" x14ac:dyDescent="0.3">
      <c r="B15" t="s">
        <v>329</v>
      </c>
      <c r="G15" t="s">
        <v>330</v>
      </c>
      <c r="L15" t="s">
        <v>345</v>
      </c>
    </row>
    <row r="17" spans="1:14" x14ac:dyDescent="0.3">
      <c r="B17" t="s">
        <v>328</v>
      </c>
    </row>
    <row r="19" spans="1:14" x14ac:dyDescent="0.3">
      <c r="B19" t="s">
        <v>323</v>
      </c>
      <c r="J19" t="s">
        <v>347</v>
      </c>
      <c r="N19" t="s">
        <v>351</v>
      </c>
    </row>
    <row r="21" spans="1:14" x14ac:dyDescent="0.3">
      <c r="A21" s="12" t="s">
        <v>0</v>
      </c>
    </row>
    <row r="22" spans="1:14" x14ac:dyDescent="0.3">
      <c r="A22" t="s">
        <v>267</v>
      </c>
      <c r="G22" t="s">
        <v>268</v>
      </c>
    </row>
    <row r="23" spans="1:14" x14ac:dyDescent="0.3">
      <c r="B23" t="s">
        <v>269</v>
      </c>
      <c r="E23" t="s">
        <v>270</v>
      </c>
    </row>
    <row r="25" spans="1:14" x14ac:dyDescent="0.3">
      <c r="B25" t="s">
        <v>271</v>
      </c>
    </row>
    <row r="28" spans="1:14" x14ac:dyDescent="0.3">
      <c r="A28" t="s">
        <v>289</v>
      </c>
    </row>
    <row r="30" spans="1:14" x14ac:dyDescent="0.3">
      <c r="A30" t="s">
        <v>295</v>
      </c>
    </row>
    <row r="32" spans="1:14" x14ac:dyDescent="0.3">
      <c r="A32" t="s">
        <v>273</v>
      </c>
    </row>
    <row r="34" spans="1:9" x14ac:dyDescent="0.3">
      <c r="A34" s="12" t="s">
        <v>23</v>
      </c>
    </row>
    <row r="35" spans="1:9" x14ac:dyDescent="0.3">
      <c r="A35" t="s">
        <v>248</v>
      </c>
      <c r="C35" t="s">
        <v>30</v>
      </c>
      <c r="I35" t="s">
        <v>310</v>
      </c>
    </row>
    <row r="36" spans="1:9" x14ac:dyDescent="0.3">
      <c r="A36" t="s">
        <v>290</v>
      </c>
      <c r="B36" t="s">
        <v>291</v>
      </c>
    </row>
    <row r="38" spans="1:9" x14ac:dyDescent="0.3">
      <c r="A38" t="s">
        <v>326</v>
      </c>
    </row>
    <row r="40" spans="1:9" x14ac:dyDescent="0.3">
      <c r="A40" t="s">
        <v>43</v>
      </c>
      <c r="D40" t="s">
        <v>42</v>
      </c>
    </row>
    <row r="42" spans="1:9" x14ac:dyDescent="0.3">
      <c r="A42" t="s">
        <v>47</v>
      </c>
    </row>
    <row r="44" spans="1:9" x14ac:dyDescent="0.3">
      <c r="A44" s="12" t="s">
        <v>69</v>
      </c>
    </row>
    <row r="45" spans="1:9" x14ac:dyDescent="0.3">
      <c r="A45" t="s">
        <v>98</v>
      </c>
      <c r="E45" t="s">
        <v>99</v>
      </c>
    </row>
    <row r="47" spans="1:9" x14ac:dyDescent="0.3">
      <c r="A47" t="s">
        <v>102</v>
      </c>
      <c r="E47" t="s">
        <v>103</v>
      </c>
      <c r="G47" t="s">
        <v>104</v>
      </c>
    </row>
    <row r="49" spans="1:17" x14ac:dyDescent="0.3">
      <c r="A49" t="s">
        <v>78</v>
      </c>
      <c r="E49" t="s">
        <v>79</v>
      </c>
    </row>
    <row r="51" spans="1:17" x14ac:dyDescent="0.3">
      <c r="A51" t="s">
        <v>275</v>
      </c>
      <c r="E51" t="s">
        <v>302</v>
      </c>
    </row>
    <row r="53" spans="1:17" x14ac:dyDescent="0.3">
      <c r="A53" s="12" t="s">
        <v>83</v>
      </c>
    </row>
    <row r="54" spans="1:17" x14ac:dyDescent="0.3">
      <c r="A54" t="s">
        <v>325</v>
      </c>
      <c r="L54" t="s">
        <v>93</v>
      </c>
      <c r="Q54" t="s">
        <v>94</v>
      </c>
    </row>
    <row r="56" spans="1:17" x14ac:dyDescent="0.3">
      <c r="A56" t="s">
        <v>96</v>
      </c>
    </row>
    <row r="58" spans="1:17" x14ac:dyDescent="0.3">
      <c r="A58" t="s">
        <v>296</v>
      </c>
    </row>
    <row r="60" spans="1:17" x14ac:dyDescent="0.3">
      <c r="A60" t="s">
        <v>285</v>
      </c>
    </row>
    <row r="62" spans="1:17" x14ac:dyDescent="0.3">
      <c r="A62" t="s">
        <v>297</v>
      </c>
    </row>
    <row r="63" spans="1:17" x14ac:dyDescent="0.3">
      <c r="B63" t="s">
        <v>298</v>
      </c>
    </row>
    <row r="65" spans="1:8" x14ac:dyDescent="0.3">
      <c r="A65" t="s">
        <v>350</v>
      </c>
    </row>
    <row r="69" spans="1:8" x14ac:dyDescent="0.3">
      <c r="A69" s="12" t="s">
        <v>224</v>
      </c>
    </row>
    <row r="70" spans="1:8" x14ac:dyDescent="0.3">
      <c r="A70" t="s">
        <v>225</v>
      </c>
    </row>
    <row r="72" spans="1:8" x14ac:dyDescent="0.3">
      <c r="A72" t="s">
        <v>234</v>
      </c>
    </row>
    <row r="74" spans="1:8" x14ac:dyDescent="0.3">
      <c r="A74" t="s">
        <v>299</v>
      </c>
    </row>
    <row r="76" spans="1:8" x14ac:dyDescent="0.3">
      <c r="A76" t="s">
        <v>301</v>
      </c>
      <c r="H76" s="13" t="s">
        <v>300</v>
      </c>
    </row>
    <row r="78" spans="1:8" x14ac:dyDescent="0.3">
      <c r="C78" t="s">
        <v>331</v>
      </c>
      <c r="E78" t="s">
        <v>340</v>
      </c>
    </row>
    <row r="79" spans="1:8" x14ac:dyDescent="0.3">
      <c r="C79" t="s">
        <v>341</v>
      </c>
      <c r="E79" t="s">
        <v>352</v>
      </c>
    </row>
    <row r="80" spans="1:8" x14ac:dyDescent="0.3">
      <c r="C80" t="s">
        <v>342</v>
      </c>
    </row>
    <row r="81" spans="5:5" x14ac:dyDescent="0.3">
      <c r="E81" t="s">
        <v>353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2:AF74"/>
  <sheetViews>
    <sheetView workbookViewId="0">
      <selection activeCell="D72" sqref="D72:G74"/>
    </sheetView>
  </sheetViews>
  <sheetFormatPr defaultRowHeight="14.4" x14ac:dyDescent="0.3"/>
  <sheetData>
    <row r="2" spans="2:29" x14ac:dyDescent="0.3">
      <c r="B2" t="s">
        <v>311</v>
      </c>
    </row>
    <row r="3" spans="2:29" x14ac:dyDescent="0.3">
      <c r="B3" t="s">
        <v>380</v>
      </c>
      <c r="D3" t="s">
        <v>381</v>
      </c>
    </row>
    <row r="5" spans="2:29" x14ac:dyDescent="0.3">
      <c r="B5" t="s">
        <v>362</v>
      </c>
    </row>
    <row r="7" spans="2:29" ht="21" x14ac:dyDescent="0.4">
      <c r="B7" t="s">
        <v>365</v>
      </c>
      <c r="F7" t="s">
        <v>366</v>
      </c>
      <c r="T7" s="4" t="s">
        <v>72</v>
      </c>
    </row>
    <row r="9" spans="2:29" x14ac:dyDescent="0.3">
      <c r="B9" t="s">
        <v>359</v>
      </c>
      <c r="T9" t="s">
        <v>4</v>
      </c>
    </row>
    <row r="11" spans="2:29" x14ac:dyDescent="0.3">
      <c r="B11" t="s">
        <v>360</v>
      </c>
      <c r="T11" t="s">
        <v>1</v>
      </c>
      <c r="U11" t="s">
        <v>2</v>
      </c>
    </row>
    <row r="12" spans="2:29" x14ac:dyDescent="0.3">
      <c r="U12" t="s">
        <v>3</v>
      </c>
    </row>
    <row r="13" spans="2:29" x14ac:dyDescent="0.3">
      <c r="B13" t="s">
        <v>361</v>
      </c>
      <c r="H13" t="s">
        <v>374</v>
      </c>
    </row>
    <row r="14" spans="2:29" x14ac:dyDescent="0.3">
      <c r="T14" t="s">
        <v>24</v>
      </c>
      <c r="V14" t="s">
        <v>25</v>
      </c>
      <c r="Y14" t="s">
        <v>26</v>
      </c>
      <c r="AB14" s="1"/>
      <c r="AC14" s="1"/>
    </row>
    <row r="15" spans="2:29" x14ac:dyDescent="0.3">
      <c r="B15" t="s">
        <v>363</v>
      </c>
      <c r="E15" t="s">
        <v>364</v>
      </c>
      <c r="L15" t="s">
        <v>375</v>
      </c>
      <c r="M15" t="s">
        <v>376</v>
      </c>
      <c r="O15" t="s">
        <v>378</v>
      </c>
      <c r="AB15" s="1"/>
      <c r="AC15" s="1"/>
    </row>
    <row r="16" spans="2:29" x14ac:dyDescent="0.3">
      <c r="B16" t="s">
        <v>371</v>
      </c>
      <c r="L16" t="s">
        <v>377</v>
      </c>
      <c r="M16" t="s">
        <v>379</v>
      </c>
      <c r="O16" t="s">
        <v>379</v>
      </c>
      <c r="T16" t="s">
        <v>11</v>
      </c>
      <c r="AB16" s="1"/>
      <c r="AC16" s="1"/>
    </row>
    <row r="17" spans="1:29" x14ac:dyDescent="0.3">
      <c r="A17" s="12" t="s">
        <v>0</v>
      </c>
      <c r="AB17" s="1"/>
      <c r="AC17" s="1"/>
    </row>
    <row r="18" spans="1:29" x14ac:dyDescent="0.3">
      <c r="A18" t="s">
        <v>267</v>
      </c>
      <c r="T18" t="s">
        <v>15</v>
      </c>
      <c r="AB18" s="1"/>
      <c r="AC18" s="1"/>
    </row>
    <row r="19" spans="1:29" x14ac:dyDescent="0.3">
      <c r="B19" t="s">
        <v>269</v>
      </c>
      <c r="E19" t="s">
        <v>270</v>
      </c>
      <c r="AB19" s="1"/>
      <c r="AC19" s="1"/>
    </row>
    <row r="20" spans="1:29" x14ac:dyDescent="0.3">
      <c r="T20" t="s">
        <v>16</v>
      </c>
      <c r="AB20" s="1"/>
      <c r="AC20" s="1"/>
    </row>
    <row r="21" spans="1:29" x14ac:dyDescent="0.3">
      <c r="B21" t="s">
        <v>271</v>
      </c>
      <c r="AB21" s="1"/>
      <c r="AC21" s="1"/>
    </row>
    <row r="22" spans="1:29" x14ac:dyDescent="0.3">
      <c r="T22" t="s">
        <v>5</v>
      </c>
      <c r="V22" t="s">
        <v>6</v>
      </c>
      <c r="X22" s="1"/>
      <c r="Y22" s="1"/>
      <c r="Z22" s="1"/>
      <c r="AA22" s="1"/>
      <c r="AB22" s="1"/>
      <c r="AC22" s="1"/>
    </row>
    <row r="23" spans="1:29" x14ac:dyDescent="0.3">
      <c r="V23" t="s">
        <v>7</v>
      </c>
      <c r="X23" s="1"/>
      <c r="Y23" s="1" t="s">
        <v>8</v>
      </c>
      <c r="Z23" s="1" t="s">
        <v>9</v>
      </c>
      <c r="AA23" s="1" t="s">
        <v>10</v>
      </c>
      <c r="AB23" s="1"/>
      <c r="AC23" s="1"/>
    </row>
    <row r="24" spans="1:29" x14ac:dyDescent="0.3">
      <c r="A24" t="s">
        <v>289</v>
      </c>
      <c r="AB24" s="1"/>
      <c r="AC24" s="1"/>
    </row>
    <row r="25" spans="1:29" ht="21" x14ac:dyDescent="0.4">
      <c r="T25" s="4" t="s">
        <v>70</v>
      </c>
      <c r="AB25" s="1"/>
      <c r="AC25" s="1"/>
    </row>
    <row r="26" spans="1:29" x14ac:dyDescent="0.3">
      <c r="A26" t="s">
        <v>295</v>
      </c>
      <c r="AB26" s="1"/>
      <c r="AC26" s="1"/>
    </row>
    <row r="27" spans="1:29" x14ac:dyDescent="0.3">
      <c r="T27" t="s">
        <v>12</v>
      </c>
      <c r="AB27" s="1"/>
      <c r="AC27" s="1"/>
    </row>
    <row r="28" spans="1:29" x14ac:dyDescent="0.3">
      <c r="A28" t="s">
        <v>273</v>
      </c>
      <c r="AB28" s="1"/>
      <c r="AC28" s="1"/>
    </row>
    <row r="29" spans="1:29" x14ac:dyDescent="0.3">
      <c r="T29" t="s">
        <v>13</v>
      </c>
      <c r="AB29" s="1"/>
      <c r="AC29" s="1"/>
    </row>
    <row r="30" spans="1:29" x14ac:dyDescent="0.3">
      <c r="A30" s="12" t="s">
        <v>23</v>
      </c>
      <c r="AB30" s="1"/>
      <c r="AC30" s="1"/>
    </row>
    <row r="31" spans="1:29" x14ac:dyDescent="0.3">
      <c r="A31" t="s">
        <v>248</v>
      </c>
      <c r="C31" t="s">
        <v>30</v>
      </c>
      <c r="I31" t="s">
        <v>310</v>
      </c>
      <c r="T31" t="s">
        <v>14</v>
      </c>
      <c r="AB31" s="1"/>
      <c r="AC31" s="1"/>
    </row>
    <row r="32" spans="1:29" x14ac:dyDescent="0.3">
      <c r="A32" t="s">
        <v>290</v>
      </c>
      <c r="B32" t="s">
        <v>291</v>
      </c>
      <c r="AB32" s="1"/>
      <c r="AC32" s="1"/>
    </row>
    <row r="33" spans="1:29" x14ac:dyDescent="0.3">
      <c r="T33" t="s">
        <v>18</v>
      </c>
      <c r="X33" s="1"/>
      <c r="Y33" s="1"/>
      <c r="Z33" s="1"/>
      <c r="AA33" s="1" t="s">
        <v>19</v>
      </c>
      <c r="AB33" s="1"/>
      <c r="AC33" s="1"/>
    </row>
    <row r="34" spans="1:29" x14ac:dyDescent="0.3">
      <c r="A34" t="s">
        <v>326</v>
      </c>
      <c r="AB34" s="1"/>
      <c r="AC34" s="1"/>
    </row>
    <row r="35" spans="1:29" ht="21" x14ac:dyDescent="0.4">
      <c r="T35" s="4" t="s">
        <v>71</v>
      </c>
      <c r="AB35" s="1"/>
      <c r="AC35" s="1"/>
    </row>
    <row r="36" spans="1:29" x14ac:dyDescent="0.3">
      <c r="A36" t="s">
        <v>43</v>
      </c>
      <c r="D36" t="s">
        <v>42</v>
      </c>
      <c r="AB36" s="1"/>
      <c r="AC36" s="1"/>
    </row>
    <row r="37" spans="1:29" x14ac:dyDescent="0.3">
      <c r="T37" t="s">
        <v>17</v>
      </c>
      <c r="AB37" s="1"/>
      <c r="AC37" s="1"/>
    </row>
    <row r="38" spans="1:29" x14ac:dyDescent="0.3">
      <c r="A38" t="s">
        <v>47</v>
      </c>
      <c r="AB38" s="1"/>
      <c r="AC38" s="1"/>
    </row>
    <row r="39" spans="1:29" x14ac:dyDescent="0.3">
      <c r="T39" t="s">
        <v>20</v>
      </c>
      <c r="X39" s="1"/>
      <c r="Y39" s="1"/>
      <c r="Z39" s="1"/>
      <c r="AA39" s="1" t="s">
        <v>21</v>
      </c>
      <c r="AB39" s="1"/>
      <c r="AC39" s="1"/>
    </row>
    <row r="40" spans="1:29" x14ac:dyDescent="0.3">
      <c r="A40" s="12" t="s">
        <v>69</v>
      </c>
      <c r="X40" s="1"/>
      <c r="Y40" s="1"/>
      <c r="Z40" s="1"/>
      <c r="AA40" s="1"/>
      <c r="AB40" s="1"/>
      <c r="AC40" s="1"/>
    </row>
    <row r="41" spans="1:29" x14ac:dyDescent="0.3">
      <c r="A41" t="s">
        <v>98</v>
      </c>
      <c r="E41" t="s">
        <v>99</v>
      </c>
      <c r="T41" t="s">
        <v>22</v>
      </c>
      <c r="X41" s="1"/>
      <c r="Y41" s="1"/>
      <c r="Z41" s="1"/>
      <c r="AA41" s="1"/>
      <c r="AB41" s="1"/>
      <c r="AC41" s="1"/>
    </row>
    <row r="42" spans="1:29" x14ac:dyDescent="0.3">
      <c r="X42" s="1"/>
      <c r="Y42" s="1"/>
      <c r="Z42" s="1"/>
      <c r="AA42" s="1"/>
      <c r="AB42" s="1"/>
      <c r="AC42" s="1"/>
    </row>
    <row r="43" spans="1:29" x14ac:dyDescent="0.3">
      <c r="A43" t="s">
        <v>102</v>
      </c>
      <c r="E43" t="s">
        <v>103</v>
      </c>
      <c r="G43" t="s">
        <v>104</v>
      </c>
      <c r="T43" t="s">
        <v>27</v>
      </c>
      <c r="X43" s="1"/>
      <c r="Y43" s="1"/>
      <c r="Z43" s="1"/>
      <c r="AA43" s="1"/>
      <c r="AB43" s="1"/>
      <c r="AC43" s="1"/>
    </row>
    <row r="45" spans="1:29" x14ac:dyDescent="0.3">
      <c r="A45" t="s">
        <v>78</v>
      </c>
      <c r="E45" t="s">
        <v>79</v>
      </c>
    </row>
    <row r="46" spans="1:29" ht="21" x14ac:dyDescent="0.4">
      <c r="U46" s="3" t="s">
        <v>83</v>
      </c>
    </row>
    <row r="47" spans="1:29" x14ac:dyDescent="0.3">
      <c r="A47" t="s">
        <v>275</v>
      </c>
      <c r="E47" t="s">
        <v>302</v>
      </c>
    </row>
    <row r="48" spans="1:29" x14ac:dyDescent="0.3">
      <c r="U48" t="s">
        <v>90</v>
      </c>
    </row>
    <row r="49" spans="1:32" x14ac:dyDescent="0.3">
      <c r="A49" s="12" t="s">
        <v>83</v>
      </c>
    </row>
    <row r="50" spans="1:32" x14ac:dyDescent="0.3">
      <c r="A50" t="s">
        <v>325</v>
      </c>
      <c r="L50" t="s">
        <v>93</v>
      </c>
      <c r="Q50" t="s">
        <v>94</v>
      </c>
      <c r="U50" t="s">
        <v>91</v>
      </c>
    </row>
    <row r="52" spans="1:32" x14ac:dyDescent="0.3">
      <c r="A52" t="s">
        <v>96</v>
      </c>
      <c r="U52" t="s">
        <v>92</v>
      </c>
      <c r="W52" t="s">
        <v>93</v>
      </c>
      <c r="AA52" t="s">
        <v>94</v>
      </c>
      <c r="AF52" t="s">
        <v>95</v>
      </c>
    </row>
    <row r="54" spans="1:32" x14ac:dyDescent="0.3">
      <c r="A54" t="s">
        <v>296</v>
      </c>
      <c r="U54" t="s">
        <v>96</v>
      </c>
    </row>
    <row r="56" spans="1:32" x14ac:dyDescent="0.3">
      <c r="A56" t="s">
        <v>285</v>
      </c>
      <c r="U56" t="s">
        <v>84</v>
      </c>
      <c r="W56" t="s">
        <v>85</v>
      </c>
    </row>
    <row r="58" spans="1:32" x14ac:dyDescent="0.3">
      <c r="A58" t="s">
        <v>297</v>
      </c>
      <c r="U58" t="s">
        <v>86</v>
      </c>
      <c r="Z58" t="s">
        <v>87</v>
      </c>
    </row>
    <row r="59" spans="1:32" x14ac:dyDescent="0.3">
      <c r="B59" t="s">
        <v>298</v>
      </c>
    </row>
    <row r="60" spans="1:32" x14ac:dyDescent="0.3">
      <c r="U60" t="s">
        <v>89</v>
      </c>
    </row>
    <row r="61" spans="1:32" x14ac:dyDescent="0.3">
      <c r="A61" t="s">
        <v>350</v>
      </c>
    </row>
    <row r="72" spans="4:7" x14ac:dyDescent="0.3">
      <c r="D72" t="s">
        <v>331</v>
      </c>
    </row>
    <row r="73" spans="4:7" x14ac:dyDescent="0.3">
      <c r="D73" t="s">
        <v>341</v>
      </c>
      <c r="G73" t="s">
        <v>382</v>
      </c>
    </row>
    <row r="74" spans="4:7" x14ac:dyDescent="0.3">
      <c r="D74" t="s">
        <v>342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2:AF58"/>
  <sheetViews>
    <sheetView topLeftCell="A24" workbookViewId="0">
      <selection activeCell="A14" sqref="A14:O60"/>
    </sheetView>
  </sheetViews>
  <sheetFormatPr defaultRowHeight="14.4" x14ac:dyDescent="0.3"/>
  <sheetData>
    <row r="2" spans="1:29" x14ac:dyDescent="0.3">
      <c r="B2" t="s">
        <v>344</v>
      </c>
    </row>
    <row r="3" spans="1:29" ht="21" x14ac:dyDescent="0.4">
      <c r="T3" s="4" t="s">
        <v>72</v>
      </c>
    </row>
    <row r="4" spans="1:29" x14ac:dyDescent="0.3">
      <c r="B4" t="s">
        <v>358</v>
      </c>
    </row>
    <row r="5" spans="1:29" x14ac:dyDescent="0.3">
      <c r="T5" t="s">
        <v>4</v>
      </c>
    </row>
    <row r="6" spans="1:29" x14ac:dyDescent="0.3">
      <c r="B6" t="s">
        <v>369</v>
      </c>
      <c r="E6" t="s">
        <v>383</v>
      </c>
    </row>
    <row r="7" spans="1:29" x14ac:dyDescent="0.3">
      <c r="B7" t="s">
        <v>370</v>
      </c>
      <c r="E7" t="s">
        <v>384</v>
      </c>
      <c r="T7" t="s">
        <v>1</v>
      </c>
      <c r="U7" t="s">
        <v>2</v>
      </c>
    </row>
    <row r="8" spans="1:29" x14ac:dyDescent="0.3">
      <c r="B8" t="s">
        <v>372</v>
      </c>
      <c r="U8" t="s">
        <v>3</v>
      </c>
    </row>
    <row r="10" spans="1:29" x14ac:dyDescent="0.3">
      <c r="B10" t="s">
        <v>367</v>
      </c>
      <c r="T10" t="s">
        <v>24</v>
      </c>
      <c r="V10" t="s">
        <v>25</v>
      </c>
      <c r="Y10" t="s">
        <v>26</v>
      </c>
    </row>
    <row r="11" spans="1:29" x14ac:dyDescent="0.3">
      <c r="B11" t="s">
        <v>368</v>
      </c>
    </row>
    <row r="12" spans="1:29" x14ac:dyDescent="0.3">
      <c r="B12" t="s">
        <v>373</v>
      </c>
      <c r="D12">
        <v>25</v>
      </c>
      <c r="G12" t="s">
        <v>385</v>
      </c>
      <c r="T12" t="s">
        <v>11</v>
      </c>
    </row>
    <row r="14" spans="1:29" x14ac:dyDescent="0.3">
      <c r="A14" s="12" t="s">
        <v>0</v>
      </c>
      <c r="AB14" s="1"/>
      <c r="AC14" s="1"/>
    </row>
    <row r="15" spans="1:29" x14ac:dyDescent="0.3">
      <c r="A15" t="s">
        <v>267</v>
      </c>
      <c r="T15" t="s">
        <v>15</v>
      </c>
      <c r="AB15" s="1"/>
      <c r="AC15" s="1"/>
    </row>
    <row r="16" spans="1:29" x14ac:dyDescent="0.3">
      <c r="B16" t="s">
        <v>269</v>
      </c>
      <c r="E16" t="s">
        <v>270</v>
      </c>
      <c r="AB16" s="1"/>
      <c r="AC16" s="1"/>
    </row>
    <row r="17" spans="1:29" x14ac:dyDescent="0.3">
      <c r="T17" t="s">
        <v>16</v>
      </c>
      <c r="AB17" s="1"/>
      <c r="AC17" s="1"/>
    </row>
    <row r="18" spans="1:29" x14ac:dyDescent="0.3">
      <c r="B18" t="s">
        <v>271</v>
      </c>
      <c r="AB18" s="1"/>
      <c r="AC18" s="1"/>
    </row>
    <row r="19" spans="1:29" x14ac:dyDescent="0.3">
      <c r="T19" t="s">
        <v>5</v>
      </c>
      <c r="V19" t="s">
        <v>6</v>
      </c>
      <c r="X19" s="1"/>
      <c r="Y19" s="1"/>
      <c r="Z19" s="1"/>
      <c r="AA19" s="1"/>
      <c r="AB19" s="1"/>
      <c r="AC19" s="1"/>
    </row>
    <row r="20" spans="1:29" x14ac:dyDescent="0.3">
      <c r="V20" t="s">
        <v>7</v>
      </c>
      <c r="X20" s="1"/>
      <c r="Y20" s="1" t="s">
        <v>8</v>
      </c>
      <c r="Z20" s="1" t="s">
        <v>9</v>
      </c>
      <c r="AA20" s="1" t="s">
        <v>10</v>
      </c>
      <c r="AB20" s="1"/>
      <c r="AC20" s="1"/>
    </row>
    <row r="21" spans="1:29" x14ac:dyDescent="0.3">
      <c r="A21" t="s">
        <v>289</v>
      </c>
      <c r="AB21" s="1"/>
      <c r="AC21" s="1"/>
    </row>
    <row r="22" spans="1:29" ht="21" x14ac:dyDescent="0.4">
      <c r="T22" s="4" t="s">
        <v>70</v>
      </c>
      <c r="AB22" s="1"/>
      <c r="AC22" s="1"/>
    </row>
    <row r="23" spans="1:29" x14ac:dyDescent="0.3">
      <c r="A23" t="s">
        <v>295</v>
      </c>
      <c r="AB23" s="1"/>
      <c r="AC23" s="1"/>
    </row>
    <row r="24" spans="1:29" x14ac:dyDescent="0.3">
      <c r="T24" t="s">
        <v>12</v>
      </c>
      <c r="AB24" s="1"/>
      <c r="AC24" s="1"/>
    </row>
    <row r="25" spans="1:29" x14ac:dyDescent="0.3">
      <c r="A25" t="s">
        <v>273</v>
      </c>
      <c r="AB25" s="1"/>
      <c r="AC25" s="1"/>
    </row>
    <row r="26" spans="1:29" x14ac:dyDescent="0.3">
      <c r="T26" t="s">
        <v>13</v>
      </c>
      <c r="AB26" s="1"/>
      <c r="AC26" s="1"/>
    </row>
    <row r="27" spans="1:29" x14ac:dyDescent="0.3">
      <c r="A27" s="12" t="s">
        <v>23</v>
      </c>
      <c r="AB27" s="1"/>
      <c r="AC27" s="1"/>
    </row>
    <row r="28" spans="1:29" x14ac:dyDescent="0.3">
      <c r="A28" t="s">
        <v>248</v>
      </c>
      <c r="C28" t="s">
        <v>30</v>
      </c>
      <c r="I28" t="s">
        <v>310</v>
      </c>
      <c r="T28" t="s">
        <v>14</v>
      </c>
      <c r="AB28" s="1"/>
      <c r="AC28" s="1"/>
    </row>
    <row r="29" spans="1:29" x14ac:dyDescent="0.3">
      <c r="A29" t="s">
        <v>290</v>
      </c>
      <c r="B29" t="s">
        <v>291</v>
      </c>
      <c r="AB29" s="1"/>
      <c r="AC29" s="1"/>
    </row>
    <row r="30" spans="1:29" x14ac:dyDescent="0.3">
      <c r="T30" t="s">
        <v>18</v>
      </c>
      <c r="X30" s="1"/>
      <c r="Y30" s="1"/>
      <c r="Z30" s="1"/>
      <c r="AA30" s="1" t="s">
        <v>19</v>
      </c>
      <c r="AB30" s="1"/>
      <c r="AC30" s="1"/>
    </row>
    <row r="31" spans="1:29" x14ac:dyDescent="0.3">
      <c r="A31" t="s">
        <v>326</v>
      </c>
      <c r="AB31" s="1"/>
      <c r="AC31" s="1"/>
    </row>
    <row r="32" spans="1:29" ht="21" x14ac:dyDescent="0.4">
      <c r="T32" s="4" t="s">
        <v>71</v>
      </c>
      <c r="AB32" s="1"/>
      <c r="AC32" s="1"/>
    </row>
    <row r="33" spans="1:29" x14ac:dyDescent="0.3">
      <c r="A33" t="s">
        <v>43</v>
      </c>
      <c r="D33" t="s">
        <v>42</v>
      </c>
      <c r="AB33" s="1"/>
      <c r="AC33" s="1"/>
    </row>
    <row r="34" spans="1:29" x14ac:dyDescent="0.3">
      <c r="T34" t="s">
        <v>17</v>
      </c>
      <c r="AB34" s="1"/>
      <c r="AC34" s="1"/>
    </row>
    <row r="35" spans="1:29" x14ac:dyDescent="0.3">
      <c r="A35" t="s">
        <v>47</v>
      </c>
      <c r="AB35" s="1"/>
      <c r="AC35" s="1"/>
    </row>
    <row r="36" spans="1:29" x14ac:dyDescent="0.3">
      <c r="T36" t="s">
        <v>20</v>
      </c>
      <c r="X36" s="1"/>
      <c r="Y36" s="1"/>
      <c r="Z36" s="1"/>
      <c r="AA36" s="1" t="s">
        <v>21</v>
      </c>
      <c r="AB36" s="1"/>
      <c r="AC36" s="1"/>
    </row>
    <row r="37" spans="1:29" x14ac:dyDescent="0.3">
      <c r="A37" s="12" t="s">
        <v>69</v>
      </c>
      <c r="X37" s="1"/>
      <c r="Y37" s="1"/>
      <c r="Z37" s="1"/>
      <c r="AA37" s="1"/>
      <c r="AB37" s="1"/>
      <c r="AC37" s="1"/>
    </row>
    <row r="38" spans="1:29" x14ac:dyDescent="0.3">
      <c r="A38" t="s">
        <v>98</v>
      </c>
      <c r="E38" t="s">
        <v>99</v>
      </c>
      <c r="T38" t="s">
        <v>22</v>
      </c>
      <c r="X38" s="1"/>
      <c r="Y38" s="1"/>
      <c r="Z38" s="1"/>
      <c r="AA38" s="1"/>
      <c r="AB38" s="1"/>
      <c r="AC38" s="1"/>
    </row>
    <row r="39" spans="1:29" x14ac:dyDescent="0.3">
      <c r="X39" s="1"/>
      <c r="Y39" s="1"/>
      <c r="Z39" s="1"/>
      <c r="AA39" s="1"/>
      <c r="AB39" s="1"/>
      <c r="AC39" s="1"/>
    </row>
    <row r="40" spans="1:29" x14ac:dyDescent="0.3">
      <c r="A40" t="s">
        <v>102</v>
      </c>
      <c r="E40" t="s">
        <v>103</v>
      </c>
      <c r="G40" t="s">
        <v>104</v>
      </c>
      <c r="T40" t="s">
        <v>27</v>
      </c>
      <c r="X40" s="1"/>
      <c r="Y40" s="1"/>
      <c r="Z40" s="1"/>
      <c r="AA40" s="1"/>
      <c r="AB40" s="1"/>
      <c r="AC40" s="1"/>
    </row>
    <row r="42" spans="1:29" x14ac:dyDescent="0.3">
      <c r="A42" t="s">
        <v>78</v>
      </c>
      <c r="E42" t="s">
        <v>79</v>
      </c>
    </row>
    <row r="43" spans="1:29" ht="21" x14ac:dyDescent="0.4">
      <c r="U43" s="3" t="s">
        <v>83</v>
      </c>
    </row>
    <row r="44" spans="1:29" x14ac:dyDescent="0.3">
      <c r="A44" t="s">
        <v>275</v>
      </c>
      <c r="E44" t="s">
        <v>302</v>
      </c>
    </row>
    <row r="45" spans="1:29" x14ac:dyDescent="0.3">
      <c r="U45" t="s">
        <v>90</v>
      </c>
    </row>
    <row r="46" spans="1:29" x14ac:dyDescent="0.3">
      <c r="A46" s="12" t="s">
        <v>83</v>
      </c>
    </row>
    <row r="47" spans="1:29" x14ac:dyDescent="0.3">
      <c r="A47" t="s">
        <v>325</v>
      </c>
      <c r="L47" t="s">
        <v>93</v>
      </c>
      <c r="Q47" t="s">
        <v>94</v>
      </c>
      <c r="U47" t="s">
        <v>91</v>
      </c>
    </row>
    <row r="49" spans="1:32" x14ac:dyDescent="0.3">
      <c r="A49" t="s">
        <v>96</v>
      </c>
      <c r="U49" t="s">
        <v>92</v>
      </c>
      <c r="W49" t="s">
        <v>93</v>
      </c>
      <c r="AA49" t="s">
        <v>94</v>
      </c>
      <c r="AF49" t="s">
        <v>95</v>
      </c>
    </row>
    <row r="51" spans="1:32" x14ac:dyDescent="0.3">
      <c r="A51" t="s">
        <v>296</v>
      </c>
      <c r="U51" t="s">
        <v>96</v>
      </c>
    </row>
    <row r="53" spans="1:32" x14ac:dyDescent="0.3">
      <c r="A53" t="s">
        <v>285</v>
      </c>
      <c r="U53" t="s">
        <v>84</v>
      </c>
      <c r="W53" t="s">
        <v>85</v>
      </c>
    </row>
    <row r="55" spans="1:32" x14ac:dyDescent="0.3">
      <c r="A55" t="s">
        <v>297</v>
      </c>
      <c r="U55" t="s">
        <v>86</v>
      </c>
      <c r="Z55" t="s">
        <v>87</v>
      </c>
    </row>
    <row r="56" spans="1:32" x14ac:dyDescent="0.3">
      <c r="B56" t="s">
        <v>298</v>
      </c>
    </row>
    <row r="57" spans="1:32" x14ac:dyDescent="0.3">
      <c r="U57" t="s">
        <v>89</v>
      </c>
    </row>
    <row r="58" spans="1:32" x14ac:dyDescent="0.3">
      <c r="A58" t="s">
        <v>350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7"/>
  <dimension ref="A2:Q74"/>
  <sheetViews>
    <sheetView workbookViewId="0">
      <selection activeCell="A36" sqref="A36"/>
    </sheetView>
  </sheetViews>
  <sheetFormatPr defaultRowHeight="14.4" x14ac:dyDescent="0.3"/>
  <sheetData>
    <row r="2" spans="1:15" x14ac:dyDescent="0.3">
      <c r="B2" t="s">
        <v>447</v>
      </c>
      <c r="D2" t="s">
        <v>454</v>
      </c>
    </row>
    <row r="3" spans="1:15" x14ac:dyDescent="0.3">
      <c r="B3" t="s">
        <v>448</v>
      </c>
    </row>
    <row r="6" spans="1:15" x14ac:dyDescent="0.3">
      <c r="B6" t="s">
        <v>450</v>
      </c>
      <c r="D6" t="s">
        <v>451</v>
      </c>
      <c r="H6" t="s">
        <v>452</v>
      </c>
    </row>
    <row r="7" spans="1:15" x14ac:dyDescent="0.3">
      <c r="B7" t="s">
        <v>455</v>
      </c>
    </row>
    <row r="8" spans="1:15" x14ac:dyDescent="0.3">
      <c r="B8" t="s">
        <v>456</v>
      </c>
      <c r="E8" t="s">
        <v>459</v>
      </c>
      <c r="G8" t="s">
        <v>460</v>
      </c>
      <c r="H8" t="s">
        <v>461</v>
      </c>
      <c r="J8" t="s">
        <v>462</v>
      </c>
    </row>
    <row r="10" spans="1:15" x14ac:dyDescent="0.3">
      <c r="B10" t="s">
        <v>390</v>
      </c>
      <c r="O10" t="s">
        <v>404</v>
      </c>
    </row>
    <row r="13" spans="1:15" x14ac:dyDescent="0.3">
      <c r="A13" s="12" t="s">
        <v>0</v>
      </c>
      <c r="K13" t="s">
        <v>438</v>
      </c>
    </row>
    <row r="14" spans="1:15" x14ac:dyDescent="0.3">
      <c r="A14" t="s">
        <v>267</v>
      </c>
    </row>
    <row r="15" spans="1:15" x14ac:dyDescent="0.3">
      <c r="B15" t="s">
        <v>269</v>
      </c>
      <c r="E15" t="s">
        <v>270</v>
      </c>
    </row>
    <row r="17" spans="1:9" x14ac:dyDescent="0.3">
      <c r="B17" t="s">
        <v>271</v>
      </c>
    </row>
    <row r="20" spans="1:9" x14ac:dyDescent="0.3">
      <c r="A20" t="s">
        <v>289</v>
      </c>
    </row>
    <row r="22" spans="1:9" x14ac:dyDescent="0.3">
      <c r="A22" t="s">
        <v>295</v>
      </c>
    </row>
    <row r="24" spans="1:9" x14ac:dyDescent="0.3">
      <c r="A24" t="s">
        <v>273</v>
      </c>
    </row>
    <row r="26" spans="1:9" x14ac:dyDescent="0.3">
      <c r="A26" s="12" t="s">
        <v>23</v>
      </c>
    </row>
    <row r="27" spans="1:9" x14ac:dyDescent="0.3">
      <c r="A27" t="s">
        <v>248</v>
      </c>
      <c r="C27" t="s">
        <v>30</v>
      </c>
      <c r="I27" t="s">
        <v>310</v>
      </c>
    </row>
    <row r="28" spans="1:9" x14ac:dyDescent="0.3">
      <c r="A28" t="s">
        <v>290</v>
      </c>
      <c r="B28" t="s">
        <v>291</v>
      </c>
    </row>
    <row r="30" spans="1:9" x14ac:dyDescent="0.3">
      <c r="A30" t="s">
        <v>326</v>
      </c>
    </row>
    <row r="32" spans="1:9" x14ac:dyDescent="0.3">
      <c r="A32" t="s">
        <v>43</v>
      </c>
      <c r="D32" t="s">
        <v>42</v>
      </c>
    </row>
    <row r="34" spans="1:12" x14ac:dyDescent="0.3">
      <c r="A34" t="s">
        <v>47</v>
      </c>
    </row>
    <row r="36" spans="1:12" x14ac:dyDescent="0.3">
      <c r="A36" s="12" t="s">
        <v>69</v>
      </c>
      <c r="C36" t="s">
        <v>457</v>
      </c>
    </row>
    <row r="37" spans="1:12" x14ac:dyDescent="0.3">
      <c r="A37" t="s">
        <v>98</v>
      </c>
      <c r="E37" t="s">
        <v>99</v>
      </c>
    </row>
    <row r="39" spans="1:12" x14ac:dyDescent="0.3">
      <c r="A39" t="s">
        <v>102</v>
      </c>
      <c r="E39" t="s">
        <v>103</v>
      </c>
      <c r="G39" t="s">
        <v>104</v>
      </c>
    </row>
    <row r="41" spans="1:12" x14ac:dyDescent="0.3">
      <c r="A41" t="s">
        <v>78</v>
      </c>
      <c r="E41" t="s">
        <v>79</v>
      </c>
    </row>
    <row r="43" spans="1:12" x14ac:dyDescent="0.3">
      <c r="A43" t="s">
        <v>275</v>
      </c>
      <c r="E43" t="s">
        <v>302</v>
      </c>
    </row>
    <row r="45" spans="1:12" x14ac:dyDescent="0.3">
      <c r="A45" s="12" t="s">
        <v>83</v>
      </c>
    </row>
    <row r="46" spans="1:12" x14ac:dyDescent="0.3">
      <c r="A46" t="s">
        <v>325</v>
      </c>
      <c r="L46" t="s">
        <v>93</v>
      </c>
    </row>
    <row r="48" spans="1:12" x14ac:dyDescent="0.3">
      <c r="A48" t="s">
        <v>96</v>
      </c>
      <c r="H48" t="s">
        <v>463</v>
      </c>
    </row>
    <row r="50" spans="1:17" x14ac:dyDescent="0.3">
      <c r="A50" t="s">
        <v>296</v>
      </c>
      <c r="Q50" t="s">
        <v>94</v>
      </c>
    </row>
    <row r="52" spans="1:17" x14ac:dyDescent="0.3">
      <c r="A52" t="s">
        <v>285</v>
      </c>
    </row>
    <row r="54" spans="1:17" x14ac:dyDescent="0.3">
      <c r="A54" t="s">
        <v>297</v>
      </c>
    </row>
    <row r="55" spans="1:17" x14ac:dyDescent="0.3">
      <c r="B55" t="s">
        <v>298</v>
      </c>
    </row>
    <row r="57" spans="1:17" x14ac:dyDescent="0.3">
      <c r="A57" t="s">
        <v>350</v>
      </c>
    </row>
    <row r="59" spans="1:17" x14ac:dyDescent="0.3">
      <c r="A59" t="s">
        <v>453</v>
      </c>
    </row>
    <row r="61" spans="1:17" x14ac:dyDescent="0.3">
      <c r="C61" t="s">
        <v>331</v>
      </c>
      <c r="E61" t="s">
        <v>446</v>
      </c>
    </row>
    <row r="63" spans="1:17" x14ac:dyDescent="0.3">
      <c r="C63" t="s">
        <v>434</v>
      </c>
      <c r="F63" t="s">
        <v>447</v>
      </c>
    </row>
    <row r="65" spans="1:2" x14ac:dyDescent="0.3">
      <c r="A65" s="12" t="s">
        <v>224</v>
      </c>
    </row>
    <row r="66" spans="1:2" x14ac:dyDescent="0.3">
      <c r="A66" t="s">
        <v>225</v>
      </c>
    </row>
    <row r="68" spans="1:2" x14ac:dyDescent="0.3">
      <c r="A68" t="s">
        <v>234</v>
      </c>
    </row>
    <row r="70" spans="1:2" x14ac:dyDescent="0.3">
      <c r="A70" t="s">
        <v>395</v>
      </c>
    </row>
    <row r="72" spans="1:2" x14ac:dyDescent="0.3">
      <c r="A72" t="s">
        <v>396</v>
      </c>
    </row>
    <row r="74" spans="1:2" x14ac:dyDescent="0.3">
      <c r="B74" t="s">
        <v>458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8"/>
  <dimension ref="A2:R73"/>
  <sheetViews>
    <sheetView topLeftCell="A37" workbookViewId="0">
      <selection activeCell="G56" sqref="G56"/>
    </sheetView>
  </sheetViews>
  <sheetFormatPr defaultRowHeight="14.4" x14ac:dyDescent="0.3"/>
  <sheetData>
    <row r="2" spans="1:17" x14ac:dyDescent="0.3">
      <c r="B2" t="s">
        <v>449</v>
      </c>
    </row>
    <row r="3" spans="1:17" x14ac:dyDescent="0.3">
      <c r="B3" t="s">
        <v>423</v>
      </c>
    </row>
    <row r="5" spans="1:17" x14ac:dyDescent="0.3">
      <c r="B5" t="s">
        <v>464</v>
      </c>
      <c r="I5" t="s">
        <v>466</v>
      </c>
    </row>
    <row r="9" spans="1:17" x14ac:dyDescent="0.3">
      <c r="B9" t="s">
        <v>390</v>
      </c>
      <c r="O9" t="s">
        <v>404</v>
      </c>
    </row>
    <row r="10" spans="1:17" x14ac:dyDescent="0.3">
      <c r="G10" t="s">
        <v>465</v>
      </c>
    </row>
    <row r="12" spans="1:17" x14ac:dyDescent="0.3">
      <c r="A12" s="12" t="s">
        <v>0</v>
      </c>
    </row>
    <row r="13" spans="1:17" x14ac:dyDescent="0.3">
      <c r="A13" t="s">
        <v>267</v>
      </c>
      <c r="J13" t="s">
        <v>407</v>
      </c>
      <c r="M13" t="s">
        <v>408</v>
      </c>
      <c r="Q13" t="s">
        <v>409</v>
      </c>
    </row>
    <row r="14" spans="1:17" x14ac:dyDescent="0.3">
      <c r="B14" t="s">
        <v>269</v>
      </c>
      <c r="E14" t="s">
        <v>270</v>
      </c>
    </row>
    <row r="15" spans="1:17" x14ac:dyDescent="0.3">
      <c r="J15" t="s">
        <v>410</v>
      </c>
    </row>
    <row r="16" spans="1:17" x14ac:dyDescent="0.3">
      <c r="B16" t="s">
        <v>271</v>
      </c>
    </row>
    <row r="17" spans="1:18" x14ac:dyDescent="0.3">
      <c r="J17" t="s">
        <v>18</v>
      </c>
      <c r="N17" s="1"/>
      <c r="O17" s="1"/>
      <c r="P17" s="1"/>
      <c r="Q17" s="1" t="s">
        <v>19</v>
      </c>
      <c r="R17" s="1"/>
    </row>
    <row r="19" spans="1:18" x14ac:dyDescent="0.3">
      <c r="A19" t="s">
        <v>289</v>
      </c>
      <c r="J19" t="s">
        <v>411</v>
      </c>
    </row>
    <row r="21" spans="1:18" x14ac:dyDescent="0.3">
      <c r="A21" t="s">
        <v>295</v>
      </c>
    </row>
    <row r="23" spans="1:18" x14ac:dyDescent="0.3">
      <c r="A23" t="s">
        <v>273</v>
      </c>
    </row>
    <row r="25" spans="1:18" x14ac:dyDescent="0.3">
      <c r="A25" s="12" t="s">
        <v>23</v>
      </c>
    </row>
    <row r="26" spans="1:18" x14ac:dyDescent="0.3">
      <c r="A26" t="s">
        <v>248</v>
      </c>
      <c r="C26" t="s">
        <v>30</v>
      </c>
      <c r="I26" t="s">
        <v>310</v>
      </c>
    </row>
    <row r="27" spans="1:18" x14ac:dyDescent="0.3">
      <c r="A27" t="s">
        <v>290</v>
      </c>
      <c r="B27" t="s">
        <v>291</v>
      </c>
    </row>
    <row r="29" spans="1:18" x14ac:dyDescent="0.3">
      <c r="A29" t="s">
        <v>326</v>
      </c>
    </row>
    <row r="31" spans="1:18" x14ac:dyDescent="0.3">
      <c r="A31" t="s">
        <v>43</v>
      </c>
      <c r="D31" t="s">
        <v>42</v>
      </c>
    </row>
    <row r="33" spans="1:12" x14ac:dyDescent="0.3">
      <c r="A33" t="s">
        <v>47</v>
      </c>
    </row>
    <row r="35" spans="1:12" x14ac:dyDescent="0.3">
      <c r="A35" s="12" t="s">
        <v>69</v>
      </c>
      <c r="C35" t="s">
        <v>457</v>
      </c>
    </row>
    <row r="36" spans="1:12" x14ac:dyDescent="0.3">
      <c r="A36" t="s">
        <v>98</v>
      </c>
      <c r="E36" t="s">
        <v>99</v>
      </c>
    </row>
    <row r="38" spans="1:12" x14ac:dyDescent="0.3">
      <c r="A38" t="s">
        <v>102</v>
      </c>
      <c r="E38" t="s">
        <v>103</v>
      </c>
      <c r="G38" t="s">
        <v>104</v>
      </c>
    </row>
    <row r="40" spans="1:12" x14ac:dyDescent="0.3">
      <c r="A40" t="s">
        <v>78</v>
      </c>
      <c r="E40" t="s">
        <v>79</v>
      </c>
    </row>
    <row r="42" spans="1:12" x14ac:dyDescent="0.3">
      <c r="A42" t="s">
        <v>275</v>
      </c>
      <c r="E42" t="s">
        <v>302</v>
      </c>
    </row>
    <row r="44" spans="1:12" x14ac:dyDescent="0.3">
      <c r="A44" s="12" t="s">
        <v>83</v>
      </c>
    </row>
    <row r="45" spans="1:12" x14ac:dyDescent="0.3">
      <c r="A45" t="s">
        <v>325</v>
      </c>
      <c r="L45" t="s">
        <v>93</v>
      </c>
    </row>
    <row r="47" spans="1:12" x14ac:dyDescent="0.3">
      <c r="A47" t="s">
        <v>96</v>
      </c>
      <c r="H47" t="s">
        <v>463</v>
      </c>
    </row>
    <row r="49" spans="1:17" x14ac:dyDescent="0.3">
      <c r="A49" t="s">
        <v>296</v>
      </c>
      <c r="Q49" t="s">
        <v>94</v>
      </c>
    </row>
    <row r="51" spans="1:17" x14ac:dyDescent="0.3">
      <c r="A51" t="s">
        <v>285</v>
      </c>
    </row>
    <row r="53" spans="1:17" x14ac:dyDescent="0.3">
      <c r="A53" t="s">
        <v>297</v>
      </c>
    </row>
    <row r="54" spans="1:17" x14ac:dyDescent="0.3">
      <c r="B54" t="s">
        <v>298</v>
      </c>
    </row>
    <row r="56" spans="1:17" x14ac:dyDescent="0.3">
      <c r="A56" t="s">
        <v>350</v>
      </c>
    </row>
    <row r="58" spans="1:17" x14ac:dyDescent="0.3">
      <c r="A58" t="s">
        <v>453</v>
      </c>
    </row>
    <row r="60" spans="1:17" x14ac:dyDescent="0.3">
      <c r="C60" t="s">
        <v>331</v>
      </c>
      <c r="F60" t="s">
        <v>423</v>
      </c>
    </row>
    <row r="62" spans="1:17" x14ac:dyDescent="0.3">
      <c r="C62" t="s">
        <v>434</v>
      </c>
      <c r="F62" t="s">
        <v>467</v>
      </c>
    </row>
    <row r="64" spans="1:17" x14ac:dyDescent="0.3">
      <c r="A64" s="12" t="s">
        <v>224</v>
      </c>
    </row>
    <row r="65" spans="1:2" x14ac:dyDescent="0.3">
      <c r="A65" t="s">
        <v>225</v>
      </c>
    </row>
    <row r="67" spans="1:2" x14ac:dyDescent="0.3">
      <c r="A67" t="s">
        <v>234</v>
      </c>
    </row>
    <row r="69" spans="1:2" x14ac:dyDescent="0.3">
      <c r="A69" t="s">
        <v>395</v>
      </c>
    </row>
    <row r="71" spans="1:2" x14ac:dyDescent="0.3">
      <c r="A71" t="s">
        <v>396</v>
      </c>
    </row>
    <row r="73" spans="1:2" x14ac:dyDescent="0.3">
      <c r="B73" t="s">
        <v>458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2:Q70"/>
  <sheetViews>
    <sheetView topLeftCell="A46" workbookViewId="0">
      <selection activeCell="H65" sqref="H65"/>
    </sheetView>
  </sheetViews>
  <sheetFormatPr defaultRowHeight="14.4" x14ac:dyDescent="0.3"/>
  <sheetData>
    <row r="2" spans="2:16" x14ac:dyDescent="0.3">
      <c r="B2" t="s">
        <v>354</v>
      </c>
    </row>
    <row r="3" spans="2:16" x14ac:dyDescent="0.3">
      <c r="B3" t="s">
        <v>355</v>
      </c>
    </row>
    <row r="4" spans="2:16" x14ac:dyDescent="0.3">
      <c r="B4" t="s">
        <v>356</v>
      </c>
    </row>
    <row r="5" spans="2:16" x14ac:dyDescent="0.3">
      <c r="B5" t="s">
        <v>357</v>
      </c>
    </row>
    <row r="7" spans="2:16" x14ac:dyDescent="0.3">
      <c r="B7" t="s">
        <v>387</v>
      </c>
      <c r="E7" t="s">
        <v>397</v>
      </c>
      <c r="I7" t="s">
        <v>398</v>
      </c>
    </row>
    <row r="9" spans="2:16" x14ac:dyDescent="0.3">
      <c r="B9" t="s">
        <v>388</v>
      </c>
    </row>
    <row r="10" spans="2:16" x14ac:dyDescent="0.3">
      <c r="B10" t="s">
        <v>389</v>
      </c>
      <c r="J10" t="s">
        <v>402</v>
      </c>
    </row>
    <row r="11" spans="2:16" x14ac:dyDescent="0.3">
      <c r="D11" t="s">
        <v>399</v>
      </c>
    </row>
    <row r="12" spans="2:16" x14ac:dyDescent="0.3">
      <c r="B12" t="s">
        <v>390</v>
      </c>
      <c r="P12" t="s">
        <v>400</v>
      </c>
    </row>
    <row r="14" spans="2:16" x14ac:dyDescent="0.3">
      <c r="B14" t="s">
        <v>391</v>
      </c>
    </row>
    <row r="16" spans="2:16" x14ac:dyDescent="0.3">
      <c r="E16" t="s">
        <v>401</v>
      </c>
    </row>
    <row r="17" spans="1:9" x14ac:dyDescent="0.3">
      <c r="A17" s="12" t="s">
        <v>0</v>
      </c>
    </row>
    <row r="19" spans="1:9" x14ac:dyDescent="0.3">
      <c r="A19" t="s">
        <v>393</v>
      </c>
    </row>
    <row r="21" spans="1:9" x14ac:dyDescent="0.3">
      <c r="A21" t="s">
        <v>392</v>
      </c>
    </row>
    <row r="23" spans="1:9" x14ac:dyDescent="0.3">
      <c r="A23" t="s">
        <v>273</v>
      </c>
    </row>
    <row r="25" spans="1:9" x14ac:dyDescent="0.3">
      <c r="A25" s="12" t="s">
        <v>23</v>
      </c>
    </row>
    <row r="26" spans="1:9" x14ac:dyDescent="0.3">
      <c r="A26" t="s">
        <v>248</v>
      </c>
      <c r="I26" t="s">
        <v>310</v>
      </c>
    </row>
    <row r="27" spans="1:9" x14ac:dyDescent="0.3">
      <c r="A27" t="s">
        <v>290</v>
      </c>
      <c r="B27" t="s">
        <v>291</v>
      </c>
    </row>
    <row r="29" spans="1:9" x14ac:dyDescent="0.3">
      <c r="A29" t="s">
        <v>326</v>
      </c>
    </row>
    <row r="31" spans="1:9" x14ac:dyDescent="0.3">
      <c r="A31" t="s">
        <v>47</v>
      </c>
      <c r="E31" t="s">
        <v>394</v>
      </c>
    </row>
    <row r="33" spans="1:17" x14ac:dyDescent="0.3">
      <c r="A33" s="12" t="s">
        <v>69</v>
      </c>
    </row>
    <row r="34" spans="1:17" x14ac:dyDescent="0.3">
      <c r="A34" t="s">
        <v>98</v>
      </c>
      <c r="E34" t="s">
        <v>99</v>
      </c>
    </row>
    <row r="36" spans="1:17" x14ac:dyDescent="0.3">
      <c r="A36" t="s">
        <v>102</v>
      </c>
      <c r="E36" t="s">
        <v>103</v>
      </c>
      <c r="G36" t="s">
        <v>104</v>
      </c>
    </row>
    <row r="38" spans="1:17" x14ac:dyDescent="0.3">
      <c r="A38" t="s">
        <v>78</v>
      </c>
      <c r="E38" t="s">
        <v>79</v>
      </c>
    </row>
    <row r="40" spans="1:17" x14ac:dyDescent="0.3">
      <c r="A40" t="s">
        <v>192</v>
      </c>
    </row>
    <row r="42" spans="1:17" x14ac:dyDescent="0.3">
      <c r="A42" t="s">
        <v>275</v>
      </c>
      <c r="E42" t="s">
        <v>302</v>
      </c>
    </row>
    <row r="44" spans="1:17" x14ac:dyDescent="0.3">
      <c r="A44" s="12" t="s">
        <v>83</v>
      </c>
    </row>
    <row r="45" spans="1:17" x14ac:dyDescent="0.3">
      <c r="A45" t="s">
        <v>325</v>
      </c>
      <c r="L45" t="s">
        <v>93</v>
      </c>
      <c r="Q45" t="s">
        <v>94</v>
      </c>
    </row>
    <row r="47" spans="1:17" x14ac:dyDescent="0.3">
      <c r="A47" t="s">
        <v>96</v>
      </c>
    </row>
    <row r="49" spans="1:2" x14ac:dyDescent="0.3">
      <c r="A49" t="s">
        <v>296</v>
      </c>
    </row>
    <row r="51" spans="1:2" x14ac:dyDescent="0.3">
      <c r="A51" t="s">
        <v>285</v>
      </c>
    </row>
    <row r="53" spans="1:2" x14ac:dyDescent="0.3">
      <c r="A53" t="s">
        <v>297</v>
      </c>
    </row>
    <row r="54" spans="1:2" x14ac:dyDescent="0.3">
      <c r="B54" t="s">
        <v>298</v>
      </c>
    </row>
    <row r="56" spans="1:2" x14ac:dyDescent="0.3">
      <c r="A56" t="s">
        <v>350</v>
      </c>
    </row>
    <row r="58" spans="1:2" x14ac:dyDescent="0.3">
      <c r="A58" s="12" t="s">
        <v>224</v>
      </c>
    </row>
    <row r="59" spans="1:2" x14ac:dyDescent="0.3">
      <c r="A59" t="s">
        <v>225</v>
      </c>
    </row>
    <row r="61" spans="1:2" x14ac:dyDescent="0.3">
      <c r="A61" t="s">
        <v>234</v>
      </c>
    </row>
    <row r="63" spans="1:2" x14ac:dyDescent="0.3">
      <c r="A63" t="s">
        <v>395</v>
      </c>
    </row>
    <row r="65" spans="1:8" x14ac:dyDescent="0.3">
      <c r="A65" t="s">
        <v>396</v>
      </c>
      <c r="H65" s="13" t="s">
        <v>300</v>
      </c>
    </row>
    <row r="68" spans="1:8" x14ac:dyDescent="0.3">
      <c r="C68" t="s">
        <v>331</v>
      </c>
      <c r="E68" t="s">
        <v>403</v>
      </c>
    </row>
    <row r="69" spans="1:8" x14ac:dyDescent="0.3">
      <c r="C69" t="s">
        <v>341</v>
      </c>
      <c r="E69" t="s">
        <v>382</v>
      </c>
    </row>
    <row r="70" spans="1:8" x14ac:dyDescent="0.3">
      <c r="C70" t="s">
        <v>342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2:V62"/>
  <sheetViews>
    <sheetView topLeftCell="A34" workbookViewId="0">
      <selection activeCell="B16" sqref="B16:L22"/>
    </sheetView>
  </sheetViews>
  <sheetFormatPr defaultRowHeight="14.4" x14ac:dyDescent="0.3"/>
  <sheetData>
    <row r="2" spans="1:22" x14ac:dyDescent="0.3">
      <c r="B2" t="s">
        <v>354</v>
      </c>
    </row>
    <row r="3" spans="1:22" x14ac:dyDescent="0.3">
      <c r="B3" t="s">
        <v>355</v>
      </c>
    </row>
    <row r="4" spans="1:22" x14ac:dyDescent="0.3">
      <c r="B4" t="s">
        <v>356</v>
      </c>
    </row>
    <row r="5" spans="1:22" x14ac:dyDescent="0.3">
      <c r="B5" t="s">
        <v>357</v>
      </c>
    </row>
    <row r="7" spans="1:22" x14ac:dyDescent="0.3">
      <c r="B7" t="s">
        <v>387</v>
      </c>
      <c r="E7" t="s">
        <v>420</v>
      </c>
      <c r="J7" t="s">
        <v>421</v>
      </c>
      <c r="V7" t="s">
        <v>405</v>
      </c>
    </row>
    <row r="9" spans="1:22" x14ac:dyDescent="0.3">
      <c r="B9" t="s">
        <v>406</v>
      </c>
    </row>
    <row r="11" spans="1:22" x14ac:dyDescent="0.3">
      <c r="B11" t="s">
        <v>390</v>
      </c>
      <c r="O11" t="s">
        <v>404</v>
      </c>
    </row>
    <row r="13" spans="1:22" x14ac:dyDescent="0.3">
      <c r="B13" t="s">
        <v>419</v>
      </c>
    </row>
    <row r="14" spans="1:22" x14ac:dyDescent="0.3">
      <c r="A14" s="15" t="s">
        <v>0</v>
      </c>
    </row>
    <row r="16" spans="1:22" x14ac:dyDescent="0.3">
      <c r="B16" t="s">
        <v>407</v>
      </c>
      <c r="E16" t="s">
        <v>408</v>
      </c>
      <c r="I16" t="s">
        <v>409</v>
      </c>
    </row>
    <row r="18" spans="1:10" x14ac:dyDescent="0.3">
      <c r="B18" t="s">
        <v>410</v>
      </c>
    </row>
    <row r="20" spans="1:10" x14ac:dyDescent="0.3">
      <c r="B20" t="s">
        <v>18</v>
      </c>
      <c r="F20" s="1"/>
      <c r="G20" s="1"/>
      <c r="H20" s="1"/>
      <c r="I20" s="1" t="s">
        <v>19</v>
      </c>
      <c r="J20" s="1"/>
    </row>
    <row r="22" spans="1:10" x14ac:dyDescent="0.3">
      <c r="B22" t="s">
        <v>411</v>
      </c>
    </row>
    <row r="24" spans="1:10" x14ac:dyDescent="0.3">
      <c r="A24" s="15" t="s">
        <v>23</v>
      </c>
    </row>
    <row r="26" spans="1:10" x14ac:dyDescent="0.3">
      <c r="B26" t="s">
        <v>31</v>
      </c>
    </row>
    <row r="28" spans="1:10" x14ac:dyDescent="0.3">
      <c r="B28" t="s">
        <v>412</v>
      </c>
    </row>
    <row r="30" spans="1:10" x14ac:dyDescent="0.3">
      <c r="B30" t="s">
        <v>413</v>
      </c>
    </row>
    <row r="32" spans="1:10" x14ac:dyDescent="0.3">
      <c r="B32" t="s">
        <v>414</v>
      </c>
    </row>
    <row r="34" spans="1:10" x14ac:dyDescent="0.3">
      <c r="A34" s="15" t="s">
        <v>50</v>
      </c>
    </row>
    <row r="35" spans="1:10" x14ac:dyDescent="0.3">
      <c r="A35" t="s">
        <v>51</v>
      </c>
      <c r="C35" t="s">
        <v>54</v>
      </c>
    </row>
    <row r="36" spans="1:10" x14ac:dyDescent="0.3">
      <c r="A36" t="s">
        <v>52</v>
      </c>
      <c r="C36" t="s">
        <v>53</v>
      </c>
    </row>
    <row r="38" spans="1:10" x14ac:dyDescent="0.3">
      <c r="A38" s="15" t="s">
        <v>69</v>
      </c>
    </row>
    <row r="39" spans="1:10" x14ac:dyDescent="0.3">
      <c r="B39" t="s">
        <v>98</v>
      </c>
    </row>
    <row r="40" spans="1:10" x14ac:dyDescent="0.3">
      <c r="B40" t="s">
        <v>415</v>
      </c>
      <c r="C40" t="s">
        <v>416</v>
      </c>
    </row>
    <row r="41" spans="1:10" x14ac:dyDescent="0.3">
      <c r="B41" t="s">
        <v>102</v>
      </c>
    </row>
    <row r="42" spans="1:10" x14ac:dyDescent="0.3">
      <c r="B42" t="s">
        <v>417</v>
      </c>
    </row>
    <row r="43" spans="1:10" ht="15" x14ac:dyDescent="0.35">
      <c r="B43" s="14" t="s">
        <v>418</v>
      </c>
    </row>
    <row r="46" spans="1:10" x14ac:dyDescent="0.3">
      <c r="B46" t="s">
        <v>331</v>
      </c>
      <c r="E46" t="s">
        <v>423</v>
      </c>
      <c r="G46" t="s">
        <v>424</v>
      </c>
      <c r="J46" t="s">
        <v>425</v>
      </c>
    </row>
    <row r="47" spans="1:10" x14ac:dyDescent="0.3">
      <c r="B47" t="s">
        <v>341</v>
      </c>
      <c r="E47" t="s">
        <v>426</v>
      </c>
    </row>
    <row r="48" spans="1:10" x14ac:dyDescent="0.3">
      <c r="B48" t="s">
        <v>342</v>
      </c>
    </row>
    <row r="50" spans="1:17" x14ac:dyDescent="0.3">
      <c r="A50" s="12" t="s">
        <v>83</v>
      </c>
    </row>
    <row r="51" spans="1:17" x14ac:dyDescent="0.3">
      <c r="A51" t="s">
        <v>325</v>
      </c>
      <c r="L51" t="s">
        <v>93</v>
      </c>
      <c r="Q51" t="s">
        <v>94</v>
      </c>
    </row>
    <row r="53" spans="1:17" x14ac:dyDescent="0.3">
      <c r="A53" t="s">
        <v>96</v>
      </c>
    </row>
    <row r="55" spans="1:17" x14ac:dyDescent="0.3">
      <c r="A55" t="s">
        <v>296</v>
      </c>
    </row>
    <row r="57" spans="1:17" x14ac:dyDescent="0.3">
      <c r="A57" t="s">
        <v>285</v>
      </c>
    </row>
    <row r="59" spans="1:17" x14ac:dyDescent="0.3">
      <c r="A59" t="s">
        <v>297</v>
      </c>
    </row>
    <row r="60" spans="1:17" x14ac:dyDescent="0.3">
      <c r="B60" t="s">
        <v>298</v>
      </c>
    </row>
    <row r="62" spans="1:17" x14ac:dyDescent="0.3">
      <c r="A62" t="s">
        <v>350</v>
      </c>
      <c r="G62" t="s">
        <v>422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2:X65"/>
  <sheetViews>
    <sheetView topLeftCell="A31" workbookViewId="0">
      <selection activeCell="G49" sqref="A1:XFD1048576"/>
    </sheetView>
  </sheetViews>
  <sheetFormatPr defaultRowHeight="14.4" x14ac:dyDescent="0.3"/>
  <sheetData>
    <row r="2" spans="1:24" x14ac:dyDescent="0.3">
      <c r="B2" t="s">
        <v>386</v>
      </c>
      <c r="E2" t="s">
        <v>439</v>
      </c>
    </row>
    <row r="3" spans="1:24" x14ac:dyDescent="0.3">
      <c r="B3" t="s">
        <v>309</v>
      </c>
    </row>
    <row r="6" spans="1:24" x14ac:dyDescent="0.3">
      <c r="B6" t="s">
        <v>435</v>
      </c>
    </row>
    <row r="7" spans="1:24" x14ac:dyDescent="0.3">
      <c r="B7" t="s">
        <v>436</v>
      </c>
    </row>
    <row r="8" spans="1:24" x14ac:dyDescent="0.3">
      <c r="L8" t="s">
        <v>445</v>
      </c>
      <c r="N8" t="s">
        <v>444</v>
      </c>
    </row>
    <row r="9" spans="1:24" x14ac:dyDescent="0.3">
      <c r="B9" t="s">
        <v>293</v>
      </c>
      <c r="E9" t="s">
        <v>443</v>
      </c>
      <c r="J9" t="s">
        <v>441</v>
      </c>
      <c r="L9" t="s">
        <v>442</v>
      </c>
    </row>
    <row r="11" spans="1:24" x14ac:dyDescent="0.3">
      <c r="B11" t="s">
        <v>390</v>
      </c>
      <c r="O11" t="s">
        <v>404</v>
      </c>
    </row>
    <row r="12" spans="1:24" x14ac:dyDescent="0.3">
      <c r="B12" t="s">
        <v>440</v>
      </c>
    </row>
    <row r="13" spans="1:24" ht="15" x14ac:dyDescent="0.35">
      <c r="B13" t="s">
        <v>419</v>
      </c>
      <c r="K13" t="s">
        <v>430</v>
      </c>
      <c r="M13" t="s">
        <v>427</v>
      </c>
      <c r="U13" t="s">
        <v>429</v>
      </c>
      <c r="W13" t="s">
        <v>432</v>
      </c>
      <c r="X13" t="s">
        <v>431</v>
      </c>
    </row>
    <row r="14" spans="1:24" ht="15" x14ac:dyDescent="0.35">
      <c r="K14" t="s">
        <v>437</v>
      </c>
      <c r="M14" t="s">
        <v>428</v>
      </c>
    </row>
    <row r="15" spans="1:24" x14ac:dyDescent="0.3">
      <c r="A15" s="12" t="s">
        <v>0</v>
      </c>
      <c r="K15" t="s">
        <v>438</v>
      </c>
      <c r="X15" t="s">
        <v>433</v>
      </c>
    </row>
    <row r="16" spans="1:24" x14ac:dyDescent="0.3">
      <c r="A16" t="s">
        <v>267</v>
      </c>
    </row>
    <row r="17" spans="1:9" x14ac:dyDescent="0.3">
      <c r="B17" t="s">
        <v>269</v>
      </c>
      <c r="E17" t="s">
        <v>270</v>
      </c>
    </row>
    <row r="19" spans="1:9" x14ac:dyDescent="0.3">
      <c r="B19" t="s">
        <v>271</v>
      </c>
    </row>
    <row r="22" spans="1:9" x14ac:dyDescent="0.3">
      <c r="A22" t="s">
        <v>289</v>
      </c>
    </row>
    <row r="24" spans="1:9" x14ac:dyDescent="0.3">
      <c r="A24" t="s">
        <v>295</v>
      </c>
    </row>
    <row r="26" spans="1:9" x14ac:dyDescent="0.3">
      <c r="A26" t="s">
        <v>273</v>
      </c>
    </row>
    <row r="28" spans="1:9" x14ac:dyDescent="0.3">
      <c r="A28" s="12" t="s">
        <v>23</v>
      </c>
    </row>
    <row r="29" spans="1:9" x14ac:dyDescent="0.3">
      <c r="A29" t="s">
        <v>248</v>
      </c>
      <c r="C29" t="s">
        <v>30</v>
      </c>
      <c r="I29" t="s">
        <v>310</v>
      </c>
    </row>
    <row r="30" spans="1:9" x14ac:dyDescent="0.3">
      <c r="A30" t="s">
        <v>290</v>
      </c>
      <c r="B30" t="s">
        <v>291</v>
      </c>
    </row>
    <row r="32" spans="1:9" x14ac:dyDescent="0.3">
      <c r="A32" t="s">
        <v>326</v>
      </c>
    </row>
    <row r="34" spans="1:12" x14ac:dyDescent="0.3">
      <c r="A34" t="s">
        <v>43</v>
      </c>
      <c r="D34" t="s">
        <v>42</v>
      </c>
    </row>
    <row r="36" spans="1:12" x14ac:dyDescent="0.3">
      <c r="A36" t="s">
        <v>47</v>
      </c>
    </row>
    <row r="38" spans="1:12" x14ac:dyDescent="0.3">
      <c r="A38" s="12" t="s">
        <v>69</v>
      </c>
    </row>
    <row r="39" spans="1:12" x14ac:dyDescent="0.3">
      <c r="A39" t="s">
        <v>98</v>
      </c>
      <c r="E39" t="s">
        <v>99</v>
      </c>
    </row>
    <row r="41" spans="1:12" x14ac:dyDescent="0.3">
      <c r="A41" t="s">
        <v>102</v>
      </c>
      <c r="E41" t="s">
        <v>103</v>
      </c>
      <c r="G41" t="s">
        <v>104</v>
      </c>
    </row>
    <row r="43" spans="1:12" x14ac:dyDescent="0.3">
      <c r="A43" t="s">
        <v>78</v>
      </c>
      <c r="E43" t="s">
        <v>79</v>
      </c>
    </row>
    <row r="45" spans="1:12" x14ac:dyDescent="0.3">
      <c r="A45" t="s">
        <v>275</v>
      </c>
      <c r="E45" t="s">
        <v>302</v>
      </c>
    </row>
    <row r="47" spans="1:12" x14ac:dyDescent="0.3">
      <c r="A47" s="12" t="s">
        <v>83</v>
      </c>
    </row>
    <row r="48" spans="1:12" x14ac:dyDescent="0.3">
      <c r="A48" t="s">
        <v>325</v>
      </c>
      <c r="L48" t="s">
        <v>93</v>
      </c>
    </row>
    <row r="50" spans="1:17" x14ac:dyDescent="0.3">
      <c r="A50" t="s">
        <v>96</v>
      </c>
    </row>
    <row r="52" spans="1:17" x14ac:dyDescent="0.3">
      <c r="A52" t="s">
        <v>296</v>
      </c>
      <c r="Q52" t="s">
        <v>94</v>
      </c>
    </row>
    <row r="54" spans="1:17" x14ac:dyDescent="0.3">
      <c r="A54" t="s">
        <v>285</v>
      </c>
    </row>
    <row r="56" spans="1:17" x14ac:dyDescent="0.3">
      <c r="A56" t="s">
        <v>297</v>
      </c>
    </row>
    <row r="57" spans="1:17" x14ac:dyDescent="0.3">
      <c r="B57" t="s">
        <v>298</v>
      </c>
    </row>
    <row r="59" spans="1:17" x14ac:dyDescent="0.3">
      <c r="A59" t="s">
        <v>350</v>
      </c>
    </row>
    <row r="63" spans="1:17" x14ac:dyDescent="0.3">
      <c r="C63" t="s">
        <v>331</v>
      </c>
      <c r="E63" t="s">
        <v>446</v>
      </c>
    </row>
    <row r="65" spans="3:3" x14ac:dyDescent="0.3">
      <c r="C65" t="s">
        <v>434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9"/>
  <dimension ref="A2:S72"/>
  <sheetViews>
    <sheetView zoomScale="85" zoomScaleNormal="85" workbookViewId="0">
      <selection activeCell="P9" sqref="P9"/>
    </sheetView>
  </sheetViews>
  <sheetFormatPr defaultRowHeight="14.4" x14ac:dyDescent="0.3"/>
  <sheetData>
    <row r="2" spans="1:11" x14ac:dyDescent="0.3">
      <c r="B2">
        <v>15000</v>
      </c>
      <c r="C2">
        <f>B2*1.85/12</f>
        <v>2312.5</v>
      </c>
    </row>
    <row r="4" spans="1:11" x14ac:dyDescent="0.3">
      <c r="B4" t="s">
        <v>470</v>
      </c>
      <c r="H4" t="s">
        <v>523</v>
      </c>
    </row>
    <row r="6" spans="1:11" x14ac:dyDescent="0.3">
      <c r="B6" t="s">
        <v>521</v>
      </c>
    </row>
    <row r="8" spans="1:11" x14ac:dyDescent="0.3">
      <c r="B8" t="s">
        <v>468</v>
      </c>
    </row>
    <row r="10" spans="1:11" x14ac:dyDescent="0.3">
      <c r="B10" t="s">
        <v>469</v>
      </c>
    </row>
    <row r="12" spans="1:11" x14ac:dyDescent="0.3">
      <c r="B12" t="s">
        <v>471</v>
      </c>
    </row>
    <row r="14" spans="1:11" x14ac:dyDescent="0.3">
      <c r="B14" t="s">
        <v>472</v>
      </c>
      <c r="K14" t="s">
        <v>473</v>
      </c>
    </row>
    <row r="16" spans="1:11" x14ac:dyDescent="0.3">
      <c r="A16" s="12" t="s">
        <v>0</v>
      </c>
    </row>
    <row r="18" spans="1:19" x14ac:dyDescent="0.3">
      <c r="A18" t="s">
        <v>475</v>
      </c>
      <c r="L18">
        <v>2</v>
      </c>
      <c r="M18">
        <f>VLOOKUP(L18,O18:O21,1,TRUE)</f>
        <v>1</v>
      </c>
      <c r="O18">
        <v>1</v>
      </c>
    </row>
    <row r="19" spans="1:19" x14ac:dyDescent="0.3">
      <c r="F19" t="s">
        <v>476</v>
      </c>
      <c r="O19">
        <v>3</v>
      </c>
    </row>
    <row r="20" spans="1:19" x14ac:dyDescent="0.3">
      <c r="A20" t="s">
        <v>474</v>
      </c>
      <c r="O20">
        <v>3</v>
      </c>
    </row>
    <row r="21" spans="1:19" x14ac:dyDescent="0.3">
      <c r="N21" s="1"/>
      <c r="O21" s="1"/>
      <c r="P21" s="1"/>
      <c r="Q21" s="1"/>
      <c r="R21" s="1"/>
    </row>
    <row r="22" spans="1:19" x14ac:dyDescent="0.3">
      <c r="A22" t="s">
        <v>477</v>
      </c>
      <c r="F22" t="s">
        <v>478</v>
      </c>
    </row>
    <row r="23" spans="1:19" x14ac:dyDescent="0.3">
      <c r="J23" t="s">
        <v>480</v>
      </c>
    </row>
    <row r="24" spans="1:19" x14ac:dyDescent="0.3">
      <c r="J24" t="s">
        <v>22</v>
      </c>
    </row>
    <row r="25" spans="1:19" x14ac:dyDescent="0.3">
      <c r="A25" t="s">
        <v>479</v>
      </c>
    </row>
    <row r="27" spans="1:19" x14ac:dyDescent="0.3">
      <c r="A27" s="12" t="s">
        <v>23</v>
      </c>
    </row>
    <row r="28" spans="1:19" x14ac:dyDescent="0.3">
      <c r="A28" t="s">
        <v>248</v>
      </c>
      <c r="C28" t="s">
        <v>30</v>
      </c>
      <c r="N28" t="s">
        <v>481</v>
      </c>
    </row>
    <row r="29" spans="1:19" x14ac:dyDescent="0.3">
      <c r="A29" t="s">
        <v>290</v>
      </c>
      <c r="B29" t="s">
        <v>291</v>
      </c>
    </row>
    <row r="31" spans="1:19" ht="18" x14ac:dyDescent="0.3">
      <c r="A31" t="s">
        <v>482</v>
      </c>
      <c r="S31" s="16" t="s">
        <v>489</v>
      </c>
    </row>
    <row r="32" spans="1:19" x14ac:dyDescent="0.3">
      <c r="S32" s="17"/>
    </row>
    <row r="33" spans="1:19" x14ac:dyDescent="0.3">
      <c r="A33" t="s">
        <v>483</v>
      </c>
      <c r="S33" s="17" t="s">
        <v>490</v>
      </c>
    </row>
    <row r="34" spans="1:19" x14ac:dyDescent="0.3">
      <c r="S34" s="17" t="s">
        <v>491</v>
      </c>
    </row>
    <row r="35" spans="1:19" x14ac:dyDescent="0.3">
      <c r="A35" t="s">
        <v>484</v>
      </c>
    </row>
    <row r="36" spans="1:19" ht="18" x14ac:dyDescent="0.3">
      <c r="S36" s="16" t="s">
        <v>492</v>
      </c>
    </row>
    <row r="37" spans="1:19" x14ac:dyDescent="0.3">
      <c r="A37" s="12" t="s">
        <v>69</v>
      </c>
      <c r="C37" t="s">
        <v>457</v>
      </c>
      <c r="S37" s="17"/>
    </row>
    <row r="38" spans="1:19" x14ac:dyDescent="0.3">
      <c r="A38" t="s">
        <v>485</v>
      </c>
      <c r="F38" t="s">
        <v>486</v>
      </c>
      <c r="S38" s="17" t="s">
        <v>493</v>
      </c>
    </row>
    <row r="39" spans="1:19" x14ac:dyDescent="0.3">
      <c r="S39" s="17" t="s">
        <v>494</v>
      </c>
    </row>
    <row r="40" spans="1:19" x14ac:dyDescent="0.3">
      <c r="A40" t="s">
        <v>102</v>
      </c>
      <c r="E40" t="s">
        <v>103</v>
      </c>
      <c r="G40" t="s">
        <v>104</v>
      </c>
    </row>
    <row r="41" spans="1:19" ht="18" x14ac:dyDescent="0.3">
      <c r="S41" s="16" t="s">
        <v>495</v>
      </c>
    </row>
    <row r="42" spans="1:19" x14ac:dyDescent="0.3">
      <c r="A42" t="s">
        <v>78</v>
      </c>
      <c r="E42" t="s">
        <v>79</v>
      </c>
      <c r="S42" s="17"/>
    </row>
    <row r="43" spans="1:19" x14ac:dyDescent="0.3">
      <c r="S43" s="17" t="s">
        <v>496</v>
      </c>
    </row>
    <row r="44" spans="1:19" x14ac:dyDescent="0.3">
      <c r="A44" t="s">
        <v>487</v>
      </c>
      <c r="E44" t="s">
        <v>302</v>
      </c>
      <c r="G44" t="s">
        <v>488</v>
      </c>
      <c r="S44" s="17" t="s">
        <v>497</v>
      </c>
    </row>
    <row r="45" spans="1:19" x14ac:dyDescent="0.3">
      <c r="A45" t="s">
        <v>510</v>
      </c>
    </row>
    <row r="47" spans="1:19" ht="18" x14ac:dyDescent="0.3">
      <c r="A47" s="12" t="s">
        <v>83</v>
      </c>
      <c r="S47" s="16" t="s">
        <v>498</v>
      </c>
    </row>
    <row r="48" spans="1:19" x14ac:dyDescent="0.3">
      <c r="A48" t="s">
        <v>513</v>
      </c>
      <c r="S48" s="17"/>
    </row>
    <row r="49" spans="1:19" x14ac:dyDescent="0.3">
      <c r="S49" s="17" t="s">
        <v>499</v>
      </c>
    </row>
    <row r="50" spans="1:19" x14ac:dyDescent="0.3">
      <c r="A50" t="s">
        <v>512</v>
      </c>
      <c r="S50" s="17" t="s">
        <v>500</v>
      </c>
    </row>
    <row r="52" spans="1:19" ht="18" x14ac:dyDescent="0.3">
      <c r="A52" t="s">
        <v>296</v>
      </c>
      <c r="S52" s="16" t="s">
        <v>501</v>
      </c>
    </row>
    <row r="53" spans="1:19" x14ac:dyDescent="0.3">
      <c r="S53" s="17"/>
    </row>
    <row r="54" spans="1:19" x14ac:dyDescent="0.3">
      <c r="A54" t="s">
        <v>514</v>
      </c>
      <c r="S54" s="17" t="s">
        <v>502</v>
      </c>
    </row>
    <row r="55" spans="1:19" x14ac:dyDescent="0.3">
      <c r="S55" s="17" t="s">
        <v>503</v>
      </c>
    </row>
    <row r="56" spans="1:19" x14ac:dyDescent="0.3">
      <c r="A56" t="s">
        <v>511</v>
      </c>
    </row>
    <row r="57" spans="1:19" ht="18" x14ac:dyDescent="0.3">
      <c r="S57" s="16" t="s">
        <v>504</v>
      </c>
    </row>
    <row r="58" spans="1:19" x14ac:dyDescent="0.3">
      <c r="A58" t="s">
        <v>515</v>
      </c>
      <c r="S58" s="17"/>
    </row>
    <row r="59" spans="1:19" x14ac:dyDescent="0.3">
      <c r="S59" s="17" t="s">
        <v>505</v>
      </c>
    </row>
    <row r="60" spans="1:19" x14ac:dyDescent="0.3">
      <c r="A60" t="s">
        <v>516</v>
      </c>
      <c r="S60" s="17" t="s">
        <v>506</v>
      </c>
    </row>
    <row r="62" spans="1:19" ht="18" x14ac:dyDescent="0.3">
      <c r="S62" s="16" t="s">
        <v>507</v>
      </c>
    </row>
    <row r="63" spans="1:19" x14ac:dyDescent="0.3">
      <c r="A63" s="12" t="s">
        <v>224</v>
      </c>
      <c r="S63" s="17"/>
    </row>
    <row r="64" spans="1:19" x14ac:dyDescent="0.3">
      <c r="A64" t="s">
        <v>517</v>
      </c>
      <c r="S64" s="17" t="s">
        <v>508</v>
      </c>
    </row>
    <row r="65" spans="1:19" ht="15" x14ac:dyDescent="0.3">
      <c r="S65" s="17" t="s">
        <v>509</v>
      </c>
    </row>
    <row r="66" spans="1:19" x14ac:dyDescent="0.3">
      <c r="A66" t="s">
        <v>518</v>
      </c>
    </row>
    <row r="68" spans="1:19" x14ac:dyDescent="0.3">
      <c r="A68" t="s">
        <v>519</v>
      </c>
    </row>
    <row r="70" spans="1:19" x14ac:dyDescent="0.3">
      <c r="A70" t="s">
        <v>520</v>
      </c>
      <c r="G70" s="13" t="s">
        <v>300</v>
      </c>
    </row>
    <row r="72" spans="1:19" x14ac:dyDescent="0.3">
      <c r="B72" t="s">
        <v>458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6CDBE-8A26-4BA4-9E0E-F4DFF69F8FF3}">
  <sheetPr codeName="Sheet30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D779F-0538-4F0E-A469-06481DE2690F}">
  <dimension ref="A2:X65"/>
  <sheetViews>
    <sheetView topLeftCell="A31" workbookViewId="0">
      <selection activeCell="I46" sqref="A1:XFD1048576"/>
    </sheetView>
  </sheetViews>
  <sheetFormatPr defaultRowHeight="14.4" x14ac:dyDescent="0.3"/>
  <sheetData>
    <row r="2" spans="1:24" x14ac:dyDescent="0.3">
      <c r="E2" t="s">
        <v>439</v>
      </c>
    </row>
    <row r="6" spans="1:24" x14ac:dyDescent="0.3">
      <c r="B6" t="s">
        <v>524</v>
      </c>
    </row>
    <row r="7" spans="1:24" x14ac:dyDescent="0.3">
      <c r="B7" t="s">
        <v>525</v>
      </c>
    </row>
    <row r="8" spans="1:24" x14ac:dyDescent="0.3">
      <c r="B8" t="s">
        <v>529</v>
      </c>
      <c r="L8" t="s">
        <v>445</v>
      </c>
      <c r="N8" t="s">
        <v>444</v>
      </c>
    </row>
    <row r="9" spans="1:24" x14ac:dyDescent="0.3">
      <c r="B9" t="s">
        <v>526</v>
      </c>
      <c r="J9" t="s">
        <v>441</v>
      </c>
      <c r="L9" t="s">
        <v>442</v>
      </c>
    </row>
    <row r="11" spans="1:24" x14ac:dyDescent="0.3">
      <c r="B11" t="s">
        <v>527</v>
      </c>
      <c r="O11" t="s">
        <v>404</v>
      </c>
    </row>
    <row r="12" spans="1:24" x14ac:dyDescent="0.3">
      <c r="B12" t="s">
        <v>528</v>
      </c>
    </row>
    <row r="13" spans="1:24" ht="15" x14ac:dyDescent="0.35">
      <c r="K13" t="s">
        <v>430</v>
      </c>
      <c r="M13" t="s">
        <v>427</v>
      </c>
      <c r="U13" t="s">
        <v>429</v>
      </c>
      <c r="W13" t="s">
        <v>432</v>
      </c>
      <c r="X13" t="s">
        <v>431</v>
      </c>
    </row>
    <row r="14" spans="1:24" ht="15" x14ac:dyDescent="0.35">
      <c r="K14" t="s">
        <v>437</v>
      </c>
      <c r="M14" t="s">
        <v>428</v>
      </c>
    </row>
    <row r="15" spans="1:24" x14ac:dyDescent="0.3">
      <c r="A15" s="12" t="s">
        <v>0</v>
      </c>
      <c r="K15" t="s">
        <v>438</v>
      </c>
      <c r="X15" t="s">
        <v>433</v>
      </c>
    </row>
    <row r="16" spans="1:24" x14ac:dyDescent="0.3">
      <c r="A16" t="s">
        <v>267</v>
      </c>
    </row>
    <row r="17" spans="1:9" x14ac:dyDescent="0.3">
      <c r="B17" t="s">
        <v>269</v>
      </c>
      <c r="E17" t="s">
        <v>270</v>
      </c>
    </row>
    <row r="19" spans="1:9" x14ac:dyDescent="0.3">
      <c r="B19" t="s">
        <v>271</v>
      </c>
    </row>
    <row r="22" spans="1:9" x14ac:dyDescent="0.3">
      <c r="A22" t="s">
        <v>289</v>
      </c>
    </row>
    <row r="24" spans="1:9" x14ac:dyDescent="0.3">
      <c r="A24" t="s">
        <v>295</v>
      </c>
    </row>
    <row r="26" spans="1:9" x14ac:dyDescent="0.3">
      <c r="A26" t="s">
        <v>273</v>
      </c>
    </row>
    <row r="28" spans="1:9" x14ac:dyDescent="0.3">
      <c r="A28" s="12" t="s">
        <v>23</v>
      </c>
    </row>
    <row r="29" spans="1:9" x14ac:dyDescent="0.3">
      <c r="A29" t="s">
        <v>248</v>
      </c>
      <c r="C29" t="s">
        <v>30</v>
      </c>
      <c r="I29" t="s">
        <v>310</v>
      </c>
    </row>
    <row r="30" spans="1:9" x14ac:dyDescent="0.3">
      <c r="A30" t="s">
        <v>290</v>
      </c>
      <c r="B30" t="s">
        <v>291</v>
      </c>
    </row>
    <row r="32" spans="1:9" x14ac:dyDescent="0.3">
      <c r="A32" t="s">
        <v>326</v>
      </c>
    </row>
    <row r="34" spans="1:12" x14ac:dyDescent="0.3">
      <c r="A34" t="s">
        <v>43</v>
      </c>
      <c r="D34" t="s">
        <v>42</v>
      </c>
    </row>
    <row r="36" spans="1:12" x14ac:dyDescent="0.3">
      <c r="A36" t="s">
        <v>47</v>
      </c>
    </row>
    <row r="38" spans="1:12" x14ac:dyDescent="0.3">
      <c r="A38" s="12" t="s">
        <v>69</v>
      </c>
    </row>
    <row r="39" spans="1:12" x14ac:dyDescent="0.3">
      <c r="A39" t="s">
        <v>98</v>
      </c>
      <c r="E39" t="s">
        <v>99</v>
      </c>
    </row>
    <row r="41" spans="1:12" x14ac:dyDescent="0.3">
      <c r="A41" t="s">
        <v>102</v>
      </c>
      <c r="E41" t="s">
        <v>103</v>
      </c>
      <c r="G41" t="s">
        <v>104</v>
      </c>
    </row>
    <row r="43" spans="1:12" x14ac:dyDescent="0.3">
      <c r="A43" t="s">
        <v>78</v>
      </c>
      <c r="E43" t="s">
        <v>79</v>
      </c>
    </row>
    <row r="45" spans="1:12" x14ac:dyDescent="0.3">
      <c r="A45" t="s">
        <v>275</v>
      </c>
      <c r="E45" t="s">
        <v>302</v>
      </c>
    </row>
    <row r="47" spans="1:12" x14ac:dyDescent="0.3">
      <c r="A47" s="12" t="s">
        <v>83</v>
      </c>
    </row>
    <row r="48" spans="1:12" x14ac:dyDescent="0.3">
      <c r="A48" t="s">
        <v>325</v>
      </c>
      <c r="L48" t="s">
        <v>93</v>
      </c>
    </row>
    <row r="50" spans="1:17" x14ac:dyDescent="0.3">
      <c r="A50" t="s">
        <v>96</v>
      </c>
    </row>
    <row r="52" spans="1:17" x14ac:dyDescent="0.3">
      <c r="A52" t="s">
        <v>296</v>
      </c>
      <c r="Q52" t="s">
        <v>94</v>
      </c>
    </row>
    <row r="54" spans="1:17" x14ac:dyDescent="0.3">
      <c r="A54" t="s">
        <v>285</v>
      </c>
    </row>
    <row r="56" spans="1:17" x14ac:dyDescent="0.3">
      <c r="A56" t="s">
        <v>297</v>
      </c>
    </row>
    <row r="57" spans="1:17" x14ac:dyDescent="0.3">
      <c r="B57" t="s">
        <v>298</v>
      </c>
    </row>
    <row r="59" spans="1:17" x14ac:dyDescent="0.3">
      <c r="A59" t="s">
        <v>350</v>
      </c>
    </row>
    <row r="62" spans="1:17" x14ac:dyDescent="0.3">
      <c r="C62" t="s">
        <v>530</v>
      </c>
    </row>
    <row r="65" spans="3:3" x14ac:dyDescent="0.3">
      <c r="C65" t="s">
        <v>434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64240-8D04-418B-A66F-7EA559303B9E}">
  <dimension ref="A2:Q65"/>
  <sheetViews>
    <sheetView topLeftCell="A28" workbookViewId="0">
      <selection activeCell="K7" sqref="A1:XFD1048576"/>
    </sheetView>
  </sheetViews>
  <sheetFormatPr defaultRowHeight="14.4" x14ac:dyDescent="0.3"/>
  <sheetData>
    <row r="2" spans="1:6" x14ac:dyDescent="0.3">
      <c r="E2" t="s">
        <v>439</v>
      </c>
    </row>
    <row r="4" spans="1:6" x14ac:dyDescent="0.3">
      <c r="B4" t="s">
        <v>534</v>
      </c>
    </row>
    <row r="5" spans="1:6" x14ac:dyDescent="0.3">
      <c r="B5" t="s">
        <v>531</v>
      </c>
    </row>
    <row r="7" spans="1:6" x14ac:dyDescent="0.3">
      <c r="B7" t="s">
        <v>532</v>
      </c>
    </row>
    <row r="9" spans="1:6" x14ac:dyDescent="0.3">
      <c r="B9" t="s">
        <v>533</v>
      </c>
    </row>
    <row r="10" spans="1:6" x14ac:dyDescent="0.3">
      <c r="B10" t="s">
        <v>536</v>
      </c>
      <c r="F10" t="s">
        <v>537</v>
      </c>
    </row>
    <row r="12" spans="1:6" x14ac:dyDescent="0.3">
      <c r="B12" t="s">
        <v>535</v>
      </c>
    </row>
    <row r="15" spans="1:6" x14ac:dyDescent="0.3">
      <c r="A15" s="12" t="s">
        <v>0</v>
      </c>
    </row>
    <row r="16" spans="1:6" x14ac:dyDescent="0.3">
      <c r="A16" t="s">
        <v>267</v>
      </c>
    </row>
    <row r="17" spans="1:9" x14ac:dyDescent="0.3">
      <c r="B17" t="s">
        <v>269</v>
      </c>
      <c r="E17" t="s">
        <v>270</v>
      </c>
    </row>
    <row r="19" spans="1:9" x14ac:dyDescent="0.3">
      <c r="B19" t="s">
        <v>271</v>
      </c>
    </row>
    <row r="22" spans="1:9" x14ac:dyDescent="0.3">
      <c r="A22" t="s">
        <v>289</v>
      </c>
    </row>
    <row r="24" spans="1:9" x14ac:dyDescent="0.3">
      <c r="A24" t="s">
        <v>295</v>
      </c>
    </row>
    <row r="26" spans="1:9" x14ac:dyDescent="0.3">
      <c r="A26" t="s">
        <v>273</v>
      </c>
    </row>
    <row r="28" spans="1:9" x14ac:dyDescent="0.3">
      <c r="A28" s="12" t="s">
        <v>23</v>
      </c>
    </row>
    <row r="29" spans="1:9" x14ac:dyDescent="0.3">
      <c r="A29" t="s">
        <v>248</v>
      </c>
      <c r="C29" t="s">
        <v>30</v>
      </c>
      <c r="I29" t="s">
        <v>310</v>
      </c>
    </row>
    <row r="30" spans="1:9" x14ac:dyDescent="0.3">
      <c r="A30" t="s">
        <v>290</v>
      </c>
      <c r="B30" t="s">
        <v>291</v>
      </c>
    </row>
    <row r="32" spans="1:9" x14ac:dyDescent="0.3">
      <c r="A32" t="s">
        <v>326</v>
      </c>
    </row>
    <row r="34" spans="1:12" x14ac:dyDescent="0.3">
      <c r="A34" t="s">
        <v>43</v>
      </c>
      <c r="D34" t="s">
        <v>42</v>
      </c>
    </row>
    <row r="36" spans="1:12" x14ac:dyDescent="0.3">
      <c r="A36" t="s">
        <v>47</v>
      </c>
    </row>
    <row r="38" spans="1:12" x14ac:dyDescent="0.3">
      <c r="A38" s="12" t="s">
        <v>69</v>
      </c>
    </row>
    <row r="39" spans="1:12" x14ac:dyDescent="0.3">
      <c r="A39" t="s">
        <v>98</v>
      </c>
      <c r="E39" t="s">
        <v>99</v>
      </c>
    </row>
    <row r="41" spans="1:12" x14ac:dyDescent="0.3">
      <c r="A41" t="s">
        <v>102</v>
      </c>
      <c r="E41" t="s">
        <v>103</v>
      </c>
      <c r="G41" t="s">
        <v>104</v>
      </c>
    </row>
    <row r="43" spans="1:12" x14ac:dyDescent="0.3">
      <c r="A43" t="s">
        <v>78</v>
      </c>
      <c r="E43" t="s">
        <v>79</v>
      </c>
    </row>
    <row r="45" spans="1:12" x14ac:dyDescent="0.3">
      <c r="A45" t="s">
        <v>275</v>
      </c>
      <c r="E45" t="s">
        <v>302</v>
      </c>
    </row>
    <row r="47" spans="1:12" x14ac:dyDescent="0.3">
      <c r="A47" s="12" t="s">
        <v>83</v>
      </c>
    </row>
    <row r="48" spans="1:12" x14ac:dyDescent="0.3">
      <c r="A48" t="s">
        <v>325</v>
      </c>
      <c r="L48" t="s">
        <v>93</v>
      </c>
    </row>
    <row r="50" spans="1:17" x14ac:dyDescent="0.3">
      <c r="A50" t="s">
        <v>96</v>
      </c>
    </row>
    <row r="52" spans="1:17" x14ac:dyDescent="0.3">
      <c r="A52" t="s">
        <v>296</v>
      </c>
      <c r="Q52" t="s">
        <v>94</v>
      </c>
    </row>
    <row r="54" spans="1:17" x14ac:dyDescent="0.3">
      <c r="A54" t="s">
        <v>285</v>
      </c>
    </row>
    <row r="56" spans="1:17" x14ac:dyDescent="0.3">
      <c r="A56" t="s">
        <v>297</v>
      </c>
    </row>
    <row r="57" spans="1:17" x14ac:dyDescent="0.3">
      <c r="B57" t="s">
        <v>298</v>
      </c>
    </row>
    <row r="59" spans="1:17" x14ac:dyDescent="0.3">
      <c r="A59" t="s">
        <v>350</v>
      </c>
    </row>
    <row r="62" spans="1:17" x14ac:dyDescent="0.3">
      <c r="C62" t="s">
        <v>530</v>
      </c>
    </row>
    <row r="65" spans="3:3" x14ac:dyDescent="0.3">
      <c r="C65" t="s">
        <v>434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7CE9-C44D-49BC-9CE0-15CA4000809C}">
  <dimension ref="A2:Q65"/>
  <sheetViews>
    <sheetView workbookViewId="0">
      <selection activeCell="G26" sqref="A1:XFD1048576"/>
    </sheetView>
  </sheetViews>
  <sheetFormatPr defaultRowHeight="14.4" x14ac:dyDescent="0.3"/>
  <sheetData>
    <row r="2" spans="1:10" x14ac:dyDescent="0.3">
      <c r="E2" t="s">
        <v>439</v>
      </c>
    </row>
    <row r="4" spans="1:10" x14ac:dyDescent="0.3">
      <c r="C4" t="s">
        <v>538</v>
      </c>
      <c r="F4" t="s">
        <v>544</v>
      </c>
    </row>
    <row r="6" spans="1:10" x14ac:dyDescent="0.3">
      <c r="C6" t="s">
        <v>539</v>
      </c>
      <c r="H6">
        <v>2</v>
      </c>
    </row>
    <row r="7" spans="1:10" x14ac:dyDescent="0.3">
      <c r="C7" t="s">
        <v>542</v>
      </c>
      <c r="G7" t="s">
        <v>543</v>
      </c>
    </row>
    <row r="8" spans="1:10" x14ac:dyDescent="0.3">
      <c r="C8" t="s">
        <v>540</v>
      </c>
    </row>
    <row r="10" spans="1:10" x14ac:dyDescent="0.3">
      <c r="C10" t="s">
        <v>541</v>
      </c>
    </row>
    <row r="15" spans="1:10" x14ac:dyDescent="0.3">
      <c r="A15" s="12" t="s">
        <v>0</v>
      </c>
    </row>
    <row r="16" spans="1:10" x14ac:dyDescent="0.3">
      <c r="A16" t="s">
        <v>267</v>
      </c>
      <c r="I16">
        <v>1</v>
      </c>
      <c r="J16" t="s">
        <v>545</v>
      </c>
    </row>
    <row r="17" spans="1:10" x14ac:dyDescent="0.3">
      <c r="B17" t="s">
        <v>269</v>
      </c>
      <c r="E17" t="s">
        <v>270</v>
      </c>
      <c r="J17" t="s">
        <v>545</v>
      </c>
    </row>
    <row r="18" spans="1:10" x14ac:dyDescent="0.3">
      <c r="I18">
        <v>3</v>
      </c>
      <c r="J18" t="s">
        <v>545</v>
      </c>
    </row>
    <row r="19" spans="1:10" x14ac:dyDescent="0.3">
      <c r="B19" t="s">
        <v>271</v>
      </c>
    </row>
    <row r="20" spans="1:10" x14ac:dyDescent="0.3">
      <c r="H20">
        <f>VLOOKUP(2,I16:J18,1,TRUE)</f>
        <v>1</v>
      </c>
    </row>
    <row r="22" spans="1:10" x14ac:dyDescent="0.3">
      <c r="A22" t="s">
        <v>289</v>
      </c>
    </row>
    <row r="24" spans="1:10" x14ac:dyDescent="0.3">
      <c r="A24" t="s">
        <v>295</v>
      </c>
    </row>
    <row r="26" spans="1:10" x14ac:dyDescent="0.3">
      <c r="A26" t="s">
        <v>273</v>
      </c>
    </row>
    <row r="28" spans="1:10" x14ac:dyDescent="0.3">
      <c r="A28" s="12" t="s">
        <v>23</v>
      </c>
    </row>
    <row r="29" spans="1:10" x14ac:dyDescent="0.3">
      <c r="A29" t="s">
        <v>248</v>
      </c>
      <c r="C29" t="s">
        <v>30</v>
      </c>
      <c r="I29" t="s">
        <v>310</v>
      </c>
    </row>
    <row r="30" spans="1:10" x14ac:dyDescent="0.3">
      <c r="A30" t="s">
        <v>290</v>
      </c>
      <c r="B30" t="s">
        <v>291</v>
      </c>
    </row>
    <row r="32" spans="1:10" x14ac:dyDescent="0.3">
      <c r="A32" t="s">
        <v>326</v>
      </c>
    </row>
    <row r="34" spans="1:12" x14ac:dyDescent="0.3">
      <c r="A34" t="s">
        <v>43</v>
      </c>
      <c r="D34" t="s">
        <v>42</v>
      </c>
    </row>
    <row r="36" spans="1:12" x14ac:dyDescent="0.3">
      <c r="A36" t="s">
        <v>47</v>
      </c>
    </row>
    <row r="38" spans="1:12" x14ac:dyDescent="0.3">
      <c r="A38" s="12" t="s">
        <v>69</v>
      </c>
    </row>
    <row r="39" spans="1:12" x14ac:dyDescent="0.3">
      <c r="A39" t="s">
        <v>98</v>
      </c>
      <c r="E39" t="s">
        <v>99</v>
      </c>
    </row>
    <row r="41" spans="1:12" x14ac:dyDescent="0.3">
      <c r="A41" t="s">
        <v>102</v>
      </c>
      <c r="E41" t="s">
        <v>103</v>
      </c>
      <c r="G41" t="s">
        <v>104</v>
      </c>
    </row>
    <row r="43" spans="1:12" x14ac:dyDescent="0.3">
      <c r="A43" t="s">
        <v>78</v>
      </c>
      <c r="E43" t="s">
        <v>79</v>
      </c>
    </row>
    <row r="45" spans="1:12" x14ac:dyDescent="0.3">
      <c r="A45" t="s">
        <v>275</v>
      </c>
      <c r="E45" t="s">
        <v>302</v>
      </c>
    </row>
    <row r="47" spans="1:12" x14ac:dyDescent="0.3">
      <c r="A47" s="12" t="s">
        <v>83</v>
      </c>
    </row>
    <row r="48" spans="1:12" x14ac:dyDescent="0.3">
      <c r="A48" t="s">
        <v>325</v>
      </c>
      <c r="L48" t="s">
        <v>93</v>
      </c>
    </row>
    <row r="50" spans="1:17" x14ac:dyDescent="0.3">
      <c r="A50" t="s">
        <v>96</v>
      </c>
    </row>
    <row r="52" spans="1:17" x14ac:dyDescent="0.3">
      <c r="A52" t="s">
        <v>296</v>
      </c>
      <c r="Q52" t="s">
        <v>94</v>
      </c>
    </row>
    <row r="54" spans="1:17" x14ac:dyDescent="0.3">
      <c r="A54" t="s">
        <v>285</v>
      </c>
    </row>
    <row r="56" spans="1:17" x14ac:dyDescent="0.3">
      <c r="A56" t="s">
        <v>297</v>
      </c>
    </row>
    <row r="57" spans="1:17" x14ac:dyDescent="0.3">
      <c r="B57" t="s">
        <v>298</v>
      </c>
    </row>
    <row r="59" spans="1:17" x14ac:dyDescent="0.3">
      <c r="A59" t="s">
        <v>350</v>
      </c>
    </row>
    <row r="62" spans="1:17" x14ac:dyDescent="0.3">
      <c r="C62" t="s">
        <v>546</v>
      </c>
    </row>
    <row r="65" spans="3:3" x14ac:dyDescent="0.3">
      <c r="C65" t="s">
        <v>434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903E0-7DB5-407C-939E-37E3E49C8F37}">
  <dimension ref="A2:Q65"/>
  <sheetViews>
    <sheetView workbookViewId="0">
      <selection activeCell="J24" sqref="A1:XFD1048576"/>
    </sheetView>
  </sheetViews>
  <sheetFormatPr defaultRowHeight="14.4" x14ac:dyDescent="0.3"/>
  <sheetData>
    <row r="2" spans="1:10" x14ac:dyDescent="0.3">
      <c r="E2" t="s">
        <v>439</v>
      </c>
    </row>
    <row r="4" spans="1:10" x14ac:dyDescent="0.3">
      <c r="C4" t="s">
        <v>538</v>
      </c>
    </row>
    <row r="6" spans="1:10" x14ac:dyDescent="0.3">
      <c r="C6" t="s">
        <v>539</v>
      </c>
      <c r="H6">
        <v>2</v>
      </c>
    </row>
    <row r="7" spans="1:10" x14ac:dyDescent="0.3">
      <c r="C7" t="s">
        <v>542</v>
      </c>
      <c r="G7" t="s">
        <v>543</v>
      </c>
    </row>
    <row r="8" spans="1:10" x14ac:dyDescent="0.3">
      <c r="C8" t="s">
        <v>540</v>
      </c>
    </row>
    <row r="10" spans="1:10" x14ac:dyDescent="0.3">
      <c r="C10" t="s">
        <v>541</v>
      </c>
      <c r="J10" t="s">
        <v>547</v>
      </c>
    </row>
    <row r="15" spans="1:10" x14ac:dyDescent="0.3">
      <c r="A15" s="12" t="s">
        <v>0</v>
      </c>
    </row>
    <row r="16" spans="1:10" x14ac:dyDescent="0.3">
      <c r="A16" t="s">
        <v>267</v>
      </c>
      <c r="I16">
        <v>1</v>
      </c>
      <c r="J16" t="s">
        <v>545</v>
      </c>
    </row>
    <row r="17" spans="1:10" x14ac:dyDescent="0.3">
      <c r="B17" t="s">
        <v>269</v>
      </c>
      <c r="E17" t="s">
        <v>270</v>
      </c>
      <c r="J17" t="s">
        <v>545</v>
      </c>
    </row>
    <row r="18" spans="1:10" x14ac:dyDescent="0.3">
      <c r="I18">
        <v>3</v>
      </c>
      <c r="J18" t="s">
        <v>545</v>
      </c>
    </row>
    <row r="19" spans="1:10" x14ac:dyDescent="0.3">
      <c r="B19" t="s">
        <v>271</v>
      </c>
    </row>
    <row r="20" spans="1:10" x14ac:dyDescent="0.3">
      <c r="H20">
        <f>VLOOKUP(2,I16:J18,1,TRUE)</f>
        <v>1</v>
      </c>
    </row>
    <row r="22" spans="1:10" x14ac:dyDescent="0.3">
      <c r="A22" t="s">
        <v>289</v>
      </c>
    </row>
    <row r="24" spans="1:10" x14ac:dyDescent="0.3">
      <c r="A24" t="s">
        <v>295</v>
      </c>
    </row>
    <row r="26" spans="1:10" x14ac:dyDescent="0.3">
      <c r="A26" t="s">
        <v>273</v>
      </c>
    </row>
    <row r="28" spans="1:10" x14ac:dyDescent="0.3">
      <c r="A28" s="12" t="s">
        <v>23</v>
      </c>
    </row>
    <row r="29" spans="1:10" x14ac:dyDescent="0.3">
      <c r="A29" t="s">
        <v>248</v>
      </c>
      <c r="C29" t="s">
        <v>30</v>
      </c>
      <c r="I29" t="s">
        <v>310</v>
      </c>
    </row>
    <row r="30" spans="1:10" x14ac:dyDescent="0.3">
      <c r="A30" t="s">
        <v>290</v>
      </c>
      <c r="B30" t="s">
        <v>291</v>
      </c>
    </row>
    <row r="32" spans="1:10" x14ac:dyDescent="0.3">
      <c r="A32" t="s">
        <v>326</v>
      </c>
    </row>
    <row r="34" spans="1:12" x14ac:dyDescent="0.3">
      <c r="A34" t="s">
        <v>43</v>
      </c>
      <c r="D34" t="s">
        <v>42</v>
      </c>
    </row>
    <row r="36" spans="1:12" x14ac:dyDescent="0.3">
      <c r="A36" t="s">
        <v>47</v>
      </c>
    </row>
    <row r="38" spans="1:12" x14ac:dyDescent="0.3">
      <c r="A38" s="12" t="s">
        <v>69</v>
      </c>
    </row>
    <row r="39" spans="1:12" x14ac:dyDescent="0.3">
      <c r="A39" t="s">
        <v>98</v>
      </c>
      <c r="E39" t="s">
        <v>99</v>
      </c>
    </row>
    <row r="41" spans="1:12" x14ac:dyDescent="0.3">
      <c r="A41" t="s">
        <v>102</v>
      </c>
      <c r="E41" t="s">
        <v>103</v>
      </c>
      <c r="G41" t="s">
        <v>104</v>
      </c>
    </row>
    <row r="43" spans="1:12" x14ac:dyDescent="0.3">
      <c r="A43" t="s">
        <v>78</v>
      </c>
      <c r="E43" t="s">
        <v>79</v>
      </c>
    </row>
    <row r="45" spans="1:12" x14ac:dyDescent="0.3">
      <c r="A45" t="s">
        <v>275</v>
      </c>
      <c r="E45" t="s">
        <v>302</v>
      </c>
    </row>
    <row r="47" spans="1:12" x14ac:dyDescent="0.3">
      <c r="A47" s="12" t="s">
        <v>83</v>
      </c>
    </row>
    <row r="48" spans="1:12" x14ac:dyDescent="0.3">
      <c r="A48" t="s">
        <v>325</v>
      </c>
      <c r="L48" t="s">
        <v>93</v>
      </c>
    </row>
    <row r="50" spans="1:17" x14ac:dyDescent="0.3">
      <c r="A50" t="s">
        <v>96</v>
      </c>
    </row>
    <row r="52" spans="1:17" x14ac:dyDescent="0.3">
      <c r="A52" t="s">
        <v>296</v>
      </c>
      <c r="Q52" t="s">
        <v>94</v>
      </c>
    </row>
    <row r="54" spans="1:17" x14ac:dyDescent="0.3">
      <c r="A54" t="s">
        <v>285</v>
      </c>
    </row>
    <row r="56" spans="1:17" x14ac:dyDescent="0.3">
      <c r="A56" t="s">
        <v>297</v>
      </c>
    </row>
    <row r="57" spans="1:17" x14ac:dyDescent="0.3">
      <c r="B57" t="s">
        <v>298</v>
      </c>
    </row>
    <row r="59" spans="1:17" x14ac:dyDescent="0.3">
      <c r="A59" t="s">
        <v>350</v>
      </c>
    </row>
    <row r="62" spans="1:17" x14ac:dyDescent="0.3">
      <c r="C62" t="s">
        <v>546</v>
      </c>
    </row>
    <row r="65" spans="3:3" x14ac:dyDescent="0.3">
      <c r="C65" t="s">
        <v>434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19B68-3D33-47E6-9CFE-A7F89C941BD0}">
  <dimension ref="A2:Q67"/>
  <sheetViews>
    <sheetView topLeftCell="A37" workbookViewId="0">
      <selection activeCell="H57" sqref="A1:XFD1048576"/>
    </sheetView>
  </sheetViews>
  <sheetFormatPr defaultRowHeight="14.4" x14ac:dyDescent="0.3"/>
  <sheetData>
    <row r="2" spans="1:10" x14ac:dyDescent="0.3">
      <c r="E2" t="s">
        <v>439</v>
      </c>
    </row>
    <row r="4" spans="1:10" x14ac:dyDescent="0.3">
      <c r="C4" t="s">
        <v>548</v>
      </c>
    </row>
    <row r="6" spans="1:10" x14ac:dyDescent="0.3">
      <c r="C6" t="s">
        <v>539</v>
      </c>
    </row>
    <row r="7" spans="1:10" x14ac:dyDescent="0.3">
      <c r="C7" t="s">
        <v>542</v>
      </c>
    </row>
    <row r="8" spans="1:10" x14ac:dyDescent="0.3">
      <c r="C8" t="s">
        <v>540</v>
      </c>
    </row>
    <row r="10" spans="1:10" x14ac:dyDescent="0.3">
      <c r="A10" t="s">
        <v>549</v>
      </c>
      <c r="C10" t="s">
        <v>541</v>
      </c>
    </row>
    <row r="11" spans="1:10" x14ac:dyDescent="0.3">
      <c r="A11" t="s">
        <v>550</v>
      </c>
    </row>
    <row r="15" spans="1:10" x14ac:dyDescent="0.3">
      <c r="A15" s="12" t="s">
        <v>0</v>
      </c>
    </row>
    <row r="16" spans="1:10" x14ac:dyDescent="0.3">
      <c r="A16" t="s">
        <v>267</v>
      </c>
      <c r="I16">
        <v>1</v>
      </c>
      <c r="J16" t="s">
        <v>545</v>
      </c>
    </row>
    <row r="17" spans="1:10" x14ac:dyDescent="0.3">
      <c r="B17" t="s">
        <v>269</v>
      </c>
      <c r="E17" t="s">
        <v>270</v>
      </c>
      <c r="J17" t="s">
        <v>545</v>
      </c>
    </row>
    <row r="18" spans="1:10" x14ac:dyDescent="0.3">
      <c r="I18">
        <v>3</v>
      </c>
      <c r="J18" t="s">
        <v>545</v>
      </c>
    </row>
    <row r="19" spans="1:10" x14ac:dyDescent="0.3">
      <c r="B19" t="s">
        <v>271</v>
      </c>
    </row>
    <row r="20" spans="1:10" x14ac:dyDescent="0.3">
      <c r="H20">
        <f>VLOOKUP(2,I16:J18,1,TRUE)</f>
        <v>1</v>
      </c>
    </row>
    <row r="22" spans="1:10" x14ac:dyDescent="0.3">
      <c r="A22" t="s">
        <v>289</v>
      </c>
    </row>
    <row r="24" spans="1:10" x14ac:dyDescent="0.3">
      <c r="A24" t="s">
        <v>295</v>
      </c>
    </row>
    <row r="26" spans="1:10" x14ac:dyDescent="0.3">
      <c r="A26" t="s">
        <v>273</v>
      </c>
    </row>
    <row r="28" spans="1:10" x14ac:dyDescent="0.3">
      <c r="A28" s="12" t="s">
        <v>23</v>
      </c>
    </row>
    <row r="29" spans="1:10" x14ac:dyDescent="0.3">
      <c r="A29" t="s">
        <v>248</v>
      </c>
      <c r="C29" t="s">
        <v>30</v>
      </c>
      <c r="I29" t="s">
        <v>310</v>
      </c>
    </row>
    <row r="30" spans="1:10" x14ac:dyDescent="0.3">
      <c r="A30" t="s">
        <v>290</v>
      </c>
      <c r="B30" t="s">
        <v>291</v>
      </c>
    </row>
    <row r="32" spans="1:10" x14ac:dyDescent="0.3">
      <c r="A32" t="s">
        <v>326</v>
      </c>
    </row>
    <row r="34" spans="1:12" x14ac:dyDescent="0.3">
      <c r="A34" t="s">
        <v>43</v>
      </c>
      <c r="D34" t="s">
        <v>42</v>
      </c>
    </row>
    <row r="36" spans="1:12" x14ac:dyDescent="0.3">
      <c r="A36" t="s">
        <v>47</v>
      </c>
    </row>
    <row r="38" spans="1:12" x14ac:dyDescent="0.3">
      <c r="A38" s="12" t="s">
        <v>69</v>
      </c>
    </row>
    <row r="39" spans="1:12" x14ac:dyDescent="0.3">
      <c r="A39" t="s">
        <v>98</v>
      </c>
      <c r="E39" t="s">
        <v>99</v>
      </c>
    </row>
    <row r="41" spans="1:12" x14ac:dyDescent="0.3">
      <c r="A41" t="s">
        <v>102</v>
      </c>
      <c r="E41" t="s">
        <v>103</v>
      </c>
      <c r="G41" t="s">
        <v>104</v>
      </c>
    </row>
    <row r="43" spans="1:12" x14ac:dyDescent="0.3">
      <c r="A43" t="s">
        <v>78</v>
      </c>
      <c r="E43" t="s">
        <v>79</v>
      </c>
    </row>
    <row r="45" spans="1:12" x14ac:dyDescent="0.3">
      <c r="A45" t="s">
        <v>275</v>
      </c>
      <c r="E45" t="s">
        <v>302</v>
      </c>
    </row>
    <row r="47" spans="1:12" x14ac:dyDescent="0.3">
      <c r="A47" s="12" t="s">
        <v>83</v>
      </c>
    </row>
    <row r="48" spans="1:12" x14ac:dyDescent="0.3">
      <c r="A48" t="s">
        <v>325</v>
      </c>
      <c r="L48" t="s">
        <v>93</v>
      </c>
    </row>
    <row r="50" spans="1:17" x14ac:dyDescent="0.3">
      <c r="A50" t="s">
        <v>96</v>
      </c>
    </row>
    <row r="52" spans="1:17" x14ac:dyDescent="0.3">
      <c r="A52" t="s">
        <v>296</v>
      </c>
      <c r="Q52" t="s">
        <v>94</v>
      </c>
    </row>
    <row r="54" spans="1:17" x14ac:dyDescent="0.3">
      <c r="A54" t="s">
        <v>285</v>
      </c>
    </row>
    <row r="56" spans="1:17" x14ac:dyDescent="0.3">
      <c r="A56" t="s">
        <v>297</v>
      </c>
    </row>
    <row r="57" spans="1:17" x14ac:dyDescent="0.3">
      <c r="B57" t="s">
        <v>298</v>
      </c>
    </row>
    <row r="59" spans="1:17" x14ac:dyDescent="0.3">
      <c r="A59" t="s">
        <v>350</v>
      </c>
    </row>
    <row r="62" spans="1:17" x14ac:dyDescent="0.3">
      <c r="C62" t="s">
        <v>551</v>
      </c>
    </row>
    <row r="63" spans="1:17" x14ac:dyDescent="0.3">
      <c r="C63" t="s">
        <v>552</v>
      </c>
    </row>
    <row r="65" spans="3:3" x14ac:dyDescent="0.3">
      <c r="C65" t="s">
        <v>434</v>
      </c>
    </row>
    <row r="67" spans="3:3" x14ac:dyDescent="0.3">
      <c r="C67" t="s">
        <v>340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D20F1-EF54-4FE9-8C83-FB6C45421938}">
  <dimension ref="A2:Q68"/>
  <sheetViews>
    <sheetView tabSelected="1" workbookViewId="0">
      <selection activeCell="G21" sqref="G21"/>
    </sheetView>
  </sheetViews>
  <sheetFormatPr defaultRowHeight="14.4" x14ac:dyDescent="0.3"/>
  <sheetData>
    <row r="2" spans="1:17" x14ac:dyDescent="0.3">
      <c r="M2" t="s">
        <v>567</v>
      </c>
    </row>
    <row r="4" spans="1:17" x14ac:dyDescent="0.3">
      <c r="C4" t="s">
        <v>555</v>
      </c>
      <c r="L4" t="s">
        <v>568</v>
      </c>
      <c r="P4" t="s">
        <v>569</v>
      </c>
      <c r="Q4" t="s">
        <v>570</v>
      </c>
    </row>
    <row r="6" spans="1:17" x14ac:dyDescent="0.3">
      <c r="C6" t="s">
        <v>539</v>
      </c>
    </row>
    <row r="7" spans="1:17" x14ac:dyDescent="0.3">
      <c r="C7" t="s">
        <v>542</v>
      </c>
      <c r="G7" t="s">
        <v>553</v>
      </c>
    </row>
    <row r="9" spans="1:17" x14ac:dyDescent="0.3">
      <c r="C9" t="s">
        <v>554</v>
      </c>
    </row>
    <row r="10" spans="1:17" x14ac:dyDescent="0.3">
      <c r="C10" t="s">
        <v>556</v>
      </c>
    </row>
    <row r="12" spans="1:17" x14ac:dyDescent="0.3">
      <c r="C12" t="s">
        <v>557</v>
      </c>
    </row>
    <row r="15" spans="1:17" x14ac:dyDescent="0.3">
      <c r="A15" s="12" t="s">
        <v>0</v>
      </c>
    </row>
    <row r="16" spans="1:17" x14ac:dyDescent="0.3">
      <c r="A16" t="s">
        <v>267</v>
      </c>
      <c r="I16">
        <v>1</v>
      </c>
      <c r="J16" t="s">
        <v>545</v>
      </c>
    </row>
    <row r="17" spans="1:10" x14ac:dyDescent="0.3">
      <c r="B17" t="s">
        <v>269</v>
      </c>
      <c r="E17" t="s">
        <v>270</v>
      </c>
      <c r="J17" t="s">
        <v>545</v>
      </c>
    </row>
    <row r="18" spans="1:10" x14ac:dyDescent="0.3">
      <c r="I18">
        <v>3</v>
      </c>
      <c r="J18" t="s">
        <v>545</v>
      </c>
    </row>
    <row r="19" spans="1:10" x14ac:dyDescent="0.3">
      <c r="B19" t="s">
        <v>271</v>
      </c>
    </row>
    <row r="20" spans="1:10" x14ac:dyDescent="0.3">
      <c r="H20">
        <f>VLOOKUP(2,I16:J18,1,TRUE)</f>
        <v>1</v>
      </c>
    </row>
    <row r="22" spans="1:10" x14ac:dyDescent="0.3">
      <c r="A22" t="s">
        <v>289</v>
      </c>
    </row>
    <row r="24" spans="1:10" x14ac:dyDescent="0.3">
      <c r="A24" t="s">
        <v>295</v>
      </c>
    </row>
    <row r="26" spans="1:10" x14ac:dyDescent="0.3">
      <c r="A26" t="s">
        <v>273</v>
      </c>
    </row>
    <row r="28" spans="1:10" x14ac:dyDescent="0.3">
      <c r="A28" s="12" t="s">
        <v>23</v>
      </c>
    </row>
    <row r="29" spans="1:10" x14ac:dyDescent="0.3">
      <c r="A29" t="s">
        <v>248</v>
      </c>
      <c r="C29" t="s">
        <v>30</v>
      </c>
      <c r="I29" t="s">
        <v>310</v>
      </c>
    </row>
    <row r="30" spans="1:10" x14ac:dyDescent="0.3">
      <c r="A30" t="s">
        <v>290</v>
      </c>
      <c r="B30" t="s">
        <v>291</v>
      </c>
    </row>
    <row r="32" spans="1:10" x14ac:dyDescent="0.3">
      <c r="A32" t="s">
        <v>326</v>
      </c>
    </row>
    <row r="34" spans="1:12" x14ac:dyDescent="0.3">
      <c r="A34" t="s">
        <v>43</v>
      </c>
      <c r="D34" t="s">
        <v>42</v>
      </c>
    </row>
    <row r="36" spans="1:12" x14ac:dyDescent="0.3">
      <c r="A36" t="s">
        <v>47</v>
      </c>
    </row>
    <row r="38" spans="1:12" x14ac:dyDescent="0.3">
      <c r="A38" s="12" t="s">
        <v>69</v>
      </c>
    </row>
    <row r="39" spans="1:12" x14ac:dyDescent="0.3">
      <c r="A39" t="s">
        <v>98</v>
      </c>
      <c r="E39" t="s">
        <v>99</v>
      </c>
    </row>
    <row r="41" spans="1:12" x14ac:dyDescent="0.3">
      <c r="A41" t="s">
        <v>102</v>
      </c>
      <c r="E41" t="s">
        <v>103</v>
      </c>
      <c r="G41" t="s">
        <v>104</v>
      </c>
    </row>
    <row r="43" spans="1:12" x14ac:dyDescent="0.3">
      <c r="A43" t="s">
        <v>78</v>
      </c>
      <c r="E43" t="s">
        <v>79</v>
      </c>
    </row>
    <row r="45" spans="1:12" x14ac:dyDescent="0.3">
      <c r="A45" t="s">
        <v>275</v>
      </c>
      <c r="E45" t="s">
        <v>302</v>
      </c>
    </row>
    <row r="47" spans="1:12" x14ac:dyDescent="0.3">
      <c r="A47" s="12" t="s">
        <v>83</v>
      </c>
    </row>
    <row r="48" spans="1:12" x14ac:dyDescent="0.3">
      <c r="A48" t="s">
        <v>325</v>
      </c>
      <c r="L48" t="s">
        <v>93</v>
      </c>
    </row>
    <row r="50" spans="1:13" x14ac:dyDescent="0.3">
      <c r="A50" t="s">
        <v>96</v>
      </c>
    </row>
    <row r="52" spans="1:13" x14ac:dyDescent="0.3">
      <c r="A52" t="s">
        <v>564</v>
      </c>
      <c r="H52" t="s">
        <v>565</v>
      </c>
      <c r="M52" t="s">
        <v>566</v>
      </c>
    </row>
    <row r="54" spans="1:13" x14ac:dyDescent="0.3">
      <c r="A54" t="s">
        <v>559</v>
      </c>
    </row>
    <row r="56" spans="1:13" x14ac:dyDescent="0.3">
      <c r="A56" t="s">
        <v>285</v>
      </c>
    </row>
    <row r="58" spans="1:13" x14ac:dyDescent="0.3">
      <c r="A58" t="s">
        <v>297</v>
      </c>
    </row>
    <row r="59" spans="1:13" x14ac:dyDescent="0.3">
      <c r="B59" t="s">
        <v>298</v>
      </c>
    </row>
    <row r="61" spans="1:13" x14ac:dyDescent="0.3">
      <c r="A61" t="s">
        <v>562</v>
      </c>
      <c r="F61" t="s">
        <v>563</v>
      </c>
    </row>
    <row r="63" spans="1:13" x14ac:dyDescent="0.3">
      <c r="A63" t="s">
        <v>350</v>
      </c>
      <c r="F63" t="s">
        <v>558</v>
      </c>
    </row>
    <row r="65" spans="1:3" x14ac:dyDescent="0.3">
      <c r="A65" t="s">
        <v>560</v>
      </c>
    </row>
    <row r="68" spans="1:3" x14ac:dyDescent="0.3">
      <c r="C68" t="s">
        <v>561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6"/>
  <dimension ref="A1"/>
  <sheetViews>
    <sheetView workbookViewId="0">
      <selection activeCell="H30" sqref="H30"/>
    </sheetView>
  </sheetViews>
  <sheetFormatPr defaultRowHeight="14.4" x14ac:dyDescent="0.3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1"/>
  <dimension ref="A1:S129"/>
  <sheetViews>
    <sheetView topLeftCell="A16" zoomScale="85" zoomScaleNormal="85" workbookViewId="0">
      <selection activeCell="M26" sqref="M26"/>
    </sheetView>
  </sheetViews>
  <sheetFormatPr defaultRowHeight="14.4" x14ac:dyDescent="0.3"/>
  <cols>
    <col min="1" max="1" width="10.21875" customWidth="1"/>
  </cols>
  <sheetData>
    <row r="1" spans="1:19" ht="21" x14ac:dyDescent="0.4">
      <c r="A1" s="3" t="s">
        <v>0</v>
      </c>
    </row>
    <row r="3" spans="1:19" ht="21" x14ac:dyDescent="0.4">
      <c r="A3" s="4" t="s">
        <v>72</v>
      </c>
    </row>
    <row r="5" spans="1:19" x14ac:dyDescent="0.3">
      <c r="A5" t="s">
        <v>4</v>
      </c>
    </row>
    <row r="7" spans="1:19" x14ac:dyDescent="0.3">
      <c r="A7" t="s">
        <v>1</v>
      </c>
      <c r="B7" t="s">
        <v>2</v>
      </c>
    </row>
    <row r="8" spans="1:19" x14ac:dyDescent="0.3">
      <c r="B8" t="s">
        <v>3</v>
      </c>
    </row>
    <row r="10" spans="1:19" x14ac:dyDescent="0.3">
      <c r="A10" t="s">
        <v>24</v>
      </c>
      <c r="C10" t="s">
        <v>25</v>
      </c>
      <c r="F10" t="s">
        <v>26</v>
      </c>
      <c r="I10" s="1"/>
      <c r="J10" s="1"/>
    </row>
    <row r="11" spans="1:19" x14ac:dyDescent="0.3">
      <c r="I11" s="1"/>
      <c r="J11" s="1"/>
    </row>
    <row r="12" spans="1:19" x14ac:dyDescent="0.3">
      <c r="A12" t="s">
        <v>11</v>
      </c>
      <c r="I12" s="1"/>
      <c r="J12" s="1"/>
      <c r="P12" s="1"/>
      <c r="Q12" s="1"/>
      <c r="R12" s="1"/>
      <c r="S12" s="1"/>
    </row>
    <row r="13" spans="1:19" x14ac:dyDescent="0.3">
      <c r="I13" s="1"/>
      <c r="J13" s="1"/>
      <c r="P13" s="1"/>
      <c r="Q13" s="1"/>
      <c r="R13" s="1"/>
      <c r="S13" s="1"/>
    </row>
    <row r="14" spans="1:19" x14ac:dyDescent="0.3">
      <c r="A14" t="s">
        <v>15</v>
      </c>
      <c r="I14" s="1"/>
      <c r="J14" s="1"/>
      <c r="P14" s="1"/>
      <c r="Q14" s="1"/>
      <c r="R14" s="1"/>
      <c r="S14" s="1"/>
    </row>
    <row r="15" spans="1:19" x14ac:dyDescent="0.3">
      <c r="I15" s="1"/>
      <c r="J15" s="1"/>
      <c r="P15" s="1"/>
      <c r="Q15" s="1"/>
      <c r="R15" s="1"/>
      <c r="S15" s="1"/>
    </row>
    <row r="16" spans="1:19" x14ac:dyDescent="0.3">
      <c r="A16" t="s">
        <v>16</v>
      </c>
      <c r="I16" s="1"/>
      <c r="J16" s="1"/>
      <c r="P16" s="1"/>
      <c r="Q16" s="1"/>
      <c r="R16" s="1"/>
      <c r="S16" s="1"/>
    </row>
    <row r="17" spans="1:19" x14ac:dyDescent="0.3">
      <c r="I17" s="1"/>
      <c r="J17" s="1"/>
      <c r="P17" s="1"/>
      <c r="Q17" s="1"/>
      <c r="R17" s="1"/>
      <c r="S17" s="1"/>
    </row>
    <row r="18" spans="1:19" x14ac:dyDescent="0.3">
      <c r="A18" t="s">
        <v>5</v>
      </c>
      <c r="C18" t="s">
        <v>6</v>
      </c>
      <c r="E18" s="1"/>
      <c r="F18" s="1"/>
      <c r="G18" s="1"/>
      <c r="H18" s="1"/>
      <c r="I18" s="1"/>
      <c r="J18" s="1"/>
      <c r="P18" s="1"/>
      <c r="Q18" s="1"/>
      <c r="R18" s="1"/>
      <c r="S18" s="1"/>
    </row>
    <row r="19" spans="1:19" x14ac:dyDescent="0.3">
      <c r="C19" t="s">
        <v>7</v>
      </c>
      <c r="E19" s="1"/>
      <c r="F19" s="1" t="s">
        <v>8</v>
      </c>
      <c r="G19" s="1" t="s">
        <v>9</v>
      </c>
      <c r="H19" s="1" t="s">
        <v>10</v>
      </c>
      <c r="I19" s="1"/>
      <c r="J19" s="1"/>
      <c r="P19" s="1"/>
      <c r="Q19" s="1"/>
      <c r="R19" s="1"/>
      <c r="S19" s="1"/>
    </row>
    <row r="20" spans="1:19" x14ac:dyDescent="0.3">
      <c r="I20" s="1"/>
      <c r="J20" s="1"/>
      <c r="P20" s="1"/>
      <c r="Q20" s="1"/>
      <c r="R20" s="1"/>
      <c r="S20" s="1"/>
    </row>
    <row r="21" spans="1:19" ht="21" x14ac:dyDescent="0.4">
      <c r="A21" s="4" t="s">
        <v>70</v>
      </c>
      <c r="I21" s="1"/>
      <c r="J21" s="1"/>
      <c r="P21" s="1"/>
      <c r="Q21" s="1"/>
      <c r="R21" s="1"/>
      <c r="S21" s="1"/>
    </row>
    <row r="22" spans="1:19" x14ac:dyDescent="0.3">
      <c r="I22" s="1"/>
      <c r="J22" s="1"/>
      <c r="P22" s="1"/>
      <c r="Q22" s="1"/>
      <c r="R22" s="1"/>
      <c r="S22" s="1"/>
    </row>
    <row r="23" spans="1:19" x14ac:dyDescent="0.3">
      <c r="A23" t="s">
        <v>12</v>
      </c>
      <c r="I23" s="1"/>
      <c r="J23" s="1"/>
      <c r="P23" s="1"/>
      <c r="Q23" s="1"/>
      <c r="R23" s="1"/>
      <c r="S23" s="1"/>
    </row>
    <row r="24" spans="1:19" x14ac:dyDescent="0.3">
      <c r="I24" s="1"/>
      <c r="J24" s="1"/>
      <c r="M24" t="s">
        <v>522</v>
      </c>
      <c r="P24" s="1"/>
      <c r="Q24" s="1"/>
      <c r="R24" s="1"/>
      <c r="S24" s="1"/>
    </row>
    <row r="25" spans="1:19" x14ac:dyDescent="0.3">
      <c r="A25" t="s">
        <v>13</v>
      </c>
      <c r="I25" s="1"/>
      <c r="J25" s="1"/>
      <c r="P25" s="1"/>
      <c r="Q25" s="1"/>
      <c r="R25" s="1"/>
      <c r="S25" s="1"/>
    </row>
    <row r="26" spans="1:19" x14ac:dyDescent="0.3">
      <c r="I26" s="1"/>
      <c r="J26" s="1"/>
      <c r="P26" s="1"/>
      <c r="Q26" s="1"/>
      <c r="R26" s="1"/>
      <c r="S26" s="1"/>
    </row>
    <row r="27" spans="1:19" x14ac:dyDescent="0.3">
      <c r="A27" t="s">
        <v>14</v>
      </c>
      <c r="I27" s="1"/>
      <c r="J27" s="1"/>
    </row>
    <row r="28" spans="1:19" x14ac:dyDescent="0.3">
      <c r="I28" s="1"/>
      <c r="J28" s="1"/>
      <c r="P28" s="1"/>
      <c r="Q28" s="1"/>
      <c r="R28" s="1"/>
      <c r="S28" s="1"/>
    </row>
    <row r="29" spans="1:19" x14ac:dyDescent="0.3">
      <c r="A29" t="s">
        <v>18</v>
      </c>
      <c r="E29" s="1"/>
      <c r="F29" s="1"/>
      <c r="G29" s="1"/>
      <c r="H29" s="1" t="s">
        <v>19</v>
      </c>
      <c r="I29" s="1"/>
      <c r="J29" s="1"/>
    </row>
    <row r="30" spans="1:19" x14ac:dyDescent="0.3">
      <c r="I30" s="1"/>
      <c r="J30" s="1"/>
    </row>
    <row r="31" spans="1:19" ht="21" x14ac:dyDescent="0.4">
      <c r="A31" s="4" t="s">
        <v>71</v>
      </c>
      <c r="I31" s="1"/>
      <c r="J31" s="1"/>
    </row>
    <row r="32" spans="1:19" x14ac:dyDescent="0.3">
      <c r="I32" s="1"/>
      <c r="J32" s="1"/>
    </row>
    <row r="33" spans="1:19" x14ac:dyDescent="0.3">
      <c r="A33" t="s">
        <v>17</v>
      </c>
      <c r="I33" s="1"/>
      <c r="J33" s="1"/>
    </row>
    <row r="34" spans="1:19" x14ac:dyDescent="0.3">
      <c r="I34" s="1"/>
      <c r="J34" s="1"/>
    </row>
    <row r="35" spans="1:19" x14ac:dyDescent="0.3">
      <c r="A35" t="s">
        <v>20</v>
      </c>
      <c r="E35" s="1"/>
      <c r="F35" s="1"/>
      <c r="G35" s="1"/>
      <c r="H35" s="1" t="s">
        <v>21</v>
      </c>
      <c r="I35" s="1"/>
      <c r="J35" s="1"/>
      <c r="P35" s="1"/>
      <c r="Q35" s="1"/>
      <c r="R35" s="1"/>
      <c r="S35" s="1"/>
    </row>
    <row r="36" spans="1:19" x14ac:dyDescent="0.3">
      <c r="E36" s="1"/>
      <c r="F36" s="1"/>
      <c r="G36" s="1"/>
      <c r="H36" s="1"/>
      <c r="I36" s="1"/>
      <c r="J36" s="1"/>
      <c r="P36" s="1"/>
      <c r="Q36" s="1"/>
      <c r="R36" s="1"/>
      <c r="S36" s="1"/>
    </row>
    <row r="37" spans="1:19" x14ac:dyDescent="0.3">
      <c r="A37" t="s">
        <v>22</v>
      </c>
      <c r="E37" s="1"/>
      <c r="F37" s="1"/>
      <c r="G37" s="1"/>
      <c r="H37" s="1"/>
      <c r="I37" s="1"/>
      <c r="J37" s="1"/>
      <c r="P37" s="1"/>
      <c r="Q37" s="1"/>
      <c r="R37" s="1"/>
      <c r="S37" s="1"/>
    </row>
    <row r="38" spans="1:19" x14ac:dyDescent="0.3">
      <c r="E38" s="1"/>
      <c r="F38" s="1"/>
      <c r="G38" s="1"/>
      <c r="H38" s="1"/>
      <c r="I38" s="1"/>
      <c r="J38" s="1"/>
      <c r="P38" s="1"/>
      <c r="Q38" s="1"/>
      <c r="R38" s="1"/>
      <c r="S38" s="1"/>
    </row>
    <row r="39" spans="1:19" x14ac:dyDescent="0.3">
      <c r="A39" t="s">
        <v>27</v>
      </c>
      <c r="E39" s="1"/>
      <c r="F39" s="1"/>
      <c r="G39" s="1"/>
      <c r="H39" s="1"/>
      <c r="I39" s="1"/>
      <c r="J39" s="1"/>
      <c r="P39" s="1"/>
      <c r="Q39" s="1"/>
      <c r="R39" s="1"/>
      <c r="S39" s="1"/>
    </row>
    <row r="40" spans="1:19" x14ac:dyDescent="0.3">
      <c r="E40" s="1"/>
      <c r="F40" s="1"/>
      <c r="G40" s="1"/>
      <c r="H40" s="1"/>
      <c r="I40" s="1"/>
      <c r="J40" s="1"/>
      <c r="P40" s="1"/>
      <c r="Q40" s="1"/>
      <c r="R40" s="1"/>
      <c r="S40" s="1"/>
    </row>
    <row r="41" spans="1:19" x14ac:dyDescent="0.3">
      <c r="I41" s="1"/>
      <c r="J41" s="1"/>
      <c r="P41" s="1"/>
      <c r="Q41" s="1"/>
      <c r="R41" s="1"/>
      <c r="S41" s="1"/>
    </row>
    <row r="42" spans="1:19" x14ac:dyDescent="0.3">
      <c r="E42" s="1"/>
      <c r="F42" s="1"/>
      <c r="G42" s="1"/>
      <c r="H42" s="1"/>
      <c r="I42" s="1"/>
      <c r="J42" s="1"/>
    </row>
    <row r="43" spans="1:19" ht="21" x14ac:dyDescent="0.4">
      <c r="A43" s="3" t="s">
        <v>23</v>
      </c>
    </row>
    <row r="45" spans="1:19" ht="23.4" x14ac:dyDescent="0.45">
      <c r="A45" s="7" t="s">
        <v>72</v>
      </c>
    </row>
    <row r="47" spans="1:19" x14ac:dyDescent="0.3">
      <c r="A47" t="s">
        <v>28</v>
      </c>
      <c r="C47" t="s">
        <v>30</v>
      </c>
    </row>
    <row r="48" spans="1:19" x14ac:dyDescent="0.3">
      <c r="A48" t="s">
        <v>29</v>
      </c>
    </row>
    <row r="50" spans="1:6" x14ac:dyDescent="0.3">
      <c r="A50" t="s">
        <v>31</v>
      </c>
    </row>
    <row r="52" spans="1:6" x14ac:dyDescent="0.3">
      <c r="A52" t="s">
        <v>37</v>
      </c>
    </row>
    <row r="54" spans="1:6" x14ac:dyDescent="0.3">
      <c r="A54" t="s">
        <v>38</v>
      </c>
      <c r="D54" t="s">
        <v>39</v>
      </c>
    </row>
    <row r="56" spans="1:6" ht="21" x14ac:dyDescent="0.4">
      <c r="A56" s="4" t="s">
        <v>70</v>
      </c>
    </row>
    <row r="58" spans="1:6" x14ac:dyDescent="0.3">
      <c r="A58" t="s">
        <v>33</v>
      </c>
      <c r="F58" t="s">
        <v>32</v>
      </c>
    </row>
    <row r="60" spans="1:6" x14ac:dyDescent="0.3">
      <c r="A60" t="s">
        <v>40</v>
      </c>
    </row>
    <row r="62" spans="1:6" x14ac:dyDescent="0.3">
      <c r="A62" t="s">
        <v>41</v>
      </c>
    </row>
    <row r="64" spans="1:6" x14ac:dyDescent="0.3">
      <c r="A64" t="s">
        <v>43</v>
      </c>
      <c r="D64" t="s">
        <v>42</v>
      </c>
    </row>
    <row r="66" spans="1:6" x14ac:dyDescent="0.3">
      <c r="A66" t="s">
        <v>45</v>
      </c>
      <c r="D66" t="s">
        <v>46</v>
      </c>
    </row>
    <row r="68" spans="1:6" x14ac:dyDescent="0.3">
      <c r="A68" t="s">
        <v>49</v>
      </c>
    </row>
    <row r="70" spans="1:6" ht="21" x14ac:dyDescent="0.4">
      <c r="A70" s="4" t="s">
        <v>71</v>
      </c>
    </row>
    <row r="72" spans="1:6" x14ac:dyDescent="0.3">
      <c r="A72" t="s">
        <v>34</v>
      </c>
      <c r="C72" t="s">
        <v>35</v>
      </c>
      <c r="F72" t="s">
        <v>36</v>
      </c>
    </row>
    <row r="74" spans="1:6" x14ac:dyDescent="0.3">
      <c r="A74" t="s">
        <v>44</v>
      </c>
    </row>
    <row r="76" spans="1:6" x14ac:dyDescent="0.3">
      <c r="A76" t="s">
        <v>47</v>
      </c>
    </row>
    <row r="78" spans="1:6" x14ac:dyDescent="0.3">
      <c r="A78" t="s">
        <v>48</v>
      </c>
    </row>
    <row r="80" spans="1:6" ht="21" x14ac:dyDescent="0.4">
      <c r="A80" s="5" t="s">
        <v>50</v>
      </c>
    </row>
    <row r="81" spans="1:7" x14ac:dyDescent="0.3">
      <c r="A81" t="s">
        <v>51</v>
      </c>
      <c r="C81" t="s">
        <v>54</v>
      </c>
    </row>
    <row r="82" spans="1:7" x14ac:dyDescent="0.3">
      <c r="A82" t="s">
        <v>52</v>
      </c>
      <c r="C82" t="s">
        <v>53</v>
      </c>
    </row>
    <row r="84" spans="1:7" ht="23.4" x14ac:dyDescent="0.45">
      <c r="A84" s="6" t="s">
        <v>55</v>
      </c>
    </row>
    <row r="85" spans="1:7" x14ac:dyDescent="0.3">
      <c r="A85" t="s">
        <v>56</v>
      </c>
      <c r="C85" t="s">
        <v>57</v>
      </c>
    </row>
    <row r="87" spans="1:7" x14ac:dyDescent="0.3">
      <c r="A87" t="s">
        <v>58</v>
      </c>
      <c r="C87" t="s">
        <v>59</v>
      </c>
      <c r="E87" t="s">
        <v>60</v>
      </c>
      <c r="G87" t="s">
        <v>61</v>
      </c>
    </row>
    <row r="89" spans="1:7" x14ac:dyDescent="0.3">
      <c r="A89" t="s">
        <v>62</v>
      </c>
      <c r="C89" t="s">
        <v>63</v>
      </c>
      <c r="D89" t="s">
        <v>64</v>
      </c>
      <c r="E89" t="s">
        <v>65</v>
      </c>
      <c r="F89" t="s">
        <v>66</v>
      </c>
    </row>
    <row r="91" spans="1:7" x14ac:dyDescent="0.3">
      <c r="A91" t="s">
        <v>67</v>
      </c>
    </row>
    <row r="93" spans="1:7" x14ac:dyDescent="0.3">
      <c r="A93" t="s">
        <v>68</v>
      </c>
    </row>
    <row r="95" spans="1:7" x14ac:dyDescent="0.3">
      <c r="A95" t="s">
        <v>78</v>
      </c>
      <c r="E95" t="s">
        <v>79</v>
      </c>
    </row>
    <row r="97" spans="1:15" x14ac:dyDescent="0.3">
      <c r="A97" t="s">
        <v>80</v>
      </c>
    </row>
    <row r="99" spans="1:15" x14ac:dyDescent="0.3">
      <c r="A99" t="s">
        <v>81</v>
      </c>
    </row>
    <row r="101" spans="1:15" x14ac:dyDescent="0.3">
      <c r="A101" t="s">
        <v>82</v>
      </c>
    </row>
    <row r="103" spans="1:15" ht="18" x14ac:dyDescent="0.35">
      <c r="A103" s="2" t="s">
        <v>69</v>
      </c>
    </row>
    <row r="105" spans="1:15" x14ac:dyDescent="0.3">
      <c r="A105" t="s">
        <v>97</v>
      </c>
      <c r="E105" t="s">
        <v>134</v>
      </c>
    </row>
    <row r="107" spans="1:15" x14ac:dyDescent="0.3">
      <c r="A107" t="s">
        <v>192</v>
      </c>
      <c r="E107" t="s">
        <v>191</v>
      </c>
    </row>
    <row r="109" spans="1:15" x14ac:dyDescent="0.3">
      <c r="A109" t="s">
        <v>98</v>
      </c>
      <c r="E109" t="s">
        <v>99</v>
      </c>
      <c r="O109" t="s">
        <v>100</v>
      </c>
    </row>
    <row r="111" spans="1:15" x14ac:dyDescent="0.3">
      <c r="A111" t="s">
        <v>101</v>
      </c>
    </row>
    <row r="113" spans="1:12" x14ac:dyDescent="0.3">
      <c r="A113" t="s">
        <v>102</v>
      </c>
      <c r="E113" t="s">
        <v>103</v>
      </c>
      <c r="G113" t="s">
        <v>104</v>
      </c>
    </row>
    <row r="115" spans="1:12" ht="21" x14ac:dyDescent="0.4">
      <c r="A115" s="3" t="s">
        <v>83</v>
      </c>
    </row>
    <row r="117" spans="1:12" x14ac:dyDescent="0.3">
      <c r="A117" t="s">
        <v>90</v>
      </c>
    </row>
    <row r="119" spans="1:12" x14ac:dyDescent="0.3">
      <c r="A119" t="s">
        <v>91</v>
      </c>
    </row>
    <row r="121" spans="1:12" x14ac:dyDescent="0.3">
      <c r="A121" t="s">
        <v>92</v>
      </c>
      <c r="C121" t="s">
        <v>93</v>
      </c>
      <c r="G121" t="s">
        <v>94</v>
      </c>
      <c r="L121" t="s">
        <v>95</v>
      </c>
    </row>
    <row r="123" spans="1:12" x14ac:dyDescent="0.3">
      <c r="A123" t="s">
        <v>96</v>
      </c>
    </row>
    <row r="125" spans="1:12" x14ac:dyDescent="0.3">
      <c r="A125" t="s">
        <v>84</v>
      </c>
      <c r="C125" t="s">
        <v>85</v>
      </c>
    </row>
    <row r="127" spans="1:12" x14ac:dyDescent="0.3">
      <c r="A127" t="s">
        <v>86</v>
      </c>
      <c r="F127" t="s">
        <v>87</v>
      </c>
    </row>
    <row r="129" spans="1:1" x14ac:dyDescent="0.3">
      <c r="A129" t="s">
        <v>89</v>
      </c>
    </row>
  </sheetData>
  <pageMargins left="0.7" right="0.7" top="0.75" bottom="0.75" header="0.3" footer="0.3"/>
  <pageSetup orientation="portrait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10"/>
  <dimension ref="A1"/>
  <sheetViews>
    <sheetView workbookViewId="0"/>
  </sheetViews>
  <sheetFormatPr defaultRowHeight="14.4" x14ac:dyDescent="0.3"/>
  <sheetData>
    <row r="1" spans="1:1" ht="15.6" x14ac:dyDescent="0.3">
      <c r="A1" s="8" t="s">
        <v>105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Silviya</vt:lpstr>
      <vt:lpstr>svetlana</vt:lpstr>
      <vt:lpstr>Detelina</vt:lpstr>
      <vt:lpstr>Silviya Petrova</vt:lpstr>
      <vt:lpstr>Yana Zlatanova</vt:lpstr>
      <vt:lpstr>Daniel</vt:lpstr>
      <vt:lpstr>Hristian Stefanov</vt:lpstr>
      <vt:lpstr>Kristiyan Yanachkov</vt:lpstr>
      <vt:lpstr>Kliment Shopov</vt:lpstr>
      <vt:lpstr>Georgi Ivanov</vt:lpstr>
      <vt:lpstr>Liubomir bistrev</vt:lpstr>
      <vt:lpstr>Vesela Parusheva</vt:lpstr>
      <vt:lpstr>Viktoriya</vt:lpstr>
      <vt:lpstr>Vasilen Tzanev</vt:lpstr>
      <vt:lpstr>Ivan Toshkov</vt:lpstr>
      <vt:lpstr>Olga</vt:lpstr>
      <vt:lpstr>Ivanina Darmo</vt:lpstr>
      <vt:lpstr>Alexandyr Dinev - Denislav Dimi</vt:lpstr>
      <vt:lpstr>Hristina</vt:lpstr>
      <vt:lpstr>Dimitar Petrov</vt:lpstr>
      <vt:lpstr>Stefan Angelov</vt:lpstr>
      <vt:lpstr>Georgi Stojchev</vt:lpstr>
      <vt:lpstr>Kaloyan Nikolov</vt:lpstr>
      <vt:lpstr>Kosta</vt:lpstr>
      <vt:lpstr>Atanas Todorov</vt:lpstr>
      <vt:lpstr>Bala</vt:lpstr>
      <vt:lpstr>Cvetana</vt:lpstr>
      <vt:lpstr>Boris Ivanov</vt:lpstr>
      <vt:lpstr>Venelina Beleva</vt:lpstr>
      <vt:lpstr>Natali Mihaylova</vt:lpstr>
      <vt:lpstr>Mihail Dimitrov</vt:lpstr>
      <vt:lpstr>Ivo Dyakov</vt:lpstr>
      <vt:lpstr>Marina Radulova</vt:lpstr>
      <vt:lpstr>x</vt:lpstr>
      <vt:lpstr>questions</vt:lpstr>
      <vt:lpstr>Tickets</vt:lpstr>
    </vt:vector>
  </TitlesOfParts>
  <Company>Sitel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Lubenov</dc:creator>
  <cp:lastModifiedBy>Nikolay Lubenov</cp:lastModifiedBy>
  <cp:lastPrinted>2022-04-01T06:22:28Z</cp:lastPrinted>
  <dcterms:created xsi:type="dcterms:W3CDTF">2021-04-21T06:55:39Z</dcterms:created>
  <dcterms:modified xsi:type="dcterms:W3CDTF">2025-04-17T13:23:34Z</dcterms:modified>
</cp:coreProperties>
</file>