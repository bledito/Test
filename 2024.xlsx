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0" windowWidth="28800" windowHeight="126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I2" i="1"/>
  <c r="F7" i="1"/>
  <c r="I7" i="1" s="1"/>
  <c r="J7" i="1" s="1"/>
  <c r="D7" i="1"/>
  <c r="H7" i="1" s="1"/>
  <c r="I6" i="1"/>
  <c r="J6" i="1" s="1"/>
  <c r="H6" i="1"/>
  <c r="F6" i="1"/>
  <c r="D6" i="1"/>
  <c r="I5" i="1"/>
  <c r="J5" i="1" s="1"/>
  <c r="F5" i="1"/>
  <c r="D5" i="1"/>
  <c r="H5" i="1" s="1"/>
  <c r="I4" i="1"/>
  <c r="H4" i="1"/>
  <c r="D4" i="1"/>
  <c r="F3" i="1"/>
  <c r="I3" i="1" s="1"/>
  <c r="J3" i="1" s="1"/>
  <c r="D3" i="1"/>
  <c r="H3" i="1" s="1"/>
  <c r="N2" i="1"/>
  <c r="H2" i="1"/>
  <c r="F2" i="1"/>
  <c r="D2" i="1"/>
  <c r="J2" i="1" l="1"/>
  <c r="N1" i="1" s="1"/>
</calcChain>
</file>

<file path=xl/sharedStrings.xml><?xml version="1.0" encoding="utf-8"?>
<sst xmlns="http://schemas.openxmlformats.org/spreadsheetml/2006/main" count="21" uniqueCount="20">
  <si>
    <t>Name</t>
  </si>
  <si>
    <t>ID</t>
  </si>
  <si>
    <t>Salary</t>
  </si>
  <si>
    <t>Max Amount</t>
  </si>
  <si>
    <t>Percent</t>
  </si>
  <si>
    <t>Current Amount</t>
  </si>
  <si>
    <t>Bonus Amount</t>
  </si>
  <si>
    <t>Remaining Amount</t>
  </si>
  <si>
    <t>New Salary</t>
  </si>
  <si>
    <t>Final Percent</t>
  </si>
  <si>
    <t>Comment</t>
  </si>
  <si>
    <t>Silviya Todorova</t>
  </si>
  <si>
    <t>Position no longer  junior</t>
  </si>
  <si>
    <t>Vladimir Alfonso</t>
  </si>
  <si>
    <t>P.S. zavlicham firmata s 11 leva</t>
  </si>
  <si>
    <t>Emil Atanassov</t>
  </si>
  <si>
    <t>Ivan Donchev</t>
  </si>
  <si>
    <t>Silviya Petrova</t>
  </si>
  <si>
    <t>Nikolay Raykov</t>
  </si>
  <si>
    <t>Remining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</si>
</sst>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0" xfId="0" applyNumberFormat="1" applyFont="1" applyFill="1" applyBorder="1"/>
    <xf numFmtId="0" fontId="2" fillId="2" borderId="0" xfId="0" applyFont="1" applyFill="1" applyBorder="1"/>
    <xf numFmtId="3" fontId="3" fillId="3" borderId="1" xfId="1" applyNumberFormat="1" applyFont="1" applyFill="1" applyBorder="1"/>
    <xf numFmtId="9" fontId="3" fillId="3" borderId="1" xfId="2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165" fontId="0" fillId="0" borderId="0" xfId="2" applyNumberFormat="1" applyFont="1"/>
    <xf numFmtId="0" fontId="0" fillId="4" borderId="1" xfId="0" applyFont="1" applyFill="1" applyBorder="1"/>
    <xf numFmtId="9" fontId="0" fillId="4" borderId="1" xfId="0" applyNumberFormat="1" applyFont="1" applyFill="1" applyBorder="1"/>
    <xf numFmtId="0" fontId="0" fillId="4" borderId="1" xfId="0" applyNumberFormat="1" applyFont="1" applyFill="1" applyBorder="1"/>
    <xf numFmtId="3" fontId="4" fillId="5" borderId="1" xfId="1" applyNumberFormat="1" applyFont="1" applyFill="1" applyBorder="1"/>
    <xf numFmtId="0" fontId="1" fillId="4" borderId="0" xfId="0" applyFont="1" applyFill="1" applyBorder="1"/>
    <xf numFmtId="0" fontId="0" fillId="0" borderId="1" xfId="0" applyFont="1" applyBorder="1"/>
    <xf numFmtId="9" fontId="0" fillId="0" borderId="1" xfId="0" applyNumberFormat="1" applyFont="1" applyBorder="1"/>
    <xf numFmtId="0" fontId="0" fillId="0" borderId="1" xfId="0" applyNumberFormat="1" applyFont="1" applyBorder="1"/>
    <xf numFmtId="3" fontId="4" fillId="6" borderId="1" xfId="1" applyNumberFormat="1" applyFont="1" applyFill="1" applyBorder="1"/>
    <xf numFmtId="0" fontId="1" fillId="0" borderId="0" xfId="0" applyFont="1" applyBorder="1"/>
    <xf numFmtId="0" fontId="0" fillId="0" borderId="2" xfId="0" applyFont="1" applyBorder="1"/>
    <xf numFmtId="9" fontId="0" fillId="0" borderId="2" xfId="0" applyNumberFormat="1" applyFont="1" applyBorder="1"/>
    <xf numFmtId="0" fontId="0" fillId="0" borderId="2" xfId="0" applyNumberFormat="1" applyFont="1" applyBorder="1"/>
    <xf numFmtId="3" fontId="4" fillId="6" borderId="2" xfId="1" applyNumberFormat="1" applyFont="1" applyFill="1" applyBorder="1"/>
    <xf numFmtId="0" fontId="0" fillId="0" borderId="3" xfId="0" applyFont="1" applyBorder="1"/>
    <xf numFmtId="165" fontId="4" fillId="5" borderId="1" xfId="2" applyNumberFormat="1" applyFont="1" applyFill="1" applyBorder="1"/>
    <xf numFmtId="165" fontId="4" fillId="6" borderId="1" xfId="2" applyNumberFormat="1" applyFont="1" applyFill="1" applyBorder="1"/>
    <xf numFmtId="165" fontId="4" fillId="6" borderId="2" xfId="2" applyNumberFormat="1" applyFont="1" applyFill="1" applyBorder="1"/>
    <xf numFmtId="0" fontId="5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0.0%"/>
      <fill>
        <patternFill>
          <bgColor theme="9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>
          <bgColor theme="9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" displayName="Table9" ref="A1:K7" totalsRowShown="0" headerRowDxfId="13" dataDxfId="12" tableBorderDxfId="11">
  <autoFilter ref="A1:K7"/>
  <tableColumns count="11">
    <tableColumn id="1" name="Name" dataDxfId="10"/>
    <tableColumn id="2" name="ID" dataDxfId="9"/>
    <tableColumn id="3" name="Salary" dataDxfId="8"/>
    <tableColumn id="4" name="Max Amount" dataDxfId="7">
      <calculatedColumnFormula>0.06*Table9[[#This Row],[Salary]]</calculatedColumnFormula>
    </tableColumn>
    <tableColumn id="5" name="Percent" dataDxfId="6"/>
    <tableColumn id="9" name="Current Amount" dataDxfId="5">
      <calculatedColumnFormula>Table9[[#This Row],[Percent]]*Table9[[#This Row],[Salary]]</calculatedColumnFormula>
    </tableColumn>
    <tableColumn id="10" name="Bonus Amount" dataDxfId="4"/>
    <tableColumn id="6" name="Remaining Amount" dataDxfId="3">
      <calculatedColumnFormula>D2-(E2*C2)</calculatedColumnFormula>
    </tableColumn>
    <tableColumn id="7" name="New Salary" dataDxfId="2" dataCellStyle="Comma">
      <calculatedColumnFormula>C2+Table9[[#This Row],[Current Amount]]+Table9[[#This Row],[Bonus Amount]]</calculatedColumnFormula>
    </tableColumn>
    <tableColumn id="11" name="Final Percent" dataDxfId="0" dataCellStyle="Percent">
      <calculatedColumnFormula>1-(Table9[[#This Row],[Salary]]/Table9[[#This Row],[New Salary]])</calculatedColumnFormula>
    </tableColumn>
    <tableColumn id="12" name="Com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I12" sqref="I12"/>
    </sheetView>
  </sheetViews>
  <sheetFormatPr defaultRowHeight="14.4" x14ac:dyDescent="0.3"/>
  <cols>
    <col min="1" max="1" width="14.44140625" bestFit="1" customWidth="1"/>
    <col min="2" max="2" width="8" bestFit="1" customWidth="1"/>
    <col min="3" max="3" width="8.33203125" bestFit="1" customWidth="1"/>
    <col min="4" max="4" width="14.21875" bestFit="1" customWidth="1"/>
    <col min="5" max="5" width="9.6640625" bestFit="1" customWidth="1"/>
    <col min="6" max="6" width="17" bestFit="1" customWidth="1"/>
    <col min="7" max="7" width="15.88671875" bestFit="1" customWidth="1"/>
    <col min="8" max="8" width="19.6640625" bestFit="1" customWidth="1"/>
    <col min="9" max="9" width="12.5546875" bestFit="1" customWidth="1"/>
    <col min="10" max="10" width="14" bestFit="1" customWidth="1"/>
    <col min="11" max="11" width="21.5546875" bestFit="1" customWidth="1"/>
    <col min="13" max="13" width="16.44140625" bestFit="1" customWidth="1"/>
    <col min="14" max="14" width="26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3" t="s">
        <v>10</v>
      </c>
      <c r="L1" s="6"/>
      <c r="M1" s="7" t="s">
        <v>19</v>
      </c>
      <c r="N1" s="8">
        <f>SUM(J2:J7)-0.36</f>
        <v>-1.1124794745484001E-3</v>
      </c>
    </row>
    <row r="2" spans="1:14" x14ac:dyDescent="0.3">
      <c r="A2" s="9" t="s">
        <v>11</v>
      </c>
      <c r="B2" s="9">
        <v>1349054</v>
      </c>
      <c r="C2" s="9">
        <v>2500</v>
      </c>
      <c r="D2" s="9">
        <f>0.06*Table9[[#This Row],[Salary]]</f>
        <v>150</v>
      </c>
      <c r="E2" s="10">
        <v>0.06</v>
      </c>
      <c r="F2" s="11">
        <f>Table9[[#This Row],[Percent]]*Table9[[#This Row],[Salary]]</f>
        <v>150</v>
      </c>
      <c r="G2" s="11">
        <v>350</v>
      </c>
      <c r="H2" s="9">
        <f>D2-(E2*C2)</f>
        <v>0</v>
      </c>
      <c r="I2" s="12">
        <f>C2+Table9[[#This Row],[Current Amount]]+Table9[[#This Row],[Bonus Amount]]</f>
        <v>3000</v>
      </c>
      <c r="J2" s="24">
        <f>1-(Table9[[#This Row],[Salary]]/Table9[[#This Row],[New Salary]])</f>
        <v>0.16666666666666663</v>
      </c>
      <c r="K2" s="13" t="s">
        <v>12</v>
      </c>
      <c r="L2" s="7"/>
      <c r="M2" s="7" t="s">
        <v>7</v>
      </c>
      <c r="N2">
        <f>SUM(Table9[Max Amount])-SUM(Table9[Current Amount])-SUM(Table9[Bonus Amount])</f>
        <v>-11</v>
      </c>
    </row>
    <row r="3" spans="1:14" x14ac:dyDescent="0.3">
      <c r="A3" s="14" t="s">
        <v>13</v>
      </c>
      <c r="B3" s="14">
        <v>1370252</v>
      </c>
      <c r="C3" s="14">
        <v>4000</v>
      </c>
      <c r="D3" s="14">
        <f>0.06*Table9[[#This Row],[Salary]]</f>
        <v>240</v>
      </c>
      <c r="E3" s="15">
        <v>0.05</v>
      </c>
      <c r="F3" s="16">
        <f>Table9[[#This Row],[Percent]]*Table9[[#This Row],[Salary]]</f>
        <v>200</v>
      </c>
      <c r="G3" s="16"/>
      <c r="H3" s="14">
        <f>D3-(E3*C3)</f>
        <v>40</v>
      </c>
      <c r="I3" s="17">
        <f>C3+Table9[[#This Row],[Current Amount]]+Table9[[#This Row],[Bonus Amount]]</f>
        <v>4200</v>
      </c>
      <c r="J3" s="25">
        <f>1-(Table9[[#This Row],[Salary]]/Table9[[#This Row],[New Salary]])</f>
        <v>4.7619047619047672E-2</v>
      </c>
      <c r="K3" s="18"/>
      <c r="L3" s="7"/>
      <c r="M3" s="7"/>
      <c r="N3" s="27" t="s">
        <v>14</v>
      </c>
    </row>
    <row r="4" spans="1:14" x14ac:dyDescent="0.3">
      <c r="A4" s="9" t="s">
        <v>15</v>
      </c>
      <c r="B4" s="9">
        <v>1245575</v>
      </c>
      <c r="C4" s="9">
        <v>2800</v>
      </c>
      <c r="D4" s="9">
        <f>0.06*Table9[[#This Row],[Salary]]</f>
        <v>168</v>
      </c>
      <c r="E4" s="10">
        <v>3.5999999999999997E-2</v>
      </c>
      <c r="F4" s="11">
        <v>100</v>
      </c>
      <c r="G4" s="11"/>
      <c r="H4" s="9">
        <f>D4-(E4*C4)</f>
        <v>67.2</v>
      </c>
      <c r="I4" s="12">
        <f>C4+Table9[[#This Row],[Current Amount]]+Table9[[#This Row],[Bonus Amount]]</f>
        <v>2900</v>
      </c>
      <c r="J4" s="24">
        <f>1-(Table9[[#This Row],[Salary]]/Table9[[#This Row],[New Salary]])</f>
        <v>3.4482758620689613E-2</v>
      </c>
      <c r="K4" s="13"/>
      <c r="L4" s="7"/>
      <c r="M4" s="7"/>
    </row>
    <row r="5" spans="1:14" x14ac:dyDescent="0.3">
      <c r="A5" s="14" t="s">
        <v>16</v>
      </c>
      <c r="B5" s="14">
        <v>1035151</v>
      </c>
      <c r="C5" s="14">
        <v>3750</v>
      </c>
      <c r="D5" s="14">
        <f>0.06*Table9[[#This Row],[Salary]]</f>
        <v>225</v>
      </c>
      <c r="E5" s="15">
        <v>0.06</v>
      </c>
      <c r="F5" s="16">
        <f>Table9[[#This Row],[Percent]]*Table9[[#This Row],[Salary]]</f>
        <v>225</v>
      </c>
      <c r="G5" s="16">
        <v>25</v>
      </c>
      <c r="H5" s="14">
        <f>D5-(E5*C5)</f>
        <v>0</v>
      </c>
      <c r="I5" s="17">
        <f>C5+Table9[[#This Row],[Current Amount]]+Table9[[#This Row],[Bonus Amount]]</f>
        <v>4000</v>
      </c>
      <c r="J5" s="25">
        <f>1-(Table9[[#This Row],[Salary]]/Table9[[#This Row],[New Salary]])</f>
        <v>6.25E-2</v>
      </c>
      <c r="K5" s="18"/>
      <c r="L5" s="7"/>
      <c r="M5" s="7"/>
    </row>
    <row r="6" spans="1:14" x14ac:dyDescent="0.3">
      <c r="A6" s="9" t="s">
        <v>17</v>
      </c>
      <c r="B6" s="9">
        <v>1398636</v>
      </c>
      <c r="C6" s="9">
        <v>3600</v>
      </c>
      <c r="D6" s="9">
        <f>0.06*Table9[[#This Row],[Salary]]</f>
        <v>216</v>
      </c>
      <c r="E6" s="10">
        <v>0</v>
      </c>
      <c r="F6" s="11">
        <f>Table9[[#This Row],[Percent]]*Table9[[#This Row],[Salary]]</f>
        <v>0</v>
      </c>
      <c r="G6" s="11"/>
      <c r="H6" s="9">
        <f>D6-(E6*C6)</f>
        <v>216</v>
      </c>
      <c r="I6" s="12">
        <f>C6+Table9[[#This Row],[Current Amount]]+Table9[[#This Row],[Bonus Amount]]</f>
        <v>3600</v>
      </c>
      <c r="J6" s="24">
        <f>1-(Table9[[#This Row],[Salary]]/Table9[[#This Row],[New Salary]])</f>
        <v>0</v>
      </c>
      <c r="K6" s="13"/>
      <c r="L6" s="7"/>
      <c r="M6" s="7"/>
    </row>
    <row r="7" spans="1:14" x14ac:dyDescent="0.3">
      <c r="A7" s="19" t="s">
        <v>18</v>
      </c>
      <c r="B7" s="19">
        <v>1564139</v>
      </c>
      <c r="C7" s="19">
        <v>4000</v>
      </c>
      <c r="D7" s="19">
        <f>0.06*Table9[[#This Row],[Salary]]</f>
        <v>240</v>
      </c>
      <c r="E7" s="20">
        <v>0.05</v>
      </c>
      <c r="F7" s="21">
        <f>Table9[[#This Row],[Percent]]*Table9[[#This Row],[Salary]]</f>
        <v>200</v>
      </c>
      <c r="G7" s="21"/>
      <c r="H7" s="19">
        <f t="shared" ref="H7" si="0">D7-(E7*C7)</f>
        <v>40</v>
      </c>
      <c r="I7" s="22">
        <f>C7+Table9[[#This Row],[Current Amount]]+Table9[[#This Row],[Bonus Amount]]</f>
        <v>4200</v>
      </c>
      <c r="J7" s="26">
        <f>1-(Table9[[#This Row],[Salary]]/Table9[[#This Row],[New Salary]])</f>
        <v>4.7619047619047672E-2</v>
      </c>
      <c r="K7" s="18"/>
      <c r="L7" s="7"/>
      <c r="M7" s="7"/>
      <c r="N7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2023-10-04T08:29:02Z</dcterms:created>
  <dcterms:modified xsi:type="dcterms:W3CDTF">2023-10-04T08:35:34Z</dcterms:modified>
</cp:coreProperties>
</file>