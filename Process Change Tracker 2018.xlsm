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\\BG279K12FPS01\Administrative$\Reporting\Data_Reporting\Private\1. Projects\8. Sofia\6.Exercise\Process Change Tracker\"/>
    </mc:Choice>
  </mc:AlternateContent>
  <bookViews>
    <workbookView xWindow="735" yWindow="60" windowWidth="9600" windowHeight="11250" tabRatio="414" activeTab="1"/>
  </bookViews>
  <sheets>
    <sheet name="Completion Stat" sheetId="2" r:id="rId1"/>
    <sheet name="Agent Details" sheetId="3" r:id="rId2"/>
  </sheets>
  <externalReferences>
    <externalReference r:id="rId3"/>
  </externalReferences>
  <definedNames>
    <definedName name="_xlnm._FilterDatabase" localSheetId="1" hidden="1">'Agent Details'!$A$4:$AL$443</definedName>
    <definedName name="blah">#REF!</definedName>
    <definedName name="Red">'Agent Details'!$E$5:$E$52</definedName>
    <definedName name="Z_3B73CFE8_02C9_4B1B_B71A_B4D8AE9078B4_.wvu.Cols" localSheetId="1" hidden="1">'Agent Details'!#REF!,'Agent Details'!$F:$O</definedName>
    <definedName name="Z_3B73CFE8_02C9_4B1B_B71A_B4D8AE9078B4_.wvu.FilterData" localSheetId="1" hidden="1">'Agent Details'!$A$4:$AL$443</definedName>
    <definedName name="Z_3B73CFE8_02C9_4B1B_B71A_B4D8AE9078B4_.wvu.Rows" localSheetId="1" hidden="1">'Agent Details'!#REF!</definedName>
    <definedName name="Z_94B0FACD_28D8_47B1_8F1A_14334D8ADB34_.wvu.Cols" localSheetId="1" hidden="1">'Agent Details'!#REF!,'Agent Details'!#REF!,'Agent Details'!$F:$P</definedName>
    <definedName name="Z_94B0FACD_28D8_47B1_8F1A_14334D8ADB34_.wvu.FilterData" localSheetId="1" hidden="1">'Agent Details'!$A$4:$AK$357</definedName>
  </definedNames>
  <calcPr calcId="152511"/>
  <customWorkbookViews>
    <customWorkbookView name="Clive Barber - Personal View" guid="{3B73CFE8-02C9-4B1B-B71A-B4D8AE9078B4}" mergeInterval="0" personalView="1" maximized="1" xWindow="-8" yWindow="-8" windowWidth="1296" windowHeight="1000" tabRatio="414" activeSheetId="3"/>
    <customWorkbookView name="Kim Hanchet - Personal View" guid="{94B0FACD-28D8-47B1-8F1A-14334D8ADB34}" mergeInterval="0" personalView="1" maximized="1" windowWidth="1280" windowHeight="779" tabRatio="414" activeSheetId="3" showComments="commIndAndComment"/>
  </customWorkbookViews>
  <pivotCaches>
    <pivotCache cacheId="1" r:id="rId4"/>
  </pivotCaches>
</workbook>
</file>

<file path=xl/calcChain.xml><?xml version="1.0" encoding="utf-8"?>
<calcChain xmlns="http://schemas.openxmlformats.org/spreadsheetml/2006/main">
  <c r="F3" i="3" l="1"/>
  <c r="B331" i="3" l="1"/>
  <c r="C331" i="3"/>
  <c r="D331" i="3"/>
  <c r="E331" i="3"/>
  <c r="B332" i="3"/>
  <c r="C332" i="3"/>
  <c r="D332" i="3"/>
  <c r="E332" i="3"/>
  <c r="B333" i="3"/>
  <c r="C333" i="3"/>
  <c r="D333" i="3"/>
  <c r="E333" i="3"/>
  <c r="B334" i="3"/>
  <c r="C334" i="3"/>
  <c r="D334" i="3"/>
  <c r="E334" i="3"/>
  <c r="B335" i="3"/>
  <c r="C335" i="3"/>
  <c r="D335" i="3"/>
  <c r="E335" i="3"/>
  <c r="B336" i="3"/>
  <c r="C336" i="3"/>
  <c r="D336" i="3"/>
  <c r="E336" i="3"/>
  <c r="B337" i="3"/>
  <c r="C337" i="3"/>
  <c r="D337" i="3"/>
  <c r="E337" i="3"/>
  <c r="B338" i="3"/>
  <c r="C338" i="3"/>
  <c r="D338" i="3"/>
  <c r="E338" i="3"/>
  <c r="B339" i="3"/>
  <c r="C339" i="3"/>
  <c r="D339" i="3"/>
  <c r="E339" i="3"/>
  <c r="B340" i="3"/>
  <c r="C340" i="3"/>
  <c r="D340" i="3"/>
  <c r="E340" i="3"/>
  <c r="B341" i="3"/>
  <c r="C341" i="3"/>
  <c r="D341" i="3"/>
  <c r="E341" i="3"/>
  <c r="B43" i="3" l="1"/>
  <c r="C43" i="3"/>
  <c r="D43" i="3"/>
  <c r="E43" i="3"/>
  <c r="B44" i="3"/>
  <c r="C44" i="3"/>
  <c r="D44" i="3"/>
  <c r="E44" i="3"/>
  <c r="B45" i="3"/>
  <c r="C45" i="3"/>
  <c r="D45" i="3"/>
  <c r="E45" i="3"/>
  <c r="B46" i="3"/>
  <c r="C46" i="3"/>
  <c r="D46" i="3"/>
  <c r="E46" i="3"/>
  <c r="B49" i="3"/>
  <c r="C49" i="3"/>
  <c r="D49" i="3"/>
  <c r="E49" i="3"/>
  <c r="B50" i="3"/>
  <c r="C50" i="3"/>
  <c r="D50" i="3"/>
  <c r="E50" i="3"/>
  <c r="B323" i="3"/>
  <c r="C323" i="3"/>
  <c r="D323" i="3"/>
  <c r="E323" i="3"/>
  <c r="B324" i="3"/>
  <c r="C324" i="3"/>
  <c r="D324" i="3"/>
  <c r="E324" i="3"/>
  <c r="B51" i="3"/>
  <c r="C51" i="3"/>
  <c r="D51" i="3"/>
  <c r="E51" i="3"/>
  <c r="B52" i="3"/>
  <c r="C52" i="3"/>
  <c r="D52" i="3"/>
  <c r="E52" i="3"/>
  <c r="B327" i="3"/>
  <c r="C327" i="3"/>
  <c r="D327" i="3"/>
  <c r="E327" i="3"/>
  <c r="B54" i="3"/>
  <c r="C54" i="3"/>
  <c r="D54" i="3"/>
  <c r="E54" i="3"/>
  <c r="B55" i="3"/>
  <c r="C55" i="3"/>
  <c r="D55" i="3"/>
  <c r="E55" i="3"/>
  <c r="B56" i="3"/>
  <c r="C56" i="3"/>
  <c r="D56" i="3"/>
  <c r="E56" i="3"/>
  <c r="B42" i="3" l="1"/>
  <c r="C42" i="3"/>
  <c r="D42" i="3"/>
  <c r="E42" i="3"/>
  <c r="G3" i="3" l="1"/>
  <c r="B236" i="3" l="1"/>
  <c r="C48" i="3" l="1"/>
  <c r="E11" i="3" l="1"/>
  <c r="D11" i="3"/>
  <c r="C11" i="3"/>
  <c r="B11" i="3"/>
  <c r="E164" i="3" l="1"/>
  <c r="E178" i="3"/>
  <c r="E179" i="3"/>
  <c r="E180" i="3"/>
  <c r="E181" i="3"/>
  <c r="E182" i="3"/>
  <c r="E183" i="3"/>
  <c r="E184" i="3"/>
  <c r="E165" i="3"/>
  <c r="E167" i="3"/>
  <c r="E168" i="3"/>
  <c r="E169" i="3"/>
  <c r="E170" i="3"/>
  <c r="E173" i="3"/>
  <c r="E174" i="3"/>
  <c r="E175" i="3"/>
  <c r="E176" i="3"/>
  <c r="E185" i="3"/>
  <c r="E6" i="3"/>
  <c r="E8" i="3"/>
  <c r="E9" i="3"/>
  <c r="E115" i="3"/>
  <c r="E224" i="3"/>
  <c r="E187" i="3"/>
  <c r="E93" i="3"/>
  <c r="E268" i="3"/>
  <c r="E191" i="3"/>
  <c r="E269" i="3"/>
  <c r="E117" i="3"/>
  <c r="E138" i="3"/>
  <c r="E152" i="3"/>
  <c r="E71" i="3"/>
  <c r="E207" i="3"/>
  <c r="E72" i="3"/>
  <c r="E228" i="3"/>
  <c r="E186" i="3"/>
  <c r="E73" i="3"/>
  <c r="E74" i="3"/>
  <c r="E7" i="3"/>
  <c r="E75" i="3"/>
  <c r="E78" i="3"/>
  <c r="E68" i="3"/>
  <c r="E79" i="3"/>
  <c r="E67" i="3"/>
  <c r="E80" i="3"/>
  <c r="E81" i="3"/>
  <c r="E82" i="3"/>
  <c r="E83" i="3"/>
  <c r="E84" i="3"/>
  <c r="E86" i="3"/>
  <c r="E69" i="3"/>
  <c r="E70" i="3"/>
  <c r="E53" i="3"/>
  <c r="E47" i="3"/>
  <c r="E23" i="3"/>
  <c r="E65" i="3"/>
  <c r="E29" i="3"/>
  <c r="E63" i="3"/>
  <c r="E61" i="3"/>
  <c r="E57" i="3"/>
  <c r="E94" i="3"/>
  <c r="E139" i="3"/>
  <c r="E58" i="3"/>
  <c r="E66" i="3"/>
  <c r="E48" i="3"/>
  <c r="E60" i="3"/>
  <c r="E87" i="3"/>
  <c r="E59" i="3"/>
  <c r="E95" i="3"/>
  <c r="E88" i="3"/>
  <c r="E89" i="3"/>
  <c r="E90" i="3"/>
  <c r="E62" i="3"/>
  <c r="E91" i="3"/>
  <c r="E96" i="3"/>
  <c r="E272" i="3"/>
  <c r="E270" i="3"/>
  <c r="E274" i="3"/>
  <c r="E118" i="3"/>
  <c r="E119" i="3"/>
  <c r="E120" i="3"/>
  <c r="E302" i="3"/>
  <c r="E276" i="3"/>
  <c r="E278" i="3"/>
  <c r="E121" i="3"/>
  <c r="E140" i="3"/>
  <c r="E122" i="3"/>
  <c r="E141" i="3"/>
  <c r="E142" i="3"/>
  <c r="E123" i="3"/>
  <c r="E124" i="3"/>
  <c r="E114" i="3"/>
  <c r="E195" i="3"/>
  <c r="E100" i="3"/>
  <c r="E125" i="3"/>
  <c r="E97" i="3"/>
  <c r="E126" i="3"/>
  <c r="E143" i="3"/>
  <c r="E229" i="3"/>
  <c r="E98" i="3"/>
  <c r="E144" i="3"/>
  <c r="E230" i="3"/>
  <c r="E103" i="3"/>
  <c r="E145" i="3"/>
  <c r="E146" i="3"/>
  <c r="E147" i="3"/>
  <c r="E127" i="3"/>
  <c r="E148" i="3"/>
  <c r="E149" i="3"/>
  <c r="E150" i="3"/>
  <c r="E151" i="3"/>
  <c r="E153" i="3"/>
  <c r="E99" i="3"/>
  <c r="E134" i="3"/>
  <c r="E135" i="3"/>
  <c r="E188" i="3"/>
  <c r="E163" i="3"/>
  <c r="E190" i="3"/>
  <c r="E166" i="3"/>
  <c r="E128" i="3"/>
  <c r="E101" i="3"/>
  <c r="E76" i="3"/>
  <c r="E300" i="3"/>
  <c r="E77" i="3"/>
  <c r="E301" i="3"/>
  <c r="E154" i="3"/>
  <c r="E246" i="3"/>
  <c r="E303" i="3"/>
  <c r="E102" i="3"/>
  <c r="E104" i="3"/>
  <c r="E105" i="3"/>
  <c r="E106" i="3"/>
  <c r="E107" i="3"/>
  <c r="E108" i="3"/>
  <c r="E109" i="3"/>
  <c r="E110" i="3"/>
  <c r="E85" i="3"/>
  <c r="E111" i="3"/>
  <c r="E112" i="3"/>
  <c r="E158" i="3"/>
  <c r="E155" i="3"/>
  <c r="E116" i="3"/>
  <c r="E156" i="3"/>
  <c r="E157" i="3"/>
  <c r="E129" i="3"/>
  <c r="E130" i="3"/>
  <c r="E131" i="3"/>
  <c r="E132" i="3"/>
  <c r="E133" i="3"/>
  <c r="E136" i="3"/>
  <c r="E137" i="3"/>
  <c r="E113" i="3"/>
  <c r="E64" i="3"/>
  <c r="E172" i="3"/>
  <c r="E192" i="3"/>
  <c r="E193" i="3"/>
  <c r="E194" i="3"/>
  <c r="E197" i="3"/>
  <c r="E198" i="3"/>
  <c r="E199" i="3"/>
  <c r="E201" i="3"/>
  <c r="E321" i="3"/>
  <c r="E208" i="3"/>
  <c r="E189" i="3"/>
  <c r="E202" i="3"/>
  <c r="E209" i="3"/>
  <c r="E210" i="3"/>
  <c r="E211" i="3"/>
  <c r="E212" i="3"/>
  <c r="E213" i="3"/>
  <c r="E225" i="3"/>
  <c r="E226" i="3"/>
  <c r="E227" i="3"/>
  <c r="E231" i="3"/>
  <c r="E232" i="3"/>
  <c r="E203" i="3"/>
  <c r="E247" i="3"/>
  <c r="E233" i="3"/>
  <c r="E234" i="3"/>
  <c r="E235" i="3"/>
  <c r="E204" i="3"/>
  <c r="E196" i="3"/>
  <c r="E236" i="3"/>
  <c r="E205" i="3"/>
  <c r="E206" i="3"/>
  <c r="E237" i="3"/>
  <c r="E200" i="3"/>
  <c r="E214" i="3"/>
  <c r="E238" i="3"/>
  <c r="E215" i="3"/>
  <c r="E216" i="3"/>
  <c r="E217" i="3"/>
  <c r="E218" i="3"/>
  <c r="E219" i="3"/>
  <c r="E220" i="3"/>
  <c r="E221" i="3"/>
  <c r="E222" i="3"/>
  <c r="E223" i="3"/>
  <c r="E239" i="3"/>
  <c r="E240" i="3"/>
  <c r="E241" i="3"/>
  <c r="E242" i="3"/>
  <c r="E243" i="3"/>
  <c r="E244" i="3"/>
  <c r="E10" i="3"/>
  <c r="E245" i="3"/>
  <c r="E279" i="3"/>
  <c r="E271" i="3"/>
  <c r="E306" i="3"/>
  <c r="E248" i="3"/>
  <c r="E92" i="3"/>
  <c r="E273" i="3"/>
  <c r="E280" i="3"/>
  <c r="E275" i="3"/>
  <c r="E281" i="3"/>
  <c r="E277" i="3"/>
  <c r="E283" i="3"/>
  <c r="E250" i="3"/>
  <c r="E251" i="3"/>
  <c r="E287" i="3"/>
  <c r="E252" i="3"/>
  <c r="E253" i="3"/>
  <c r="E249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88" i="3"/>
  <c r="E282" i="3"/>
  <c r="E289" i="3"/>
  <c r="E284" i="3"/>
  <c r="E290" i="3"/>
  <c r="E286" i="3"/>
  <c r="E266" i="3"/>
  <c r="E267" i="3"/>
  <c r="E291" i="3"/>
  <c r="E292" i="3"/>
  <c r="E293" i="3"/>
  <c r="E294" i="3"/>
  <c r="E285" i="3"/>
  <c r="E295" i="3"/>
  <c r="E296" i="3"/>
  <c r="E297" i="3"/>
  <c r="E298" i="3"/>
  <c r="E307" i="3"/>
  <c r="E308" i="3"/>
  <c r="E309" i="3"/>
  <c r="E304" i="3"/>
  <c r="E310" i="3"/>
  <c r="E311" i="3"/>
  <c r="E314" i="3"/>
  <c r="E315" i="3"/>
  <c r="E316" i="3"/>
  <c r="E317" i="3"/>
  <c r="E318" i="3"/>
  <c r="E319" i="3"/>
  <c r="E320" i="3"/>
  <c r="E305" i="3"/>
  <c r="E299" i="3"/>
  <c r="E322" i="3"/>
  <c r="E325" i="3"/>
  <c r="E326" i="3"/>
  <c r="E328" i="3"/>
  <c r="E312" i="3"/>
  <c r="E313" i="3"/>
  <c r="E329" i="3"/>
  <c r="E330" i="3"/>
  <c r="E177" i="3"/>
  <c r="C177" i="3" l="1"/>
  <c r="C178" i="3"/>
  <c r="C179" i="3"/>
  <c r="C180" i="3"/>
  <c r="C181" i="3"/>
  <c r="C182" i="3"/>
  <c r="C183" i="3"/>
  <c r="C184" i="3"/>
  <c r="C185" i="3"/>
  <c r="C6" i="3"/>
  <c r="C8" i="3"/>
  <c r="C9" i="3"/>
  <c r="C115" i="3"/>
  <c r="C187" i="3"/>
  <c r="C93" i="3"/>
  <c r="C268" i="3"/>
  <c r="C191" i="3"/>
  <c r="C269" i="3"/>
  <c r="C117" i="3"/>
  <c r="C138" i="3"/>
  <c r="C152" i="3"/>
  <c r="C71" i="3"/>
  <c r="C207" i="3"/>
  <c r="C72" i="3"/>
  <c r="C228" i="3"/>
  <c r="C186" i="3"/>
  <c r="C73" i="3"/>
  <c r="C74" i="3"/>
  <c r="C7" i="3"/>
  <c r="C75" i="3"/>
  <c r="C78" i="3"/>
  <c r="C68" i="3"/>
  <c r="C79" i="3"/>
  <c r="C67" i="3"/>
  <c r="C80" i="3"/>
  <c r="C81" i="3"/>
  <c r="C82" i="3"/>
  <c r="C83" i="3"/>
  <c r="C84" i="3"/>
  <c r="C86" i="3"/>
  <c r="C69" i="3"/>
  <c r="C70" i="3"/>
  <c r="C53" i="3"/>
  <c r="C47" i="3"/>
  <c r="C23" i="3"/>
  <c r="C65" i="3"/>
  <c r="C29" i="3"/>
  <c r="C63" i="3"/>
  <c r="C61" i="3"/>
  <c r="C57" i="3"/>
  <c r="C94" i="3"/>
  <c r="C139" i="3"/>
  <c r="C58" i="3"/>
  <c r="C66" i="3"/>
  <c r="C60" i="3"/>
  <c r="C87" i="3"/>
  <c r="C59" i="3"/>
  <c r="C95" i="3"/>
  <c r="C88" i="3"/>
  <c r="C89" i="3"/>
  <c r="C90" i="3"/>
  <c r="C62" i="3"/>
  <c r="C91" i="3"/>
  <c r="C96" i="3"/>
  <c r="C272" i="3"/>
  <c r="C270" i="3"/>
  <c r="C274" i="3"/>
  <c r="C118" i="3"/>
  <c r="C119" i="3"/>
  <c r="C120" i="3"/>
  <c r="C302" i="3"/>
  <c r="C276" i="3"/>
  <c r="C278" i="3"/>
  <c r="C121" i="3"/>
  <c r="C140" i="3"/>
  <c r="C122" i="3"/>
  <c r="C141" i="3"/>
  <c r="C142" i="3"/>
  <c r="C123" i="3"/>
  <c r="C124" i="3"/>
  <c r="C114" i="3"/>
  <c r="C195" i="3"/>
  <c r="C100" i="3"/>
  <c r="C125" i="3"/>
  <c r="C97" i="3"/>
  <c r="C126" i="3"/>
  <c r="C143" i="3"/>
  <c r="C229" i="3"/>
  <c r="C98" i="3"/>
  <c r="C144" i="3"/>
  <c r="C230" i="3"/>
  <c r="C103" i="3"/>
  <c r="C145" i="3"/>
  <c r="C146" i="3"/>
  <c r="C147" i="3"/>
  <c r="C127" i="3"/>
  <c r="C148" i="3"/>
  <c r="C149" i="3"/>
  <c r="C150" i="3"/>
  <c r="C151" i="3"/>
  <c r="C153" i="3"/>
  <c r="C99" i="3"/>
  <c r="C134" i="3"/>
  <c r="C135" i="3"/>
  <c r="C188" i="3"/>
  <c r="C163" i="3"/>
  <c r="C190" i="3"/>
  <c r="C166" i="3"/>
  <c r="C128" i="3"/>
  <c r="C101" i="3"/>
  <c r="C76" i="3"/>
  <c r="C300" i="3"/>
  <c r="C77" i="3"/>
  <c r="C301" i="3"/>
  <c r="C154" i="3"/>
  <c r="C246" i="3"/>
  <c r="C303" i="3"/>
  <c r="C102" i="3"/>
  <c r="C104" i="3"/>
  <c r="C105" i="3"/>
  <c r="C106" i="3"/>
  <c r="C107" i="3"/>
  <c r="C108" i="3"/>
  <c r="C109" i="3"/>
  <c r="C110" i="3"/>
  <c r="C85" i="3"/>
  <c r="C111" i="3"/>
  <c r="C112" i="3"/>
  <c r="C158" i="3"/>
  <c r="C155" i="3"/>
  <c r="C116" i="3"/>
  <c r="C156" i="3"/>
  <c r="C157" i="3"/>
  <c r="C129" i="3"/>
  <c r="C130" i="3"/>
  <c r="C131" i="3"/>
  <c r="C132" i="3"/>
  <c r="C133" i="3"/>
  <c r="C136" i="3"/>
  <c r="C137" i="3"/>
  <c r="C113" i="3"/>
  <c r="C64" i="3"/>
  <c r="C172" i="3"/>
  <c r="C192" i="3"/>
  <c r="C193" i="3"/>
  <c r="C194" i="3"/>
  <c r="C197" i="3"/>
  <c r="C198" i="3"/>
  <c r="C199" i="3"/>
  <c r="C201" i="3"/>
  <c r="C321" i="3"/>
  <c r="C208" i="3"/>
  <c r="C189" i="3"/>
  <c r="C202" i="3"/>
  <c r="C209" i="3"/>
  <c r="C210" i="3"/>
  <c r="C211" i="3"/>
  <c r="C212" i="3"/>
  <c r="C213" i="3"/>
  <c r="C225" i="3"/>
  <c r="C226" i="3"/>
  <c r="C227" i="3"/>
  <c r="C231" i="3"/>
  <c r="C232" i="3"/>
  <c r="C203" i="3"/>
  <c r="C247" i="3"/>
  <c r="C233" i="3"/>
  <c r="C234" i="3"/>
  <c r="C235" i="3"/>
  <c r="C204" i="3"/>
  <c r="C196" i="3"/>
  <c r="C236" i="3"/>
  <c r="C205" i="3"/>
  <c r="C206" i="3"/>
  <c r="C237" i="3"/>
  <c r="C214" i="3"/>
  <c r="C238" i="3"/>
  <c r="C215" i="3"/>
  <c r="C216" i="3"/>
  <c r="C217" i="3"/>
  <c r="C218" i="3"/>
  <c r="C219" i="3"/>
  <c r="C220" i="3"/>
  <c r="C221" i="3"/>
  <c r="C222" i="3"/>
  <c r="C223" i="3"/>
  <c r="C239" i="3"/>
  <c r="C240" i="3"/>
  <c r="C241" i="3"/>
  <c r="C242" i="3"/>
  <c r="C243" i="3"/>
  <c r="C244" i="3"/>
  <c r="C10" i="3"/>
  <c r="C245" i="3"/>
  <c r="C279" i="3"/>
  <c r="C271" i="3"/>
  <c r="C306" i="3"/>
  <c r="C248" i="3"/>
  <c r="C92" i="3"/>
  <c r="C273" i="3"/>
  <c r="C280" i="3"/>
  <c r="C275" i="3"/>
  <c r="C281" i="3"/>
  <c r="C277" i="3"/>
  <c r="C283" i="3"/>
  <c r="C250" i="3"/>
  <c r="C251" i="3"/>
  <c r="C287" i="3"/>
  <c r="C252" i="3"/>
  <c r="C253" i="3"/>
  <c r="C249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88" i="3"/>
  <c r="C282" i="3"/>
  <c r="C289" i="3"/>
  <c r="C284" i="3"/>
  <c r="C290" i="3"/>
  <c r="C286" i="3"/>
  <c r="C266" i="3"/>
  <c r="C267" i="3"/>
  <c r="C291" i="3"/>
  <c r="C292" i="3"/>
  <c r="C293" i="3"/>
  <c r="C294" i="3"/>
  <c r="C285" i="3"/>
  <c r="C295" i="3"/>
  <c r="C296" i="3"/>
  <c r="C297" i="3"/>
  <c r="C298" i="3"/>
  <c r="C307" i="3"/>
  <c r="C308" i="3"/>
  <c r="C309" i="3"/>
  <c r="C304" i="3"/>
  <c r="C310" i="3"/>
  <c r="C311" i="3"/>
  <c r="C314" i="3"/>
  <c r="C315" i="3"/>
  <c r="C316" i="3"/>
  <c r="C317" i="3"/>
  <c r="C318" i="3"/>
  <c r="C319" i="3"/>
  <c r="C320" i="3"/>
  <c r="C305" i="3"/>
  <c r="C299" i="3"/>
  <c r="C322" i="3"/>
  <c r="C325" i="3"/>
  <c r="C326" i="3"/>
  <c r="C328" i="3"/>
  <c r="C312" i="3"/>
  <c r="C313" i="3"/>
  <c r="C329" i="3"/>
  <c r="C330" i="3"/>
  <c r="AJ3" i="3" l="1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D178" i="3"/>
  <c r="D179" i="3"/>
  <c r="D180" i="3"/>
  <c r="D181" i="3"/>
  <c r="D182" i="3"/>
  <c r="D183" i="3"/>
  <c r="D184" i="3"/>
  <c r="D185" i="3"/>
  <c r="D6" i="3"/>
  <c r="D8" i="3"/>
  <c r="D9" i="3"/>
  <c r="D115" i="3"/>
  <c r="D224" i="3"/>
  <c r="D187" i="3"/>
  <c r="D93" i="3"/>
  <c r="D268" i="3"/>
  <c r="D191" i="3"/>
  <c r="D269" i="3"/>
  <c r="D117" i="3"/>
  <c r="D138" i="3"/>
  <c r="D152" i="3"/>
  <c r="D71" i="3"/>
  <c r="D207" i="3"/>
  <c r="D72" i="3"/>
  <c r="D228" i="3"/>
  <c r="D186" i="3"/>
  <c r="D73" i="3"/>
  <c r="D74" i="3"/>
  <c r="D7" i="3"/>
  <c r="D75" i="3"/>
  <c r="D78" i="3"/>
  <c r="D68" i="3"/>
  <c r="D79" i="3"/>
  <c r="D67" i="3"/>
  <c r="D80" i="3"/>
  <c r="D81" i="3"/>
  <c r="D82" i="3"/>
  <c r="D83" i="3"/>
  <c r="D84" i="3"/>
  <c r="D86" i="3"/>
  <c r="D69" i="3"/>
  <c r="D70" i="3"/>
  <c r="D53" i="3"/>
  <c r="D47" i="3"/>
  <c r="D23" i="3"/>
  <c r="D65" i="3"/>
  <c r="D29" i="3"/>
  <c r="D63" i="3"/>
  <c r="D61" i="3"/>
  <c r="D57" i="3"/>
  <c r="D94" i="3"/>
  <c r="D139" i="3"/>
  <c r="D58" i="3"/>
  <c r="D66" i="3"/>
  <c r="D48" i="3"/>
  <c r="D60" i="3"/>
  <c r="D87" i="3"/>
  <c r="D59" i="3"/>
  <c r="D95" i="3"/>
  <c r="D88" i="3"/>
  <c r="D89" i="3"/>
  <c r="D90" i="3"/>
  <c r="D62" i="3"/>
  <c r="D91" i="3"/>
  <c r="D96" i="3"/>
  <c r="D272" i="3"/>
  <c r="D270" i="3"/>
  <c r="D274" i="3"/>
  <c r="D118" i="3"/>
  <c r="D119" i="3"/>
  <c r="D120" i="3"/>
  <c r="D276" i="3"/>
  <c r="D278" i="3"/>
  <c r="D121" i="3"/>
  <c r="D140" i="3"/>
  <c r="D122" i="3"/>
  <c r="D141" i="3"/>
  <c r="D142" i="3"/>
  <c r="D123" i="3"/>
  <c r="D124" i="3"/>
  <c r="D114" i="3"/>
  <c r="D195" i="3"/>
  <c r="D100" i="3"/>
  <c r="D125" i="3"/>
  <c r="D97" i="3"/>
  <c r="D126" i="3"/>
  <c r="D143" i="3"/>
  <c r="D229" i="3"/>
  <c r="D98" i="3"/>
  <c r="D144" i="3"/>
  <c r="D230" i="3"/>
  <c r="D103" i="3"/>
  <c r="D145" i="3"/>
  <c r="D146" i="3"/>
  <c r="D147" i="3"/>
  <c r="D127" i="3"/>
  <c r="D148" i="3"/>
  <c r="D149" i="3"/>
  <c r="D150" i="3"/>
  <c r="D151" i="3"/>
  <c r="D153" i="3"/>
  <c r="D99" i="3"/>
  <c r="D134" i="3"/>
  <c r="D135" i="3"/>
  <c r="D188" i="3"/>
  <c r="D163" i="3"/>
  <c r="D190" i="3"/>
  <c r="D166" i="3"/>
  <c r="D128" i="3"/>
  <c r="D101" i="3"/>
  <c r="D76" i="3"/>
  <c r="D300" i="3"/>
  <c r="D77" i="3"/>
  <c r="D301" i="3"/>
  <c r="D154" i="3"/>
  <c r="D246" i="3"/>
  <c r="D303" i="3"/>
  <c r="D102" i="3"/>
  <c r="D104" i="3"/>
  <c r="D105" i="3"/>
  <c r="D106" i="3"/>
  <c r="D107" i="3"/>
  <c r="D108" i="3"/>
  <c r="D109" i="3"/>
  <c r="D110" i="3"/>
  <c r="D85" i="3"/>
  <c r="D111" i="3"/>
  <c r="D112" i="3"/>
  <c r="D158" i="3"/>
  <c r="D155" i="3"/>
  <c r="D116" i="3"/>
  <c r="D156" i="3"/>
  <c r="D157" i="3"/>
  <c r="D129" i="3"/>
  <c r="D130" i="3"/>
  <c r="D131" i="3"/>
  <c r="D132" i="3"/>
  <c r="D133" i="3"/>
  <c r="D136" i="3"/>
  <c r="D137" i="3"/>
  <c r="D113" i="3"/>
  <c r="D64" i="3"/>
  <c r="D172" i="3"/>
  <c r="D192" i="3"/>
  <c r="D193" i="3"/>
  <c r="D194" i="3"/>
  <c r="D197" i="3"/>
  <c r="D198" i="3"/>
  <c r="D199" i="3"/>
  <c r="D201" i="3"/>
  <c r="D321" i="3"/>
  <c r="D208" i="3"/>
  <c r="D189" i="3"/>
  <c r="D202" i="3"/>
  <c r="D209" i="3"/>
  <c r="D210" i="3"/>
  <c r="D211" i="3"/>
  <c r="D212" i="3"/>
  <c r="D213" i="3"/>
  <c r="D225" i="3"/>
  <c r="D226" i="3"/>
  <c r="D227" i="3"/>
  <c r="D231" i="3"/>
  <c r="D232" i="3"/>
  <c r="D203" i="3"/>
  <c r="D247" i="3"/>
  <c r="D233" i="3"/>
  <c r="D234" i="3"/>
  <c r="D235" i="3"/>
  <c r="D204" i="3"/>
  <c r="D196" i="3"/>
  <c r="D236" i="3"/>
  <c r="D205" i="3"/>
  <c r="D206" i="3"/>
  <c r="D237" i="3"/>
  <c r="D200" i="3"/>
  <c r="D214" i="3"/>
  <c r="D238" i="3"/>
  <c r="D215" i="3"/>
  <c r="D216" i="3"/>
  <c r="D217" i="3"/>
  <c r="D218" i="3"/>
  <c r="D219" i="3"/>
  <c r="D220" i="3"/>
  <c r="D221" i="3"/>
  <c r="D222" i="3"/>
  <c r="D223" i="3"/>
  <c r="D239" i="3"/>
  <c r="D240" i="3"/>
  <c r="D241" i="3"/>
  <c r="D242" i="3"/>
  <c r="D243" i="3"/>
  <c r="D244" i="3"/>
  <c r="D245" i="3"/>
  <c r="D279" i="3"/>
  <c r="D271" i="3"/>
  <c r="D306" i="3"/>
  <c r="D248" i="3"/>
  <c r="D92" i="3"/>
  <c r="D273" i="3"/>
  <c r="D280" i="3"/>
  <c r="D275" i="3"/>
  <c r="D281" i="3"/>
  <c r="D277" i="3"/>
  <c r="D283" i="3"/>
  <c r="D250" i="3"/>
  <c r="D251" i="3"/>
  <c r="D287" i="3"/>
  <c r="D252" i="3"/>
  <c r="D253" i="3"/>
  <c r="D249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88" i="3"/>
  <c r="D282" i="3"/>
  <c r="D289" i="3"/>
  <c r="D284" i="3"/>
  <c r="D290" i="3"/>
  <c r="D286" i="3"/>
  <c r="D266" i="3"/>
  <c r="D267" i="3"/>
  <c r="D291" i="3"/>
  <c r="D292" i="3"/>
  <c r="D293" i="3"/>
  <c r="D294" i="3"/>
  <c r="D285" i="3"/>
  <c r="D295" i="3"/>
  <c r="D296" i="3"/>
  <c r="D297" i="3"/>
  <c r="D298" i="3"/>
  <c r="D307" i="3"/>
  <c r="D308" i="3"/>
  <c r="D309" i="3"/>
  <c r="D304" i="3"/>
  <c r="D310" i="3"/>
  <c r="D311" i="3"/>
  <c r="D314" i="3"/>
  <c r="D315" i="3"/>
  <c r="D316" i="3"/>
  <c r="D317" i="3"/>
  <c r="D318" i="3"/>
  <c r="D319" i="3"/>
  <c r="D320" i="3"/>
  <c r="D305" i="3"/>
  <c r="D299" i="3"/>
  <c r="D322" i="3"/>
  <c r="D325" i="3"/>
  <c r="D326" i="3"/>
  <c r="D328" i="3"/>
  <c r="D312" i="3"/>
  <c r="D313" i="3"/>
  <c r="D329" i="3"/>
  <c r="D330" i="3"/>
  <c r="D177" i="3"/>
  <c r="B164" i="3"/>
  <c r="B178" i="3"/>
  <c r="B179" i="3"/>
  <c r="B180" i="3"/>
  <c r="B181" i="3"/>
  <c r="B182" i="3"/>
  <c r="B183" i="3"/>
  <c r="B184" i="3"/>
  <c r="B165" i="3"/>
  <c r="B167" i="3"/>
  <c r="B168" i="3"/>
  <c r="B169" i="3"/>
  <c r="B170" i="3"/>
  <c r="B173" i="3"/>
  <c r="B174" i="3"/>
  <c r="B175" i="3"/>
  <c r="B176" i="3"/>
  <c r="B185" i="3"/>
  <c r="B6" i="3"/>
  <c r="B8" i="3"/>
  <c r="B9" i="3"/>
  <c r="B115" i="3"/>
  <c r="B224" i="3"/>
  <c r="B187" i="3"/>
  <c r="B93" i="3"/>
  <c r="B268" i="3"/>
  <c r="B191" i="3"/>
  <c r="B269" i="3"/>
  <c r="B117" i="3"/>
  <c r="B138" i="3"/>
  <c r="B152" i="3"/>
  <c r="B71" i="3"/>
  <c r="B207" i="3"/>
  <c r="B72" i="3"/>
  <c r="B228" i="3"/>
  <c r="B186" i="3"/>
  <c r="B73" i="3"/>
  <c r="B74" i="3"/>
  <c r="B7" i="3"/>
  <c r="B75" i="3"/>
  <c r="B78" i="3"/>
  <c r="B68" i="3"/>
  <c r="B79" i="3"/>
  <c r="B67" i="3"/>
  <c r="B80" i="3"/>
  <c r="B81" i="3"/>
  <c r="B82" i="3"/>
  <c r="B83" i="3"/>
  <c r="B84" i="3"/>
  <c r="B86" i="3"/>
  <c r="B69" i="3"/>
  <c r="B70" i="3"/>
  <c r="B53" i="3"/>
  <c r="B47" i="3"/>
  <c r="B23" i="3"/>
  <c r="B65" i="3"/>
  <c r="B29" i="3"/>
  <c r="B63" i="3"/>
  <c r="B61" i="3"/>
  <c r="B57" i="3"/>
  <c r="B94" i="3"/>
  <c r="B139" i="3"/>
  <c r="B58" i="3"/>
  <c r="B66" i="3"/>
  <c r="B48" i="3"/>
  <c r="B60" i="3"/>
  <c r="B87" i="3"/>
  <c r="B59" i="3"/>
  <c r="B95" i="3"/>
  <c r="B88" i="3"/>
  <c r="B89" i="3"/>
  <c r="B90" i="3"/>
  <c r="B62" i="3"/>
  <c r="B91" i="3"/>
  <c r="B96" i="3"/>
  <c r="B272" i="3"/>
  <c r="B270" i="3"/>
  <c r="B274" i="3"/>
  <c r="B118" i="3"/>
  <c r="B119" i="3"/>
  <c r="B120" i="3"/>
  <c r="B302" i="3"/>
  <c r="B276" i="3"/>
  <c r="B278" i="3"/>
  <c r="B121" i="3"/>
  <c r="B140" i="3"/>
  <c r="B122" i="3"/>
  <c r="B141" i="3"/>
  <c r="B142" i="3"/>
  <c r="B123" i="3"/>
  <c r="B124" i="3"/>
  <c r="B114" i="3"/>
  <c r="B195" i="3"/>
  <c r="B100" i="3"/>
  <c r="B125" i="3"/>
  <c r="B97" i="3"/>
  <c r="B126" i="3"/>
  <c r="B143" i="3"/>
  <c r="B229" i="3"/>
  <c r="B98" i="3"/>
  <c r="B144" i="3"/>
  <c r="B230" i="3"/>
  <c r="B103" i="3"/>
  <c r="B145" i="3"/>
  <c r="B146" i="3"/>
  <c r="B147" i="3"/>
  <c r="B127" i="3"/>
  <c r="B148" i="3"/>
  <c r="B149" i="3"/>
  <c r="B150" i="3"/>
  <c r="B151" i="3"/>
  <c r="B153" i="3"/>
  <c r="B99" i="3"/>
  <c r="B134" i="3"/>
  <c r="B135" i="3"/>
  <c r="B188" i="3"/>
  <c r="B163" i="3"/>
  <c r="B190" i="3"/>
  <c r="B166" i="3"/>
  <c r="B128" i="3"/>
  <c r="B101" i="3"/>
  <c r="B76" i="3"/>
  <c r="B300" i="3"/>
  <c r="B77" i="3"/>
  <c r="B301" i="3"/>
  <c r="B154" i="3"/>
  <c r="B246" i="3"/>
  <c r="B303" i="3"/>
  <c r="B102" i="3"/>
  <c r="B104" i="3"/>
  <c r="B105" i="3"/>
  <c r="B106" i="3"/>
  <c r="B107" i="3"/>
  <c r="B108" i="3"/>
  <c r="B109" i="3"/>
  <c r="B110" i="3"/>
  <c r="B85" i="3"/>
  <c r="B111" i="3"/>
  <c r="B112" i="3"/>
  <c r="B158" i="3"/>
  <c r="B155" i="3"/>
  <c r="B116" i="3"/>
  <c r="B156" i="3"/>
  <c r="B157" i="3"/>
  <c r="B129" i="3"/>
  <c r="B130" i="3"/>
  <c r="B131" i="3"/>
  <c r="B132" i="3"/>
  <c r="B133" i="3"/>
  <c r="B136" i="3"/>
  <c r="B137" i="3"/>
  <c r="B113" i="3"/>
  <c r="B64" i="3"/>
  <c r="B172" i="3"/>
  <c r="B192" i="3"/>
  <c r="B193" i="3"/>
  <c r="B194" i="3"/>
  <c r="B197" i="3"/>
  <c r="B198" i="3"/>
  <c r="B199" i="3"/>
  <c r="B201" i="3"/>
  <c r="B321" i="3"/>
  <c r="B208" i="3"/>
  <c r="B189" i="3"/>
  <c r="B202" i="3"/>
  <c r="B209" i="3"/>
  <c r="B210" i="3"/>
  <c r="B211" i="3"/>
  <c r="B212" i="3"/>
  <c r="B213" i="3"/>
  <c r="B225" i="3"/>
  <c r="B226" i="3"/>
  <c r="B227" i="3"/>
  <c r="B231" i="3"/>
  <c r="B203" i="3"/>
  <c r="B247" i="3"/>
  <c r="B233" i="3"/>
  <c r="B234" i="3"/>
  <c r="B235" i="3"/>
  <c r="B204" i="3"/>
  <c r="B196" i="3"/>
  <c r="B205" i="3"/>
  <c r="B206" i="3"/>
  <c r="B237" i="3"/>
  <c r="B214" i="3"/>
  <c r="B238" i="3"/>
  <c r="B215" i="3"/>
  <c r="B216" i="3"/>
  <c r="B217" i="3"/>
  <c r="B218" i="3"/>
  <c r="B219" i="3"/>
  <c r="B220" i="3"/>
  <c r="B221" i="3"/>
  <c r="B222" i="3"/>
  <c r="B223" i="3"/>
  <c r="B239" i="3"/>
  <c r="B240" i="3"/>
  <c r="B241" i="3"/>
  <c r="B242" i="3"/>
  <c r="B243" i="3"/>
  <c r="B244" i="3"/>
  <c r="B10" i="3"/>
  <c r="B245" i="3"/>
  <c r="B279" i="3"/>
  <c r="B271" i="3"/>
  <c r="B306" i="3"/>
  <c r="B248" i="3"/>
  <c r="B92" i="3"/>
  <c r="B273" i="3"/>
  <c r="B280" i="3"/>
  <c r="B275" i="3"/>
  <c r="B281" i="3"/>
  <c r="B277" i="3"/>
  <c r="B283" i="3"/>
  <c r="B250" i="3"/>
  <c r="B251" i="3"/>
  <c r="B287" i="3"/>
  <c r="B252" i="3"/>
  <c r="B253" i="3"/>
  <c r="B249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88" i="3"/>
  <c r="B282" i="3"/>
  <c r="B289" i="3"/>
  <c r="B284" i="3"/>
  <c r="B290" i="3"/>
  <c r="B286" i="3"/>
  <c r="B266" i="3"/>
  <c r="B267" i="3"/>
  <c r="B291" i="3"/>
  <c r="B292" i="3"/>
  <c r="B293" i="3"/>
  <c r="B294" i="3"/>
  <c r="B285" i="3"/>
  <c r="B295" i="3"/>
  <c r="B296" i="3"/>
  <c r="B297" i="3"/>
  <c r="B298" i="3"/>
  <c r="B307" i="3"/>
  <c r="B308" i="3"/>
  <c r="B309" i="3"/>
  <c r="B304" i="3"/>
  <c r="B310" i="3"/>
  <c r="B311" i="3"/>
  <c r="B314" i="3"/>
  <c r="B315" i="3"/>
  <c r="B316" i="3"/>
  <c r="B317" i="3"/>
  <c r="B318" i="3"/>
  <c r="B319" i="3"/>
  <c r="B320" i="3"/>
  <c r="B305" i="3"/>
  <c r="B299" i="3"/>
  <c r="B322" i="3"/>
  <c r="B325" i="3"/>
  <c r="B326" i="3"/>
  <c r="B328" i="3"/>
  <c r="B312" i="3"/>
  <c r="B313" i="3"/>
  <c r="B329" i="3"/>
  <c r="B330" i="3"/>
  <c r="B177" i="3"/>
  <c r="H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I3" i="3"/>
</calcChain>
</file>

<file path=xl/sharedStrings.xml><?xml version="1.0" encoding="utf-8"?>
<sst xmlns="http://schemas.openxmlformats.org/spreadsheetml/2006/main" count="13214" uniqueCount="403">
  <si>
    <t xml:space="preserve">Manager </t>
  </si>
  <si>
    <t>Start Date</t>
  </si>
  <si>
    <t>(blank)</t>
  </si>
  <si>
    <t>Grand Total</t>
  </si>
  <si>
    <t>Column Labels</t>
  </si>
  <si>
    <t>Full Name</t>
  </si>
  <si>
    <t>Jemma Sercombe</t>
  </si>
  <si>
    <t>Gordon Franks</t>
  </si>
  <si>
    <t>Joni Terry</t>
  </si>
  <si>
    <t>Elisha Durant</t>
  </si>
  <si>
    <t>April Saunders</t>
  </si>
  <si>
    <t>Joanne Place</t>
  </si>
  <si>
    <t>Zachariah Cross</t>
  </si>
  <si>
    <t>Marc Nicholson</t>
  </si>
  <si>
    <t>Jessica Wilson</t>
  </si>
  <si>
    <t>Jazmin Hoe</t>
  </si>
  <si>
    <t>Adam Paulley</t>
  </si>
  <si>
    <t>Chloe Thipthorpe</t>
  </si>
  <si>
    <t>Leighe Hall</t>
  </si>
  <si>
    <t>Joseph Brooks</t>
  </si>
  <si>
    <t>Shane Hayman</t>
  </si>
  <si>
    <t>Daniel Winstone</t>
  </si>
  <si>
    <t>Tristan Watkin</t>
  </si>
  <si>
    <t>Claire Adkins</t>
  </si>
  <si>
    <t>Harry Connell-Payne</t>
  </si>
  <si>
    <t>Luke Davey</t>
  </si>
  <si>
    <t>Steve Gibbard</t>
  </si>
  <si>
    <t>Terry Chapman</t>
  </si>
  <si>
    <t>Andrew Martin</t>
  </si>
  <si>
    <t>Henry Gorick</t>
  </si>
  <si>
    <t>David Hosker</t>
  </si>
  <si>
    <t>William Fell</t>
  </si>
  <si>
    <t>Bevis Bowles Bray</t>
  </si>
  <si>
    <t>Elaine Ludgrove</t>
  </si>
  <si>
    <t>Kathleen Turner</t>
  </si>
  <si>
    <t>Jack O’Hara</t>
  </si>
  <si>
    <t>Peryanaden Coolen</t>
  </si>
  <si>
    <t>Richard Montague-Jones</t>
  </si>
  <si>
    <t>Luke Wallwork</t>
  </si>
  <si>
    <t>Benjamin Holdman</t>
  </si>
  <si>
    <t>William Legg</t>
  </si>
  <si>
    <t>Mara Pavila</t>
  </si>
  <si>
    <t>Jamie Hammond</t>
  </si>
  <si>
    <t>Amy Batchelor</t>
  </si>
  <si>
    <t>Kaycee Pearman</t>
  </si>
  <si>
    <t>Christopher Summerhayes</t>
  </si>
  <si>
    <t>Kathleen Hunter</t>
  </si>
  <si>
    <t>Josh Burnett</t>
  </si>
  <si>
    <t>Hayley Shuck</t>
  </si>
  <si>
    <t>Carren Northey</t>
  </si>
  <si>
    <t>Georgia Gaffney</t>
  </si>
  <si>
    <t>Karen Cattigan</t>
  </si>
  <si>
    <t>Christopher Russell</t>
  </si>
  <si>
    <t>Kyle Shaw</t>
  </si>
  <si>
    <t>William Williams</t>
  </si>
  <si>
    <t>Martin Hastings</t>
  </si>
  <si>
    <t>Katie Kingdom</t>
  </si>
  <si>
    <t>Stephen McAnespie</t>
  </si>
  <si>
    <t>Matthew MacKay</t>
  </si>
  <si>
    <t>Siobhan Cannon</t>
  </si>
  <si>
    <t>Matthew Coles</t>
  </si>
  <si>
    <t>Helen Gaston</t>
  </si>
  <si>
    <t>Daniel Lane</t>
  </si>
  <si>
    <t>David Parker</t>
  </si>
  <si>
    <t>Faye Wright</t>
  </si>
  <si>
    <t>Mark Nesbitt</t>
  </si>
  <si>
    <t>Paul Diamond</t>
  </si>
  <si>
    <t>Sarah Poole</t>
  </si>
  <si>
    <t>Joanne Briggs</t>
  </si>
  <si>
    <t>Michelle Bartlett</t>
  </si>
  <si>
    <t>Alexander Hogg</t>
  </si>
  <si>
    <t>James Chalker-Halsey</t>
  </si>
  <si>
    <t>Rhys Tate</t>
  </si>
  <si>
    <t>Dany Warren</t>
  </si>
  <si>
    <t>Joshua Sims</t>
  </si>
  <si>
    <t>Kathryn Titheridge</t>
  </si>
  <si>
    <t>Natalia Lopes de Araujo</t>
  </si>
  <si>
    <t>Maya Gordon</t>
  </si>
  <si>
    <t>Mrinalini Mustafee</t>
  </si>
  <si>
    <t>Rachel Ekstein-Walker</t>
  </si>
  <si>
    <t>Leon Carnell</t>
  </si>
  <si>
    <t>Patrice Jackson</t>
  </si>
  <si>
    <t>Scott Harvey</t>
  </si>
  <si>
    <t>Thomas Perkins</t>
  </si>
  <si>
    <t>Tayo Odubore</t>
  </si>
  <si>
    <t>Zac Newsome</t>
  </si>
  <si>
    <t>Georgia Wilson</t>
  </si>
  <si>
    <t>Jordan Copland</t>
  </si>
  <si>
    <t>Kayleigh Rawlins</t>
  </si>
  <si>
    <t>Kelly Tucker</t>
  </si>
  <si>
    <t>Sophie Downer</t>
  </si>
  <si>
    <t>Sam Way</t>
  </si>
  <si>
    <t>Richard Ireland</t>
  </si>
  <si>
    <t>Christopher Harrity</t>
  </si>
  <si>
    <t>Joshua Bradley</t>
  </si>
  <si>
    <t>Amanda Dorrington</t>
  </si>
  <si>
    <t>Christopher Stewart</t>
  </si>
  <si>
    <t>Aimee Kenshole</t>
  </si>
  <si>
    <t>Jameela Bukhammas</t>
  </si>
  <si>
    <t>Darren James</t>
  </si>
  <si>
    <t>David Marsh</t>
  </si>
  <si>
    <t>David Parkhouse</t>
  </si>
  <si>
    <t>Karolina Kmita</t>
  </si>
  <si>
    <t>Leslie Naden</t>
  </si>
  <si>
    <t>Mark Challenger</t>
  </si>
  <si>
    <t>Oliver Cox</t>
  </si>
  <si>
    <t>Peter Sacre</t>
  </si>
  <si>
    <t>Fiona Reid</t>
  </si>
  <si>
    <t>Tom Bridgman</t>
  </si>
  <si>
    <t>Daniel Haynes</t>
  </si>
  <si>
    <t>Anthony Reynolds</t>
  </si>
  <si>
    <t>Antonia Denham</t>
  </si>
  <si>
    <t>Brian Bray</t>
  </si>
  <si>
    <t>Georgina Marshall</t>
  </si>
  <si>
    <t>James Addison</t>
  </si>
  <si>
    <t>Jennifer Sanderson</t>
  </si>
  <si>
    <t>Kayleigh Pennington</t>
  </si>
  <si>
    <t>Simon Petters-smith</t>
  </si>
  <si>
    <t>Sophie Westcott</t>
  </si>
  <si>
    <t>Stephen Ackrell</t>
  </si>
  <si>
    <t>Michelle Vickery</t>
  </si>
  <si>
    <t>Natasha Batorijs</t>
  </si>
  <si>
    <t>Dawn Charters</t>
  </si>
  <si>
    <t>Leon Rigby</t>
  </si>
  <si>
    <t>Jean-Paul Harris</t>
  </si>
  <si>
    <t>Steven Drinkall</t>
  </si>
  <si>
    <t>Nicholas Jessup</t>
  </si>
  <si>
    <t>James Pattison</t>
  </si>
  <si>
    <t>Mark Ferguson</t>
  </si>
  <si>
    <t>Jake Barnes</t>
  </si>
  <si>
    <t>Samuel Foster</t>
  </si>
  <si>
    <t>Christopher Gillard</t>
  </si>
  <si>
    <t>Ben Stone</t>
  </si>
  <si>
    <t>Billy Jefferson</t>
  </si>
  <si>
    <t>Daniel Burbage</t>
  </si>
  <si>
    <t>Jeffery Sanders</t>
  </si>
  <si>
    <t>Lucy Hunt</t>
  </si>
  <si>
    <t>David Palmer</t>
  </si>
  <si>
    <t>Ashley Hooper</t>
  </si>
  <si>
    <t>Peter Wreford</t>
  </si>
  <si>
    <t>Alexander Peck</t>
  </si>
  <si>
    <t>Kyle McCormick</t>
  </si>
  <si>
    <t>Andreas Syriopoulos</t>
  </si>
  <si>
    <t>Mario Tisi</t>
  </si>
  <si>
    <t>Charlie Lister</t>
  </si>
  <si>
    <t>Kyle Blackmore</t>
  </si>
  <si>
    <t>Colette Neave</t>
  </si>
  <si>
    <t>Conor Romeril</t>
  </si>
  <si>
    <t>Tarquin Holmes</t>
  </si>
  <si>
    <t>Lucas Bland</t>
  </si>
  <si>
    <t>Charlotte Fowkes</t>
  </si>
  <si>
    <t>Gershom Saji</t>
  </si>
  <si>
    <t>Jack Gooding</t>
  </si>
  <si>
    <t>Clara Brown</t>
  </si>
  <si>
    <t>Dominic Allison</t>
  </si>
  <si>
    <t>Daniel Hennessey</t>
  </si>
  <si>
    <t>David Hulse</t>
  </si>
  <si>
    <t>Phillip Wallinder</t>
  </si>
  <si>
    <t>Roger Spackman</t>
  </si>
  <si>
    <t>Darren Wilde</t>
  </si>
  <si>
    <t>Daniel Chappell</t>
  </si>
  <si>
    <t>Samantha Bedwell</t>
  </si>
  <si>
    <t>Amber Caldwell</t>
  </si>
  <si>
    <t>Felix Whiteaway</t>
  </si>
  <si>
    <t>Ashley Marraffa</t>
  </si>
  <si>
    <t>Duncan France</t>
  </si>
  <si>
    <t>Mark Nyika</t>
  </si>
  <si>
    <t>Candace Penter</t>
  </si>
  <si>
    <t>Jordan Kirby</t>
  </si>
  <si>
    <t>Mark Watson</t>
  </si>
  <si>
    <t>Joanne Barnett</t>
  </si>
  <si>
    <t>Daniel Dodds</t>
  </si>
  <si>
    <t>Jonathan Land</t>
  </si>
  <si>
    <t>Ryan Thompson</t>
  </si>
  <si>
    <t>Sadie Matthews</t>
  </si>
  <si>
    <t>Jacques Manaton</t>
  </si>
  <si>
    <t>Bradley Wilkie</t>
  </si>
  <si>
    <t>Michael West</t>
  </si>
  <si>
    <t>Lois Slater</t>
  </si>
  <si>
    <t>Paige Trump</t>
  </si>
  <si>
    <t>Matthew Goodwin</t>
  </si>
  <si>
    <t>Samuel Smith</t>
  </si>
  <si>
    <t>Callum Sims</t>
  </si>
  <si>
    <t>Matthew Rosser</t>
  </si>
  <si>
    <t>Vikki Tiley</t>
  </si>
  <si>
    <t>Alan Reidy</t>
  </si>
  <si>
    <t>Emily Hedges</t>
  </si>
  <si>
    <t>Hollie Whittington</t>
  </si>
  <si>
    <t>Sophie Evans</t>
  </si>
  <si>
    <t>Kyle Wotton</t>
  </si>
  <si>
    <t>Rhonda Kearns</t>
  </si>
  <si>
    <t>Charlotte Wensley</t>
  </si>
  <si>
    <t>Wayne Brown</t>
  </si>
  <si>
    <t>Lorna Ludgate</t>
  </si>
  <si>
    <t>Michelle Lloyd</t>
  </si>
  <si>
    <t>Gabriele Keleraite</t>
  </si>
  <si>
    <t>Anita Szocs</t>
  </si>
  <si>
    <t>Elaine Plumpton</t>
  </si>
  <si>
    <t>Colin Duck</t>
  </si>
  <si>
    <t>Shannon Whitlock</t>
  </si>
  <si>
    <t>William Kettell</t>
  </si>
  <si>
    <t>Samantha Guscott</t>
  </si>
  <si>
    <t>Amanda Facey</t>
  </si>
  <si>
    <t>Charlotte Stack</t>
  </si>
  <si>
    <t>Lorna Simpson</t>
  </si>
  <si>
    <t>Behn Wright</t>
  </si>
  <si>
    <t>Michael Davies</t>
  </si>
  <si>
    <t>Timothy Savory</t>
  </si>
  <si>
    <t>Gareth Stokes</t>
  </si>
  <si>
    <t>Carol Bunting</t>
  </si>
  <si>
    <t>Aaron Partridge</t>
  </si>
  <si>
    <t>Lydia Humphreys</t>
  </si>
  <si>
    <t>Ben Hedworth</t>
  </si>
  <si>
    <t>Jack Rowcroft</t>
  </si>
  <si>
    <t>Christopher Blythe</t>
  </si>
  <si>
    <t>Donna Drew</t>
  </si>
  <si>
    <t>Darren Combrinck</t>
  </si>
  <si>
    <t>Alison Matthys</t>
  </si>
  <si>
    <t>Charlotte Guy</t>
  </si>
  <si>
    <t>Benjamin Relf</t>
  </si>
  <si>
    <t>Ashley Laycock</t>
  </si>
  <si>
    <t>Chelsea Burns</t>
  </si>
  <si>
    <t>Christopher Buck</t>
  </si>
  <si>
    <t>Rafferty Mackay</t>
  </si>
  <si>
    <t>Samantha Johns</t>
  </si>
  <si>
    <t>Kieran Tanner</t>
  </si>
  <si>
    <t>Matthew Alford</t>
  </si>
  <si>
    <t>Jared O’Donnell</t>
  </si>
  <si>
    <t>James Eginton</t>
  </si>
  <si>
    <t>Thomas Cregan</t>
  </si>
  <si>
    <t>Daniel Sivertsen</t>
  </si>
  <si>
    <t>Grant Leat</t>
  </si>
  <si>
    <t>Johnathan Howard</t>
  </si>
  <si>
    <t>Julie Hartshorn</t>
  </si>
  <si>
    <t>Marcus Spry</t>
  </si>
  <si>
    <t>David Coombes</t>
  </si>
  <si>
    <t>Jodie Dougal</t>
  </si>
  <si>
    <t>Chloe Wiles</t>
  </si>
  <si>
    <t>David Tancock</t>
  </si>
  <si>
    <t>Margaret James</t>
  </si>
  <si>
    <t>Helen OlohamBramley</t>
  </si>
  <si>
    <t>Alexander Templer</t>
  </si>
  <si>
    <t>Phil Fogerty</t>
  </si>
  <si>
    <t>Christopher Whiteway</t>
  </si>
  <si>
    <t>David Hitching</t>
  </si>
  <si>
    <t>Stephen Coombes</t>
  </si>
  <si>
    <t>Bradley AJ Taylor</t>
  </si>
  <si>
    <t>Christina Clevinger</t>
  </si>
  <si>
    <t>Kym Wilkins</t>
  </si>
  <si>
    <t>Chris Coughlan</t>
  </si>
  <si>
    <t>Mita Purohit</t>
  </si>
  <si>
    <t>Senan Graham</t>
  </si>
  <si>
    <t>Isaac Butterfield - Kendall</t>
  </si>
  <si>
    <t>James Hamilton</t>
  </si>
  <si>
    <t>Kim Cheung</t>
  </si>
  <si>
    <t>Venessa Acheampong</t>
  </si>
  <si>
    <t>Olivia Clunie-Ross</t>
  </si>
  <si>
    <t>Nicholas Constable</t>
  </si>
  <si>
    <t>Bradley JR Taylor</t>
  </si>
  <si>
    <t>Edward Mullarkey</t>
  </si>
  <si>
    <t>Terri McNeill</t>
  </si>
  <si>
    <t>Matthew Wootton</t>
  </si>
  <si>
    <t>Daniella Wilson</t>
  </si>
  <si>
    <t>Shaun Molyneux</t>
  </si>
  <si>
    <t>Peter Davies</t>
  </si>
  <si>
    <t>Status</t>
  </si>
  <si>
    <t>Specialisation</t>
  </si>
  <si>
    <t>Gemma Halliwell</t>
  </si>
  <si>
    <t>Deena Sebastian</t>
  </si>
  <si>
    <t>Nathaniel Goss</t>
  </si>
  <si>
    <t>Heather Russell</t>
  </si>
  <si>
    <t>Jake Way</t>
  </si>
  <si>
    <t>Miguel Torrellas</t>
  </si>
  <si>
    <t>Megan Ursini</t>
  </si>
  <si>
    <t>Elizabeth Lomas</t>
  </si>
  <si>
    <t>Charlotte Collett</t>
  </si>
  <si>
    <t>Paul Eaton</t>
  </si>
  <si>
    <t>Benjamin Hunt-Wright</t>
  </si>
  <si>
    <t>Benjamin Champion</t>
  </si>
  <si>
    <t>Grace Hill</t>
  </si>
  <si>
    <t>Oliver Stapley</t>
  </si>
  <si>
    <t>Robin Sagar</t>
  </si>
  <si>
    <t>Jonathan Plumbley-Jones</t>
  </si>
  <si>
    <t>Connor Churchill</t>
  </si>
  <si>
    <t>Thomas Garden</t>
  </si>
  <si>
    <t>Completion %</t>
  </si>
  <si>
    <t>PROCESS 4</t>
  </si>
  <si>
    <t>PROCESS 5</t>
  </si>
  <si>
    <t>PROCESS 6</t>
  </si>
  <si>
    <t>PROCESS 7</t>
  </si>
  <si>
    <t>PROCESS 8</t>
  </si>
  <si>
    <t>PROCESS 9</t>
  </si>
  <si>
    <t>PROCESS 10</t>
  </si>
  <si>
    <t>PROCESS 11</t>
  </si>
  <si>
    <t>PROCESS 12</t>
  </si>
  <si>
    <t>PROCESS 13</t>
  </si>
  <si>
    <t>PROCESS 14</t>
  </si>
  <si>
    <t>PROCESS 15</t>
  </si>
  <si>
    <t>PROCESS 16</t>
  </si>
  <si>
    <t>PROCESS 17</t>
  </si>
  <si>
    <t>PROCESS 18</t>
  </si>
  <si>
    <t>PROCESS 19</t>
  </si>
  <si>
    <t>PROCESS 20</t>
  </si>
  <si>
    <t>PROCESS 21</t>
  </si>
  <si>
    <t>PROCESS 22</t>
  </si>
  <si>
    <t>PROCESS 23</t>
  </si>
  <si>
    <t>PROCESS 24</t>
  </si>
  <si>
    <t>PROCESS 25</t>
  </si>
  <si>
    <t>PROCESS 26</t>
  </si>
  <si>
    <t>PROCESS 27</t>
  </si>
  <si>
    <t>PROCESS 28</t>
  </si>
  <si>
    <t>PROCESS 29</t>
  </si>
  <si>
    <t>PROCESS 30</t>
  </si>
  <si>
    <t>OFF</t>
  </si>
  <si>
    <t>PROCESS 31</t>
  </si>
  <si>
    <t>PROCESS 32</t>
  </si>
  <si>
    <t>PROCESS 33</t>
  </si>
  <si>
    <t>PROCESS 34</t>
  </si>
  <si>
    <t>PROCESS 35</t>
  </si>
  <si>
    <t>PROCESS 36</t>
  </si>
  <si>
    <t>PROCESS 37</t>
  </si>
  <si>
    <t>PROCESS 38</t>
  </si>
  <si>
    <t>PROCESS 39</t>
  </si>
  <si>
    <t>PROCESS 40</t>
  </si>
  <si>
    <t>PROCESS 41</t>
  </si>
  <si>
    <t>PROCESS 42</t>
  </si>
  <si>
    <t>PROCESS 43</t>
  </si>
  <si>
    <t>PROCESS 44</t>
  </si>
  <si>
    <t>PROCESS 45</t>
  </si>
  <si>
    <t>Advisor Details</t>
  </si>
  <si>
    <t>JLTS CAMPAIGN 2018</t>
  </si>
  <si>
    <t>Release Date</t>
  </si>
  <si>
    <t>Deadline</t>
  </si>
  <si>
    <t>PROCESS CHANGE TRACKER</t>
  </si>
  <si>
    <t>Count of Status</t>
  </si>
  <si>
    <t>Incomplete</t>
  </si>
  <si>
    <t>Refund Policy</t>
  </si>
  <si>
    <t>Ella Baker Briggs</t>
  </si>
  <si>
    <t>Complete</t>
  </si>
  <si>
    <t>Not Required</t>
  </si>
  <si>
    <t>Maternity</t>
  </si>
  <si>
    <t>not live</t>
  </si>
  <si>
    <t>Anya Moore</t>
  </si>
  <si>
    <t>Erica Kanoun</t>
  </si>
  <si>
    <t>Maria Flack</t>
  </si>
  <si>
    <t>Mark Williams</t>
  </si>
  <si>
    <t>Sean James</t>
  </si>
  <si>
    <t>Shaun Fry</t>
  </si>
  <si>
    <t>LE</t>
  </si>
  <si>
    <t>ATV</t>
  </si>
  <si>
    <t>Gradbay</t>
  </si>
  <si>
    <t>Andrew Warren</t>
  </si>
  <si>
    <t>Holiday 2wk</t>
  </si>
  <si>
    <t>Amber Richardson</t>
  </si>
  <si>
    <t>Quratul Ain Ip Sayeeda</t>
  </si>
  <si>
    <t>Lia Woodham</t>
  </si>
  <si>
    <t>Jake Stephens</t>
  </si>
  <si>
    <t>Alexander O'Dea</t>
  </si>
  <si>
    <t>Steven Thomas</t>
  </si>
  <si>
    <t>Adam Ellisson</t>
  </si>
  <si>
    <t>Bryony Carter</t>
  </si>
  <si>
    <t>Robert Watkins</t>
  </si>
  <si>
    <t>Dougal Ironside-Smith</t>
  </si>
  <si>
    <t>Alfie Phillips</t>
  </si>
  <si>
    <t>Alistair Macpherson</t>
  </si>
  <si>
    <t>COM</t>
  </si>
  <si>
    <t>LTS</t>
  </si>
  <si>
    <t>Leaver</t>
  </si>
  <si>
    <t>Troy Barnaschone</t>
  </si>
  <si>
    <t>DevBay</t>
  </si>
  <si>
    <t>Joda Pow</t>
  </si>
  <si>
    <t>LE Debit Support</t>
  </si>
  <si>
    <t>Daniel Foster</t>
  </si>
  <si>
    <t>Luke Desborough</t>
  </si>
  <si>
    <t>Rachel Daniels</t>
  </si>
  <si>
    <t>Fletcher Wilkinson</t>
  </si>
  <si>
    <t>Holly Perrett</t>
  </si>
  <si>
    <t>Daniel Jessop</t>
  </si>
  <si>
    <t>David Matthews</t>
  </si>
  <si>
    <t>Daniel Foweraker</t>
  </si>
  <si>
    <t>Nicholas Andrews</t>
  </si>
  <si>
    <t>Scott Mitchell</t>
  </si>
  <si>
    <t>Liberty Carter</t>
  </si>
  <si>
    <t>Raven Caton</t>
  </si>
  <si>
    <t>Benjamin Judd</t>
  </si>
  <si>
    <t>Cordula-Isabelle</t>
  </si>
  <si>
    <t>Devon Scannel</t>
  </si>
  <si>
    <t>Simon White</t>
  </si>
  <si>
    <t>Dan Foster</t>
  </si>
  <si>
    <t>David Tejada</t>
  </si>
  <si>
    <t>Cordula Hammond</t>
  </si>
  <si>
    <t>EHT Aftersales</t>
  </si>
  <si>
    <t>Thomas Hodge</t>
  </si>
  <si>
    <t>Gerry Lloyd</t>
  </si>
  <si>
    <t>Ashley Dinham</t>
  </si>
  <si>
    <t>David Parish</t>
  </si>
  <si>
    <t>Rhiannon Moody</t>
  </si>
  <si>
    <t>Kirsty Davies</t>
  </si>
  <si>
    <t>Samuel Horsley</t>
  </si>
  <si>
    <t>Nicholas Hill</t>
  </si>
  <si>
    <t>Naomi Pashby</t>
  </si>
  <si>
    <t>Thomas Surey-Gent</t>
  </si>
  <si>
    <t>Andrew Bresland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</si>
</sst>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£&quot;* #,##0.00_-;\-&quot;£&quot;* #,##0.00_-;_-&quot;£&quot;* &quot;-&quot;??_-;_-@_-"/>
  </numFmts>
  <fonts count="43" x14ac:knownFonts="1">
    <font>
      <sz val="10"/>
      <name val="Trebuchet MS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Trebuchet MS"/>
      <family val="2"/>
    </font>
    <font>
      <sz val="8"/>
      <name val="Trebuchet MS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Trebuchet MS"/>
      <family val="2"/>
    </font>
    <font>
      <sz val="10"/>
      <name val="Calibri"/>
      <family val="2"/>
      <scheme val="minor"/>
    </font>
    <font>
      <sz val="10"/>
      <name val="Arial"/>
      <family val="2"/>
    </font>
    <font>
      <sz val="8"/>
      <name val="Tahoma"/>
      <family val="2"/>
    </font>
    <font>
      <sz val="10"/>
      <color indexed="8"/>
      <name val="Arial"/>
      <family val="2"/>
    </font>
    <font>
      <sz val="8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theme="0"/>
      <name val="Trebuchet MS"/>
      <family val="2"/>
    </font>
    <font>
      <b/>
      <sz val="12"/>
      <color theme="0"/>
      <name val="Trebuchet MS"/>
      <family val="2"/>
    </font>
    <font>
      <b/>
      <sz val="14"/>
      <color theme="0"/>
      <name val="Trebuchet MS"/>
      <family val="2"/>
    </font>
    <font>
      <sz val="10"/>
      <name val="Trebuchet MS"/>
      <family val="2"/>
    </font>
    <font>
      <b/>
      <sz val="10"/>
      <color rgb="FF00863D"/>
      <name val="Trebuchet MS"/>
      <family val="2"/>
    </font>
    <font>
      <b/>
      <sz val="14"/>
      <color theme="0"/>
      <name val="Calibri"/>
      <family val="2"/>
      <scheme val="minor"/>
    </font>
    <font>
      <sz val="12"/>
      <name val="Calibri Light"/>
      <family val="2"/>
      <scheme val="major"/>
    </font>
    <font>
      <b/>
      <sz val="20"/>
      <name val="Calibri"/>
      <family val="2"/>
      <scheme val="minor"/>
    </font>
    <font>
      <sz val="10"/>
      <color indexed="8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DCDEE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74">
    <xf numFmtId="0" fontId="0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5" borderId="0" applyNumberFormat="0" applyBorder="0" applyAlignment="0" applyProtection="0"/>
    <xf numFmtId="0" fontId="7" fillId="8" borderId="0" applyNumberFormat="0" applyBorder="0" applyAlignment="0" applyProtection="0"/>
    <xf numFmtId="0" fontId="7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9" borderId="0" applyNumberFormat="0" applyBorder="0" applyAlignment="0" applyProtection="0"/>
    <xf numFmtId="0" fontId="9" fillId="3" borderId="0" applyNumberFormat="0" applyBorder="0" applyAlignment="0" applyProtection="0"/>
    <xf numFmtId="0" fontId="10" fillId="20" borderId="1" applyNumberFormat="0" applyAlignment="0" applyProtection="0"/>
    <xf numFmtId="0" fontId="11" fillId="21" borderId="2" applyNumberFormat="0" applyAlignment="0" applyProtection="0"/>
    <xf numFmtId="0" fontId="12" fillId="0" borderId="0" applyNumberFormat="0" applyFill="0" applyBorder="0" applyAlignment="0" applyProtection="0"/>
    <xf numFmtId="0" fontId="13" fillId="4" borderId="0" applyNumberFormat="0" applyBorder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6" fillId="0" borderId="0" applyNumberFormat="0" applyFill="0" applyBorder="0" applyAlignment="0" applyProtection="0"/>
    <xf numFmtId="0" fontId="17" fillId="7" borderId="1" applyNumberFormat="0" applyAlignment="0" applyProtection="0"/>
    <xf numFmtId="0" fontId="18" fillId="0" borderId="6" applyNumberFormat="0" applyFill="0" applyAlignment="0" applyProtection="0"/>
    <xf numFmtId="0" fontId="19" fillId="22" borderId="0" applyNumberFormat="0" applyBorder="0" applyAlignment="0" applyProtection="0"/>
    <xf numFmtId="0" fontId="20" fillId="0" borderId="0"/>
    <xf numFmtId="0" fontId="7" fillId="23" borderId="7" applyNumberFormat="0" applyFont="0" applyAlignment="0" applyProtection="0"/>
    <xf numFmtId="0" fontId="21" fillId="20" borderId="8" applyNumberFormat="0" applyAlignment="0" applyProtection="0"/>
    <xf numFmtId="0" fontId="22" fillId="0" borderId="0" applyNumberFormat="0" applyFill="0" applyBorder="0" applyAlignment="0" applyProtection="0"/>
    <xf numFmtId="0" fontId="23" fillId="0" borderId="9" applyNumberFormat="0" applyFill="0" applyAlignment="0" applyProtection="0"/>
    <xf numFmtId="0" fontId="24" fillId="0" borderId="0" applyNumberFormat="0" applyFill="0" applyBorder="0" applyAlignment="0" applyProtection="0"/>
    <xf numFmtId="0" fontId="25" fillId="0" borderId="0"/>
    <xf numFmtId="0" fontId="27" fillId="0" borderId="0" applyNumberFormat="0" applyFill="0" applyBorder="0" applyAlignment="0" applyProtection="0"/>
    <xf numFmtId="0" fontId="4" fillId="0" borderId="0"/>
    <xf numFmtId="0" fontId="4" fillId="0" borderId="0"/>
    <xf numFmtId="0" fontId="20" fillId="0" borderId="0" applyNumberFormat="0" applyFill="0" applyBorder="0" applyAlignment="0" applyProtection="0"/>
    <xf numFmtId="0" fontId="4" fillId="0" borderId="0"/>
    <xf numFmtId="0" fontId="4" fillId="0" borderId="0"/>
    <xf numFmtId="0" fontId="20" fillId="0" borderId="0" applyNumberFormat="0" applyFill="0" applyBorder="0" applyAlignment="0" applyProtection="0"/>
    <xf numFmtId="0" fontId="4" fillId="0" borderId="0"/>
    <xf numFmtId="0" fontId="4" fillId="0" borderId="0"/>
    <xf numFmtId="0" fontId="28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5" borderId="0" applyNumberFormat="0" applyBorder="0" applyAlignment="0" applyProtection="0"/>
    <xf numFmtId="0" fontId="7" fillId="8" borderId="0" applyNumberFormat="0" applyBorder="0" applyAlignment="0" applyProtection="0"/>
    <xf numFmtId="0" fontId="7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9" borderId="0" applyNumberFormat="0" applyBorder="0" applyAlignment="0" applyProtection="0"/>
    <xf numFmtId="0" fontId="9" fillId="3" borderId="0" applyNumberFormat="0" applyBorder="0" applyAlignment="0" applyProtection="0"/>
    <xf numFmtId="0" fontId="10" fillId="20" borderId="1" applyNumberFormat="0" applyAlignment="0" applyProtection="0"/>
    <xf numFmtId="0" fontId="11" fillId="21" borderId="2" applyNumberFormat="0" applyAlignment="0" applyProtection="0"/>
    <xf numFmtId="0" fontId="12" fillId="0" borderId="0" applyNumberFormat="0" applyFill="0" applyBorder="0" applyAlignment="0" applyProtection="0"/>
    <xf numFmtId="0" fontId="13" fillId="4" borderId="0" applyNumberFormat="0" applyBorder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6" fillId="0" borderId="0" applyNumberFormat="0" applyFill="0" applyBorder="0" applyAlignment="0" applyProtection="0"/>
    <xf numFmtId="0" fontId="17" fillId="7" borderId="1" applyNumberFormat="0" applyAlignment="0" applyProtection="0"/>
    <xf numFmtId="0" fontId="18" fillId="0" borderId="6" applyNumberFormat="0" applyFill="0" applyAlignment="0" applyProtection="0"/>
    <xf numFmtId="0" fontId="19" fillId="22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9" fillId="0" borderId="0"/>
    <xf numFmtId="0" fontId="28" fillId="0" borderId="0"/>
    <xf numFmtId="0" fontId="28" fillId="0" borderId="0"/>
    <xf numFmtId="0" fontId="28" fillId="0" borderId="0" applyNumberFormat="0" applyFill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23" borderId="7" applyNumberFormat="0" applyFont="0" applyAlignment="0" applyProtection="0"/>
    <xf numFmtId="0" fontId="21" fillId="20" borderId="8" applyNumberFormat="0" applyAlignment="0" applyProtection="0"/>
    <xf numFmtId="0" fontId="22" fillId="0" borderId="0" applyNumberFormat="0" applyFill="0" applyBorder="0" applyAlignment="0" applyProtection="0"/>
    <xf numFmtId="0" fontId="23" fillId="0" borderId="9" applyNumberFormat="0" applyFill="0" applyAlignment="0" applyProtection="0"/>
    <xf numFmtId="0" fontId="24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20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2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3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20" fillId="0" borderId="0" applyFont="0" applyFill="0" applyBorder="0" applyAlignment="0" applyProtection="0"/>
    <xf numFmtId="9" fontId="37" fillId="0" borderId="0" applyFont="0" applyFill="0" applyBorder="0" applyAlignment="0" applyProtection="0"/>
  </cellStyleXfs>
  <cellXfs count="57">
    <xf numFmtId="0" fontId="0" fillId="0" borderId="0" xfId="0"/>
    <xf numFmtId="0" fontId="0" fillId="24" borderId="0" xfId="0" applyFill="1" applyAlignment="1" applyProtection="1">
      <alignment horizontal="center"/>
    </xf>
    <xf numFmtId="0" fontId="0" fillId="25" borderId="12" xfId="0" applyFill="1" applyBorder="1" applyAlignment="1" applyProtection="1">
      <alignment horizontal="center"/>
      <protection locked="0"/>
    </xf>
    <xf numFmtId="0" fontId="0" fillId="24" borderId="0" xfId="0" applyFill="1" applyAlignment="1" applyProtection="1">
      <alignment horizontal="center" wrapText="1"/>
    </xf>
    <xf numFmtId="0" fontId="5" fillId="0" borderId="13" xfId="0" applyFont="1" applyFill="1" applyBorder="1" applyAlignment="1" applyProtection="1">
      <alignment horizontal="left" wrapText="1"/>
    </xf>
    <xf numFmtId="0" fontId="0" fillId="27" borderId="0" xfId="0" applyFill="1" applyAlignment="1" applyProtection="1">
      <alignment horizontal="center" wrapText="1"/>
    </xf>
    <xf numFmtId="0" fontId="0" fillId="27" borderId="0" xfId="0" applyFill="1" applyAlignment="1" applyProtection="1">
      <alignment horizontal="center"/>
    </xf>
    <xf numFmtId="14" fontId="0" fillId="0" borderId="14" xfId="0" applyNumberFormat="1" applyFill="1" applyBorder="1" applyAlignment="1" applyProtection="1">
      <alignment horizontal="center"/>
    </xf>
    <xf numFmtId="0" fontId="5" fillId="0" borderId="15" xfId="0" applyFont="1" applyFill="1" applyBorder="1" applyAlignment="1" applyProtection="1">
      <alignment horizontal="left" wrapText="1"/>
    </xf>
    <xf numFmtId="14" fontId="0" fillId="0" borderId="16" xfId="0" applyNumberFormat="1" applyFill="1" applyBorder="1" applyAlignment="1" applyProtection="1">
      <alignment horizontal="center"/>
    </xf>
    <xf numFmtId="0" fontId="0" fillId="25" borderId="0" xfId="0" applyFill="1" applyBorder="1" applyAlignment="1" applyProtection="1">
      <alignment horizontal="center"/>
      <protection locked="0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10" fontId="0" fillId="0" borderId="0" xfId="0" applyNumberFormat="1"/>
    <xf numFmtId="0" fontId="5" fillId="26" borderId="18" xfId="0" applyFont="1" applyFill="1" applyBorder="1" applyAlignment="1" applyProtection="1">
      <alignment horizontal="left"/>
    </xf>
    <xf numFmtId="0" fontId="0" fillId="26" borderId="18" xfId="0" applyFill="1" applyBorder="1" applyAlignment="1" applyProtection="1">
      <alignment horizontal="left"/>
    </xf>
    <xf numFmtId="0" fontId="0" fillId="0" borderId="18" xfId="0" applyFill="1" applyBorder="1" applyAlignment="1" applyProtection="1">
      <alignment horizontal="left"/>
    </xf>
    <xf numFmtId="0" fontId="0" fillId="0" borderId="19" xfId="0" applyFill="1" applyBorder="1" applyAlignment="1" applyProtection="1">
      <alignment horizontal="left"/>
    </xf>
    <xf numFmtId="0" fontId="0" fillId="27" borderId="0" xfId="0" applyNumberFormat="1" applyFill="1" applyAlignment="1" applyProtection="1">
      <alignment horizontal="center"/>
    </xf>
    <xf numFmtId="0" fontId="0" fillId="24" borderId="0" xfId="0" applyNumberFormat="1" applyFill="1" applyAlignment="1" applyProtection="1">
      <alignment horizontal="center"/>
    </xf>
    <xf numFmtId="0" fontId="5" fillId="26" borderId="12" xfId="0" applyFont="1" applyFill="1" applyBorder="1" applyAlignment="1" applyProtection="1">
      <alignment horizontal="center"/>
      <protection locked="0"/>
    </xf>
    <xf numFmtId="0" fontId="0" fillId="27" borderId="0" xfId="0" applyFill="1" applyAlignment="1" applyProtection="1">
      <alignment horizontal="center"/>
      <protection locked="0"/>
    </xf>
    <xf numFmtId="0" fontId="0" fillId="24" borderId="0" xfId="0" applyFill="1" applyAlignment="1" applyProtection="1">
      <alignment horizontal="center"/>
      <protection locked="0"/>
    </xf>
    <xf numFmtId="0" fontId="5" fillId="25" borderId="13" xfId="0" applyFont="1" applyFill="1" applyBorder="1" applyAlignment="1" applyProtection="1">
      <alignment wrapText="1"/>
    </xf>
    <xf numFmtId="0" fontId="0" fillId="25" borderId="13" xfId="0" applyFill="1" applyBorder="1" applyAlignment="1" applyProtection="1">
      <alignment wrapText="1"/>
    </xf>
    <xf numFmtId="14" fontId="30" fillId="26" borderId="14" xfId="44" applyNumberFormat="1" applyFont="1" applyFill="1" applyBorder="1" applyAlignment="1" applyProtection="1">
      <alignment horizontal="center" vertical="center"/>
    </xf>
    <xf numFmtId="14" fontId="5" fillId="26" borderId="14" xfId="0" applyNumberFormat="1" applyFont="1" applyFill="1" applyBorder="1" applyAlignment="1" applyProtection="1">
      <alignment horizontal="center" vertical="center"/>
    </xf>
    <xf numFmtId="0" fontId="26" fillId="26" borderId="18" xfId="156" applyFont="1" applyFill="1" applyBorder="1" applyAlignment="1" applyProtection="1">
      <alignment horizontal="left" vertical="center"/>
    </xf>
    <xf numFmtId="0" fontId="5" fillId="0" borderId="10" xfId="0" applyNumberFormat="1" applyFont="1" applyFill="1" applyBorder="1" applyAlignment="1" applyProtection="1">
      <alignment horizontal="center"/>
    </xf>
    <xf numFmtId="0" fontId="26" fillId="0" borderId="18" xfId="156" applyFont="1" applyFill="1" applyBorder="1" applyAlignment="1" applyProtection="1">
      <alignment horizontal="left" vertical="center"/>
    </xf>
    <xf numFmtId="0" fontId="5" fillId="25" borderId="10" xfId="0" applyNumberFormat="1" applyFont="1" applyFill="1" applyBorder="1" applyAlignment="1" applyProtection="1">
      <alignment horizontal="center"/>
    </xf>
    <xf numFmtId="0" fontId="26" fillId="26" borderId="18" xfId="44" applyFont="1" applyFill="1" applyBorder="1" applyAlignment="1" applyProtection="1">
      <alignment horizontal="left" vertical="center"/>
    </xf>
    <xf numFmtId="0" fontId="26" fillId="26" borderId="18" xfId="0" applyFont="1" applyFill="1" applyBorder="1" applyAlignment="1" applyProtection="1">
      <alignment horizontal="left" vertical="center"/>
    </xf>
    <xf numFmtId="0" fontId="5" fillId="25" borderId="11" xfId="0" applyNumberFormat="1" applyFont="1" applyFill="1" applyBorder="1" applyAlignment="1" applyProtection="1">
      <alignment horizontal="center"/>
    </xf>
    <xf numFmtId="9" fontId="38" fillId="26" borderId="17" xfId="173" applyFont="1" applyFill="1" applyBorder="1" applyAlignment="1" applyProtection="1">
      <alignment horizontal="center" vertical="center"/>
    </xf>
    <xf numFmtId="0" fontId="5" fillId="26" borderId="17" xfId="0" applyFont="1" applyFill="1" applyBorder="1" applyAlignment="1" applyProtection="1">
      <alignment horizontal="center" vertical="center"/>
    </xf>
    <xf numFmtId="0" fontId="5" fillId="26" borderId="17" xfId="0" applyFont="1" applyFill="1" applyBorder="1" applyAlignment="1" applyProtection="1">
      <alignment horizontal="center"/>
    </xf>
    <xf numFmtId="0" fontId="41" fillId="28" borderId="25" xfId="0" applyFont="1" applyFill="1" applyBorder="1" applyAlignment="1" applyProtection="1">
      <alignment vertical="center"/>
    </xf>
    <xf numFmtId="0" fontId="0" fillId="0" borderId="13" xfId="0" applyFill="1" applyBorder="1" applyAlignment="1" applyProtection="1">
      <alignment horizontal="center" vertical="center" wrapText="1"/>
    </xf>
    <xf numFmtId="14" fontId="0" fillId="0" borderId="12" xfId="0" applyNumberFormat="1" applyFill="1" applyBorder="1" applyAlignment="1" applyProtection="1">
      <alignment horizontal="center" vertical="center" wrapText="1"/>
    </xf>
    <xf numFmtId="14" fontId="0" fillId="25" borderId="14" xfId="0" applyNumberFormat="1" applyFill="1" applyBorder="1" applyAlignment="1" applyProtection="1">
      <alignment horizontal="center"/>
    </xf>
    <xf numFmtId="14" fontId="0" fillId="0" borderId="14" xfId="0" applyNumberFormat="1" applyBorder="1" applyProtection="1"/>
    <xf numFmtId="0" fontId="34" fillId="30" borderId="17" xfId="0" applyFont="1" applyFill="1" applyBorder="1" applyAlignment="1" applyProtection="1">
      <alignment horizontal="left"/>
    </xf>
    <xf numFmtId="0" fontId="35" fillId="30" borderId="17" xfId="0" applyNumberFormat="1" applyFont="1" applyFill="1" applyBorder="1" applyAlignment="1" applyProtection="1">
      <alignment horizontal="left"/>
    </xf>
    <xf numFmtId="0" fontId="35" fillId="30" borderId="17" xfId="0" applyFont="1" applyFill="1" applyBorder="1" applyAlignment="1" applyProtection="1">
      <alignment horizontal="left"/>
    </xf>
    <xf numFmtId="0" fontId="35" fillId="30" borderId="17" xfId="0" applyFont="1" applyFill="1" applyBorder="1" applyAlignment="1" applyProtection="1">
      <alignment horizontal="left" wrapText="1"/>
    </xf>
    <xf numFmtId="0" fontId="34" fillId="30" borderId="17" xfId="0" applyFont="1" applyFill="1" applyBorder="1" applyAlignment="1" applyProtection="1">
      <alignment horizontal="left" wrapText="1"/>
    </xf>
    <xf numFmtId="0" fontId="39" fillId="29" borderId="17" xfId="0" applyFont="1" applyFill="1" applyBorder="1" applyAlignment="1" applyProtection="1">
      <alignment horizontal="center" vertical="center" wrapText="1"/>
    </xf>
    <xf numFmtId="14" fontId="5" fillId="26" borderId="17" xfId="0" applyNumberFormat="1" applyFont="1" applyFill="1" applyBorder="1" applyAlignment="1" applyProtection="1">
      <alignment horizontal="center" vertical="center"/>
    </xf>
    <xf numFmtId="0" fontId="36" fillId="29" borderId="17" xfId="0" applyFont="1" applyFill="1" applyBorder="1" applyAlignment="1" applyProtection="1">
      <alignment horizontal="center" vertical="center"/>
    </xf>
    <xf numFmtId="0" fontId="36" fillId="30" borderId="20" xfId="0" applyFont="1" applyFill="1" applyBorder="1" applyAlignment="1" applyProtection="1">
      <alignment horizontal="center" vertical="center"/>
    </xf>
    <xf numFmtId="0" fontId="36" fillId="30" borderId="21" xfId="0" applyFont="1" applyFill="1" applyBorder="1" applyAlignment="1" applyProtection="1">
      <alignment horizontal="center" vertical="center"/>
    </xf>
    <xf numFmtId="0" fontId="36" fillId="30" borderId="22" xfId="0" applyFont="1" applyFill="1" applyBorder="1" applyAlignment="1" applyProtection="1">
      <alignment horizontal="center" vertical="center"/>
    </xf>
    <xf numFmtId="0" fontId="40" fillId="28" borderId="26" xfId="0" applyFont="1" applyFill="1" applyBorder="1" applyAlignment="1" applyProtection="1">
      <alignment horizontal="left" vertical="center"/>
    </xf>
    <xf numFmtId="0" fontId="40" fillId="28" borderId="23" xfId="0" applyFont="1" applyFill="1" applyBorder="1" applyAlignment="1" applyProtection="1">
      <alignment horizontal="left" vertical="center"/>
    </xf>
    <xf numFmtId="0" fontId="40" fillId="28" borderId="24" xfId="0" applyFont="1" applyFill="1" applyBorder="1" applyAlignment="1" applyProtection="1">
      <alignment horizontal="left" vertical="center"/>
    </xf>
  </cellXfs>
  <cellStyles count="174">
    <cellStyle name="20% - Accent1" xfId="1" builtinId="30" customBuiltin="1"/>
    <cellStyle name="20% - Accent1 2" xfId="54"/>
    <cellStyle name="20% - Accent2" xfId="2" builtinId="34" customBuiltin="1"/>
    <cellStyle name="20% - Accent2 2" xfId="55"/>
    <cellStyle name="20% - Accent3" xfId="3" builtinId="38" customBuiltin="1"/>
    <cellStyle name="20% - Accent3 2" xfId="56"/>
    <cellStyle name="20% - Accent4" xfId="4" builtinId="42" customBuiltin="1"/>
    <cellStyle name="20% - Accent4 2" xfId="57"/>
    <cellStyle name="20% - Accent5" xfId="5" builtinId="46" customBuiltin="1"/>
    <cellStyle name="20% - Accent5 2" xfId="58"/>
    <cellStyle name="20% - Accent6" xfId="6" builtinId="50" customBuiltin="1"/>
    <cellStyle name="20% - Accent6 2" xfId="59"/>
    <cellStyle name="40% - Accent1" xfId="7" builtinId="31" customBuiltin="1"/>
    <cellStyle name="40% - Accent1 2" xfId="60"/>
    <cellStyle name="40% - Accent2" xfId="8" builtinId="35" customBuiltin="1"/>
    <cellStyle name="40% - Accent2 2" xfId="61"/>
    <cellStyle name="40% - Accent3" xfId="9" builtinId="39" customBuiltin="1"/>
    <cellStyle name="40% - Accent3 2" xfId="62"/>
    <cellStyle name="40% - Accent4" xfId="10" builtinId="43" customBuiltin="1"/>
    <cellStyle name="40% - Accent4 2" xfId="63"/>
    <cellStyle name="40% - Accent5" xfId="11" builtinId="47" customBuiltin="1"/>
    <cellStyle name="40% - Accent5 2" xfId="64"/>
    <cellStyle name="40% - Accent6" xfId="12" builtinId="51" customBuiltin="1"/>
    <cellStyle name="40% - Accent6 2" xfId="65"/>
    <cellStyle name="60% - Accent1" xfId="13" builtinId="32" customBuiltin="1"/>
    <cellStyle name="60% - Accent1 2" xfId="66"/>
    <cellStyle name="60% - Accent2" xfId="14" builtinId="36" customBuiltin="1"/>
    <cellStyle name="60% - Accent2 2" xfId="67"/>
    <cellStyle name="60% - Accent3" xfId="15" builtinId="40" customBuiltin="1"/>
    <cellStyle name="60% - Accent3 2" xfId="68"/>
    <cellStyle name="60% - Accent4" xfId="16" builtinId="44" customBuiltin="1"/>
    <cellStyle name="60% - Accent4 2" xfId="69"/>
    <cellStyle name="60% - Accent5" xfId="17" builtinId="48" customBuiltin="1"/>
    <cellStyle name="60% - Accent5 2" xfId="70"/>
    <cellStyle name="60% - Accent6" xfId="18" builtinId="52" customBuiltin="1"/>
    <cellStyle name="60% - Accent6 2" xfId="71"/>
    <cellStyle name="_x0002_-_x0002_Ä_x0001_‡_x0003_0_x0002_P_x0003_ _x0002_X_x0003_·_x0002_®_x0003_@_x0002_p_x0003_ª_x0002_¨_x0010_!_x0002__x0003_&quot;_x0001_ÄÇ_x0002__x000e__x0003_ _x0002_é_x0002_Ä_x0001_‡_x0003_Ë_x0002_H_x0003_ _x0002_X" xfId="50"/>
    <cellStyle name="Accent1" xfId="19" builtinId="29" customBuiltin="1"/>
    <cellStyle name="Accent1 2" xfId="72"/>
    <cellStyle name="Accent2" xfId="20" builtinId="33" customBuiltin="1"/>
    <cellStyle name="Accent2 2" xfId="73"/>
    <cellStyle name="Accent3" xfId="21" builtinId="37" customBuiltin="1"/>
    <cellStyle name="Accent3 2" xfId="74"/>
    <cellStyle name="Accent4" xfId="22" builtinId="41" customBuiltin="1"/>
    <cellStyle name="Accent4 2" xfId="75"/>
    <cellStyle name="Accent5" xfId="23" builtinId="45" customBuiltin="1"/>
    <cellStyle name="Accent5 2" xfId="76"/>
    <cellStyle name="Accent6" xfId="24" builtinId="49" customBuiltin="1"/>
    <cellStyle name="Accent6 2" xfId="77"/>
    <cellStyle name="Bad" xfId="25" builtinId="27" customBuiltin="1"/>
    <cellStyle name="Bad 2" xfId="78"/>
    <cellStyle name="Calculation" xfId="26" builtinId="22" customBuiltin="1"/>
    <cellStyle name="Calculation 2" xfId="79"/>
    <cellStyle name="Check Cell" xfId="27" builtinId="23" customBuiltin="1"/>
    <cellStyle name="Check Cell 2" xfId="80"/>
    <cellStyle name="Currency 2" xfId="172"/>
    <cellStyle name="Explanatory Text" xfId="28" builtinId="53" customBuiltin="1"/>
    <cellStyle name="Explanatory Text 2" xfId="81"/>
    <cellStyle name="Good" xfId="29" builtinId="26" customBuiltin="1"/>
    <cellStyle name="Good 2" xfId="82"/>
    <cellStyle name="Heading 1" xfId="30" builtinId="16" customBuiltin="1"/>
    <cellStyle name="Heading 1 2" xfId="83"/>
    <cellStyle name="Heading 2" xfId="31" builtinId="17" customBuiltin="1"/>
    <cellStyle name="Heading 2 2" xfId="84"/>
    <cellStyle name="Heading 3" xfId="32" builtinId="18" customBuiltin="1"/>
    <cellStyle name="Heading 3 2" xfId="85"/>
    <cellStyle name="Heading 4" xfId="33" builtinId="19" customBuiltin="1"/>
    <cellStyle name="Heading 4 2" xfId="86"/>
    <cellStyle name="Input" xfId="34" builtinId="20" customBuiltin="1"/>
    <cellStyle name="Input 2" xfId="87"/>
    <cellStyle name="Linked Cell" xfId="35" builtinId="24" customBuiltin="1"/>
    <cellStyle name="Linked Cell 2" xfId="88"/>
    <cellStyle name="Neutral" xfId="36" builtinId="28" customBuiltin="1"/>
    <cellStyle name="Neutral 2" xfId="89"/>
    <cellStyle name="Normal" xfId="0" builtinId="0"/>
    <cellStyle name="Normal 10" xfId="90"/>
    <cellStyle name="Normal 11" xfId="91"/>
    <cellStyle name="Normal 12" xfId="92"/>
    <cellStyle name="Normal 13" xfId="93"/>
    <cellStyle name="Normal 14" xfId="94"/>
    <cellStyle name="Normal 15" xfId="95"/>
    <cellStyle name="Normal 16" xfId="96"/>
    <cellStyle name="Normal 17" xfId="97"/>
    <cellStyle name="Normal 18" xfId="98"/>
    <cellStyle name="Normal 19" xfId="99"/>
    <cellStyle name="Normal 2" xfId="37"/>
    <cellStyle name="Normal 2 2" xfId="100"/>
    <cellStyle name="Normal 2 2 2" xfId="101"/>
    <cellStyle name="Normal 20" xfId="102"/>
    <cellStyle name="Normal 21" xfId="103"/>
    <cellStyle name="Normal 22" xfId="114"/>
    <cellStyle name="Normal 22 2" xfId="121"/>
    <cellStyle name="Normal 22 2 2" xfId="138"/>
    <cellStyle name="Normal 22 2 3" xfId="154"/>
    <cellStyle name="Normal 22 2 4" xfId="170"/>
    <cellStyle name="Normal 22 3" xfId="131"/>
    <cellStyle name="Normal 22 4" xfId="147"/>
    <cellStyle name="Normal 22 5" xfId="163"/>
    <cellStyle name="Normal 23" xfId="122"/>
    <cellStyle name="Normal 23 2" xfId="139"/>
    <cellStyle name="Normal 23 3" xfId="155"/>
    <cellStyle name="Normal 23 4" xfId="171"/>
    <cellStyle name="Normal 24" xfId="44"/>
    <cellStyle name="Normal 25" xfId="124"/>
    <cellStyle name="Normal 26" xfId="140"/>
    <cellStyle name="Normal 27" xfId="156"/>
    <cellStyle name="Normal 3" xfId="43"/>
    <cellStyle name="Normal 3 2" xfId="49"/>
    <cellStyle name="Normal 3 2 2" xfId="118"/>
    <cellStyle name="Normal 3 2 2 2" xfId="135"/>
    <cellStyle name="Normal 3 2 2 3" xfId="151"/>
    <cellStyle name="Normal 3 2 2 4" xfId="167"/>
    <cellStyle name="Normal 3 2 3" xfId="128"/>
    <cellStyle name="Normal 3 2 4" xfId="144"/>
    <cellStyle name="Normal 3 2 5" xfId="160"/>
    <cellStyle name="Normal 3 3" xfId="116"/>
    <cellStyle name="Normal 3 3 2" xfId="133"/>
    <cellStyle name="Normal 3 3 3" xfId="149"/>
    <cellStyle name="Normal 3 3 4" xfId="165"/>
    <cellStyle name="Normal 3 4" xfId="46"/>
    <cellStyle name="Normal 3 5" xfId="126"/>
    <cellStyle name="Normal 3 6" xfId="142"/>
    <cellStyle name="Normal 3 7" xfId="158"/>
    <cellStyle name="Normal 4" xfId="45"/>
    <cellStyle name="Normal 4 2" xfId="48"/>
    <cellStyle name="Normal 4 2 2" xfId="117"/>
    <cellStyle name="Normal 4 2 2 2" xfId="134"/>
    <cellStyle name="Normal 4 2 2 3" xfId="150"/>
    <cellStyle name="Normal 4 2 2 4" xfId="166"/>
    <cellStyle name="Normal 4 2 3" xfId="127"/>
    <cellStyle name="Normal 4 2 4" xfId="143"/>
    <cellStyle name="Normal 4 2 5" xfId="159"/>
    <cellStyle name="Normal 4 3" xfId="53"/>
    <cellStyle name="Normal 4 4" xfId="115"/>
    <cellStyle name="Normal 4 4 2" xfId="132"/>
    <cellStyle name="Normal 4 4 3" xfId="148"/>
    <cellStyle name="Normal 4 4 4" xfId="164"/>
    <cellStyle name="Normal 4 5" xfId="125"/>
    <cellStyle name="Normal 4 6" xfId="141"/>
    <cellStyle name="Normal 4 7" xfId="157"/>
    <cellStyle name="Normal 5" xfId="47"/>
    <cellStyle name="Normal 5 2" xfId="104"/>
    <cellStyle name="Normal 6" xfId="51"/>
    <cellStyle name="Normal 6 2" xfId="105"/>
    <cellStyle name="Normal 6 3" xfId="119"/>
    <cellStyle name="Normal 6 3 2" xfId="136"/>
    <cellStyle name="Normal 6 3 3" xfId="152"/>
    <cellStyle name="Normal 6 3 4" xfId="168"/>
    <cellStyle name="Normal 6 4" xfId="129"/>
    <cellStyle name="Normal 6 5" xfId="145"/>
    <cellStyle name="Normal 6 6" xfId="161"/>
    <cellStyle name="Normal 7" xfId="52"/>
    <cellStyle name="Normal 7 2" xfId="106"/>
    <cellStyle name="Normal 7 3" xfId="120"/>
    <cellStyle name="Normal 7 3 2" xfId="137"/>
    <cellStyle name="Normal 7 3 3" xfId="153"/>
    <cellStyle name="Normal 7 3 4" xfId="169"/>
    <cellStyle name="Normal 7 4" xfId="130"/>
    <cellStyle name="Normal 7 5" xfId="146"/>
    <cellStyle name="Normal 7 6" xfId="162"/>
    <cellStyle name="Normal 8" xfId="107"/>
    <cellStyle name="Normal 9" xfId="108"/>
    <cellStyle name="Note" xfId="38" builtinId="10" customBuiltin="1"/>
    <cellStyle name="Note 2" xfId="109"/>
    <cellStyle name="Output" xfId="39" builtinId="21" customBuiltin="1"/>
    <cellStyle name="Output 2" xfId="110"/>
    <cellStyle name="Percent" xfId="173" builtinId="5"/>
    <cellStyle name="Percent 2" xfId="123"/>
    <cellStyle name="Title" xfId="40" builtinId="15" customBuiltin="1"/>
    <cellStyle name="Title 2" xfId="111"/>
    <cellStyle name="Total" xfId="41" builtinId="25" customBuiltin="1"/>
    <cellStyle name="Total 2" xfId="112"/>
    <cellStyle name="Warning Text" xfId="42" builtinId="11" customBuiltin="1"/>
    <cellStyle name="Warning Text 2" xfId="113"/>
  </cellStyles>
  <dxfs count="37">
    <dxf>
      <font>
        <color rgb="FF00863D"/>
      </font>
      <fill>
        <patternFill>
          <bgColor theme="6" tint="0.59996337778862885"/>
        </patternFill>
      </fill>
    </dxf>
    <dxf>
      <font>
        <b val="0"/>
        <i val="0"/>
        <color rgb="FFC00000"/>
      </font>
      <fill>
        <patternFill>
          <bgColor theme="8" tint="0.79998168889431442"/>
        </patternFill>
      </fill>
    </dxf>
    <dxf>
      <font>
        <b/>
        <i val="0"/>
        <strike/>
        <color theme="0" tint="-0.14996795556505021"/>
      </font>
      <fill>
        <patternFill>
          <bgColor theme="0"/>
        </patternFill>
      </fill>
    </dxf>
    <dxf>
      <font>
        <b/>
        <i val="0"/>
        <color theme="9"/>
      </font>
      <fill>
        <patternFill>
          <bgColor theme="9" tint="0.59996337778862885"/>
        </patternFill>
      </fill>
    </dxf>
    <dxf>
      <font>
        <color rgb="FF00863D"/>
      </font>
      <fill>
        <patternFill>
          <bgColor theme="6" tint="0.59996337778862885"/>
        </patternFill>
      </fill>
    </dxf>
    <dxf>
      <font>
        <b val="0"/>
        <i val="0"/>
        <color rgb="FFC00000"/>
      </font>
      <fill>
        <patternFill>
          <bgColor theme="8" tint="0.79998168889431442"/>
        </patternFill>
      </fill>
    </dxf>
    <dxf>
      <font>
        <b/>
        <i val="0"/>
        <strike/>
        <color theme="0" tint="-0.14996795556505021"/>
      </font>
      <fill>
        <patternFill>
          <bgColor theme="0"/>
        </patternFill>
      </fill>
    </dxf>
    <dxf>
      <font>
        <b/>
        <i val="0"/>
        <color theme="9"/>
      </font>
      <fill>
        <patternFill>
          <bgColor theme="9" tint="0.59996337778862885"/>
        </patternFill>
      </fill>
    </dxf>
    <dxf>
      <font>
        <b/>
        <i val="0"/>
        <color theme="9"/>
      </font>
      <fill>
        <patternFill>
          <bgColor theme="9" tint="0.59996337778862885"/>
        </patternFill>
      </fill>
    </dxf>
    <dxf>
      <font>
        <b/>
        <i val="0"/>
        <color theme="9"/>
      </font>
      <fill>
        <patternFill>
          <bgColor theme="9" tint="0.59996337778862885"/>
        </patternFill>
      </fill>
    </dxf>
    <dxf>
      <font>
        <color rgb="FF00863D"/>
      </font>
      <fill>
        <patternFill>
          <bgColor theme="6" tint="0.59996337778862885"/>
        </patternFill>
      </fill>
    </dxf>
    <dxf>
      <font>
        <b val="0"/>
        <i val="0"/>
        <color rgb="FFC00000"/>
      </font>
      <fill>
        <patternFill>
          <bgColor theme="8" tint="0.79998168889431442"/>
        </patternFill>
      </fill>
    </dxf>
    <dxf>
      <font>
        <b/>
        <i val="0"/>
        <strike/>
        <color theme="0" tint="-0.14996795556505021"/>
      </font>
      <fill>
        <patternFill>
          <bgColor theme="0"/>
        </patternFill>
      </fill>
    </dxf>
    <dxf>
      <font>
        <color rgb="FF00863D"/>
      </font>
      <fill>
        <patternFill>
          <bgColor theme="6" tint="0.59996337778862885"/>
        </patternFill>
      </fill>
    </dxf>
    <dxf>
      <font>
        <b val="0"/>
        <i val="0"/>
        <color rgb="FFC00000"/>
      </font>
      <fill>
        <patternFill>
          <bgColor theme="8" tint="0.79998168889431442"/>
        </patternFill>
      </fill>
    </dxf>
    <dxf>
      <font>
        <b/>
        <i val="0"/>
        <strike/>
        <color theme="0" tint="-0.14996795556505021"/>
      </font>
      <fill>
        <patternFill>
          <bgColor theme="0"/>
        </patternFill>
      </fill>
    </dxf>
    <dxf>
      <font>
        <b/>
        <i val="0"/>
        <color theme="9"/>
      </font>
      <fill>
        <patternFill>
          <bgColor theme="9" tint="0.59996337778862885"/>
        </patternFill>
      </fill>
    </dxf>
    <dxf>
      <font>
        <b/>
        <i val="0"/>
        <color theme="9"/>
      </font>
      <fill>
        <patternFill>
          <bgColor theme="9" tint="0.59996337778862885"/>
        </patternFill>
      </fill>
    </dxf>
    <dxf>
      <font>
        <b/>
        <i val="0"/>
        <color theme="9"/>
      </font>
      <fill>
        <patternFill>
          <bgColor theme="9" tint="0.59996337778862885"/>
        </patternFill>
      </fill>
    </dxf>
    <dxf>
      <font>
        <color rgb="FF00863D"/>
      </font>
      <fill>
        <patternFill>
          <bgColor theme="6" tint="0.59996337778862885"/>
        </patternFill>
      </fill>
    </dxf>
    <dxf>
      <font>
        <b val="0"/>
        <i val="0"/>
        <color rgb="FFC00000"/>
      </font>
      <fill>
        <patternFill>
          <bgColor theme="8" tint="0.79998168889431442"/>
        </patternFill>
      </fill>
    </dxf>
    <dxf>
      <font>
        <b/>
        <i val="0"/>
        <strike/>
        <color theme="0" tint="-0.14996795556505021"/>
      </font>
      <fill>
        <patternFill>
          <bgColor theme="0"/>
        </patternFill>
      </fill>
    </dxf>
    <dxf>
      <font>
        <color rgb="FF00863D"/>
      </font>
      <fill>
        <patternFill>
          <bgColor theme="6" tint="0.59996337778862885"/>
        </patternFill>
      </fill>
    </dxf>
    <dxf>
      <font>
        <b val="0"/>
        <i val="0"/>
        <color rgb="FFC00000"/>
      </font>
      <fill>
        <patternFill>
          <bgColor theme="8" tint="0.79998168889431442"/>
        </patternFill>
      </fill>
    </dxf>
    <dxf>
      <font>
        <b/>
        <i val="0"/>
        <strike/>
        <color theme="0" tint="-0.14996795556505021"/>
      </font>
      <fill>
        <patternFill>
          <bgColor theme="0"/>
        </patternFill>
      </fill>
    </dxf>
    <dxf>
      <font>
        <color rgb="FF00863D"/>
      </font>
      <fill>
        <patternFill>
          <bgColor theme="6" tint="0.59996337778862885"/>
        </patternFill>
      </fill>
    </dxf>
    <dxf>
      <font>
        <b val="0"/>
        <i val="0"/>
        <color rgb="FFC00000"/>
      </font>
      <fill>
        <patternFill>
          <bgColor theme="8" tint="0.79998168889431442"/>
        </patternFill>
      </fill>
    </dxf>
    <dxf>
      <font>
        <b/>
        <i val="0"/>
        <strike/>
        <color theme="0" tint="-0.14996795556505021"/>
      </font>
      <fill>
        <patternFill>
          <bgColor theme="0"/>
        </patternFill>
      </fill>
    </dxf>
    <dxf>
      <font>
        <b/>
        <i val="0"/>
        <color theme="9"/>
      </font>
      <fill>
        <patternFill>
          <bgColor theme="9" tint="0.59996337778862885"/>
        </patternFill>
      </fill>
    </dxf>
    <dxf>
      <font>
        <b/>
        <i val="0"/>
        <color theme="9"/>
      </font>
      <fill>
        <patternFill>
          <bgColor theme="9" tint="0.59996337778862885"/>
        </patternFill>
      </fill>
    </dxf>
    <dxf>
      <font>
        <color rgb="FF00863D"/>
      </font>
      <fill>
        <patternFill>
          <bgColor theme="6" tint="0.59996337778862885"/>
        </patternFill>
      </fill>
    </dxf>
    <dxf>
      <font>
        <b val="0"/>
        <i val="0"/>
        <color rgb="FFC00000"/>
      </font>
      <fill>
        <patternFill>
          <bgColor theme="8" tint="0.79998168889431442"/>
        </patternFill>
      </fill>
    </dxf>
    <dxf>
      <font>
        <b/>
        <i val="0"/>
        <strike/>
        <color theme="0" tint="-0.14996795556505021"/>
      </font>
      <fill>
        <patternFill>
          <bgColor theme="0"/>
        </patternFill>
      </fill>
    </dxf>
    <dxf>
      <font>
        <b/>
        <i val="0"/>
        <color theme="9"/>
      </font>
      <fill>
        <patternFill>
          <bgColor theme="9" tint="0.59996337778862885"/>
        </patternFill>
      </fill>
    </dxf>
    <dxf>
      <font>
        <color rgb="FF00863D"/>
      </font>
      <fill>
        <patternFill>
          <bgColor theme="6" tint="0.59996337778862885"/>
        </patternFill>
      </fill>
    </dxf>
    <dxf>
      <font>
        <b val="0"/>
        <i val="0"/>
        <color rgb="FFC00000"/>
      </font>
      <fill>
        <patternFill>
          <bgColor theme="8" tint="0.79998168889431442"/>
        </patternFill>
      </fill>
    </dxf>
    <dxf>
      <font>
        <b/>
        <i val="0"/>
        <strike/>
        <color theme="0" tint="-0.14996795556505021"/>
      </font>
      <fill>
        <patternFill>
          <bgColor theme="0"/>
        </patternFill>
      </fill>
    </dxf>
  </dxfs>
  <tableStyles count="0" defaultTableStyle="TableStyleMedium2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725A80"/>
      <rgbColor rgb="0000FF00"/>
      <rgbColor rgb="000000FF"/>
      <rgbColor rgb="00FFFF00"/>
      <rgbColor rgb="00D8D6A4"/>
      <rgbColor rgb="0000FFFF"/>
      <rgbColor rgb="00006766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C7002B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863D"/>
      <color rgb="FFDCDEE0"/>
      <color rgb="FF3FFF76"/>
      <color rgb="FF15FF7F"/>
      <color rgb="FF78FA84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910465</xdr:colOff>
      <xdr:row>0</xdr:row>
      <xdr:rowOff>109881</xdr:rowOff>
    </xdr:from>
    <xdr:to>
      <xdr:col>2</xdr:col>
      <xdr:colOff>2535333</xdr:colOff>
      <xdr:row>1</xdr:row>
      <xdr:rowOff>392206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17781" y="1902822"/>
          <a:ext cx="1624868" cy="84261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Restricted\John%20Lewis\8.%20Data%20and%20Insight%20Team\Essential%20Resources\FTE%20Reporting%20Lists%20Exe+Ply\JL%20EXE%20Master%20Reporting%20Li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L EXE ACTIVE FTE List"/>
      <sheetName val="Tenure Lookup"/>
      <sheetName val="JL EXE LEAVER List"/>
      <sheetName val="OM Alias"/>
      <sheetName val="Start Date info"/>
      <sheetName val="Exe New Starter List"/>
      <sheetName val="Leavers"/>
    </sheetNames>
    <sheetDataSet>
      <sheetData sheetId="0">
        <row r="1">
          <cell r="G1" t="str">
            <v>Full Name</v>
          </cell>
          <cell r="H1" t="str">
            <v>Team Manager</v>
          </cell>
          <cell r="I1" t="str">
            <v>FT/PT</v>
          </cell>
          <cell r="J1" t="str">
            <v>Avaya #</v>
          </cell>
          <cell r="K1" t="str">
            <v>AS #</v>
          </cell>
          <cell r="L1" t="str">
            <v>Employee ID</v>
          </cell>
          <cell r="M1" t="str">
            <v>WIN Login</v>
          </cell>
          <cell r="N1" t="str">
            <v>Specialised Team</v>
          </cell>
          <cell r="O1" t="str">
            <v>Start Date</v>
          </cell>
          <cell r="P1" t="str">
            <v>Tenure (Days)</v>
          </cell>
          <cell r="Q1" t="str">
            <v>Tenure (Months)</v>
          </cell>
          <cell r="R1" t="str">
            <v>STATUS</v>
          </cell>
        </row>
        <row r="2">
          <cell r="G2" t="str">
            <v>Claire Adkins</v>
          </cell>
          <cell r="H2" t="str">
            <v>Avril Oliver</v>
          </cell>
          <cell r="I2" t="str">
            <v>FT</v>
          </cell>
          <cell r="J2">
            <v>4400010</v>
          </cell>
          <cell r="K2" t="str">
            <v>AS2100</v>
          </cell>
          <cell r="L2">
            <v>391352</v>
          </cell>
          <cell r="M2" t="str">
            <v>cadki001</v>
          </cell>
          <cell r="N2" t="str">
            <v>CRM</v>
          </cell>
          <cell r="O2">
            <v>40791</v>
          </cell>
          <cell r="P2">
            <v>2346</v>
          </cell>
          <cell r="Q2" t="str">
            <v xml:space="preserve">&gt; 24 Months </v>
          </cell>
          <cell r="R2" t="str">
            <v>ACTIVE</v>
          </cell>
        </row>
        <row r="3">
          <cell r="G3" t="str">
            <v>Matthew Alford</v>
          </cell>
          <cell r="H3" t="str">
            <v>Troy Barnaschone</v>
          </cell>
          <cell r="I3" t="str">
            <v>FT</v>
          </cell>
          <cell r="J3">
            <v>4400835</v>
          </cell>
          <cell r="K3" t="str">
            <v>AS2030</v>
          </cell>
          <cell r="L3">
            <v>998595</v>
          </cell>
          <cell r="M3" t="str">
            <v>malfo011</v>
          </cell>
          <cell r="N3" t="str">
            <v>3RD</v>
          </cell>
          <cell r="O3">
            <v>42372</v>
          </cell>
          <cell r="P3">
            <v>765</v>
          </cell>
          <cell r="Q3" t="str">
            <v xml:space="preserve">&gt; 24 Months </v>
          </cell>
          <cell r="R3" t="str">
            <v>ACTIVE</v>
          </cell>
        </row>
        <row r="4">
          <cell r="G4" t="str">
            <v>Dominic Allison</v>
          </cell>
          <cell r="H4" t="str">
            <v>Mark Elliott</v>
          </cell>
          <cell r="I4" t="str">
            <v>FT</v>
          </cell>
          <cell r="J4">
            <v>4400128</v>
          </cell>
          <cell r="K4" t="str">
            <v>AS2108</v>
          </cell>
          <cell r="L4">
            <v>417727</v>
          </cell>
          <cell r="M4" t="str">
            <v>dalli004</v>
          </cell>
          <cell r="N4" t="str">
            <v>SW</v>
          </cell>
          <cell r="O4">
            <v>42528</v>
          </cell>
          <cell r="P4">
            <v>609</v>
          </cell>
          <cell r="Q4" t="str">
            <v>12- 24 Months</v>
          </cell>
          <cell r="R4" t="str">
            <v>ACTIVE</v>
          </cell>
        </row>
        <row r="5">
          <cell r="G5" t="str">
            <v>Clive Barber</v>
          </cell>
          <cell r="H5" t="str">
            <v>James McCaughan</v>
          </cell>
          <cell r="I5" t="str">
            <v>FT</v>
          </cell>
          <cell r="J5">
            <v>4400703</v>
          </cell>
          <cell r="K5" t="str">
            <v>AS2067</v>
          </cell>
          <cell r="L5">
            <v>389730</v>
          </cell>
          <cell r="M5" t="str">
            <v>cbarb003</v>
          </cell>
          <cell r="N5" t="str">
            <v>Data &amp; Insight Analyst</v>
          </cell>
          <cell r="O5">
            <v>40668</v>
          </cell>
          <cell r="P5">
            <v>2469</v>
          </cell>
          <cell r="Q5" t="str">
            <v xml:space="preserve">&gt; 24 Months </v>
          </cell>
          <cell r="R5" t="str">
            <v>ACTIVE</v>
          </cell>
        </row>
        <row r="6">
          <cell r="G6" t="str">
            <v>Troy Barnaschone</v>
          </cell>
          <cell r="H6" t="str">
            <v>Rowan Marshall</v>
          </cell>
          <cell r="I6" t="str">
            <v>FT</v>
          </cell>
          <cell r="J6">
            <v>0</v>
          </cell>
          <cell r="K6" t="str">
            <v>AS2289</v>
          </cell>
          <cell r="L6">
            <v>398182</v>
          </cell>
          <cell r="M6" t="str">
            <v>tbarn009</v>
          </cell>
          <cell r="N6" t="str">
            <v>TM/C</v>
          </cell>
          <cell r="O6">
            <v>41435</v>
          </cell>
          <cell r="P6">
            <v>1702</v>
          </cell>
          <cell r="Q6" t="str">
            <v xml:space="preserve">&gt; 24 Months </v>
          </cell>
          <cell r="R6" t="str">
            <v>ACTIVE</v>
          </cell>
        </row>
        <row r="7">
          <cell r="G7" t="str">
            <v>Joanne Barnett</v>
          </cell>
          <cell r="H7" t="str">
            <v>Michael Ennals</v>
          </cell>
          <cell r="I7" t="str">
            <v>FT</v>
          </cell>
          <cell r="J7">
            <v>4400087</v>
          </cell>
          <cell r="K7" t="str">
            <v>AS2168</v>
          </cell>
          <cell r="L7">
            <v>413006</v>
          </cell>
          <cell r="M7" t="str">
            <v>jbarn046</v>
          </cell>
          <cell r="N7" t="str">
            <v>ATV</v>
          </cell>
          <cell r="O7">
            <v>42310</v>
          </cell>
          <cell r="P7">
            <v>827</v>
          </cell>
          <cell r="Q7" t="str">
            <v xml:space="preserve">&gt; 24 Months </v>
          </cell>
          <cell r="R7" t="str">
            <v>ACTIVE</v>
          </cell>
        </row>
        <row r="8">
          <cell r="G8" t="str">
            <v>Samantha Bedwell</v>
          </cell>
          <cell r="H8" t="str">
            <v>Mark Elliott</v>
          </cell>
          <cell r="I8" t="str">
            <v>PT</v>
          </cell>
          <cell r="J8">
            <v>4400152</v>
          </cell>
          <cell r="K8" t="str">
            <v>AS2219</v>
          </cell>
          <cell r="L8">
            <v>1012535</v>
          </cell>
          <cell r="M8" t="str">
            <v>sbedw001</v>
          </cell>
          <cell r="N8" t="str">
            <v>COM</v>
          </cell>
          <cell r="O8">
            <v>42866</v>
          </cell>
          <cell r="P8">
            <v>271</v>
          </cell>
          <cell r="Q8" t="str">
            <v>6-12 Months</v>
          </cell>
          <cell r="R8" t="str">
            <v>ACTIVE</v>
          </cell>
        </row>
        <row r="9">
          <cell r="G9" t="str">
            <v>Kyle Blackmore</v>
          </cell>
          <cell r="H9" t="str">
            <v>Troy Barnaschone</v>
          </cell>
          <cell r="I9" t="str">
            <v>FT</v>
          </cell>
          <cell r="J9">
            <v>4400844</v>
          </cell>
          <cell r="K9" t="str">
            <v>AS2016</v>
          </cell>
          <cell r="L9">
            <v>416984</v>
          </cell>
          <cell r="M9" t="str">
            <v>kblac019</v>
          </cell>
          <cell r="N9" t="str">
            <v>3RD</v>
          </cell>
          <cell r="O9">
            <v>42499</v>
          </cell>
          <cell r="P9">
            <v>638</v>
          </cell>
          <cell r="Q9" t="str">
            <v>12- 24 Months</v>
          </cell>
          <cell r="R9" t="str">
            <v>ACTIVE</v>
          </cell>
        </row>
        <row r="10">
          <cell r="G10" t="str">
            <v>Lucas Bland</v>
          </cell>
          <cell r="H10" t="str">
            <v>Mark Davies</v>
          </cell>
          <cell r="I10" t="str">
            <v>FT</v>
          </cell>
          <cell r="J10">
            <v>4400123</v>
          </cell>
          <cell r="K10" t="str">
            <v>AS2172</v>
          </cell>
          <cell r="L10">
            <v>1026899</v>
          </cell>
          <cell r="M10" t="str">
            <v>lblan022</v>
          </cell>
          <cell r="N10" t="str">
            <v>COM</v>
          </cell>
          <cell r="O10">
            <v>42948</v>
          </cell>
          <cell r="P10">
            <v>189</v>
          </cell>
          <cell r="Q10" t="str">
            <v>6-12 Months</v>
          </cell>
          <cell r="R10" t="str">
            <v>ACTIVE</v>
          </cell>
        </row>
        <row r="11">
          <cell r="G11" t="str">
            <v>Christopher Blythe</v>
          </cell>
          <cell r="H11" t="str">
            <v>Troy Barnaschone</v>
          </cell>
          <cell r="I11" t="str">
            <v>FT</v>
          </cell>
          <cell r="J11">
            <v>4400042</v>
          </cell>
          <cell r="K11" t="str">
            <v>AS2213</v>
          </cell>
          <cell r="L11">
            <v>390102</v>
          </cell>
          <cell r="M11" t="str">
            <v>cblyt001</v>
          </cell>
          <cell r="N11" t="str">
            <v>3RD</v>
          </cell>
          <cell r="O11">
            <v>40707</v>
          </cell>
          <cell r="P11">
            <v>2430</v>
          </cell>
          <cell r="Q11" t="str">
            <v xml:space="preserve">&gt; 24 Months </v>
          </cell>
          <cell r="R11" t="str">
            <v>ACTIVE</v>
          </cell>
        </row>
        <row r="12">
          <cell r="G12" t="str">
            <v>Bevis Bowles Bray</v>
          </cell>
          <cell r="H12" t="str">
            <v>Avril Oliver</v>
          </cell>
          <cell r="I12" t="str">
            <v>FT</v>
          </cell>
          <cell r="J12">
            <v>4400163</v>
          </cell>
          <cell r="K12" t="str">
            <v>AS2190</v>
          </cell>
          <cell r="L12">
            <v>387209</v>
          </cell>
          <cell r="M12" t="str">
            <v>bbowl004</v>
          </cell>
          <cell r="N12" t="str">
            <v>CST</v>
          </cell>
          <cell r="O12">
            <v>42555</v>
          </cell>
          <cell r="P12">
            <v>582</v>
          </cell>
          <cell r="Q12" t="str">
            <v>12- 24 Months</v>
          </cell>
          <cell r="R12" t="str">
            <v>ACTIVE</v>
          </cell>
        </row>
        <row r="13">
          <cell r="G13" t="str">
            <v>Joshua Bradley</v>
          </cell>
          <cell r="H13" t="str">
            <v>Troy Barnaschone</v>
          </cell>
          <cell r="I13" t="str">
            <v>FT</v>
          </cell>
          <cell r="J13">
            <v>4400819</v>
          </cell>
          <cell r="K13" t="str">
            <v>AS2250</v>
          </cell>
          <cell r="L13">
            <v>1013618</v>
          </cell>
          <cell r="M13" t="str">
            <v>jbrad055</v>
          </cell>
          <cell r="N13" t="str">
            <v>CST</v>
          </cell>
          <cell r="O13">
            <v>42835</v>
          </cell>
          <cell r="P13">
            <v>302</v>
          </cell>
          <cell r="Q13" t="str">
            <v>6-12 Months</v>
          </cell>
          <cell r="R13" t="str">
            <v>ACTIVE</v>
          </cell>
        </row>
        <row r="14">
          <cell r="G14" t="str">
            <v>Clara Brown</v>
          </cell>
          <cell r="H14" t="str">
            <v>Mark Elliott</v>
          </cell>
          <cell r="I14" t="str">
            <v>PT</v>
          </cell>
          <cell r="J14">
            <v>4400122</v>
          </cell>
          <cell r="K14" t="str">
            <v>AS2022</v>
          </cell>
          <cell r="L14">
            <v>417229</v>
          </cell>
          <cell r="M14" t="str">
            <v>cbrow126</v>
          </cell>
          <cell r="N14" t="str">
            <v>COM</v>
          </cell>
          <cell r="O14">
            <v>42926</v>
          </cell>
          <cell r="P14">
            <v>211</v>
          </cell>
          <cell r="Q14" t="str">
            <v>6-12 Months</v>
          </cell>
          <cell r="R14" t="str">
            <v>ACTIVE</v>
          </cell>
        </row>
        <row r="15">
          <cell r="G15" t="str">
            <v>Wayne Brown</v>
          </cell>
          <cell r="H15" t="str">
            <v>Natalie Lubienski</v>
          </cell>
          <cell r="I15" t="str">
            <v>FT</v>
          </cell>
          <cell r="J15">
            <v>4400039</v>
          </cell>
          <cell r="K15" t="str">
            <v>AS2251</v>
          </cell>
          <cell r="L15">
            <v>413320</v>
          </cell>
          <cell r="M15" t="str">
            <v>wbrow018</v>
          </cell>
          <cell r="N15" t="str">
            <v>CSA</v>
          </cell>
          <cell r="O15">
            <v>42324</v>
          </cell>
          <cell r="P15">
            <v>813</v>
          </cell>
          <cell r="Q15" t="str">
            <v xml:space="preserve">&gt; 24 Months </v>
          </cell>
          <cell r="R15" t="str">
            <v>ACTIVE</v>
          </cell>
        </row>
        <row r="16">
          <cell r="G16" t="str">
            <v>Christopher Buck</v>
          </cell>
          <cell r="H16" t="str">
            <v>Troy Barnaschone</v>
          </cell>
          <cell r="I16" t="str">
            <v>FT</v>
          </cell>
          <cell r="J16">
            <v>4400050</v>
          </cell>
          <cell r="K16" t="str">
            <v>AS2252</v>
          </cell>
          <cell r="L16">
            <v>413321</v>
          </cell>
          <cell r="M16" t="str">
            <v>cbuck010</v>
          </cell>
          <cell r="N16" t="str">
            <v>3RD</v>
          </cell>
          <cell r="O16">
            <v>42324</v>
          </cell>
          <cell r="P16">
            <v>813</v>
          </cell>
          <cell r="Q16" t="str">
            <v xml:space="preserve">&gt; 24 Months </v>
          </cell>
          <cell r="R16" t="str">
            <v>ACTIVE</v>
          </cell>
        </row>
        <row r="17">
          <cell r="G17" t="str">
            <v>Jameela Bukhammas</v>
          </cell>
          <cell r="H17" t="str">
            <v>Natalie Lubienski</v>
          </cell>
          <cell r="I17" t="str">
            <v>PT</v>
          </cell>
          <cell r="J17">
            <v>4400899</v>
          </cell>
          <cell r="K17" t="str">
            <v>AS2222</v>
          </cell>
          <cell r="L17">
            <v>403070</v>
          </cell>
          <cell r="M17" t="str">
            <v>jbukh001</v>
          </cell>
          <cell r="N17" t="str">
            <v>CSA</v>
          </cell>
          <cell r="O17">
            <v>42779</v>
          </cell>
          <cell r="P17">
            <v>358</v>
          </cell>
          <cell r="Q17" t="str">
            <v>6-12 Months</v>
          </cell>
          <cell r="R17" t="str">
            <v>ACTIVE</v>
          </cell>
        </row>
        <row r="18">
          <cell r="G18" t="str">
            <v>Carol Bunting</v>
          </cell>
          <cell r="H18" t="str">
            <v>Rowan Marshall</v>
          </cell>
          <cell r="I18" t="str">
            <v>FT</v>
          </cell>
          <cell r="J18">
            <v>4400037</v>
          </cell>
          <cell r="K18" t="str">
            <v>AS2144</v>
          </cell>
          <cell r="L18">
            <v>396004</v>
          </cell>
          <cell r="M18" t="str">
            <v>cbunt001</v>
          </cell>
          <cell r="N18" t="str">
            <v>RTA</v>
          </cell>
          <cell r="O18">
            <v>41218</v>
          </cell>
          <cell r="P18">
            <v>1919</v>
          </cell>
          <cell r="Q18" t="str">
            <v xml:space="preserve">&gt; 24 Months </v>
          </cell>
          <cell r="R18" t="str">
            <v>ACTIVE</v>
          </cell>
        </row>
        <row r="19">
          <cell r="G19" t="str">
            <v>Josh Burnett</v>
          </cell>
          <cell r="H19" t="str">
            <v>Frazer Hutchinson</v>
          </cell>
          <cell r="I19" t="str">
            <v>PT</v>
          </cell>
          <cell r="J19">
            <v>4400159</v>
          </cell>
          <cell r="K19" t="str">
            <v>AS2282</v>
          </cell>
          <cell r="L19">
            <v>417235</v>
          </cell>
          <cell r="M19" t="str">
            <v>jburn030</v>
          </cell>
          <cell r="N19" t="str">
            <v>ATV</v>
          </cell>
          <cell r="O19">
            <v>42866</v>
          </cell>
          <cell r="P19">
            <v>271</v>
          </cell>
          <cell r="Q19" t="str">
            <v>6-12 Months</v>
          </cell>
          <cell r="R19" t="str">
            <v>ACTIVE</v>
          </cell>
        </row>
        <row r="20">
          <cell r="G20" t="str">
            <v>Amber Caldwell</v>
          </cell>
          <cell r="H20" t="str">
            <v>Michael Ennals</v>
          </cell>
          <cell r="I20" t="str">
            <v>FT</v>
          </cell>
          <cell r="J20">
            <v>4400450</v>
          </cell>
          <cell r="K20" t="str">
            <v>AS2089</v>
          </cell>
          <cell r="L20">
            <v>417558</v>
          </cell>
          <cell r="M20" t="str">
            <v>acald033</v>
          </cell>
          <cell r="N20" t="str">
            <v>COM</v>
          </cell>
          <cell r="O20">
            <v>42968</v>
          </cell>
          <cell r="P20">
            <v>169</v>
          </cell>
          <cell r="Q20" t="str">
            <v>4-6 Months</v>
          </cell>
          <cell r="R20" t="str">
            <v>ACTIVE</v>
          </cell>
        </row>
        <row r="21">
          <cell r="G21" t="str">
            <v>Siobhan Cannon</v>
          </cell>
          <cell r="H21" t="str">
            <v>David Hitching</v>
          </cell>
          <cell r="I21" t="str">
            <v>FT</v>
          </cell>
          <cell r="J21">
            <v>4400859</v>
          </cell>
          <cell r="K21" t="str">
            <v>AS2261</v>
          </cell>
          <cell r="L21">
            <v>1027751</v>
          </cell>
          <cell r="M21" t="str">
            <v>scann011</v>
          </cell>
          <cell r="N21" t="str">
            <v>LE</v>
          </cell>
          <cell r="O21">
            <v>42955</v>
          </cell>
          <cell r="P21">
            <v>182</v>
          </cell>
          <cell r="Q21" t="str">
            <v>6-12 Months</v>
          </cell>
          <cell r="R21" t="str">
            <v>ACTIVE</v>
          </cell>
        </row>
        <row r="22">
          <cell r="G22" t="str">
            <v>Karen Cattigan</v>
          </cell>
          <cell r="H22" t="str">
            <v>Frazer Hutchinson</v>
          </cell>
          <cell r="I22" t="str">
            <v>PT</v>
          </cell>
          <cell r="J22">
            <v>4400112</v>
          </cell>
          <cell r="K22" t="str">
            <v>AS2070</v>
          </cell>
          <cell r="L22">
            <v>393431</v>
          </cell>
          <cell r="M22" t="str">
            <v>kcatt001</v>
          </cell>
          <cell r="N22" t="str">
            <v>LE</v>
          </cell>
          <cell r="O22">
            <v>41071</v>
          </cell>
          <cell r="P22">
            <v>2066</v>
          </cell>
          <cell r="Q22" t="str">
            <v xml:space="preserve">&gt; 24 Months </v>
          </cell>
          <cell r="R22" t="str">
            <v>ACTIVE</v>
          </cell>
        </row>
        <row r="23">
          <cell r="G23" t="str">
            <v>Mark Challenger</v>
          </cell>
          <cell r="H23" t="str">
            <v>Chris Adams</v>
          </cell>
          <cell r="I23" t="str">
            <v>FT</v>
          </cell>
          <cell r="J23">
            <v>4400804</v>
          </cell>
          <cell r="K23" t="str">
            <v>AS2028</v>
          </cell>
          <cell r="L23">
            <v>386172</v>
          </cell>
          <cell r="M23" t="str">
            <v>mchal002</v>
          </cell>
          <cell r="N23" t="str">
            <v>LE</v>
          </cell>
          <cell r="O23">
            <v>40399</v>
          </cell>
          <cell r="P23">
            <v>2738</v>
          </cell>
          <cell r="Q23" t="str">
            <v xml:space="preserve">&gt; 24 Months </v>
          </cell>
          <cell r="R23" t="str">
            <v>ACTIVE</v>
          </cell>
        </row>
        <row r="24">
          <cell r="G24" t="str">
            <v>Terry Chapman</v>
          </cell>
          <cell r="H24" t="str">
            <v>Avril Oliver</v>
          </cell>
          <cell r="I24" t="str">
            <v>FT</v>
          </cell>
          <cell r="J24">
            <v>4400043</v>
          </cell>
          <cell r="K24" t="str">
            <v>AS2074</v>
          </cell>
          <cell r="L24">
            <v>397555</v>
          </cell>
          <cell r="M24" t="str">
            <v>tchap001</v>
          </cell>
          <cell r="N24" t="str">
            <v>CRM</v>
          </cell>
          <cell r="O24">
            <v>41372</v>
          </cell>
          <cell r="P24">
            <v>1765</v>
          </cell>
          <cell r="Q24" t="str">
            <v xml:space="preserve">&gt; 24 Months </v>
          </cell>
          <cell r="R24" t="str">
            <v>ACTIVE</v>
          </cell>
        </row>
        <row r="25">
          <cell r="G25" t="str">
            <v>Daniel Chappell</v>
          </cell>
          <cell r="H25" t="str">
            <v>Mark Elliott</v>
          </cell>
          <cell r="I25" t="str">
            <v>PT</v>
          </cell>
          <cell r="J25">
            <v>4400822</v>
          </cell>
          <cell r="K25" t="str">
            <v>AS2234</v>
          </cell>
          <cell r="L25">
            <v>1013276</v>
          </cell>
          <cell r="M25" t="str">
            <v>dchap020</v>
          </cell>
          <cell r="N25" t="str">
            <v>LE</v>
          </cell>
          <cell r="O25">
            <v>42835</v>
          </cell>
          <cell r="P25">
            <v>302</v>
          </cell>
          <cell r="Q25" t="str">
            <v>6-12 Months</v>
          </cell>
          <cell r="R25" t="str">
            <v>ACTIVE</v>
          </cell>
        </row>
        <row r="26">
          <cell r="G26" t="str">
            <v>Dawn Charters</v>
          </cell>
          <cell r="H26" t="str">
            <v>Avril Oliver</v>
          </cell>
          <cell r="I26" t="str">
            <v>FT</v>
          </cell>
          <cell r="J26">
            <v>4400382</v>
          </cell>
          <cell r="K26" t="str">
            <v>AS2275</v>
          </cell>
          <cell r="L26">
            <v>1029866</v>
          </cell>
          <cell r="M26" t="str">
            <v>dchar016</v>
          </cell>
          <cell r="N26" t="str">
            <v>CRM</v>
          </cell>
          <cell r="O26">
            <v>42968</v>
          </cell>
          <cell r="P26">
            <v>169</v>
          </cell>
          <cell r="Q26" t="str">
            <v>4-6 Months</v>
          </cell>
          <cell r="R26" t="str">
            <v>ACTIVE</v>
          </cell>
        </row>
        <row r="27">
          <cell r="G27" t="str">
            <v>Kim Cheung</v>
          </cell>
          <cell r="H27" t="str">
            <v>Chris Adams</v>
          </cell>
          <cell r="I27" t="str">
            <v>FT</v>
          </cell>
          <cell r="J27">
            <v>4400117</v>
          </cell>
          <cell r="K27" t="str">
            <v>AS2242</v>
          </cell>
          <cell r="L27">
            <v>407026</v>
          </cell>
          <cell r="M27" t="str">
            <v>kcheu001</v>
          </cell>
          <cell r="N27" t="str">
            <v>LE</v>
          </cell>
          <cell r="O27">
            <v>41974</v>
          </cell>
          <cell r="P27">
            <v>1163</v>
          </cell>
          <cell r="Q27" t="str">
            <v xml:space="preserve">&gt; 24 Months </v>
          </cell>
          <cell r="R27" t="str">
            <v>ACTIVE</v>
          </cell>
        </row>
        <row r="28">
          <cell r="G28" t="str">
            <v>Christina Clevinger</v>
          </cell>
          <cell r="H28" t="str">
            <v>Frazer Hutchinson</v>
          </cell>
          <cell r="I28" t="str">
            <v>PT</v>
          </cell>
          <cell r="J28">
            <v>4400837</v>
          </cell>
          <cell r="K28" t="str">
            <v>AS2174</v>
          </cell>
          <cell r="L28">
            <v>396494</v>
          </cell>
          <cell r="M28" t="str">
            <v>cclev003</v>
          </cell>
          <cell r="N28" t="str">
            <v>LE</v>
          </cell>
          <cell r="O28">
            <v>42310</v>
          </cell>
          <cell r="P28">
            <v>827</v>
          </cell>
          <cell r="Q28" t="str">
            <v xml:space="preserve">&gt; 24 Months </v>
          </cell>
          <cell r="R28" t="str">
            <v>ACTIVE</v>
          </cell>
        </row>
        <row r="29">
          <cell r="G29" t="str">
            <v>Olivia Clunie-Ross</v>
          </cell>
          <cell r="H29" t="str">
            <v>Mark Davies</v>
          </cell>
          <cell r="I29" t="str">
            <v>FT</v>
          </cell>
          <cell r="J29">
            <v>4400091</v>
          </cell>
          <cell r="K29" t="str">
            <v>AS2180</v>
          </cell>
          <cell r="L29">
            <v>1026901</v>
          </cell>
          <cell r="M29" t="str">
            <v>oclun001</v>
          </cell>
          <cell r="N29" t="str">
            <v>COM</v>
          </cell>
          <cell r="O29">
            <v>42948</v>
          </cell>
          <cell r="P29">
            <v>189</v>
          </cell>
          <cell r="Q29" t="str">
            <v>6-12 Months</v>
          </cell>
          <cell r="R29" t="str">
            <v>ACTIVE</v>
          </cell>
        </row>
        <row r="30">
          <cell r="G30" t="str">
            <v>Matthew Coles</v>
          </cell>
          <cell r="H30" t="str">
            <v>David Hitching</v>
          </cell>
          <cell r="I30" t="str">
            <v>FT</v>
          </cell>
          <cell r="J30">
            <v>4400845</v>
          </cell>
          <cell r="K30" t="str">
            <v>AS2291</v>
          </cell>
          <cell r="L30">
            <v>1027830</v>
          </cell>
          <cell r="M30" t="str">
            <v>mcole034</v>
          </cell>
          <cell r="N30" t="str">
            <v>LE</v>
          </cell>
          <cell r="O30">
            <v>42955</v>
          </cell>
          <cell r="P30">
            <v>182</v>
          </cell>
          <cell r="Q30" t="str">
            <v>6-12 Months</v>
          </cell>
          <cell r="R30" t="str">
            <v>ACTIVE</v>
          </cell>
        </row>
        <row r="31">
          <cell r="G31" t="str">
            <v>Darren Combrinck</v>
          </cell>
          <cell r="H31" t="str">
            <v>Troy Barnaschone</v>
          </cell>
          <cell r="I31" t="str">
            <v>FT</v>
          </cell>
          <cell r="J31">
            <v>4400010</v>
          </cell>
          <cell r="K31" t="str">
            <v>AS2063</v>
          </cell>
          <cell r="L31">
            <v>408729</v>
          </cell>
          <cell r="M31" t="str">
            <v>dcomb003</v>
          </cell>
          <cell r="N31" t="str">
            <v>3RD</v>
          </cell>
          <cell r="O31">
            <v>42079</v>
          </cell>
          <cell r="P31">
            <v>1058</v>
          </cell>
          <cell r="Q31" t="str">
            <v xml:space="preserve">&gt; 24 Months </v>
          </cell>
          <cell r="R31" t="str">
            <v>ACTIVE</v>
          </cell>
        </row>
        <row r="32">
          <cell r="G32" t="str">
            <v>Harry Connell-Payne</v>
          </cell>
          <cell r="H32" t="str">
            <v>Avril Oliver</v>
          </cell>
          <cell r="I32" t="str">
            <v>FT</v>
          </cell>
          <cell r="J32">
            <v>4400080</v>
          </cell>
          <cell r="K32" t="str">
            <v>AS2090</v>
          </cell>
          <cell r="L32">
            <v>409086</v>
          </cell>
          <cell r="M32" t="str">
            <v>hconn001</v>
          </cell>
          <cell r="N32" t="str">
            <v>CRM</v>
          </cell>
          <cell r="O32">
            <v>42107</v>
          </cell>
          <cell r="P32">
            <v>1030</v>
          </cell>
          <cell r="Q32" t="str">
            <v xml:space="preserve">&gt; 24 Months </v>
          </cell>
          <cell r="R32" t="str">
            <v>ACTIVE</v>
          </cell>
        </row>
        <row r="33">
          <cell r="G33" t="str">
            <v>Nicholas Constable</v>
          </cell>
          <cell r="H33" t="str">
            <v>Antonio Follano</v>
          </cell>
          <cell r="I33" t="str">
            <v>FT</v>
          </cell>
          <cell r="J33">
            <v>4400800</v>
          </cell>
          <cell r="K33" t="str">
            <v>AS2183</v>
          </cell>
          <cell r="L33">
            <v>1032002</v>
          </cell>
          <cell r="M33" t="str">
            <v>ncons004</v>
          </cell>
          <cell r="N33" t="str">
            <v>ATV</v>
          </cell>
          <cell r="O33">
            <v>42982</v>
          </cell>
          <cell r="P33">
            <v>155</v>
          </cell>
          <cell r="Q33" t="str">
            <v>4-6 Months</v>
          </cell>
          <cell r="R33" t="str">
            <v>ACTIVE</v>
          </cell>
        </row>
        <row r="34">
          <cell r="G34" t="str">
            <v>Peryanaden Coolen</v>
          </cell>
          <cell r="H34" t="str">
            <v>Richard Crellin</v>
          </cell>
          <cell r="I34" t="str">
            <v>PT</v>
          </cell>
          <cell r="J34">
            <v>4400111</v>
          </cell>
          <cell r="K34" t="str">
            <v>AS2043</v>
          </cell>
          <cell r="L34">
            <v>14454</v>
          </cell>
          <cell r="M34" t="str">
            <v>pcool002</v>
          </cell>
          <cell r="N34" t="str">
            <v>COM</v>
          </cell>
          <cell r="O34">
            <v>42674</v>
          </cell>
          <cell r="P34">
            <v>463</v>
          </cell>
          <cell r="Q34" t="str">
            <v>12- 24 Months</v>
          </cell>
          <cell r="R34" t="str">
            <v>ACTIVE</v>
          </cell>
        </row>
        <row r="35">
          <cell r="G35" t="str">
            <v>David Coombes</v>
          </cell>
          <cell r="H35" t="str">
            <v>Natalie Lubienski</v>
          </cell>
          <cell r="I35" t="str">
            <v>FT</v>
          </cell>
          <cell r="J35">
            <v>4400019</v>
          </cell>
          <cell r="K35" t="str">
            <v>AS2128</v>
          </cell>
          <cell r="L35">
            <v>410814</v>
          </cell>
          <cell r="M35" t="str">
            <v>dcoom004</v>
          </cell>
          <cell r="N35" t="str">
            <v>CSA</v>
          </cell>
          <cell r="O35">
            <v>42212</v>
          </cell>
          <cell r="P35">
            <v>925</v>
          </cell>
          <cell r="Q35" t="str">
            <v xml:space="preserve">&gt; 24 Months </v>
          </cell>
          <cell r="R35" t="str">
            <v>ACTIVE</v>
          </cell>
        </row>
        <row r="36">
          <cell r="G36" t="str">
            <v>Stephen Coombes</v>
          </cell>
          <cell r="H36" t="str">
            <v>Avril Oliver</v>
          </cell>
          <cell r="I36" t="str">
            <v>FT</v>
          </cell>
          <cell r="J36">
            <v>4400070</v>
          </cell>
          <cell r="K36" t="str">
            <v>AS2003</v>
          </cell>
          <cell r="L36">
            <v>385948</v>
          </cell>
          <cell r="M36" t="str">
            <v>scoom002</v>
          </cell>
          <cell r="N36" t="str">
            <v>CRM</v>
          </cell>
          <cell r="O36">
            <v>40371</v>
          </cell>
          <cell r="P36">
            <v>2766</v>
          </cell>
          <cell r="Q36" t="str">
            <v xml:space="preserve">&gt; 24 Months </v>
          </cell>
          <cell r="R36" t="str">
            <v>ACTIVE</v>
          </cell>
        </row>
        <row r="37">
          <cell r="G37" t="str">
            <v>Oliver Cox</v>
          </cell>
          <cell r="H37" t="str">
            <v>Chris Adams</v>
          </cell>
          <cell r="I37" t="str">
            <v>FT</v>
          </cell>
          <cell r="J37">
            <v>4400839</v>
          </cell>
          <cell r="K37" t="str">
            <v>AS2176</v>
          </cell>
          <cell r="L37">
            <v>410288</v>
          </cell>
          <cell r="M37" t="str">
            <v>ocox002</v>
          </cell>
          <cell r="N37" t="str">
            <v>LE</v>
          </cell>
          <cell r="O37">
            <v>42310</v>
          </cell>
          <cell r="P37">
            <v>827</v>
          </cell>
          <cell r="Q37" t="str">
            <v xml:space="preserve">&gt; 24 Months </v>
          </cell>
          <cell r="R37" t="str">
            <v>ACTIVE</v>
          </cell>
        </row>
        <row r="38">
          <cell r="G38" t="str">
            <v>Richard Crellin</v>
          </cell>
          <cell r="H38" t="str">
            <v>Rowan Marshall</v>
          </cell>
          <cell r="I38" t="str">
            <v>FT</v>
          </cell>
          <cell r="J38">
            <v>4400196</v>
          </cell>
          <cell r="K38" t="str">
            <v>AS2045</v>
          </cell>
          <cell r="L38">
            <v>0</v>
          </cell>
          <cell r="M38" t="str">
            <v>rcrel001</v>
          </cell>
          <cell r="N38" t="str">
            <v>TM/C</v>
          </cell>
          <cell r="O38">
            <v>40421</v>
          </cell>
          <cell r="P38">
            <v>2716</v>
          </cell>
          <cell r="Q38" t="str">
            <v xml:space="preserve">&gt; 24 Months </v>
          </cell>
          <cell r="R38" t="str">
            <v>ACTIVE</v>
          </cell>
        </row>
        <row r="39">
          <cell r="G39" t="str">
            <v>Luke Davey</v>
          </cell>
          <cell r="H39" t="str">
            <v>Avril Oliver</v>
          </cell>
          <cell r="I39" t="str">
            <v>FT</v>
          </cell>
          <cell r="J39">
            <v>4400041</v>
          </cell>
          <cell r="K39" t="str">
            <v>AS2013</v>
          </cell>
          <cell r="L39">
            <v>392021</v>
          </cell>
          <cell r="M39" t="str">
            <v>ldave001</v>
          </cell>
          <cell r="N39" t="str">
            <v>CRM</v>
          </cell>
          <cell r="O39">
            <v>40840</v>
          </cell>
          <cell r="P39">
            <v>2297</v>
          </cell>
          <cell r="Q39" t="str">
            <v xml:space="preserve">&gt; 24 Months </v>
          </cell>
          <cell r="R39" t="str">
            <v>ACTIVE</v>
          </cell>
        </row>
        <row r="40">
          <cell r="G40" t="str">
            <v>Mark Davies</v>
          </cell>
          <cell r="H40" t="str">
            <v>Rowan Marshall</v>
          </cell>
          <cell r="I40" t="str">
            <v>FT</v>
          </cell>
          <cell r="J40">
            <v>4400283</v>
          </cell>
          <cell r="K40" t="str">
            <v>AS2133</v>
          </cell>
          <cell r="L40">
            <v>20305</v>
          </cell>
          <cell r="M40" t="str">
            <v>mdavi001</v>
          </cell>
          <cell r="N40" t="str">
            <v>TM/C</v>
          </cell>
          <cell r="O40">
            <v>39300</v>
          </cell>
          <cell r="P40">
            <v>3837</v>
          </cell>
          <cell r="Q40" t="str">
            <v xml:space="preserve">&gt; 24 Months </v>
          </cell>
          <cell r="R40" t="str">
            <v>ACTIVE</v>
          </cell>
        </row>
        <row r="41">
          <cell r="G41" t="str">
            <v>Michael Davies</v>
          </cell>
          <cell r="H41" t="str">
            <v>Richard Crellin</v>
          </cell>
          <cell r="I41" t="str">
            <v>FT</v>
          </cell>
          <cell r="J41">
            <v>4400141</v>
          </cell>
          <cell r="K41" t="str">
            <v>AS2273</v>
          </cell>
          <cell r="L41">
            <v>1011765</v>
          </cell>
          <cell r="M41" t="str">
            <v>mdavi140</v>
          </cell>
          <cell r="N41" t="str">
            <v>COM</v>
          </cell>
          <cell r="O41">
            <v>42823</v>
          </cell>
          <cell r="P41">
            <v>314</v>
          </cell>
          <cell r="Q41" t="str">
            <v>6-12 Months</v>
          </cell>
          <cell r="R41" t="str">
            <v>ACTIVE</v>
          </cell>
        </row>
        <row r="42">
          <cell r="G42" t="str">
            <v>Paul Diamond</v>
          </cell>
          <cell r="H42" t="str">
            <v>David Hitching</v>
          </cell>
          <cell r="I42" t="str">
            <v>FT</v>
          </cell>
          <cell r="J42">
            <v>4400118</v>
          </cell>
          <cell r="K42" t="str">
            <v>AS2132</v>
          </cell>
          <cell r="L42">
            <v>991817</v>
          </cell>
          <cell r="M42" t="str">
            <v>pdiam001</v>
          </cell>
          <cell r="N42" t="str">
            <v>LE</v>
          </cell>
          <cell r="O42">
            <v>42674</v>
          </cell>
          <cell r="P42">
            <v>463</v>
          </cell>
          <cell r="Q42" t="str">
            <v>12- 24 Months</v>
          </cell>
          <cell r="R42" t="str">
            <v>ACTIVE</v>
          </cell>
        </row>
        <row r="43">
          <cell r="G43" t="str">
            <v>Daniel Dodds</v>
          </cell>
          <cell r="H43" t="str">
            <v>Michael Ennals</v>
          </cell>
          <cell r="I43" t="str">
            <v>FT</v>
          </cell>
          <cell r="J43">
            <v>4400139</v>
          </cell>
          <cell r="K43" t="str">
            <v>AS2152</v>
          </cell>
          <cell r="L43">
            <v>419479</v>
          </cell>
          <cell r="M43" t="str">
            <v>ddodd004</v>
          </cell>
          <cell r="N43" t="str">
            <v>ATV</v>
          </cell>
          <cell r="O43">
            <v>42618</v>
          </cell>
          <cell r="P43">
            <v>519</v>
          </cell>
          <cell r="Q43" t="str">
            <v>12- 24 Months</v>
          </cell>
          <cell r="R43" t="str">
            <v>ACTIVE</v>
          </cell>
        </row>
        <row r="44">
          <cell r="G44" t="str">
            <v>Jodie Dougal</v>
          </cell>
          <cell r="H44" t="str">
            <v>Natalie Lubienski</v>
          </cell>
          <cell r="I44" t="str">
            <v>PT</v>
          </cell>
          <cell r="J44">
            <v>4400458</v>
          </cell>
          <cell r="K44" t="str">
            <v>AS2162</v>
          </cell>
          <cell r="L44">
            <v>416382</v>
          </cell>
          <cell r="M44" t="str">
            <v>jdoug022</v>
          </cell>
          <cell r="N44" t="str">
            <v>COM</v>
          </cell>
          <cell r="O44">
            <v>42472</v>
          </cell>
          <cell r="P44">
            <v>665</v>
          </cell>
          <cell r="Q44" t="str">
            <v>12- 24 Months</v>
          </cell>
          <cell r="R44" t="str">
            <v>ACTIVE</v>
          </cell>
        </row>
        <row r="45">
          <cell r="G45" t="str">
            <v>Donna Drew</v>
          </cell>
          <cell r="H45" t="str">
            <v>Troy Barnaschone</v>
          </cell>
          <cell r="I45" t="str">
            <v>FT</v>
          </cell>
          <cell r="J45">
            <v>4400855</v>
          </cell>
          <cell r="K45" t="str">
            <v>AS2237</v>
          </cell>
          <cell r="L45">
            <v>995769</v>
          </cell>
          <cell r="M45" t="str">
            <v>ddrew002</v>
          </cell>
          <cell r="N45" t="str">
            <v>3RD</v>
          </cell>
          <cell r="O45">
            <v>42695</v>
          </cell>
          <cell r="P45">
            <v>442</v>
          </cell>
          <cell r="Q45" t="str">
            <v>12- 24 Months</v>
          </cell>
          <cell r="R45" t="str">
            <v>ACTIVE</v>
          </cell>
        </row>
        <row r="46">
          <cell r="G46" t="str">
            <v>Steven Drinkall</v>
          </cell>
          <cell r="H46" t="str">
            <v>Mark Davies</v>
          </cell>
          <cell r="I46" t="str">
            <v>FT</v>
          </cell>
          <cell r="J46">
            <v>4400178</v>
          </cell>
          <cell r="K46" t="str">
            <v>AS2225</v>
          </cell>
          <cell r="L46">
            <v>992685</v>
          </cell>
          <cell r="M46" t="str">
            <v>sdrin001</v>
          </cell>
          <cell r="N46" t="str">
            <v>COM</v>
          </cell>
          <cell r="O46">
            <v>42866</v>
          </cell>
          <cell r="P46">
            <v>271</v>
          </cell>
          <cell r="Q46" t="str">
            <v>6-12 Months</v>
          </cell>
          <cell r="R46" t="str">
            <v>ACTIVE</v>
          </cell>
        </row>
        <row r="47">
          <cell r="G47" t="str">
            <v>Colin Duck</v>
          </cell>
          <cell r="H47" t="str">
            <v>Richard Crellin</v>
          </cell>
          <cell r="I47" t="str">
            <v>FT</v>
          </cell>
          <cell r="J47">
            <v>4400133</v>
          </cell>
          <cell r="K47" t="str">
            <v>AS2050</v>
          </cell>
          <cell r="L47">
            <v>1024173</v>
          </cell>
          <cell r="M47" t="str">
            <v>cduck006</v>
          </cell>
          <cell r="N47" t="str">
            <v>COM</v>
          </cell>
          <cell r="O47">
            <v>42926</v>
          </cell>
          <cell r="P47">
            <v>211</v>
          </cell>
          <cell r="Q47" t="str">
            <v>6-12 Months</v>
          </cell>
          <cell r="R47" t="str">
            <v>ACTIVE</v>
          </cell>
        </row>
        <row r="48">
          <cell r="G48" t="str">
            <v>James Eginton</v>
          </cell>
          <cell r="H48" t="str">
            <v>Andrew Warren</v>
          </cell>
          <cell r="I48" t="str">
            <v>FT</v>
          </cell>
          <cell r="J48">
            <v>4400860</v>
          </cell>
          <cell r="K48" t="str">
            <v>AS2287</v>
          </cell>
          <cell r="L48">
            <v>410816</v>
          </cell>
          <cell r="M48" t="str">
            <v>jegin002</v>
          </cell>
          <cell r="N48" t="str">
            <v>COM</v>
          </cell>
          <cell r="O48">
            <v>42212</v>
          </cell>
          <cell r="P48">
            <v>925</v>
          </cell>
          <cell r="Q48" t="str">
            <v xml:space="preserve">&gt; 24 Months </v>
          </cell>
          <cell r="R48" t="str">
            <v>ACTIVE</v>
          </cell>
        </row>
        <row r="49">
          <cell r="G49" t="str">
            <v>Mark Elliott</v>
          </cell>
          <cell r="H49" t="str">
            <v>Paul Haley</v>
          </cell>
          <cell r="I49" t="str">
            <v>FT</v>
          </cell>
          <cell r="J49">
            <v>4400038</v>
          </cell>
          <cell r="K49" t="str">
            <v>AS2105</v>
          </cell>
          <cell r="L49">
            <v>393586</v>
          </cell>
          <cell r="M49" t="str">
            <v>melli001</v>
          </cell>
          <cell r="N49" t="str">
            <v>TM/C</v>
          </cell>
          <cell r="O49">
            <v>41009</v>
          </cell>
          <cell r="P49">
            <v>2128</v>
          </cell>
          <cell r="Q49" t="str">
            <v xml:space="preserve">&gt; 24 Months </v>
          </cell>
          <cell r="R49" t="str">
            <v>ACTIVE</v>
          </cell>
        </row>
        <row r="50">
          <cell r="G50" t="str">
            <v>Michael Ennals</v>
          </cell>
          <cell r="H50" t="str">
            <v>Rowan Marshall</v>
          </cell>
          <cell r="I50" t="str">
            <v>FT</v>
          </cell>
          <cell r="J50">
            <v>4400071</v>
          </cell>
          <cell r="K50" t="str">
            <v>AS2081</v>
          </cell>
          <cell r="L50">
            <v>394501</v>
          </cell>
          <cell r="M50" t="str">
            <v>menna005</v>
          </cell>
          <cell r="N50" t="str">
            <v>TM/C</v>
          </cell>
          <cell r="O50">
            <v>41120</v>
          </cell>
          <cell r="P50">
            <v>2017</v>
          </cell>
          <cell r="Q50" t="str">
            <v xml:space="preserve">&gt; 24 Months </v>
          </cell>
          <cell r="R50" t="str">
            <v>ACTIVE</v>
          </cell>
        </row>
        <row r="51">
          <cell r="G51" t="str">
            <v>Sophie Evans</v>
          </cell>
          <cell r="H51" t="str">
            <v>Natalie Lubienski</v>
          </cell>
          <cell r="I51" t="str">
            <v>FT</v>
          </cell>
          <cell r="J51">
            <v>4400812</v>
          </cell>
          <cell r="K51" t="str">
            <v>AS2191</v>
          </cell>
          <cell r="L51">
            <v>1004430</v>
          </cell>
          <cell r="M51" t="str">
            <v>sevan045</v>
          </cell>
          <cell r="N51" t="str">
            <v>CSA</v>
          </cell>
          <cell r="O51">
            <v>42765</v>
          </cell>
          <cell r="P51">
            <v>372</v>
          </cell>
          <cell r="Q51" t="str">
            <v>12- 24 Months</v>
          </cell>
          <cell r="R51" t="str">
            <v>ACTIVE</v>
          </cell>
        </row>
        <row r="52">
          <cell r="G52" t="str">
            <v>Amanda Facey</v>
          </cell>
          <cell r="H52" t="str">
            <v>Richard Crellin</v>
          </cell>
          <cell r="I52" t="str">
            <v>FT</v>
          </cell>
          <cell r="J52">
            <v>4400095</v>
          </cell>
          <cell r="K52" t="str">
            <v>AS2117</v>
          </cell>
          <cell r="L52">
            <v>1022483</v>
          </cell>
          <cell r="M52" t="str">
            <v>aface001</v>
          </cell>
          <cell r="N52" t="str">
            <v>COM</v>
          </cell>
          <cell r="O52">
            <v>42912</v>
          </cell>
          <cell r="P52">
            <v>225</v>
          </cell>
          <cell r="Q52" t="str">
            <v>6-12 Months</v>
          </cell>
          <cell r="R52" t="str">
            <v>ACTIVE</v>
          </cell>
        </row>
        <row r="53">
          <cell r="G53" t="str">
            <v>William Fell</v>
          </cell>
          <cell r="H53" t="str">
            <v>Avril Oliver</v>
          </cell>
          <cell r="I53" t="str">
            <v>PT</v>
          </cell>
          <cell r="J53">
            <v>4400381</v>
          </cell>
          <cell r="K53" t="str">
            <v>AS2249</v>
          </cell>
          <cell r="L53">
            <v>1011767</v>
          </cell>
          <cell r="M53" t="str">
            <v>wfell002</v>
          </cell>
          <cell r="N53" t="str">
            <v>CRM</v>
          </cell>
          <cell r="O53">
            <v>42823</v>
          </cell>
          <cell r="P53">
            <v>314</v>
          </cell>
          <cell r="Q53" t="str">
            <v>6-12 Months</v>
          </cell>
          <cell r="R53" t="str">
            <v>ACTIVE</v>
          </cell>
        </row>
        <row r="54">
          <cell r="G54" t="str">
            <v>Mark Ferguson</v>
          </cell>
          <cell r="H54" t="str">
            <v>Mark Davies</v>
          </cell>
          <cell r="I54" t="str">
            <v>FT</v>
          </cell>
          <cell r="J54">
            <v>4400104</v>
          </cell>
          <cell r="K54" t="str">
            <v>AS2049</v>
          </cell>
          <cell r="L54">
            <v>1013392</v>
          </cell>
          <cell r="M54" t="str">
            <v>mferg017</v>
          </cell>
          <cell r="N54" t="str">
            <v>COM</v>
          </cell>
          <cell r="O54">
            <v>42835</v>
          </cell>
          <cell r="P54">
            <v>302</v>
          </cell>
          <cell r="Q54" t="str">
            <v>6-12 Months</v>
          </cell>
          <cell r="R54" t="str">
            <v>ACTIVE</v>
          </cell>
        </row>
        <row r="55">
          <cell r="G55" t="str">
            <v>Phil Fogerty</v>
          </cell>
          <cell r="H55" t="str">
            <v>Troy Barnaschone</v>
          </cell>
          <cell r="I55" t="str">
            <v>FT</v>
          </cell>
          <cell r="J55">
            <v>4400184</v>
          </cell>
          <cell r="K55" t="str">
            <v>AS2288</v>
          </cell>
          <cell r="L55">
            <v>415914</v>
          </cell>
          <cell r="M55" t="str">
            <v>pfoge001</v>
          </cell>
          <cell r="N55" t="str">
            <v>CST</v>
          </cell>
          <cell r="O55">
            <v>42688</v>
          </cell>
          <cell r="P55">
            <v>449</v>
          </cell>
          <cell r="Q55" t="str">
            <v>12- 24 Months</v>
          </cell>
          <cell r="R55" t="str">
            <v>ACTIVE</v>
          </cell>
        </row>
        <row r="56">
          <cell r="G56" t="str">
            <v>Samuel Foster</v>
          </cell>
          <cell r="H56" t="str">
            <v>Mark Davies</v>
          </cell>
          <cell r="I56" t="str">
            <v>FT</v>
          </cell>
          <cell r="J56">
            <v>4400129</v>
          </cell>
          <cell r="K56" t="str">
            <v>AS2068</v>
          </cell>
          <cell r="L56">
            <v>1015144</v>
          </cell>
          <cell r="M56" t="str">
            <v>sfost028</v>
          </cell>
          <cell r="N56" t="str">
            <v>COM</v>
          </cell>
          <cell r="O56">
            <v>42851</v>
          </cell>
          <cell r="P56">
            <v>286</v>
          </cell>
          <cell r="Q56" t="str">
            <v>6-12 Months</v>
          </cell>
          <cell r="R56" t="str">
            <v>ACTIVE</v>
          </cell>
        </row>
        <row r="57">
          <cell r="G57" t="str">
            <v>Duncan France</v>
          </cell>
          <cell r="H57" t="str">
            <v>Michael Ennals</v>
          </cell>
          <cell r="I57" t="str">
            <v>FT</v>
          </cell>
          <cell r="J57">
            <v>4400189</v>
          </cell>
          <cell r="K57" t="str">
            <v>AS2085</v>
          </cell>
          <cell r="L57">
            <v>1019764</v>
          </cell>
          <cell r="M57" t="str">
            <v xml:space="preserve"> dfran066</v>
          </cell>
          <cell r="N57" t="str">
            <v>ATV</v>
          </cell>
          <cell r="O57">
            <v>42891</v>
          </cell>
          <cell r="P57">
            <v>246</v>
          </cell>
          <cell r="Q57" t="str">
            <v>6-12 Months</v>
          </cell>
          <cell r="R57" t="str">
            <v>ACTIVE</v>
          </cell>
        </row>
        <row r="58">
          <cell r="G58" t="str">
            <v>Gordon Franks</v>
          </cell>
          <cell r="H58" t="str">
            <v>Andrew Warren</v>
          </cell>
          <cell r="I58" t="str">
            <v>FT</v>
          </cell>
          <cell r="J58">
            <v>4400024</v>
          </cell>
          <cell r="K58" t="str">
            <v>AS2153</v>
          </cell>
          <cell r="L58">
            <v>416412</v>
          </cell>
          <cell r="M58" t="str">
            <v>gfran019</v>
          </cell>
          <cell r="N58" t="str">
            <v>CST</v>
          </cell>
          <cell r="O58">
            <v>42472</v>
          </cell>
          <cell r="P58">
            <v>665</v>
          </cell>
          <cell r="Q58" t="str">
            <v>12- 24 Months</v>
          </cell>
          <cell r="R58" t="str">
            <v>ACTIVE</v>
          </cell>
        </row>
        <row r="59">
          <cell r="G59" t="str">
            <v>Helen Gaston</v>
          </cell>
          <cell r="H59" t="str">
            <v>David Hitching</v>
          </cell>
          <cell r="I59" t="str">
            <v>FT</v>
          </cell>
          <cell r="J59">
            <v>4400810</v>
          </cell>
          <cell r="K59" t="str">
            <v>AS2233</v>
          </cell>
          <cell r="L59">
            <v>1013253</v>
          </cell>
          <cell r="M59" t="str">
            <v>hgast001</v>
          </cell>
          <cell r="N59" t="str">
            <v>LE</v>
          </cell>
          <cell r="O59">
            <v>42835</v>
          </cell>
          <cell r="P59">
            <v>302</v>
          </cell>
          <cell r="Q59" t="str">
            <v>6-12 Months</v>
          </cell>
          <cell r="R59" t="str">
            <v>ACTIVE</v>
          </cell>
        </row>
        <row r="60">
          <cell r="G60" t="str">
            <v>Steve Gibbard</v>
          </cell>
          <cell r="H60" t="str">
            <v>Avril Oliver</v>
          </cell>
          <cell r="I60" t="str">
            <v>FT</v>
          </cell>
          <cell r="J60">
            <v>4400020</v>
          </cell>
          <cell r="K60" t="str">
            <v>AS2088</v>
          </cell>
          <cell r="L60">
            <v>394755</v>
          </cell>
          <cell r="M60" t="str">
            <v>sgibb001</v>
          </cell>
          <cell r="N60" t="str">
            <v>CRM</v>
          </cell>
          <cell r="O60">
            <v>41141</v>
          </cell>
          <cell r="P60">
            <v>1996</v>
          </cell>
          <cell r="Q60" t="str">
            <v xml:space="preserve">&gt; 24 Months </v>
          </cell>
          <cell r="R60" t="str">
            <v>ACTIVE</v>
          </cell>
        </row>
        <row r="61">
          <cell r="G61" t="str">
            <v>Richard Goodchild</v>
          </cell>
          <cell r="H61" t="str">
            <v>John Russell</v>
          </cell>
          <cell r="I61" t="str">
            <v>FT</v>
          </cell>
          <cell r="J61">
            <v>0</v>
          </cell>
          <cell r="K61" t="str">
            <v>AS2122</v>
          </cell>
          <cell r="L61">
            <v>0</v>
          </cell>
          <cell r="M61" t="str">
            <v>rgood005</v>
          </cell>
          <cell r="N61" t="str">
            <v>Ops Mgr</v>
          </cell>
          <cell r="O61">
            <v>0</v>
          </cell>
          <cell r="P61">
            <v>43137</v>
          </cell>
          <cell r="Q61" t="str">
            <v xml:space="preserve">&gt; 24 Months </v>
          </cell>
          <cell r="R61" t="str">
            <v>ACTIVE</v>
          </cell>
        </row>
        <row r="62">
          <cell r="G62" t="str">
            <v>Jack Gooding</v>
          </cell>
          <cell r="H62" t="str">
            <v>Mark Elliott</v>
          </cell>
          <cell r="I62" t="str">
            <v>FT</v>
          </cell>
          <cell r="J62">
            <v>4400143</v>
          </cell>
          <cell r="K62" t="str">
            <v>AS2046</v>
          </cell>
          <cell r="L62">
            <v>994760</v>
          </cell>
          <cell r="M62" t="str">
            <v>jgood035</v>
          </cell>
          <cell r="N62" t="str">
            <v>SW</v>
          </cell>
          <cell r="O62">
            <v>42689</v>
          </cell>
          <cell r="P62">
            <v>448</v>
          </cell>
          <cell r="Q62" t="str">
            <v>12- 24 Months</v>
          </cell>
          <cell r="R62" t="str">
            <v>ACTIVE</v>
          </cell>
        </row>
        <row r="63">
          <cell r="G63" t="str">
            <v>Matthew Goodwin</v>
          </cell>
          <cell r="H63" t="str">
            <v>Natalie Lubienski</v>
          </cell>
          <cell r="I63" t="str">
            <v>FT</v>
          </cell>
          <cell r="J63">
            <v>4400003</v>
          </cell>
          <cell r="K63" t="str">
            <v>AS2054</v>
          </cell>
          <cell r="L63">
            <v>402574</v>
          </cell>
          <cell r="M63" t="str">
            <v>mgood013</v>
          </cell>
          <cell r="N63" t="str">
            <v>CSA</v>
          </cell>
          <cell r="O63">
            <v>41792</v>
          </cell>
          <cell r="P63">
            <v>1345</v>
          </cell>
          <cell r="Q63" t="str">
            <v xml:space="preserve">&gt; 24 Months </v>
          </cell>
          <cell r="R63" t="str">
            <v>ACTIVE</v>
          </cell>
        </row>
        <row r="64">
          <cell r="G64" t="str">
            <v>Henry Gorick</v>
          </cell>
          <cell r="H64" t="str">
            <v>Avril Oliver</v>
          </cell>
          <cell r="I64" t="str">
            <v>FT</v>
          </cell>
          <cell r="J64">
            <v>4400009</v>
          </cell>
          <cell r="K64" t="str">
            <v>AS2205</v>
          </cell>
          <cell r="L64">
            <v>411393</v>
          </cell>
          <cell r="M64" t="str">
            <v>hgori001</v>
          </cell>
          <cell r="N64" t="str">
            <v>CRM</v>
          </cell>
          <cell r="O64">
            <v>42240</v>
          </cell>
          <cell r="P64">
            <v>897</v>
          </cell>
          <cell r="Q64" t="str">
            <v xml:space="preserve">&gt; 24 Months </v>
          </cell>
          <cell r="R64" t="str">
            <v>ACTIVE</v>
          </cell>
        </row>
        <row r="65">
          <cell r="G65" t="str">
            <v>Charlotte Guy</v>
          </cell>
          <cell r="H65" t="str">
            <v>Troy Barnaschone</v>
          </cell>
          <cell r="I65" t="str">
            <v>FT</v>
          </cell>
          <cell r="J65">
            <v>4400803</v>
          </cell>
          <cell r="K65" t="str">
            <v>AS2272</v>
          </cell>
          <cell r="L65">
            <v>413327</v>
          </cell>
          <cell r="M65" t="str">
            <v>cguy002</v>
          </cell>
          <cell r="N65" t="str">
            <v>3RD</v>
          </cell>
          <cell r="O65">
            <v>42324</v>
          </cell>
          <cell r="P65">
            <v>813</v>
          </cell>
          <cell r="Q65" t="str">
            <v xml:space="preserve">&gt; 24 Months </v>
          </cell>
          <cell r="R65" t="str">
            <v>ACTIVE</v>
          </cell>
        </row>
        <row r="66">
          <cell r="G66" t="str">
            <v>Paul Haley</v>
          </cell>
          <cell r="H66" t="str">
            <v>Nathian Carnall</v>
          </cell>
          <cell r="I66" t="str">
            <v>FT</v>
          </cell>
          <cell r="J66">
            <v>0</v>
          </cell>
          <cell r="K66" t="str">
            <v>AS2099</v>
          </cell>
          <cell r="L66">
            <v>0</v>
          </cell>
          <cell r="M66" t="str">
            <v>phayl001</v>
          </cell>
          <cell r="N66" t="str">
            <v>Ops Mgr</v>
          </cell>
          <cell r="O66">
            <v>0</v>
          </cell>
          <cell r="P66">
            <v>43137</v>
          </cell>
          <cell r="Q66" t="str">
            <v xml:space="preserve">&gt; 24 Months </v>
          </cell>
          <cell r="R66" t="str">
            <v>ACTIVE</v>
          </cell>
        </row>
        <row r="67">
          <cell r="G67" t="str">
            <v>James Hamilton</v>
          </cell>
          <cell r="H67" t="str">
            <v>Chris Adams</v>
          </cell>
          <cell r="I67" t="str">
            <v>FT</v>
          </cell>
          <cell r="J67">
            <v>4400866</v>
          </cell>
          <cell r="K67" t="str">
            <v>AS2263</v>
          </cell>
          <cell r="L67">
            <v>417797</v>
          </cell>
          <cell r="M67" t="str">
            <v>jbail032</v>
          </cell>
          <cell r="N67" t="str">
            <v>LE</v>
          </cell>
          <cell r="O67">
            <v>42653</v>
          </cell>
          <cell r="P67">
            <v>484</v>
          </cell>
          <cell r="Q67" t="str">
            <v>12- 24 Months</v>
          </cell>
          <cell r="R67" t="str">
            <v>ACTIVE</v>
          </cell>
        </row>
        <row r="68">
          <cell r="G68" t="str">
            <v>Kim Hanchet</v>
          </cell>
          <cell r="H68" t="str">
            <v>Richard Goodchild</v>
          </cell>
          <cell r="I68" t="str">
            <v>FT</v>
          </cell>
          <cell r="J68">
            <v>0</v>
          </cell>
          <cell r="K68" t="str">
            <v>AS2154</v>
          </cell>
          <cell r="L68">
            <v>440875</v>
          </cell>
          <cell r="M68" t="str">
            <v>khanc003</v>
          </cell>
          <cell r="N68" t="str">
            <v>Communications Mgr</v>
          </cell>
          <cell r="O68">
            <v>0</v>
          </cell>
          <cell r="P68">
            <v>43137</v>
          </cell>
          <cell r="Q68" t="str">
            <v xml:space="preserve">&gt; 24 Months </v>
          </cell>
          <cell r="R68" t="str">
            <v>ACTIVE</v>
          </cell>
        </row>
        <row r="69">
          <cell r="G69" t="str">
            <v>Emily Hedges</v>
          </cell>
          <cell r="H69" t="str">
            <v>Natalie Lubienski</v>
          </cell>
          <cell r="I69" t="str">
            <v>FT</v>
          </cell>
          <cell r="J69">
            <v>4400046</v>
          </cell>
          <cell r="K69" t="str">
            <v>AS2241</v>
          </cell>
          <cell r="L69">
            <v>401160</v>
          </cell>
          <cell r="M69" t="str">
            <v>ehedg001</v>
          </cell>
          <cell r="N69" t="str">
            <v>CSA</v>
          </cell>
          <cell r="O69">
            <v>41666</v>
          </cell>
          <cell r="P69">
            <v>1471</v>
          </cell>
          <cell r="Q69" t="str">
            <v xml:space="preserve">&gt; 24 Months </v>
          </cell>
          <cell r="R69" t="str">
            <v>ACTIVE</v>
          </cell>
        </row>
        <row r="70">
          <cell r="G70" t="str">
            <v>Ben Hedworth</v>
          </cell>
          <cell r="H70" t="str">
            <v>Avril Oliver</v>
          </cell>
          <cell r="I70" t="str">
            <v>FT</v>
          </cell>
          <cell r="J70">
            <v>4400028</v>
          </cell>
          <cell r="K70" t="str">
            <v>AS2141</v>
          </cell>
          <cell r="L70">
            <v>1010970</v>
          </cell>
          <cell r="M70" t="str">
            <v>bhedw001</v>
          </cell>
          <cell r="N70" t="str">
            <v>CRM</v>
          </cell>
          <cell r="O70">
            <v>42815</v>
          </cell>
          <cell r="P70">
            <v>322</v>
          </cell>
          <cell r="Q70" t="str">
            <v>6-12 Months</v>
          </cell>
          <cell r="R70" t="str">
            <v>ACTIVE</v>
          </cell>
        </row>
        <row r="71">
          <cell r="G71" t="str">
            <v>Daniel Hennessey</v>
          </cell>
          <cell r="H71" t="str">
            <v>Mark Elliott</v>
          </cell>
          <cell r="I71" t="str">
            <v>FT</v>
          </cell>
          <cell r="J71">
            <v>4400506</v>
          </cell>
          <cell r="K71" t="str">
            <v>AS2209</v>
          </cell>
          <cell r="L71">
            <v>397313</v>
          </cell>
          <cell r="M71" t="str">
            <v>dhenn005</v>
          </cell>
          <cell r="N71" t="str">
            <v>SW</v>
          </cell>
          <cell r="O71">
            <v>41617</v>
          </cell>
          <cell r="P71">
            <v>1520</v>
          </cell>
          <cell r="Q71" t="str">
            <v xml:space="preserve">&gt; 24 Months </v>
          </cell>
          <cell r="R71" t="str">
            <v>ACTIVE</v>
          </cell>
        </row>
        <row r="72">
          <cell r="G72" t="str">
            <v>David Hitching</v>
          </cell>
          <cell r="H72" t="str">
            <v>Avril Oliver</v>
          </cell>
          <cell r="I72" t="str">
            <v>FT</v>
          </cell>
          <cell r="J72">
            <v>4400011</v>
          </cell>
          <cell r="K72" t="str">
            <v>AS2037</v>
          </cell>
          <cell r="L72">
            <v>408719</v>
          </cell>
          <cell r="M72" t="str">
            <v>dhitc001</v>
          </cell>
          <cell r="N72" t="str">
            <v>CRM</v>
          </cell>
          <cell r="O72">
            <v>42079</v>
          </cell>
          <cell r="P72">
            <v>1058</v>
          </cell>
          <cell r="Q72" t="str">
            <v xml:space="preserve">&gt; 24 Months </v>
          </cell>
          <cell r="R72" t="str">
            <v>ACTIVE</v>
          </cell>
        </row>
        <row r="73">
          <cell r="G73" t="str">
            <v>Benjamin Holdman</v>
          </cell>
          <cell r="H73" t="str">
            <v>Frazer Hutchinson</v>
          </cell>
          <cell r="I73" t="str">
            <v>PT</v>
          </cell>
          <cell r="J73">
            <v>4400803</v>
          </cell>
          <cell r="K73" t="str">
            <v>AS2078</v>
          </cell>
          <cell r="L73">
            <v>1031273</v>
          </cell>
          <cell r="M73" t="str">
            <v>bhold008</v>
          </cell>
          <cell r="N73" t="str">
            <v>ATV</v>
          </cell>
          <cell r="O73">
            <v>42977</v>
          </cell>
          <cell r="P73">
            <v>160</v>
          </cell>
          <cell r="Q73" t="str">
            <v>4-6 Months</v>
          </cell>
          <cell r="R73" t="str">
            <v>ACTIVE</v>
          </cell>
        </row>
        <row r="74">
          <cell r="G74" t="str">
            <v>Tarquin Holmes</v>
          </cell>
          <cell r="H74" t="str">
            <v>Mark Davies</v>
          </cell>
          <cell r="I74" t="str">
            <v>FT</v>
          </cell>
          <cell r="J74">
            <v>4400096</v>
          </cell>
          <cell r="K74" t="str">
            <v>AS2103</v>
          </cell>
          <cell r="L74">
            <v>417564</v>
          </cell>
          <cell r="M74" t="str">
            <v>tholm020</v>
          </cell>
          <cell r="N74" t="str">
            <v>COM</v>
          </cell>
          <cell r="O74">
            <v>42863</v>
          </cell>
          <cell r="P74">
            <v>274</v>
          </cell>
          <cell r="Q74" t="str">
            <v>6-12 Months</v>
          </cell>
          <cell r="R74" t="str">
            <v>ACTIVE</v>
          </cell>
        </row>
        <row r="75">
          <cell r="G75" t="str">
            <v>Ashley Hooper</v>
          </cell>
          <cell r="H75" t="str">
            <v>Antonio Follano</v>
          </cell>
          <cell r="I75" t="str">
            <v>PT</v>
          </cell>
          <cell r="J75">
            <v>4400192</v>
          </cell>
          <cell r="K75" t="str">
            <v>AS2106</v>
          </cell>
          <cell r="L75">
            <v>1019857</v>
          </cell>
          <cell r="M75" t="str">
            <v>ahoop004</v>
          </cell>
          <cell r="N75" t="str">
            <v>ATV</v>
          </cell>
          <cell r="O75">
            <v>42891</v>
          </cell>
          <cell r="P75">
            <v>246</v>
          </cell>
          <cell r="Q75" t="str">
            <v>6-12 Months</v>
          </cell>
          <cell r="R75" t="str">
            <v>ACTIVE</v>
          </cell>
        </row>
        <row r="76">
          <cell r="G76" t="str">
            <v>David Hosker</v>
          </cell>
          <cell r="H76" t="str">
            <v>Avril Oliver</v>
          </cell>
          <cell r="I76" t="str">
            <v>FT</v>
          </cell>
          <cell r="J76">
            <v>4400029</v>
          </cell>
          <cell r="K76" t="str">
            <v>AS2093</v>
          </cell>
          <cell r="L76">
            <v>983710</v>
          </cell>
          <cell r="M76" t="str">
            <v>dhosk003</v>
          </cell>
          <cell r="N76" t="str">
            <v>CRM</v>
          </cell>
          <cell r="O76">
            <v>42639</v>
          </cell>
          <cell r="P76">
            <v>498</v>
          </cell>
          <cell r="Q76" t="str">
            <v>12- 24 Months</v>
          </cell>
          <cell r="R76" t="str">
            <v>ACTIVE</v>
          </cell>
        </row>
        <row r="77">
          <cell r="G77" t="str">
            <v>Johnathan Howard</v>
          </cell>
          <cell r="H77" t="str">
            <v>David Hitching</v>
          </cell>
          <cell r="I77" t="str">
            <v>FT</v>
          </cell>
          <cell r="J77">
            <v>4400191</v>
          </cell>
          <cell r="K77" t="str">
            <v>AS2256</v>
          </cell>
          <cell r="L77">
            <v>409004</v>
          </cell>
          <cell r="M77" t="str">
            <v>jhowa017</v>
          </cell>
          <cell r="N77" t="str">
            <v>LE</v>
          </cell>
          <cell r="O77">
            <v>42156</v>
          </cell>
          <cell r="P77">
            <v>981</v>
          </cell>
          <cell r="Q77" t="str">
            <v xml:space="preserve">&gt; 24 Months </v>
          </cell>
          <cell r="R77" t="str">
            <v>ACTIVE</v>
          </cell>
        </row>
        <row r="78">
          <cell r="G78" t="str">
            <v>David Hulse</v>
          </cell>
          <cell r="H78" t="str">
            <v>Mark Elliott</v>
          </cell>
          <cell r="I78" t="str">
            <v>FT</v>
          </cell>
          <cell r="J78">
            <v>4400508</v>
          </cell>
          <cell r="K78" t="str">
            <v>AS2226</v>
          </cell>
          <cell r="L78">
            <v>397983</v>
          </cell>
          <cell r="M78" t="str">
            <v>dhuls004</v>
          </cell>
          <cell r="N78" t="str">
            <v>SW</v>
          </cell>
          <cell r="O78">
            <v>41414</v>
          </cell>
          <cell r="P78">
            <v>1723</v>
          </cell>
          <cell r="Q78" t="str">
            <v xml:space="preserve">&gt; 24 Months </v>
          </cell>
          <cell r="R78" t="str">
            <v>ACTIVE</v>
          </cell>
        </row>
        <row r="79">
          <cell r="G79" t="str">
            <v>Lydia Humphreys</v>
          </cell>
          <cell r="H79" t="str">
            <v>Troy Barnaschone</v>
          </cell>
          <cell r="I79" t="str">
            <v>FT</v>
          </cell>
          <cell r="J79">
            <v>4400035</v>
          </cell>
          <cell r="K79" t="str">
            <v>AS2265</v>
          </cell>
          <cell r="L79">
            <v>417098</v>
          </cell>
          <cell r="M79" t="str">
            <v>lhump005</v>
          </cell>
          <cell r="N79" t="str">
            <v>CST</v>
          </cell>
          <cell r="O79">
            <v>42653</v>
          </cell>
          <cell r="P79">
            <v>484</v>
          </cell>
          <cell r="Q79" t="str">
            <v>12- 24 Months</v>
          </cell>
          <cell r="R79" t="str">
            <v>ACTIVE</v>
          </cell>
        </row>
        <row r="80">
          <cell r="G80" t="str">
            <v>Lucy Hunt</v>
          </cell>
          <cell r="H80" t="str">
            <v>Antonio Follano</v>
          </cell>
          <cell r="I80" t="str">
            <v>PT</v>
          </cell>
          <cell r="J80">
            <v>4400190</v>
          </cell>
          <cell r="K80" t="str">
            <v>AS2097</v>
          </cell>
          <cell r="L80">
            <v>1019870</v>
          </cell>
          <cell r="M80" t="str">
            <v>lhunt024</v>
          </cell>
          <cell r="N80" t="str">
            <v>ATV</v>
          </cell>
          <cell r="O80">
            <v>42891</v>
          </cell>
          <cell r="P80">
            <v>246</v>
          </cell>
          <cell r="Q80" t="str">
            <v>6-12 Months</v>
          </cell>
          <cell r="R80" t="str">
            <v>ACTIVE</v>
          </cell>
        </row>
        <row r="81">
          <cell r="G81" t="str">
            <v>Kathleen Hunter</v>
          </cell>
          <cell r="H81" t="str">
            <v>Frazer Hutchinson</v>
          </cell>
          <cell r="I81" t="str">
            <v>PT</v>
          </cell>
          <cell r="J81">
            <v>4400164</v>
          </cell>
          <cell r="K81" t="str">
            <v>AS2277</v>
          </cell>
          <cell r="L81">
            <v>412074</v>
          </cell>
          <cell r="M81" t="str">
            <v>khunt021</v>
          </cell>
          <cell r="N81" t="str">
            <v>ATV</v>
          </cell>
          <cell r="O81">
            <v>42866</v>
          </cell>
          <cell r="P81">
            <v>271</v>
          </cell>
          <cell r="Q81" t="str">
            <v>6-12 Months</v>
          </cell>
          <cell r="R81" t="str">
            <v>ACTIVE</v>
          </cell>
        </row>
        <row r="82">
          <cell r="G82" t="str">
            <v>Frazer Hutchinson</v>
          </cell>
          <cell r="H82" t="str">
            <v>Rowan Marshall</v>
          </cell>
          <cell r="I82" t="str">
            <v>FT</v>
          </cell>
          <cell r="J82">
            <v>0</v>
          </cell>
          <cell r="K82" t="str">
            <v>AS2286</v>
          </cell>
          <cell r="L82">
            <v>417092</v>
          </cell>
          <cell r="M82" t="str">
            <v>fhutc003</v>
          </cell>
          <cell r="N82" t="str">
            <v>TM/C</v>
          </cell>
          <cell r="O82">
            <v>42506</v>
          </cell>
          <cell r="P82">
            <v>631</v>
          </cell>
          <cell r="Q82" t="str">
            <v>12- 24 Months</v>
          </cell>
          <cell r="R82" t="str">
            <v>ACTIVE</v>
          </cell>
        </row>
        <row r="83">
          <cell r="G83" t="str">
            <v>Richard Ireland</v>
          </cell>
          <cell r="H83" t="str">
            <v>Chris Adams</v>
          </cell>
          <cell r="I83" t="str">
            <v>FT</v>
          </cell>
          <cell r="J83">
            <v>4400832</v>
          </cell>
          <cell r="K83" t="str">
            <v>AS2062</v>
          </cell>
          <cell r="L83">
            <v>1025785</v>
          </cell>
          <cell r="M83" t="str">
            <v>rirel004</v>
          </cell>
          <cell r="N83" t="str">
            <v>LE</v>
          </cell>
          <cell r="O83">
            <v>42940</v>
          </cell>
          <cell r="P83">
            <v>197</v>
          </cell>
          <cell r="Q83" t="str">
            <v>6-12 Months</v>
          </cell>
          <cell r="R83" t="str">
            <v>ACTIVE</v>
          </cell>
        </row>
        <row r="84">
          <cell r="G84" t="str">
            <v>Darren James</v>
          </cell>
          <cell r="H84" t="str">
            <v>Troy Barnaschone</v>
          </cell>
          <cell r="I84" t="str">
            <v>FT</v>
          </cell>
          <cell r="J84">
            <v>4400110</v>
          </cell>
          <cell r="K84" t="str">
            <v>AS2044</v>
          </cell>
          <cell r="L84">
            <v>998571</v>
          </cell>
          <cell r="M84" t="str">
            <v>djame026</v>
          </cell>
          <cell r="N84" t="str">
            <v>CST</v>
          </cell>
          <cell r="O84">
            <v>42372</v>
          </cell>
          <cell r="P84">
            <v>765</v>
          </cell>
          <cell r="Q84" t="str">
            <v xml:space="preserve">&gt; 24 Months </v>
          </cell>
          <cell r="R84" t="str">
            <v>ACTIVE</v>
          </cell>
        </row>
        <row r="85">
          <cell r="G85" t="str">
            <v>Margaret James</v>
          </cell>
          <cell r="H85" t="str">
            <v>Troy Barnaschone</v>
          </cell>
          <cell r="I85" t="str">
            <v>FT</v>
          </cell>
          <cell r="J85">
            <v>4400023</v>
          </cell>
          <cell r="K85" t="str">
            <v>AS2145</v>
          </cell>
          <cell r="L85">
            <v>387827</v>
          </cell>
          <cell r="M85" t="str">
            <v>mjame010</v>
          </cell>
          <cell r="N85" t="str">
            <v>3RD</v>
          </cell>
          <cell r="O85">
            <v>40511</v>
          </cell>
          <cell r="P85">
            <v>2626</v>
          </cell>
          <cell r="Q85" t="str">
            <v xml:space="preserve">&gt; 24 Months </v>
          </cell>
          <cell r="R85" t="str">
            <v>ACTIVE</v>
          </cell>
        </row>
        <row r="86">
          <cell r="G86" t="str">
            <v>Nicholas Jessup</v>
          </cell>
          <cell r="H86" t="str">
            <v>Mark Davies</v>
          </cell>
          <cell r="I86" t="str">
            <v>FT</v>
          </cell>
          <cell r="J86">
            <v>4400082</v>
          </cell>
          <cell r="K86" t="str">
            <v>AS2192</v>
          </cell>
          <cell r="L86">
            <v>1022338</v>
          </cell>
          <cell r="M86" t="str">
            <v>njess003</v>
          </cell>
          <cell r="N86" t="str">
            <v>COM</v>
          </cell>
          <cell r="O86">
            <v>42912</v>
          </cell>
          <cell r="P86">
            <v>225</v>
          </cell>
          <cell r="Q86" t="str">
            <v>6-12 Months</v>
          </cell>
          <cell r="R86" t="str">
            <v>ACTIVE</v>
          </cell>
        </row>
        <row r="87">
          <cell r="G87" t="str">
            <v>Rhonda Kearns</v>
          </cell>
          <cell r="H87" t="str">
            <v>Natalie Lubienski</v>
          </cell>
          <cell r="I87" t="str">
            <v>FT</v>
          </cell>
          <cell r="J87">
            <v>4400034</v>
          </cell>
          <cell r="K87" t="str">
            <v>AS2164</v>
          </cell>
          <cell r="L87">
            <v>386860</v>
          </cell>
          <cell r="M87" t="str">
            <v>rkear001</v>
          </cell>
          <cell r="N87" t="str">
            <v>CSA</v>
          </cell>
          <cell r="O87">
            <v>40455</v>
          </cell>
          <cell r="P87">
            <v>2682</v>
          </cell>
          <cell r="Q87" t="str">
            <v xml:space="preserve">&gt; 24 Months </v>
          </cell>
          <cell r="R87" t="str">
            <v>ACTIVE</v>
          </cell>
        </row>
        <row r="88">
          <cell r="G88" t="str">
            <v>Gabriele Keleraite</v>
          </cell>
          <cell r="H88" t="str">
            <v>Richard Crellin</v>
          </cell>
          <cell r="I88" t="str">
            <v>FT</v>
          </cell>
          <cell r="J88">
            <v>4400137</v>
          </cell>
          <cell r="K88" t="str">
            <v>AS2079</v>
          </cell>
          <cell r="L88">
            <v>1031245</v>
          </cell>
          <cell r="M88" t="str">
            <v>gkele002</v>
          </cell>
          <cell r="N88" t="str">
            <v>COM</v>
          </cell>
          <cell r="O88">
            <v>42977</v>
          </cell>
          <cell r="P88">
            <v>160</v>
          </cell>
          <cell r="Q88" t="str">
            <v>4-6 Months</v>
          </cell>
          <cell r="R88" t="str">
            <v>ACTIVE</v>
          </cell>
        </row>
        <row r="89">
          <cell r="G89" t="str">
            <v>William Kettell</v>
          </cell>
          <cell r="H89" t="str">
            <v>Natalie Lubienski</v>
          </cell>
          <cell r="I89" t="str">
            <v>FT</v>
          </cell>
          <cell r="J89">
            <v>4400045</v>
          </cell>
          <cell r="K89" t="str">
            <v>AS2052</v>
          </cell>
          <cell r="L89">
            <v>408724</v>
          </cell>
          <cell r="M89" t="str">
            <v>wkett001</v>
          </cell>
          <cell r="N89" t="str">
            <v>CSA</v>
          </cell>
          <cell r="O89">
            <v>42079</v>
          </cell>
          <cell r="P89">
            <v>1058</v>
          </cell>
          <cell r="Q89" t="str">
            <v xml:space="preserve">&gt; 24 Months </v>
          </cell>
          <cell r="R89" t="str">
            <v>ACTIVE</v>
          </cell>
        </row>
        <row r="90">
          <cell r="G90" t="str">
            <v>Katie Kingdom</v>
          </cell>
          <cell r="H90" t="str">
            <v>Frazer Hutchinson</v>
          </cell>
          <cell r="I90" t="str">
            <v>PT</v>
          </cell>
          <cell r="J90">
            <v>4400459</v>
          </cell>
          <cell r="K90" t="str">
            <v>AS2231</v>
          </cell>
          <cell r="L90">
            <v>1026903</v>
          </cell>
          <cell r="M90" t="str">
            <v>kkind006</v>
          </cell>
          <cell r="N90" t="str">
            <v>ATV</v>
          </cell>
          <cell r="O90">
            <v>42948</v>
          </cell>
          <cell r="P90">
            <v>189</v>
          </cell>
          <cell r="Q90" t="str">
            <v>6-12 Months</v>
          </cell>
          <cell r="R90" t="str">
            <v>ACTIVE</v>
          </cell>
        </row>
        <row r="91">
          <cell r="G91" t="str">
            <v>Jordan Kirby</v>
          </cell>
          <cell r="H91" t="str">
            <v>Michael Ennals</v>
          </cell>
          <cell r="I91" t="str">
            <v>FT</v>
          </cell>
          <cell r="J91">
            <v>4400457</v>
          </cell>
          <cell r="K91" t="str">
            <v>AS2260</v>
          </cell>
          <cell r="L91">
            <v>1007957</v>
          </cell>
          <cell r="M91" t="str">
            <v>jkirb002</v>
          </cell>
          <cell r="N91" t="str">
            <v>ATV</v>
          </cell>
          <cell r="O91">
            <v>42793</v>
          </cell>
          <cell r="P91">
            <v>344</v>
          </cell>
          <cell r="Q91" t="str">
            <v>6-12 Months</v>
          </cell>
          <cell r="R91" t="str">
            <v>ACTIVE</v>
          </cell>
        </row>
        <row r="92">
          <cell r="G92" t="str">
            <v>Karolina Kmita</v>
          </cell>
          <cell r="H92" t="str">
            <v>Chris Adams</v>
          </cell>
          <cell r="I92" t="str">
            <v>FT</v>
          </cell>
          <cell r="J92">
            <v>4400811</v>
          </cell>
          <cell r="K92" t="str">
            <v>AS2092</v>
          </cell>
          <cell r="L92">
            <v>991485</v>
          </cell>
          <cell r="M92" t="str">
            <v>kkmit001</v>
          </cell>
          <cell r="N92" t="str">
            <v>LE</v>
          </cell>
          <cell r="O92">
            <v>42765</v>
          </cell>
          <cell r="P92">
            <v>372</v>
          </cell>
          <cell r="Q92" t="str">
            <v>12- 24 Months</v>
          </cell>
          <cell r="R92" t="str">
            <v>ACTIVE</v>
          </cell>
        </row>
        <row r="93">
          <cell r="G93" t="str">
            <v>Jonathan Land</v>
          </cell>
          <cell r="H93" t="str">
            <v>Troy Barnaschone</v>
          </cell>
          <cell r="I93" t="str">
            <v>FT</v>
          </cell>
          <cell r="J93">
            <v>4400107</v>
          </cell>
          <cell r="K93" t="str">
            <v>AS2032</v>
          </cell>
          <cell r="L93">
            <v>418862</v>
          </cell>
          <cell r="M93" t="str">
            <v>jland031</v>
          </cell>
          <cell r="N93" t="str">
            <v>CST</v>
          </cell>
          <cell r="O93">
            <v>42590</v>
          </cell>
          <cell r="P93">
            <v>547</v>
          </cell>
          <cell r="Q93" t="str">
            <v>12- 24 Months</v>
          </cell>
          <cell r="R93" t="str">
            <v>ACTIVE</v>
          </cell>
        </row>
        <row r="94">
          <cell r="G94" t="str">
            <v>Daniel Lane</v>
          </cell>
          <cell r="H94" t="str">
            <v>Joda Pow</v>
          </cell>
          <cell r="I94" t="str">
            <v>FT</v>
          </cell>
          <cell r="J94">
            <v>4400813</v>
          </cell>
          <cell r="K94" t="str">
            <v>AS2077</v>
          </cell>
          <cell r="L94">
            <v>1013441</v>
          </cell>
          <cell r="M94" t="str">
            <v>dlane009</v>
          </cell>
          <cell r="N94" t="str">
            <v>CST</v>
          </cell>
          <cell r="O94">
            <v>42835</v>
          </cell>
          <cell r="P94">
            <v>302</v>
          </cell>
          <cell r="Q94" t="str">
            <v>6-12 Months</v>
          </cell>
          <cell r="R94" t="str">
            <v>ACTIVE</v>
          </cell>
        </row>
        <row r="95">
          <cell r="G95" t="str">
            <v>Grant Leat</v>
          </cell>
          <cell r="H95" t="str">
            <v>David Hitching</v>
          </cell>
          <cell r="I95" t="str">
            <v>FT</v>
          </cell>
          <cell r="J95">
            <v>4400842</v>
          </cell>
          <cell r="K95" t="str">
            <v>AS2255</v>
          </cell>
          <cell r="L95">
            <v>992073</v>
          </cell>
          <cell r="M95" t="str">
            <v>gleat001</v>
          </cell>
          <cell r="N95" t="str">
            <v>LE</v>
          </cell>
          <cell r="O95">
            <v>42677</v>
          </cell>
          <cell r="P95">
            <v>460</v>
          </cell>
          <cell r="Q95" t="str">
            <v>12- 24 Months</v>
          </cell>
          <cell r="R95" t="str">
            <v>ACTIVE</v>
          </cell>
        </row>
        <row r="96">
          <cell r="G96" t="str">
            <v>William Legg</v>
          </cell>
          <cell r="H96" t="str">
            <v>Frazer Hutchinson</v>
          </cell>
          <cell r="I96" t="str">
            <v>FT</v>
          </cell>
          <cell r="J96">
            <v>4400155</v>
          </cell>
          <cell r="K96" t="str">
            <v>AS2140</v>
          </cell>
          <cell r="L96">
            <v>1031269</v>
          </cell>
          <cell r="M96" t="str">
            <v>wlegg001</v>
          </cell>
          <cell r="N96" t="str">
            <v>ATV</v>
          </cell>
          <cell r="O96">
            <v>42977</v>
          </cell>
          <cell r="P96">
            <v>160</v>
          </cell>
          <cell r="Q96" t="str">
            <v>4-6 Months</v>
          </cell>
          <cell r="R96" t="str">
            <v>ACTIVE</v>
          </cell>
        </row>
        <row r="97">
          <cell r="G97" t="str">
            <v>Leah Leydon</v>
          </cell>
          <cell r="H97" t="str">
            <v>James McCaughan</v>
          </cell>
          <cell r="I97" t="str">
            <v>FT</v>
          </cell>
          <cell r="J97">
            <v>4400017</v>
          </cell>
          <cell r="K97" t="str">
            <v>AS2084</v>
          </cell>
          <cell r="L97">
            <v>403500</v>
          </cell>
          <cell r="M97" t="str">
            <v>lleyd001</v>
          </cell>
          <cell r="N97" t="str">
            <v>Continuous Improvement Mgr</v>
          </cell>
          <cell r="O97">
            <v>41855</v>
          </cell>
          <cell r="P97">
            <v>1282</v>
          </cell>
          <cell r="Q97" t="str">
            <v xml:space="preserve">&gt; 24 Months </v>
          </cell>
          <cell r="R97" t="str">
            <v>ACTIVE</v>
          </cell>
        </row>
        <row r="98">
          <cell r="G98" t="str">
            <v>Charlie Lister</v>
          </cell>
          <cell r="H98" t="str">
            <v>Antonio Follano</v>
          </cell>
          <cell r="I98" t="str">
            <v>FT</v>
          </cell>
          <cell r="J98">
            <v>4400828</v>
          </cell>
          <cell r="K98" t="str">
            <v>AS2274</v>
          </cell>
          <cell r="L98">
            <v>413329</v>
          </cell>
          <cell r="M98" t="str">
            <v>clist005</v>
          </cell>
          <cell r="N98" t="str">
            <v>ATV</v>
          </cell>
          <cell r="O98">
            <v>42324</v>
          </cell>
          <cell r="P98">
            <v>813</v>
          </cell>
          <cell r="Q98" t="str">
            <v xml:space="preserve">&gt; 24 Months </v>
          </cell>
          <cell r="R98" t="str">
            <v>ACTIVE</v>
          </cell>
        </row>
        <row r="99">
          <cell r="G99" t="str">
            <v>Michelle Lloyd</v>
          </cell>
          <cell r="H99" t="str">
            <v>Natalie Lubienski</v>
          </cell>
          <cell r="I99" t="str">
            <v>FT</v>
          </cell>
          <cell r="J99">
            <v>4400032</v>
          </cell>
          <cell r="K99" t="str">
            <v>AS2200</v>
          </cell>
          <cell r="L99">
            <v>418266</v>
          </cell>
          <cell r="M99" t="str">
            <v>mlloy004</v>
          </cell>
          <cell r="N99" t="str">
            <v>CSA</v>
          </cell>
          <cell r="O99">
            <v>42562</v>
          </cell>
          <cell r="P99">
            <v>575</v>
          </cell>
          <cell r="Q99" t="str">
            <v>12- 24 Months</v>
          </cell>
          <cell r="R99" t="str">
            <v>ACTIVE</v>
          </cell>
        </row>
        <row r="100">
          <cell r="G100" t="str">
            <v>Natalie Lubienski</v>
          </cell>
          <cell r="H100" t="str">
            <v>Paul Haley</v>
          </cell>
          <cell r="I100" t="str">
            <v>FT</v>
          </cell>
          <cell r="J100">
            <v>4400763</v>
          </cell>
          <cell r="K100" t="str">
            <v>AS2215</v>
          </cell>
          <cell r="L100">
            <v>398372</v>
          </cell>
          <cell r="M100" t="str">
            <v>nlubi001</v>
          </cell>
          <cell r="N100" t="str">
            <v>TM/C</v>
          </cell>
          <cell r="O100">
            <v>41449</v>
          </cell>
          <cell r="P100">
            <v>1688</v>
          </cell>
          <cell r="Q100" t="str">
            <v xml:space="preserve">&gt; 24 Months </v>
          </cell>
          <cell r="R100" t="str">
            <v>ACTIVE</v>
          </cell>
        </row>
        <row r="101">
          <cell r="G101" t="str">
            <v>Lorna Ludgate</v>
          </cell>
          <cell r="H101" t="str">
            <v>Natalie Lubienski</v>
          </cell>
          <cell r="I101" t="str">
            <v>PT</v>
          </cell>
          <cell r="J101">
            <v>4400013</v>
          </cell>
          <cell r="K101" t="str">
            <v>AS2203</v>
          </cell>
          <cell r="L101">
            <v>391614</v>
          </cell>
          <cell r="M101" t="str">
            <v>lludg001</v>
          </cell>
          <cell r="N101" t="str">
            <v>CSA</v>
          </cell>
          <cell r="O101">
            <v>40805</v>
          </cell>
          <cell r="P101">
            <v>2332</v>
          </cell>
          <cell r="Q101" t="str">
            <v xml:space="preserve">&gt; 24 Months </v>
          </cell>
          <cell r="R101" t="str">
            <v>ACTIVE</v>
          </cell>
        </row>
        <row r="102">
          <cell r="G102" t="str">
            <v>Elaine Ludgrove</v>
          </cell>
          <cell r="H102" t="str">
            <v>Richard Crellin</v>
          </cell>
          <cell r="I102" t="str">
            <v>PT</v>
          </cell>
          <cell r="J102">
            <v>4400134</v>
          </cell>
          <cell r="K102" t="str">
            <v>AS2116</v>
          </cell>
          <cell r="L102">
            <v>1029891</v>
          </cell>
          <cell r="M102" t="str">
            <v>eludg001</v>
          </cell>
          <cell r="N102" t="str">
            <v>COM</v>
          </cell>
          <cell r="O102">
            <v>42968</v>
          </cell>
          <cell r="P102">
            <v>169</v>
          </cell>
          <cell r="Q102" t="str">
            <v>4-6 Months</v>
          </cell>
          <cell r="R102" t="str">
            <v>ACTIVE</v>
          </cell>
        </row>
        <row r="103">
          <cell r="G103" t="str">
            <v>Matthew MacKay</v>
          </cell>
          <cell r="H103" t="str">
            <v>David Hitching</v>
          </cell>
          <cell r="I103" t="str">
            <v>FT</v>
          </cell>
          <cell r="J103">
            <v>4400850</v>
          </cell>
          <cell r="K103" t="str">
            <v>AS2039</v>
          </cell>
          <cell r="L103">
            <v>982296</v>
          </cell>
          <cell r="M103" t="str">
            <v>mmack020</v>
          </cell>
          <cell r="N103" t="str">
            <v>LE</v>
          </cell>
          <cell r="O103">
            <v>42632</v>
          </cell>
          <cell r="P103">
            <v>505</v>
          </cell>
          <cell r="Q103" t="str">
            <v>12- 24 Months</v>
          </cell>
          <cell r="R103" t="str">
            <v>ACTIVE</v>
          </cell>
        </row>
        <row r="104">
          <cell r="G104" t="str">
            <v>Rafferty Mackay</v>
          </cell>
          <cell r="H104" t="str">
            <v>Troy Barnaschone</v>
          </cell>
          <cell r="I104" t="str">
            <v>FT</v>
          </cell>
          <cell r="J104">
            <v>4400012</v>
          </cell>
          <cell r="K104" t="str">
            <v>AS2276</v>
          </cell>
          <cell r="L104">
            <v>19397</v>
          </cell>
          <cell r="M104" t="str">
            <v>rmack004</v>
          </cell>
          <cell r="N104" t="str">
            <v>3RD</v>
          </cell>
          <cell r="O104">
            <v>39322</v>
          </cell>
          <cell r="P104">
            <v>3815</v>
          </cell>
          <cell r="Q104" t="str">
            <v xml:space="preserve">&gt; 24 Months </v>
          </cell>
          <cell r="R104" t="str">
            <v>ACTIVE</v>
          </cell>
        </row>
        <row r="105">
          <cell r="G105" t="str">
            <v>Jacques Manaton</v>
          </cell>
          <cell r="H105" t="str">
            <v>Michael Ennals</v>
          </cell>
          <cell r="I105" t="str">
            <v>FT</v>
          </cell>
          <cell r="J105">
            <v>4400166</v>
          </cell>
          <cell r="K105" t="str">
            <v>AS2262</v>
          </cell>
          <cell r="L105">
            <v>1027757</v>
          </cell>
          <cell r="M105" t="str">
            <v>jmana081</v>
          </cell>
          <cell r="N105" t="str">
            <v>ATV</v>
          </cell>
          <cell r="O105">
            <v>42955</v>
          </cell>
          <cell r="P105">
            <v>182</v>
          </cell>
          <cell r="Q105" t="str">
            <v>6-12 Months</v>
          </cell>
          <cell r="R105" t="str">
            <v>ACTIVE</v>
          </cell>
        </row>
        <row r="106">
          <cell r="G106" t="str">
            <v>Ashley Marraffa</v>
          </cell>
          <cell r="H106" t="str">
            <v>Michael Ennals</v>
          </cell>
          <cell r="I106" t="str">
            <v>FT</v>
          </cell>
          <cell r="J106">
            <v>4400040</v>
          </cell>
          <cell r="K106" t="str">
            <v>AS2038</v>
          </cell>
          <cell r="L106">
            <v>399260</v>
          </cell>
          <cell r="M106" t="str">
            <v>amarr011</v>
          </cell>
          <cell r="N106" t="str">
            <v>ATV</v>
          </cell>
          <cell r="O106">
            <v>41526</v>
          </cell>
          <cell r="P106">
            <v>1611</v>
          </cell>
          <cell r="Q106" t="str">
            <v xml:space="preserve">&gt; 24 Months </v>
          </cell>
          <cell r="R106" t="str">
            <v>ACTIVE</v>
          </cell>
        </row>
        <row r="107">
          <cell r="G107" t="str">
            <v>David Marsh</v>
          </cell>
          <cell r="H107" t="str">
            <v>Chris Adams</v>
          </cell>
          <cell r="I107" t="str">
            <v>FT</v>
          </cell>
          <cell r="J107">
            <v>4400108</v>
          </cell>
          <cell r="K107" t="str">
            <v>AS2126</v>
          </cell>
          <cell r="L107">
            <v>410409</v>
          </cell>
          <cell r="M107" t="str">
            <v>dmars018</v>
          </cell>
          <cell r="N107" t="str">
            <v>LE</v>
          </cell>
          <cell r="O107">
            <v>42191</v>
          </cell>
          <cell r="P107">
            <v>946</v>
          </cell>
          <cell r="Q107" t="str">
            <v xml:space="preserve">&gt; 24 Months </v>
          </cell>
          <cell r="R107" t="str">
            <v>ACTIVE</v>
          </cell>
        </row>
        <row r="108">
          <cell r="G108" t="str">
            <v>Rowan Marshall</v>
          </cell>
          <cell r="H108" t="str">
            <v>Paul Haley</v>
          </cell>
          <cell r="I108" t="str">
            <v>FT</v>
          </cell>
          <cell r="J108">
            <v>0</v>
          </cell>
          <cell r="K108" t="str">
            <v>AS2248</v>
          </cell>
          <cell r="L108">
            <v>0</v>
          </cell>
          <cell r="M108" t="str">
            <v>rmars003</v>
          </cell>
          <cell r="N108" t="str">
            <v>Snr TM/C</v>
          </cell>
          <cell r="O108">
            <v>0</v>
          </cell>
          <cell r="P108">
            <v>43137</v>
          </cell>
          <cell r="Q108" t="str">
            <v xml:space="preserve">&gt; 24 Months </v>
          </cell>
          <cell r="R108" t="str">
            <v>ACTIVE</v>
          </cell>
        </row>
        <row r="109">
          <cell r="G109" t="str">
            <v>Andrew Martin</v>
          </cell>
          <cell r="H109" t="str">
            <v>Avril Oliver</v>
          </cell>
          <cell r="I109" t="str">
            <v>FT</v>
          </cell>
          <cell r="J109">
            <v>4400064</v>
          </cell>
          <cell r="K109" t="str">
            <v>AS2073</v>
          </cell>
          <cell r="L109">
            <v>409084</v>
          </cell>
          <cell r="M109" t="str">
            <v>amart208</v>
          </cell>
          <cell r="N109" t="str">
            <v>CRM</v>
          </cell>
          <cell r="O109">
            <v>42107</v>
          </cell>
          <cell r="P109">
            <v>1030</v>
          </cell>
          <cell r="Q109" t="str">
            <v xml:space="preserve">&gt; 24 Months </v>
          </cell>
          <cell r="R109" t="str">
            <v>ACTIVE</v>
          </cell>
        </row>
        <row r="110">
          <cell r="G110" t="str">
            <v>Sadie Matthews</v>
          </cell>
          <cell r="H110" t="str">
            <v>Michael Ennals</v>
          </cell>
          <cell r="I110" t="str">
            <v>PT</v>
          </cell>
          <cell r="J110">
            <v>4400160</v>
          </cell>
          <cell r="K110" t="str">
            <v>AS2120</v>
          </cell>
          <cell r="L110">
            <v>393797</v>
          </cell>
          <cell r="M110" t="str">
            <v>smatt005</v>
          </cell>
          <cell r="N110" t="str">
            <v>ATV</v>
          </cell>
          <cell r="O110">
            <v>41037</v>
          </cell>
          <cell r="P110">
            <v>2100</v>
          </cell>
          <cell r="Q110" t="str">
            <v xml:space="preserve">&gt; 24 Months </v>
          </cell>
          <cell r="R110" t="str">
            <v>ACTIVE</v>
          </cell>
        </row>
        <row r="111">
          <cell r="G111" t="str">
            <v>Alison Matthys</v>
          </cell>
          <cell r="H111" t="str">
            <v>Troy Barnaschone</v>
          </cell>
          <cell r="I111" t="str">
            <v>FT</v>
          </cell>
          <cell r="J111">
            <v>4400151</v>
          </cell>
          <cell r="K111" t="str">
            <v>AS2113</v>
          </cell>
          <cell r="L111">
            <v>403168</v>
          </cell>
          <cell r="M111" t="str">
            <v>amatt014</v>
          </cell>
          <cell r="N111" t="str">
            <v>3RD</v>
          </cell>
          <cell r="O111">
            <v>41827</v>
          </cell>
          <cell r="P111">
            <v>1310</v>
          </cell>
          <cell r="Q111" t="str">
            <v xml:space="preserve">&gt; 24 Months </v>
          </cell>
          <cell r="R111" t="str">
            <v>ACTIVE</v>
          </cell>
        </row>
        <row r="112">
          <cell r="G112" t="str">
            <v>Stephen McAnespie</v>
          </cell>
          <cell r="H112" t="str">
            <v>David Hitching</v>
          </cell>
          <cell r="I112" t="str">
            <v>PT</v>
          </cell>
          <cell r="J112">
            <v>4400849</v>
          </cell>
          <cell r="K112" t="str">
            <v>AS2095</v>
          </cell>
          <cell r="L112">
            <v>1019866</v>
          </cell>
          <cell r="M112" t="str">
            <v>smcan001</v>
          </cell>
          <cell r="N112" t="str">
            <v>LE</v>
          </cell>
          <cell r="O112">
            <v>42891</v>
          </cell>
          <cell r="P112">
            <v>246</v>
          </cell>
          <cell r="Q112" t="str">
            <v>6-12 Months</v>
          </cell>
          <cell r="R112" t="str">
            <v>ACTIVE</v>
          </cell>
        </row>
        <row r="113">
          <cell r="G113" t="str">
            <v>James McCaughan</v>
          </cell>
          <cell r="H113" t="str">
            <v>Richard Goodchild</v>
          </cell>
          <cell r="I113" t="str">
            <v>FT</v>
          </cell>
          <cell r="J113">
            <v>0</v>
          </cell>
          <cell r="K113" t="str">
            <v>AS2296</v>
          </cell>
          <cell r="L113">
            <v>1016356</v>
          </cell>
          <cell r="M113" t="str">
            <v>bmcca012</v>
          </cell>
          <cell r="N113" t="str">
            <v>Data &amp; Insight Mgr</v>
          </cell>
          <cell r="O113">
            <v>0</v>
          </cell>
          <cell r="P113">
            <v>43137</v>
          </cell>
          <cell r="Q113" t="str">
            <v xml:space="preserve">&gt; 24 Months </v>
          </cell>
          <cell r="R113" t="str">
            <v>ACTIVE</v>
          </cell>
        </row>
        <row r="114">
          <cell r="G114" t="str">
            <v>Tui McClelland</v>
          </cell>
          <cell r="H114" t="str">
            <v>Richard Goodchild</v>
          </cell>
          <cell r="I114" t="str">
            <v>PT</v>
          </cell>
          <cell r="J114">
            <v>4400026</v>
          </cell>
          <cell r="K114" t="str">
            <v>AS2214</v>
          </cell>
          <cell r="L114">
            <v>0</v>
          </cell>
          <cell r="M114" t="str">
            <v>tmccl001</v>
          </cell>
          <cell r="N114" t="str">
            <v>Customer Experience Mgr</v>
          </cell>
          <cell r="O114">
            <v>0</v>
          </cell>
          <cell r="P114">
            <v>43137</v>
          </cell>
          <cell r="Q114" t="str">
            <v xml:space="preserve">&gt; 24 Months </v>
          </cell>
          <cell r="R114" t="str">
            <v>ACTIVE</v>
          </cell>
        </row>
        <row r="115">
          <cell r="G115" t="str">
            <v>Shaun Molyneux</v>
          </cell>
          <cell r="H115" t="str">
            <v>Richard Crellin</v>
          </cell>
          <cell r="I115" t="str">
            <v>FT</v>
          </cell>
          <cell r="J115">
            <v>4400898</v>
          </cell>
          <cell r="K115" t="str">
            <v>AS2202</v>
          </cell>
          <cell r="L115">
            <v>1031826</v>
          </cell>
          <cell r="M115" t="str">
            <v>smoly001</v>
          </cell>
          <cell r="N115" t="str">
            <v>COM</v>
          </cell>
          <cell r="O115">
            <v>42982</v>
          </cell>
          <cell r="P115">
            <v>155</v>
          </cell>
          <cell r="Q115" t="str">
            <v>4-6 Months</v>
          </cell>
          <cell r="R115" t="str">
            <v>ACTIVE</v>
          </cell>
        </row>
        <row r="116">
          <cell r="G116" t="str">
            <v>Richard Montague-Jones</v>
          </cell>
          <cell r="H116" t="str">
            <v>Richard Crellin</v>
          </cell>
          <cell r="I116" t="str">
            <v>PT</v>
          </cell>
          <cell r="J116">
            <v>4400869</v>
          </cell>
          <cell r="K116" t="str">
            <v>AS2019</v>
          </cell>
          <cell r="L116">
            <v>394016</v>
          </cell>
          <cell r="M116" t="str">
            <v>rjone021</v>
          </cell>
          <cell r="N116" t="str">
            <v>COM</v>
          </cell>
          <cell r="O116">
            <v>41071</v>
          </cell>
          <cell r="P116">
            <v>2066</v>
          </cell>
          <cell r="Q116" t="str">
            <v xml:space="preserve">&gt; 24 Months </v>
          </cell>
          <cell r="R116" t="str">
            <v>ACTIVE</v>
          </cell>
        </row>
        <row r="117">
          <cell r="G117" t="str">
            <v>Edward Mullarkey</v>
          </cell>
          <cell r="H117" t="str">
            <v>Mark Elliott</v>
          </cell>
          <cell r="I117" t="str">
            <v>PT</v>
          </cell>
          <cell r="J117">
            <v>4400101</v>
          </cell>
          <cell r="K117" t="str">
            <v>AS2239</v>
          </cell>
          <cell r="L117">
            <v>992712</v>
          </cell>
          <cell r="M117" t="str">
            <v>emull009</v>
          </cell>
          <cell r="N117" t="str">
            <v>COM</v>
          </cell>
          <cell r="O117">
            <v>42866</v>
          </cell>
          <cell r="P117">
            <v>271</v>
          </cell>
          <cell r="Q117" t="str">
            <v>6-12 Months</v>
          </cell>
          <cell r="R117" t="str">
            <v>ACTIVE</v>
          </cell>
        </row>
        <row r="118">
          <cell r="G118" t="str">
            <v>Leslie Naden</v>
          </cell>
          <cell r="H118" t="str">
            <v>Chris Adams</v>
          </cell>
          <cell r="I118" t="str">
            <v>FT</v>
          </cell>
          <cell r="J118">
            <v>4400856</v>
          </cell>
          <cell r="K118" t="str">
            <v>AS2245</v>
          </cell>
          <cell r="L118">
            <v>397991</v>
          </cell>
          <cell r="M118" t="str">
            <v>lnade002</v>
          </cell>
          <cell r="N118" t="str">
            <v>LE</v>
          </cell>
          <cell r="O118">
            <v>41414</v>
          </cell>
          <cell r="P118">
            <v>1723</v>
          </cell>
          <cell r="Q118" t="str">
            <v xml:space="preserve">&gt; 24 Months </v>
          </cell>
          <cell r="R118" t="str">
            <v>ACTIVE</v>
          </cell>
        </row>
        <row r="119">
          <cell r="G119" t="str">
            <v>Colette Neave</v>
          </cell>
          <cell r="H119" t="str">
            <v>Mark Davies</v>
          </cell>
          <cell r="I119" t="str">
            <v>FT</v>
          </cell>
          <cell r="J119">
            <v>4400092</v>
          </cell>
          <cell r="K119" t="str">
            <v>AS2284</v>
          </cell>
          <cell r="L119">
            <v>415361</v>
          </cell>
          <cell r="M119" t="str">
            <v>cneav001</v>
          </cell>
          <cell r="N119" t="str">
            <v>ATV</v>
          </cell>
          <cell r="O119">
            <v>42688</v>
          </cell>
          <cell r="P119">
            <v>449</v>
          </cell>
          <cell r="Q119" t="str">
            <v>12- 24 Months</v>
          </cell>
          <cell r="R119" t="str">
            <v>ACTIVE</v>
          </cell>
        </row>
        <row r="120">
          <cell r="G120" t="str">
            <v>Mark Nesbitt</v>
          </cell>
          <cell r="H120" t="str">
            <v>David Hitching</v>
          </cell>
          <cell r="I120" t="str">
            <v>FT</v>
          </cell>
          <cell r="J120">
            <v>4400456</v>
          </cell>
          <cell r="K120" t="str">
            <v>AS2204</v>
          </cell>
          <cell r="L120">
            <v>385969</v>
          </cell>
          <cell r="M120" t="str">
            <v>mnesb001</v>
          </cell>
          <cell r="N120" t="str">
            <v>LE</v>
          </cell>
          <cell r="O120">
            <v>40371</v>
          </cell>
          <cell r="P120">
            <v>2766</v>
          </cell>
          <cell r="Q120" t="str">
            <v xml:space="preserve">&gt; 24 Months </v>
          </cell>
          <cell r="R120" t="str">
            <v>ACTIVE</v>
          </cell>
        </row>
        <row r="121">
          <cell r="G121" t="str">
            <v>Mark Nyika</v>
          </cell>
          <cell r="H121" t="str">
            <v>Michael Ennals</v>
          </cell>
          <cell r="I121" t="str">
            <v>FT</v>
          </cell>
          <cell r="J121">
            <v>4400098</v>
          </cell>
          <cell r="K121" t="str">
            <v>AS2188</v>
          </cell>
          <cell r="L121">
            <v>999587</v>
          </cell>
          <cell r="M121" t="str">
            <v>mnyik002</v>
          </cell>
          <cell r="N121" t="str">
            <v>ATV</v>
          </cell>
          <cell r="O121">
            <v>42815</v>
          </cell>
          <cell r="P121">
            <v>322</v>
          </cell>
          <cell r="Q121" t="str">
            <v>6-12 Months</v>
          </cell>
          <cell r="R121" t="str">
            <v>ACTIVE</v>
          </cell>
        </row>
        <row r="122">
          <cell r="G122" t="str">
            <v>Jared O’Donnell</v>
          </cell>
          <cell r="H122" t="str">
            <v>Troy Barnaschone</v>
          </cell>
          <cell r="I122" t="str">
            <v>FT</v>
          </cell>
          <cell r="J122">
            <v>4400522</v>
          </cell>
          <cell r="K122" t="str">
            <v>AS2210</v>
          </cell>
          <cell r="L122">
            <v>980596</v>
          </cell>
          <cell r="M122" t="str">
            <v>jodon006</v>
          </cell>
          <cell r="N122" t="str">
            <v>3RD</v>
          </cell>
          <cell r="O122">
            <v>42625</v>
          </cell>
          <cell r="P122">
            <v>512</v>
          </cell>
          <cell r="Q122" t="str">
            <v>12- 24 Months</v>
          </cell>
          <cell r="R122" t="str">
            <v>ACTIVE</v>
          </cell>
        </row>
        <row r="123">
          <cell r="G123" t="str">
            <v>Jack O’Hara</v>
          </cell>
          <cell r="H123" t="str">
            <v>Richard Crellin</v>
          </cell>
          <cell r="I123" t="str">
            <v>PT</v>
          </cell>
          <cell r="J123">
            <v>4400805</v>
          </cell>
          <cell r="K123" t="str">
            <v>AS2235</v>
          </cell>
          <cell r="L123">
            <v>980595</v>
          </cell>
          <cell r="M123" t="str">
            <v>johar002</v>
          </cell>
          <cell r="N123" t="str">
            <v>COM</v>
          </cell>
          <cell r="O123">
            <v>42625</v>
          </cell>
          <cell r="P123">
            <v>512</v>
          </cell>
          <cell r="Q123" t="str">
            <v>12- 24 Months</v>
          </cell>
          <cell r="R123" t="str">
            <v>ACTIVE</v>
          </cell>
        </row>
        <row r="124">
          <cell r="G124" t="str">
            <v>Avril Oliver</v>
          </cell>
          <cell r="H124" t="str">
            <v>Paul Haley</v>
          </cell>
          <cell r="I124" t="str">
            <v>FT</v>
          </cell>
          <cell r="J124">
            <v>4400782</v>
          </cell>
          <cell r="K124" t="str">
            <v>AS2254</v>
          </cell>
          <cell r="L124">
            <v>0</v>
          </cell>
          <cell r="M124" t="str">
            <v>aoliv022</v>
          </cell>
          <cell r="N124" t="str">
            <v>TM/C</v>
          </cell>
          <cell r="O124">
            <v>40728</v>
          </cell>
          <cell r="P124">
            <v>2409</v>
          </cell>
          <cell r="Q124" t="str">
            <v xml:space="preserve">&gt; 24 Months </v>
          </cell>
          <cell r="R124" t="str">
            <v>ACTIVE</v>
          </cell>
        </row>
        <row r="125">
          <cell r="G125" t="str">
            <v>Helen OlohamBramley</v>
          </cell>
          <cell r="H125" t="str">
            <v>Richard Crellin</v>
          </cell>
          <cell r="I125" t="str">
            <v>FT</v>
          </cell>
          <cell r="J125">
            <v>4400089</v>
          </cell>
          <cell r="K125" t="str">
            <v>AS2061</v>
          </cell>
          <cell r="L125">
            <v>1013269</v>
          </cell>
          <cell r="M125" t="str">
            <v>holoh001</v>
          </cell>
          <cell r="N125" t="str">
            <v>COM</v>
          </cell>
          <cell r="O125">
            <v>42835</v>
          </cell>
          <cell r="P125">
            <v>302</v>
          </cell>
          <cell r="Q125" t="str">
            <v>6-12 Months</v>
          </cell>
          <cell r="R125" t="str">
            <v>ACTIVE</v>
          </cell>
        </row>
        <row r="126">
          <cell r="G126" t="str">
            <v>David Palmer</v>
          </cell>
          <cell r="H126" t="str">
            <v>Antonio Follano</v>
          </cell>
          <cell r="I126" t="str">
            <v>FT</v>
          </cell>
          <cell r="J126">
            <v>4400183</v>
          </cell>
          <cell r="K126" t="str">
            <v>AS2014</v>
          </cell>
          <cell r="L126">
            <v>1019793</v>
          </cell>
          <cell r="M126" t="str">
            <v>dpalm035</v>
          </cell>
          <cell r="N126" t="str">
            <v>ATV</v>
          </cell>
          <cell r="O126">
            <v>42891</v>
          </cell>
          <cell r="P126">
            <v>246</v>
          </cell>
          <cell r="Q126" t="str">
            <v>6-12 Months</v>
          </cell>
          <cell r="R126" t="str">
            <v>ACTIVE</v>
          </cell>
        </row>
        <row r="127">
          <cell r="G127" t="str">
            <v>David Parker</v>
          </cell>
          <cell r="H127" t="str">
            <v>David Hitching</v>
          </cell>
          <cell r="I127" t="str">
            <v>FT</v>
          </cell>
          <cell r="J127">
            <v>4400820</v>
          </cell>
          <cell r="K127" t="str">
            <v>AS2158</v>
          </cell>
          <cell r="L127">
            <v>1013444</v>
          </cell>
          <cell r="M127" t="str">
            <v>dpark036</v>
          </cell>
          <cell r="N127" t="str">
            <v>LE</v>
          </cell>
          <cell r="O127">
            <v>42835</v>
          </cell>
          <cell r="P127">
            <v>302</v>
          </cell>
          <cell r="Q127" t="str">
            <v>6-12 Months</v>
          </cell>
          <cell r="R127" t="str">
            <v>ACTIVE</v>
          </cell>
        </row>
        <row r="128">
          <cell r="G128" t="str">
            <v>David Parkhouse</v>
          </cell>
          <cell r="H128" t="str">
            <v>Chris Adams</v>
          </cell>
          <cell r="I128" t="str">
            <v>FT</v>
          </cell>
          <cell r="J128">
            <v>4400106</v>
          </cell>
          <cell r="K128" t="str">
            <v>AS2065</v>
          </cell>
          <cell r="L128">
            <v>981485</v>
          </cell>
          <cell r="M128" t="str">
            <v>dpark033</v>
          </cell>
          <cell r="N128" t="str">
            <v>LE</v>
          </cell>
          <cell r="O128">
            <v>42632</v>
          </cell>
          <cell r="P128">
            <v>505</v>
          </cell>
          <cell r="Q128" t="str">
            <v>12- 24 Months</v>
          </cell>
          <cell r="R128" t="str">
            <v>ACTIVE</v>
          </cell>
        </row>
        <row r="129">
          <cell r="G129" t="str">
            <v>Aaron Partridge</v>
          </cell>
          <cell r="H129" t="str">
            <v>Troy Barnaschone</v>
          </cell>
          <cell r="I129" t="str">
            <v>FT</v>
          </cell>
          <cell r="J129">
            <v>4400176</v>
          </cell>
          <cell r="K129" t="str">
            <v>AS2206</v>
          </cell>
          <cell r="L129">
            <v>383515</v>
          </cell>
          <cell r="M129" t="str">
            <v>apart001</v>
          </cell>
          <cell r="N129" t="str">
            <v>CST</v>
          </cell>
          <cell r="O129">
            <v>41617</v>
          </cell>
          <cell r="P129">
            <v>1520</v>
          </cell>
          <cell r="Q129" t="str">
            <v xml:space="preserve">&gt; 24 Months </v>
          </cell>
          <cell r="R129" t="str">
            <v>ACTIVE</v>
          </cell>
        </row>
        <row r="130">
          <cell r="G130" t="str">
            <v>James Pattison</v>
          </cell>
          <cell r="H130" t="str">
            <v>Mark Davies</v>
          </cell>
          <cell r="I130" t="str">
            <v>FT</v>
          </cell>
          <cell r="J130">
            <v>4400136</v>
          </cell>
          <cell r="K130" t="str">
            <v>AS2271</v>
          </cell>
          <cell r="L130">
            <v>1011771</v>
          </cell>
          <cell r="M130" t="str">
            <v>jpatt037</v>
          </cell>
          <cell r="N130" t="str">
            <v>COM</v>
          </cell>
          <cell r="O130">
            <v>42823</v>
          </cell>
          <cell r="P130">
            <v>314</v>
          </cell>
          <cell r="Q130" t="str">
            <v>6-12 Months</v>
          </cell>
          <cell r="R130" t="str">
            <v>ACTIVE</v>
          </cell>
        </row>
        <row r="131">
          <cell r="G131" t="str">
            <v>Candace Penter</v>
          </cell>
          <cell r="H131" t="str">
            <v>Michael Ennals</v>
          </cell>
          <cell r="I131" t="str">
            <v>FT</v>
          </cell>
          <cell r="J131">
            <v>4400180</v>
          </cell>
          <cell r="K131" t="str">
            <v>AS2259</v>
          </cell>
          <cell r="L131">
            <v>1007940</v>
          </cell>
          <cell r="M131" t="str">
            <v>cpent003</v>
          </cell>
          <cell r="N131" t="str">
            <v>ATV</v>
          </cell>
          <cell r="O131">
            <v>42793</v>
          </cell>
          <cell r="P131">
            <v>344</v>
          </cell>
          <cell r="Q131" t="str">
            <v>6-12 Months</v>
          </cell>
          <cell r="R131" t="str">
            <v>ACTIVE</v>
          </cell>
        </row>
        <row r="132">
          <cell r="G132" t="str">
            <v>Elaine Plumpton</v>
          </cell>
          <cell r="H132" t="str">
            <v>Richard Crellin</v>
          </cell>
          <cell r="I132" t="str">
            <v>FT</v>
          </cell>
          <cell r="J132">
            <v>4400084</v>
          </cell>
          <cell r="K132" t="str">
            <v>AS2083</v>
          </cell>
          <cell r="L132">
            <v>1029896</v>
          </cell>
          <cell r="M132" t="str">
            <v>eplum002</v>
          </cell>
          <cell r="N132" t="str">
            <v>COM</v>
          </cell>
          <cell r="O132">
            <v>42968</v>
          </cell>
          <cell r="P132">
            <v>169</v>
          </cell>
          <cell r="Q132" t="str">
            <v>4-6 Months</v>
          </cell>
          <cell r="R132" t="str">
            <v>ACTIVE</v>
          </cell>
        </row>
        <row r="133">
          <cell r="G133" t="str">
            <v>Joda Pow</v>
          </cell>
          <cell r="H133" t="str">
            <v>Rowan Marshall</v>
          </cell>
          <cell r="I133" t="str">
            <v>FT</v>
          </cell>
          <cell r="J133">
            <v>4400004</v>
          </cell>
          <cell r="K133" t="str">
            <v>AS2170</v>
          </cell>
          <cell r="L133">
            <v>403306</v>
          </cell>
          <cell r="M133" t="str">
            <v>jpow001</v>
          </cell>
          <cell r="N133" t="str">
            <v>TM/C</v>
          </cell>
          <cell r="O133">
            <v>41837</v>
          </cell>
          <cell r="P133">
            <v>1300</v>
          </cell>
          <cell r="Q133" t="str">
            <v xml:space="preserve">&gt; 24 Months </v>
          </cell>
          <cell r="R133" t="str">
            <v>ACTIVE</v>
          </cell>
        </row>
        <row r="134">
          <cell r="G134" t="str">
            <v>Alan Reidy</v>
          </cell>
          <cell r="H134" t="str">
            <v>Natalie Lubienski</v>
          </cell>
          <cell r="I134" t="str">
            <v>FT</v>
          </cell>
          <cell r="J134">
            <v>4400051</v>
          </cell>
          <cell r="K134" t="str">
            <v>AS2033</v>
          </cell>
          <cell r="L134">
            <v>402563</v>
          </cell>
          <cell r="M134" t="str">
            <v>areid007</v>
          </cell>
          <cell r="N134" t="str">
            <v>CSA</v>
          </cell>
          <cell r="O134">
            <v>41792</v>
          </cell>
          <cell r="P134">
            <v>1345</v>
          </cell>
          <cell r="Q134" t="str">
            <v xml:space="preserve">&gt; 24 Months </v>
          </cell>
          <cell r="R134" t="str">
            <v>ACTIVE</v>
          </cell>
        </row>
        <row r="135">
          <cell r="G135" t="str">
            <v>Benjamin Relf</v>
          </cell>
          <cell r="H135" t="str">
            <v>Andrew Warren</v>
          </cell>
          <cell r="I135" t="str">
            <v>FT</v>
          </cell>
          <cell r="J135">
            <v>4400053</v>
          </cell>
          <cell r="K135" t="str">
            <v>AS2224</v>
          </cell>
          <cell r="L135">
            <v>404171</v>
          </cell>
          <cell r="M135" t="str">
            <v>brelf001</v>
          </cell>
          <cell r="N135" t="str">
            <v>LE</v>
          </cell>
          <cell r="O135">
            <v>41890</v>
          </cell>
          <cell r="P135">
            <v>1247</v>
          </cell>
          <cell r="Q135" t="str">
            <v xml:space="preserve">&gt; 24 Months </v>
          </cell>
          <cell r="R135" t="str">
            <v>ACTIVE</v>
          </cell>
        </row>
        <row r="136">
          <cell r="G136" t="str">
            <v>Leon Rigby</v>
          </cell>
          <cell r="H136" t="str">
            <v>Mark Davies</v>
          </cell>
          <cell r="I136" t="str">
            <v>FT</v>
          </cell>
          <cell r="J136">
            <v>4400093</v>
          </cell>
          <cell r="K136" t="str">
            <v>AS2010</v>
          </cell>
          <cell r="L136">
            <v>1031971</v>
          </cell>
          <cell r="M136" t="str">
            <v>lrigb001</v>
          </cell>
          <cell r="N136" t="str">
            <v>COM</v>
          </cell>
          <cell r="O136">
            <v>42982</v>
          </cell>
          <cell r="P136">
            <v>155</v>
          </cell>
          <cell r="Q136" t="str">
            <v>4-6 Months</v>
          </cell>
          <cell r="R136" t="str">
            <v>ACTIVE</v>
          </cell>
        </row>
        <row r="137">
          <cell r="G137" t="str">
            <v>Sarah Rodgers</v>
          </cell>
          <cell r="H137" t="str">
            <v>Paul Haley</v>
          </cell>
          <cell r="I137" t="str">
            <v>FT</v>
          </cell>
          <cell r="J137">
            <v>4400005</v>
          </cell>
          <cell r="K137" t="str">
            <v>AS2027</v>
          </cell>
          <cell r="L137">
            <v>6727</v>
          </cell>
          <cell r="M137" t="str">
            <v>srodg001</v>
          </cell>
          <cell r="N137" t="str">
            <v>RTA</v>
          </cell>
          <cell r="O137">
            <v>0</v>
          </cell>
          <cell r="P137">
            <v>43137</v>
          </cell>
          <cell r="Q137" t="str">
            <v xml:space="preserve">&gt; 24 Months </v>
          </cell>
          <cell r="R137" t="str">
            <v>ACTIVE</v>
          </cell>
        </row>
        <row r="138">
          <cell r="G138" t="str">
            <v>Conor Romeril</v>
          </cell>
          <cell r="H138" t="str">
            <v>Troy Barnaschone</v>
          </cell>
          <cell r="I138" t="str">
            <v>FT</v>
          </cell>
          <cell r="J138">
            <v>4400140</v>
          </cell>
          <cell r="K138" t="str">
            <v>AS2171</v>
          </cell>
          <cell r="L138">
            <v>1026896</v>
          </cell>
          <cell r="M138" t="str">
            <v>crome037</v>
          </cell>
          <cell r="N138" t="str">
            <v>CST</v>
          </cell>
          <cell r="O138">
            <v>42948</v>
          </cell>
          <cell r="P138">
            <v>189</v>
          </cell>
          <cell r="Q138" t="str">
            <v>6-12 Months</v>
          </cell>
          <cell r="R138" t="str">
            <v>ACTIVE</v>
          </cell>
        </row>
        <row r="139">
          <cell r="G139" t="str">
            <v>Matthew Rosser</v>
          </cell>
          <cell r="H139" t="str">
            <v>Natalie Lubienski</v>
          </cell>
          <cell r="I139" t="str">
            <v>PT</v>
          </cell>
          <cell r="J139">
            <v>4400861</v>
          </cell>
          <cell r="K139" t="str">
            <v>AS2232</v>
          </cell>
          <cell r="L139">
            <v>411902</v>
          </cell>
          <cell r="M139" t="str">
            <v>mross019</v>
          </cell>
          <cell r="N139" t="str">
            <v>COM</v>
          </cell>
          <cell r="O139">
            <v>42310</v>
          </cell>
          <cell r="P139">
            <v>827</v>
          </cell>
          <cell r="Q139" t="str">
            <v xml:space="preserve">&gt; 24 Months </v>
          </cell>
          <cell r="R139" t="str">
            <v>ACTIVE</v>
          </cell>
        </row>
        <row r="140">
          <cell r="G140" t="str">
            <v>Jack Rowcroft</v>
          </cell>
          <cell r="H140" t="str">
            <v>Troy Barnaschone</v>
          </cell>
          <cell r="I140" t="str">
            <v>FT</v>
          </cell>
          <cell r="J140">
            <v>4400816</v>
          </cell>
          <cell r="K140" t="str">
            <v>AS2238</v>
          </cell>
          <cell r="L140">
            <v>980600</v>
          </cell>
          <cell r="M140" t="str">
            <v>jrowc001</v>
          </cell>
          <cell r="N140" t="str">
            <v>CST</v>
          </cell>
          <cell r="O140">
            <v>42625</v>
          </cell>
          <cell r="P140">
            <v>512</v>
          </cell>
          <cell r="Q140" t="str">
            <v>12- 24 Months</v>
          </cell>
          <cell r="R140" t="str">
            <v>ACTIVE</v>
          </cell>
        </row>
        <row r="141">
          <cell r="G141" t="str">
            <v>Christopher Russell</v>
          </cell>
          <cell r="H141" t="str">
            <v>Frazer Hutchinson</v>
          </cell>
          <cell r="I141" t="str">
            <v>PT</v>
          </cell>
          <cell r="J141">
            <v>4400523</v>
          </cell>
          <cell r="K141" t="str">
            <v>AS2020</v>
          </cell>
          <cell r="L141">
            <v>400038</v>
          </cell>
          <cell r="M141" t="str">
            <v>cruss001</v>
          </cell>
          <cell r="N141" t="str">
            <v>ATV</v>
          </cell>
          <cell r="O141">
            <v>41582</v>
          </cell>
          <cell r="P141">
            <v>1555</v>
          </cell>
          <cell r="Q141" t="str">
            <v xml:space="preserve">&gt; 24 Months </v>
          </cell>
          <cell r="R141" t="str">
            <v>ACTIVE</v>
          </cell>
        </row>
        <row r="142">
          <cell r="G142" t="str">
            <v>Timothy Savory</v>
          </cell>
          <cell r="H142" t="str">
            <v>Richard Crellin</v>
          </cell>
          <cell r="I142" t="str">
            <v>FT</v>
          </cell>
          <cell r="J142">
            <v>4400130</v>
          </cell>
          <cell r="K142" t="str">
            <v>AS2001</v>
          </cell>
          <cell r="L142">
            <v>998589</v>
          </cell>
          <cell r="M142" t="str">
            <v>tsavo002</v>
          </cell>
          <cell r="N142" t="str">
            <v>COM</v>
          </cell>
          <cell r="O142">
            <v>42716</v>
          </cell>
          <cell r="P142">
            <v>421</v>
          </cell>
          <cell r="Q142" t="str">
            <v>12- 24 Months</v>
          </cell>
          <cell r="R142" t="str">
            <v>ACTIVE</v>
          </cell>
        </row>
        <row r="143">
          <cell r="G143" t="str">
            <v>Jemma Sercombe</v>
          </cell>
          <cell r="H143" t="str">
            <v>Andrew Warren</v>
          </cell>
          <cell r="I143" t="str">
            <v>FT</v>
          </cell>
          <cell r="J143">
            <v>4400061</v>
          </cell>
          <cell r="K143" t="str">
            <v>AS2051</v>
          </cell>
          <cell r="L143">
            <v>405742</v>
          </cell>
          <cell r="M143" t="str">
            <v>jserc001</v>
          </cell>
          <cell r="N143" t="str">
            <v>TM/C</v>
          </cell>
          <cell r="O143">
            <v>41926</v>
          </cell>
          <cell r="P143">
            <v>1211</v>
          </cell>
          <cell r="Q143" t="str">
            <v xml:space="preserve">&gt; 24 Months </v>
          </cell>
          <cell r="R143" t="str">
            <v>ACTIVE</v>
          </cell>
        </row>
        <row r="144">
          <cell r="G144" t="str">
            <v>Hayley Shuck</v>
          </cell>
          <cell r="H144" t="str">
            <v>Frazer Hutchinson</v>
          </cell>
          <cell r="I144" t="str">
            <v>PT</v>
          </cell>
          <cell r="J144">
            <v>4400121</v>
          </cell>
          <cell r="K144" t="str">
            <v>AS2009</v>
          </cell>
          <cell r="L144">
            <v>1015151</v>
          </cell>
          <cell r="M144" t="str">
            <v>hshuc001</v>
          </cell>
          <cell r="N144" t="str">
            <v>COM</v>
          </cell>
          <cell r="O144">
            <v>42851</v>
          </cell>
          <cell r="P144">
            <v>286</v>
          </cell>
          <cell r="Q144" t="str">
            <v>6-12 Months</v>
          </cell>
          <cell r="R144" t="str">
            <v>ACTIVE</v>
          </cell>
        </row>
        <row r="145">
          <cell r="G145" t="str">
            <v>Callum Sims</v>
          </cell>
          <cell r="H145" t="str">
            <v>Natalie Lubienski</v>
          </cell>
          <cell r="I145" t="str">
            <v>FT</v>
          </cell>
          <cell r="J145">
            <v>4400852</v>
          </cell>
          <cell r="K145" t="str">
            <v>AS2041</v>
          </cell>
          <cell r="L145">
            <v>416620</v>
          </cell>
          <cell r="M145" t="str">
            <v>csims009</v>
          </cell>
          <cell r="N145" t="str">
            <v>CSA</v>
          </cell>
          <cell r="O145">
            <v>42499</v>
          </cell>
          <cell r="P145">
            <v>638</v>
          </cell>
          <cell r="Q145" t="str">
            <v>12- 24 Months</v>
          </cell>
          <cell r="R145" t="str">
            <v>ACTIVE</v>
          </cell>
        </row>
        <row r="146">
          <cell r="G146" t="str">
            <v>Daniel Sivertsen</v>
          </cell>
          <cell r="H146" t="str">
            <v>Avril Oliver</v>
          </cell>
          <cell r="I146" t="str">
            <v>FT</v>
          </cell>
          <cell r="J146">
            <v>4400002</v>
          </cell>
          <cell r="K146" t="str">
            <v>AS2017</v>
          </cell>
          <cell r="L146">
            <v>408714</v>
          </cell>
          <cell r="M146" t="str">
            <v>dsive001</v>
          </cell>
          <cell r="N146" t="str">
            <v>CRM</v>
          </cell>
          <cell r="O146">
            <v>42079</v>
          </cell>
          <cell r="P146">
            <v>1058</v>
          </cell>
          <cell r="Q146" t="str">
            <v xml:space="preserve">&gt; 24 Months </v>
          </cell>
          <cell r="R146" t="str">
            <v>ACTIVE</v>
          </cell>
        </row>
        <row r="147">
          <cell r="G147" t="str">
            <v>Lois Slater</v>
          </cell>
          <cell r="H147" t="str">
            <v>Mark Elliott</v>
          </cell>
          <cell r="I147" t="str">
            <v>PT</v>
          </cell>
          <cell r="J147">
            <v>4400145</v>
          </cell>
          <cell r="K147" t="str">
            <v>AS2181</v>
          </cell>
          <cell r="L147">
            <v>1012545</v>
          </cell>
          <cell r="M147" t="str">
            <v>lslat001</v>
          </cell>
          <cell r="N147" t="str">
            <v>COM</v>
          </cell>
          <cell r="O147">
            <v>42866</v>
          </cell>
          <cell r="P147">
            <v>271</v>
          </cell>
          <cell r="Q147" t="str">
            <v>6-12 Months</v>
          </cell>
          <cell r="R147" t="str">
            <v>ACTIVE</v>
          </cell>
        </row>
        <row r="148">
          <cell r="G148" t="str">
            <v>Samuel Smith</v>
          </cell>
          <cell r="H148" t="str">
            <v>Michael Ennals</v>
          </cell>
          <cell r="I148" t="str">
            <v>FT</v>
          </cell>
          <cell r="J148">
            <v>4400188</v>
          </cell>
          <cell r="K148" t="str">
            <v>AS2064</v>
          </cell>
          <cell r="L148">
            <v>1019846</v>
          </cell>
          <cell r="M148" t="str">
            <v xml:space="preserve"> ssmit250</v>
          </cell>
          <cell r="N148" t="str">
            <v>ATV</v>
          </cell>
          <cell r="O148">
            <v>42891</v>
          </cell>
          <cell r="P148">
            <v>246</v>
          </cell>
          <cell r="Q148" t="str">
            <v>6-12 Months</v>
          </cell>
          <cell r="R148" t="str">
            <v>ACTIVE</v>
          </cell>
        </row>
        <row r="149">
          <cell r="G149" t="str">
            <v>Roger Spackman</v>
          </cell>
          <cell r="H149" t="str">
            <v>Mark Elliott</v>
          </cell>
          <cell r="I149" t="str">
            <v>FT</v>
          </cell>
          <cell r="J149">
            <v>4400503</v>
          </cell>
          <cell r="K149" t="str">
            <v>AS2193</v>
          </cell>
          <cell r="L149">
            <v>404019</v>
          </cell>
          <cell r="M149" t="str">
            <v>rspac001</v>
          </cell>
          <cell r="N149" t="str">
            <v>SW</v>
          </cell>
          <cell r="O149">
            <v>41883</v>
          </cell>
          <cell r="P149">
            <v>1254</v>
          </cell>
          <cell r="Q149" t="str">
            <v xml:space="preserve">&gt; 24 Months </v>
          </cell>
          <cell r="R149" t="str">
            <v>ACTIVE</v>
          </cell>
        </row>
        <row r="150">
          <cell r="G150" t="str">
            <v>Marcus Spry</v>
          </cell>
          <cell r="H150" t="str">
            <v>Mark Elliott</v>
          </cell>
          <cell r="I150" t="str">
            <v>PT</v>
          </cell>
          <cell r="J150">
            <v>4400462</v>
          </cell>
          <cell r="K150" t="str">
            <v>AS2134</v>
          </cell>
          <cell r="L150">
            <v>988475</v>
          </cell>
          <cell r="M150" t="str">
            <v>mspry002</v>
          </cell>
          <cell r="N150" t="str">
            <v>COM</v>
          </cell>
          <cell r="O150">
            <v>42660</v>
          </cell>
          <cell r="P150">
            <v>477</v>
          </cell>
          <cell r="Q150" t="str">
            <v>12- 24 Months</v>
          </cell>
          <cell r="R150" t="str">
            <v>ACTIVE</v>
          </cell>
        </row>
        <row r="151">
          <cell r="G151" t="str">
            <v>Christopher Stewart</v>
          </cell>
          <cell r="H151" t="str">
            <v>Troy Barnaschone</v>
          </cell>
          <cell r="I151" t="str">
            <v>PT</v>
          </cell>
          <cell r="J151">
            <v>4400131</v>
          </cell>
          <cell r="K151" t="str">
            <v>AS2243</v>
          </cell>
          <cell r="L151">
            <v>1008405</v>
          </cell>
          <cell r="M151" t="str">
            <v>cstew023</v>
          </cell>
          <cell r="N151" t="str">
            <v>CST</v>
          </cell>
          <cell r="O151">
            <v>42794</v>
          </cell>
          <cell r="P151">
            <v>343</v>
          </cell>
          <cell r="Q151" t="str">
            <v>6-12 Months</v>
          </cell>
          <cell r="R151" t="str">
            <v>ACTIVE</v>
          </cell>
        </row>
        <row r="152">
          <cell r="G152" t="str">
            <v>Gareth Stokes</v>
          </cell>
          <cell r="H152" t="str">
            <v>Richard Goodchild</v>
          </cell>
          <cell r="I152" t="str">
            <v>FT</v>
          </cell>
          <cell r="J152">
            <v>4400055</v>
          </cell>
          <cell r="K152" t="str">
            <v>AS2246</v>
          </cell>
          <cell r="L152">
            <v>407033</v>
          </cell>
          <cell r="M152" t="str">
            <v>gstok002</v>
          </cell>
          <cell r="N152" t="str">
            <v>Manufacturer Liaison</v>
          </cell>
          <cell r="O152">
            <v>41974</v>
          </cell>
          <cell r="P152">
            <v>1163</v>
          </cell>
          <cell r="Q152" t="str">
            <v xml:space="preserve">&gt; 24 Months </v>
          </cell>
          <cell r="R152" t="str">
            <v>ACTIVE</v>
          </cell>
        </row>
        <row r="153">
          <cell r="G153" t="str">
            <v>Christopher Summerhayes</v>
          </cell>
          <cell r="H153" t="str">
            <v>Frazer Hutchinson</v>
          </cell>
          <cell r="I153" t="str">
            <v>PT</v>
          </cell>
          <cell r="J153">
            <v>4400157</v>
          </cell>
          <cell r="K153" t="str">
            <v>AS2269</v>
          </cell>
          <cell r="L153">
            <v>417222</v>
          </cell>
          <cell r="M153" t="str">
            <v>csumm002</v>
          </cell>
          <cell r="N153" t="str">
            <v>ATV</v>
          </cell>
          <cell r="O153">
            <v>42866</v>
          </cell>
          <cell r="P153">
            <v>271</v>
          </cell>
          <cell r="Q153" t="str">
            <v>6-12 Months</v>
          </cell>
          <cell r="R153" t="str">
            <v>ACTIVE</v>
          </cell>
        </row>
        <row r="154">
          <cell r="G154" t="str">
            <v>Andreas Syriopoulos</v>
          </cell>
          <cell r="H154" t="str">
            <v>Natalie Lubienski</v>
          </cell>
          <cell r="I154" t="str">
            <v>FT</v>
          </cell>
          <cell r="J154">
            <v>4400843</v>
          </cell>
          <cell r="K154" t="str">
            <v>AS2229</v>
          </cell>
          <cell r="L154">
            <v>995762</v>
          </cell>
          <cell r="M154" t="str">
            <v>asyri001</v>
          </cell>
          <cell r="N154" t="str">
            <v>CSA</v>
          </cell>
          <cell r="O154">
            <v>42695</v>
          </cell>
          <cell r="P154">
            <v>442</v>
          </cell>
          <cell r="Q154" t="str">
            <v>12- 24 Months</v>
          </cell>
          <cell r="R154" t="str">
            <v>ACTIVE</v>
          </cell>
        </row>
        <row r="155">
          <cell r="G155" t="str">
            <v>Anita Szocs</v>
          </cell>
          <cell r="H155" t="str">
            <v>Richard Crellin</v>
          </cell>
          <cell r="I155" t="str">
            <v>FT</v>
          </cell>
          <cell r="J155">
            <v>4400146</v>
          </cell>
          <cell r="K155" t="str">
            <v>AS2008</v>
          </cell>
          <cell r="L155">
            <v>1024163</v>
          </cell>
          <cell r="M155" t="str">
            <v>aszoc001</v>
          </cell>
          <cell r="N155" t="str">
            <v>COM</v>
          </cell>
          <cell r="O155">
            <v>42926</v>
          </cell>
          <cell r="P155">
            <v>211</v>
          </cell>
          <cell r="Q155" t="str">
            <v>6-12 Months</v>
          </cell>
          <cell r="R155" t="str">
            <v>ACTIVE</v>
          </cell>
        </row>
        <row r="156">
          <cell r="G156" t="str">
            <v>David Tancock</v>
          </cell>
          <cell r="H156" t="str">
            <v>Troy Barnaschone</v>
          </cell>
          <cell r="I156" t="str">
            <v>FT</v>
          </cell>
          <cell r="J156">
            <v>4400149</v>
          </cell>
          <cell r="K156" t="str">
            <v>AS2279</v>
          </cell>
          <cell r="L156">
            <v>409701</v>
          </cell>
          <cell r="M156" t="str">
            <v>dtanc002</v>
          </cell>
          <cell r="N156" t="str">
            <v>CST</v>
          </cell>
          <cell r="O156">
            <v>42156</v>
          </cell>
          <cell r="P156">
            <v>981</v>
          </cell>
          <cell r="Q156" t="str">
            <v xml:space="preserve">&gt; 24 Months </v>
          </cell>
          <cell r="R156" t="str">
            <v>ACTIVE</v>
          </cell>
        </row>
        <row r="157">
          <cell r="G157" t="str">
            <v>Bradley JR Taylor</v>
          </cell>
          <cell r="H157" t="str">
            <v>Antonio Follano</v>
          </cell>
          <cell r="I157" t="str">
            <v>FT</v>
          </cell>
          <cell r="J157">
            <v>4400154</v>
          </cell>
          <cell r="K157" t="str">
            <v>AS2066</v>
          </cell>
          <cell r="L157">
            <v>1009579</v>
          </cell>
          <cell r="M157" t="str">
            <v>btayl051</v>
          </cell>
          <cell r="N157" t="str">
            <v>ATV</v>
          </cell>
          <cell r="O157">
            <v>42807</v>
          </cell>
          <cell r="P157">
            <v>330</v>
          </cell>
          <cell r="Q157" t="str">
            <v>6-12 Months</v>
          </cell>
          <cell r="R157" t="str">
            <v>ACTIVE</v>
          </cell>
        </row>
        <row r="158">
          <cell r="G158" t="str">
            <v>Alexander Templer</v>
          </cell>
          <cell r="H158" t="str">
            <v>Troy Barnaschone</v>
          </cell>
          <cell r="I158" t="str">
            <v>FT</v>
          </cell>
          <cell r="J158">
            <v>4400033</v>
          </cell>
          <cell r="K158" t="str">
            <v>AS2036</v>
          </cell>
          <cell r="L158">
            <v>393439</v>
          </cell>
          <cell r="M158" t="str">
            <v>atemp002</v>
          </cell>
          <cell r="N158" t="str">
            <v>CST</v>
          </cell>
          <cell r="O158">
            <v>41071</v>
          </cell>
          <cell r="P158">
            <v>2066</v>
          </cell>
          <cell r="Q158" t="str">
            <v xml:space="preserve">&gt; 24 Months </v>
          </cell>
          <cell r="R158" t="str">
            <v>ACTIVE</v>
          </cell>
        </row>
        <row r="159">
          <cell r="G159" t="str">
            <v>Ryan Thompson</v>
          </cell>
          <cell r="H159" t="str">
            <v>Natalie Lubienski</v>
          </cell>
          <cell r="I159" t="str">
            <v>FT</v>
          </cell>
          <cell r="J159">
            <v>4400167</v>
          </cell>
          <cell r="K159" t="str">
            <v>AS2048</v>
          </cell>
          <cell r="L159">
            <v>988442</v>
          </cell>
          <cell r="M159" t="str">
            <v>rthom080</v>
          </cell>
          <cell r="N159" t="str">
            <v>CSA</v>
          </cell>
          <cell r="O159">
            <v>42660</v>
          </cell>
          <cell r="P159">
            <v>477</v>
          </cell>
          <cell r="Q159" t="str">
            <v>12- 24 Months</v>
          </cell>
          <cell r="R159" t="str">
            <v>ACTIVE</v>
          </cell>
        </row>
        <row r="160">
          <cell r="G160" t="str">
            <v>Vikki Tiley</v>
          </cell>
          <cell r="H160" t="str">
            <v>Natalie Lubienski</v>
          </cell>
          <cell r="I160" t="str">
            <v>PT</v>
          </cell>
          <cell r="J160">
            <v>4400021</v>
          </cell>
          <cell r="K160" t="str">
            <v>AS2011</v>
          </cell>
          <cell r="L160">
            <v>391286</v>
          </cell>
          <cell r="M160" t="str">
            <v>vtile001</v>
          </cell>
          <cell r="N160" t="str">
            <v>CSA</v>
          </cell>
          <cell r="O160">
            <v>40785</v>
          </cell>
          <cell r="P160">
            <v>2352</v>
          </cell>
          <cell r="Q160" t="str">
            <v xml:space="preserve">&gt; 24 Months </v>
          </cell>
          <cell r="R160" t="str">
            <v>ACTIVE</v>
          </cell>
        </row>
        <row r="161">
          <cell r="G161" t="str">
            <v>Paige Trump</v>
          </cell>
          <cell r="H161" t="str">
            <v>Mark Elliott</v>
          </cell>
          <cell r="I161" t="str">
            <v>PT</v>
          </cell>
          <cell r="J161">
            <v>4400151</v>
          </cell>
          <cell r="K161" t="str">
            <v>AS2211</v>
          </cell>
          <cell r="L161">
            <v>1008317</v>
          </cell>
          <cell r="M161" t="str">
            <v>ptrum001</v>
          </cell>
          <cell r="N161" t="str">
            <v>COM</v>
          </cell>
          <cell r="O161">
            <v>42866</v>
          </cell>
          <cell r="P161">
            <v>271</v>
          </cell>
          <cell r="Q161" t="str">
            <v>6-12 Months</v>
          </cell>
          <cell r="R161" t="str">
            <v>ACTIVE</v>
          </cell>
        </row>
        <row r="162">
          <cell r="G162" t="str">
            <v>Kathleen Turner</v>
          </cell>
          <cell r="H162" t="str">
            <v>Richard Crellin</v>
          </cell>
          <cell r="I162" t="str">
            <v>PT</v>
          </cell>
          <cell r="J162">
            <v>4400103</v>
          </cell>
          <cell r="K162" t="str">
            <v>AS2156</v>
          </cell>
          <cell r="L162">
            <v>1008290</v>
          </cell>
          <cell r="M162" t="str">
            <v>kturn030</v>
          </cell>
          <cell r="N162" t="str">
            <v>COM</v>
          </cell>
          <cell r="O162">
            <v>42866</v>
          </cell>
          <cell r="P162">
            <v>271</v>
          </cell>
          <cell r="Q162" t="str">
            <v>6-12 Months</v>
          </cell>
          <cell r="R162" t="str">
            <v>ACTIVE</v>
          </cell>
        </row>
        <row r="163">
          <cell r="G163" t="str">
            <v>Phillip Wallinder</v>
          </cell>
          <cell r="H163" t="str">
            <v>Mark Elliott</v>
          </cell>
          <cell r="I163" t="str">
            <v>PT</v>
          </cell>
          <cell r="J163">
            <v>4400502</v>
          </cell>
          <cell r="K163" t="str">
            <v>AS2299</v>
          </cell>
          <cell r="L163">
            <v>395523</v>
          </cell>
          <cell r="M163" t="str">
            <v>pwall004</v>
          </cell>
          <cell r="N163" t="str">
            <v>SW</v>
          </cell>
          <cell r="O163">
            <v>41190</v>
          </cell>
          <cell r="P163">
            <v>1947</v>
          </cell>
          <cell r="Q163" t="str">
            <v xml:space="preserve">&gt; 24 Months </v>
          </cell>
          <cell r="R163" t="str">
            <v>ACTIVE</v>
          </cell>
        </row>
        <row r="164">
          <cell r="G164" t="str">
            <v>Luke Wallwork</v>
          </cell>
          <cell r="H164" t="str">
            <v>Frazer Hutchinson</v>
          </cell>
          <cell r="I164" t="str">
            <v>PT</v>
          </cell>
          <cell r="J164">
            <v>4400825</v>
          </cell>
          <cell r="K164" t="str">
            <v>AS2247</v>
          </cell>
          <cell r="L164">
            <v>411937</v>
          </cell>
          <cell r="M164" t="str">
            <v>lwall009</v>
          </cell>
          <cell r="N164" t="str">
            <v>ATV</v>
          </cell>
          <cell r="O164">
            <v>42268</v>
          </cell>
          <cell r="P164">
            <v>869</v>
          </cell>
          <cell r="Q164" t="str">
            <v xml:space="preserve">&gt; 24 Months </v>
          </cell>
          <cell r="R164" t="str">
            <v>ACTIVE</v>
          </cell>
        </row>
        <row r="165">
          <cell r="G165" t="str">
            <v>Andrew Warren</v>
          </cell>
          <cell r="H165" t="str">
            <v>Rowan Marshall</v>
          </cell>
          <cell r="I165" t="str">
            <v>FT</v>
          </cell>
          <cell r="J165">
            <v>4400058</v>
          </cell>
          <cell r="K165" t="str">
            <v>AS2098</v>
          </cell>
          <cell r="L165">
            <v>0</v>
          </cell>
          <cell r="M165" t="str">
            <v>awarr003</v>
          </cell>
          <cell r="N165" t="str">
            <v>TM/C</v>
          </cell>
          <cell r="O165">
            <v>40666</v>
          </cell>
          <cell r="P165">
            <v>2471</v>
          </cell>
          <cell r="Q165" t="str">
            <v xml:space="preserve">&gt; 24 Months </v>
          </cell>
          <cell r="R165" t="str">
            <v>ACTIVE</v>
          </cell>
        </row>
        <row r="166">
          <cell r="G166" t="str">
            <v>Tristan Watkin</v>
          </cell>
          <cell r="H166" t="str">
            <v>Avril Oliver</v>
          </cell>
          <cell r="I166" t="str">
            <v>FT</v>
          </cell>
          <cell r="J166">
            <v>4400054</v>
          </cell>
          <cell r="K166" t="str">
            <v>AS2031</v>
          </cell>
          <cell r="L166">
            <v>399818</v>
          </cell>
          <cell r="M166" t="str">
            <v>twatk001</v>
          </cell>
          <cell r="N166" t="str">
            <v>CRM</v>
          </cell>
          <cell r="O166">
            <v>41625</v>
          </cell>
          <cell r="P166">
            <v>1512</v>
          </cell>
          <cell r="Q166" t="str">
            <v xml:space="preserve">&gt; 24 Months </v>
          </cell>
          <cell r="R166" t="str">
            <v>ACTIVE</v>
          </cell>
        </row>
        <row r="167">
          <cell r="G167" t="str">
            <v>Sam Way</v>
          </cell>
          <cell r="H167" t="str">
            <v>David Hitching</v>
          </cell>
          <cell r="I167" t="str">
            <v>PT</v>
          </cell>
          <cell r="J167">
            <v>4400085</v>
          </cell>
          <cell r="K167" t="str">
            <v>AS2184</v>
          </cell>
          <cell r="L167">
            <v>417974</v>
          </cell>
          <cell r="M167" t="str">
            <v>sway002</v>
          </cell>
          <cell r="N167" t="str">
            <v>LE</v>
          </cell>
          <cell r="O167">
            <v>42662</v>
          </cell>
          <cell r="P167">
            <v>475</v>
          </cell>
          <cell r="Q167" t="str">
            <v>12- 24 Months</v>
          </cell>
          <cell r="R167" t="str">
            <v>ACTIVE</v>
          </cell>
        </row>
        <row r="168">
          <cell r="G168" t="str">
            <v>Charlotte Wensley</v>
          </cell>
          <cell r="H168" t="str">
            <v>Natalie Lubienski</v>
          </cell>
          <cell r="I168" t="str">
            <v>FT</v>
          </cell>
          <cell r="J168">
            <v>4400094</v>
          </cell>
          <cell r="K168" t="str">
            <v>AS2295</v>
          </cell>
          <cell r="L168">
            <v>407467</v>
          </cell>
          <cell r="M168" t="str">
            <v>cwens003</v>
          </cell>
          <cell r="N168" t="str">
            <v>CSA</v>
          </cell>
          <cell r="O168">
            <v>42009</v>
          </cell>
          <cell r="P168">
            <v>1128</v>
          </cell>
          <cell r="Q168" t="str">
            <v xml:space="preserve">&gt; 24 Months </v>
          </cell>
          <cell r="R168" t="str">
            <v>ACTIVE</v>
          </cell>
        </row>
        <row r="169">
          <cell r="G169" t="str">
            <v>Michael West</v>
          </cell>
          <cell r="H169" t="str">
            <v>Michael Ennals</v>
          </cell>
          <cell r="I169" t="str">
            <v>FT</v>
          </cell>
          <cell r="J169">
            <v>4400521</v>
          </cell>
          <cell r="K169" t="str">
            <v>AS2221</v>
          </cell>
          <cell r="L169">
            <v>418268</v>
          </cell>
          <cell r="M169" t="str">
            <v>mwest022</v>
          </cell>
          <cell r="N169" t="str">
            <v>ATV</v>
          </cell>
          <cell r="O169">
            <v>42562</v>
          </cell>
          <cell r="P169">
            <v>575</v>
          </cell>
          <cell r="Q169" t="str">
            <v>12- 24 Months</v>
          </cell>
          <cell r="R169" t="str">
            <v>ACTIVE</v>
          </cell>
        </row>
        <row r="170">
          <cell r="G170" t="str">
            <v>Felix Whiteaway</v>
          </cell>
          <cell r="H170" t="str">
            <v>Michael Ennals</v>
          </cell>
          <cell r="I170" t="str">
            <v>PT</v>
          </cell>
          <cell r="J170">
            <v>4400818</v>
          </cell>
          <cell r="K170" t="str">
            <v>AS2195</v>
          </cell>
          <cell r="L170">
            <v>994772</v>
          </cell>
          <cell r="M170" t="str">
            <v>fwhit009</v>
          </cell>
          <cell r="N170" t="str">
            <v>ATV</v>
          </cell>
          <cell r="O170">
            <v>42689</v>
          </cell>
          <cell r="P170">
            <v>448</v>
          </cell>
          <cell r="Q170" t="str">
            <v>12- 24 Months</v>
          </cell>
          <cell r="R170" t="str">
            <v>ACTIVE</v>
          </cell>
        </row>
        <row r="171">
          <cell r="G171" t="str">
            <v>Shannon Whitlock</v>
          </cell>
          <cell r="H171" t="str">
            <v>Avril Oliver</v>
          </cell>
          <cell r="I171" t="str">
            <v>FT</v>
          </cell>
          <cell r="J171">
            <v>4400006</v>
          </cell>
          <cell r="K171" t="str">
            <v>AS2223</v>
          </cell>
          <cell r="L171">
            <v>1031993</v>
          </cell>
          <cell r="M171" t="str">
            <v>swhit092</v>
          </cell>
          <cell r="N171" t="str">
            <v>CRM</v>
          </cell>
          <cell r="O171">
            <v>42982</v>
          </cell>
          <cell r="P171">
            <v>155</v>
          </cell>
          <cell r="Q171" t="str">
            <v>4-6 Months</v>
          </cell>
          <cell r="R171" t="str">
            <v>ACTIVE</v>
          </cell>
        </row>
        <row r="172">
          <cell r="G172" t="str">
            <v>Hollie Whittington</v>
          </cell>
          <cell r="H172" t="str">
            <v>Natalie Lubienski</v>
          </cell>
          <cell r="I172" t="str">
            <v>FT</v>
          </cell>
          <cell r="J172">
            <v>4400027</v>
          </cell>
          <cell r="K172" t="str">
            <v>AS2142</v>
          </cell>
          <cell r="L172">
            <v>409100</v>
          </cell>
          <cell r="M172" t="str">
            <v>hwhit007</v>
          </cell>
          <cell r="N172" t="str">
            <v>CSA</v>
          </cell>
          <cell r="O172">
            <v>42107</v>
          </cell>
          <cell r="P172">
            <v>1030</v>
          </cell>
          <cell r="Q172" t="str">
            <v xml:space="preserve">&gt; 24 Months </v>
          </cell>
          <cell r="R172" t="str">
            <v>ACTIVE</v>
          </cell>
        </row>
        <row r="173">
          <cell r="G173" t="str">
            <v>Darren Wilde</v>
          </cell>
          <cell r="H173" t="str">
            <v>Mark Elliott</v>
          </cell>
          <cell r="I173" t="str">
            <v>FT</v>
          </cell>
          <cell r="J173">
            <v>4400507</v>
          </cell>
          <cell r="K173" t="str">
            <v>AS2094</v>
          </cell>
          <cell r="L173">
            <v>414164</v>
          </cell>
          <cell r="M173" t="str">
            <v>dwild006</v>
          </cell>
          <cell r="N173" t="str">
            <v>SW</v>
          </cell>
          <cell r="O173">
            <v>42373</v>
          </cell>
          <cell r="P173">
            <v>764</v>
          </cell>
          <cell r="Q173" t="str">
            <v xml:space="preserve">&gt; 24 Months </v>
          </cell>
          <cell r="R173" t="str">
            <v>ACTIVE</v>
          </cell>
        </row>
        <row r="174">
          <cell r="G174" t="str">
            <v>Chloe Wiles</v>
          </cell>
          <cell r="H174" t="str">
            <v>Troy Barnaschone</v>
          </cell>
          <cell r="I174" t="str">
            <v>FT</v>
          </cell>
          <cell r="J174">
            <v>4400016</v>
          </cell>
          <cell r="K174" t="str">
            <v>AS2264</v>
          </cell>
          <cell r="L174">
            <v>990358</v>
          </cell>
          <cell r="M174" t="str">
            <v>cwile002</v>
          </cell>
          <cell r="N174" t="str">
            <v>CST</v>
          </cell>
          <cell r="O174">
            <v>42677</v>
          </cell>
          <cell r="P174">
            <v>460</v>
          </cell>
          <cell r="Q174" t="str">
            <v>12- 24 Months</v>
          </cell>
          <cell r="R174" t="str">
            <v>ACTIVE</v>
          </cell>
        </row>
        <row r="175">
          <cell r="G175" t="str">
            <v>Bradley Wilkie</v>
          </cell>
          <cell r="H175" t="str">
            <v>Michael Ennals</v>
          </cell>
          <cell r="I175" t="str">
            <v>FT</v>
          </cell>
          <cell r="J175">
            <v>4400467</v>
          </cell>
          <cell r="K175" t="str">
            <v>AS2124</v>
          </cell>
          <cell r="L175">
            <v>419172</v>
          </cell>
          <cell r="M175" t="str">
            <v>bwilk008</v>
          </cell>
          <cell r="N175" t="str">
            <v>ATV</v>
          </cell>
          <cell r="O175">
            <v>42863</v>
          </cell>
          <cell r="P175">
            <v>274</v>
          </cell>
          <cell r="Q175" t="str">
            <v>6-12 Months</v>
          </cell>
          <cell r="R175" t="str">
            <v>ACTIVE</v>
          </cell>
        </row>
        <row r="176">
          <cell r="G176" t="str">
            <v>Kym Wilkins</v>
          </cell>
          <cell r="H176" t="str">
            <v>David Hitching</v>
          </cell>
          <cell r="I176" t="str">
            <v>PT</v>
          </cell>
          <cell r="J176">
            <v>4400109</v>
          </cell>
          <cell r="K176" t="str">
            <v>AS2163</v>
          </cell>
          <cell r="L176">
            <v>1003007</v>
          </cell>
          <cell r="M176" t="str">
            <v>kwilk028</v>
          </cell>
          <cell r="N176" t="str">
            <v>LE</v>
          </cell>
          <cell r="O176">
            <v>42752</v>
          </cell>
          <cell r="P176">
            <v>385</v>
          </cell>
          <cell r="Q176" t="str">
            <v>12- 24 Months</v>
          </cell>
          <cell r="R176" t="str">
            <v>ACTIVE</v>
          </cell>
        </row>
        <row r="177">
          <cell r="G177" t="str">
            <v>William Williams</v>
          </cell>
          <cell r="H177" t="str">
            <v>Frazer Hutchinson</v>
          </cell>
          <cell r="I177" t="str">
            <v>PT</v>
          </cell>
          <cell r="J177">
            <v>4400090</v>
          </cell>
          <cell r="K177" t="str">
            <v>AS2125</v>
          </cell>
          <cell r="L177">
            <v>388841</v>
          </cell>
          <cell r="M177" t="str">
            <v>wwill001</v>
          </cell>
          <cell r="N177" t="str">
            <v>ATV</v>
          </cell>
          <cell r="O177">
            <v>40588</v>
          </cell>
          <cell r="P177">
            <v>2549</v>
          </cell>
          <cell r="Q177" t="str">
            <v xml:space="preserve">&gt; 24 Months </v>
          </cell>
          <cell r="R177" t="str">
            <v>ACTIVE</v>
          </cell>
        </row>
        <row r="178">
          <cell r="G178" t="str">
            <v>Daniella Wilson</v>
          </cell>
          <cell r="H178" t="str">
            <v>Natalie Lubienski</v>
          </cell>
          <cell r="I178" t="str">
            <v>PT</v>
          </cell>
          <cell r="J178">
            <v>4400823</v>
          </cell>
          <cell r="K178" t="str">
            <v>AS2131</v>
          </cell>
          <cell r="L178">
            <v>417847</v>
          </cell>
          <cell r="M178" t="str">
            <v>dcorr012</v>
          </cell>
          <cell r="N178" t="str">
            <v>CSA</v>
          </cell>
          <cell r="O178">
            <v>42541</v>
          </cell>
          <cell r="P178">
            <v>596</v>
          </cell>
          <cell r="Q178" t="str">
            <v>12- 24 Months</v>
          </cell>
          <cell r="R178" t="str">
            <v>ACTIVE</v>
          </cell>
        </row>
        <row r="179">
          <cell r="G179" t="str">
            <v>Matthew Wootton</v>
          </cell>
          <cell r="H179" t="str">
            <v>Michael Ennals</v>
          </cell>
          <cell r="I179" t="str">
            <v>FT</v>
          </cell>
          <cell r="J179">
            <v>4400126</v>
          </cell>
          <cell r="K179" t="str">
            <v>AS2258</v>
          </cell>
          <cell r="L179">
            <v>401992</v>
          </cell>
          <cell r="M179" t="str">
            <v>dwoot001</v>
          </cell>
          <cell r="N179" t="str">
            <v>ATV</v>
          </cell>
          <cell r="O179">
            <v>41722</v>
          </cell>
          <cell r="P179">
            <v>1415</v>
          </cell>
          <cell r="Q179" t="str">
            <v xml:space="preserve">&gt; 24 Months </v>
          </cell>
          <cell r="R179" t="str">
            <v>ACTIVE</v>
          </cell>
        </row>
        <row r="180">
          <cell r="G180" t="str">
            <v>Kyle Wotton</v>
          </cell>
          <cell r="H180" t="str">
            <v>Natalie Lubienski</v>
          </cell>
          <cell r="I180" t="str">
            <v>FT</v>
          </cell>
          <cell r="J180">
            <v>4400052</v>
          </cell>
          <cell r="K180" t="str">
            <v>AS2207</v>
          </cell>
          <cell r="L180">
            <v>399504</v>
          </cell>
          <cell r="M180" t="str">
            <v>kwott002</v>
          </cell>
          <cell r="N180" t="str">
            <v>CSA</v>
          </cell>
          <cell r="O180">
            <v>41617</v>
          </cell>
          <cell r="P180">
            <v>1520</v>
          </cell>
          <cell r="Q180" t="str">
            <v xml:space="preserve">&gt; 24 Months </v>
          </cell>
          <cell r="R180" t="str">
            <v>ACTIVE</v>
          </cell>
        </row>
        <row r="181">
          <cell r="G181" t="str">
            <v>Peter Wreford</v>
          </cell>
          <cell r="H181" t="str">
            <v>Antonio Follano</v>
          </cell>
          <cell r="I181" t="str">
            <v>FT</v>
          </cell>
          <cell r="J181">
            <v>4400865</v>
          </cell>
          <cell r="K181" t="str">
            <v>AS2173</v>
          </cell>
          <cell r="L181">
            <v>410825</v>
          </cell>
          <cell r="M181" t="str">
            <v>pwref001</v>
          </cell>
          <cell r="N181" t="str">
            <v>ATV</v>
          </cell>
          <cell r="O181">
            <v>42212</v>
          </cell>
          <cell r="P181">
            <v>925</v>
          </cell>
          <cell r="Q181" t="str">
            <v xml:space="preserve">&gt; 24 Months </v>
          </cell>
          <cell r="R181" t="str">
            <v>ACTIVE</v>
          </cell>
        </row>
        <row r="182">
          <cell r="G182" t="str">
            <v>Behn Wright</v>
          </cell>
          <cell r="H182" t="str">
            <v>Richard Crellin</v>
          </cell>
          <cell r="I182" t="str">
            <v>FT</v>
          </cell>
          <cell r="J182">
            <v>4400125</v>
          </cell>
          <cell r="K182" t="str">
            <v>AS2029</v>
          </cell>
          <cell r="L182">
            <v>1024168</v>
          </cell>
          <cell r="M182" t="str">
            <v>bwrig020</v>
          </cell>
          <cell r="N182" t="str">
            <v>COM</v>
          </cell>
          <cell r="O182">
            <v>42926</v>
          </cell>
          <cell r="P182">
            <v>211</v>
          </cell>
          <cell r="Q182" t="str">
            <v>6-12 Months</v>
          </cell>
          <cell r="R182" t="str">
            <v>ACTIVE</v>
          </cell>
        </row>
        <row r="183">
          <cell r="G183" t="str">
            <v>Faye Wright</v>
          </cell>
          <cell r="H183" t="str">
            <v>David Hitching</v>
          </cell>
          <cell r="I183" t="str">
            <v>FT</v>
          </cell>
          <cell r="J183">
            <v>4400198</v>
          </cell>
          <cell r="K183" t="str">
            <v>AS2096</v>
          </cell>
          <cell r="L183">
            <v>1009725</v>
          </cell>
          <cell r="M183" t="str">
            <v>fwrig006</v>
          </cell>
          <cell r="N183" t="str">
            <v>LE</v>
          </cell>
          <cell r="O183">
            <v>42807</v>
          </cell>
          <cell r="P183">
            <v>330</v>
          </cell>
          <cell r="Q183" t="str">
            <v>6-12 Months</v>
          </cell>
          <cell r="R183" t="str">
            <v>ACTIVE</v>
          </cell>
        </row>
        <row r="184">
          <cell r="G184" t="str">
            <v>Charlotte Stack</v>
          </cell>
          <cell r="H184" t="str">
            <v>Richard Crellin</v>
          </cell>
          <cell r="I184" t="str">
            <v>PT</v>
          </cell>
          <cell r="J184">
            <v>4400124</v>
          </cell>
          <cell r="K184" t="str">
            <v>AS2040</v>
          </cell>
          <cell r="L184">
            <v>1035978</v>
          </cell>
          <cell r="M184" t="str">
            <v>cstac004</v>
          </cell>
          <cell r="N184" t="str">
            <v>COM</v>
          </cell>
          <cell r="O184">
            <v>42997</v>
          </cell>
          <cell r="P184">
            <v>140</v>
          </cell>
          <cell r="Q184" t="str">
            <v>4-6 Months</v>
          </cell>
          <cell r="R184" t="str">
            <v>ACTIVE</v>
          </cell>
        </row>
        <row r="185">
          <cell r="G185" t="str">
            <v>Charlotte Fowkes</v>
          </cell>
          <cell r="H185" t="str">
            <v>Mark Elliott</v>
          </cell>
          <cell r="I185" t="str">
            <v>PT</v>
          </cell>
          <cell r="J185">
            <v>4400150</v>
          </cell>
          <cell r="K185" t="str">
            <v>AS2270</v>
          </cell>
          <cell r="L185">
            <v>1036182</v>
          </cell>
          <cell r="M185" t="str">
            <v>cfowk001</v>
          </cell>
          <cell r="N185" t="str">
            <v>COM</v>
          </cell>
          <cell r="O185">
            <v>42997</v>
          </cell>
          <cell r="P185">
            <v>140</v>
          </cell>
          <cell r="Q185" t="str">
            <v>4-6 Months</v>
          </cell>
          <cell r="R185" t="str">
            <v>ACTIVE</v>
          </cell>
        </row>
        <row r="186">
          <cell r="G186" t="str">
            <v>Tom Bridgman</v>
          </cell>
          <cell r="H186" t="str">
            <v>Chris Adams</v>
          </cell>
          <cell r="I186" t="str">
            <v>FT</v>
          </cell>
          <cell r="J186">
            <v>4400836</v>
          </cell>
          <cell r="K186" t="str">
            <v>AS2057</v>
          </cell>
          <cell r="L186">
            <v>1036010</v>
          </cell>
          <cell r="M186" t="str">
            <v>tbrid009</v>
          </cell>
          <cell r="N186" t="str">
            <v>LE</v>
          </cell>
          <cell r="O186">
            <v>42997</v>
          </cell>
          <cell r="P186">
            <v>140</v>
          </cell>
          <cell r="Q186" t="str">
            <v>4-6 Months</v>
          </cell>
          <cell r="R186" t="str">
            <v>ACTIVE</v>
          </cell>
        </row>
        <row r="187">
          <cell r="G187" t="str">
            <v>Sarah Poole</v>
          </cell>
          <cell r="H187" t="str">
            <v>David Hitching</v>
          </cell>
          <cell r="I187" t="str">
            <v>FT</v>
          </cell>
          <cell r="J187">
            <v>4400829</v>
          </cell>
          <cell r="K187" t="str">
            <v>AS2165</v>
          </cell>
          <cell r="L187">
            <v>1035965</v>
          </cell>
          <cell r="M187" t="str">
            <v>spool004</v>
          </cell>
          <cell r="N187" t="str">
            <v>LE</v>
          </cell>
          <cell r="O187">
            <v>42997</v>
          </cell>
          <cell r="P187">
            <v>140</v>
          </cell>
          <cell r="Q187" t="str">
            <v>4-6 Months</v>
          </cell>
          <cell r="R187" t="str">
            <v>ACTIVE</v>
          </cell>
        </row>
        <row r="188">
          <cell r="G188" t="str">
            <v>Lorna Simpson</v>
          </cell>
          <cell r="H188" t="str">
            <v>Richard Crellin</v>
          </cell>
          <cell r="I188" t="str">
            <v>PT</v>
          </cell>
          <cell r="J188">
            <v>4400113</v>
          </cell>
          <cell r="K188" t="str">
            <v>AS2035</v>
          </cell>
          <cell r="L188">
            <v>1036185</v>
          </cell>
          <cell r="M188" t="str">
            <v>lsimp008</v>
          </cell>
          <cell r="N188" t="str">
            <v>COM</v>
          </cell>
          <cell r="O188">
            <v>42997</v>
          </cell>
          <cell r="P188">
            <v>140</v>
          </cell>
          <cell r="Q188" t="str">
            <v>4-6 Months</v>
          </cell>
          <cell r="R188" t="str">
            <v>ACTIVE</v>
          </cell>
        </row>
        <row r="189">
          <cell r="G189" t="str">
            <v>Ben Stone</v>
          </cell>
          <cell r="H189" t="str">
            <v>Mark Davies</v>
          </cell>
          <cell r="I189" t="str">
            <v>FT</v>
          </cell>
          <cell r="J189">
            <v>4400841</v>
          </cell>
          <cell r="K189" t="str">
            <v>AS2147</v>
          </cell>
          <cell r="L189">
            <v>1036023</v>
          </cell>
          <cell r="M189" t="str">
            <v>bston008</v>
          </cell>
          <cell r="N189" t="str">
            <v>COM</v>
          </cell>
          <cell r="O189">
            <v>42997</v>
          </cell>
          <cell r="P189">
            <v>140</v>
          </cell>
          <cell r="Q189" t="str">
            <v>4-6 Months</v>
          </cell>
          <cell r="R189" t="str">
            <v>ACTIVE</v>
          </cell>
        </row>
        <row r="190">
          <cell r="G190" t="str">
            <v>Gershom Saji</v>
          </cell>
          <cell r="H190" t="str">
            <v>Mark Elliott</v>
          </cell>
          <cell r="I190" t="str">
            <v>PT</v>
          </cell>
          <cell r="J190">
            <v>4400868</v>
          </cell>
          <cell r="K190" t="str">
            <v>AS2104</v>
          </cell>
          <cell r="L190">
            <v>1036028</v>
          </cell>
          <cell r="M190" t="str">
            <v>gsaji001</v>
          </cell>
          <cell r="N190" t="str">
            <v>COM</v>
          </cell>
          <cell r="O190">
            <v>42997</v>
          </cell>
          <cell r="P190">
            <v>140</v>
          </cell>
          <cell r="Q190" t="str">
            <v>4-6 Months</v>
          </cell>
          <cell r="R190" t="str">
            <v>ACTIVE</v>
          </cell>
        </row>
        <row r="191">
          <cell r="G191" t="str">
            <v>Daniel Haynes</v>
          </cell>
          <cell r="H191" t="str">
            <v>Frazer Hutchinson</v>
          </cell>
          <cell r="I191" t="str">
            <v>PT</v>
          </cell>
          <cell r="J191">
            <v>4400858</v>
          </cell>
          <cell r="K191" t="str">
            <v>AS2111</v>
          </cell>
          <cell r="L191">
            <v>1036187</v>
          </cell>
          <cell r="M191" t="str">
            <v>dhayn009</v>
          </cell>
          <cell r="N191" t="str">
            <v>LE</v>
          </cell>
          <cell r="O191">
            <v>42997</v>
          </cell>
          <cell r="P191">
            <v>140</v>
          </cell>
          <cell r="Q191" t="str">
            <v>4-6 Months</v>
          </cell>
          <cell r="R191" t="str">
            <v>ACTIVE</v>
          </cell>
        </row>
        <row r="192">
          <cell r="G192" t="str">
            <v>Fiona Reid</v>
          </cell>
          <cell r="H192" t="str">
            <v>Chris Adams</v>
          </cell>
          <cell r="I192" t="str">
            <v>FT</v>
          </cell>
          <cell r="J192">
            <v>4400808</v>
          </cell>
          <cell r="K192" t="str">
            <v>AS2196</v>
          </cell>
          <cell r="L192">
            <v>1035974</v>
          </cell>
          <cell r="M192" t="str">
            <v>freid001</v>
          </cell>
          <cell r="N192" t="str">
            <v>LE</v>
          </cell>
          <cell r="O192">
            <v>42997</v>
          </cell>
          <cell r="P192">
            <v>140</v>
          </cell>
          <cell r="Q192" t="str">
            <v>4-6 Months</v>
          </cell>
          <cell r="R192" t="str">
            <v>ACTIVE</v>
          </cell>
        </row>
        <row r="193">
          <cell r="G193" t="str">
            <v>Michelle Bartlett</v>
          </cell>
          <cell r="H193" t="str">
            <v>Frazer Hutchinson</v>
          </cell>
          <cell r="I193" t="str">
            <v>PT</v>
          </cell>
          <cell r="J193">
            <v>4400824</v>
          </cell>
          <cell r="K193" t="str">
            <v>AS2056</v>
          </cell>
          <cell r="L193">
            <v>399822</v>
          </cell>
          <cell r="M193" t="str">
            <v>mbart014</v>
          </cell>
          <cell r="N193" t="str">
            <v>LE</v>
          </cell>
          <cell r="O193">
            <v>42997</v>
          </cell>
          <cell r="P193">
            <v>140</v>
          </cell>
          <cell r="Q193" t="str">
            <v>4-6 Months</v>
          </cell>
          <cell r="R193" t="str">
            <v>ACTIVE</v>
          </cell>
        </row>
        <row r="194">
          <cell r="G194" t="str">
            <v>Kyle McCormick</v>
          </cell>
          <cell r="H194" t="str">
            <v>Mark Davies</v>
          </cell>
          <cell r="I194" t="str">
            <v>FT</v>
          </cell>
          <cell r="J194">
            <v>4400863</v>
          </cell>
          <cell r="K194" t="str">
            <v>AS2208</v>
          </cell>
          <cell r="L194">
            <v>1036195</v>
          </cell>
          <cell r="M194" t="str">
            <v>kmcco016</v>
          </cell>
          <cell r="N194" t="str">
            <v>COM</v>
          </cell>
          <cell r="O194">
            <v>42997</v>
          </cell>
          <cell r="P194">
            <v>140</v>
          </cell>
          <cell r="Q194" t="str">
            <v>4-6 Months</v>
          </cell>
          <cell r="R194" t="str">
            <v>ACTIVE</v>
          </cell>
        </row>
        <row r="195">
          <cell r="G195" t="str">
            <v>Samantha Guscott</v>
          </cell>
          <cell r="H195" t="str">
            <v>Natalie Lubienski</v>
          </cell>
          <cell r="I195" t="str">
            <v>PT</v>
          </cell>
          <cell r="J195">
            <v>4400066</v>
          </cell>
          <cell r="K195" t="str">
            <v>AS2026</v>
          </cell>
          <cell r="L195">
            <v>393435</v>
          </cell>
          <cell r="M195" t="str">
            <v>sgusc002</v>
          </cell>
          <cell r="N195" t="str">
            <v>CSA</v>
          </cell>
          <cell r="O195">
            <v>43003</v>
          </cell>
          <cell r="P195">
            <v>134</v>
          </cell>
          <cell r="Q195" t="str">
            <v>4-6 Months</v>
          </cell>
          <cell r="R195" t="str">
            <v>ACTIVE</v>
          </cell>
        </row>
        <row r="196">
          <cell r="G196" t="str">
            <v>Anthony Reynolds</v>
          </cell>
          <cell r="H196" t="str">
            <v>Sean Rowe</v>
          </cell>
          <cell r="I196" t="str">
            <v>FT</v>
          </cell>
          <cell r="J196">
            <v>4408903</v>
          </cell>
          <cell r="K196" t="str">
            <v>AS4053</v>
          </cell>
          <cell r="L196">
            <v>1034358</v>
          </cell>
          <cell r="M196" t="str">
            <v>areyn030</v>
          </cell>
          <cell r="N196" t="str">
            <v>OTH</v>
          </cell>
          <cell r="O196">
            <v>42989</v>
          </cell>
          <cell r="P196">
            <v>148</v>
          </cell>
          <cell r="Q196" t="str">
            <v>4-6 Months</v>
          </cell>
          <cell r="R196" t="str">
            <v>ACTIVE</v>
          </cell>
        </row>
        <row r="197">
          <cell r="G197" t="str">
            <v>Antonia Denham</v>
          </cell>
          <cell r="H197" t="str">
            <v>Sean Rowe</v>
          </cell>
          <cell r="I197" t="str">
            <v>FT</v>
          </cell>
          <cell r="J197">
            <v>4408900</v>
          </cell>
          <cell r="K197" t="str">
            <v>AS4050</v>
          </cell>
          <cell r="L197">
            <v>1034371</v>
          </cell>
          <cell r="M197" t="str">
            <v>adenh004</v>
          </cell>
          <cell r="N197" t="str">
            <v>OTH</v>
          </cell>
          <cell r="O197">
            <v>42989</v>
          </cell>
          <cell r="P197">
            <v>148</v>
          </cell>
          <cell r="Q197" t="str">
            <v>4-6 Months</v>
          </cell>
          <cell r="R197" t="str">
            <v>ACTIVE</v>
          </cell>
        </row>
        <row r="198">
          <cell r="G198" t="str">
            <v>Brian Bray</v>
          </cell>
          <cell r="H198" t="str">
            <v>Sean Rowe</v>
          </cell>
          <cell r="I198" t="str">
            <v>FT</v>
          </cell>
          <cell r="J198">
            <v>4408908</v>
          </cell>
          <cell r="K198" t="str">
            <v>AS4058</v>
          </cell>
          <cell r="L198">
            <v>1034379</v>
          </cell>
          <cell r="M198" t="str">
            <v>bbray002</v>
          </cell>
          <cell r="N198" t="str">
            <v>OTH</v>
          </cell>
          <cell r="O198">
            <v>42989</v>
          </cell>
          <cell r="P198">
            <v>148</v>
          </cell>
          <cell r="Q198" t="str">
            <v>4-6 Months</v>
          </cell>
          <cell r="R198" t="str">
            <v>ACTIVE</v>
          </cell>
        </row>
        <row r="199">
          <cell r="G199" t="str">
            <v>Georgina Marshall</v>
          </cell>
          <cell r="H199" t="str">
            <v>Sean Rowe</v>
          </cell>
          <cell r="I199" t="str">
            <v>FT</v>
          </cell>
          <cell r="J199">
            <v>4408904</v>
          </cell>
          <cell r="K199" t="str">
            <v>AS4054</v>
          </cell>
          <cell r="L199">
            <v>1034318</v>
          </cell>
          <cell r="M199" t="str">
            <v>gmars004</v>
          </cell>
          <cell r="N199" t="str">
            <v>OTH</v>
          </cell>
          <cell r="O199">
            <v>42989</v>
          </cell>
          <cell r="P199">
            <v>148</v>
          </cell>
          <cell r="Q199" t="str">
            <v>4-6 Months</v>
          </cell>
          <cell r="R199" t="str">
            <v>ACTIVE</v>
          </cell>
        </row>
        <row r="200">
          <cell r="G200" t="str">
            <v>James Addison</v>
          </cell>
          <cell r="H200" t="str">
            <v>Sean Rowe</v>
          </cell>
          <cell r="I200" t="str">
            <v>PT</v>
          </cell>
          <cell r="J200">
            <v>4408919</v>
          </cell>
          <cell r="K200" t="str">
            <v>AS4070</v>
          </cell>
          <cell r="L200">
            <v>1034353</v>
          </cell>
          <cell r="M200" t="str">
            <v>jaddi003</v>
          </cell>
          <cell r="N200" t="str">
            <v>OTH</v>
          </cell>
          <cell r="O200">
            <v>42989</v>
          </cell>
          <cell r="P200">
            <v>148</v>
          </cell>
          <cell r="Q200" t="str">
            <v>4-6 Months</v>
          </cell>
          <cell r="R200" t="str">
            <v>ACTIVE</v>
          </cell>
        </row>
        <row r="201">
          <cell r="G201" t="str">
            <v>Jennifer Sanderson</v>
          </cell>
          <cell r="H201" t="str">
            <v>Sean Rowe</v>
          </cell>
          <cell r="I201" t="str">
            <v>PT</v>
          </cell>
          <cell r="J201">
            <v>4408915</v>
          </cell>
          <cell r="K201" t="str">
            <v>AS4066</v>
          </cell>
          <cell r="L201">
            <v>1034333</v>
          </cell>
          <cell r="M201" t="str">
            <v>jsand105</v>
          </cell>
          <cell r="N201" t="str">
            <v>OTH</v>
          </cell>
          <cell r="O201">
            <v>42989</v>
          </cell>
          <cell r="P201">
            <v>148</v>
          </cell>
          <cell r="Q201" t="str">
            <v>4-6 Months</v>
          </cell>
          <cell r="R201" t="str">
            <v>ACTIVE</v>
          </cell>
        </row>
        <row r="202">
          <cell r="G202" t="str">
            <v>Julie Hartshorn</v>
          </cell>
          <cell r="H202" t="str">
            <v>Sean Rowe</v>
          </cell>
          <cell r="I202" t="str">
            <v>PT</v>
          </cell>
          <cell r="J202">
            <v>4408914</v>
          </cell>
          <cell r="K202" t="str">
            <v>AS4065</v>
          </cell>
          <cell r="L202">
            <v>1034349</v>
          </cell>
          <cell r="M202" t="str">
            <v>jhart036</v>
          </cell>
          <cell r="N202" t="str">
            <v>OTH</v>
          </cell>
          <cell r="O202">
            <v>42989</v>
          </cell>
          <cell r="P202">
            <v>148</v>
          </cell>
          <cell r="Q202" t="str">
            <v>4-6 Months</v>
          </cell>
          <cell r="R202" t="str">
            <v>ACTIVE</v>
          </cell>
        </row>
        <row r="203">
          <cell r="G203" t="str">
            <v>Kayleigh Pennington</v>
          </cell>
          <cell r="H203" t="str">
            <v>Sean Rowe</v>
          </cell>
          <cell r="I203" t="str">
            <v>PT</v>
          </cell>
          <cell r="J203">
            <v>4408913</v>
          </cell>
          <cell r="K203" t="str">
            <v>AS4064</v>
          </cell>
          <cell r="L203">
            <v>1034314</v>
          </cell>
          <cell r="M203" t="str">
            <v>kpenn013</v>
          </cell>
          <cell r="N203" t="str">
            <v>OTH</v>
          </cell>
          <cell r="O203">
            <v>42989</v>
          </cell>
          <cell r="P203">
            <v>148</v>
          </cell>
          <cell r="Q203" t="str">
            <v>4-6 Months</v>
          </cell>
          <cell r="R203" t="str">
            <v>ACTIVE</v>
          </cell>
        </row>
        <row r="204">
          <cell r="G204" t="str">
            <v>Peter Davies</v>
          </cell>
          <cell r="H204" t="str">
            <v>Sean Rowe</v>
          </cell>
          <cell r="I204" t="str">
            <v>FT</v>
          </cell>
          <cell r="J204">
            <v>4408901</v>
          </cell>
          <cell r="K204" t="str">
            <v>AS4051</v>
          </cell>
          <cell r="L204">
            <v>1034283</v>
          </cell>
          <cell r="M204" t="str">
            <v>pdavi037</v>
          </cell>
          <cell r="N204" t="str">
            <v>OTH</v>
          </cell>
          <cell r="O204">
            <v>42989</v>
          </cell>
          <cell r="P204">
            <v>148</v>
          </cell>
          <cell r="Q204" t="str">
            <v>4-6 Months</v>
          </cell>
          <cell r="R204" t="str">
            <v>ACTIVE</v>
          </cell>
        </row>
        <row r="205">
          <cell r="G205" t="str">
            <v>Simon Petters-Smith</v>
          </cell>
          <cell r="H205" t="str">
            <v>Sean Rowe</v>
          </cell>
          <cell r="I205" t="str">
            <v>FT</v>
          </cell>
          <cell r="J205">
            <v>4408906</v>
          </cell>
          <cell r="K205" t="str">
            <v>AS4056</v>
          </cell>
          <cell r="L205">
            <v>1034393</v>
          </cell>
          <cell r="M205" t="str">
            <v>spett007</v>
          </cell>
          <cell r="N205" t="str">
            <v>OTH</v>
          </cell>
          <cell r="O205">
            <v>42989</v>
          </cell>
          <cell r="P205">
            <v>148</v>
          </cell>
          <cell r="Q205" t="str">
            <v>4-6 Months</v>
          </cell>
          <cell r="R205" t="str">
            <v>ACTIVE</v>
          </cell>
        </row>
        <row r="206">
          <cell r="G206" t="str">
            <v>Venessa Acheampong</v>
          </cell>
          <cell r="H206" t="str">
            <v>Sean Rowe</v>
          </cell>
          <cell r="I206" t="str">
            <v>PT</v>
          </cell>
          <cell r="J206">
            <v>4408918</v>
          </cell>
          <cell r="K206" t="str">
            <v>AS4069</v>
          </cell>
          <cell r="L206">
            <v>1034384</v>
          </cell>
          <cell r="M206" t="str">
            <v>vache001</v>
          </cell>
          <cell r="N206" t="str">
            <v>OTH</v>
          </cell>
          <cell r="O206">
            <v>42989</v>
          </cell>
          <cell r="P206">
            <v>148</v>
          </cell>
          <cell r="Q206" t="str">
            <v>4-6 Months</v>
          </cell>
          <cell r="R206" t="str">
            <v>ACTIVE</v>
          </cell>
        </row>
        <row r="207">
          <cell r="G207" t="str">
            <v>Senan Graham</v>
          </cell>
          <cell r="H207" t="str">
            <v>Antonio Follano</v>
          </cell>
          <cell r="I207" t="str">
            <v>FT</v>
          </cell>
          <cell r="J207">
            <v>4400802</v>
          </cell>
          <cell r="K207" t="str">
            <v>AS2301</v>
          </cell>
          <cell r="L207">
            <v>1041612</v>
          </cell>
          <cell r="M207" t="str">
            <v>sgrah019</v>
          </cell>
          <cell r="N207" t="str">
            <v>ATV</v>
          </cell>
          <cell r="O207">
            <v>43017</v>
          </cell>
          <cell r="P207">
            <v>120</v>
          </cell>
          <cell r="Q207" t="str">
            <v>2-4 Months</v>
          </cell>
          <cell r="R207" t="str">
            <v>ACTIVE</v>
          </cell>
        </row>
        <row r="208">
          <cell r="G208" t="str">
            <v>Dany Warren</v>
          </cell>
          <cell r="H208" t="str">
            <v>Chris Adams</v>
          </cell>
          <cell r="I208" t="str">
            <v>FT</v>
          </cell>
          <cell r="J208">
            <v>4400817</v>
          </cell>
          <cell r="K208" t="str">
            <v>AS2303</v>
          </cell>
          <cell r="L208">
            <v>1042131</v>
          </cell>
          <cell r="M208" t="str">
            <v>dwarr013</v>
          </cell>
          <cell r="N208" t="str">
            <v>LE</v>
          </cell>
          <cell r="O208">
            <v>43017</v>
          </cell>
          <cell r="P208">
            <v>120</v>
          </cell>
          <cell r="Q208" t="str">
            <v>2-4 Months</v>
          </cell>
          <cell r="R208" t="str">
            <v>ACTIVE</v>
          </cell>
        </row>
        <row r="209">
          <cell r="G209" t="str">
            <v>Scott Harvey</v>
          </cell>
          <cell r="H209" t="str">
            <v>David Hitching</v>
          </cell>
          <cell r="I209" t="str">
            <v>FT</v>
          </cell>
          <cell r="J209">
            <v>4400846</v>
          </cell>
          <cell r="K209" t="str">
            <v>AS2304</v>
          </cell>
          <cell r="L209">
            <v>1042178</v>
          </cell>
          <cell r="M209" t="str">
            <v>sharv018</v>
          </cell>
          <cell r="N209" t="str">
            <v>LE</v>
          </cell>
          <cell r="O209">
            <v>43017</v>
          </cell>
          <cell r="P209">
            <v>120</v>
          </cell>
          <cell r="Q209" t="str">
            <v>2-4 Months</v>
          </cell>
          <cell r="R209" t="str">
            <v>ACTIVE</v>
          </cell>
        </row>
        <row r="210">
          <cell r="G210" t="str">
            <v>Kathryn Titheridge</v>
          </cell>
          <cell r="H210" t="str">
            <v>Michael Ennals</v>
          </cell>
          <cell r="I210" t="str">
            <v>PT</v>
          </cell>
          <cell r="J210">
            <v>4400200</v>
          </cell>
          <cell r="K210" t="str">
            <v>AS2306</v>
          </cell>
          <cell r="L210">
            <v>1042571</v>
          </cell>
          <cell r="M210" t="str">
            <v>ktith001</v>
          </cell>
          <cell r="N210" t="str">
            <v>ATV</v>
          </cell>
          <cell r="O210">
            <v>43017</v>
          </cell>
          <cell r="P210">
            <v>120</v>
          </cell>
          <cell r="Q210" t="str">
            <v>2-4 Months</v>
          </cell>
          <cell r="R210" t="str">
            <v>ACTIVE</v>
          </cell>
        </row>
        <row r="211">
          <cell r="G211" t="str">
            <v>Rachel Ekstein-Walker</v>
          </cell>
          <cell r="H211" t="str">
            <v>Antonio Follano</v>
          </cell>
          <cell r="I211" t="str">
            <v>PT</v>
          </cell>
          <cell r="J211">
            <v>4400173</v>
          </cell>
          <cell r="K211" t="str">
            <v>AS2308</v>
          </cell>
          <cell r="L211">
            <v>1042254</v>
          </cell>
          <cell r="M211" t="str">
            <v>rekst001</v>
          </cell>
          <cell r="N211" t="str">
            <v>ATV</v>
          </cell>
          <cell r="O211">
            <v>43017</v>
          </cell>
          <cell r="P211">
            <v>120</v>
          </cell>
          <cell r="Q211" t="str">
            <v>2-4 Months</v>
          </cell>
          <cell r="R211" t="str">
            <v>ACTIVE</v>
          </cell>
        </row>
        <row r="212">
          <cell r="G212" t="str">
            <v>Zac Newsome</v>
          </cell>
          <cell r="H212" t="str">
            <v>Chris Adams</v>
          </cell>
          <cell r="I212" t="str">
            <v>FT</v>
          </cell>
          <cell r="J212">
            <v>4400873</v>
          </cell>
          <cell r="K212" t="str">
            <v>AS2313</v>
          </cell>
          <cell r="L212">
            <v>1042201</v>
          </cell>
          <cell r="M212" t="str">
            <v>znews001</v>
          </cell>
          <cell r="N212" t="str">
            <v>LE</v>
          </cell>
          <cell r="O212">
            <v>43017</v>
          </cell>
          <cell r="P212">
            <v>120</v>
          </cell>
          <cell r="Q212" t="str">
            <v>2-4 Months</v>
          </cell>
          <cell r="R212" t="str">
            <v>ACTIVE</v>
          </cell>
        </row>
        <row r="213">
          <cell r="G213" t="str">
            <v>Chris Coughlan</v>
          </cell>
          <cell r="H213" t="str">
            <v>Chris Adams</v>
          </cell>
          <cell r="I213" t="str">
            <v>FT</v>
          </cell>
          <cell r="J213">
            <v>4400826</v>
          </cell>
          <cell r="K213" t="str">
            <v>AS2315</v>
          </cell>
          <cell r="L213">
            <v>1042166</v>
          </cell>
          <cell r="M213" t="str">
            <v>ccoug002</v>
          </cell>
          <cell r="N213" t="str">
            <v>LE</v>
          </cell>
          <cell r="O213">
            <v>43017</v>
          </cell>
          <cell r="P213">
            <v>120</v>
          </cell>
          <cell r="Q213" t="str">
            <v>2-4 Months</v>
          </cell>
          <cell r="R213" t="str">
            <v>ACTIVE</v>
          </cell>
        </row>
        <row r="214">
          <cell r="G214" t="str">
            <v>James Chalker-Halsey</v>
          </cell>
          <cell r="H214" t="str">
            <v>Michael Ennals</v>
          </cell>
          <cell r="I214" t="str">
            <v>FT</v>
          </cell>
          <cell r="J214">
            <v>4400465</v>
          </cell>
          <cell r="K214" t="str">
            <v>AS2316</v>
          </cell>
          <cell r="L214">
            <v>1042599</v>
          </cell>
          <cell r="M214" t="str">
            <v>jchal007</v>
          </cell>
          <cell r="N214" t="str">
            <v>ATV</v>
          </cell>
          <cell r="O214">
            <v>43017</v>
          </cell>
          <cell r="P214">
            <v>120</v>
          </cell>
          <cell r="Q214" t="str">
            <v>2-4 Months</v>
          </cell>
          <cell r="R214" t="str">
            <v>ACTIVE</v>
          </cell>
        </row>
        <row r="215">
          <cell r="G215" t="str">
            <v>Mrinalini Mustafee</v>
          </cell>
          <cell r="H215" t="str">
            <v>Frazer Hutchinson</v>
          </cell>
          <cell r="I215" t="str">
            <v>FT</v>
          </cell>
          <cell r="J215">
            <v>4400854</v>
          </cell>
          <cell r="K215" t="str">
            <v>AS2317</v>
          </cell>
          <cell r="L215">
            <v>1041616</v>
          </cell>
          <cell r="M215" t="str">
            <v>mmust010</v>
          </cell>
          <cell r="N215" t="str">
            <v>LE</v>
          </cell>
          <cell r="O215">
            <v>43017</v>
          </cell>
          <cell r="P215">
            <v>120</v>
          </cell>
          <cell r="Q215" t="str">
            <v>2-4 Months</v>
          </cell>
          <cell r="R215" t="str">
            <v>DevBay</v>
          </cell>
        </row>
        <row r="216">
          <cell r="G216" t="str">
            <v>Leon Carnell</v>
          </cell>
          <cell r="H216" t="str">
            <v>David Hitching</v>
          </cell>
          <cell r="I216" t="str">
            <v>FT</v>
          </cell>
          <cell r="J216">
            <v>4400840</v>
          </cell>
          <cell r="K216" t="str">
            <v>AS2318</v>
          </cell>
          <cell r="L216">
            <v>1041618</v>
          </cell>
          <cell r="M216" t="str">
            <v>lcarn007</v>
          </cell>
          <cell r="N216" t="str">
            <v>LE</v>
          </cell>
          <cell r="O216">
            <v>43017</v>
          </cell>
          <cell r="P216">
            <v>120</v>
          </cell>
          <cell r="Q216" t="str">
            <v>2-4 Months</v>
          </cell>
          <cell r="R216" t="str">
            <v>ACTIVE</v>
          </cell>
        </row>
        <row r="217">
          <cell r="G217" t="str">
            <v>Thomas Perkins</v>
          </cell>
          <cell r="H217" t="str">
            <v>Frazer Hutchinson</v>
          </cell>
          <cell r="I217" t="str">
            <v>PT</v>
          </cell>
          <cell r="J217">
            <v>4400194</v>
          </cell>
          <cell r="K217" t="str">
            <v>AS2321</v>
          </cell>
          <cell r="L217">
            <v>1042549</v>
          </cell>
          <cell r="M217" t="str">
            <v>tperk009</v>
          </cell>
          <cell r="N217" t="str">
            <v>ATV</v>
          </cell>
          <cell r="O217">
            <v>43017</v>
          </cell>
          <cell r="P217">
            <v>120</v>
          </cell>
          <cell r="Q217" t="str">
            <v>2-4 Months</v>
          </cell>
          <cell r="R217" t="str">
            <v>ACTIVE</v>
          </cell>
        </row>
        <row r="218">
          <cell r="G218" t="str">
            <v>Alexander Hogg</v>
          </cell>
          <cell r="H218" t="str">
            <v>David Hitching</v>
          </cell>
          <cell r="I218" t="str">
            <v>FT</v>
          </cell>
          <cell r="J218">
            <v>4400838</v>
          </cell>
          <cell r="K218" t="str">
            <v>AS2323</v>
          </cell>
          <cell r="L218">
            <v>1041615</v>
          </cell>
          <cell r="M218" t="str">
            <v>ahogg004</v>
          </cell>
          <cell r="N218" t="str">
            <v>LE</v>
          </cell>
          <cell r="O218">
            <v>43017</v>
          </cell>
          <cell r="P218">
            <v>120</v>
          </cell>
          <cell r="Q218" t="str">
            <v>2-4 Months</v>
          </cell>
          <cell r="R218" t="str">
            <v>ACTIVE</v>
          </cell>
        </row>
        <row r="219">
          <cell r="G219" t="str">
            <v>Patrice Jackson</v>
          </cell>
          <cell r="H219" t="str">
            <v>Frazer Hutchinson</v>
          </cell>
          <cell r="I219" t="str">
            <v>PT</v>
          </cell>
          <cell r="J219">
            <v>4400814</v>
          </cell>
          <cell r="K219" t="str">
            <v>AS2328</v>
          </cell>
          <cell r="L219">
            <v>1042157</v>
          </cell>
          <cell r="M219" t="str">
            <v>pjack014</v>
          </cell>
          <cell r="N219" t="str">
            <v>LE</v>
          </cell>
          <cell r="O219">
            <v>43017</v>
          </cell>
          <cell r="P219">
            <v>120</v>
          </cell>
          <cell r="Q219" t="str">
            <v>2-4 Months</v>
          </cell>
          <cell r="R219" t="str">
            <v>DevBay</v>
          </cell>
        </row>
        <row r="220">
          <cell r="G220" t="str">
            <v>Tayo Odubore</v>
          </cell>
          <cell r="H220" t="str">
            <v>Antonio Follano</v>
          </cell>
          <cell r="I220" t="str">
            <v>FT</v>
          </cell>
          <cell r="J220">
            <v>4400181</v>
          </cell>
          <cell r="K220" t="str">
            <v>AS2329</v>
          </cell>
          <cell r="L220">
            <v>1042565</v>
          </cell>
          <cell r="M220" t="str">
            <v>todub001</v>
          </cell>
          <cell r="N220" t="str">
            <v>ATV</v>
          </cell>
          <cell r="O220">
            <v>43017</v>
          </cell>
          <cell r="P220">
            <v>120</v>
          </cell>
          <cell r="Q220" t="str">
            <v>2-4 Months</v>
          </cell>
          <cell r="R220" t="str">
            <v>ACTIVE</v>
          </cell>
        </row>
        <row r="221">
          <cell r="G221" t="str">
            <v>Joshua Sims</v>
          </cell>
          <cell r="H221" t="str">
            <v>Frazer Hutchinson</v>
          </cell>
          <cell r="I221" t="str">
            <v>PT</v>
          </cell>
          <cell r="J221">
            <v>4400466</v>
          </cell>
          <cell r="K221" t="str">
            <v>AS2330</v>
          </cell>
          <cell r="L221">
            <v>1042581</v>
          </cell>
          <cell r="M221" t="str">
            <v>jsims017</v>
          </cell>
          <cell r="N221" t="str">
            <v>ATV</v>
          </cell>
          <cell r="O221">
            <v>43017</v>
          </cell>
          <cell r="P221">
            <v>120</v>
          </cell>
          <cell r="Q221" t="str">
            <v>2-4 Months</v>
          </cell>
          <cell r="R221" t="str">
            <v>DevBay</v>
          </cell>
        </row>
        <row r="222">
          <cell r="G222" t="str">
            <v>Joni Terry</v>
          </cell>
          <cell r="H222" t="str">
            <v>David Hitching</v>
          </cell>
          <cell r="I222" t="str">
            <v>FT</v>
          </cell>
          <cell r="J222">
            <v>4401005</v>
          </cell>
          <cell r="K222" t="str">
            <v>AS2018</v>
          </cell>
          <cell r="L222">
            <v>1044148</v>
          </cell>
          <cell r="M222" t="str">
            <v>jterr017</v>
          </cell>
          <cell r="N222" t="str">
            <v>LE</v>
          </cell>
          <cell r="O222">
            <v>43024</v>
          </cell>
          <cell r="P222">
            <v>113</v>
          </cell>
          <cell r="Q222" t="str">
            <v>2-4 Months</v>
          </cell>
          <cell r="R222" t="str">
            <v>ACTIVE</v>
          </cell>
        </row>
        <row r="223">
          <cell r="G223" t="str">
            <v>Jordan Copland</v>
          </cell>
          <cell r="H223" t="str">
            <v>Mark Davies</v>
          </cell>
          <cell r="I223" t="str">
            <v>FT</v>
          </cell>
          <cell r="J223">
            <v>4400097</v>
          </cell>
          <cell r="K223" t="str">
            <v>AS2217</v>
          </cell>
          <cell r="L223">
            <v>1044151</v>
          </cell>
          <cell r="M223" t="str">
            <v>jcopl003</v>
          </cell>
          <cell r="N223" t="str">
            <v>COM</v>
          </cell>
          <cell r="O223">
            <v>43024</v>
          </cell>
          <cell r="P223">
            <v>113</v>
          </cell>
          <cell r="Q223" t="str">
            <v>2-4 Months</v>
          </cell>
          <cell r="R223" t="str">
            <v>ACTIVE</v>
          </cell>
        </row>
        <row r="224">
          <cell r="G224" t="str">
            <v>Kelly Tucker</v>
          </cell>
          <cell r="H224" t="str">
            <v>Mark Davies</v>
          </cell>
          <cell r="I224" t="str">
            <v>FT</v>
          </cell>
          <cell r="J224">
            <v>4400138</v>
          </cell>
          <cell r="K224" t="str">
            <v>AS2160</v>
          </cell>
          <cell r="L224">
            <v>1044138</v>
          </cell>
          <cell r="M224" t="str">
            <v>ktuck009</v>
          </cell>
          <cell r="N224" t="str">
            <v>COM</v>
          </cell>
          <cell r="O224">
            <v>43024</v>
          </cell>
          <cell r="P224">
            <v>113</v>
          </cell>
          <cell r="Q224" t="str">
            <v>2-4 Months</v>
          </cell>
          <cell r="R224" t="str">
            <v>ACTIVE</v>
          </cell>
        </row>
        <row r="225">
          <cell r="G225" t="str">
            <v>Antonio Follano</v>
          </cell>
          <cell r="H225" t="str">
            <v>Rowan Marshall</v>
          </cell>
          <cell r="I225" t="str">
            <v>FT</v>
          </cell>
          <cell r="J225">
            <v>4400116</v>
          </cell>
          <cell r="K225" t="str">
            <v>AS2059</v>
          </cell>
          <cell r="L225">
            <v>1044174</v>
          </cell>
          <cell r="M225" t="str">
            <v>afoll003</v>
          </cell>
          <cell r="N225" t="str">
            <v>TM</v>
          </cell>
          <cell r="O225">
            <v>43024</v>
          </cell>
          <cell r="P225">
            <v>113</v>
          </cell>
          <cell r="Q225" t="str">
            <v>2-4 Months</v>
          </cell>
          <cell r="R225" t="str">
            <v>ACTIVE</v>
          </cell>
        </row>
        <row r="226">
          <cell r="G226" t="str">
            <v>Marcus Stevenson</v>
          </cell>
          <cell r="H226" t="str">
            <v>Nathian Carnall</v>
          </cell>
          <cell r="I226" t="str">
            <v>FT</v>
          </cell>
          <cell r="L226">
            <v>1036921</v>
          </cell>
          <cell r="M226" t="str">
            <v>mstev019</v>
          </cell>
          <cell r="N226" t="str">
            <v>Snr Ops Mgr</v>
          </cell>
          <cell r="O226">
            <v>43003</v>
          </cell>
          <cell r="P226">
            <v>134</v>
          </cell>
          <cell r="Q226" t="str">
            <v>4-6 Months</v>
          </cell>
          <cell r="R226" t="str">
            <v>ACTIVE</v>
          </cell>
        </row>
        <row r="227">
          <cell r="G227" t="str">
            <v>Mita Purohit</v>
          </cell>
          <cell r="H227" t="str">
            <v>David Hitching</v>
          </cell>
          <cell r="I227" t="str">
            <v>FT</v>
          </cell>
          <cell r="J227">
            <v>4401006</v>
          </cell>
          <cell r="K227" t="str">
            <v>AS2169</v>
          </cell>
          <cell r="L227">
            <v>1045923</v>
          </cell>
          <cell r="M227" t="str">
            <v>mpuro003</v>
          </cell>
          <cell r="N227" t="str">
            <v>LE</v>
          </cell>
          <cell r="O227">
            <v>43031</v>
          </cell>
          <cell r="P227">
            <v>106</v>
          </cell>
          <cell r="Q227" t="str">
            <v>2-4 Months</v>
          </cell>
          <cell r="R227" t="str">
            <v>ACTIVE</v>
          </cell>
        </row>
        <row r="228">
          <cell r="G228" t="str">
            <v>Amy Batchelor</v>
          </cell>
          <cell r="H228" t="str">
            <v>Chris Adams</v>
          </cell>
          <cell r="I228" t="str">
            <v>FT</v>
          </cell>
          <cell r="J228">
            <v>4401007</v>
          </cell>
          <cell r="K228" t="str">
            <v>AS2148</v>
          </cell>
          <cell r="L228">
            <v>1045937</v>
          </cell>
          <cell r="M228" t="str">
            <v>abatc001</v>
          </cell>
          <cell r="N228" t="str">
            <v>LE</v>
          </cell>
          <cell r="O228">
            <v>43031</v>
          </cell>
          <cell r="P228">
            <v>106</v>
          </cell>
          <cell r="Q228" t="str">
            <v>2-4 Months</v>
          </cell>
          <cell r="R228" t="str">
            <v>ACTIVE</v>
          </cell>
        </row>
        <row r="229">
          <cell r="G229" t="str">
            <v>Georgia Gaffney</v>
          </cell>
          <cell r="H229" t="str">
            <v>Chris Adams</v>
          </cell>
          <cell r="I229" t="str">
            <v>FT</v>
          </cell>
          <cell r="J229">
            <v>4401008</v>
          </cell>
          <cell r="K229" t="str">
            <v>AS2042</v>
          </cell>
          <cell r="L229">
            <v>1045956</v>
          </cell>
          <cell r="M229" t="str">
            <v>ggaff001</v>
          </cell>
          <cell r="N229" t="str">
            <v>LE</v>
          </cell>
          <cell r="O229">
            <v>43031</v>
          </cell>
          <cell r="P229">
            <v>106</v>
          </cell>
          <cell r="Q229" t="str">
            <v>2-4 Months</v>
          </cell>
          <cell r="R229" t="str">
            <v>ACTIVE</v>
          </cell>
        </row>
        <row r="230">
          <cell r="G230" t="str">
            <v>Kyle Shaw</v>
          </cell>
          <cell r="H230" t="str">
            <v>Antonio Follano</v>
          </cell>
          <cell r="I230" t="str">
            <v>FT</v>
          </cell>
          <cell r="J230">
            <v>4401048</v>
          </cell>
          <cell r="K230" t="str">
            <v>AS2230</v>
          </cell>
          <cell r="L230">
            <v>1045965</v>
          </cell>
          <cell r="M230" t="str">
            <v>kshaw014</v>
          </cell>
          <cell r="N230" t="str">
            <v>ATV</v>
          </cell>
          <cell r="O230">
            <v>43031</v>
          </cell>
          <cell r="P230">
            <v>106</v>
          </cell>
          <cell r="Q230" t="str">
            <v>2-4 Months</v>
          </cell>
          <cell r="R230" t="str">
            <v>ACTIVE</v>
          </cell>
        </row>
        <row r="231">
          <cell r="G231" t="str">
            <v>Martin Hastings</v>
          </cell>
          <cell r="H231" t="str">
            <v>Chris Adams</v>
          </cell>
          <cell r="I231" t="str">
            <v>FT</v>
          </cell>
          <cell r="J231">
            <v>4401009</v>
          </cell>
          <cell r="K231" t="str">
            <v>AS2091</v>
          </cell>
          <cell r="L231">
            <v>1045862</v>
          </cell>
          <cell r="M231" t="str">
            <v>mhast001</v>
          </cell>
          <cell r="N231" t="str">
            <v>LE</v>
          </cell>
          <cell r="O231">
            <v>43031</v>
          </cell>
          <cell r="P231">
            <v>106</v>
          </cell>
          <cell r="Q231" t="str">
            <v>2-4 Months</v>
          </cell>
          <cell r="R231" t="str">
            <v>ACTIVE</v>
          </cell>
        </row>
        <row r="232">
          <cell r="G232" t="str">
            <v>Carren Northey</v>
          </cell>
          <cell r="H232" t="str">
            <v>Antonio Follano</v>
          </cell>
          <cell r="I232" t="str">
            <v>FT</v>
          </cell>
          <cell r="J232">
            <v>4401049</v>
          </cell>
          <cell r="K232" t="str">
            <v>AS2069</v>
          </cell>
          <cell r="L232">
            <v>1045905</v>
          </cell>
          <cell r="M232" t="str">
            <v>cnort008</v>
          </cell>
          <cell r="N232" t="str">
            <v>ATV</v>
          </cell>
          <cell r="O232">
            <v>43031</v>
          </cell>
          <cell r="P232">
            <v>106</v>
          </cell>
          <cell r="Q232" t="str">
            <v>2-4 Months</v>
          </cell>
          <cell r="R232" t="str">
            <v>ACTIVE</v>
          </cell>
        </row>
        <row r="233">
          <cell r="G233" t="str">
            <v>Bradley AJ Taylor</v>
          </cell>
          <cell r="H233" t="str">
            <v>Frazer Hutchinson</v>
          </cell>
          <cell r="I233" t="str">
            <v>PT</v>
          </cell>
          <cell r="J233">
            <v>4401056</v>
          </cell>
          <cell r="K233" t="str">
            <v>AS2082</v>
          </cell>
          <cell r="L233">
            <v>1045926</v>
          </cell>
          <cell r="M233" t="str">
            <v>btayl054</v>
          </cell>
          <cell r="N233" t="str">
            <v>ATV</v>
          </cell>
          <cell r="O233">
            <v>43031</v>
          </cell>
          <cell r="P233">
            <v>106</v>
          </cell>
          <cell r="Q233" t="str">
            <v>2-4 Months</v>
          </cell>
          <cell r="R233" t="str">
            <v>DevBay</v>
          </cell>
        </row>
        <row r="234">
          <cell r="G234" t="str">
            <v>Michelle Vickery</v>
          </cell>
          <cell r="H234" t="str">
            <v>Chris Adams</v>
          </cell>
          <cell r="I234" t="str">
            <v>FT</v>
          </cell>
          <cell r="J234">
            <v>4400827</v>
          </cell>
          <cell r="K234" t="str">
            <v>AS2167</v>
          </cell>
          <cell r="L234">
            <v>413546</v>
          </cell>
          <cell r="M234" t="str">
            <v>mvick008</v>
          </cell>
          <cell r="N234" t="str">
            <v>LE</v>
          </cell>
          <cell r="O234">
            <v>43031</v>
          </cell>
          <cell r="P234">
            <v>106</v>
          </cell>
          <cell r="Q234" t="str">
            <v>2-4 Months</v>
          </cell>
          <cell r="R234" t="str">
            <v>ACTIVE</v>
          </cell>
        </row>
        <row r="235">
          <cell r="G235" t="str">
            <v>Rhys Tate</v>
          </cell>
          <cell r="H235" t="str">
            <v>Michael Ennals</v>
          </cell>
          <cell r="I235" t="str">
            <v>PT</v>
          </cell>
          <cell r="J235">
            <v>4401057</v>
          </cell>
          <cell r="K235" t="str">
            <v>AS2178</v>
          </cell>
          <cell r="L235">
            <v>1045929</v>
          </cell>
          <cell r="M235" t="str">
            <v>rtate004</v>
          </cell>
          <cell r="N235" t="str">
            <v>ATV</v>
          </cell>
          <cell r="O235">
            <v>43031</v>
          </cell>
          <cell r="P235">
            <v>106</v>
          </cell>
          <cell r="Q235" t="str">
            <v>2-4 Months</v>
          </cell>
          <cell r="R235" t="str">
            <v>ACTIVE</v>
          </cell>
        </row>
        <row r="236">
          <cell r="G236" t="str">
            <v>Natasha Batorijs</v>
          </cell>
          <cell r="H236" t="str">
            <v>Antonio Follano</v>
          </cell>
          <cell r="I236" t="str">
            <v>PT</v>
          </cell>
          <cell r="J236">
            <v>4401058</v>
          </cell>
          <cell r="K236" t="str">
            <v>AS2058</v>
          </cell>
          <cell r="L236">
            <v>999577</v>
          </cell>
          <cell r="M236" t="str">
            <v>nbtor003</v>
          </cell>
          <cell r="N236" t="str">
            <v>ATV</v>
          </cell>
          <cell r="O236">
            <v>43031</v>
          </cell>
          <cell r="P236">
            <v>106</v>
          </cell>
          <cell r="Q236" t="str">
            <v>2-4 Months</v>
          </cell>
          <cell r="R236" t="str">
            <v>ACTIVE</v>
          </cell>
        </row>
        <row r="237">
          <cell r="G237" t="str">
            <v>April Saunders</v>
          </cell>
          <cell r="H237" t="str">
            <v>Mark Davies</v>
          </cell>
          <cell r="I237" t="str">
            <v>FT</v>
          </cell>
          <cell r="J237">
            <v>4400114</v>
          </cell>
          <cell r="K237" t="str">
            <v>AS2150</v>
          </cell>
          <cell r="L237">
            <v>1047750</v>
          </cell>
          <cell r="M237" t="str">
            <v>asaun008</v>
          </cell>
          <cell r="N237" t="str">
            <v>COM</v>
          </cell>
          <cell r="O237">
            <v>43038</v>
          </cell>
          <cell r="P237">
            <v>99</v>
          </cell>
          <cell r="Q237" t="str">
            <v>2-4 Months</v>
          </cell>
          <cell r="R237" t="str">
            <v>ACTIVE</v>
          </cell>
        </row>
        <row r="238">
          <cell r="G238" t="str">
            <v>Joanne Place</v>
          </cell>
          <cell r="H238" t="str">
            <v>Chris Adams</v>
          </cell>
          <cell r="I238" t="str">
            <v>FT</v>
          </cell>
          <cell r="J238">
            <v>4400830</v>
          </cell>
          <cell r="K238" t="str">
            <v>AS2334</v>
          </cell>
          <cell r="L238">
            <v>1048132</v>
          </cell>
          <cell r="M238" t="str">
            <v>jplac008</v>
          </cell>
          <cell r="N238" t="str">
            <v>LE</v>
          </cell>
          <cell r="O238">
            <v>43038</v>
          </cell>
          <cell r="P238">
            <v>99</v>
          </cell>
          <cell r="Q238" t="str">
            <v>2-4 Months</v>
          </cell>
          <cell r="R238" t="str">
            <v>ACTIVE</v>
          </cell>
        </row>
        <row r="239">
          <cell r="G239" t="str">
            <v>Zachariah Cross</v>
          </cell>
          <cell r="H239" t="str">
            <v>Richard Crellin</v>
          </cell>
          <cell r="I239" t="str">
            <v>FT</v>
          </cell>
          <cell r="J239">
            <v>4400115</v>
          </cell>
          <cell r="K239" t="str">
            <v>AS2335</v>
          </cell>
          <cell r="L239">
            <v>1047762</v>
          </cell>
          <cell r="M239" t="str">
            <v>zcros001</v>
          </cell>
          <cell r="N239" t="str">
            <v>COM</v>
          </cell>
          <cell r="O239">
            <v>43038</v>
          </cell>
          <cell r="P239">
            <v>99</v>
          </cell>
          <cell r="Q239" t="str">
            <v>2-4 Months</v>
          </cell>
          <cell r="R239" t="str">
            <v>ACTIVE</v>
          </cell>
        </row>
        <row r="240">
          <cell r="G240" t="str">
            <v>Christopher Whiteway</v>
          </cell>
          <cell r="H240" t="str">
            <v>Mark Davies</v>
          </cell>
          <cell r="I240" t="str">
            <v>FT</v>
          </cell>
          <cell r="J240">
            <v>4400119</v>
          </cell>
          <cell r="K240" t="str">
            <v>AS2338</v>
          </cell>
          <cell r="L240">
            <v>1048146</v>
          </cell>
          <cell r="M240" t="str">
            <v>cwhit102</v>
          </cell>
          <cell r="N240" t="str">
            <v>COM</v>
          </cell>
          <cell r="O240">
            <v>43038</v>
          </cell>
          <cell r="P240">
            <v>99</v>
          </cell>
          <cell r="Q240" t="str">
            <v>2-4 Months</v>
          </cell>
          <cell r="R240" t="str">
            <v>ACTIVE</v>
          </cell>
        </row>
        <row r="241">
          <cell r="G241" t="str">
            <v>Marc Nicholson</v>
          </cell>
          <cell r="H241" t="str">
            <v>Richard Crellin</v>
          </cell>
          <cell r="I241" t="str">
            <v>FT</v>
          </cell>
          <cell r="J241">
            <v>4400941</v>
          </cell>
          <cell r="K241" t="str">
            <v>AS2339</v>
          </cell>
          <cell r="L241">
            <v>1048151</v>
          </cell>
          <cell r="M241" t="str">
            <v>mnich020</v>
          </cell>
          <cell r="N241" t="str">
            <v>COM</v>
          </cell>
          <cell r="O241">
            <v>43038</v>
          </cell>
          <cell r="P241">
            <v>99</v>
          </cell>
          <cell r="Q241" t="str">
            <v>2-4 Months</v>
          </cell>
          <cell r="R241" t="str">
            <v>ACTIVE</v>
          </cell>
        </row>
        <row r="242">
          <cell r="G242" t="str">
            <v>Jessica Wilson</v>
          </cell>
          <cell r="H242" t="str">
            <v>David Hitching</v>
          </cell>
          <cell r="I242" t="str">
            <v>FT</v>
          </cell>
          <cell r="J242">
            <v>4400851</v>
          </cell>
          <cell r="K242" t="str">
            <v>AS2340</v>
          </cell>
          <cell r="L242">
            <v>1030104</v>
          </cell>
          <cell r="M242" t="str">
            <v>jwils098</v>
          </cell>
          <cell r="N242" t="str">
            <v>LE</v>
          </cell>
          <cell r="O242">
            <v>43038</v>
          </cell>
          <cell r="P242">
            <v>99</v>
          </cell>
          <cell r="Q242" t="str">
            <v>2-4 Months</v>
          </cell>
          <cell r="R242" t="str">
            <v>ACTIVE</v>
          </cell>
        </row>
        <row r="243">
          <cell r="G243" t="str">
            <v>Jazmin Hoe</v>
          </cell>
          <cell r="H243" t="str">
            <v>Frazer Hutchinson</v>
          </cell>
          <cell r="I243" t="str">
            <v>PT</v>
          </cell>
          <cell r="J243">
            <v>4401112</v>
          </cell>
          <cell r="K243" t="str">
            <v>AS2342</v>
          </cell>
          <cell r="L243">
            <v>1048153</v>
          </cell>
          <cell r="M243" t="str">
            <v>jhoe001</v>
          </cell>
          <cell r="N243" t="str">
            <v>COM</v>
          </cell>
          <cell r="O243">
            <v>43038</v>
          </cell>
          <cell r="P243">
            <v>99</v>
          </cell>
          <cell r="Q243" t="str">
            <v>2-4 Months</v>
          </cell>
          <cell r="R243" t="str">
            <v>GradBay</v>
          </cell>
        </row>
        <row r="244">
          <cell r="G244" t="str">
            <v>Chloe Thipthorpe</v>
          </cell>
          <cell r="H244" t="str">
            <v>Antonio Follano</v>
          </cell>
          <cell r="I244" t="str">
            <v>FT</v>
          </cell>
          <cell r="J244">
            <v>4400171</v>
          </cell>
          <cell r="K244" t="str">
            <v>AS2322</v>
          </cell>
          <cell r="L244">
            <v>1049390</v>
          </cell>
          <cell r="M244" t="str">
            <v>cthip001</v>
          </cell>
          <cell r="N244" t="str">
            <v>ATV</v>
          </cell>
          <cell r="O244">
            <v>43045</v>
          </cell>
          <cell r="P244">
            <v>92</v>
          </cell>
          <cell r="Q244" t="str">
            <v>2-4 Months</v>
          </cell>
          <cell r="R244" t="str">
            <v>ACTIVE</v>
          </cell>
        </row>
        <row r="245">
          <cell r="G245" t="str">
            <v>Leighe Hall</v>
          </cell>
          <cell r="H245" t="str">
            <v>Mark Elliott</v>
          </cell>
          <cell r="I245" t="str">
            <v>FT</v>
          </cell>
          <cell r="J245">
            <v>4400161</v>
          </cell>
          <cell r="K245" t="str">
            <v>AS2300</v>
          </cell>
          <cell r="L245">
            <v>1049400</v>
          </cell>
          <cell r="M245" t="str">
            <v>lhall041</v>
          </cell>
          <cell r="N245" t="str">
            <v>COM</v>
          </cell>
          <cell r="O245">
            <v>43045</v>
          </cell>
          <cell r="P245">
            <v>92</v>
          </cell>
          <cell r="Q245" t="str">
            <v>2-4 Months</v>
          </cell>
          <cell r="R245" t="str">
            <v>ACTIVE</v>
          </cell>
        </row>
        <row r="246">
          <cell r="G246" t="str">
            <v>Joseph Brooks</v>
          </cell>
          <cell r="H246" t="str">
            <v>Antonio Follano</v>
          </cell>
          <cell r="I246" t="str">
            <v>FT</v>
          </cell>
          <cell r="J246">
            <v>4400471</v>
          </cell>
          <cell r="K246" t="str">
            <v>AS2292</v>
          </cell>
          <cell r="L246">
            <v>1049969</v>
          </cell>
          <cell r="M246" t="str">
            <v>jbroo052</v>
          </cell>
          <cell r="N246" t="str">
            <v>ATV</v>
          </cell>
          <cell r="O246">
            <v>43045</v>
          </cell>
          <cell r="P246">
            <v>92</v>
          </cell>
          <cell r="Q246" t="str">
            <v>2-4 Months</v>
          </cell>
          <cell r="R246" t="str">
            <v>ACTIVE</v>
          </cell>
        </row>
        <row r="247">
          <cell r="G247" t="str">
            <v>Shane Hayman</v>
          </cell>
          <cell r="H247" t="str">
            <v>Michael Ennals</v>
          </cell>
          <cell r="I247" t="str">
            <v>FT</v>
          </cell>
          <cell r="J247">
            <v>4400468</v>
          </cell>
          <cell r="K247" t="str">
            <v>AS2326</v>
          </cell>
          <cell r="L247">
            <v>395177</v>
          </cell>
          <cell r="M247" t="str">
            <v>shaym002</v>
          </cell>
          <cell r="N247" t="str">
            <v>ATV</v>
          </cell>
          <cell r="O247">
            <v>43045</v>
          </cell>
          <cell r="P247">
            <v>92</v>
          </cell>
          <cell r="Q247" t="str">
            <v>2-4 Months</v>
          </cell>
          <cell r="R247" t="str">
            <v>ACTIVE</v>
          </cell>
        </row>
        <row r="248">
          <cell r="G248" t="str">
            <v>Daniel Winstone</v>
          </cell>
          <cell r="H248" t="str">
            <v>Mark Davies</v>
          </cell>
          <cell r="I248" t="str">
            <v>FT</v>
          </cell>
          <cell r="J248">
            <v>4401059</v>
          </cell>
          <cell r="K248" t="str">
            <v>AS2325</v>
          </cell>
          <cell r="L248">
            <v>1035696</v>
          </cell>
          <cell r="M248" t="str">
            <v>dwins002</v>
          </cell>
          <cell r="N248" t="str">
            <v>COM</v>
          </cell>
          <cell r="O248">
            <v>43045</v>
          </cell>
          <cell r="P248">
            <v>92</v>
          </cell>
          <cell r="Q248" t="str">
            <v>2-4 Months</v>
          </cell>
          <cell r="R248" t="str">
            <v>ACTIVE</v>
          </cell>
        </row>
        <row r="249">
          <cell r="G249" t="str">
            <v>Gemma Halliwell</v>
          </cell>
          <cell r="H249" t="str">
            <v>Joda Pow</v>
          </cell>
          <cell r="I249" t="str">
            <v>PT</v>
          </cell>
          <cell r="J249">
            <v>4400834</v>
          </cell>
          <cell r="K249" t="str">
            <v>AS2139</v>
          </cell>
          <cell r="L249">
            <v>1052958</v>
          </cell>
          <cell r="M249" t="str">
            <v>ghall011</v>
          </cell>
          <cell r="N249" t="str">
            <v>LE</v>
          </cell>
          <cell r="O249">
            <v>43059</v>
          </cell>
          <cell r="P249">
            <v>78</v>
          </cell>
          <cell r="Q249" t="str">
            <v>2-4 Months</v>
          </cell>
          <cell r="R249" t="str">
            <v>DevBay</v>
          </cell>
        </row>
        <row r="250">
          <cell r="G250" t="str">
            <v>Ashley Laycock</v>
          </cell>
          <cell r="H250" t="str">
            <v>Joda Pow</v>
          </cell>
          <cell r="I250" t="str">
            <v>PT</v>
          </cell>
          <cell r="J250">
            <v>4408907</v>
          </cell>
          <cell r="K250" t="str">
            <v>AS2285</v>
          </cell>
          <cell r="L250">
            <v>999572</v>
          </cell>
          <cell r="M250" t="str">
            <v>alayc002</v>
          </cell>
          <cell r="N250" t="str">
            <v>COM</v>
          </cell>
          <cell r="O250">
            <v>43059</v>
          </cell>
          <cell r="P250">
            <v>78</v>
          </cell>
          <cell r="Q250" t="str">
            <v>2-4 Months</v>
          </cell>
          <cell r="R250" t="str">
            <v>DevBay</v>
          </cell>
        </row>
        <row r="251">
          <cell r="G251" t="str">
            <v>Deena Sebastian</v>
          </cell>
          <cell r="H251" t="str">
            <v>Joda Pow</v>
          </cell>
          <cell r="I251" t="str">
            <v>FT</v>
          </cell>
          <cell r="J251">
            <v>4401012</v>
          </cell>
          <cell r="K251" t="str">
            <v>AS2175</v>
          </cell>
          <cell r="L251">
            <v>1052838</v>
          </cell>
          <cell r="M251" t="str">
            <v>dseba002</v>
          </cell>
          <cell r="N251" t="str">
            <v>LE</v>
          </cell>
          <cell r="O251">
            <v>43059</v>
          </cell>
          <cell r="P251">
            <v>78</v>
          </cell>
          <cell r="Q251" t="str">
            <v>2-4 Months</v>
          </cell>
          <cell r="R251" t="str">
            <v>DevBay</v>
          </cell>
        </row>
        <row r="252">
          <cell r="G252" t="str">
            <v>Nathaniel Goss</v>
          </cell>
          <cell r="H252" t="str">
            <v>Joda Pow</v>
          </cell>
          <cell r="I252" t="str">
            <v>FT</v>
          </cell>
          <cell r="J252">
            <v>4408912</v>
          </cell>
          <cell r="K252" t="str">
            <v>AS2047</v>
          </cell>
          <cell r="L252">
            <v>1052797</v>
          </cell>
          <cell r="M252" t="str">
            <v>ngoss003</v>
          </cell>
          <cell r="N252" t="str">
            <v>COM</v>
          </cell>
          <cell r="O252">
            <v>43059</v>
          </cell>
          <cell r="P252">
            <v>78</v>
          </cell>
          <cell r="Q252" t="str">
            <v>2-4 Months</v>
          </cell>
          <cell r="R252" t="str">
            <v>DevBay</v>
          </cell>
        </row>
        <row r="253">
          <cell r="G253" t="str">
            <v>Heather Russell</v>
          </cell>
          <cell r="H253" t="str">
            <v>Joda Pow</v>
          </cell>
          <cell r="I253" t="str">
            <v>PT</v>
          </cell>
          <cell r="J253">
            <v>4401013</v>
          </cell>
          <cell r="K253" t="str">
            <v>AS2331</v>
          </cell>
          <cell r="L253">
            <v>1052949</v>
          </cell>
          <cell r="M253" t="str">
            <v>hruss006</v>
          </cell>
          <cell r="N253" t="str">
            <v>LE</v>
          </cell>
          <cell r="O253">
            <v>43059</v>
          </cell>
          <cell r="P253">
            <v>78</v>
          </cell>
          <cell r="Q253" t="str">
            <v>2-4 Months</v>
          </cell>
          <cell r="R253" t="str">
            <v>DevBay</v>
          </cell>
        </row>
        <row r="254">
          <cell r="G254" t="str">
            <v>Jake Way</v>
          </cell>
          <cell r="H254" t="str">
            <v>Joda Pow</v>
          </cell>
          <cell r="I254" t="str">
            <v>FT</v>
          </cell>
          <cell r="J254">
            <v>4408902</v>
          </cell>
          <cell r="K254" t="str">
            <v>AS2266</v>
          </cell>
          <cell r="L254">
            <v>1052808</v>
          </cell>
          <cell r="M254" t="str">
            <v>jway002</v>
          </cell>
          <cell r="N254" t="str">
            <v>COM</v>
          </cell>
          <cell r="O254">
            <v>43059</v>
          </cell>
          <cell r="P254">
            <v>78</v>
          </cell>
          <cell r="Q254" t="str">
            <v>2-4 Months</v>
          </cell>
          <cell r="R254" t="str">
            <v>DevBay</v>
          </cell>
        </row>
        <row r="255">
          <cell r="G255" t="str">
            <v>Miguel Torrellas</v>
          </cell>
          <cell r="H255" t="str">
            <v>Joda Pow</v>
          </cell>
          <cell r="I255" t="str">
            <v>FT</v>
          </cell>
          <cell r="J255">
            <v>4408910</v>
          </cell>
          <cell r="K255" t="str">
            <v>AS2220</v>
          </cell>
          <cell r="L255">
            <v>1052789</v>
          </cell>
          <cell r="M255" t="str">
            <v>mtorr128</v>
          </cell>
          <cell r="N255" t="str">
            <v>COM</v>
          </cell>
          <cell r="O255">
            <v>43059</v>
          </cell>
          <cell r="P255">
            <v>78</v>
          </cell>
          <cell r="Q255" t="str">
            <v>2-4 Months</v>
          </cell>
          <cell r="R255" t="str">
            <v>DevBay</v>
          </cell>
        </row>
        <row r="256">
          <cell r="G256" t="str">
            <v>Megan Ursini</v>
          </cell>
          <cell r="H256" t="str">
            <v>Joda Pow</v>
          </cell>
          <cell r="I256" t="str">
            <v>PT</v>
          </cell>
          <cell r="J256">
            <v>4408920</v>
          </cell>
          <cell r="K256" t="str">
            <v>AS2024</v>
          </cell>
          <cell r="L256">
            <v>1052800</v>
          </cell>
          <cell r="M256" t="str">
            <v>mursi002</v>
          </cell>
          <cell r="N256" t="str">
            <v>COM</v>
          </cell>
          <cell r="O256">
            <v>43059</v>
          </cell>
          <cell r="P256">
            <v>78</v>
          </cell>
          <cell r="Q256" t="str">
            <v>2-4 Months</v>
          </cell>
          <cell r="R256" t="str">
            <v>DevBay</v>
          </cell>
        </row>
        <row r="257">
          <cell r="G257" t="str">
            <v>Elizabeth Lomas</v>
          </cell>
          <cell r="H257" t="str">
            <v>Joda Pow</v>
          </cell>
          <cell r="I257" t="str">
            <v>FT</v>
          </cell>
          <cell r="J257">
            <v>4408921</v>
          </cell>
          <cell r="K257" t="str">
            <v>AS2336</v>
          </cell>
          <cell r="L257">
            <v>1052819</v>
          </cell>
          <cell r="M257" t="str">
            <v>eloma003</v>
          </cell>
          <cell r="N257" t="str">
            <v>LE</v>
          </cell>
          <cell r="O257">
            <v>43059</v>
          </cell>
          <cell r="P257">
            <v>78</v>
          </cell>
          <cell r="Q257" t="str">
            <v>2-4 Months</v>
          </cell>
          <cell r="R257" t="str">
            <v>DevBay</v>
          </cell>
        </row>
        <row r="258">
          <cell r="G258" t="str">
            <v>Connor Churchill</v>
          </cell>
          <cell r="H258" t="str">
            <v>Joda Pow</v>
          </cell>
          <cell r="I258" t="str">
            <v>PT</v>
          </cell>
          <cell r="J258">
            <v>4400470</v>
          </cell>
          <cell r="K258" t="str">
            <v>AS2006</v>
          </cell>
          <cell r="L258">
            <v>1053465</v>
          </cell>
          <cell r="M258" t="str">
            <v>cchur005</v>
          </cell>
          <cell r="N258" t="str">
            <v>COM</v>
          </cell>
          <cell r="O258">
            <v>43060</v>
          </cell>
          <cell r="P258">
            <v>77</v>
          </cell>
          <cell r="Q258" t="str">
            <v>2-4 Months</v>
          </cell>
          <cell r="R258" t="str">
            <v>DevBay</v>
          </cell>
        </row>
        <row r="259">
          <cell r="G259" t="str">
            <v>Thomas Garden</v>
          </cell>
          <cell r="H259" t="str">
            <v>Joda Pow</v>
          </cell>
          <cell r="I259" t="str">
            <v>PT</v>
          </cell>
          <cell r="J259">
            <v>4400821</v>
          </cell>
          <cell r="K259" t="str">
            <v>AS2000</v>
          </cell>
          <cell r="L259">
            <v>1053462</v>
          </cell>
          <cell r="M259" t="str">
            <v>tgard011</v>
          </cell>
          <cell r="N259" t="str">
            <v>LE</v>
          </cell>
          <cell r="O259">
            <v>43060</v>
          </cell>
          <cell r="P259">
            <v>77</v>
          </cell>
          <cell r="Q259" t="str">
            <v>2-4 Months</v>
          </cell>
          <cell r="R259" t="str">
            <v>DevBay</v>
          </cell>
        </row>
        <row r="260">
          <cell r="G260" t="str">
            <v>Charlotte Collett</v>
          </cell>
          <cell r="H260" t="str">
            <v>Joda Pow</v>
          </cell>
          <cell r="I260" t="str">
            <v>FT</v>
          </cell>
          <cell r="J260">
            <v>4400199</v>
          </cell>
          <cell r="K260" t="str">
            <v>AS2302</v>
          </cell>
          <cell r="L260">
            <v>1053458</v>
          </cell>
          <cell r="M260" t="str">
            <v>ccoll046</v>
          </cell>
          <cell r="N260" t="str">
            <v>ATV</v>
          </cell>
          <cell r="O260">
            <v>43060</v>
          </cell>
          <cell r="P260">
            <v>77</v>
          </cell>
          <cell r="Q260" t="str">
            <v>2-4 Months</v>
          </cell>
          <cell r="R260" t="str">
            <v>DevBay</v>
          </cell>
        </row>
        <row r="261">
          <cell r="G261" t="str">
            <v>Paul Eaton</v>
          </cell>
          <cell r="H261" t="str">
            <v>Joda Pow</v>
          </cell>
          <cell r="I261" t="str">
            <v>PT</v>
          </cell>
          <cell r="J261">
            <v>4400158</v>
          </cell>
          <cell r="K261" t="str">
            <v>AS2114</v>
          </cell>
          <cell r="L261">
            <v>1053459</v>
          </cell>
          <cell r="M261" t="str">
            <v>peato003</v>
          </cell>
          <cell r="N261" t="str">
            <v>ATV</v>
          </cell>
          <cell r="O261">
            <v>43060</v>
          </cell>
          <cell r="P261">
            <v>77</v>
          </cell>
          <cell r="Q261" t="str">
            <v>2-4 Months</v>
          </cell>
          <cell r="R261" t="str">
            <v>DevBay</v>
          </cell>
        </row>
        <row r="262">
          <cell r="G262" t="str">
            <v>Benjamin Champion</v>
          </cell>
          <cell r="H262" t="str">
            <v>Joda Pow</v>
          </cell>
          <cell r="I262" t="str">
            <v>PT</v>
          </cell>
          <cell r="J262">
            <v>4400182</v>
          </cell>
          <cell r="K262" t="str">
            <v>AS2109</v>
          </cell>
          <cell r="L262">
            <v>1053505</v>
          </cell>
          <cell r="M262" t="str">
            <v>bcham017</v>
          </cell>
          <cell r="N262" t="str">
            <v>ATV</v>
          </cell>
          <cell r="O262">
            <v>43060</v>
          </cell>
          <cell r="P262">
            <v>77</v>
          </cell>
          <cell r="Q262" t="str">
            <v>2-4 Months</v>
          </cell>
          <cell r="R262" t="str">
            <v>DevBay</v>
          </cell>
        </row>
        <row r="263">
          <cell r="G263" t="str">
            <v>Benjamin Hunt-Wright</v>
          </cell>
          <cell r="H263" t="str">
            <v>Joda Pow</v>
          </cell>
          <cell r="I263" t="str">
            <v>PT</v>
          </cell>
          <cell r="J263">
            <v>4401055</v>
          </cell>
          <cell r="K263" t="str">
            <v>AS2007</v>
          </cell>
          <cell r="L263">
            <v>1053444</v>
          </cell>
          <cell r="M263" t="str">
            <v>bhunt012</v>
          </cell>
          <cell r="N263" t="str">
            <v>ATV</v>
          </cell>
          <cell r="O263">
            <v>43060</v>
          </cell>
          <cell r="P263">
            <v>77</v>
          </cell>
          <cell r="Q263" t="str">
            <v>2-4 Months</v>
          </cell>
          <cell r="R263" t="str">
            <v>DevBay</v>
          </cell>
        </row>
        <row r="264">
          <cell r="G264" t="str">
            <v>Ella Baker</v>
          </cell>
          <cell r="H264" t="str">
            <v>Joda Pow</v>
          </cell>
          <cell r="I264" t="str">
            <v>PT</v>
          </cell>
          <cell r="J264">
            <v>4400831</v>
          </cell>
          <cell r="K264" t="str">
            <v>AS2268</v>
          </cell>
          <cell r="L264">
            <v>1053450</v>
          </cell>
          <cell r="M264" t="str">
            <v>ebake007</v>
          </cell>
          <cell r="N264" t="str">
            <v>LE</v>
          </cell>
          <cell r="O264">
            <v>43060</v>
          </cell>
          <cell r="P264">
            <v>77</v>
          </cell>
          <cell r="Q264" t="str">
            <v>2-4 Months</v>
          </cell>
          <cell r="R264" t="str">
            <v>DevBay</v>
          </cell>
        </row>
        <row r="265">
          <cell r="G265" t="str">
            <v>Grace Hill</v>
          </cell>
          <cell r="H265" t="str">
            <v>Joda Pow</v>
          </cell>
          <cell r="I265" t="str">
            <v>PT</v>
          </cell>
          <cell r="J265">
            <v>4400186</v>
          </cell>
          <cell r="K265" t="str">
            <v>AS2346</v>
          </cell>
          <cell r="L265">
            <v>1053456</v>
          </cell>
          <cell r="M265" t="str">
            <v>ghill014</v>
          </cell>
          <cell r="N265" t="str">
            <v>ATV</v>
          </cell>
          <cell r="O265">
            <v>43060</v>
          </cell>
          <cell r="P265">
            <v>77</v>
          </cell>
          <cell r="Q265" t="str">
            <v>2-4 Months</v>
          </cell>
          <cell r="R265" t="str">
            <v>DevBay</v>
          </cell>
        </row>
        <row r="266">
          <cell r="G266" t="str">
            <v>Oliver Stapley</v>
          </cell>
          <cell r="H266" t="str">
            <v>Joda Pow</v>
          </cell>
          <cell r="I266" t="str">
            <v>PT</v>
          </cell>
          <cell r="J266">
            <v>4401062</v>
          </cell>
          <cell r="K266" t="str">
            <v>AS2347</v>
          </cell>
          <cell r="L266">
            <v>1053263</v>
          </cell>
          <cell r="M266" t="str">
            <v>ostap002</v>
          </cell>
          <cell r="N266" t="str">
            <v>LE</v>
          </cell>
          <cell r="O266">
            <v>43060</v>
          </cell>
          <cell r="P266">
            <v>77</v>
          </cell>
          <cell r="Q266" t="str">
            <v>2-4 Months</v>
          </cell>
          <cell r="R266" t="str">
            <v>DevBay</v>
          </cell>
        </row>
        <row r="267">
          <cell r="G267" t="str">
            <v>Robin Sagar</v>
          </cell>
          <cell r="H267" t="str">
            <v>Joda Pow</v>
          </cell>
          <cell r="I267" t="str">
            <v>PT</v>
          </cell>
          <cell r="J267">
            <v>4401063</v>
          </cell>
          <cell r="K267" t="str">
            <v>AS2349</v>
          </cell>
          <cell r="L267">
            <v>1053507</v>
          </cell>
          <cell r="M267" t="str">
            <v>rsaga009</v>
          </cell>
          <cell r="N267" t="str">
            <v>LE</v>
          </cell>
          <cell r="O267">
            <v>43060</v>
          </cell>
          <cell r="P267">
            <v>77</v>
          </cell>
          <cell r="Q267" t="str">
            <v>2-4 Months</v>
          </cell>
          <cell r="R267" t="str">
            <v>DevBay</v>
          </cell>
        </row>
        <row r="268">
          <cell r="G268" t="str">
            <v>Jonathan Plumbley-Jones</v>
          </cell>
          <cell r="H268" t="str">
            <v>Joda Pow</v>
          </cell>
          <cell r="I268" t="str">
            <v>PT</v>
          </cell>
          <cell r="J268">
            <v>4401061</v>
          </cell>
          <cell r="K268" t="str">
            <v>AS2350</v>
          </cell>
          <cell r="L268">
            <v>1053463</v>
          </cell>
          <cell r="M268" t="str">
            <v>jplum006</v>
          </cell>
          <cell r="N268" t="str">
            <v>ATV</v>
          </cell>
          <cell r="O268">
            <v>43060</v>
          </cell>
          <cell r="P268">
            <v>77</v>
          </cell>
          <cell r="Q268" t="str">
            <v>2-4 Months</v>
          </cell>
          <cell r="R268" t="str">
            <v>DevBay</v>
          </cell>
        </row>
        <row r="269">
          <cell r="G269" t="str">
            <v>Natasha Dean</v>
          </cell>
          <cell r="H269" t="str">
            <v>Clive Barber</v>
          </cell>
          <cell r="I269" t="str">
            <v>FT</v>
          </cell>
          <cell r="J269">
            <v>4400015</v>
          </cell>
          <cell r="K269" t="str">
            <v>AS4003</v>
          </cell>
          <cell r="L269">
            <v>1006267</v>
          </cell>
          <cell r="M269" t="str">
            <v>ndean007</v>
          </cell>
          <cell r="N269" t="str">
            <v>DIT</v>
          </cell>
          <cell r="O269">
            <v>42779</v>
          </cell>
          <cell r="P269">
            <v>358</v>
          </cell>
          <cell r="Q269" t="str">
            <v>6-12 Months</v>
          </cell>
          <cell r="R269" t="str">
            <v>ACTIVE</v>
          </cell>
        </row>
        <row r="270">
          <cell r="G270" t="str">
            <v>Lucy Atkins</v>
          </cell>
          <cell r="H270" t="str">
            <v>Clive Barber</v>
          </cell>
          <cell r="I270" t="str">
            <v>FT</v>
          </cell>
          <cell r="J270">
            <v>4400056</v>
          </cell>
          <cell r="K270" t="str">
            <v>AS4024</v>
          </cell>
          <cell r="L270">
            <v>387892</v>
          </cell>
          <cell r="M270" t="str">
            <v>latki002</v>
          </cell>
          <cell r="N270" t="str">
            <v>DIT</v>
          </cell>
          <cell r="O270">
            <v>40700</v>
          </cell>
          <cell r="P270">
            <v>2437</v>
          </cell>
          <cell r="Q270" t="str">
            <v xml:space="preserve">&gt; 24 Months </v>
          </cell>
          <cell r="R270" t="str">
            <v>ACTIVE</v>
          </cell>
        </row>
        <row r="271">
          <cell r="G271" t="str">
            <v>Emma Taylor</v>
          </cell>
          <cell r="H271" t="str">
            <v>Clive Barber</v>
          </cell>
          <cell r="I271" t="str">
            <v>FT</v>
          </cell>
          <cell r="J271">
            <v>4400031</v>
          </cell>
          <cell r="K271" t="str">
            <v>AS4004</v>
          </cell>
          <cell r="L271">
            <v>1051992</v>
          </cell>
          <cell r="M271" t="str">
            <v>etayl034</v>
          </cell>
          <cell r="N271" t="str">
            <v>DIT</v>
          </cell>
          <cell r="O271">
            <v>43054</v>
          </cell>
          <cell r="P271">
            <v>83</v>
          </cell>
          <cell r="Q271" t="str">
            <v>2-4 Months</v>
          </cell>
          <cell r="R271" t="str">
            <v>ACTIVE</v>
          </cell>
        </row>
        <row r="272">
          <cell r="G272" t="str">
            <v>Luke Watkins</v>
          </cell>
          <cell r="H272" t="str">
            <v>Clive Barber</v>
          </cell>
          <cell r="I272" t="str">
            <v>FT</v>
          </cell>
          <cell r="J272">
            <v>4400030</v>
          </cell>
          <cell r="K272" t="str">
            <v>AS4008</v>
          </cell>
          <cell r="L272">
            <v>1052796</v>
          </cell>
          <cell r="M272" t="str">
            <v>lwatk007</v>
          </cell>
          <cell r="N272" t="str">
            <v>DIT</v>
          </cell>
          <cell r="O272">
            <v>43059</v>
          </cell>
          <cell r="P272">
            <v>78</v>
          </cell>
          <cell r="Q272" t="str">
            <v>2-4 Months</v>
          </cell>
          <cell r="R272" t="str">
            <v>ACTIVE</v>
          </cell>
        </row>
        <row r="273">
          <cell r="G273" t="str">
            <v>Mechelle Jenkins</v>
          </cell>
          <cell r="H273" t="str">
            <v>Richard Goodchild</v>
          </cell>
          <cell r="I273" t="str">
            <v>FT</v>
          </cell>
          <cell r="J273">
            <v>4400068</v>
          </cell>
          <cell r="K273">
            <v>0</v>
          </cell>
          <cell r="L273">
            <v>991438</v>
          </cell>
          <cell r="M273" t="str">
            <v>mjenk019</v>
          </cell>
          <cell r="N273" t="str">
            <v>TM/C</v>
          </cell>
          <cell r="O273">
            <v>42786</v>
          </cell>
          <cell r="P273">
            <v>351</v>
          </cell>
          <cell r="Q273" t="str">
            <v>6-12 Months</v>
          </cell>
          <cell r="R273" t="str">
            <v>ACTIVE</v>
          </cell>
        </row>
        <row r="274">
          <cell r="G274" t="str">
            <v>Chelsea Burns</v>
          </cell>
          <cell r="H274" t="str">
            <v>Mechelle Jenkins</v>
          </cell>
          <cell r="I274" t="str">
            <v>FT</v>
          </cell>
          <cell r="J274">
            <v>4400065</v>
          </cell>
          <cell r="K274" t="str">
            <v>AS2080</v>
          </cell>
          <cell r="L274">
            <v>983760</v>
          </cell>
          <cell r="M274" t="str">
            <v>cburn014</v>
          </cell>
          <cell r="N274" t="str">
            <v>HS</v>
          </cell>
          <cell r="O274">
            <v>42786</v>
          </cell>
          <cell r="P274">
            <v>351</v>
          </cell>
          <cell r="Q274" t="str">
            <v>6-12 Months</v>
          </cell>
          <cell r="R274" t="str">
            <v>ACTIVE</v>
          </cell>
        </row>
        <row r="275">
          <cell r="G275" t="str">
            <v>Alexander Peck</v>
          </cell>
          <cell r="H275" t="str">
            <v>Mechelle Jenkins</v>
          </cell>
          <cell r="I275" t="str">
            <v>FT</v>
          </cell>
          <cell r="J275">
            <v>4400060</v>
          </cell>
          <cell r="K275" t="str">
            <v>AS4007</v>
          </cell>
          <cell r="L275">
            <v>416981</v>
          </cell>
          <cell r="M275" t="str">
            <v>apeck003</v>
          </cell>
          <cell r="N275" t="str">
            <v>HS</v>
          </cell>
          <cell r="O275">
            <v>42499</v>
          </cell>
          <cell r="P275">
            <v>638</v>
          </cell>
          <cell r="Q275" t="str">
            <v>12- 24 Months</v>
          </cell>
          <cell r="R275" t="str">
            <v>ACTIVE</v>
          </cell>
        </row>
        <row r="276">
          <cell r="G276" t="str">
            <v>Aimee Kenshole</v>
          </cell>
          <cell r="H276" t="str">
            <v>Mechelle Jenkins</v>
          </cell>
          <cell r="I276" t="str">
            <v>FT</v>
          </cell>
          <cell r="J276">
            <v>4400025</v>
          </cell>
          <cell r="K276" t="str">
            <v>AS4016</v>
          </cell>
          <cell r="L276">
            <v>1008299</v>
          </cell>
          <cell r="M276" t="str">
            <v>akens001</v>
          </cell>
          <cell r="N276" t="str">
            <v>HS</v>
          </cell>
          <cell r="O276">
            <v>42794</v>
          </cell>
          <cell r="P276">
            <v>343</v>
          </cell>
          <cell r="Q276" t="str">
            <v>6-12 Months</v>
          </cell>
          <cell r="R276" t="str">
            <v>ACTIVE</v>
          </cell>
        </row>
        <row r="277">
          <cell r="G277" t="str">
            <v>Christopher Adams</v>
          </cell>
          <cell r="H277" t="str">
            <v>Rowan Marshall</v>
          </cell>
          <cell r="I277" t="str">
            <v>FT</v>
          </cell>
          <cell r="J277">
            <v>4400168</v>
          </cell>
          <cell r="K277" t="str">
            <v>AS2002</v>
          </cell>
          <cell r="L277">
            <v>397316</v>
          </cell>
          <cell r="M277" t="str">
            <v>cadam048</v>
          </cell>
          <cell r="N277" t="str">
            <v>TM/C</v>
          </cell>
          <cell r="O277">
            <v>43069</v>
          </cell>
          <cell r="P277">
            <v>68</v>
          </cell>
          <cell r="Q277" t="str">
            <v>2-4 Months</v>
          </cell>
          <cell r="R277" t="str">
            <v>ACTIVE</v>
          </cell>
        </row>
        <row r="278">
          <cell r="G278" t="str">
            <v>Megan Farrant</v>
          </cell>
          <cell r="H278" t="str">
            <v>Ross Treleaven</v>
          </cell>
          <cell r="I278" t="str">
            <v>FT</v>
          </cell>
          <cell r="J278">
            <v>4400059</v>
          </cell>
          <cell r="K278" t="str">
            <v>AS2236</v>
          </cell>
          <cell r="L278">
            <v>411504</v>
          </cell>
          <cell r="M278" t="str">
            <v>mfarr010</v>
          </cell>
          <cell r="N278" t="str">
            <v>Trainer</v>
          </cell>
          <cell r="O278">
            <v>43073</v>
          </cell>
          <cell r="P278">
            <v>64</v>
          </cell>
          <cell r="Q278" t="str">
            <v>2-4 Months</v>
          </cell>
          <cell r="R278" t="str">
            <v>ACTIVE</v>
          </cell>
        </row>
        <row r="279">
          <cell r="G279" t="str">
            <v>Erica Kanoun</v>
          </cell>
          <cell r="H279" t="str">
            <v>Andrew Warren</v>
          </cell>
          <cell r="I279" t="str">
            <v>PT</v>
          </cell>
          <cell r="J279">
            <v>4400862</v>
          </cell>
          <cell r="K279" t="str">
            <v>AS2337</v>
          </cell>
          <cell r="L279">
            <v>1056470</v>
          </cell>
          <cell r="M279" t="str">
            <v>ekano001</v>
          </cell>
          <cell r="N279" t="str">
            <v>LE</v>
          </cell>
          <cell r="O279">
            <v>43073</v>
          </cell>
          <cell r="P279">
            <v>64</v>
          </cell>
          <cell r="Q279" t="str">
            <v>2-4 Months</v>
          </cell>
          <cell r="R279" t="str">
            <v>GradBay</v>
          </cell>
        </row>
        <row r="280">
          <cell r="G280" t="str">
            <v>Sean James</v>
          </cell>
          <cell r="H280" t="str">
            <v>Andrew Warren</v>
          </cell>
          <cell r="I280" t="str">
            <v>PT</v>
          </cell>
          <cell r="J280">
            <v>4401060</v>
          </cell>
          <cell r="K280" t="str">
            <v>AS2177</v>
          </cell>
          <cell r="L280">
            <v>1056473</v>
          </cell>
          <cell r="M280" t="str">
            <v>sjame048</v>
          </cell>
          <cell r="N280" t="str">
            <v>ATV</v>
          </cell>
          <cell r="O280">
            <v>43073</v>
          </cell>
          <cell r="P280">
            <v>64</v>
          </cell>
          <cell r="Q280" t="str">
            <v>2-4 Months</v>
          </cell>
          <cell r="R280" t="str">
            <v>GradBay</v>
          </cell>
        </row>
        <row r="281">
          <cell r="G281" t="str">
            <v>Mark Williams</v>
          </cell>
          <cell r="H281" t="str">
            <v>Andrew Warren</v>
          </cell>
          <cell r="I281" t="str">
            <v>FT</v>
          </cell>
          <cell r="J281">
            <v>4400460</v>
          </cell>
          <cell r="K281" t="str">
            <v>AS2155</v>
          </cell>
          <cell r="L281">
            <v>1056483</v>
          </cell>
          <cell r="M281" t="str">
            <v>mwill167</v>
          </cell>
          <cell r="N281" t="str">
            <v>ATV</v>
          </cell>
          <cell r="O281">
            <v>43073</v>
          </cell>
          <cell r="P281">
            <v>64</v>
          </cell>
          <cell r="Q281" t="str">
            <v>2-4 Months</v>
          </cell>
          <cell r="R281" t="str">
            <v>GradBay</v>
          </cell>
        </row>
        <row r="282">
          <cell r="G282" t="str">
            <v>Anya Moore</v>
          </cell>
          <cell r="H282" t="str">
            <v>Andrew Warren</v>
          </cell>
          <cell r="I282" t="str">
            <v>FT</v>
          </cell>
          <cell r="J282">
            <v>4400172</v>
          </cell>
          <cell r="K282" t="str">
            <v>AS2320</v>
          </cell>
          <cell r="L282">
            <v>1056446</v>
          </cell>
          <cell r="M282" t="str">
            <v>amoor064</v>
          </cell>
          <cell r="N282" t="str">
            <v>ATV</v>
          </cell>
          <cell r="O282">
            <v>43073</v>
          </cell>
          <cell r="P282">
            <v>64</v>
          </cell>
          <cell r="Q282" t="str">
            <v>2-4 Months</v>
          </cell>
          <cell r="R282" t="str">
            <v>GradBay</v>
          </cell>
        </row>
        <row r="283">
          <cell r="G283" t="str">
            <v>Shaun Fry</v>
          </cell>
          <cell r="H283" t="str">
            <v>Andrew Warren</v>
          </cell>
          <cell r="I283" t="str">
            <v>FT</v>
          </cell>
          <cell r="J283">
            <v>4400453</v>
          </cell>
          <cell r="K283" t="str">
            <v>AS2151</v>
          </cell>
          <cell r="L283">
            <v>1056480</v>
          </cell>
          <cell r="M283" t="str">
            <v>sfry003</v>
          </cell>
          <cell r="N283" t="str">
            <v>ATV</v>
          </cell>
          <cell r="O283">
            <v>43073</v>
          </cell>
          <cell r="P283">
            <v>64</v>
          </cell>
          <cell r="Q283" t="str">
            <v>2-4 Months</v>
          </cell>
          <cell r="R283" t="str">
            <v>GradBay</v>
          </cell>
        </row>
        <row r="284">
          <cell r="G284" t="str">
            <v>Maria Flack</v>
          </cell>
          <cell r="H284" t="str">
            <v>Andrew Warren</v>
          </cell>
          <cell r="I284" t="str">
            <v>FT</v>
          </cell>
          <cell r="J284">
            <v>4400083</v>
          </cell>
          <cell r="K284" t="str">
            <v>AS2199</v>
          </cell>
          <cell r="L284">
            <v>1056428</v>
          </cell>
          <cell r="M284" t="str">
            <v>mflac003</v>
          </cell>
          <cell r="N284" t="str">
            <v>LE</v>
          </cell>
          <cell r="O284">
            <v>43073</v>
          </cell>
          <cell r="P284">
            <v>64</v>
          </cell>
          <cell r="Q284" t="str">
            <v>2-4 Months</v>
          </cell>
          <cell r="R284" t="str">
            <v>GradBay</v>
          </cell>
        </row>
        <row r="285">
          <cell r="G285" t="str">
            <v>Dan Piper</v>
          </cell>
          <cell r="H285" t="str">
            <v>Matt Cleveland</v>
          </cell>
          <cell r="I285" t="str">
            <v>FT</v>
          </cell>
          <cell r="K285" t="str">
            <v>AS2198</v>
          </cell>
          <cell r="L285">
            <v>1059966</v>
          </cell>
          <cell r="M285" t="str">
            <v>dpipe002</v>
          </cell>
          <cell r="N285" t="str">
            <v>OPS</v>
          </cell>
          <cell r="O285">
            <v>42737</v>
          </cell>
          <cell r="P285">
            <v>400</v>
          </cell>
          <cell r="Q285" t="str">
            <v>12- 24 Months</v>
          </cell>
          <cell r="R285" t="str">
            <v>ACTIVE</v>
          </cell>
        </row>
        <row r="286">
          <cell r="G286" t="str">
            <v>Amber Richardson</v>
          </cell>
          <cell r="H286" t="str">
            <v>Andrew Warren</v>
          </cell>
          <cell r="I286" t="str">
            <v>FT</v>
          </cell>
          <cell r="J286">
            <v>4400169</v>
          </cell>
          <cell r="K286" t="str">
            <v>AS2159</v>
          </cell>
          <cell r="L286">
            <v>1060969</v>
          </cell>
          <cell r="M286" t="str">
            <v>arich082</v>
          </cell>
          <cell r="N286" t="str">
            <v>ATV</v>
          </cell>
          <cell r="O286">
            <v>43108</v>
          </cell>
          <cell r="P286">
            <v>29</v>
          </cell>
          <cell r="Q286" t="str">
            <v>0-1 Months</v>
          </cell>
          <cell r="R286" t="str">
            <v>GradBay</v>
          </cell>
        </row>
        <row r="287">
          <cell r="G287" t="str">
            <v>Quratul-Ain Ip</v>
          </cell>
          <cell r="H287" t="str">
            <v>Andrew Warren</v>
          </cell>
          <cell r="I287" t="str">
            <v>FT</v>
          </cell>
          <cell r="J287">
            <v>4400099</v>
          </cell>
          <cell r="K287" t="str">
            <v>AS2324</v>
          </cell>
          <cell r="L287">
            <v>1060909</v>
          </cell>
          <cell r="M287" t="str">
            <v>qip001</v>
          </cell>
          <cell r="N287" t="str">
            <v>PC</v>
          </cell>
          <cell r="O287">
            <v>43108</v>
          </cell>
          <cell r="P287">
            <v>29</v>
          </cell>
          <cell r="Q287" t="str">
            <v>0-1 Months</v>
          </cell>
          <cell r="R287" t="str">
            <v>GradBay</v>
          </cell>
        </row>
        <row r="288">
          <cell r="G288" t="str">
            <v>Lia Woodham</v>
          </cell>
          <cell r="H288" t="str">
            <v>Andrew Warren</v>
          </cell>
          <cell r="I288" t="str">
            <v>FT</v>
          </cell>
          <cell r="J288">
            <v>4400132</v>
          </cell>
          <cell r="K288" t="str">
            <v>AS2240</v>
          </cell>
          <cell r="L288">
            <v>1061039</v>
          </cell>
          <cell r="M288" t="str">
            <v>lwood034</v>
          </cell>
          <cell r="N288" t="str">
            <v>PC</v>
          </cell>
          <cell r="O288">
            <v>43108</v>
          </cell>
          <cell r="P288">
            <v>29</v>
          </cell>
          <cell r="Q288" t="str">
            <v>0-1 Months</v>
          </cell>
          <cell r="R288" t="str">
            <v>GradBay</v>
          </cell>
        </row>
        <row r="289">
          <cell r="G289" t="str">
            <v>Jake Stephens</v>
          </cell>
          <cell r="H289" t="str">
            <v>Andrew Warren</v>
          </cell>
          <cell r="I289" t="str">
            <v>FT</v>
          </cell>
          <cell r="J289">
            <v>4400105</v>
          </cell>
          <cell r="K289" t="str">
            <v>AS2244</v>
          </cell>
          <cell r="L289">
            <v>1061001</v>
          </cell>
          <cell r="M289" t="str">
            <v>jstep032</v>
          </cell>
          <cell r="N289" t="str">
            <v>PC</v>
          </cell>
          <cell r="O289">
            <v>43108</v>
          </cell>
          <cell r="P289">
            <v>29</v>
          </cell>
          <cell r="Q289" t="str">
            <v>0-1 Months</v>
          </cell>
          <cell r="R289" t="str">
            <v>GradBay</v>
          </cell>
        </row>
        <row r="290">
          <cell r="G290" t="str">
            <v>Alexander O'Dea</v>
          </cell>
          <cell r="H290" t="str">
            <v>Andrew Warren</v>
          </cell>
          <cell r="I290" t="str">
            <v>FT</v>
          </cell>
          <cell r="J290">
            <v>4401111</v>
          </cell>
          <cell r="K290" t="str">
            <v>AS2101</v>
          </cell>
          <cell r="L290">
            <v>1061042</v>
          </cell>
          <cell r="M290" t="str">
            <v>aodea003</v>
          </cell>
          <cell r="N290" t="str">
            <v>PC</v>
          </cell>
          <cell r="O290">
            <v>43108</v>
          </cell>
          <cell r="P290">
            <v>29</v>
          </cell>
          <cell r="Q290" t="str">
            <v>0-1 Months</v>
          </cell>
          <cell r="R290" t="str">
            <v>GradBay</v>
          </cell>
        </row>
        <row r="291">
          <cell r="G291" t="str">
            <v>Steven Thomas</v>
          </cell>
          <cell r="H291" t="str">
            <v>Andrew Warren</v>
          </cell>
          <cell r="I291" t="str">
            <v>FT</v>
          </cell>
          <cell r="J291">
            <v>4400185</v>
          </cell>
          <cell r="K291" t="str">
            <v>AS2034</v>
          </cell>
          <cell r="L291">
            <v>1060923</v>
          </cell>
          <cell r="M291" t="str">
            <v>sthom168</v>
          </cell>
          <cell r="N291" t="str">
            <v>ATV</v>
          </cell>
          <cell r="O291">
            <v>43108</v>
          </cell>
          <cell r="P291">
            <v>29</v>
          </cell>
          <cell r="Q291" t="str">
            <v>0-1 Months</v>
          </cell>
          <cell r="R291" t="str">
            <v>GradBay</v>
          </cell>
        </row>
        <row r="292">
          <cell r="G292" t="str">
            <v>Adam Ellisson</v>
          </cell>
          <cell r="H292" t="str">
            <v>Andrew Warren</v>
          </cell>
          <cell r="I292" t="str">
            <v>FT</v>
          </cell>
          <cell r="J292">
            <v>4400127</v>
          </cell>
          <cell r="K292" t="str">
            <v>AS2076</v>
          </cell>
          <cell r="L292">
            <v>1061047</v>
          </cell>
          <cell r="M292" t="str">
            <v>aelli033</v>
          </cell>
          <cell r="N292" t="str">
            <v>PC</v>
          </cell>
          <cell r="O292">
            <v>43108</v>
          </cell>
          <cell r="P292">
            <v>29</v>
          </cell>
          <cell r="Q292" t="str">
            <v>0-1 Months</v>
          </cell>
          <cell r="R292" t="str">
            <v>GradBay</v>
          </cell>
        </row>
        <row r="293">
          <cell r="G293" t="str">
            <v>Bryony Carter</v>
          </cell>
          <cell r="H293" t="str">
            <v>Andrew Warren</v>
          </cell>
          <cell r="I293" t="str">
            <v>PT</v>
          </cell>
          <cell r="J293">
            <v>4400174</v>
          </cell>
          <cell r="K293" t="str">
            <v>AS2179</v>
          </cell>
          <cell r="L293">
            <v>1060958</v>
          </cell>
          <cell r="M293" t="str">
            <v>bcart024</v>
          </cell>
          <cell r="N293" t="str">
            <v>ATV</v>
          </cell>
          <cell r="O293">
            <v>43108</v>
          </cell>
          <cell r="P293">
            <v>29</v>
          </cell>
          <cell r="Q293" t="str">
            <v>0-1 Months</v>
          </cell>
          <cell r="R293" t="str">
            <v>GradBay</v>
          </cell>
        </row>
        <row r="294">
          <cell r="G294" t="str">
            <v>Robert Watkins</v>
          </cell>
          <cell r="H294" t="str">
            <v>Andrew Warren</v>
          </cell>
          <cell r="I294" t="str">
            <v>FT</v>
          </cell>
          <cell r="J294">
            <v>4400165</v>
          </cell>
          <cell r="K294" t="str">
            <v>AS2118</v>
          </cell>
          <cell r="L294">
            <v>1060949</v>
          </cell>
          <cell r="M294" t="str">
            <v>rwatk012</v>
          </cell>
          <cell r="N294" t="str">
            <v>ATV</v>
          </cell>
          <cell r="O294">
            <v>43108</v>
          </cell>
          <cell r="P294">
            <v>29</v>
          </cell>
          <cell r="Q294" t="str">
            <v>0-1 Months</v>
          </cell>
          <cell r="R294" t="str">
            <v>GradBay</v>
          </cell>
        </row>
        <row r="295">
          <cell r="G295" t="str">
            <v>Dougal Ironside-Smith</v>
          </cell>
          <cell r="H295" t="str">
            <v>Andrew Warren</v>
          </cell>
          <cell r="I295" t="str">
            <v>PT</v>
          </cell>
          <cell r="J295">
            <v>4400187</v>
          </cell>
          <cell r="K295" t="str">
            <v>AS2129</v>
          </cell>
          <cell r="L295">
            <v>1060993</v>
          </cell>
          <cell r="M295" t="str">
            <v>diron001</v>
          </cell>
          <cell r="N295" t="str">
            <v>ATV</v>
          </cell>
          <cell r="O295">
            <v>43108</v>
          </cell>
          <cell r="P295">
            <v>29</v>
          </cell>
          <cell r="Q295" t="str">
            <v>0-1 Months</v>
          </cell>
          <cell r="R295" t="str">
            <v>GradBay</v>
          </cell>
        </row>
        <row r="296">
          <cell r="G296" t="str">
            <v>Alfie Phillips</v>
          </cell>
          <cell r="H296" t="str">
            <v>Andrew Warren</v>
          </cell>
          <cell r="I296" t="str">
            <v>PT</v>
          </cell>
          <cell r="J296">
            <v>4400464</v>
          </cell>
          <cell r="K296" t="str">
            <v>AS2228</v>
          </cell>
          <cell r="L296">
            <v>1015637</v>
          </cell>
          <cell r="M296" t="str">
            <v>aphil049</v>
          </cell>
          <cell r="N296" t="str">
            <v>ATV</v>
          </cell>
          <cell r="O296">
            <v>43108</v>
          </cell>
          <cell r="P296">
            <v>29</v>
          </cell>
          <cell r="Q296" t="str">
            <v>0-1 Months</v>
          </cell>
          <cell r="R296" t="str">
            <v>GradBay</v>
          </cell>
        </row>
        <row r="297">
          <cell r="G297" t="str">
            <v>Alistair Macpherson</v>
          </cell>
          <cell r="H297" t="str">
            <v>Andrew Warren</v>
          </cell>
          <cell r="I297" t="str">
            <v>PT</v>
          </cell>
          <cell r="J297">
            <v>4400472</v>
          </cell>
          <cell r="K297" t="str">
            <v>AS2149</v>
          </cell>
          <cell r="L297">
            <v>1061031</v>
          </cell>
          <cell r="M297" t="str">
            <v>amacp003</v>
          </cell>
          <cell r="N297" t="str">
            <v>ATV</v>
          </cell>
          <cell r="O297">
            <v>43108</v>
          </cell>
          <cell r="P297">
            <v>29</v>
          </cell>
          <cell r="Q297" t="str">
            <v>0-1 Months</v>
          </cell>
          <cell r="R297" t="str">
            <v>GradBay</v>
          </cell>
        </row>
        <row r="298">
          <cell r="G298" t="str">
            <v>Rachel Hoinville</v>
          </cell>
          <cell r="H298" t="str">
            <v>Rowan Marshall</v>
          </cell>
          <cell r="I298" t="str">
            <v>FT</v>
          </cell>
          <cell r="J298">
            <v>4400100</v>
          </cell>
          <cell r="K298" t="str">
            <v>AS2351</v>
          </cell>
          <cell r="L298">
            <v>1063779</v>
          </cell>
          <cell r="M298" t="str">
            <v>rhoin001</v>
          </cell>
          <cell r="N298" t="str">
            <v>TM</v>
          </cell>
          <cell r="O298">
            <v>43122</v>
          </cell>
          <cell r="P298">
            <v>15</v>
          </cell>
          <cell r="Q298" t="str">
            <v>0-1 Months</v>
          </cell>
          <cell r="R298" t="str">
            <v>Training</v>
          </cell>
        </row>
        <row r="299">
          <cell r="G299" t="str">
            <v>Katrina Shoebridge</v>
          </cell>
          <cell r="H299" t="str">
            <v>Ben Pote</v>
          </cell>
          <cell r="I299" t="str">
            <v>FT</v>
          </cell>
          <cell r="J299">
            <v>4400900</v>
          </cell>
          <cell r="K299" t="str">
            <v>AS2352</v>
          </cell>
          <cell r="L299">
            <v>1064675</v>
          </cell>
          <cell r="M299" t="str">
            <v>kshoe001</v>
          </cell>
          <cell r="N299" t="str">
            <v>EHT Aftersales</v>
          </cell>
          <cell r="O299">
            <v>43122</v>
          </cell>
          <cell r="P299">
            <v>15</v>
          </cell>
          <cell r="Q299" t="str">
            <v>0-1 Months</v>
          </cell>
          <cell r="R299" t="str">
            <v>ACTIVE</v>
          </cell>
        </row>
        <row r="300">
          <cell r="G300" t="str">
            <v>Glenn Palmer</v>
          </cell>
          <cell r="H300" t="str">
            <v>Rachel Hoinville</v>
          </cell>
          <cell r="I300" t="str">
            <v>PT</v>
          </cell>
          <cell r="J300">
            <v>4400901</v>
          </cell>
          <cell r="K300" t="str">
            <v>AS2353</v>
          </cell>
          <cell r="L300">
            <v>1064698</v>
          </cell>
          <cell r="M300" t="str">
            <v>gpalm029</v>
          </cell>
          <cell r="N300" t="str">
            <v>EHT Aftersales</v>
          </cell>
          <cell r="O300">
            <v>43122</v>
          </cell>
          <cell r="P300">
            <v>15</v>
          </cell>
          <cell r="Q300" t="str">
            <v>0-1 Months</v>
          </cell>
          <cell r="R300" t="str">
            <v>ACTIVE</v>
          </cell>
        </row>
        <row r="301">
          <cell r="G301" t="str">
            <v>Bradley Thomas</v>
          </cell>
          <cell r="H301" t="str">
            <v>Ben Pote</v>
          </cell>
          <cell r="I301" t="str">
            <v>FT</v>
          </cell>
          <cell r="J301">
            <v>4400902</v>
          </cell>
          <cell r="K301" t="str">
            <v>AS2354</v>
          </cell>
          <cell r="L301">
            <v>1064669</v>
          </cell>
          <cell r="M301" t="str">
            <v>bthom099</v>
          </cell>
          <cell r="N301" t="str">
            <v>EHT Aftersales</v>
          </cell>
          <cell r="O301">
            <v>43122</v>
          </cell>
          <cell r="P301">
            <v>15</v>
          </cell>
          <cell r="Q301" t="str">
            <v>0-1 Months</v>
          </cell>
          <cell r="R301" t="str">
            <v>ACTIVE</v>
          </cell>
        </row>
        <row r="302">
          <cell r="G302" t="str">
            <v>Victoria Gray</v>
          </cell>
          <cell r="H302" t="str">
            <v>Rachel Hoinville</v>
          </cell>
          <cell r="I302" t="str">
            <v>FT</v>
          </cell>
          <cell r="J302">
            <v>4400903</v>
          </cell>
          <cell r="K302" t="str">
            <v>AS2355</v>
          </cell>
          <cell r="L302">
            <v>1064422</v>
          </cell>
          <cell r="M302" t="str">
            <v>vgray006</v>
          </cell>
          <cell r="N302" t="str">
            <v>EHT Aftersales</v>
          </cell>
          <cell r="O302">
            <v>43122</v>
          </cell>
          <cell r="P302">
            <v>15</v>
          </cell>
          <cell r="Q302" t="str">
            <v>0-1 Months</v>
          </cell>
          <cell r="R302" t="str">
            <v>ACTIVE</v>
          </cell>
        </row>
        <row r="303">
          <cell r="G303" t="str">
            <v>Mason Bell</v>
          </cell>
          <cell r="H303" t="str">
            <v>Rachel Hoinville</v>
          </cell>
          <cell r="I303" t="str">
            <v>FT</v>
          </cell>
          <cell r="J303">
            <v>4400904</v>
          </cell>
          <cell r="K303" t="str">
            <v>AS2356</v>
          </cell>
          <cell r="L303">
            <v>1064677</v>
          </cell>
          <cell r="M303" t="str">
            <v>mbell069</v>
          </cell>
          <cell r="N303" t="str">
            <v>EHT Aftersales</v>
          </cell>
          <cell r="O303">
            <v>43122</v>
          </cell>
          <cell r="P303">
            <v>15</v>
          </cell>
          <cell r="Q303" t="str">
            <v>0-1 Months</v>
          </cell>
          <cell r="R303" t="str">
            <v>ACTIVE</v>
          </cell>
        </row>
        <row r="304">
          <cell r="G304" t="str">
            <v>Martin Pigott</v>
          </cell>
          <cell r="H304" t="str">
            <v>Ben Pote</v>
          </cell>
          <cell r="I304" t="str">
            <v>FT</v>
          </cell>
          <cell r="J304">
            <v>4400905</v>
          </cell>
          <cell r="K304" t="str">
            <v>AS2357</v>
          </cell>
          <cell r="L304">
            <v>1064644</v>
          </cell>
          <cell r="M304" t="str">
            <v>mpigo001</v>
          </cell>
          <cell r="N304" t="str">
            <v>EHT Aftersales</v>
          </cell>
          <cell r="O304">
            <v>43122</v>
          </cell>
          <cell r="P304">
            <v>15</v>
          </cell>
          <cell r="Q304" t="str">
            <v>0-1 Months</v>
          </cell>
          <cell r="R304" t="str">
            <v>ACTIVE</v>
          </cell>
        </row>
        <row r="305">
          <cell r="G305" t="str">
            <v>Morgan Williams</v>
          </cell>
          <cell r="H305" t="str">
            <v>Rachel Hoinville</v>
          </cell>
          <cell r="I305" t="str">
            <v>FT</v>
          </cell>
          <cell r="J305">
            <v>4400906</v>
          </cell>
          <cell r="K305" t="str">
            <v>AS2358</v>
          </cell>
          <cell r="L305">
            <v>1064673</v>
          </cell>
          <cell r="M305" t="str">
            <v>mwill170</v>
          </cell>
          <cell r="N305" t="str">
            <v>EHT Aftersales</v>
          </cell>
          <cell r="O305">
            <v>43122</v>
          </cell>
          <cell r="P305">
            <v>15</v>
          </cell>
          <cell r="Q305" t="str">
            <v>0-1 Months</v>
          </cell>
          <cell r="R305" t="str">
            <v>ACTIVE</v>
          </cell>
        </row>
        <row r="306">
          <cell r="G306" t="str">
            <v>Keelan Stafford-Campbell</v>
          </cell>
          <cell r="H306" t="str">
            <v>Ben Pote</v>
          </cell>
          <cell r="I306" t="str">
            <v>FT</v>
          </cell>
          <cell r="J306">
            <v>4400907</v>
          </cell>
          <cell r="K306" t="str">
            <v>AS2359</v>
          </cell>
          <cell r="L306">
            <v>1064682</v>
          </cell>
          <cell r="M306" t="str">
            <v>kstaf001</v>
          </cell>
          <cell r="N306" t="str">
            <v>EHT Aftersales</v>
          </cell>
          <cell r="O306">
            <v>43122</v>
          </cell>
          <cell r="P306">
            <v>15</v>
          </cell>
          <cell r="Q306" t="str">
            <v>0-1 Months</v>
          </cell>
          <cell r="R306" t="str">
            <v>ACTIVE</v>
          </cell>
        </row>
        <row r="307">
          <cell r="G307" t="str">
            <v>Michelle Moss</v>
          </cell>
          <cell r="H307" t="str">
            <v>Ben Pote</v>
          </cell>
          <cell r="I307" t="str">
            <v>PT</v>
          </cell>
          <cell r="J307">
            <v>4400909</v>
          </cell>
          <cell r="K307" t="str">
            <v>AS2363</v>
          </cell>
          <cell r="L307">
            <v>1064679</v>
          </cell>
          <cell r="M307" t="str">
            <v>mmoss004</v>
          </cell>
          <cell r="N307" t="str">
            <v>EHT Aftersales</v>
          </cell>
          <cell r="O307">
            <v>43122</v>
          </cell>
          <cell r="P307">
            <v>15</v>
          </cell>
          <cell r="Q307" t="str">
            <v>0-1 Months</v>
          </cell>
          <cell r="R307" t="str">
            <v>ACTIVE</v>
          </cell>
        </row>
        <row r="308">
          <cell r="G308" t="str">
            <v>Isaac Musinguzi</v>
          </cell>
          <cell r="H308" t="str">
            <v>Rachel Hoinville</v>
          </cell>
          <cell r="I308" t="str">
            <v>FT</v>
          </cell>
          <cell r="J308">
            <v>4400910</v>
          </cell>
          <cell r="K308" t="str">
            <v>AS2364</v>
          </cell>
          <cell r="L308">
            <v>1064654</v>
          </cell>
          <cell r="M308" t="str">
            <v>imusi001</v>
          </cell>
          <cell r="N308" t="str">
            <v>EHT Aftersales</v>
          </cell>
          <cell r="O308">
            <v>43122</v>
          </cell>
          <cell r="P308">
            <v>15</v>
          </cell>
          <cell r="Q308" t="str">
            <v>0-1 Months</v>
          </cell>
          <cell r="R308" t="str">
            <v>ACTIVE</v>
          </cell>
        </row>
        <row r="309">
          <cell r="G309" t="str">
            <v>Meredith Deighton</v>
          </cell>
          <cell r="H309" t="str">
            <v>Rachel Hoinville</v>
          </cell>
          <cell r="I309" t="str">
            <v>FT</v>
          </cell>
          <cell r="J309">
            <v>4400911</v>
          </cell>
          <cell r="K309" t="str">
            <v>AS2365</v>
          </cell>
          <cell r="L309">
            <v>1064689</v>
          </cell>
          <cell r="M309" t="str">
            <v>mdeig001</v>
          </cell>
          <cell r="N309" t="str">
            <v>EHT Aftersales</v>
          </cell>
          <cell r="O309">
            <v>43122</v>
          </cell>
          <cell r="P309">
            <v>15</v>
          </cell>
          <cell r="Q309" t="str">
            <v>0-1 Months</v>
          </cell>
          <cell r="R309" t="str">
            <v>ACTIVE</v>
          </cell>
        </row>
        <row r="310">
          <cell r="G310" t="str">
            <v>Courtney Ali</v>
          </cell>
          <cell r="H310" t="str">
            <v>Ben Pote</v>
          </cell>
          <cell r="I310" t="str">
            <v>FT</v>
          </cell>
          <cell r="J310">
            <v>4400912</v>
          </cell>
          <cell r="K310" t="str">
            <v>AS2366</v>
          </cell>
          <cell r="L310">
            <v>1064667</v>
          </cell>
          <cell r="M310" t="str">
            <v>cali001</v>
          </cell>
          <cell r="N310" t="str">
            <v>EHT Aftersales</v>
          </cell>
          <cell r="O310">
            <v>43122</v>
          </cell>
          <cell r="P310">
            <v>15</v>
          </cell>
          <cell r="Q310" t="str">
            <v>0-1 Months</v>
          </cell>
          <cell r="R310" t="str">
            <v>ACTIVE</v>
          </cell>
        </row>
        <row r="311">
          <cell r="G311" t="str">
            <v>Rico Horner</v>
          </cell>
          <cell r="H311" t="str">
            <v>Rachel Hoinville</v>
          </cell>
          <cell r="I311" t="str">
            <v>FT</v>
          </cell>
          <cell r="J311">
            <v>4400913</v>
          </cell>
          <cell r="K311" t="str">
            <v>AS2367</v>
          </cell>
          <cell r="L311">
            <v>1064649</v>
          </cell>
          <cell r="M311" t="str">
            <v>rhorn004</v>
          </cell>
          <cell r="N311" t="str">
            <v>EHT Aftersales</v>
          </cell>
          <cell r="O311">
            <v>43122</v>
          </cell>
          <cell r="P311">
            <v>15</v>
          </cell>
          <cell r="Q311" t="str">
            <v>0-1 Months</v>
          </cell>
          <cell r="R311" t="str">
            <v>ACTIVE</v>
          </cell>
        </row>
        <row r="312">
          <cell r="G312" t="str">
            <v>Katrina Adams</v>
          </cell>
          <cell r="H312" t="str">
            <v>Rachel Hoinville</v>
          </cell>
          <cell r="I312" t="str">
            <v>FT</v>
          </cell>
          <cell r="J312">
            <v>4400914</v>
          </cell>
          <cell r="K312" t="str">
            <v>AS2368</v>
          </cell>
          <cell r="L312">
            <v>1064665</v>
          </cell>
          <cell r="M312" t="str">
            <v>kadam029</v>
          </cell>
          <cell r="N312" t="str">
            <v>EHT Aftersales</v>
          </cell>
          <cell r="O312">
            <v>43122</v>
          </cell>
          <cell r="P312">
            <v>15</v>
          </cell>
          <cell r="Q312" t="str">
            <v>0-1 Months</v>
          </cell>
          <cell r="R312" t="str">
            <v>ACTIVE</v>
          </cell>
        </row>
        <row r="313">
          <cell r="G313" t="str">
            <v>Maria Kontorravdis</v>
          </cell>
          <cell r="H313" t="str">
            <v>Ben Pote</v>
          </cell>
          <cell r="I313" t="str">
            <v>PT</v>
          </cell>
          <cell r="J313">
            <v>4400915</v>
          </cell>
          <cell r="K313" t="str">
            <v>AS2369</v>
          </cell>
          <cell r="L313">
            <v>1064775</v>
          </cell>
          <cell r="M313" t="str">
            <v>mkont003</v>
          </cell>
          <cell r="N313" t="str">
            <v>EHT Aftersales</v>
          </cell>
          <cell r="O313">
            <v>43122</v>
          </cell>
          <cell r="P313">
            <v>15</v>
          </cell>
          <cell r="Q313" t="str">
            <v>0-1 Months</v>
          </cell>
          <cell r="R313" t="str">
            <v>ACTIVE</v>
          </cell>
        </row>
        <row r="314">
          <cell r="G314" t="str">
            <v>Darren Paul</v>
          </cell>
          <cell r="H314" t="str">
            <v>Ben Pote</v>
          </cell>
          <cell r="I314" t="str">
            <v>FT</v>
          </cell>
          <cell r="J314">
            <v>4400916</v>
          </cell>
          <cell r="K314" t="str">
            <v>AS2370</v>
          </cell>
          <cell r="L314">
            <v>1064650</v>
          </cell>
          <cell r="M314" t="str">
            <v>dpaul017</v>
          </cell>
          <cell r="N314" t="str">
            <v>EHT Aftersales</v>
          </cell>
          <cell r="O314">
            <v>43122</v>
          </cell>
          <cell r="P314">
            <v>15</v>
          </cell>
          <cell r="Q314" t="str">
            <v>0-1 Months</v>
          </cell>
          <cell r="R314" t="str">
            <v>ACTIVE</v>
          </cell>
        </row>
        <row r="315">
          <cell r="G315" t="str">
            <v>Lee Vernon</v>
          </cell>
          <cell r="H315" t="str">
            <v>Ben Pote</v>
          </cell>
          <cell r="I315" t="str">
            <v>FT</v>
          </cell>
          <cell r="J315">
            <v>4400917</v>
          </cell>
          <cell r="K315" t="str">
            <v>AS2371</v>
          </cell>
          <cell r="L315">
            <v>1064660</v>
          </cell>
          <cell r="M315" t="str">
            <v>lvern005</v>
          </cell>
          <cell r="N315" t="str">
            <v>EHT Aftersales</v>
          </cell>
          <cell r="O315">
            <v>43122</v>
          </cell>
          <cell r="P315">
            <v>15</v>
          </cell>
          <cell r="Q315" t="str">
            <v>0-1 Months</v>
          </cell>
          <cell r="R315" t="str">
            <v>ACTIVE</v>
          </cell>
        </row>
        <row r="316">
          <cell r="G316" t="str">
            <v>Jade McFadden</v>
          </cell>
          <cell r="H316" t="str">
            <v>Rachel Hoinville</v>
          </cell>
          <cell r="I316" t="str">
            <v>PT</v>
          </cell>
          <cell r="J316">
            <v>4400918</v>
          </cell>
          <cell r="K316" t="str">
            <v>AS2372</v>
          </cell>
          <cell r="L316">
            <v>1064652</v>
          </cell>
          <cell r="M316" t="str">
            <v>jmcfa013</v>
          </cell>
          <cell r="N316" t="str">
            <v>EHT Aftersales</v>
          </cell>
          <cell r="O316">
            <v>43122</v>
          </cell>
          <cell r="P316">
            <v>15</v>
          </cell>
          <cell r="Q316" t="str">
            <v>0-1 Months</v>
          </cell>
          <cell r="R316" t="str">
            <v>ACTIVE</v>
          </cell>
        </row>
        <row r="317">
          <cell r="G317" t="str">
            <v>Bronwyn Ferguson</v>
          </cell>
          <cell r="H317" t="str">
            <v>Rachel Hoinville</v>
          </cell>
          <cell r="I317" t="str">
            <v>PT</v>
          </cell>
          <cell r="J317">
            <v>4400919</v>
          </cell>
          <cell r="K317" t="str">
            <v>AS2373</v>
          </cell>
          <cell r="L317">
            <v>1064518</v>
          </cell>
          <cell r="M317" t="str">
            <v>bferg008</v>
          </cell>
          <cell r="N317" t="str">
            <v>EHT Aftersales</v>
          </cell>
          <cell r="O317">
            <v>43122</v>
          </cell>
          <cell r="P317">
            <v>15</v>
          </cell>
          <cell r="Q317" t="str">
            <v>0-1 Months</v>
          </cell>
          <cell r="R317" t="str">
            <v>ACTIVE</v>
          </cell>
        </row>
        <row r="318">
          <cell r="G318" t="str">
            <v>Genevieve Kapahnke</v>
          </cell>
          <cell r="H318" t="str">
            <v>Rachel Hoinville</v>
          </cell>
          <cell r="I318" t="str">
            <v>PT</v>
          </cell>
          <cell r="J318">
            <v>4400920</v>
          </cell>
          <cell r="K318" t="str">
            <v>AS2374</v>
          </cell>
          <cell r="L318">
            <v>1064762</v>
          </cell>
          <cell r="M318" t="str">
            <v>gkapa002</v>
          </cell>
          <cell r="N318" t="str">
            <v>EHT Aftersales</v>
          </cell>
          <cell r="O318">
            <v>43122</v>
          </cell>
          <cell r="P318">
            <v>15</v>
          </cell>
          <cell r="Q318" t="str">
            <v>0-1 Months</v>
          </cell>
          <cell r="R318" t="str">
            <v>ACTIVE</v>
          </cell>
        </row>
        <row r="319">
          <cell r="G319" t="str">
            <v>Reanna Clifford</v>
          </cell>
          <cell r="H319" t="str">
            <v>Rachel Hoinville</v>
          </cell>
          <cell r="I319" t="str">
            <v>PT</v>
          </cell>
          <cell r="J319">
            <v>4400921</v>
          </cell>
          <cell r="K319" t="str">
            <v>AS2375</v>
          </cell>
          <cell r="L319">
            <v>1064753</v>
          </cell>
          <cell r="M319" t="str">
            <v>rclif002</v>
          </cell>
          <cell r="N319" t="str">
            <v>EHT Aftersales</v>
          </cell>
          <cell r="O319">
            <v>43122</v>
          </cell>
          <cell r="P319">
            <v>15</v>
          </cell>
          <cell r="Q319" t="str">
            <v>0-1 Months</v>
          </cell>
          <cell r="R319" t="str">
            <v>ACTIVE</v>
          </cell>
        </row>
        <row r="320">
          <cell r="G320" t="str">
            <v>Brendan Page</v>
          </cell>
          <cell r="H320" t="str">
            <v>Rachel Hoinville</v>
          </cell>
          <cell r="I320" t="str">
            <v>FT</v>
          </cell>
          <cell r="J320">
            <v>4400922</v>
          </cell>
          <cell r="K320" t="str">
            <v>AS2376</v>
          </cell>
          <cell r="L320">
            <v>1064751</v>
          </cell>
          <cell r="M320" t="str">
            <v>bpage006</v>
          </cell>
          <cell r="N320" t="str">
            <v>EHT Aftersales</v>
          </cell>
          <cell r="O320">
            <v>43122</v>
          </cell>
          <cell r="P320">
            <v>15</v>
          </cell>
          <cell r="Q320" t="str">
            <v>0-1 Months</v>
          </cell>
          <cell r="R320" t="str">
            <v>ACTIVE</v>
          </cell>
        </row>
        <row r="321">
          <cell r="G321" t="str">
            <v>Alexander Ellis-Robbins</v>
          </cell>
          <cell r="H321" t="str">
            <v>Rachel Hoinville</v>
          </cell>
          <cell r="I321" t="str">
            <v>PT</v>
          </cell>
          <cell r="J321">
            <v>4400923</v>
          </cell>
          <cell r="K321" t="str">
            <v>AS2377</v>
          </cell>
          <cell r="L321">
            <v>1064759</v>
          </cell>
          <cell r="M321" t="str">
            <v>aelli034</v>
          </cell>
          <cell r="N321" t="str">
            <v>EHT Aftersales</v>
          </cell>
          <cell r="O321">
            <v>43122</v>
          </cell>
          <cell r="P321">
            <v>15</v>
          </cell>
          <cell r="Q321" t="str">
            <v>0-1 Months</v>
          </cell>
          <cell r="R321" t="str">
            <v>ACTIVE</v>
          </cell>
        </row>
        <row r="322">
          <cell r="G322" t="str">
            <v>Olivia Harris</v>
          </cell>
          <cell r="H322" t="str">
            <v>Ben Pote</v>
          </cell>
          <cell r="I322" t="str">
            <v>PT</v>
          </cell>
          <cell r="J322">
            <v>4400924</v>
          </cell>
          <cell r="K322" t="str">
            <v>AS2378</v>
          </cell>
          <cell r="L322">
            <v>1064741</v>
          </cell>
          <cell r="M322" t="str">
            <v>oharr009</v>
          </cell>
          <cell r="N322" t="str">
            <v>EHT Aftersales</v>
          </cell>
          <cell r="O322">
            <v>43122</v>
          </cell>
          <cell r="P322">
            <v>15</v>
          </cell>
          <cell r="Q322" t="str">
            <v>0-1 Months</v>
          </cell>
          <cell r="R322" t="str">
            <v>ACTIVE</v>
          </cell>
        </row>
        <row r="323">
          <cell r="G323" t="str">
            <v>Heidi Ashton</v>
          </cell>
          <cell r="H323" t="str">
            <v>Ben Pote</v>
          </cell>
          <cell r="I323" t="str">
            <v>PT</v>
          </cell>
          <cell r="J323">
            <v>4400925</v>
          </cell>
          <cell r="K323" t="str">
            <v>AS2379</v>
          </cell>
          <cell r="L323">
            <v>1064771</v>
          </cell>
          <cell r="M323" t="str">
            <v>hasht002</v>
          </cell>
          <cell r="N323" t="str">
            <v>EHT Aftersales</v>
          </cell>
          <cell r="O323">
            <v>43122</v>
          </cell>
          <cell r="P323">
            <v>15</v>
          </cell>
          <cell r="Q323" t="str">
            <v>0-1 Months</v>
          </cell>
          <cell r="R323" t="str">
            <v>ACTIVE</v>
          </cell>
        </row>
        <row r="324">
          <cell r="G324" t="str">
            <v>Ahid Chenno Ruiz</v>
          </cell>
          <cell r="H324" t="str">
            <v>Rachel Hoinville</v>
          </cell>
          <cell r="I324" t="str">
            <v>PT</v>
          </cell>
          <cell r="J324">
            <v>4400926</v>
          </cell>
          <cell r="K324" t="str">
            <v>AS2380</v>
          </cell>
          <cell r="L324">
            <v>1064718</v>
          </cell>
          <cell r="M324" t="str">
            <v>achen006</v>
          </cell>
          <cell r="N324" t="str">
            <v>EHT Aftersales</v>
          </cell>
          <cell r="O324">
            <v>43122</v>
          </cell>
          <cell r="P324">
            <v>15</v>
          </cell>
          <cell r="Q324" t="str">
            <v>0-1 Months</v>
          </cell>
          <cell r="R324" t="str">
            <v>ACTIVE</v>
          </cell>
        </row>
        <row r="325">
          <cell r="G325" t="str">
            <v>Reece Fitzgerald</v>
          </cell>
          <cell r="H325" t="str">
            <v>Ben Pote</v>
          </cell>
          <cell r="I325" t="str">
            <v>PT</v>
          </cell>
          <cell r="J325">
            <v>4400927</v>
          </cell>
          <cell r="K325" t="str">
            <v>AS2381</v>
          </cell>
          <cell r="L325">
            <v>1064705</v>
          </cell>
          <cell r="M325" t="str">
            <v>rfitz007</v>
          </cell>
          <cell r="N325" t="str">
            <v>EHT Aftersales</v>
          </cell>
          <cell r="O325">
            <v>43122</v>
          </cell>
          <cell r="P325">
            <v>15</v>
          </cell>
          <cell r="Q325" t="str">
            <v>0-1 Months</v>
          </cell>
          <cell r="R325" t="str">
            <v>ACTIVE</v>
          </cell>
        </row>
        <row r="326">
          <cell r="G326" t="str">
            <v>Christopher Woolmington</v>
          </cell>
          <cell r="H326" t="str">
            <v>Rachel Hoinville</v>
          </cell>
          <cell r="I326" t="str">
            <v>PT</v>
          </cell>
          <cell r="J326">
            <v>4400928</v>
          </cell>
          <cell r="K326" t="str">
            <v>AS2382</v>
          </cell>
          <cell r="L326">
            <v>1064747</v>
          </cell>
          <cell r="M326" t="str">
            <v>cwool003</v>
          </cell>
          <cell r="N326" t="str">
            <v>EHT Aftersales</v>
          </cell>
          <cell r="O326">
            <v>43122</v>
          </cell>
          <cell r="P326">
            <v>15</v>
          </cell>
          <cell r="Q326" t="str">
            <v>0-1 Months</v>
          </cell>
          <cell r="R326" t="str">
            <v>ACTIVE</v>
          </cell>
        </row>
        <row r="327">
          <cell r="G327" t="str">
            <v>Jessica Luscombe</v>
          </cell>
          <cell r="H327" t="str">
            <v>Ben Pote</v>
          </cell>
          <cell r="I327" t="str">
            <v>PT</v>
          </cell>
          <cell r="J327">
            <v>4400929</v>
          </cell>
          <cell r="K327" t="str">
            <v>AS2383</v>
          </cell>
          <cell r="L327">
            <v>1064749</v>
          </cell>
          <cell r="M327" t="str">
            <v>jlusc001</v>
          </cell>
          <cell r="N327" t="str">
            <v>EHT Aftersales</v>
          </cell>
          <cell r="O327">
            <v>43122</v>
          </cell>
          <cell r="P327">
            <v>15</v>
          </cell>
          <cell r="Q327" t="str">
            <v>0-1 Months</v>
          </cell>
          <cell r="R327" t="str">
            <v>ACTIVE</v>
          </cell>
        </row>
        <row r="328">
          <cell r="G328" t="str">
            <v>Simon White</v>
          </cell>
          <cell r="H328" t="str">
            <v>Andrew Warren</v>
          </cell>
          <cell r="I328" t="str">
            <v>FT</v>
          </cell>
          <cell r="J328">
            <v>4400801</v>
          </cell>
          <cell r="K328" t="str">
            <v>AS2138</v>
          </cell>
          <cell r="L328">
            <v>399611</v>
          </cell>
          <cell r="M328" t="str">
            <v>swhit101</v>
          </cell>
          <cell r="N328" t="str">
            <v>ATV</v>
          </cell>
          <cell r="O328">
            <v>43129</v>
          </cell>
          <cell r="P328">
            <v>8</v>
          </cell>
          <cell r="Q328" t="str">
            <v>0-1 Months</v>
          </cell>
          <cell r="R328" t="str">
            <v>GradBay</v>
          </cell>
        </row>
        <row r="329">
          <cell r="G329" t="str">
            <v>Dan Foster</v>
          </cell>
          <cell r="H329" t="str">
            <v>Andrew Warren</v>
          </cell>
          <cell r="I329" t="str">
            <v>FT</v>
          </cell>
          <cell r="J329">
            <v>4400153</v>
          </cell>
          <cell r="K329" t="str">
            <v>AS2004</v>
          </cell>
          <cell r="L329">
            <v>1064437</v>
          </cell>
          <cell r="M329" t="str">
            <v>dfost019</v>
          </cell>
          <cell r="N329" t="str">
            <v>PC</v>
          </cell>
          <cell r="O329">
            <v>43122</v>
          </cell>
          <cell r="P329">
            <v>15</v>
          </cell>
          <cell r="Q329" t="str">
            <v>0-1 Months</v>
          </cell>
          <cell r="R329" t="str">
            <v>GradBay</v>
          </cell>
        </row>
        <row r="330">
          <cell r="G330" t="str">
            <v>Luke Desborough</v>
          </cell>
          <cell r="H330" t="str">
            <v>Andrew Warren</v>
          </cell>
          <cell r="I330" t="str">
            <v>FT</v>
          </cell>
          <cell r="J330">
            <v>4400081</v>
          </cell>
          <cell r="K330" t="str">
            <v>AS2309</v>
          </cell>
          <cell r="L330">
            <v>1016278</v>
          </cell>
          <cell r="M330" t="str">
            <v>ldesb002</v>
          </cell>
          <cell r="N330" t="str">
            <v>PC</v>
          </cell>
          <cell r="O330">
            <v>43122</v>
          </cell>
          <cell r="P330">
            <v>15</v>
          </cell>
          <cell r="Q330" t="str">
            <v>0-1 Months</v>
          </cell>
          <cell r="R330" t="str">
            <v>GradBay</v>
          </cell>
        </row>
        <row r="331">
          <cell r="G331" t="str">
            <v>Rachel Daniels</v>
          </cell>
          <cell r="H331" t="str">
            <v>Andrew Warren</v>
          </cell>
          <cell r="I331" t="str">
            <v>FT</v>
          </cell>
          <cell r="J331">
            <v>4400848</v>
          </cell>
          <cell r="K331" t="str">
            <v>AS2194</v>
          </cell>
          <cell r="L331">
            <v>1064791</v>
          </cell>
          <cell r="M331" t="str">
            <v>rdani024</v>
          </cell>
          <cell r="N331" t="str">
            <v>LE</v>
          </cell>
          <cell r="O331">
            <v>43122</v>
          </cell>
          <cell r="P331">
            <v>15</v>
          </cell>
          <cell r="Q331" t="str">
            <v>0-1 Months</v>
          </cell>
          <cell r="R331" t="str">
            <v>GradBay</v>
          </cell>
        </row>
        <row r="332">
          <cell r="G332" t="str">
            <v>Fletcher Wilkinson</v>
          </cell>
          <cell r="H332" t="str">
            <v>Andrew Warren</v>
          </cell>
          <cell r="I332" t="str">
            <v>FT</v>
          </cell>
          <cell r="J332">
            <v>4400807</v>
          </cell>
          <cell r="K332" t="str">
            <v>AS2298</v>
          </cell>
          <cell r="L332">
            <v>1064440</v>
          </cell>
          <cell r="M332" t="str">
            <v>fwilk005</v>
          </cell>
          <cell r="N332" t="str">
            <v>LE</v>
          </cell>
          <cell r="O332">
            <v>43122</v>
          </cell>
          <cell r="P332">
            <v>15</v>
          </cell>
          <cell r="Q332" t="str">
            <v>0-1 Months</v>
          </cell>
          <cell r="R332" t="str">
            <v>GradBay</v>
          </cell>
        </row>
        <row r="333">
          <cell r="G333" t="str">
            <v>Holly Perrett</v>
          </cell>
          <cell r="H333" t="str">
            <v>Andrew Warren</v>
          </cell>
          <cell r="I333" t="str">
            <v>FT</v>
          </cell>
          <cell r="J333">
            <v>4400871</v>
          </cell>
          <cell r="K333" t="str">
            <v>AS2310</v>
          </cell>
          <cell r="L333">
            <v>1064480</v>
          </cell>
          <cell r="M333" t="str">
            <v>hperr006</v>
          </cell>
          <cell r="N333" t="str">
            <v>LE</v>
          </cell>
          <cell r="O333">
            <v>43122</v>
          </cell>
          <cell r="P333">
            <v>15</v>
          </cell>
          <cell r="Q333" t="str">
            <v>0-1 Months</v>
          </cell>
          <cell r="R333" t="str">
            <v>GradBay</v>
          </cell>
        </row>
        <row r="334">
          <cell r="G334" t="str">
            <v>Daniel Jessop</v>
          </cell>
          <cell r="H334" t="str">
            <v>Andrew Warren</v>
          </cell>
          <cell r="I334" t="str">
            <v>FT</v>
          </cell>
          <cell r="J334">
            <v>4400874</v>
          </cell>
          <cell r="K334" t="str">
            <v>AS2319</v>
          </cell>
          <cell r="L334">
            <v>1064432</v>
          </cell>
          <cell r="M334" t="str">
            <v>djess008</v>
          </cell>
          <cell r="N334" t="str">
            <v>LE</v>
          </cell>
          <cell r="O334">
            <v>43122</v>
          </cell>
          <cell r="P334">
            <v>15</v>
          </cell>
          <cell r="Q334" t="str">
            <v>0-1 Months</v>
          </cell>
          <cell r="R334" t="str">
            <v>GradBay</v>
          </cell>
        </row>
        <row r="335">
          <cell r="G335" t="str">
            <v>Nicholas Andrews</v>
          </cell>
          <cell r="H335" t="str">
            <v>Andrew Warren</v>
          </cell>
          <cell r="I335" t="str">
            <v>PT</v>
          </cell>
          <cell r="J335">
            <v>4400120</v>
          </cell>
          <cell r="K335" t="str">
            <v>AS2107</v>
          </cell>
          <cell r="L335">
            <v>1064447</v>
          </cell>
          <cell r="M335" t="str">
            <v>nandr023</v>
          </cell>
          <cell r="N335" t="str">
            <v>PC</v>
          </cell>
          <cell r="O335">
            <v>43122</v>
          </cell>
          <cell r="P335">
            <v>15</v>
          </cell>
          <cell r="Q335" t="str">
            <v>0-1 Months</v>
          </cell>
          <cell r="R335" t="str">
            <v>GradBay</v>
          </cell>
        </row>
        <row r="336">
          <cell r="G336" t="str">
            <v>Scott Mitchell</v>
          </cell>
          <cell r="H336" t="str">
            <v>Andrew Warren</v>
          </cell>
          <cell r="I336" t="str">
            <v>FT</v>
          </cell>
          <cell r="J336">
            <v>4400806</v>
          </cell>
          <cell r="K336" t="str">
            <v>AS2135</v>
          </cell>
          <cell r="L336">
            <v>1064426</v>
          </cell>
          <cell r="M336" t="str">
            <v>smitc037</v>
          </cell>
          <cell r="N336" t="str">
            <v>LE</v>
          </cell>
          <cell r="O336">
            <v>43122</v>
          </cell>
          <cell r="P336">
            <v>15</v>
          </cell>
          <cell r="Q336" t="str">
            <v>0-1 Months</v>
          </cell>
          <cell r="R336" t="str">
            <v>GradBay</v>
          </cell>
        </row>
        <row r="337">
          <cell r="G337" t="str">
            <v>Raven Caton</v>
          </cell>
          <cell r="H337" t="str">
            <v>Andrew Warren</v>
          </cell>
          <cell r="I337" t="str">
            <v>PT</v>
          </cell>
          <cell r="J337">
            <v>4400942</v>
          </cell>
          <cell r="K337" t="str">
            <v>AS2127</v>
          </cell>
          <cell r="L337">
            <v>1064513</v>
          </cell>
          <cell r="M337" t="str">
            <v>rcato002</v>
          </cell>
          <cell r="N337" t="str">
            <v>PC</v>
          </cell>
          <cell r="O337">
            <v>43122</v>
          </cell>
          <cell r="P337">
            <v>15</v>
          </cell>
          <cell r="Q337" t="str">
            <v>0-1 Months</v>
          </cell>
          <cell r="R337" t="str">
            <v>GradBay</v>
          </cell>
        </row>
        <row r="338">
          <cell r="G338" t="str">
            <v>Benjamin Judd</v>
          </cell>
          <cell r="H338" t="str">
            <v>Andrew Warren</v>
          </cell>
          <cell r="I338" t="str">
            <v>FT</v>
          </cell>
          <cell r="J338">
            <v>4400088</v>
          </cell>
          <cell r="K338" t="str">
            <v>AS2075</v>
          </cell>
          <cell r="L338">
            <v>1064473</v>
          </cell>
          <cell r="M338" t="str">
            <v>bjudd001</v>
          </cell>
          <cell r="N338" t="str">
            <v>PC</v>
          </cell>
          <cell r="O338">
            <v>43122</v>
          </cell>
          <cell r="P338">
            <v>15</v>
          </cell>
          <cell r="Q338" t="str">
            <v>0-1 Months</v>
          </cell>
          <cell r="R338" t="str">
            <v>GradBay</v>
          </cell>
        </row>
        <row r="339">
          <cell r="G339" t="str">
            <v>Cordula Hammond</v>
          </cell>
          <cell r="H339" t="str">
            <v>Andrew Warren</v>
          </cell>
          <cell r="I339" t="str">
            <v>FT</v>
          </cell>
          <cell r="J339">
            <v>4400144</v>
          </cell>
          <cell r="K339" t="str">
            <v>AS2290</v>
          </cell>
          <cell r="L339">
            <v>1064478</v>
          </cell>
          <cell r="M339" t="str">
            <v>chamm01</v>
          </cell>
          <cell r="N339" t="str">
            <v>PC</v>
          </cell>
          <cell r="O339">
            <v>43122</v>
          </cell>
          <cell r="P339">
            <v>15</v>
          </cell>
          <cell r="Q339" t="str">
            <v>0-1 Months</v>
          </cell>
          <cell r="R339" t="str">
            <v>GradBay</v>
          </cell>
        </row>
        <row r="340">
          <cell r="G340" t="str">
            <v>Benedict Pote</v>
          </cell>
          <cell r="H340" t="str">
            <v>Rowan Marshall</v>
          </cell>
          <cell r="I340" t="str">
            <v>FT</v>
          </cell>
          <cell r="J340">
            <v>4400148</v>
          </cell>
          <cell r="K340" t="str">
            <v>AS2360</v>
          </cell>
          <cell r="L340">
            <v>408292</v>
          </cell>
          <cell r="M340" t="str">
            <v>bpote003</v>
          </cell>
          <cell r="N340" t="str">
            <v>TM</v>
          </cell>
          <cell r="O340">
            <v>43132</v>
          </cell>
          <cell r="P340">
            <v>5</v>
          </cell>
          <cell r="Q340" t="str">
            <v>0-1 Months</v>
          </cell>
          <cell r="R340" t="str">
            <v>ACTIVE</v>
          </cell>
        </row>
        <row r="341">
          <cell r="G341" t="str">
            <v>Thomas Hodge</v>
          </cell>
          <cell r="H341" t="str">
            <v>Sean Rowe</v>
          </cell>
          <cell r="I341" t="str">
            <v>FT</v>
          </cell>
          <cell r="J341">
            <v>4408905</v>
          </cell>
          <cell r="K341" t="str">
            <v>AS4052</v>
          </cell>
          <cell r="L341">
            <v>1065581</v>
          </cell>
          <cell r="M341" t="str">
            <v>thodg011</v>
          </cell>
          <cell r="N341" t="str">
            <v>OTH</v>
          </cell>
          <cell r="O341">
            <v>43129</v>
          </cell>
          <cell r="P341">
            <v>8</v>
          </cell>
          <cell r="Q341" t="str">
            <v>0-1 Months</v>
          </cell>
          <cell r="R341" t="str">
            <v>Training</v>
          </cell>
        </row>
        <row r="342">
          <cell r="G342" t="str">
            <v>Gerry Lloyd</v>
          </cell>
          <cell r="H342" t="str">
            <v>Sean Rowe</v>
          </cell>
          <cell r="I342" t="str">
            <v>FT</v>
          </cell>
          <cell r="J342">
            <v>4408911</v>
          </cell>
          <cell r="K342" t="str">
            <v>AS4055</v>
          </cell>
          <cell r="L342">
            <v>1065362</v>
          </cell>
          <cell r="M342" t="str">
            <v>glloy001</v>
          </cell>
          <cell r="N342" t="str">
            <v>OTH</v>
          </cell>
          <cell r="O342">
            <v>43129</v>
          </cell>
          <cell r="P342">
            <v>8</v>
          </cell>
          <cell r="Q342" t="str">
            <v>0-1 Months</v>
          </cell>
          <cell r="R342" t="str">
            <v>Training</v>
          </cell>
        </row>
        <row r="343">
          <cell r="G343" t="str">
            <v>Ashley Dinham</v>
          </cell>
          <cell r="H343" t="str">
            <v>Sean Rowe</v>
          </cell>
          <cell r="I343" t="str">
            <v>FT</v>
          </cell>
          <cell r="J343">
            <v>4408917</v>
          </cell>
          <cell r="K343" t="str">
            <v>AS4057</v>
          </cell>
          <cell r="L343">
            <v>1065586</v>
          </cell>
          <cell r="M343" t="str">
            <v>adinh001</v>
          </cell>
          <cell r="N343" t="str">
            <v>OTH</v>
          </cell>
          <cell r="O343">
            <v>43129</v>
          </cell>
          <cell r="P343">
            <v>8</v>
          </cell>
          <cell r="Q343" t="str">
            <v>0-1 Months</v>
          </cell>
          <cell r="R343" t="str">
            <v>Training</v>
          </cell>
        </row>
        <row r="344">
          <cell r="G344" t="str">
            <v>David Parish</v>
          </cell>
          <cell r="H344" t="str">
            <v>Sean Rowe</v>
          </cell>
          <cell r="I344" t="str">
            <v>PT</v>
          </cell>
          <cell r="J344">
            <v>4408909</v>
          </cell>
          <cell r="K344" t="str">
            <v>AS4059</v>
          </cell>
          <cell r="L344">
            <v>1065317</v>
          </cell>
          <cell r="M344" t="str">
            <v>dpari005</v>
          </cell>
          <cell r="N344" t="str">
            <v>OTH</v>
          </cell>
          <cell r="O344">
            <v>43129</v>
          </cell>
          <cell r="P344">
            <v>8</v>
          </cell>
          <cell r="Q344" t="str">
            <v>0-1 Months</v>
          </cell>
          <cell r="R344" t="str">
            <v>Training</v>
          </cell>
        </row>
        <row r="345">
          <cell r="G345" t="str">
            <v>Rhiannon Moody</v>
          </cell>
          <cell r="H345" t="str">
            <v>Sean Rowe</v>
          </cell>
          <cell r="I345" t="str">
            <v>FT</v>
          </cell>
          <cell r="J345">
            <v>4408916</v>
          </cell>
          <cell r="K345" t="str">
            <v>AS4060</v>
          </cell>
          <cell r="L345">
            <v>1065256</v>
          </cell>
          <cell r="M345" t="str">
            <v>rmood002</v>
          </cell>
          <cell r="N345" t="str">
            <v>OTH</v>
          </cell>
          <cell r="O345">
            <v>43129</v>
          </cell>
          <cell r="P345">
            <v>8</v>
          </cell>
          <cell r="Q345" t="str">
            <v>0-1 Months</v>
          </cell>
          <cell r="R345" t="str">
            <v>Training</v>
          </cell>
        </row>
        <row r="346">
          <cell r="G346" t="str">
            <v>Kirsty Davies</v>
          </cell>
          <cell r="H346" t="str">
            <v>Sean Rowe</v>
          </cell>
          <cell r="I346" t="str">
            <v>PT</v>
          </cell>
          <cell r="J346">
            <v>4408922</v>
          </cell>
          <cell r="K346" t="str">
            <v>AS4061</v>
          </cell>
          <cell r="L346">
            <v>1065251</v>
          </cell>
          <cell r="M346" t="str">
            <v>kdavi105</v>
          </cell>
          <cell r="N346" t="str">
            <v>OTH</v>
          </cell>
          <cell r="O346">
            <v>43129</v>
          </cell>
          <cell r="P346">
            <v>8</v>
          </cell>
          <cell r="Q346" t="str">
            <v>0-1 Months</v>
          </cell>
          <cell r="R346" t="str">
            <v>Training</v>
          </cell>
        </row>
        <row r="347">
          <cell r="G347" t="str">
            <v>Samuel Horsley</v>
          </cell>
          <cell r="H347" t="str">
            <v>Sean Rowe</v>
          </cell>
          <cell r="I347" t="str">
            <v>FT</v>
          </cell>
          <cell r="J347">
            <v>4408923</v>
          </cell>
          <cell r="K347" t="str">
            <v>AS4062</v>
          </cell>
          <cell r="L347">
            <v>1065254</v>
          </cell>
          <cell r="M347" t="str">
            <v>shors002</v>
          </cell>
          <cell r="N347" t="str">
            <v>OTH</v>
          </cell>
          <cell r="O347">
            <v>43129</v>
          </cell>
          <cell r="P347">
            <v>8</v>
          </cell>
          <cell r="Q347" t="str">
            <v>0-1 Months</v>
          </cell>
          <cell r="R347" t="str">
            <v>Training</v>
          </cell>
        </row>
        <row r="348">
          <cell r="G348" t="str">
            <v>Nicholas Hill</v>
          </cell>
          <cell r="H348" t="str">
            <v>Sean Rowe</v>
          </cell>
          <cell r="I348" t="str">
            <v>FT</v>
          </cell>
          <cell r="J348">
            <v>4408924</v>
          </cell>
          <cell r="K348" t="str">
            <v>AS4063</v>
          </cell>
          <cell r="L348">
            <v>1065577</v>
          </cell>
          <cell r="M348" t="str">
            <v>nhill008</v>
          </cell>
          <cell r="N348" t="str">
            <v>OTH</v>
          </cell>
          <cell r="O348">
            <v>43129</v>
          </cell>
          <cell r="P348">
            <v>8</v>
          </cell>
          <cell r="Q348" t="str">
            <v>0-1 Months</v>
          </cell>
          <cell r="R348" t="str">
            <v>Training</v>
          </cell>
        </row>
        <row r="349">
          <cell r="G349" t="str">
            <v>Naomi Pashby</v>
          </cell>
          <cell r="H349" t="str">
            <v>Sean Rowe</v>
          </cell>
          <cell r="I349" t="str">
            <v>FT</v>
          </cell>
          <cell r="J349">
            <v>4400501</v>
          </cell>
          <cell r="K349" t="str">
            <v>AS4068</v>
          </cell>
          <cell r="L349">
            <v>1065257</v>
          </cell>
          <cell r="M349" t="str">
            <v>npash003</v>
          </cell>
          <cell r="N349" t="str">
            <v>OTH</v>
          </cell>
          <cell r="O349">
            <v>43129</v>
          </cell>
          <cell r="P349">
            <v>8</v>
          </cell>
          <cell r="Q349" t="str">
            <v>0-1 Months</v>
          </cell>
          <cell r="R349" t="str">
            <v>Training</v>
          </cell>
        </row>
        <row r="350">
          <cell r="G350" t="str">
            <v>Thomas Surey-Gent</v>
          </cell>
          <cell r="H350" t="str">
            <v>Sean Rowe</v>
          </cell>
          <cell r="I350" t="str">
            <v>FT</v>
          </cell>
          <cell r="J350">
            <v>4400500</v>
          </cell>
          <cell r="K350" t="str">
            <v>AS4071</v>
          </cell>
          <cell r="L350">
            <v>1065583</v>
          </cell>
          <cell r="M350" t="str">
            <v>tsure002</v>
          </cell>
          <cell r="N350" t="str">
            <v>OTH</v>
          </cell>
          <cell r="O350">
            <v>43129</v>
          </cell>
          <cell r="P350">
            <v>8</v>
          </cell>
          <cell r="Q350" t="str">
            <v>0-1 Months</v>
          </cell>
          <cell r="R350" t="str">
            <v>Training</v>
          </cell>
        </row>
        <row r="351">
          <cell r="G351" t="str">
            <v>Andrew Bresland</v>
          </cell>
          <cell r="H351" t="str">
            <v>Sean Rowe</v>
          </cell>
          <cell r="I351" t="str">
            <v>PT</v>
          </cell>
          <cell r="J351">
            <v>4400504</v>
          </cell>
          <cell r="K351" t="str">
            <v>AS4072</v>
          </cell>
          <cell r="L351">
            <v>1065326</v>
          </cell>
          <cell r="M351" t="str">
            <v>abres001</v>
          </cell>
          <cell r="N351" t="str">
            <v>OTH</v>
          </cell>
          <cell r="O351">
            <v>43129</v>
          </cell>
          <cell r="P351">
            <v>8</v>
          </cell>
          <cell r="Q351" t="str">
            <v>0-1 Months</v>
          </cell>
          <cell r="R351" t="str">
            <v>Training</v>
          </cell>
        </row>
      </sheetData>
      <sheetData sheetId="1"/>
      <sheetData sheetId="2">
        <row r="1">
          <cell r="G1" t="str">
            <v>Full Name</v>
          </cell>
          <cell r="H1" t="str">
            <v>Team Manager</v>
          </cell>
          <cell r="I1" t="str">
            <v>FT/PT</v>
          </cell>
          <cell r="J1" t="str">
            <v>Avaya #</v>
          </cell>
          <cell r="K1" t="str">
            <v>AS #</v>
          </cell>
          <cell r="L1" t="str">
            <v>Employee ID</v>
          </cell>
          <cell r="M1" t="str">
            <v>WIN Login</v>
          </cell>
          <cell r="N1" t="str">
            <v>Specialised Team</v>
          </cell>
          <cell r="O1" t="str">
            <v>Start Date</v>
          </cell>
        </row>
        <row r="2">
          <cell r="G2" t="str">
            <v>Grant Nicol</v>
          </cell>
          <cell r="H2" t="str">
            <v>Andrew Warren</v>
          </cell>
          <cell r="I2" t="str">
            <v>FT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 t="str">
            <v>ATV</v>
          </cell>
          <cell r="O2">
            <v>42372</v>
          </cell>
        </row>
        <row r="3">
          <cell r="G3" t="str">
            <v>Michael Fitzgerald</v>
          </cell>
          <cell r="H3" t="str">
            <v>Andrew Warren</v>
          </cell>
          <cell r="I3" t="str">
            <v>FT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 t="str">
            <v>ATV</v>
          </cell>
          <cell r="O3">
            <v>42372</v>
          </cell>
        </row>
        <row r="4">
          <cell r="G4" t="str">
            <v>Paul Stuart</v>
          </cell>
          <cell r="H4" t="str">
            <v>Mike Ennals</v>
          </cell>
          <cell r="I4" t="str">
            <v>FT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 t="str">
            <v>ATV</v>
          </cell>
          <cell r="O4">
            <v>42464</v>
          </cell>
        </row>
        <row r="5">
          <cell r="G5" t="str">
            <v>Daniel Salmen</v>
          </cell>
          <cell r="H5" t="str">
            <v>Mike Ennals</v>
          </cell>
          <cell r="I5" t="str">
            <v>FT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 t="str">
            <v>ATV</v>
          </cell>
          <cell r="O5">
            <v>42590</v>
          </cell>
        </row>
        <row r="6">
          <cell r="G6" t="str">
            <v>Kylie Jones</v>
          </cell>
          <cell r="H6" t="str">
            <v>Richard Crellin</v>
          </cell>
          <cell r="I6" t="str">
            <v>FT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 t="str">
            <v>LE</v>
          </cell>
          <cell r="O6">
            <v>42618</v>
          </cell>
        </row>
        <row r="7">
          <cell r="G7" t="str">
            <v>Nicola Cuttridge</v>
          </cell>
          <cell r="H7" t="str">
            <v>Avril Oliver</v>
          </cell>
          <cell r="I7" t="str">
            <v>FT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 t="str">
            <v>BO/S</v>
          </cell>
          <cell r="O7">
            <v>42289</v>
          </cell>
        </row>
        <row r="8">
          <cell r="G8" t="str">
            <v>Gregory Dobbs</v>
          </cell>
          <cell r="H8" t="str">
            <v>leah Leydon</v>
          </cell>
          <cell r="I8" t="str">
            <v>PT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 t="str">
            <v>BO/S</v>
          </cell>
          <cell r="O8">
            <v>42373</v>
          </cell>
        </row>
        <row r="9">
          <cell r="G9" t="str">
            <v>Alex Humphries</v>
          </cell>
          <cell r="H9" t="str">
            <v>Mark Davies</v>
          </cell>
          <cell r="I9" t="str">
            <v>FT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 t="str">
            <v>ATV</v>
          </cell>
          <cell r="O9">
            <v>42632</v>
          </cell>
        </row>
        <row r="10">
          <cell r="G10" t="str">
            <v>Daniel Martin</v>
          </cell>
          <cell r="H10" t="str">
            <v>Alistair Cook</v>
          </cell>
          <cell r="I10" t="str">
            <v>PT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 t="str">
            <v>LE</v>
          </cell>
          <cell r="O10">
            <v>42338</v>
          </cell>
        </row>
        <row r="11">
          <cell r="G11" t="str">
            <v>Robert Vickery</v>
          </cell>
          <cell r="H11" t="str">
            <v>Ed Pring</v>
          </cell>
          <cell r="I11" t="str">
            <v>FT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 t="str">
            <v>LE</v>
          </cell>
          <cell r="O11">
            <v>42618</v>
          </cell>
        </row>
        <row r="12">
          <cell r="G12" t="str">
            <v>Alex Gibson</v>
          </cell>
          <cell r="H12" t="str">
            <v>Chris Adams</v>
          </cell>
          <cell r="I12" t="str">
            <v>FT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 t="str">
            <v>BO/S</v>
          </cell>
          <cell r="O12">
            <v>41946</v>
          </cell>
        </row>
        <row r="13">
          <cell r="G13" t="str">
            <v>Amber Clarke</v>
          </cell>
          <cell r="H13" t="str">
            <v>Joda Pow</v>
          </cell>
          <cell r="I13" t="str">
            <v>FT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 t="str">
            <v>BO/S</v>
          </cell>
          <cell r="O13">
            <v>42716</v>
          </cell>
        </row>
        <row r="14">
          <cell r="G14" t="str">
            <v>Emma Stevens</v>
          </cell>
          <cell r="H14" t="str">
            <v>Andrew Warren</v>
          </cell>
          <cell r="I14" t="str">
            <v>FT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 t="str">
            <v>X</v>
          </cell>
          <cell r="O14">
            <v>42723</v>
          </cell>
        </row>
        <row r="15">
          <cell r="G15" t="str">
            <v>Shane Muskett</v>
          </cell>
          <cell r="H15" t="str">
            <v>Andrew Warren</v>
          </cell>
          <cell r="I15" t="str">
            <v>FT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 t="str">
            <v>X</v>
          </cell>
          <cell r="O15">
            <v>42723</v>
          </cell>
        </row>
        <row r="16">
          <cell r="G16" t="str">
            <v>Joanne Martin</v>
          </cell>
          <cell r="H16" t="str">
            <v>Andrew Warren</v>
          </cell>
          <cell r="I16" t="str">
            <v>FT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 t="str">
            <v>LE</v>
          </cell>
          <cell r="O16">
            <v>42695</v>
          </cell>
        </row>
        <row r="17">
          <cell r="G17" t="str">
            <v>Megen Noble</v>
          </cell>
          <cell r="H17" t="str">
            <v>Mark Elliott</v>
          </cell>
          <cell r="I17" t="str">
            <v>FT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 t="str">
            <v>Com</v>
          </cell>
          <cell r="O17">
            <v>42674</v>
          </cell>
        </row>
        <row r="18">
          <cell r="G18" t="str">
            <v>Daniel Ball</v>
          </cell>
          <cell r="H18" t="str">
            <v>Richard Crellin</v>
          </cell>
          <cell r="I18" t="str">
            <v>FT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 t="str">
            <v>LE</v>
          </cell>
          <cell r="O18">
            <v>42618</v>
          </cell>
        </row>
        <row r="19">
          <cell r="G19" t="str">
            <v>Joshua Chapman</v>
          </cell>
          <cell r="H19" t="str">
            <v>Training</v>
          </cell>
          <cell r="I19" t="str">
            <v>FT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 t="str">
            <v>LE</v>
          </cell>
          <cell r="O19">
            <v>42738</v>
          </cell>
        </row>
        <row r="20">
          <cell r="G20" t="str">
            <v>Glyn Evans</v>
          </cell>
          <cell r="H20" t="str">
            <v>Andrew Warren</v>
          </cell>
          <cell r="I20" t="str">
            <v>FT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 t="str">
            <v>ATV</v>
          </cell>
          <cell r="O20">
            <v>42289</v>
          </cell>
        </row>
        <row r="21">
          <cell r="G21" t="str">
            <v>James Burton</v>
          </cell>
          <cell r="H21" t="str">
            <v>Training</v>
          </cell>
          <cell r="I21" t="str">
            <v>FT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 t="str">
            <v>LE</v>
          </cell>
          <cell r="O21">
            <v>42752</v>
          </cell>
        </row>
        <row r="22">
          <cell r="G22" t="str">
            <v>Matthew James</v>
          </cell>
          <cell r="H22" t="str">
            <v>Training</v>
          </cell>
          <cell r="I22" t="str">
            <v>FT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 t="str">
            <v>Com</v>
          </cell>
          <cell r="O22">
            <v>42738</v>
          </cell>
        </row>
        <row r="23">
          <cell r="G23" t="str">
            <v>Max Laird</v>
          </cell>
          <cell r="H23" t="str">
            <v>Training</v>
          </cell>
          <cell r="I23" t="str">
            <v>PT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 t="str">
            <v>LE</v>
          </cell>
          <cell r="O23">
            <v>42752</v>
          </cell>
        </row>
        <row r="24">
          <cell r="G24" t="str">
            <v>Des Parsons</v>
          </cell>
          <cell r="H24" t="str">
            <v>Alistair Cook</v>
          </cell>
          <cell r="I24" t="str">
            <v>FT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 t="str">
            <v>Com</v>
          </cell>
          <cell r="O24">
            <v>42590</v>
          </cell>
        </row>
        <row r="25">
          <cell r="G25" t="str">
            <v>Linda Pulcella</v>
          </cell>
          <cell r="H25" t="str">
            <v>Ed Pring</v>
          </cell>
          <cell r="I25" t="str">
            <v>FT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 t="str">
            <v>LE</v>
          </cell>
          <cell r="O25">
            <v>42688</v>
          </cell>
        </row>
        <row r="26">
          <cell r="G26" t="str">
            <v>Harry Pilkington</v>
          </cell>
          <cell r="H26" t="str">
            <v>Joda Pow</v>
          </cell>
          <cell r="I26" t="str">
            <v>FT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 t="str">
            <v>BO/S</v>
          </cell>
          <cell r="O26">
            <v>42677</v>
          </cell>
        </row>
        <row r="27">
          <cell r="G27" t="str">
            <v>Natasha Kane</v>
          </cell>
          <cell r="H27" t="str">
            <v>Training</v>
          </cell>
          <cell r="I27" t="str">
            <v>FT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 t="str">
            <v>LE</v>
          </cell>
          <cell r="O27">
            <v>42758</v>
          </cell>
        </row>
        <row r="28">
          <cell r="G28" t="str">
            <v>Jeanette Germain</v>
          </cell>
          <cell r="H28" t="str">
            <v>Richard Crellin</v>
          </cell>
          <cell r="I28" t="str">
            <v>FT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 t="str">
            <v>LE</v>
          </cell>
          <cell r="O28">
            <v>42639</v>
          </cell>
        </row>
        <row r="29">
          <cell r="G29" t="str">
            <v xml:space="preserve">Dudley Welingkar-Ramsden </v>
          </cell>
          <cell r="H29" t="str">
            <v>Mark Elliott</v>
          </cell>
          <cell r="I29" t="str">
            <v>FT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 t="str">
            <v>Com</v>
          </cell>
          <cell r="O29">
            <v>42689</v>
          </cell>
        </row>
        <row r="30">
          <cell r="G30" t="str">
            <v>David Dobson</v>
          </cell>
          <cell r="H30" t="str">
            <v>Training</v>
          </cell>
          <cell r="I30" t="str">
            <v>FT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 t="str">
            <v>LE</v>
          </cell>
          <cell r="O30">
            <v>42752</v>
          </cell>
        </row>
        <row r="31">
          <cell r="G31" t="str">
            <v>Jade Birkinshaw</v>
          </cell>
          <cell r="H31" t="str">
            <v>Mark Davies</v>
          </cell>
          <cell r="I31" t="str">
            <v>FT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 t="str">
            <v>ATV</v>
          </cell>
          <cell r="O31">
            <v>42663</v>
          </cell>
        </row>
        <row r="32">
          <cell r="G32" t="str">
            <v>Denise Allen</v>
          </cell>
          <cell r="H32" t="str">
            <v>Natalie Lubienski</v>
          </cell>
          <cell r="I32" t="str">
            <v>FT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 t="str">
            <v>BO/S</v>
          </cell>
          <cell r="O32">
            <v>41666</v>
          </cell>
        </row>
        <row r="33">
          <cell r="G33" t="str">
            <v>Katie Webb</v>
          </cell>
          <cell r="H33" t="str">
            <v>Richard Crellin</v>
          </cell>
          <cell r="I33" t="str">
            <v>FT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 t="str">
            <v>LE</v>
          </cell>
          <cell r="O33">
            <v>42605</v>
          </cell>
        </row>
        <row r="34">
          <cell r="G34" t="str">
            <v>Sean Blyth</v>
          </cell>
          <cell r="H34" t="str">
            <v>Ed Pring</v>
          </cell>
          <cell r="I34" t="str">
            <v>FT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 t="str">
            <v>LE</v>
          </cell>
          <cell r="O34">
            <v>42289</v>
          </cell>
        </row>
        <row r="35">
          <cell r="G35" t="str">
            <v>William Heath</v>
          </cell>
          <cell r="H35" t="str">
            <v>Training</v>
          </cell>
          <cell r="I35" t="str">
            <v>FT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 t="str">
            <v>LE</v>
          </cell>
          <cell r="O35">
            <v>42758</v>
          </cell>
        </row>
        <row r="36">
          <cell r="G36" t="str">
            <v>Paul Davis</v>
          </cell>
          <cell r="H36" t="str">
            <v>Mark Elliott</v>
          </cell>
          <cell r="I36" t="str">
            <v>PT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 t="str">
            <v>COM</v>
          </cell>
          <cell r="O36">
            <v>41617</v>
          </cell>
        </row>
        <row r="37">
          <cell r="G37" t="str">
            <v>Lee Millington</v>
          </cell>
          <cell r="H37" t="str">
            <v>Mark Elliott</v>
          </cell>
          <cell r="I37" t="str">
            <v>FT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 t="str">
            <v>Com</v>
          </cell>
          <cell r="O37">
            <v>42464</v>
          </cell>
        </row>
        <row r="38">
          <cell r="G38" t="str">
            <v>Alessandro Corbiscero</v>
          </cell>
          <cell r="H38" t="str">
            <v>Training</v>
          </cell>
          <cell r="I38" t="str">
            <v>FT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 t="str">
            <v>ATV</v>
          </cell>
          <cell r="O38">
            <v>42765</v>
          </cell>
        </row>
        <row r="39">
          <cell r="G39" t="str">
            <v>Benjamin Relf</v>
          </cell>
          <cell r="H39" t="str">
            <v>Alistair Cook</v>
          </cell>
          <cell r="I39" t="str">
            <v>FT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 t="str">
            <v>LE</v>
          </cell>
          <cell r="O39">
            <v>41890</v>
          </cell>
        </row>
        <row r="40">
          <cell r="G40" t="str">
            <v>Joseph Forster</v>
          </cell>
          <cell r="H40" t="str">
            <v>Ed Pring</v>
          </cell>
          <cell r="I40" t="str">
            <v>FT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 t="str">
            <v>LE</v>
          </cell>
          <cell r="O40">
            <v>42689</v>
          </cell>
        </row>
        <row r="41">
          <cell r="G41" t="str">
            <v>Joshua Tucker</v>
          </cell>
          <cell r="H41" t="str">
            <v>Mark Elliott</v>
          </cell>
          <cell r="I41" t="str">
            <v>FT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 t="str">
            <v>Com</v>
          </cell>
          <cell r="O41">
            <v>42660</v>
          </cell>
        </row>
        <row r="42">
          <cell r="G42" t="str">
            <v>Mark Nyika</v>
          </cell>
          <cell r="H42" t="str">
            <v>Mark Davies</v>
          </cell>
          <cell r="I42" t="str">
            <v>PT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 t="str">
            <v>OTH</v>
          </cell>
          <cell r="O42">
            <v>42723</v>
          </cell>
        </row>
        <row r="43">
          <cell r="G43" t="str">
            <v>Paige Miliffe</v>
          </cell>
          <cell r="H43" t="str">
            <v>Ed Pring</v>
          </cell>
          <cell r="I43" t="str">
            <v>FT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 t="str">
            <v>LE</v>
          </cell>
          <cell r="O43">
            <v>42660</v>
          </cell>
        </row>
        <row r="44">
          <cell r="G44" t="str">
            <v>James Johnson</v>
          </cell>
          <cell r="H44" t="str">
            <v>Mark Davies</v>
          </cell>
          <cell r="I44" t="str">
            <v>PT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 t="str">
            <v>OTH</v>
          </cell>
          <cell r="O44">
            <v>42723</v>
          </cell>
        </row>
        <row r="45">
          <cell r="G45" t="str">
            <v>Phoebe Fenton - Harvey</v>
          </cell>
          <cell r="H45" t="str">
            <v>Kelly Grant</v>
          </cell>
          <cell r="I45" t="str">
            <v>FT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 t="str">
            <v>Com</v>
          </cell>
          <cell r="O45">
            <v>42689</v>
          </cell>
        </row>
        <row r="46">
          <cell r="G46" t="str">
            <v>Emma Wright</v>
          </cell>
          <cell r="H46" t="str">
            <v>Richard Crellin</v>
          </cell>
          <cell r="I46" t="str">
            <v>FT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 t="str">
            <v>LE</v>
          </cell>
          <cell r="O46">
            <v>42688</v>
          </cell>
        </row>
        <row r="47">
          <cell r="G47" t="str">
            <v>Ashley Laycock</v>
          </cell>
          <cell r="H47" t="str">
            <v>Andrew Warren</v>
          </cell>
          <cell r="I47" t="str">
            <v>FT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 t="str">
            <v>OTH</v>
          </cell>
          <cell r="O47">
            <v>42723</v>
          </cell>
        </row>
        <row r="48">
          <cell r="G48" t="str">
            <v>Robert Boyd</v>
          </cell>
          <cell r="H48" t="str">
            <v>Natalie Lubienski</v>
          </cell>
          <cell r="I48" t="str">
            <v>FT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 t="str">
            <v>BO/S</v>
          </cell>
          <cell r="O48">
            <v>42240</v>
          </cell>
        </row>
        <row r="49">
          <cell r="G49" t="str">
            <v>Sarah Lefort</v>
          </cell>
          <cell r="H49" t="str">
            <v>Ed Pring</v>
          </cell>
          <cell r="I49" t="str">
            <v>FT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 t="str">
            <v>LE</v>
          </cell>
          <cell r="O49">
            <v>42688</v>
          </cell>
        </row>
        <row r="50">
          <cell r="G50" t="str">
            <v>Benedict Pote</v>
          </cell>
          <cell r="H50" t="str">
            <v>Phil Smith</v>
          </cell>
          <cell r="I50" t="str">
            <v>FT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 t="str">
            <v>FO/Exp</v>
          </cell>
          <cell r="O50">
            <v>42044</v>
          </cell>
        </row>
        <row r="51">
          <cell r="G51" t="str">
            <v>Peter Boxer</v>
          </cell>
          <cell r="H51" t="str">
            <v>Mark Davies</v>
          </cell>
          <cell r="I51" t="str">
            <v>PT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 t="str">
            <v>ATV</v>
          </cell>
          <cell r="O51">
            <v>42372</v>
          </cell>
        </row>
        <row r="52">
          <cell r="G52" t="str">
            <v>Craig Miller</v>
          </cell>
          <cell r="H52" t="str">
            <v>Richard Crellin</v>
          </cell>
          <cell r="I52" t="str">
            <v>FT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 t="str">
            <v>LE</v>
          </cell>
          <cell r="O52">
            <v>42688</v>
          </cell>
        </row>
        <row r="53">
          <cell r="G53" t="str">
            <v>Leanne Hancock</v>
          </cell>
          <cell r="H53" t="str">
            <v>Joda Pow</v>
          </cell>
          <cell r="I53" t="str">
            <v>FT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 t="str">
            <v>BO/S</v>
          </cell>
          <cell r="O53">
            <v>42716</v>
          </cell>
        </row>
        <row r="54">
          <cell r="G54" t="str">
            <v>Louise Fitz-gerald</v>
          </cell>
          <cell r="H54" t="str">
            <v>Andrew Warren</v>
          </cell>
          <cell r="I54" t="str">
            <v>FT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 t="str">
            <v>ATV</v>
          </cell>
          <cell r="O54">
            <v>42752</v>
          </cell>
        </row>
        <row r="55">
          <cell r="G55" t="str">
            <v>Nicola Harding</v>
          </cell>
          <cell r="H55" t="str">
            <v>Training</v>
          </cell>
          <cell r="I55" t="str">
            <v>FT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 t="str">
            <v>LE</v>
          </cell>
          <cell r="O55">
            <v>42765</v>
          </cell>
        </row>
        <row r="56">
          <cell r="G56" t="str">
            <v>Jack Wellman</v>
          </cell>
          <cell r="H56" t="str">
            <v>Mark Davies</v>
          </cell>
          <cell r="I56" t="str">
            <v>FT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 t="str">
            <v>ATV</v>
          </cell>
          <cell r="O56">
            <v>42372</v>
          </cell>
        </row>
        <row r="57">
          <cell r="G57" t="str">
            <v>Thomas Taft</v>
          </cell>
          <cell r="H57" t="str">
            <v>Training</v>
          </cell>
          <cell r="I57" t="str">
            <v>FT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 t="str">
            <v>ATV</v>
          </cell>
          <cell r="O57">
            <v>42779</v>
          </cell>
        </row>
        <row r="58">
          <cell r="G58" t="str">
            <v>Jack Daltrey</v>
          </cell>
          <cell r="H58" t="str">
            <v>Mike Ennals</v>
          </cell>
          <cell r="I58" t="str">
            <v>FT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 t="str">
            <v>ATV</v>
          </cell>
          <cell r="O58">
            <v>42079</v>
          </cell>
        </row>
        <row r="59">
          <cell r="G59" t="str">
            <v>Yasmin Snowball</v>
          </cell>
          <cell r="H59" t="str">
            <v>Andrew Warren</v>
          </cell>
          <cell r="I59" t="str">
            <v>FT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 t="str">
            <v>ATV</v>
          </cell>
          <cell r="O59">
            <v>42765</v>
          </cell>
        </row>
        <row r="60">
          <cell r="G60" t="str">
            <v>Lewis Bowden</v>
          </cell>
          <cell r="H60" t="str">
            <v>Training</v>
          </cell>
          <cell r="I60" t="str">
            <v>FT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 t="str">
            <v>ATV</v>
          </cell>
          <cell r="O60">
            <v>42779</v>
          </cell>
        </row>
        <row r="61">
          <cell r="G61" t="str">
            <v>Pedro Nunes</v>
          </cell>
          <cell r="H61" t="str">
            <v>Andrew Warren</v>
          </cell>
          <cell r="I61" t="str">
            <v>FT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 t="str">
            <v>Com</v>
          </cell>
          <cell r="O61">
            <v>42758</v>
          </cell>
        </row>
        <row r="62">
          <cell r="G62" t="str">
            <v>Connor Davenport</v>
          </cell>
          <cell r="H62" t="str">
            <v>Leah Leydon</v>
          </cell>
          <cell r="I62" t="str">
            <v>FT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 t="str">
            <v>BO/S</v>
          </cell>
          <cell r="O62">
            <v>42212</v>
          </cell>
        </row>
        <row r="63">
          <cell r="G63" t="str">
            <v>Natasha Batorijs</v>
          </cell>
          <cell r="H63" t="str">
            <v>Mark Davies</v>
          </cell>
          <cell r="I63" t="str">
            <v>FT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 t="str">
            <v>OTH</v>
          </cell>
          <cell r="O63">
            <v>42723</v>
          </cell>
        </row>
        <row r="64">
          <cell r="G64" t="str">
            <v>Rebecca Cohead</v>
          </cell>
          <cell r="H64" t="str">
            <v>Training</v>
          </cell>
          <cell r="I64" t="str">
            <v>FT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 t="str">
            <v>LE</v>
          </cell>
          <cell r="O64">
            <v>42779</v>
          </cell>
        </row>
        <row r="65">
          <cell r="G65" t="str">
            <v>Miguel Van Der Pohl</v>
          </cell>
          <cell r="H65" t="str">
            <v>Joda Pow</v>
          </cell>
          <cell r="I65" t="str">
            <v>FT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 t="str">
            <v>BO/S</v>
          </cell>
          <cell r="O65">
            <v>42716</v>
          </cell>
        </row>
        <row r="66">
          <cell r="G66" t="str">
            <v>Vitor Santos Moreira</v>
          </cell>
          <cell r="H66" t="str">
            <v>Joda Pow</v>
          </cell>
          <cell r="I66" t="str">
            <v>FT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 t="str">
            <v>BO/S</v>
          </cell>
          <cell r="O66">
            <v>42716</v>
          </cell>
        </row>
        <row r="67">
          <cell r="G67" t="str">
            <v>Oliver Snow</v>
          </cell>
          <cell r="H67" t="str">
            <v>Richard Crellin</v>
          </cell>
          <cell r="I67" t="str">
            <v>FT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 t="str">
            <v>LE</v>
          </cell>
          <cell r="O67">
            <v>42688</v>
          </cell>
        </row>
        <row r="68">
          <cell r="G68" t="str">
            <v>Gareth Kros</v>
          </cell>
          <cell r="H68" t="str">
            <v>Ed Pring</v>
          </cell>
          <cell r="I68" t="str">
            <v>FT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 t="str">
            <v>LE</v>
          </cell>
          <cell r="O68">
            <v>42688</v>
          </cell>
        </row>
        <row r="69">
          <cell r="G69" t="str">
            <v>Peter Wooster</v>
          </cell>
          <cell r="H69" t="str">
            <v>Mark Davies</v>
          </cell>
          <cell r="I69" t="str">
            <v>FT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 t="str">
            <v>ATV</v>
          </cell>
          <cell r="O69">
            <v>42514</v>
          </cell>
        </row>
        <row r="70">
          <cell r="G70" t="str">
            <v>Saffron Alton-Baker</v>
          </cell>
          <cell r="H70" t="str">
            <v>Mike Ennals</v>
          </cell>
          <cell r="I70" t="str">
            <v>FT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 t="str">
            <v>ATV</v>
          </cell>
          <cell r="O70">
            <v>42758</v>
          </cell>
        </row>
        <row r="71">
          <cell r="G71" t="str">
            <v>Andrew Hallissey</v>
          </cell>
          <cell r="H71" t="str">
            <v>Kelly Grant</v>
          </cell>
          <cell r="I71" t="str">
            <v>FT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 t="str">
            <v>Com</v>
          </cell>
          <cell r="O71">
            <v>42689</v>
          </cell>
        </row>
        <row r="72">
          <cell r="G72" t="str">
            <v>Elizabeth Welch</v>
          </cell>
          <cell r="H72" t="str">
            <v>Training</v>
          </cell>
          <cell r="I72" t="str">
            <v>PT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 t="str">
            <v>LE</v>
          </cell>
          <cell r="O72">
            <v>42794</v>
          </cell>
        </row>
        <row r="73">
          <cell r="G73" t="str">
            <v>Emma Cartmill</v>
          </cell>
          <cell r="H73" t="str">
            <v>Joda Pow</v>
          </cell>
          <cell r="I73" t="str">
            <v>FT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 t="str">
            <v>BO/S</v>
          </cell>
          <cell r="O73">
            <v>42716</v>
          </cell>
        </row>
        <row r="74">
          <cell r="G74" t="str">
            <v>Hayley Johnson</v>
          </cell>
          <cell r="H74" t="str">
            <v>Joda Pow</v>
          </cell>
          <cell r="I74" t="str">
            <v>FT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 t="str">
            <v>BO/S</v>
          </cell>
          <cell r="O74">
            <v>42716</v>
          </cell>
        </row>
        <row r="75">
          <cell r="G75" t="str">
            <v>Ian Broom</v>
          </cell>
          <cell r="H75" t="str">
            <v>Clive Barber</v>
          </cell>
          <cell r="I75" t="str">
            <v>FT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 t="str">
            <v>BO/S</v>
          </cell>
          <cell r="O75">
            <v>41855</v>
          </cell>
        </row>
        <row r="76">
          <cell r="G76" t="str">
            <v>Jake Rowe</v>
          </cell>
          <cell r="H76" t="str">
            <v>Mike Ennals</v>
          </cell>
          <cell r="I76" t="str">
            <v>FT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 t="str">
            <v>ATV</v>
          </cell>
          <cell r="O76">
            <v>42660</v>
          </cell>
        </row>
        <row r="77">
          <cell r="G77" t="str">
            <v>Alex Sowden</v>
          </cell>
          <cell r="H77" t="str">
            <v>Kelly Grant</v>
          </cell>
          <cell r="I77" t="str">
            <v>FT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 t="str">
            <v>Com</v>
          </cell>
          <cell r="O77">
            <v>42372</v>
          </cell>
        </row>
        <row r="78">
          <cell r="G78" t="str">
            <v>Ashley Tear</v>
          </cell>
          <cell r="H78" t="str">
            <v>Mark Davies</v>
          </cell>
          <cell r="I78" t="str">
            <v>FT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 t="str">
            <v>ATV</v>
          </cell>
          <cell r="O78">
            <v>42765</v>
          </cell>
        </row>
        <row r="79">
          <cell r="G79" t="str">
            <v>Kristian Barrett</v>
          </cell>
          <cell r="H79" t="str">
            <v>Training</v>
          </cell>
          <cell r="I79" t="str">
            <v>PT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 t="str">
            <v>LE</v>
          </cell>
          <cell r="O79">
            <v>42794</v>
          </cell>
        </row>
        <row r="80">
          <cell r="G80" t="str">
            <v>Simon Kennedy</v>
          </cell>
          <cell r="H80" t="str">
            <v>Training</v>
          </cell>
          <cell r="I80" t="str">
            <v>FT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 t="str">
            <v>LE</v>
          </cell>
          <cell r="O80">
            <v>42807</v>
          </cell>
        </row>
        <row r="81">
          <cell r="G81" t="str">
            <v>Ahmed Duale</v>
          </cell>
          <cell r="H81" t="str">
            <v>Chris Adams</v>
          </cell>
          <cell r="I81" t="str">
            <v>PT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 t="str">
            <v>Com</v>
          </cell>
          <cell r="O81">
            <v>42752</v>
          </cell>
        </row>
        <row r="82">
          <cell r="G82" t="str">
            <v>Craig Aggett</v>
          </cell>
          <cell r="H82" t="str">
            <v>Training</v>
          </cell>
          <cell r="I82" t="str">
            <v>PT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 t="str">
            <v>LE</v>
          </cell>
          <cell r="O82">
            <v>42794</v>
          </cell>
        </row>
        <row r="83">
          <cell r="G83" t="str">
            <v>Gemma Oke</v>
          </cell>
          <cell r="H83" t="str">
            <v>Andrew Warren</v>
          </cell>
          <cell r="I83" t="str">
            <v>FT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 t="str">
            <v>LE</v>
          </cell>
          <cell r="O83">
            <v>42779</v>
          </cell>
        </row>
        <row r="84">
          <cell r="G84" t="str">
            <v>Ryan Lusty</v>
          </cell>
          <cell r="H84" t="str">
            <v>Mike Ennals</v>
          </cell>
          <cell r="I84" t="str">
            <v>FT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 t="str">
            <v>OTH</v>
          </cell>
          <cell r="O84">
            <v>42723</v>
          </cell>
        </row>
        <row r="85">
          <cell r="G85" t="str">
            <v>Sam Brock</v>
          </cell>
          <cell r="H85" t="str">
            <v>Training</v>
          </cell>
          <cell r="I85" t="str">
            <v>PT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 t="str">
            <v>LE</v>
          </cell>
          <cell r="O85">
            <v>42794</v>
          </cell>
        </row>
        <row r="86">
          <cell r="G86" t="str">
            <v>Charlotte Rowley</v>
          </cell>
          <cell r="H86" t="str">
            <v>Andrew Warren</v>
          </cell>
          <cell r="I86" t="str">
            <v>FT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 t="str">
            <v>ATV</v>
          </cell>
          <cell r="O86">
            <v>42779</v>
          </cell>
        </row>
        <row r="87">
          <cell r="G87" t="str">
            <v>Daniel Munday</v>
          </cell>
          <cell r="H87" t="str">
            <v>Mark Elliott</v>
          </cell>
          <cell r="I87" t="str">
            <v>FT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 t="str">
            <v>BO/S</v>
          </cell>
          <cell r="O87">
            <v>41638</v>
          </cell>
        </row>
        <row r="88">
          <cell r="G88" t="str">
            <v>Philip Snell</v>
          </cell>
          <cell r="H88" t="str">
            <v>Chris Adams</v>
          </cell>
          <cell r="I88" t="str">
            <v>PT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 t="str">
            <v>LE</v>
          </cell>
          <cell r="O88">
            <v>41918</v>
          </cell>
        </row>
        <row r="89">
          <cell r="G89" t="str">
            <v>Tanvir Khan</v>
          </cell>
          <cell r="H89" t="str">
            <v>Mike Ennals</v>
          </cell>
          <cell r="I89" t="str">
            <v>FT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 t="str">
            <v>ATV</v>
          </cell>
          <cell r="O89">
            <v>42752</v>
          </cell>
        </row>
        <row r="90">
          <cell r="G90" t="str">
            <v>Andrew Doanne</v>
          </cell>
          <cell r="H90" t="str">
            <v>Richard Crellin</v>
          </cell>
          <cell r="I90" t="str">
            <v>FT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 t="str">
            <v>Com</v>
          </cell>
          <cell r="O90">
            <v>42372</v>
          </cell>
        </row>
        <row r="91">
          <cell r="G91" t="str">
            <v>Basil Elbashir</v>
          </cell>
          <cell r="H91" t="str">
            <v>Andrew Warren</v>
          </cell>
          <cell r="I91" t="str">
            <v>PT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 t="str">
            <v>LE</v>
          </cell>
          <cell r="O91">
            <v>42794</v>
          </cell>
        </row>
        <row r="92">
          <cell r="G92" t="str">
            <v>Daniel Steer</v>
          </cell>
          <cell r="H92" t="str">
            <v>Richard Crellin</v>
          </cell>
          <cell r="I92" t="str">
            <v>FT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 t="str">
            <v>Com</v>
          </cell>
          <cell r="O92">
            <v>42758</v>
          </cell>
        </row>
        <row r="93">
          <cell r="G93" t="str">
            <v>Michelle Long</v>
          </cell>
          <cell r="H93" t="str">
            <v>Joda Pow</v>
          </cell>
          <cell r="I93" t="str">
            <v>FT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 t="str">
            <v>LE</v>
          </cell>
          <cell r="O93">
            <v>42450</v>
          </cell>
        </row>
        <row r="94">
          <cell r="G94" t="str">
            <v>Michael Smith</v>
          </cell>
          <cell r="H94" t="str">
            <v>Natalie Lubienski</v>
          </cell>
          <cell r="I94" t="str">
            <v>FT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 t="str">
            <v>BO/S</v>
          </cell>
          <cell r="O94">
            <v>42289</v>
          </cell>
        </row>
        <row r="95">
          <cell r="G95" t="str">
            <v>Monika Kwiecinska</v>
          </cell>
          <cell r="H95" t="str">
            <v>Natalie Lubienski</v>
          </cell>
          <cell r="I95" t="str">
            <v>FT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 t="str">
            <v>BO/S</v>
          </cell>
          <cell r="O95">
            <v>42233</v>
          </cell>
        </row>
        <row r="96">
          <cell r="G96" t="str">
            <v>Shaun Wilson</v>
          </cell>
          <cell r="H96" t="str">
            <v>Training</v>
          </cell>
          <cell r="I96" t="str">
            <v>FT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 t="str">
            <v>LE</v>
          </cell>
          <cell r="O96">
            <v>42807</v>
          </cell>
        </row>
        <row r="97">
          <cell r="G97" t="str">
            <v>Alexandra Endacott</v>
          </cell>
          <cell r="H97" t="str">
            <v>Training</v>
          </cell>
          <cell r="I97" t="str">
            <v>FT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 t="str">
            <v>ATV</v>
          </cell>
          <cell r="O97">
            <v>42807</v>
          </cell>
        </row>
        <row r="98">
          <cell r="G98" t="str">
            <v>Cliff Hancock</v>
          </cell>
          <cell r="H98" t="str">
            <v>Ed Pring</v>
          </cell>
          <cell r="I98" t="str">
            <v>FT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 t="str">
            <v>LE</v>
          </cell>
          <cell r="O98">
            <v>42758</v>
          </cell>
        </row>
        <row r="99">
          <cell r="G99" t="str">
            <v>Harriet Drake</v>
          </cell>
          <cell r="H99" t="str">
            <v>Kelly Grant</v>
          </cell>
          <cell r="I99" t="str">
            <v>FT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 t="str">
            <v>Com</v>
          </cell>
          <cell r="O99">
            <v>42373</v>
          </cell>
        </row>
        <row r="100">
          <cell r="G100" t="str">
            <v>Ellesha Mears</v>
          </cell>
          <cell r="H100" t="str">
            <v>Andrew Warren</v>
          </cell>
          <cell r="I100" t="str">
            <v>FT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 t="str">
            <v>LE</v>
          </cell>
          <cell r="O100">
            <v>42779</v>
          </cell>
        </row>
        <row r="101">
          <cell r="G101" t="str">
            <v>James Dearing</v>
          </cell>
          <cell r="H101" t="str">
            <v>Andrew Warren</v>
          </cell>
          <cell r="I101" t="str">
            <v>FT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 t="str">
            <v>LE</v>
          </cell>
          <cell r="O101">
            <v>42779</v>
          </cell>
        </row>
        <row r="102">
          <cell r="G102" t="str">
            <v>Oliver Price</v>
          </cell>
          <cell r="H102" t="str">
            <v>Ed Pring</v>
          </cell>
          <cell r="I102" t="str">
            <v>FT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 t="str">
            <v>LE</v>
          </cell>
          <cell r="O102">
            <v>42765</v>
          </cell>
        </row>
        <row r="103">
          <cell r="G103" t="str">
            <v>Travis Hudson</v>
          </cell>
          <cell r="H103" t="str">
            <v>Natalie Lubienski</v>
          </cell>
          <cell r="I103" t="str">
            <v>FT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 t="str">
            <v>BO/S</v>
          </cell>
          <cell r="O103">
            <v>41722</v>
          </cell>
        </row>
        <row r="104">
          <cell r="G104" t="str">
            <v>Matthew Welch</v>
          </cell>
          <cell r="H104" t="str">
            <v>Richard Crellin</v>
          </cell>
          <cell r="I104" t="str">
            <v>FT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 t="str">
            <v>Com</v>
          </cell>
          <cell r="O104">
            <v>42590</v>
          </cell>
        </row>
        <row r="105">
          <cell r="G105" t="str">
            <v>Ryan Thomas</v>
          </cell>
          <cell r="H105" t="str">
            <v>Training</v>
          </cell>
          <cell r="I105" t="str">
            <v>PT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 t="str">
            <v>Com</v>
          </cell>
          <cell r="O105">
            <v>42815</v>
          </cell>
        </row>
        <row r="106">
          <cell r="G106" t="str">
            <v>Nathan Jeeves</v>
          </cell>
          <cell r="H106" t="str">
            <v>Mark Davies</v>
          </cell>
          <cell r="I106" t="str">
            <v>FT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 t="str">
            <v>ATV</v>
          </cell>
          <cell r="O106">
            <v>42765</v>
          </cell>
        </row>
        <row r="107">
          <cell r="G107" t="str">
            <v>Sam Berrisford</v>
          </cell>
          <cell r="H107" t="str">
            <v>Chris Adams</v>
          </cell>
          <cell r="I107" t="str">
            <v>PT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 t="str">
            <v>Com</v>
          </cell>
          <cell r="O107">
            <v>42752</v>
          </cell>
        </row>
        <row r="108">
          <cell r="G108" t="str">
            <v>Dean Bywood</v>
          </cell>
          <cell r="H108" t="str">
            <v>Training</v>
          </cell>
          <cell r="I108" t="str">
            <v>PT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 t="str">
            <v>ATV</v>
          </cell>
          <cell r="O108">
            <v>42823</v>
          </cell>
        </row>
        <row r="109">
          <cell r="G109" t="str">
            <v>Aaron Stone</v>
          </cell>
          <cell r="H109" t="str">
            <v>Kelly Grant</v>
          </cell>
          <cell r="I109" t="str">
            <v>FT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 t="str">
            <v>Com</v>
          </cell>
          <cell r="O109">
            <v>42590</v>
          </cell>
        </row>
        <row r="110">
          <cell r="G110" t="str">
            <v>Erin Dennehy</v>
          </cell>
          <cell r="H110" t="str">
            <v>Andrew Warren</v>
          </cell>
          <cell r="I110" t="str">
            <v>FT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 t="str">
            <v>ATV</v>
          </cell>
          <cell r="O110">
            <v>42779</v>
          </cell>
        </row>
        <row r="111">
          <cell r="G111" t="str">
            <v>Rachael Newton</v>
          </cell>
          <cell r="H111" t="str">
            <v>Natalie Lubienski</v>
          </cell>
          <cell r="I111" t="str">
            <v>FT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 t="str">
            <v>BO/S</v>
          </cell>
          <cell r="O111">
            <v>42528</v>
          </cell>
        </row>
        <row r="112">
          <cell r="G112" t="str">
            <v>Sam Kellin</v>
          </cell>
          <cell r="H112" t="str">
            <v>Richard Crellin</v>
          </cell>
          <cell r="I112" t="str">
            <v>PT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 t="str">
            <v>Com</v>
          </cell>
          <cell r="O112">
            <v>42752</v>
          </cell>
        </row>
        <row r="113">
          <cell r="G113" t="str">
            <v>Bonnie Knapton</v>
          </cell>
          <cell r="H113" t="str">
            <v>Andrew Warren</v>
          </cell>
          <cell r="I113" t="str">
            <v>FT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 t="str">
            <v>LE</v>
          </cell>
          <cell r="O113">
            <v>42807</v>
          </cell>
        </row>
        <row r="114">
          <cell r="G114" t="str">
            <v>Christos Georghiou</v>
          </cell>
          <cell r="H114" t="str">
            <v>Chris Adams</v>
          </cell>
          <cell r="I114" t="str">
            <v>PT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 t="str">
            <v>ATV</v>
          </cell>
          <cell r="O114">
            <v>42752</v>
          </cell>
        </row>
        <row r="115">
          <cell r="G115" t="str">
            <v>Hannah Wright</v>
          </cell>
          <cell r="H115" t="str">
            <v>Mike Ennals</v>
          </cell>
          <cell r="I115" t="str">
            <v>FT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 t="str">
            <v>ATV</v>
          </cell>
          <cell r="O115">
            <v>42758</v>
          </cell>
        </row>
        <row r="116">
          <cell r="G116" t="str">
            <v>Jodie Hough</v>
          </cell>
          <cell r="H116" t="str">
            <v>Joda Pow</v>
          </cell>
          <cell r="I116" t="str">
            <v>FT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 t="str">
            <v>LE</v>
          </cell>
          <cell r="O116">
            <v>42765</v>
          </cell>
        </row>
        <row r="117">
          <cell r="G117" t="str">
            <v>Kelan Leach</v>
          </cell>
          <cell r="H117" t="str">
            <v>Kelly Grant</v>
          </cell>
          <cell r="I117" t="str">
            <v>FT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 t="str">
            <v>Com</v>
          </cell>
          <cell r="O117">
            <v>42765</v>
          </cell>
        </row>
        <row r="118">
          <cell r="G118" t="str">
            <v>Shane Hayman</v>
          </cell>
          <cell r="H118" t="str">
            <v>Natalie Lubienski</v>
          </cell>
          <cell r="I118" t="str">
            <v>FT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 t="str">
            <v>BO/S</v>
          </cell>
          <cell r="O118">
            <v>41169</v>
          </cell>
        </row>
        <row r="119">
          <cell r="G119" t="str">
            <v>Imogen Boult</v>
          </cell>
          <cell r="H119" t="str">
            <v>Joda Pow</v>
          </cell>
          <cell r="I119" t="str">
            <v>FT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 t="str">
            <v>LE</v>
          </cell>
          <cell r="O119">
            <v>42372</v>
          </cell>
        </row>
        <row r="120">
          <cell r="G120" t="str">
            <v>Liem Demmou</v>
          </cell>
          <cell r="H120" t="str">
            <v>Chris Adams</v>
          </cell>
          <cell r="I120" t="str">
            <v>PT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 t="str">
            <v>OTH</v>
          </cell>
          <cell r="O120">
            <v>42723</v>
          </cell>
        </row>
        <row r="121">
          <cell r="G121" t="str">
            <v>Leonora Godfrey</v>
          </cell>
          <cell r="H121" t="str">
            <v>Training</v>
          </cell>
          <cell r="I121" t="str">
            <v>FT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 t="str">
            <v>LE</v>
          </cell>
          <cell r="O121">
            <v>42835</v>
          </cell>
        </row>
        <row r="122">
          <cell r="G122" t="str">
            <v>Alexander Edworthy</v>
          </cell>
          <cell r="H122" t="str">
            <v>Training</v>
          </cell>
          <cell r="I122" t="str">
            <v>FT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 t="str">
            <v>ATV</v>
          </cell>
          <cell r="O122">
            <v>42823</v>
          </cell>
        </row>
        <row r="123">
          <cell r="G123" t="str">
            <v>Lewis Gallagher</v>
          </cell>
          <cell r="H123" t="str">
            <v>Andrew Warren</v>
          </cell>
          <cell r="I123" t="str">
            <v>FT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 t="str">
            <v>ATV</v>
          </cell>
          <cell r="O123">
            <v>42807</v>
          </cell>
        </row>
        <row r="124">
          <cell r="G124" t="str">
            <v>Cameron Eskdale</v>
          </cell>
          <cell r="H124" t="str">
            <v>Michael Ennals</v>
          </cell>
          <cell r="I124" t="str">
            <v>FT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 t="str">
            <v>ATV</v>
          </cell>
          <cell r="O124">
            <v>42779</v>
          </cell>
        </row>
        <row r="125">
          <cell r="G125" t="str">
            <v>Karl Millard</v>
          </cell>
          <cell r="H125" t="str">
            <v>Joda Pow</v>
          </cell>
          <cell r="I125" t="str">
            <v>PT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 t="str">
            <v>LE</v>
          </cell>
          <cell r="O125">
            <v>42794</v>
          </cell>
        </row>
        <row r="126">
          <cell r="G126" t="str">
            <v>Teela Adamson</v>
          </cell>
          <cell r="H126" t="str">
            <v>Maternity</v>
          </cell>
          <cell r="I126" t="str">
            <v>FT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42450</v>
          </cell>
        </row>
        <row r="127">
          <cell r="G127" t="str">
            <v>Curtis Wilkins</v>
          </cell>
          <cell r="H127" t="str">
            <v>Richard Crellin</v>
          </cell>
          <cell r="I127" t="str">
            <v>PT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 t="str">
            <v>Com</v>
          </cell>
          <cell r="O127">
            <v>42752</v>
          </cell>
        </row>
        <row r="128">
          <cell r="G128" t="str">
            <v>Dean Johns</v>
          </cell>
          <cell r="H128" t="str">
            <v>Andrew Warren</v>
          </cell>
          <cell r="I128" t="str">
            <v>FT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 t="str">
            <v>ATV</v>
          </cell>
          <cell r="O128">
            <v>42823</v>
          </cell>
        </row>
        <row r="129">
          <cell r="G129" t="str">
            <v>Sean Durnian</v>
          </cell>
          <cell r="H129" t="str">
            <v>Training</v>
          </cell>
          <cell r="I129" t="str">
            <v>PT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 t="str">
            <v>Com</v>
          </cell>
          <cell r="O129">
            <v>42851</v>
          </cell>
        </row>
        <row r="130">
          <cell r="G130" t="str">
            <v>Daniel Coupe</v>
          </cell>
          <cell r="H130" t="str">
            <v>Andrew Warren</v>
          </cell>
          <cell r="I130" t="str">
            <v>PT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 t="str">
            <v>ATV</v>
          </cell>
          <cell r="O130">
            <v>42823</v>
          </cell>
        </row>
        <row r="131">
          <cell r="G131" t="str">
            <v>Ross Pidgeon</v>
          </cell>
          <cell r="H131" t="str">
            <v>Michael Ennals</v>
          </cell>
          <cell r="I131" t="str">
            <v>FT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 t="str">
            <v>ATV</v>
          </cell>
          <cell r="O131">
            <v>42695</v>
          </cell>
        </row>
        <row r="132">
          <cell r="G132" t="str">
            <v>Thomas Stubbs</v>
          </cell>
          <cell r="H132" t="str">
            <v>Michael Ennals</v>
          </cell>
          <cell r="I132" t="str">
            <v>FT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 t="str">
            <v>ATV</v>
          </cell>
          <cell r="O132">
            <v>42555</v>
          </cell>
        </row>
        <row r="133">
          <cell r="G133" t="str">
            <v>Christopher Windsor</v>
          </cell>
          <cell r="H133" t="str">
            <v>Joda Pow</v>
          </cell>
          <cell r="I133" t="str">
            <v>PT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 t="str">
            <v>LE</v>
          </cell>
          <cell r="O133">
            <v>41862</v>
          </cell>
        </row>
        <row r="134">
          <cell r="G134" t="str">
            <v>Robert Game</v>
          </cell>
          <cell r="H134" t="str">
            <v>Michael Ennals</v>
          </cell>
          <cell r="I134" t="str">
            <v>FT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 t="str">
            <v>ATV</v>
          </cell>
          <cell r="O134">
            <v>42541</v>
          </cell>
        </row>
        <row r="135">
          <cell r="G135" t="str">
            <v>Sean Rowe</v>
          </cell>
          <cell r="H135" t="str">
            <v>Natalie Lubienski</v>
          </cell>
          <cell r="I135" t="str">
            <v>FT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 t="str">
            <v>BO/S</v>
          </cell>
          <cell r="O135">
            <v>42240</v>
          </cell>
        </row>
        <row r="136">
          <cell r="G136" t="str">
            <v>Delilah Mansell</v>
          </cell>
          <cell r="H136" t="str">
            <v>Andrew Warren</v>
          </cell>
          <cell r="I136" t="str">
            <v>FT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 t="str">
            <v>Com</v>
          </cell>
          <cell r="O136">
            <v>42835</v>
          </cell>
        </row>
        <row r="137">
          <cell r="G137" t="str">
            <v>Lisa Smith</v>
          </cell>
          <cell r="H137" t="str">
            <v>Ed Pring</v>
          </cell>
          <cell r="I137" t="str">
            <v>PT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 t="str">
            <v>LE</v>
          </cell>
          <cell r="O137">
            <v>42807</v>
          </cell>
        </row>
        <row r="138">
          <cell r="G138" t="str">
            <v>Terry Herriot</v>
          </cell>
          <cell r="H138" t="str">
            <v>Joda Pow</v>
          </cell>
          <cell r="I138" t="str">
            <v>PT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 t="str">
            <v>LE</v>
          </cell>
          <cell r="O138">
            <v>42807</v>
          </cell>
        </row>
        <row r="139">
          <cell r="G139" t="str">
            <v>John Blaize</v>
          </cell>
          <cell r="H139" t="str">
            <v>Training</v>
          </cell>
          <cell r="I139" t="str">
            <v>FT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 t="str">
            <v>ATV</v>
          </cell>
          <cell r="O139">
            <v>42863</v>
          </cell>
        </row>
        <row r="140">
          <cell r="G140" t="str">
            <v>Luke Desborough</v>
          </cell>
          <cell r="H140" t="str">
            <v>Training</v>
          </cell>
          <cell r="I140" t="str">
            <v>PT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 t="str">
            <v>Com</v>
          </cell>
          <cell r="O140">
            <v>42863</v>
          </cell>
        </row>
        <row r="141">
          <cell r="G141" t="str">
            <v>Niamh Lazenby</v>
          </cell>
          <cell r="H141" t="str">
            <v>Training</v>
          </cell>
          <cell r="I141" t="str">
            <v>PT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 t="str">
            <v>Com</v>
          </cell>
          <cell r="O141">
            <v>42866</v>
          </cell>
        </row>
        <row r="142">
          <cell r="G142" t="str">
            <v>Paige Pittkin</v>
          </cell>
          <cell r="H142" t="str">
            <v>Richard Crellin</v>
          </cell>
          <cell r="I142" t="str">
            <v>FT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 t="str">
            <v>Com</v>
          </cell>
          <cell r="O142">
            <v>42590</v>
          </cell>
        </row>
        <row r="143">
          <cell r="G143" t="str">
            <v>Shey Barrett</v>
          </cell>
          <cell r="H143" t="str">
            <v>Joda Pow</v>
          </cell>
          <cell r="I143" t="str">
            <v>PT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 t="str">
            <v>LE</v>
          </cell>
          <cell r="O143">
            <v>42338</v>
          </cell>
        </row>
        <row r="144">
          <cell r="G144" t="str">
            <v>Naveenraj Kulandairaj</v>
          </cell>
          <cell r="H144" t="str">
            <v>Chris Adams</v>
          </cell>
          <cell r="I144" t="str">
            <v>PT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 t="str">
            <v>LE</v>
          </cell>
          <cell r="O144">
            <v>42807</v>
          </cell>
        </row>
        <row r="145">
          <cell r="G145" t="str">
            <v>Ashton Back</v>
          </cell>
          <cell r="H145" t="str">
            <v>Training</v>
          </cell>
          <cell r="I145" t="str">
            <v>FT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 t="str">
            <v>Com</v>
          </cell>
          <cell r="O145">
            <v>42863</v>
          </cell>
        </row>
        <row r="146">
          <cell r="G146" t="str">
            <v>Ceri Simpson</v>
          </cell>
          <cell r="H146" t="str">
            <v>Training</v>
          </cell>
          <cell r="I146" t="str">
            <v>FT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 t="str">
            <v>ATV</v>
          </cell>
          <cell r="O146">
            <v>42863</v>
          </cell>
        </row>
        <row r="147">
          <cell r="G147" t="str">
            <v>Drew Lernihan</v>
          </cell>
          <cell r="H147" t="str">
            <v>Kelly Grant</v>
          </cell>
          <cell r="I147" t="str">
            <v>FT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 t="str">
            <v>Com</v>
          </cell>
          <cell r="O147">
            <v>42765</v>
          </cell>
        </row>
        <row r="148">
          <cell r="G148" t="str">
            <v>Henry Beele</v>
          </cell>
          <cell r="H148" t="str">
            <v>Training</v>
          </cell>
          <cell r="I148" t="str">
            <v>PT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 t="str">
            <v>ATV</v>
          </cell>
          <cell r="O148">
            <v>42863</v>
          </cell>
        </row>
        <row r="149">
          <cell r="G149" t="str">
            <v>Jane Bird</v>
          </cell>
          <cell r="H149" t="str">
            <v>Michael Ennals</v>
          </cell>
          <cell r="I149" t="str">
            <v>FT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 t="str">
            <v>ATV</v>
          </cell>
          <cell r="O149">
            <v>42807</v>
          </cell>
        </row>
        <row r="150">
          <cell r="G150" t="str">
            <v>Stephen Boulke</v>
          </cell>
          <cell r="H150" t="str">
            <v>Training</v>
          </cell>
          <cell r="I150" t="str">
            <v>PT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 t="str">
            <v>ATV</v>
          </cell>
          <cell r="O150">
            <v>42863</v>
          </cell>
        </row>
        <row r="151">
          <cell r="G151" t="str">
            <v>Joseph Jones</v>
          </cell>
          <cell r="H151" t="str">
            <v>Mike Ennals</v>
          </cell>
          <cell r="I151" t="str">
            <v>FT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 t="str">
            <v>ATV</v>
          </cell>
          <cell r="O151">
            <v>42793</v>
          </cell>
        </row>
        <row r="152">
          <cell r="G152" t="str">
            <v>Norbert Groll</v>
          </cell>
          <cell r="H152" t="str">
            <v>Andrew Warren</v>
          </cell>
          <cell r="I152" t="str">
            <v>FT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 t="str">
            <v>Com</v>
          </cell>
          <cell r="O152">
            <v>42851</v>
          </cell>
        </row>
        <row r="153">
          <cell r="G153" t="str">
            <v>Aaron Golden</v>
          </cell>
          <cell r="H153" t="str">
            <v>Mark Elliott</v>
          </cell>
          <cell r="I153" t="str">
            <v>FT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 t="str">
            <v>BO/S</v>
          </cell>
          <cell r="O153">
            <v>42044</v>
          </cell>
        </row>
        <row r="154">
          <cell r="G154" t="str">
            <v>Michael Harrison</v>
          </cell>
          <cell r="H154" t="str">
            <v>Andrew Warren</v>
          </cell>
          <cell r="I154" t="str">
            <v>FT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 t="str">
            <v>LE</v>
          </cell>
          <cell r="O154">
            <v>42835</v>
          </cell>
        </row>
        <row r="155">
          <cell r="G155" t="str">
            <v>Peter Mellish</v>
          </cell>
          <cell r="H155" t="str">
            <v>Leah Leydon</v>
          </cell>
          <cell r="I155" t="str">
            <v>PT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 t="str">
            <v>BO/S</v>
          </cell>
          <cell r="O155">
            <v>42499</v>
          </cell>
        </row>
        <row r="156">
          <cell r="G156" t="str">
            <v>Jessica Macintyre-Holt</v>
          </cell>
          <cell r="H156" t="str">
            <v>Training</v>
          </cell>
          <cell r="I156" t="str">
            <v>PT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 t="str">
            <v>Com</v>
          </cell>
          <cell r="O156">
            <v>42866</v>
          </cell>
        </row>
        <row r="157">
          <cell r="G157" t="str">
            <v>Richard Aston</v>
          </cell>
          <cell r="H157" t="str">
            <v>Mark Davies</v>
          </cell>
          <cell r="I157" t="str">
            <v>FT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 t="str">
            <v>ATV</v>
          </cell>
          <cell r="O157">
            <v>42752</v>
          </cell>
        </row>
        <row r="158">
          <cell r="G158" t="str">
            <v>Brian Soper</v>
          </cell>
          <cell r="H158" t="str">
            <v>Kelly Grant</v>
          </cell>
          <cell r="I158" t="str">
            <v>FT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 t="str">
            <v>Com</v>
          </cell>
          <cell r="O158">
            <v>42835</v>
          </cell>
        </row>
        <row r="159">
          <cell r="G159" t="str">
            <v>Craig Tedford</v>
          </cell>
          <cell r="H159" t="str">
            <v>Kelly Grant</v>
          </cell>
          <cell r="I159" t="str">
            <v>FT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 t="str">
            <v>Com</v>
          </cell>
          <cell r="O159">
            <v>42815</v>
          </cell>
        </row>
        <row r="160">
          <cell r="G160" t="str">
            <v>Laura Hocking</v>
          </cell>
          <cell r="H160" t="str">
            <v>Chris Adams</v>
          </cell>
          <cell r="I160" t="str">
            <v>PT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 t="str">
            <v>ATV</v>
          </cell>
          <cell r="O160">
            <v>42514</v>
          </cell>
        </row>
        <row r="161">
          <cell r="G161" t="str">
            <v>Connor Dunne</v>
          </cell>
          <cell r="H161" t="str">
            <v>Richard Crellin</v>
          </cell>
          <cell r="I161" t="str">
            <v>FT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 t="str">
            <v>Com</v>
          </cell>
          <cell r="O161">
            <v>42233</v>
          </cell>
        </row>
        <row r="162">
          <cell r="G162" t="str">
            <v>Harry Down</v>
          </cell>
          <cell r="H162" t="str">
            <v>Kelly Grant</v>
          </cell>
          <cell r="I162" t="str">
            <v>FT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 t="str">
            <v>Com</v>
          </cell>
          <cell r="O162">
            <v>42653</v>
          </cell>
        </row>
        <row r="163">
          <cell r="G163" t="str">
            <v>Samantha Guscott</v>
          </cell>
          <cell r="H163" t="str">
            <v>Natalie Lubienski</v>
          </cell>
          <cell r="I163" t="str">
            <v>PT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 t="str">
            <v>BO/S</v>
          </cell>
          <cell r="O163">
            <v>41071</v>
          </cell>
        </row>
        <row r="164">
          <cell r="G164" t="str">
            <v>Katherine Johnson</v>
          </cell>
          <cell r="H164" t="str">
            <v>Andrew Warren</v>
          </cell>
          <cell r="I164" t="str">
            <v>PT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 t="str">
            <v>ATV</v>
          </cell>
          <cell r="O164">
            <v>42866</v>
          </cell>
        </row>
        <row r="165">
          <cell r="G165" t="str">
            <v>Nathan Brown</v>
          </cell>
          <cell r="H165" t="str">
            <v>Richard Crellin</v>
          </cell>
          <cell r="I165" t="str">
            <v>FT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 t="str">
            <v>Com</v>
          </cell>
          <cell r="O165">
            <v>42835</v>
          </cell>
        </row>
        <row r="166">
          <cell r="G166" t="str">
            <v>Jane Carr</v>
          </cell>
          <cell r="H166" t="str">
            <v>Troy Barnaschone</v>
          </cell>
          <cell r="I166" t="str">
            <v>FT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 t="str">
            <v>LE</v>
          </cell>
          <cell r="O166">
            <v>42674</v>
          </cell>
        </row>
        <row r="167">
          <cell r="G167" t="str">
            <v>Bethany Manning</v>
          </cell>
          <cell r="H167" t="str">
            <v>Joda Pow</v>
          </cell>
          <cell r="I167" t="str">
            <v>FT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 t="str">
            <v>LE</v>
          </cell>
          <cell r="O167">
            <v>42851</v>
          </cell>
        </row>
        <row r="168">
          <cell r="G168" t="str">
            <v>Elliot George</v>
          </cell>
          <cell r="H168" t="str">
            <v>Richard Crellin</v>
          </cell>
          <cell r="I168" t="str">
            <v>FT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 t="str">
            <v>Com</v>
          </cell>
          <cell r="O168">
            <v>42660</v>
          </cell>
        </row>
        <row r="169">
          <cell r="G169" t="str">
            <v>Natasha Wee</v>
          </cell>
          <cell r="H169" t="str">
            <v>Natalie Lubienski</v>
          </cell>
          <cell r="I169" t="str">
            <v>FT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 t="str">
            <v>BO/S</v>
          </cell>
          <cell r="O169">
            <v>42877</v>
          </cell>
        </row>
        <row r="170">
          <cell r="G170" t="str">
            <v>Bela Vagheyli</v>
          </cell>
          <cell r="H170" t="str">
            <v>Richard Crellin</v>
          </cell>
          <cell r="I170" t="str">
            <v>FT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 t="str">
            <v>Com</v>
          </cell>
          <cell r="O170">
            <v>42765</v>
          </cell>
        </row>
        <row r="171">
          <cell r="G171" t="str">
            <v>Jethro Evans</v>
          </cell>
          <cell r="H171" t="str">
            <v>Rowan Marshall</v>
          </cell>
          <cell r="I171" t="str">
            <v>FT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 t="str">
            <v>BO/S</v>
          </cell>
          <cell r="O171">
            <v>41974</v>
          </cell>
        </row>
        <row r="172">
          <cell r="G172" t="str">
            <v>Chris  Hawkins</v>
          </cell>
          <cell r="H172" t="str">
            <v>Training</v>
          </cell>
          <cell r="I172" t="str">
            <v>PT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 t="str">
            <v>ATV</v>
          </cell>
          <cell r="O172">
            <v>42891</v>
          </cell>
        </row>
        <row r="173">
          <cell r="G173" t="str">
            <v>Calumn Durnell</v>
          </cell>
          <cell r="H173" t="str">
            <v>Mark Davies</v>
          </cell>
          <cell r="I173" t="str">
            <v>FT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 t="str">
            <v>ATV</v>
          </cell>
          <cell r="O173">
            <v>42779</v>
          </cell>
        </row>
        <row r="174">
          <cell r="G174" t="str">
            <v>Olivia D’mello-Browning</v>
          </cell>
          <cell r="H174" t="str">
            <v>Mark Davies</v>
          </cell>
          <cell r="I174" t="str">
            <v>FT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 t="str">
            <v>ATV</v>
          </cell>
          <cell r="O174">
            <v>42765</v>
          </cell>
        </row>
        <row r="175">
          <cell r="G175" t="str">
            <v>Davey Reynolds</v>
          </cell>
          <cell r="H175" t="str">
            <v>Kelly Grant</v>
          </cell>
          <cell r="I175" t="str">
            <v>FT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 t="str">
            <v>Com</v>
          </cell>
          <cell r="O175">
            <v>42738</v>
          </cell>
        </row>
        <row r="176">
          <cell r="G176" t="str">
            <v>Karen Turner</v>
          </cell>
          <cell r="H176" t="str">
            <v>Training</v>
          </cell>
          <cell r="I176" t="str">
            <v>FT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 t="str">
            <v>LE</v>
          </cell>
          <cell r="O176">
            <v>42891</v>
          </cell>
        </row>
        <row r="177">
          <cell r="G177" t="str">
            <v>Malcolm Obeng-Boateng</v>
          </cell>
          <cell r="H177" t="str">
            <v>Training</v>
          </cell>
          <cell r="I177" t="str">
            <v>FT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 t="str">
            <v>LE</v>
          </cell>
          <cell r="O177">
            <v>42891</v>
          </cell>
        </row>
        <row r="178">
          <cell r="G178" t="str">
            <v>Adam Guest</v>
          </cell>
          <cell r="H178" t="str">
            <v>Michael Ennals</v>
          </cell>
          <cell r="I178" t="str">
            <v>FT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 t="str">
            <v>ATV</v>
          </cell>
          <cell r="O178">
            <v>42240</v>
          </cell>
        </row>
        <row r="179">
          <cell r="G179" t="str">
            <v>Jacob Skelton</v>
          </cell>
          <cell r="H179" t="str">
            <v>Kelly Grant</v>
          </cell>
          <cell r="I179" t="str">
            <v>FT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 t="str">
            <v>Com</v>
          </cell>
          <cell r="O179">
            <v>42450</v>
          </cell>
        </row>
        <row r="180">
          <cell r="G180" t="str">
            <v>Daniel Charles</v>
          </cell>
          <cell r="H180" t="str">
            <v>Avril Oliver</v>
          </cell>
          <cell r="I180" t="str">
            <v>FT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 t="str">
            <v>BO/S</v>
          </cell>
          <cell r="O180">
            <v>42514</v>
          </cell>
        </row>
        <row r="181">
          <cell r="G181" t="str">
            <v>Olly Larkin</v>
          </cell>
          <cell r="H181" t="str">
            <v>Kelly Grant</v>
          </cell>
          <cell r="I181" t="str">
            <v>PT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 t="str">
            <v>Com</v>
          </cell>
          <cell r="O181">
            <v>42674</v>
          </cell>
        </row>
        <row r="182">
          <cell r="G182" t="str">
            <v>Thomas Carr</v>
          </cell>
          <cell r="H182" t="str">
            <v>Kelly Grant</v>
          </cell>
          <cell r="I182" t="str">
            <v>FT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 t="str">
            <v>Com</v>
          </cell>
          <cell r="O182">
            <v>42618</v>
          </cell>
        </row>
        <row r="183">
          <cell r="G183" t="str">
            <v>Callum Adams</v>
          </cell>
          <cell r="H183" t="str">
            <v>Joda Pow</v>
          </cell>
          <cell r="I183" t="str">
            <v>FT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 t="str">
            <v>LE</v>
          </cell>
          <cell r="O183">
            <v>42779</v>
          </cell>
        </row>
        <row r="184">
          <cell r="G184" t="str">
            <v>Edmund Withnell</v>
          </cell>
          <cell r="H184" t="str">
            <v>Kelly Grant</v>
          </cell>
          <cell r="I184" t="str">
            <v>FT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 t="str">
            <v>Com</v>
          </cell>
          <cell r="O184">
            <v>42212</v>
          </cell>
        </row>
        <row r="185">
          <cell r="G185" t="str">
            <v>Asher Russell</v>
          </cell>
          <cell r="H185" t="str">
            <v>Andrew Warren</v>
          </cell>
          <cell r="I185" t="str">
            <v>PT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 t="str">
            <v>Com</v>
          </cell>
          <cell r="O185">
            <v>42866</v>
          </cell>
        </row>
        <row r="186">
          <cell r="G186" t="str">
            <v>Jack Keenan</v>
          </cell>
          <cell r="H186" t="str">
            <v>Richard Crellin</v>
          </cell>
          <cell r="I186" t="str">
            <v>FT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 t="str">
            <v>Com</v>
          </cell>
          <cell r="O186">
            <v>42851</v>
          </cell>
        </row>
        <row r="187">
          <cell r="G187" t="str">
            <v>Jack Isaacs</v>
          </cell>
          <cell r="H187" t="str">
            <v>Richard Crellin</v>
          </cell>
          <cell r="I187" t="str">
            <v>FT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 t="str">
            <v>Com</v>
          </cell>
          <cell r="O187">
            <v>42338</v>
          </cell>
        </row>
        <row r="188">
          <cell r="G188" t="str">
            <v>John Ferguson</v>
          </cell>
          <cell r="H188" t="str">
            <v>Joda Pow</v>
          </cell>
          <cell r="I188" t="str">
            <v>FT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 t="str">
            <v>LE</v>
          </cell>
          <cell r="O188">
            <v>42851</v>
          </cell>
        </row>
        <row r="189">
          <cell r="G189" t="str">
            <v>Callum Cordwell</v>
          </cell>
          <cell r="H189" t="str">
            <v>Training</v>
          </cell>
          <cell r="I189" t="str">
            <v>FT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 t="str">
            <v>ATV</v>
          </cell>
          <cell r="O189">
            <v>42912</v>
          </cell>
        </row>
        <row r="190">
          <cell r="G190" t="str">
            <v>Benjamin Lyne-Ley</v>
          </cell>
          <cell r="H190" t="str">
            <v>Training</v>
          </cell>
          <cell r="I190" t="str">
            <v>FT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 t="str">
            <v>LE</v>
          </cell>
          <cell r="O190">
            <v>42926</v>
          </cell>
        </row>
        <row r="191">
          <cell r="G191" t="str">
            <v>James Nicholson</v>
          </cell>
          <cell r="H191" t="str">
            <v>Mark Davies</v>
          </cell>
          <cell r="I191" t="str">
            <v>FT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 t="str">
            <v>ATV</v>
          </cell>
          <cell r="O191">
            <v>42310</v>
          </cell>
        </row>
        <row r="192">
          <cell r="G192" t="str">
            <v>Sungita Pandit</v>
          </cell>
          <cell r="H192" t="str">
            <v>Training</v>
          </cell>
          <cell r="I192" t="str">
            <v>FT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 t="str">
            <v>LE</v>
          </cell>
          <cell r="O192">
            <v>42926</v>
          </cell>
        </row>
        <row r="193">
          <cell r="G193" t="str">
            <v>William Jones</v>
          </cell>
          <cell r="H193" t="str">
            <v>Kelly Grant</v>
          </cell>
          <cell r="I193" t="str">
            <v>FT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 t="str">
            <v>Com</v>
          </cell>
          <cell r="O193">
            <v>42835</v>
          </cell>
        </row>
        <row r="194">
          <cell r="G194" t="str">
            <v>Aaron Williams</v>
          </cell>
          <cell r="H194" t="str">
            <v>Training</v>
          </cell>
          <cell r="I194" t="str">
            <v>FT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 t="str">
            <v>Com</v>
          </cell>
          <cell r="O194">
            <v>42912</v>
          </cell>
        </row>
        <row r="195">
          <cell r="G195" t="str">
            <v>Emily Smith</v>
          </cell>
          <cell r="H195" t="str">
            <v>Andrew Warren</v>
          </cell>
          <cell r="I195" t="str">
            <v>PT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 t="str">
            <v>ATV</v>
          </cell>
          <cell r="O195">
            <v>42912</v>
          </cell>
        </row>
        <row r="196">
          <cell r="G196" t="str">
            <v>Samuel Hayes</v>
          </cell>
          <cell r="H196" t="str">
            <v>Frazer Hutchinson</v>
          </cell>
          <cell r="I196" t="str">
            <v>PT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 t="str">
            <v>ATV</v>
          </cell>
          <cell r="O196">
            <v>42866</v>
          </cell>
        </row>
        <row r="197">
          <cell r="G197" t="str">
            <v>Tom Shortman</v>
          </cell>
          <cell r="H197" t="str">
            <v>Troy Barnaschone</v>
          </cell>
          <cell r="I197" t="str">
            <v>FT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 t="str">
            <v>LE</v>
          </cell>
          <cell r="O197">
            <v>42688</v>
          </cell>
        </row>
        <row r="198">
          <cell r="G198" t="str">
            <v>Benjamin Stephens</v>
          </cell>
          <cell r="H198" t="str">
            <v>Kelly Grant</v>
          </cell>
          <cell r="I198" t="str">
            <v>FT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 t="str">
            <v>Com</v>
          </cell>
          <cell r="O198">
            <v>42863</v>
          </cell>
        </row>
        <row r="199">
          <cell r="G199" t="str">
            <v>Christopher Singleton</v>
          </cell>
          <cell r="H199" t="str">
            <v>Mike Ennals</v>
          </cell>
          <cell r="I199" t="str">
            <v>FT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 t="str">
            <v>ATV</v>
          </cell>
          <cell r="O199">
            <v>42324</v>
          </cell>
        </row>
        <row r="200">
          <cell r="G200" t="str">
            <v>Inga Moll</v>
          </cell>
          <cell r="H200" t="str">
            <v>Troy Barnaschone</v>
          </cell>
          <cell r="I200" t="str">
            <v>FT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 t="str">
            <v>LE</v>
          </cell>
          <cell r="O200">
            <v>42851</v>
          </cell>
        </row>
        <row r="201">
          <cell r="G201" t="str">
            <v>Rob Skelly</v>
          </cell>
          <cell r="H201" t="str">
            <v>Michael Ennals</v>
          </cell>
          <cell r="I201" t="str">
            <v>PT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 t="str">
            <v>ATV</v>
          </cell>
          <cell r="O201">
            <v>42793</v>
          </cell>
        </row>
        <row r="202">
          <cell r="G202" t="str">
            <v>Daniel Hall</v>
          </cell>
          <cell r="H202" t="str">
            <v>Training</v>
          </cell>
          <cell r="I202" t="str">
            <v>FT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 t="str">
            <v>Training</v>
          </cell>
          <cell r="O202">
            <v>42926</v>
          </cell>
        </row>
        <row r="203">
          <cell r="G203" t="str">
            <v>Natalie Boyer</v>
          </cell>
          <cell r="H203" t="str">
            <v>Andrew Warren</v>
          </cell>
          <cell r="I203" t="str">
            <v>FT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 t="str">
            <v>ATV</v>
          </cell>
          <cell r="O203">
            <v>42912</v>
          </cell>
        </row>
        <row r="204">
          <cell r="G204" t="str">
            <v>Stephen Shelford</v>
          </cell>
          <cell r="H204" t="str">
            <v>Mark Elliott</v>
          </cell>
          <cell r="I204" t="str">
            <v>FT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 t="str">
            <v>Com</v>
          </cell>
          <cell r="O204">
            <v>42135</v>
          </cell>
        </row>
        <row r="205">
          <cell r="G205" t="str">
            <v>Christopher Morris</v>
          </cell>
          <cell r="H205" t="str">
            <v>Frazer Hutchinson</v>
          </cell>
          <cell r="I205" t="str">
            <v>PT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 t="str">
            <v>LE</v>
          </cell>
          <cell r="O205">
            <v>42835</v>
          </cell>
        </row>
        <row r="206">
          <cell r="G206" t="str">
            <v>Courtney Irish</v>
          </cell>
          <cell r="H206" t="str">
            <v>Andrew Warren</v>
          </cell>
          <cell r="I206" t="str">
            <v>FT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 t="str">
            <v>Com</v>
          </cell>
          <cell r="O206">
            <v>42912</v>
          </cell>
        </row>
        <row r="207">
          <cell r="G207" t="str">
            <v>June Clarke</v>
          </cell>
          <cell r="H207" t="str">
            <v>Richard Crellin</v>
          </cell>
          <cell r="I207" t="str">
            <v>PT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 t="str">
            <v>Com</v>
          </cell>
          <cell r="O207">
            <v>41582</v>
          </cell>
        </row>
        <row r="208">
          <cell r="G208" t="str">
            <v>Martin Knight</v>
          </cell>
          <cell r="H208" t="str">
            <v>Avril Oliver</v>
          </cell>
          <cell r="I208" t="str">
            <v>FT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 t="str">
            <v>BO/S</v>
          </cell>
          <cell r="O208">
            <v>41918</v>
          </cell>
        </row>
        <row r="209">
          <cell r="G209" t="str">
            <v>Joel Puleston</v>
          </cell>
          <cell r="H209" t="str">
            <v>Mark Davies</v>
          </cell>
          <cell r="I209" t="str">
            <v>PT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 t="str">
            <v>ATV</v>
          </cell>
          <cell r="O209">
            <v>42779</v>
          </cell>
        </row>
        <row r="210">
          <cell r="G210" t="str">
            <v>Brian Cocker</v>
          </cell>
          <cell r="H210" t="str">
            <v>Natalie Lubienski</v>
          </cell>
          <cell r="I210" t="str">
            <v>FT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 t="str">
            <v>BO/S</v>
          </cell>
          <cell r="O210">
            <v>42240</v>
          </cell>
        </row>
        <row r="211">
          <cell r="G211" t="str">
            <v>Naomi Poslett</v>
          </cell>
          <cell r="H211" t="str">
            <v>Andrew Warren</v>
          </cell>
          <cell r="I211" t="str">
            <v>PT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 t="str">
            <v>LE</v>
          </cell>
          <cell r="O211">
            <v>42891</v>
          </cell>
        </row>
        <row r="212">
          <cell r="G212" t="str">
            <v>Roy Dohoo</v>
          </cell>
          <cell r="H212" t="str">
            <v>Training</v>
          </cell>
          <cell r="I212" t="str">
            <v>FT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 t="str">
            <v>ATV</v>
          </cell>
          <cell r="O212">
            <v>42940</v>
          </cell>
        </row>
        <row r="213">
          <cell r="G213" t="str">
            <v>Lauren Harris</v>
          </cell>
          <cell r="H213" t="str">
            <v>Troy Barnaschone</v>
          </cell>
          <cell r="I213" t="str">
            <v>PT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 t="str">
            <v>LE</v>
          </cell>
          <cell r="O213">
            <v>42752</v>
          </cell>
        </row>
        <row r="214">
          <cell r="G214" t="str">
            <v>Emma Witton</v>
          </cell>
          <cell r="H214" t="str">
            <v>Richard Crellin</v>
          </cell>
          <cell r="I214" t="str">
            <v>FT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 t="str">
            <v>Com</v>
          </cell>
          <cell r="O214">
            <v>42674</v>
          </cell>
        </row>
        <row r="215">
          <cell r="G215" t="str">
            <v>Chloe Totterdell</v>
          </cell>
          <cell r="H215" t="str">
            <v>Frazer Hutchinson</v>
          </cell>
          <cell r="I215" t="str">
            <v>PT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 t="str">
            <v>ATV</v>
          </cell>
          <cell r="O215">
            <v>42866</v>
          </cell>
        </row>
        <row r="216">
          <cell r="G216" t="str">
            <v>Harry Conway</v>
          </cell>
          <cell r="H216" t="str">
            <v>Mark Davies</v>
          </cell>
          <cell r="I216" t="str">
            <v>PT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 t="str">
            <v>ATV</v>
          </cell>
          <cell r="O216">
            <v>42233</v>
          </cell>
        </row>
        <row r="217">
          <cell r="G217" t="str">
            <v>Amy Christie</v>
          </cell>
          <cell r="H217" t="str">
            <v>Training</v>
          </cell>
          <cell r="I217" t="str">
            <v>FT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 t="str">
            <v>ATV</v>
          </cell>
          <cell r="O217">
            <v>42948</v>
          </cell>
        </row>
        <row r="218">
          <cell r="G218" t="str">
            <v>Mohammed Rohman</v>
          </cell>
          <cell r="H218" t="str">
            <v>Training</v>
          </cell>
          <cell r="I218" t="str">
            <v>FT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 t="str">
            <v>ATV</v>
          </cell>
          <cell r="O218">
            <v>42940</v>
          </cell>
        </row>
        <row r="219">
          <cell r="G219" t="str">
            <v>Aaron Wilkes</v>
          </cell>
          <cell r="H219" t="str">
            <v>Andrew Warren</v>
          </cell>
          <cell r="I219" t="str">
            <v>FT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 t="str">
            <v>Com</v>
          </cell>
          <cell r="O219">
            <v>42926</v>
          </cell>
        </row>
        <row r="220">
          <cell r="G220" t="str">
            <v>Abraham Angus</v>
          </cell>
          <cell r="H220" t="str">
            <v>Michael Ennals</v>
          </cell>
          <cell r="I220" t="str">
            <v>PT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 t="str">
            <v>ATV</v>
          </cell>
          <cell r="O220">
            <v>42416</v>
          </cell>
        </row>
        <row r="221">
          <cell r="G221" t="str">
            <v>Luke Underhill</v>
          </cell>
          <cell r="H221" t="str">
            <v>Mark Davies</v>
          </cell>
          <cell r="I221" t="str">
            <v>FT</v>
          </cell>
          <cell r="J221">
            <v>4400898</v>
          </cell>
          <cell r="K221" t="str">
            <v>AS2078</v>
          </cell>
          <cell r="L221">
            <v>1000684</v>
          </cell>
          <cell r="M221" t="str">
            <v>lunde004</v>
          </cell>
          <cell r="N221" t="str">
            <v>ATV</v>
          </cell>
          <cell r="O221">
            <v>42372</v>
          </cell>
        </row>
        <row r="222">
          <cell r="G222" t="str">
            <v>Ashleigh Channing</v>
          </cell>
          <cell r="H222" t="str">
            <v>Frazer Hutchinson</v>
          </cell>
          <cell r="I222" t="str">
            <v>PT</v>
          </cell>
          <cell r="J222">
            <v>4400134</v>
          </cell>
          <cell r="K222" t="str">
            <v>AS2129</v>
          </cell>
          <cell r="L222">
            <v>0</v>
          </cell>
          <cell r="M222" t="str">
            <v>achan043</v>
          </cell>
          <cell r="N222" t="str">
            <v>LE</v>
          </cell>
          <cell r="O222">
            <v>42752</v>
          </cell>
        </row>
        <row r="223">
          <cell r="G223" t="str">
            <v>Emily Salmen</v>
          </cell>
          <cell r="H223" t="str">
            <v>Troy Barnaschone</v>
          </cell>
          <cell r="I223" t="str">
            <v>FT</v>
          </cell>
          <cell r="J223">
            <v>4400137</v>
          </cell>
          <cell r="K223" t="str">
            <v>AS2024</v>
          </cell>
          <cell r="L223">
            <v>418864</v>
          </cell>
          <cell r="M223" t="str">
            <v>esalm006</v>
          </cell>
          <cell r="N223" t="str">
            <v>LE</v>
          </cell>
          <cell r="O223">
            <v>42590</v>
          </cell>
        </row>
        <row r="224">
          <cell r="G224" t="str">
            <v>Kerry Bowyer</v>
          </cell>
          <cell r="H224" t="str">
            <v>Andrew Warren</v>
          </cell>
          <cell r="I224" t="str">
            <v>FT</v>
          </cell>
          <cell r="J224">
            <v>4400824</v>
          </cell>
          <cell r="K224" t="str">
            <v>AS2140</v>
          </cell>
          <cell r="L224">
            <v>1025812</v>
          </cell>
          <cell r="M224" t="str">
            <v>kbowy001</v>
          </cell>
          <cell r="N224" t="str">
            <v>LE</v>
          </cell>
          <cell r="O224">
            <v>42940</v>
          </cell>
        </row>
        <row r="225">
          <cell r="G225" t="str">
            <v>Nhlakanipho Jubane</v>
          </cell>
          <cell r="H225" t="str">
            <v>Andrew Warren</v>
          </cell>
          <cell r="I225" t="str">
            <v>FT</v>
          </cell>
          <cell r="J225">
            <v>4400847</v>
          </cell>
          <cell r="K225" t="str">
            <v>AS2297</v>
          </cell>
          <cell r="L225">
            <v>1028093</v>
          </cell>
          <cell r="M225" t="str">
            <v>njuba001</v>
          </cell>
          <cell r="N225" t="str">
            <v>LE</v>
          </cell>
          <cell r="O225">
            <v>42955</v>
          </cell>
        </row>
        <row r="226">
          <cell r="G226" t="str">
            <v>John Blaize</v>
          </cell>
          <cell r="H226" t="str">
            <v>Andrew Warren</v>
          </cell>
          <cell r="I226" t="str">
            <v>FT</v>
          </cell>
          <cell r="J226">
            <v>4400450</v>
          </cell>
          <cell r="K226" t="str">
            <v>AS2109</v>
          </cell>
          <cell r="L226">
            <v>1016270</v>
          </cell>
          <cell r="M226" t="str">
            <v>jblai010</v>
          </cell>
          <cell r="N226" t="str">
            <v>ATV</v>
          </cell>
          <cell r="O226">
            <v>42891</v>
          </cell>
        </row>
        <row r="227">
          <cell r="G227" t="str">
            <v>Nikki Millings</v>
          </cell>
          <cell r="H227" t="str">
            <v>Andrew Warren</v>
          </cell>
          <cell r="I227" t="str">
            <v>FT</v>
          </cell>
          <cell r="J227">
            <v>4400155</v>
          </cell>
          <cell r="K227" t="str">
            <v>AS2236</v>
          </cell>
          <cell r="L227">
            <v>416255</v>
          </cell>
          <cell r="M227" t="str">
            <v>nmill032</v>
          </cell>
          <cell r="N227" t="str">
            <v>ATV</v>
          </cell>
          <cell r="O227">
            <v>42955</v>
          </cell>
        </row>
        <row r="228">
          <cell r="G228" t="str">
            <v>Andrea Paizs</v>
          </cell>
          <cell r="H228" t="str">
            <v>Andrew Warren</v>
          </cell>
          <cell r="I228" t="str">
            <v>FT</v>
          </cell>
          <cell r="J228">
            <v>4400472</v>
          </cell>
          <cell r="K228" t="str">
            <v>AS2072</v>
          </cell>
          <cell r="L228">
            <v>1025817</v>
          </cell>
          <cell r="M228" t="str">
            <v>apaiz003</v>
          </cell>
          <cell r="N228" t="str">
            <v>ATV</v>
          </cell>
          <cell r="O228">
            <v>42940</v>
          </cell>
        </row>
        <row r="229">
          <cell r="G229" t="str">
            <v>James Jones</v>
          </cell>
          <cell r="H229" t="str">
            <v>Mark Elliott</v>
          </cell>
          <cell r="I229" t="str">
            <v>FT</v>
          </cell>
          <cell r="J229">
            <v>4400127</v>
          </cell>
          <cell r="K229" t="str">
            <v>AS2111</v>
          </cell>
          <cell r="L229">
            <v>1000832</v>
          </cell>
          <cell r="M229" t="str">
            <v>jjone154</v>
          </cell>
          <cell r="N229" t="str">
            <v>COM</v>
          </cell>
          <cell r="O229">
            <v>42863</v>
          </cell>
        </row>
        <row r="230">
          <cell r="G230" t="str">
            <v>Maizie King</v>
          </cell>
          <cell r="H230" t="str">
            <v>Frazer Hutchinson</v>
          </cell>
          <cell r="I230" t="str">
            <v>PT</v>
          </cell>
          <cell r="J230">
            <v>4400172</v>
          </cell>
          <cell r="K230" t="str">
            <v>AS2194</v>
          </cell>
          <cell r="L230">
            <v>1002941</v>
          </cell>
          <cell r="M230" t="str">
            <v>mking039</v>
          </cell>
          <cell r="N230" t="str">
            <v>ATV</v>
          </cell>
          <cell r="O230">
            <v>42866</v>
          </cell>
        </row>
        <row r="231">
          <cell r="G231" t="str">
            <v>Pavel Pavlov</v>
          </cell>
          <cell r="H231" t="str">
            <v>Kelly Grant</v>
          </cell>
          <cell r="I231" t="str">
            <v>FT</v>
          </cell>
          <cell r="J231">
            <v>4400084</v>
          </cell>
          <cell r="K231" t="str">
            <v>AS2079</v>
          </cell>
          <cell r="L231">
            <v>1004939</v>
          </cell>
          <cell r="M231" t="str">
            <v>ppavl001</v>
          </cell>
          <cell r="N231" t="str">
            <v>COM</v>
          </cell>
          <cell r="O231">
            <v>42863</v>
          </cell>
        </row>
        <row r="232">
          <cell r="G232" t="str">
            <v>Madeleine Metcalf</v>
          </cell>
          <cell r="H232" t="str">
            <v>Andrew Warren</v>
          </cell>
          <cell r="I232" t="str">
            <v>FT</v>
          </cell>
          <cell r="J232">
            <v>4400471</v>
          </cell>
          <cell r="K232" t="str">
            <v>AS2285</v>
          </cell>
          <cell r="L232">
            <v>1027816</v>
          </cell>
          <cell r="M232" t="str">
            <v>mmetc003</v>
          </cell>
          <cell r="N232" t="str">
            <v>ATV</v>
          </cell>
          <cell r="O232">
            <v>42955</v>
          </cell>
        </row>
        <row r="233">
          <cell r="G233" t="str">
            <v>Aydan Wiliams</v>
          </cell>
          <cell r="H233" t="str">
            <v>Andrew Warren</v>
          </cell>
          <cell r="I233" t="str">
            <v>FT</v>
          </cell>
          <cell r="J233">
            <v>4400841</v>
          </cell>
          <cell r="K233" t="str">
            <v>AS2202</v>
          </cell>
          <cell r="L233">
            <v>1030078</v>
          </cell>
          <cell r="M233" t="str">
            <v>awill227</v>
          </cell>
          <cell r="N233" t="str">
            <v>OTH</v>
          </cell>
          <cell r="O233">
            <v>42969</v>
          </cell>
        </row>
        <row r="234">
          <cell r="G234" t="str">
            <v>Clare Good</v>
          </cell>
          <cell r="H234" t="str">
            <v>Mark Elliott</v>
          </cell>
          <cell r="I234" t="str">
            <v>FT</v>
          </cell>
          <cell r="J234">
            <v>4400501</v>
          </cell>
          <cell r="K234" t="str">
            <v>AS2183</v>
          </cell>
          <cell r="L234">
            <v>413009</v>
          </cell>
          <cell r="M234" t="str">
            <v>cgood020</v>
          </cell>
          <cell r="N234" t="str">
            <v>SW</v>
          </cell>
          <cell r="O234">
            <v>42310</v>
          </cell>
        </row>
        <row r="235">
          <cell r="G235" t="str">
            <v>Emrys Stockwin</v>
          </cell>
          <cell r="H235" t="str">
            <v>Mark Elliott</v>
          </cell>
          <cell r="I235" t="str">
            <v>FT</v>
          </cell>
          <cell r="J235">
            <v>4400873</v>
          </cell>
          <cell r="K235" t="str">
            <v>AS2010</v>
          </cell>
          <cell r="L235">
            <v>386377</v>
          </cell>
          <cell r="M235" t="str">
            <v>estoc006</v>
          </cell>
          <cell r="N235" t="str">
            <v>SW</v>
          </cell>
          <cell r="O235">
            <v>41526</v>
          </cell>
        </row>
        <row r="236">
          <cell r="G236" t="str">
            <v>Jack Mason</v>
          </cell>
          <cell r="H236" t="str">
            <v>Andrew Warren</v>
          </cell>
          <cell r="I236" t="str">
            <v>FT</v>
          </cell>
          <cell r="J236">
            <v>4400868</v>
          </cell>
          <cell r="K236" t="str">
            <v>AS2053</v>
          </cell>
          <cell r="L236">
            <v>1005856</v>
          </cell>
          <cell r="M236" t="str">
            <v>jmaso016</v>
          </cell>
          <cell r="N236" t="str">
            <v>OTH</v>
          </cell>
          <cell r="O236">
            <v>42969</v>
          </cell>
        </row>
        <row r="237">
          <cell r="G237" t="str">
            <v>Thomas Bessford</v>
          </cell>
          <cell r="H237" t="str">
            <v>Andrew Warren</v>
          </cell>
          <cell r="I237" t="str">
            <v>PT</v>
          </cell>
          <cell r="J237">
            <v>4400464</v>
          </cell>
          <cell r="K237" t="str">
            <v>AS2270</v>
          </cell>
          <cell r="L237">
            <v>1027765</v>
          </cell>
          <cell r="M237" t="str">
            <v>tbess005</v>
          </cell>
          <cell r="N237" t="str">
            <v>ATV</v>
          </cell>
          <cell r="O237">
            <v>42955</v>
          </cell>
        </row>
        <row r="238">
          <cell r="G238" t="str">
            <v>Cameron Long</v>
          </cell>
          <cell r="H238" t="str">
            <v>Andrew Warren</v>
          </cell>
          <cell r="I238" t="str">
            <v>FT</v>
          </cell>
          <cell r="J238">
            <v>4400836</v>
          </cell>
          <cell r="K238" t="str">
            <v>AS2298</v>
          </cell>
          <cell r="L238">
            <v>999608</v>
          </cell>
          <cell r="M238" t="str">
            <v>clong016</v>
          </cell>
          <cell r="N238" t="str">
            <v>ATV</v>
          </cell>
          <cell r="O238">
            <v>42926</v>
          </cell>
        </row>
        <row r="239">
          <cell r="G239" t="str">
            <v>Chloe Rosewell</v>
          </cell>
          <cell r="H239" t="str">
            <v>Michael Ennals</v>
          </cell>
          <cell r="I239" t="str">
            <v>PT</v>
          </cell>
          <cell r="J239">
            <v>4400170</v>
          </cell>
          <cell r="K239" t="str">
            <v>AS2082</v>
          </cell>
          <cell r="L239">
            <v>1009923</v>
          </cell>
          <cell r="M239" t="str">
            <v>crose020</v>
          </cell>
          <cell r="N239" t="str">
            <v>ATV</v>
          </cell>
          <cell r="O239">
            <v>42807</v>
          </cell>
        </row>
        <row r="240">
          <cell r="G240" t="str">
            <v>Andrew Padmore</v>
          </cell>
          <cell r="H240" t="str">
            <v>Andrew Warren</v>
          </cell>
          <cell r="I240" t="str">
            <v>FT</v>
          </cell>
          <cell r="J240">
            <v>4400113</v>
          </cell>
          <cell r="K240" t="str">
            <v>AS2196</v>
          </cell>
          <cell r="L240">
            <v>1029898</v>
          </cell>
          <cell r="M240" t="str">
            <v>apadm002</v>
          </cell>
          <cell r="N240" t="str">
            <v>PC</v>
          </cell>
          <cell r="O240">
            <v>42968</v>
          </cell>
        </row>
        <row r="241">
          <cell r="G241" t="str">
            <v>Lee Penfold</v>
          </cell>
          <cell r="H241" t="str">
            <v>Joda Pow</v>
          </cell>
          <cell r="I241" t="str">
            <v>FT</v>
          </cell>
          <cell r="J241">
            <v>4400846</v>
          </cell>
          <cell r="K241" t="str">
            <v>AS2056</v>
          </cell>
          <cell r="L241">
            <v>1019824</v>
          </cell>
          <cell r="M241" t="str">
            <v>lpenf001</v>
          </cell>
          <cell r="N241" t="str">
            <v>LE</v>
          </cell>
          <cell r="O241">
            <v>42891</v>
          </cell>
        </row>
        <row r="242">
          <cell r="G242" t="str">
            <v>Michelle Banks</v>
          </cell>
          <cell r="H242" t="str">
            <v>Joda Pow</v>
          </cell>
          <cell r="I242" t="str">
            <v>FT</v>
          </cell>
          <cell r="J242">
            <v>4400829</v>
          </cell>
          <cell r="K242" t="str">
            <v>AS2040</v>
          </cell>
          <cell r="L242">
            <v>1019808</v>
          </cell>
          <cell r="M242" t="str">
            <v>mbank014</v>
          </cell>
          <cell r="N242" t="str">
            <v>LE</v>
          </cell>
          <cell r="O242">
            <v>42891</v>
          </cell>
        </row>
        <row r="243">
          <cell r="G243" t="str">
            <v>Reece Webb</v>
          </cell>
          <cell r="H243" t="str">
            <v>Kelly Grant</v>
          </cell>
          <cell r="I243" t="str">
            <v>PT</v>
          </cell>
          <cell r="J243">
            <v>4400142</v>
          </cell>
          <cell r="K243" t="str">
            <v>AS2178</v>
          </cell>
          <cell r="L243">
            <v>1010976</v>
          </cell>
          <cell r="M243" t="str">
            <v>rwebb013</v>
          </cell>
          <cell r="N243" t="str">
            <v>COM</v>
          </cell>
          <cell r="O243">
            <v>42823</v>
          </cell>
        </row>
        <row r="244">
          <cell r="G244" t="str">
            <v>Maddison Smith</v>
          </cell>
          <cell r="H244" t="str">
            <v>Frazer Hutchinson</v>
          </cell>
          <cell r="I244" t="str">
            <v>PT</v>
          </cell>
          <cell r="J244">
            <v>4400093</v>
          </cell>
          <cell r="K244" t="str">
            <v>AS2167</v>
          </cell>
          <cell r="L244">
            <v>1010971</v>
          </cell>
          <cell r="M244" t="str">
            <v>msmit153</v>
          </cell>
          <cell r="N244" t="str">
            <v>COM</v>
          </cell>
          <cell r="O244">
            <v>42815</v>
          </cell>
        </row>
        <row r="245">
          <cell r="G245" t="str">
            <v>Pauline Gerdy-Brough</v>
          </cell>
          <cell r="H245" t="str">
            <v>Mark Davies</v>
          </cell>
          <cell r="I245" t="str">
            <v>FT</v>
          </cell>
          <cell r="J245">
            <v>4400153</v>
          </cell>
          <cell r="K245" t="str">
            <v>AS2185</v>
          </cell>
          <cell r="L245">
            <v>1004473</v>
          </cell>
          <cell r="M245" t="str">
            <v>pgerd001</v>
          </cell>
          <cell r="N245" t="str">
            <v>ATV</v>
          </cell>
          <cell r="O245">
            <v>42765</v>
          </cell>
        </row>
        <row r="246">
          <cell r="G246" t="str">
            <v>Bridie Dyte</v>
          </cell>
          <cell r="H246" t="str">
            <v>Andrew Warren</v>
          </cell>
          <cell r="I246" t="str">
            <v>FT</v>
          </cell>
          <cell r="J246">
            <v>4400466</v>
          </cell>
          <cell r="K246" t="str">
            <v>AS2281</v>
          </cell>
          <cell r="L246">
            <v>1027802</v>
          </cell>
          <cell r="M246" t="str">
            <v>bdyte001</v>
          </cell>
          <cell r="N246" t="str">
            <v>ATV</v>
          </cell>
          <cell r="O246">
            <v>42955</v>
          </cell>
        </row>
        <row r="247">
          <cell r="G247" t="str">
            <v>Dominic Dibb-Holland</v>
          </cell>
          <cell r="H247" t="str">
            <v>Joda Pow</v>
          </cell>
          <cell r="I247" t="str">
            <v>FT</v>
          </cell>
          <cell r="J247">
            <v>4400815</v>
          </cell>
          <cell r="K247" t="str">
            <v>AS2004</v>
          </cell>
          <cell r="L247">
            <v>1024159</v>
          </cell>
          <cell r="M247" t="str">
            <v>ddibb001</v>
          </cell>
          <cell r="N247" t="str">
            <v>LE</v>
          </cell>
          <cell r="O247">
            <v>42926</v>
          </cell>
        </row>
        <row r="248">
          <cell r="G248" t="str">
            <v>Tamina Aslam</v>
          </cell>
          <cell r="H248" t="str">
            <v>Michael Ennals</v>
          </cell>
          <cell r="I248" t="str">
            <v>FT</v>
          </cell>
          <cell r="J248">
            <v>4400808</v>
          </cell>
          <cell r="K248" t="str">
            <v>AS2091</v>
          </cell>
          <cell r="L248">
            <v>410236</v>
          </cell>
          <cell r="M248" t="str">
            <v>tasla004</v>
          </cell>
          <cell r="N248" t="str">
            <v>ATV</v>
          </cell>
          <cell r="O248">
            <v>42940</v>
          </cell>
        </row>
        <row r="249">
          <cell r="G249" t="str">
            <v>Joshua Hawker</v>
          </cell>
          <cell r="H249" t="str">
            <v>Richard Crellin</v>
          </cell>
          <cell r="I249" t="str">
            <v>FT</v>
          </cell>
          <cell r="J249">
            <v>4400097</v>
          </cell>
          <cell r="K249" t="str">
            <v>AS2035</v>
          </cell>
          <cell r="L249">
            <v>1013486</v>
          </cell>
          <cell r="M249" t="str">
            <v>jhawk022</v>
          </cell>
          <cell r="N249" t="str">
            <v>COM</v>
          </cell>
          <cell r="O249">
            <v>42835</v>
          </cell>
        </row>
        <row r="250">
          <cell r="G250" t="str">
            <v>Jake Waterman</v>
          </cell>
          <cell r="H250" t="str">
            <v>Michael Ennals</v>
          </cell>
          <cell r="I250" t="str">
            <v>FT</v>
          </cell>
          <cell r="J250">
            <v>4400161</v>
          </cell>
          <cell r="K250" t="str">
            <v>AS2101</v>
          </cell>
          <cell r="L250">
            <v>418446</v>
          </cell>
          <cell r="M250" t="str">
            <v>jwate006</v>
          </cell>
          <cell r="N250" t="str">
            <v>ATV</v>
          </cell>
          <cell r="O250">
            <v>42863</v>
          </cell>
        </row>
        <row r="251">
          <cell r="G251" t="str">
            <v>Damien Black</v>
          </cell>
          <cell r="H251" t="str">
            <v>Joda Pow</v>
          </cell>
          <cell r="I251" t="str">
            <v>FT</v>
          </cell>
          <cell r="J251">
            <v>4400858</v>
          </cell>
          <cell r="K251" t="str">
            <v>AS2057</v>
          </cell>
          <cell r="L251">
            <v>1024181</v>
          </cell>
          <cell r="M251" t="str">
            <v>dblac030</v>
          </cell>
          <cell r="N251" t="str">
            <v>LE</v>
          </cell>
          <cell r="O251">
            <v>42926</v>
          </cell>
        </row>
        <row r="252">
          <cell r="G252" t="str">
            <v>Laura Cullen</v>
          </cell>
          <cell r="H252" t="str">
            <v>Frazer Hutchinson</v>
          </cell>
          <cell r="I252" t="str">
            <v>PT</v>
          </cell>
          <cell r="J252">
            <v>4400124</v>
          </cell>
          <cell r="K252" t="str">
            <v>AS2165</v>
          </cell>
          <cell r="L252">
            <v>1012522</v>
          </cell>
          <cell r="M252" t="str">
            <v>lcull006</v>
          </cell>
          <cell r="N252" t="str">
            <v>COM</v>
          </cell>
          <cell r="O252">
            <v>42866</v>
          </cell>
        </row>
        <row r="253">
          <cell r="G253" t="str">
            <v>Andrew Westcott</v>
          </cell>
          <cell r="H253" t="str">
            <v>Mark Davies</v>
          </cell>
          <cell r="I253" t="str">
            <v>FT</v>
          </cell>
          <cell r="J253">
            <v>4400453</v>
          </cell>
          <cell r="K253" t="str">
            <v>AS2230</v>
          </cell>
          <cell r="L253">
            <v>1022470</v>
          </cell>
          <cell r="M253" t="str">
            <v>awest030</v>
          </cell>
          <cell r="N253" t="str">
            <v>ATV</v>
          </cell>
          <cell r="O253">
            <v>42912</v>
          </cell>
        </row>
        <row r="254">
          <cell r="G254" t="str">
            <v>Toby Ballarano</v>
          </cell>
          <cell r="H254" t="str">
            <v>Leah Leydon</v>
          </cell>
          <cell r="I254" t="str">
            <v>FT</v>
          </cell>
          <cell r="J254">
            <v>4400039</v>
          </cell>
          <cell r="K254" t="str">
            <v>AS2244</v>
          </cell>
          <cell r="L254">
            <v>413317</v>
          </cell>
          <cell r="M254" t="str">
            <v>tball014</v>
          </cell>
          <cell r="N254" t="str">
            <v>CST</v>
          </cell>
          <cell r="O254">
            <v>42324</v>
          </cell>
        </row>
        <row r="255">
          <cell r="G255" t="str">
            <v>Tracey Lucas</v>
          </cell>
          <cell r="H255" t="str">
            <v>Andrew Warren</v>
          </cell>
          <cell r="I255" t="str">
            <v>FT</v>
          </cell>
          <cell r="J255">
            <v>4400194</v>
          </cell>
          <cell r="K255" t="str">
            <v>AS2111</v>
          </cell>
          <cell r="L255">
            <v>1031251</v>
          </cell>
          <cell r="M255" t="str">
            <v>tluca008</v>
          </cell>
          <cell r="N255" t="str">
            <v>ATV</v>
          </cell>
          <cell r="O255">
            <v>42977</v>
          </cell>
        </row>
        <row r="256">
          <cell r="G256" t="str">
            <v>Alexander Causer</v>
          </cell>
          <cell r="H256" t="str">
            <v>Richard Crellin</v>
          </cell>
          <cell r="I256" t="str">
            <v>FT</v>
          </cell>
          <cell r="J256">
            <v>4400138</v>
          </cell>
          <cell r="K256" t="str">
            <v>AS2114</v>
          </cell>
          <cell r="L256">
            <v>1022478</v>
          </cell>
          <cell r="M256" t="str">
            <v>acaus006</v>
          </cell>
          <cell r="N256" t="str">
            <v>COM</v>
          </cell>
          <cell r="O256">
            <v>42912</v>
          </cell>
        </row>
        <row r="257">
          <cell r="G257" t="str">
            <v>Barnaby Gard</v>
          </cell>
          <cell r="H257" t="str">
            <v>Mark Davies</v>
          </cell>
          <cell r="I257" t="str">
            <v>FT</v>
          </cell>
          <cell r="J257">
            <v>4400181</v>
          </cell>
          <cell r="K257" t="str">
            <v>AS2069</v>
          </cell>
          <cell r="L257">
            <v>1025787</v>
          </cell>
          <cell r="M257" t="str">
            <v>bgard010</v>
          </cell>
          <cell r="N257" t="str">
            <v>ATV</v>
          </cell>
          <cell r="O257">
            <v>42940</v>
          </cell>
        </row>
        <row r="258">
          <cell r="G258" t="str">
            <v>Cerys Head</v>
          </cell>
          <cell r="H258" t="str">
            <v>Andrew Warren</v>
          </cell>
          <cell r="I258" t="str">
            <v>PT</v>
          </cell>
          <cell r="J258">
            <v>4400175</v>
          </cell>
          <cell r="K258" t="str">
            <v>AS2147</v>
          </cell>
          <cell r="L258">
            <v>1026889</v>
          </cell>
          <cell r="M258" t="str">
            <v>chead004</v>
          </cell>
          <cell r="N258" t="str">
            <v>ATV</v>
          </cell>
          <cell r="O258">
            <v>42948</v>
          </cell>
        </row>
        <row r="259">
          <cell r="G259" t="str">
            <v>Barnaby Gard</v>
          </cell>
          <cell r="H259" t="str">
            <v>Mark Davies</v>
          </cell>
          <cell r="I259" t="str">
            <v>FT</v>
          </cell>
          <cell r="J259">
            <v>4400181</v>
          </cell>
          <cell r="K259" t="str">
            <v>AS2069</v>
          </cell>
          <cell r="L259">
            <v>1025787</v>
          </cell>
          <cell r="M259" t="str">
            <v>bgard010</v>
          </cell>
          <cell r="N259" t="str">
            <v>ATV</v>
          </cell>
          <cell r="O259">
            <v>42940</v>
          </cell>
        </row>
        <row r="260">
          <cell r="G260" t="str">
            <v>Maryam Rahman</v>
          </cell>
          <cell r="H260" t="str">
            <v>Frazer Hutchinson</v>
          </cell>
          <cell r="I260" t="str">
            <v>FT</v>
          </cell>
          <cell r="J260">
            <v>4400150</v>
          </cell>
          <cell r="K260" t="str">
            <v>AS2208</v>
          </cell>
          <cell r="L260">
            <v>1012511</v>
          </cell>
          <cell r="M260" t="str">
            <v>mrahm017</v>
          </cell>
          <cell r="N260" t="str">
            <v>COM</v>
          </cell>
          <cell r="O260">
            <v>42866</v>
          </cell>
        </row>
        <row r="261">
          <cell r="G261" t="str">
            <v>Maryam Rahman</v>
          </cell>
          <cell r="H261" t="str">
            <v>Frazer Hutchinson</v>
          </cell>
          <cell r="I261" t="str">
            <v>FT</v>
          </cell>
          <cell r="J261">
            <v>4400150</v>
          </cell>
          <cell r="K261" t="str">
            <v>AS2208</v>
          </cell>
          <cell r="L261">
            <v>1012511</v>
          </cell>
          <cell r="M261" t="str">
            <v>mrahm017</v>
          </cell>
          <cell r="N261" t="str">
            <v>COM</v>
          </cell>
          <cell r="O261">
            <v>42866</v>
          </cell>
        </row>
        <row r="262">
          <cell r="G262" t="str">
            <v>Jake Hutchings</v>
          </cell>
          <cell r="H262" t="str">
            <v>Kelly Grant</v>
          </cell>
          <cell r="I262" t="str">
            <v>FT</v>
          </cell>
          <cell r="J262">
            <v>4400147</v>
          </cell>
          <cell r="K262" t="str">
            <v>AS2104</v>
          </cell>
          <cell r="L262">
            <v>983648</v>
          </cell>
          <cell r="M262" t="str">
            <v>jhutc010</v>
          </cell>
          <cell r="N262" t="str">
            <v>COM</v>
          </cell>
          <cell r="O262">
            <v>42639</v>
          </cell>
        </row>
        <row r="263">
          <cell r="G263" t="str">
            <v>Kerri Hole</v>
          </cell>
          <cell r="H263" t="str">
            <v>Joda Pow</v>
          </cell>
          <cell r="I263" t="str">
            <v>FT</v>
          </cell>
          <cell r="J263">
            <v>4400817</v>
          </cell>
          <cell r="K263" t="str">
            <v>AS2240</v>
          </cell>
          <cell r="L263">
            <v>1027739</v>
          </cell>
          <cell r="M263" t="str">
            <v>khole004</v>
          </cell>
          <cell r="N263" t="str">
            <v>LE</v>
          </cell>
          <cell r="O263">
            <v>42955</v>
          </cell>
        </row>
        <row r="264">
          <cell r="G264" t="str">
            <v>David Dale</v>
          </cell>
          <cell r="H264" t="str">
            <v>Andrew Warren</v>
          </cell>
          <cell r="I264" t="str">
            <v>FT</v>
          </cell>
          <cell r="J264">
            <v>4400871</v>
          </cell>
          <cell r="K264" t="str">
            <v>AS2109</v>
          </cell>
          <cell r="L264">
            <v>1031262</v>
          </cell>
          <cell r="M264" t="str">
            <v>ddale010</v>
          </cell>
          <cell r="N264" t="str">
            <v>PC</v>
          </cell>
          <cell r="O264">
            <v>42977</v>
          </cell>
        </row>
        <row r="265">
          <cell r="G265" t="str">
            <v>Arthur Pinder</v>
          </cell>
          <cell r="H265" t="str">
            <v>Mark Davies</v>
          </cell>
          <cell r="I265" t="str">
            <v>PT</v>
          </cell>
          <cell r="J265">
            <v>4400802</v>
          </cell>
          <cell r="K265" t="str">
            <v>AS2268</v>
          </cell>
          <cell r="L265">
            <v>1007983</v>
          </cell>
          <cell r="M265" t="str">
            <v>apind004</v>
          </cell>
          <cell r="N265" t="str">
            <v>ATV</v>
          </cell>
          <cell r="O265">
            <v>42793</v>
          </cell>
        </row>
        <row r="266">
          <cell r="G266" t="str">
            <v>Irfaan Jhetam</v>
          </cell>
          <cell r="H266" t="str">
            <v>Andrew Warren</v>
          </cell>
          <cell r="I266" t="str">
            <v>FT</v>
          </cell>
          <cell r="J266">
            <v>4400873</v>
          </cell>
          <cell r="K266" t="str">
            <v>AS2201</v>
          </cell>
          <cell r="L266">
            <v>1030050</v>
          </cell>
          <cell r="M266" t="str">
            <v>ijhet001</v>
          </cell>
          <cell r="N266" t="str">
            <v>OTH</v>
          </cell>
          <cell r="O266">
            <v>42969</v>
          </cell>
        </row>
        <row r="267">
          <cell r="G267" t="str">
            <v>Lee Higgins</v>
          </cell>
          <cell r="H267" t="str">
            <v>Kelly Grant</v>
          </cell>
          <cell r="I267" t="str">
            <v>FT</v>
          </cell>
          <cell r="J267">
            <v>4400200</v>
          </cell>
          <cell r="K267" t="str">
            <v>AS2136</v>
          </cell>
          <cell r="L267">
            <v>991716</v>
          </cell>
          <cell r="M267" t="str">
            <v>lhigg006</v>
          </cell>
          <cell r="N267" t="str">
            <v>COM</v>
          </cell>
          <cell r="O267">
            <v>42674</v>
          </cell>
        </row>
        <row r="268">
          <cell r="G268" t="str">
            <v>Nicholas Colley</v>
          </cell>
          <cell r="H268" t="str">
            <v>Mark Davies</v>
          </cell>
          <cell r="I268" t="str">
            <v>PT</v>
          </cell>
          <cell r="J268">
            <v>4400185</v>
          </cell>
          <cell r="K268" t="str">
            <v>AS2018</v>
          </cell>
          <cell r="L268">
            <v>1019799</v>
          </cell>
          <cell r="M268" t="str">
            <v>ncoll017</v>
          </cell>
          <cell r="N268" t="str">
            <v>ATV</v>
          </cell>
          <cell r="O268">
            <v>42891</v>
          </cell>
        </row>
        <row r="269">
          <cell r="G269" t="str">
            <v>Peter Fry</v>
          </cell>
          <cell r="H269" t="str">
            <v>Frazer Hutchinson</v>
          </cell>
          <cell r="I269" t="str">
            <v>PT</v>
          </cell>
          <cell r="J269">
            <v>4400173</v>
          </cell>
          <cell r="K269" t="str">
            <v>AS2217</v>
          </cell>
          <cell r="L269">
            <v>417740</v>
          </cell>
          <cell r="M269" t="str">
            <v>pfry001</v>
          </cell>
          <cell r="N269" t="str">
            <v>ATV</v>
          </cell>
          <cell r="O269">
            <v>42866</v>
          </cell>
        </row>
        <row r="270">
          <cell r="G270" t="str">
            <v>Owen Brannagan</v>
          </cell>
          <cell r="H270" t="str">
            <v>Leah Leydon</v>
          </cell>
          <cell r="I270" t="str">
            <v>FT</v>
          </cell>
          <cell r="J270">
            <v>4400032</v>
          </cell>
          <cell r="K270" t="str">
            <v>AS2179</v>
          </cell>
          <cell r="L270">
            <v>413763</v>
          </cell>
          <cell r="M270" t="str">
            <v>obran003</v>
          </cell>
          <cell r="N270" t="str">
            <v>CST</v>
          </cell>
          <cell r="O270">
            <v>42338</v>
          </cell>
        </row>
        <row r="271">
          <cell r="G271" t="str">
            <v>Toby Torr</v>
          </cell>
          <cell r="H271" t="str">
            <v>Troy Barnaschone</v>
          </cell>
          <cell r="I271" t="str">
            <v>FT</v>
          </cell>
          <cell r="J271">
            <v>4400831</v>
          </cell>
          <cell r="K271" t="str">
            <v>AS2042</v>
          </cell>
          <cell r="L271">
            <v>1024170</v>
          </cell>
          <cell r="M271" t="str">
            <v>ttorr010</v>
          </cell>
          <cell r="N271" t="str">
            <v>LE</v>
          </cell>
          <cell r="O271">
            <v>42926</v>
          </cell>
        </row>
        <row r="272">
          <cell r="G272" t="str">
            <v>Sam Miller</v>
          </cell>
          <cell r="H272" t="str">
            <v>Andrew Warren</v>
          </cell>
          <cell r="I272" t="str">
            <v>PT</v>
          </cell>
          <cell r="J272">
            <v>4400138</v>
          </cell>
          <cell r="K272" t="str">
            <v>AS2185</v>
          </cell>
          <cell r="L272">
            <v>1036174</v>
          </cell>
          <cell r="M272" t="str">
            <v>smill099</v>
          </cell>
          <cell r="N272" t="str">
            <v>COM</v>
          </cell>
          <cell r="O272">
            <v>42997</v>
          </cell>
        </row>
        <row r="273">
          <cell r="G273" t="str">
            <v>Billie Meaden</v>
          </cell>
          <cell r="H273" t="str">
            <v>Andrew Warren</v>
          </cell>
          <cell r="I273" t="str">
            <v>FT</v>
          </cell>
          <cell r="J273">
            <v>4400826</v>
          </cell>
          <cell r="K273" t="str">
            <v>AS2169</v>
          </cell>
          <cell r="L273">
            <v>1030056</v>
          </cell>
          <cell r="M273" t="str">
            <v>bmead008</v>
          </cell>
          <cell r="N273" t="str">
            <v>OTH</v>
          </cell>
          <cell r="O273">
            <v>42969</v>
          </cell>
        </row>
        <row r="274">
          <cell r="G274" t="str">
            <v>Paul Wilcock</v>
          </cell>
          <cell r="H274" t="str">
            <v>Andrew Warren</v>
          </cell>
          <cell r="I274" t="str">
            <v>PT</v>
          </cell>
          <cell r="J274">
            <v>4400846</v>
          </cell>
          <cell r="K274" t="str">
            <v>AS2069</v>
          </cell>
          <cell r="L274">
            <v>1035957</v>
          </cell>
          <cell r="M274" t="str">
            <v>pwilc006</v>
          </cell>
          <cell r="N274" t="str">
            <v>LE</v>
          </cell>
          <cell r="O274">
            <v>42997</v>
          </cell>
        </row>
        <row r="275">
          <cell r="G275" t="str">
            <v>Anthony Goffin</v>
          </cell>
          <cell r="H275" t="str">
            <v>Richard Crellin</v>
          </cell>
          <cell r="I275" t="str">
            <v>FT</v>
          </cell>
          <cell r="J275">
            <v>4400119</v>
          </cell>
          <cell r="K275" t="str">
            <v>AS2007</v>
          </cell>
          <cell r="L275">
            <v>1015152</v>
          </cell>
          <cell r="M275" t="str">
            <v>agoff005</v>
          </cell>
          <cell r="N275" t="str">
            <v>COM</v>
          </cell>
          <cell r="O275">
            <v>42851</v>
          </cell>
        </row>
        <row r="276">
          <cell r="G276" t="str">
            <v>Anna Sikorska</v>
          </cell>
          <cell r="H276" t="str">
            <v>Kelly Grant</v>
          </cell>
          <cell r="I276" t="str">
            <v>FT</v>
          </cell>
          <cell r="J276">
            <v>4408910</v>
          </cell>
          <cell r="K276" t="str">
            <v>AS4060</v>
          </cell>
          <cell r="L276">
            <v>1033344</v>
          </cell>
          <cell r="M276" t="str">
            <v>asiko005</v>
          </cell>
          <cell r="N276" t="str">
            <v>OTH</v>
          </cell>
          <cell r="O276">
            <v>42989</v>
          </cell>
        </row>
        <row r="277">
          <cell r="G277" t="str">
            <v>Chelsea Brown</v>
          </cell>
          <cell r="H277" t="str">
            <v>Frazer Hutchinson</v>
          </cell>
          <cell r="I277" t="str">
            <v>PT</v>
          </cell>
          <cell r="J277">
            <v>4400114</v>
          </cell>
          <cell r="K277" t="str">
            <v>AS2143</v>
          </cell>
          <cell r="L277">
            <v>1017430</v>
          </cell>
          <cell r="M277" t="str">
            <v>cbrow128</v>
          </cell>
          <cell r="N277" t="str">
            <v>COM</v>
          </cell>
          <cell r="O277">
            <v>42948</v>
          </cell>
        </row>
        <row r="278">
          <cell r="G278" t="str">
            <v>Christopher Scott</v>
          </cell>
          <cell r="H278" t="str">
            <v>Kelly Grant</v>
          </cell>
          <cell r="I278" t="str">
            <v>PT</v>
          </cell>
          <cell r="J278">
            <v>4408920</v>
          </cell>
          <cell r="K278" t="str">
            <v>AS4071</v>
          </cell>
          <cell r="L278">
            <v>1034325</v>
          </cell>
          <cell r="M278" t="str">
            <v>cscot050</v>
          </cell>
          <cell r="N278" t="str">
            <v>OTH</v>
          </cell>
          <cell r="O278">
            <v>42989</v>
          </cell>
        </row>
        <row r="279">
          <cell r="G279" t="str">
            <v>Jake Gliddon</v>
          </cell>
          <cell r="H279" t="str">
            <v>Andrew Warren</v>
          </cell>
          <cell r="I279" t="str">
            <v>PT</v>
          </cell>
          <cell r="J279">
            <v>4400174</v>
          </cell>
          <cell r="K279" t="str">
            <v>AS2160</v>
          </cell>
          <cell r="L279">
            <v>1029838</v>
          </cell>
          <cell r="M279" t="str">
            <v>jglid004</v>
          </cell>
          <cell r="N279" t="str">
            <v>ATV</v>
          </cell>
          <cell r="O279">
            <v>42968</v>
          </cell>
        </row>
        <row r="280">
          <cell r="G280" t="str">
            <v>Eleanor Smith</v>
          </cell>
          <cell r="H280" t="str">
            <v>Andrew Warren</v>
          </cell>
          <cell r="I280" t="str">
            <v>FT</v>
          </cell>
          <cell r="J280">
            <v>4400083</v>
          </cell>
          <cell r="K280" t="str">
            <v>AS2148</v>
          </cell>
          <cell r="L280">
            <v>1029888</v>
          </cell>
          <cell r="M280" t="str">
            <v>esmit071</v>
          </cell>
          <cell r="N280" t="str">
            <v>COM</v>
          </cell>
          <cell r="O280">
            <v>42968</v>
          </cell>
        </row>
        <row r="281">
          <cell r="G281" t="str">
            <v>Christopher Tucker</v>
          </cell>
          <cell r="H281" t="str">
            <v>Troy Barnaschone</v>
          </cell>
          <cell r="I281" t="str">
            <v>FT</v>
          </cell>
          <cell r="J281">
            <v>4400857</v>
          </cell>
          <cell r="K281" t="str">
            <v>AS2006</v>
          </cell>
          <cell r="L281">
            <v>1024156</v>
          </cell>
          <cell r="M281" t="str">
            <v>ctuck017</v>
          </cell>
          <cell r="N281" t="str">
            <v>LE</v>
          </cell>
          <cell r="O281">
            <v>42926</v>
          </cell>
        </row>
        <row r="282">
          <cell r="G282" t="str">
            <v>Kira Wilson</v>
          </cell>
          <cell r="H282" t="str">
            <v>Andrew Warren</v>
          </cell>
          <cell r="I282" t="str">
            <v>PT</v>
          </cell>
          <cell r="J282">
            <v>4400830</v>
          </cell>
          <cell r="K282" t="str">
            <v>AS2114</v>
          </cell>
          <cell r="L282">
            <v>1035980</v>
          </cell>
          <cell r="M282" t="str">
            <v>kwils067</v>
          </cell>
          <cell r="N282" t="str">
            <v>LE</v>
          </cell>
          <cell r="O282">
            <v>42997</v>
          </cell>
        </row>
        <row r="283">
          <cell r="G283" t="str">
            <v>Callum Mallet</v>
          </cell>
          <cell r="H283" t="str">
            <v>Andrew Warren</v>
          </cell>
          <cell r="I283" t="str">
            <v>FT</v>
          </cell>
          <cell r="J283">
            <v>4400179</v>
          </cell>
          <cell r="K283" t="str">
            <v>AS2320</v>
          </cell>
          <cell r="L283">
            <v>1042538</v>
          </cell>
          <cell r="M283" t="str">
            <v>cmall014</v>
          </cell>
          <cell r="N283" t="str">
            <v>ATV</v>
          </cell>
          <cell r="O283">
            <v>43017</v>
          </cell>
        </row>
        <row r="284">
          <cell r="G284" t="str">
            <v>Andrew Parker</v>
          </cell>
          <cell r="H284" t="str">
            <v>Andrew Warren</v>
          </cell>
          <cell r="I284" t="str">
            <v>FT</v>
          </cell>
          <cell r="J284">
            <v>4400175</v>
          </cell>
          <cell r="K284" t="str">
            <v>AS2326</v>
          </cell>
          <cell r="L284">
            <v>1042596</v>
          </cell>
          <cell r="M284" t="str">
            <v>apark038</v>
          </cell>
          <cell r="N284" t="str">
            <v>ATV</v>
          </cell>
          <cell r="O284">
            <v>43017</v>
          </cell>
        </row>
        <row r="285">
          <cell r="G285" t="str">
            <v>Robert Carpenter-Banner</v>
          </cell>
          <cell r="H285" t="str">
            <v>Andrew Warren</v>
          </cell>
          <cell r="I285" t="str">
            <v>PT</v>
          </cell>
          <cell r="J285">
            <v>4400851</v>
          </cell>
          <cell r="K285" t="str">
            <v>AS2305</v>
          </cell>
          <cell r="L285">
            <v>1042244</v>
          </cell>
          <cell r="M285" t="str">
            <v>rcarp017</v>
          </cell>
          <cell r="N285" t="str">
            <v>LE</v>
          </cell>
          <cell r="O285">
            <v>43017</v>
          </cell>
        </row>
        <row r="286">
          <cell r="G286" t="str">
            <v>Colin Lifford</v>
          </cell>
          <cell r="H286" t="str">
            <v>Mark Davies</v>
          </cell>
          <cell r="I286" t="str">
            <v>PT</v>
          </cell>
          <cell r="J286">
            <v>4400171</v>
          </cell>
          <cell r="K286" t="str">
            <v>AS2115</v>
          </cell>
          <cell r="L286">
            <v>1022341</v>
          </cell>
          <cell r="M286" t="str">
            <v>cliff001</v>
          </cell>
          <cell r="N286" t="str">
            <v>ATV</v>
          </cell>
          <cell r="O286">
            <v>42912</v>
          </cell>
        </row>
        <row r="287">
          <cell r="G287" t="str">
            <v>Sharon Squire</v>
          </cell>
          <cell r="H287" t="str">
            <v>Andrew Warren</v>
          </cell>
          <cell r="I287" t="str">
            <v>FT</v>
          </cell>
          <cell r="J287">
            <v>4400862</v>
          </cell>
          <cell r="K287" t="str">
            <v>AS2311</v>
          </cell>
          <cell r="L287">
            <v>1042140</v>
          </cell>
          <cell r="M287" t="str">
            <v>ssqui002</v>
          </cell>
          <cell r="N287" t="str">
            <v>LE</v>
          </cell>
          <cell r="O287">
            <v>43017</v>
          </cell>
        </row>
        <row r="288">
          <cell r="G288" t="str">
            <v>Celine Weavers</v>
          </cell>
          <cell r="H288" t="str">
            <v>Andrew Warren</v>
          </cell>
          <cell r="I288" t="str">
            <v>FT</v>
          </cell>
          <cell r="J288">
            <v>4400470</v>
          </cell>
          <cell r="K288" t="str">
            <v>AS2302</v>
          </cell>
          <cell r="L288">
            <v>1042587</v>
          </cell>
          <cell r="M288" t="str">
            <v>cweav008</v>
          </cell>
          <cell r="N288" t="str">
            <v>ATV</v>
          </cell>
          <cell r="O288">
            <v>43017</v>
          </cell>
        </row>
        <row r="289">
          <cell r="G289" t="str">
            <v>Victoria Lynn</v>
          </cell>
          <cell r="H289" t="str">
            <v>Andrew Warren</v>
          </cell>
          <cell r="I289" t="str">
            <v>FT</v>
          </cell>
          <cell r="J289">
            <v>4400857</v>
          </cell>
          <cell r="K289" t="str">
            <v>AS2319</v>
          </cell>
          <cell r="L289">
            <v>1042163</v>
          </cell>
          <cell r="M289" t="str">
            <v>vlynn001</v>
          </cell>
          <cell r="N289" t="str">
            <v>LE</v>
          </cell>
          <cell r="O289">
            <v>43017</v>
          </cell>
        </row>
        <row r="290">
          <cell r="G290" t="str">
            <v>Anna Blackmore</v>
          </cell>
          <cell r="H290" t="str">
            <v>Mark Elliott</v>
          </cell>
          <cell r="I290" t="str">
            <v>FT</v>
          </cell>
          <cell r="J290">
            <v>4400105</v>
          </cell>
          <cell r="K290" t="str">
            <v>AS2177</v>
          </cell>
          <cell r="L290">
            <v>1016389</v>
          </cell>
          <cell r="M290" t="str">
            <v>ablac024</v>
          </cell>
          <cell r="N290" t="str">
            <v>COM</v>
          </cell>
          <cell r="O290">
            <v>42912</v>
          </cell>
        </row>
        <row r="291">
          <cell r="G291" t="str">
            <v>Pascal Gillon</v>
          </cell>
          <cell r="H291" t="str">
            <v>Mark Davies</v>
          </cell>
          <cell r="I291" t="str">
            <v>PT</v>
          </cell>
          <cell r="J291">
            <v>4400088</v>
          </cell>
          <cell r="K291" t="str">
            <v>AS2149</v>
          </cell>
          <cell r="L291">
            <v>1010972</v>
          </cell>
          <cell r="M291" t="str">
            <v>pgill005</v>
          </cell>
          <cell r="N291" t="str">
            <v>ATV</v>
          </cell>
          <cell r="O291">
            <v>42815</v>
          </cell>
        </row>
        <row r="292">
          <cell r="G292" t="str">
            <v>Ashley Cann</v>
          </cell>
          <cell r="H292" t="str">
            <v>Mark Davies</v>
          </cell>
          <cell r="I292" t="str">
            <v>FT</v>
          </cell>
          <cell r="J292">
            <v>4400471</v>
          </cell>
          <cell r="K292" t="str">
            <v>AS2297</v>
          </cell>
          <cell r="L292">
            <v>1031271</v>
          </cell>
          <cell r="M292" t="str">
            <v>acann011</v>
          </cell>
          <cell r="N292" t="str">
            <v>ATV</v>
          </cell>
          <cell r="O292">
            <v>42977</v>
          </cell>
        </row>
        <row r="293">
          <cell r="G293" t="str">
            <v>Jamie Hardaker</v>
          </cell>
          <cell r="H293" t="str">
            <v>Richard Crellin</v>
          </cell>
          <cell r="I293" t="str">
            <v>FT</v>
          </cell>
          <cell r="J293">
            <v>4400162</v>
          </cell>
          <cell r="K293" t="str">
            <v>AS2294</v>
          </cell>
          <cell r="L293">
            <v>1029881</v>
          </cell>
          <cell r="M293" t="str">
            <v>jhard026</v>
          </cell>
          <cell r="N293" t="str">
            <v>COM</v>
          </cell>
          <cell r="O293">
            <v>42968</v>
          </cell>
        </row>
        <row r="294">
          <cell r="G294" t="str">
            <v>Lucinda Naylor</v>
          </cell>
          <cell r="H294" t="str">
            <v>Joda Pow</v>
          </cell>
          <cell r="I294" t="str">
            <v>FT</v>
          </cell>
          <cell r="J294">
            <v>4400827</v>
          </cell>
          <cell r="K294" t="str">
            <v>AS2292</v>
          </cell>
          <cell r="L294">
            <v>1028078</v>
          </cell>
          <cell r="M294" t="str">
            <v>lnayl002</v>
          </cell>
          <cell r="N294" t="str">
            <v>LE</v>
          </cell>
          <cell r="O294">
            <v>42955</v>
          </cell>
        </row>
        <row r="295">
          <cell r="G295" t="str">
            <v>Cameron Horton</v>
          </cell>
          <cell r="H295" t="str">
            <v>Andrew Warren</v>
          </cell>
          <cell r="I295" t="str">
            <v>PT</v>
          </cell>
          <cell r="J295">
            <v>4400941</v>
          </cell>
          <cell r="K295" t="str">
            <v>AS2007</v>
          </cell>
          <cell r="L295">
            <v>1044112</v>
          </cell>
          <cell r="M295" t="str">
            <v>chort010</v>
          </cell>
          <cell r="N295" t="str">
            <v>COM</v>
          </cell>
          <cell r="O295">
            <v>43024</v>
          </cell>
        </row>
        <row r="296">
          <cell r="G296" t="str">
            <v>David Lowman</v>
          </cell>
          <cell r="H296" t="str">
            <v>Andrew Warren</v>
          </cell>
          <cell r="I296" t="str">
            <v>FT</v>
          </cell>
          <cell r="J296">
            <v>4400831</v>
          </cell>
          <cell r="K296" t="str">
            <v>AS2300</v>
          </cell>
          <cell r="L296">
            <v>1042250</v>
          </cell>
          <cell r="M296" t="str">
            <v>dlowm001</v>
          </cell>
          <cell r="N296" t="str">
            <v>LE</v>
          </cell>
          <cell r="O296">
            <v>43017</v>
          </cell>
        </row>
        <row r="297">
          <cell r="G297" t="str">
            <v>Matthew Fanson</v>
          </cell>
          <cell r="H297" t="str">
            <v>Andrew Warren</v>
          </cell>
          <cell r="I297" t="str">
            <v>FT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 t="str">
            <v>ATV</v>
          </cell>
          <cell r="O297">
            <v>43031</v>
          </cell>
        </row>
        <row r="298">
          <cell r="G298" t="str">
            <v>James Dougal</v>
          </cell>
          <cell r="H298" t="str">
            <v>Andrew Warren</v>
          </cell>
          <cell r="I298" t="str">
            <v>FT</v>
          </cell>
          <cell r="J298">
            <v>4400119</v>
          </cell>
          <cell r="K298" t="str">
            <v>AS2109</v>
          </cell>
          <cell r="L298">
            <v>1044155</v>
          </cell>
          <cell r="M298" t="str">
            <v>jdoug026</v>
          </cell>
          <cell r="N298" t="str">
            <v>COM</v>
          </cell>
          <cell r="O298">
            <v>43024</v>
          </cell>
        </row>
        <row r="299">
          <cell r="G299" t="str">
            <v>Jordan Tull</v>
          </cell>
          <cell r="H299" t="str">
            <v>Andrew Warren</v>
          </cell>
          <cell r="I299" t="str">
            <v>FT</v>
          </cell>
          <cell r="J299">
            <v>4400468</v>
          </cell>
          <cell r="K299" t="str">
            <v>AS2000</v>
          </cell>
          <cell r="L299">
            <v>1031813</v>
          </cell>
          <cell r="M299" t="str">
            <v>jtull002</v>
          </cell>
          <cell r="N299" t="str">
            <v>ATV</v>
          </cell>
          <cell r="O299">
            <v>42982</v>
          </cell>
        </row>
        <row r="300">
          <cell r="G300" t="str">
            <v>Daniel Pierce</v>
          </cell>
          <cell r="H300" t="str">
            <v>Sean Rowe</v>
          </cell>
          <cell r="I300" t="str">
            <v>FT</v>
          </cell>
          <cell r="J300">
            <v>4408907</v>
          </cell>
          <cell r="K300" t="str">
            <v>AS4057</v>
          </cell>
          <cell r="L300">
            <v>1034352</v>
          </cell>
          <cell r="M300" t="str">
            <v>dpier011</v>
          </cell>
          <cell r="N300" t="str">
            <v>OTH</v>
          </cell>
          <cell r="O300">
            <v>42989</v>
          </cell>
        </row>
        <row r="301">
          <cell r="G301" t="str">
            <v>Paige Harris</v>
          </cell>
          <cell r="H301" t="str">
            <v>Richard Crellin</v>
          </cell>
          <cell r="I301" t="str">
            <v>FT</v>
          </cell>
          <cell r="J301">
            <v>4400115</v>
          </cell>
          <cell r="K301" t="str">
            <v>AS2075</v>
          </cell>
          <cell r="L301">
            <v>1029853</v>
          </cell>
          <cell r="M301" t="str">
            <v>pharr028</v>
          </cell>
          <cell r="N301" t="str">
            <v>COM</v>
          </cell>
          <cell r="O301">
            <v>42968</v>
          </cell>
        </row>
        <row r="302">
          <cell r="G302" t="str">
            <v>Mary Chidgey</v>
          </cell>
          <cell r="H302" t="str">
            <v>Andrew Warren</v>
          </cell>
          <cell r="I302" t="str">
            <v>FT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 t="str">
            <v>LE</v>
          </cell>
          <cell r="O302">
            <v>43038</v>
          </cell>
        </row>
        <row r="303">
          <cell r="G303" t="str">
            <v>Becky Shepherd</v>
          </cell>
          <cell r="H303" t="str">
            <v>Andrew Warren</v>
          </cell>
          <cell r="I303" t="str">
            <v>FT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 t="str">
            <v>COM</v>
          </cell>
          <cell r="O303">
            <v>43038</v>
          </cell>
        </row>
        <row r="304">
          <cell r="G304" t="str">
            <v>Clair Brister</v>
          </cell>
          <cell r="H304" t="str">
            <v>Mark Davies</v>
          </cell>
          <cell r="I304" t="str">
            <v>FT</v>
          </cell>
          <cell r="J304">
            <v>4400801</v>
          </cell>
          <cell r="K304" t="str">
            <v>AS2047</v>
          </cell>
          <cell r="L304">
            <v>413617</v>
          </cell>
          <cell r="M304" t="str">
            <v>cbris005</v>
          </cell>
          <cell r="N304" t="str">
            <v>ATV</v>
          </cell>
          <cell r="O304">
            <v>42352</v>
          </cell>
        </row>
        <row r="305">
          <cell r="G305" t="str">
            <v>Lianne Innocent</v>
          </cell>
          <cell r="H305" t="str">
            <v>Natalie Lubienski</v>
          </cell>
          <cell r="I305" t="str">
            <v>FT</v>
          </cell>
          <cell r="J305">
            <v>4400031</v>
          </cell>
          <cell r="K305" t="str">
            <v>AS2220</v>
          </cell>
          <cell r="L305">
            <v>406109</v>
          </cell>
          <cell r="M305" t="str">
            <v>ldryd001</v>
          </cell>
          <cell r="N305" t="str">
            <v>CSA</v>
          </cell>
          <cell r="O305">
            <v>41939</v>
          </cell>
        </row>
        <row r="306">
          <cell r="G306" t="str">
            <v>Lily James</v>
          </cell>
          <cell r="H306" t="str">
            <v>Mark Davies</v>
          </cell>
          <cell r="I306" t="str">
            <v>FT</v>
          </cell>
          <cell r="J306">
            <v>4400170</v>
          </cell>
          <cell r="K306" t="str">
            <v>AS2024</v>
          </cell>
          <cell r="L306">
            <v>1031257</v>
          </cell>
          <cell r="M306" t="str">
            <v>ljame021</v>
          </cell>
          <cell r="N306" t="str">
            <v>ATV</v>
          </cell>
          <cell r="O306">
            <v>42977</v>
          </cell>
        </row>
        <row r="307">
          <cell r="G307" t="str">
            <v>James Cuffe</v>
          </cell>
          <cell r="H307" t="str">
            <v>Kelly Grant</v>
          </cell>
          <cell r="I307" t="str">
            <v>FT</v>
          </cell>
          <cell r="J307">
            <v>4408912</v>
          </cell>
          <cell r="K307" t="str">
            <v>AS4062</v>
          </cell>
          <cell r="L307">
            <v>1034299</v>
          </cell>
          <cell r="M307" t="str">
            <v>jcuff001</v>
          </cell>
          <cell r="N307" t="str">
            <v>OTH</v>
          </cell>
          <cell r="O307">
            <v>42989</v>
          </cell>
        </row>
        <row r="308">
          <cell r="G308" t="str">
            <v>Christopher Durman</v>
          </cell>
          <cell r="H308" t="str">
            <v>Richard Crellin</v>
          </cell>
          <cell r="I308" t="str">
            <v>FT</v>
          </cell>
          <cell r="J308">
            <v>4400872</v>
          </cell>
          <cell r="K308" t="str">
            <v>AS2285</v>
          </cell>
          <cell r="L308">
            <v>1031264</v>
          </cell>
          <cell r="M308" t="str">
            <v>cdurm001</v>
          </cell>
          <cell r="N308" t="str">
            <v>COM</v>
          </cell>
          <cell r="O308">
            <v>42977</v>
          </cell>
        </row>
        <row r="309">
          <cell r="G309" t="str">
            <v>Jac Belgin</v>
          </cell>
          <cell r="H309" t="str">
            <v>Andrew Warren</v>
          </cell>
          <cell r="I309" t="str">
            <v>PT</v>
          </cell>
          <cell r="J309">
            <v>4400086</v>
          </cell>
          <cell r="K309" t="str">
            <v>AS2305</v>
          </cell>
          <cell r="L309">
            <v>1049414</v>
          </cell>
          <cell r="M309" t="str">
            <v>jbelg009</v>
          </cell>
          <cell r="N309" t="str">
            <v>COM</v>
          </cell>
          <cell r="O309">
            <v>43045</v>
          </cell>
        </row>
        <row r="310">
          <cell r="G310" t="str">
            <v>Victoria Elliott</v>
          </cell>
          <cell r="H310" t="str">
            <v>Andrew Warren</v>
          </cell>
          <cell r="I310" t="str">
            <v>FT</v>
          </cell>
          <cell r="J310">
            <v>4400831</v>
          </cell>
          <cell r="K310" t="str">
            <v>AS2337</v>
          </cell>
          <cell r="L310">
            <v>1048144</v>
          </cell>
          <cell r="M310" t="str">
            <v>velli008</v>
          </cell>
          <cell r="N310" t="str">
            <v>LE</v>
          </cell>
          <cell r="O310">
            <v>43038</v>
          </cell>
        </row>
        <row r="311">
          <cell r="G311" t="str">
            <v>Joanna Abraham</v>
          </cell>
          <cell r="H311" t="str">
            <v>Michael Ennals</v>
          </cell>
          <cell r="I311" t="str">
            <v>FT</v>
          </cell>
          <cell r="J311">
            <v>4400472</v>
          </cell>
          <cell r="K311" t="str">
            <v>AS2072</v>
          </cell>
          <cell r="L311">
            <v>1031267</v>
          </cell>
          <cell r="M311" t="str">
            <v>jabra014</v>
          </cell>
          <cell r="N311" t="str">
            <v>ATV</v>
          </cell>
          <cell r="O311">
            <v>42977</v>
          </cell>
        </row>
        <row r="312">
          <cell r="G312" t="str">
            <v>Paulo Tripi</v>
          </cell>
          <cell r="H312" t="str">
            <v>Frazer Hutchinson</v>
          </cell>
          <cell r="I312" t="str">
            <v>PT</v>
          </cell>
          <cell r="J312">
            <v>4400186</v>
          </cell>
          <cell r="K312" t="str">
            <v>AS2175</v>
          </cell>
          <cell r="L312">
            <v>1003215</v>
          </cell>
          <cell r="M312" t="str">
            <v>ptrip004</v>
          </cell>
          <cell r="N312" t="str">
            <v>COM</v>
          </cell>
          <cell r="O312">
            <v>42752</v>
          </cell>
        </row>
        <row r="313">
          <cell r="G313" t="str">
            <v>Michael Wilding</v>
          </cell>
          <cell r="H313" t="str">
            <v>Troy Barnaschone</v>
          </cell>
          <cell r="I313" t="str">
            <v>FT</v>
          </cell>
          <cell r="J313">
            <v>4400821</v>
          </cell>
          <cell r="K313" t="str">
            <v>AS2123</v>
          </cell>
          <cell r="L313">
            <v>1009699</v>
          </cell>
          <cell r="M313" t="str">
            <v>mwild004</v>
          </cell>
          <cell r="N313" t="str">
            <v>LE</v>
          </cell>
          <cell r="O313">
            <v>42807</v>
          </cell>
        </row>
        <row r="314">
          <cell r="G314" t="str">
            <v>Cassandra Spry</v>
          </cell>
          <cell r="H314" t="str">
            <v>Frazer Hutchinson</v>
          </cell>
          <cell r="I314" t="str">
            <v>PT</v>
          </cell>
          <cell r="J314">
            <v>4400081</v>
          </cell>
          <cell r="K314" t="str">
            <v>AS2199</v>
          </cell>
          <cell r="L314">
            <v>1026902</v>
          </cell>
          <cell r="M314" t="str">
            <v>cspry001</v>
          </cell>
          <cell r="N314" t="str">
            <v>COM</v>
          </cell>
          <cell r="O314">
            <v>42948</v>
          </cell>
        </row>
        <row r="315">
          <cell r="G315" t="str">
            <v>George Denning</v>
          </cell>
          <cell r="H315" t="str">
            <v>Michael Ennals</v>
          </cell>
          <cell r="I315" t="str">
            <v>FT</v>
          </cell>
          <cell r="J315">
            <v>4400182</v>
          </cell>
          <cell r="K315" t="str">
            <v>AS2002</v>
          </cell>
          <cell r="L315">
            <v>1019787</v>
          </cell>
          <cell r="M315" t="str">
            <v>gdenn008</v>
          </cell>
          <cell r="N315" t="str">
            <v>ATV</v>
          </cell>
          <cell r="O315">
            <v>42891</v>
          </cell>
        </row>
        <row r="316">
          <cell r="G316" t="str">
            <v>Ashley Kennedy</v>
          </cell>
          <cell r="H316" t="str">
            <v>Sean Rowe</v>
          </cell>
          <cell r="I316" t="str">
            <v>PT</v>
          </cell>
          <cell r="J316">
            <v>4408916</v>
          </cell>
          <cell r="K316" t="str">
            <v>AS4067</v>
          </cell>
          <cell r="L316">
            <v>1034374</v>
          </cell>
          <cell r="M316" t="str">
            <v>akenn016</v>
          </cell>
          <cell r="N316" t="str">
            <v>OTH</v>
          </cell>
          <cell r="O316">
            <v>42989</v>
          </cell>
        </row>
        <row r="317">
          <cell r="G317" t="str">
            <v>Dawn Ireland</v>
          </cell>
          <cell r="H317" t="str">
            <v>Frazer Hutchinson</v>
          </cell>
          <cell r="I317" t="str">
            <v>PT</v>
          </cell>
          <cell r="J317">
            <v>4400158</v>
          </cell>
          <cell r="K317" t="str">
            <v>AS2155</v>
          </cell>
          <cell r="L317">
            <v>418642</v>
          </cell>
          <cell r="M317" t="str">
            <v>direl001</v>
          </cell>
          <cell r="N317" t="str">
            <v>ATV</v>
          </cell>
          <cell r="O317">
            <v>42866</v>
          </cell>
        </row>
        <row r="318">
          <cell r="G318" t="str">
            <v>Harry Smith</v>
          </cell>
          <cell r="H318" t="str">
            <v>Andrew Warren</v>
          </cell>
          <cell r="I318" t="str">
            <v>FT</v>
          </cell>
          <cell r="J318">
            <v>4401055</v>
          </cell>
          <cell r="K318" t="str">
            <v>AS2185</v>
          </cell>
          <cell r="L318">
            <v>1045983</v>
          </cell>
          <cell r="M318" t="str">
            <v>hsmit047</v>
          </cell>
          <cell r="N318" t="str">
            <v>ATV</v>
          </cell>
          <cell r="O318">
            <v>43031</v>
          </cell>
        </row>
        <row r="319">
          <cell r="G319" t="str">
            <v>Thomas Ware</v>
          </cell>
          <cell r="H319" t="str">
            <v>Andrew Warren</v>
          </cell>
          <cell r="I319" t="str">
            <v>FT</v>
          </cell>
          <cell r="J319">
            <v>4400470</v>
          </cell>
          <cell r="K319" t="str">
            <v>AS2294</v>
          </cell>
          <cell r="L319">
            <v>1049504</v>
          </cell>
          <cell r="M319" t="str">
            <v>tware003</v>
          </cell>
          <cell r="N319" t="str">
            <v>COM</v>
          </cell>
          <cell r="O319">
            <v>43045</v>
          </cell>
        </row>
        <row r="320">
          <cell r="G320" t="str">
            <v>Dawn Ireland</v>
          </cell>
          <cell r="H320" t="str">
            <v>Frazer Hutchinson</v>
          </cell>
          <cell r="I320" t="str">
            <v>PT</v>
          </cell>
          <cell r="J320">
            <v>4400158</v>
          </cell>
          <cell r="K320" t="str">
            <v>AS2155</v>
          </cell>
          <cell r="L320">
            <v>418642</v>
          </cell>
          <cell r="M320" t="str">
            <v>direl001</v>
          </cell>
          <cell r="N320" t="str">
            <v>ATV</v>
          </cell>
          <cell r="O320">
            <v>42866</v>
          </cell>
        </row>
        <row r="321">
          <cell r="G321" t="str">
            <v>Mitchell Lenton</v>
          </cell>
          <cell r="H321" t="str">
            <v>Mark Davies</v>
          </cell>
          <cell r="I321" t="str">
            <v>FT</v>
          </cell>
          <cell r="J321">
            <v>4400142</v>
          </cell>
          <cell r="K321" t="str">
            <v>AS2281</v>
          </cell>
          <cell r="L321">
            <v>1036177</v>
          </cell>
          <cell r="M321" t="str">
            <v>mlent002</v>
          </cell>
          <cell r="N321" t="str">
            <v>COM</v>
          </cell>
          <cell r="O321">
            <v>42997</v>
          </cell>
        </row>
        <row r="322">
          <cell r="G322" t="str">
            <v>Sheamus Lynch</v>
          </cell>
          <cell r="H322" t="str">
            <v>Sean Rowe</v>
          </cell>
          <cell r="I322" t="str">
            <v>FT</v>
          </cell>
          <cell r="J322">
            <v>4408909</v>
          </cell>
          <cell r="K322" t="str">
            <v>AS4059</v>
          </cell>
          <cell r="L322">
            <v>1034338</v>
          </cell>
          <cell r="M322" t="str">
            <v>slync007</v>
          </cell>
          <cell r="N322" t="str">
            <v>OTH</v>
          </cell>
          <cell r="O322">
            <v>42989</v>
          </cell>
        </row>
        <row r="323">
          <cell r="G323" t="str">
            <v>Holly Scholfield</v>
          </cell>
          <cell r="H323" t="str">
            <v>Troy Barnaschone</v>
          </cell>
          <cell r="I323" t="str">
            <v>FT</v>
          </cell>
          <cell r="J323">
            <v>4400164</v>
          </cell>
          <cell r="K323" t="str">
            <v>AS2151</v>
          </cell>
          <cell r="L323">
            <v>411400</v>
          </cell>
          <cell r="M323" t="str">
            <v>hscho008</v>
          </cell>
          <cell r="N323" t="str">
            <v>CST</v>
          </cell>
          <cell r="O323">
            <v>42240</v>
          </cell>
        </row>
        <row r="324">
          <cell r="G324" t="str">
            <v>Bryan Fernandes</v>
          </cell>
          <cell r="H324" t="str">
            <v>Mark Elliott</v>
          </cell>
          <cell r="I324" t="str">
            <v>PT</v>
          </cell>
          <cell r="J324">
            <v>4400864</v>
          </cell>
          <cell r="K324" t="str">
            <v>AS2298</v>
          </cell>
          <cell r="L324">
            <v>1035977</v>
          </cell>
          <cell r="M324" t="str">
            <v>bfern029</v>
          </cell>
          <cell r="N324" t="str">
            <v>COM</v>
          </cell>
          <cell r="O324">
            <v>42997</v>
          </cell>
        </row>
        <row r="325">
          <cell r="G325" t="str">
            <v>Katie Wilson</v>
          </cell>
          <cell r="H325" t="str">
            <v>Richard Crellin</v>
          </cell>
          <cell r="I325" t="str">
            <v>FT</v>
          </cell>
          <cell r="J325">
            <v>4400870</v>
          </cell>
          <cell r="K325" t="str">
            <v>AS2236</v>
          </cell>
          <cell r="L325">
            <v>1031261</v>
          </cell>
          <cell r="M325" t="str">
            <v>kwils066</v>
          </cell>
          <cell r="N325" t="str">
            <v>COM</v>
          </cell>
          <cell r="O325">
            <v>42977</v>
          </cell>
        </row>
        <row r="326">
          <cell r="G326" t="str">
            <v>Ross Macpherson</v>
          </cell>
          <cell r="H326" t="str">
            <v>Andrew Warren</v>
          </cell>
          <cell r="I326" t="str">
            <v>FT</v>
          </cell>
          <cell r="J326">
            <v>4400199</v>
          </cell>
          <cell r="K326" t="str">
            <v>AS2320</v>
          </cell>
          <cell r="L326">
            <v>1049365</v>
          </cell>
          <cell r="M326" t="str">
            <v>rmacp001</v>
          </cell>
          <cell r="N326" t="str">
            <v>COM</v>
          </cell>
          <cell r="O326">
            <v>43045</v>
          </cell>
        </row>
        <row r="327">
          <cell r="G327" t="str">
            <v>Patrick Holland</v>
          </cell>
          <cell r="H327" t="str">
            <v>Andrew Warren</v>
          </cell>
          <cell r="I327" t="str">
            <v>PT</v>
          </cell>
          <cell r="J327">
            <v>4400083</v>
          </cell>
          <cell r="K327" t="str">
            <v>AS2149</v>
          </cell>
          <cell r="L327">
            <v>1049927</v>
          </cell>
          <cell r="M327" t="str">
            <v>pholl011</v>
          </cell>
          <cell r="N327" t="str">
            <v>COM</v>
          </cell>
          <cell r="O327">
            <v>43045</v>
          </cell>
        </row>
        <row r="328">
          <cell r="G328" t="str">
            <v>Kevin McCarney</v>
          </cell>
          <cell r="H328" t="str">
            <v>Andrew Warren</v>
          </cell>
          <cell r="I328" t="str">
            <v>FT</v>
          </cell>
          <cell r="J328">
            <v>4401060</v>
          </cell>
          <cell r="K328" t="str">
            <v>AS2311</v>
          </cell>
          <cell r="L328">
            <v>1049937</v>
          </cell>
          <cell r="M328" t="str">
            <v>kmcca013</v>
          </cell>
          <cell r="N328" t="str">
            <v>COM</v>
          </cell>
          <cell r="O328">
            <v>43045</v>
          </cell>
        </row>
        <row r="329">
          <cell r="G329" t="str">
            <v>James Hutchinson</v>
          </cell>
          <cell r="H329" t="str">
            <v>Andrew Warren</v>
          </cell>
          <cell r="I329" t="str">
            <v>FT</v>
          </cell>
          <cell r="J329">
            <v>4400170</v>
          </cell>
          <cell r="K329" t="str">
            <v>AS2177</v>
          </cell>
          <cell r="L329">
            <v>1049510</v>
          </cell>
          <cell r="M329" t="str">
            <v>jhutc011</v>
          </cell>
          <cell r="N329" t="str">
            <v>ATV</v>
          </cell>
          <cell r="O329">
            <v>43045</v>
          </cell>
        </row>
        <row r="330">
          <cell r="G330" t="str">
            <v>Holly Scholfield</v>
          </cell>
          <cell r="H330" t="str">
            <v>Troy Barnaschone</v>
          </cell>
          <cell r="I330" t="str">
            <v>FT</v>
          </cell>
          <cell r="J330">
            <v>4400164</v>
          </cell>
          <cell r="K330" t="str">
            <v>AS2151</v>
          </cell>
          <cell r="L330">
            <v>411400</v>
          </cell>
          <cell r="M330" t="str">
            <v>hscho008</v>
          </cell>
          <cell r="N330" t="str">
            <v>CST</v>
          </cell>
          <cell r="O330">
            <v>42240</v>
          </cell>
        </row>
        <row r="331">
          <cell r="G331" t="str">
            <v>Scott Woods</v>
          </cell>
          <cell r="H331" t="str">
            <v>Sean Rowe</v>
          </cell>
          <cell r="I331" t="str">
            <v>PT</v>
          </cell>
          <cell r="J331">
            <v>4408917</v>
          </cell>
          <cell r="K331" t="str">
            <v>AS4068</v>
          </cell>
          <cell r="L331">
            <v>1033458</v>
          </cell>
          <cell r="M331" t="str">
            <v>swood050</v>
          </cell>
          <cell r="N331" t="str">
            <v>OTH</v>
          </cell>
          <cell r="O331">
            <v>42989</v>
          </cell>
        </row>
        <row r="332">
          <cell r="G332" t="str">
            <v>Alice Cartwright</v>
          </cell>
          <cell r="H332" t="str">
            <v>Troy Barnaschone</v>
          </cell>
          <cell r="I332" t="str">
            <v>FT</v>
          </cell>
          <cell r="J332">
            <v>4400059</v>
          </cell>
          <cell r="K332" t="str">
            <v>AS2034</v>
          </cell>
          <cell r="L332">
            <v>408716</v>
          </cell>
          <cell r="M332" t="str">
            <v>acart031</v>
          </cell>
          <cell r="N332" t="str">
            <v>CST</v>
          </cell>
          <cell r="O332">
            <v>42079</v>
          </cell>
        </row>
        <row r="333">
          <cell r="G333" t="str">
            <v>Gareth Heard</v>
          </cell>
          <cell r="H333" t="str">
            <v>Natalie Lubienski</v>
          </cell>
          <cell r="I333" t="str">
            <v>FT</v>
          </cell>
          <cell r="J333">
            <v>4400460</v>
          </cell>
          <cell r="K333" t="str">
            <v>AS2228</v>
          </cell>
          <cell r="L333">
            <v>413846</v>
          </cell>
          <cell r="M333" t="str">
            <v>ghear003</v>
          </cell>
          <cell r="N333" t="str">
            <v>LE</v>
          </cell>
          <cell r="O333">
            <v>42338</v>
          </cell>
        </row>
        <row r="334">
          <cell r="G334" t="str">
            <v>Hajer Al Mohaisen</v>
          </cell>
          <cell r="H334" t="str">
            <v>Frazer Hutchinson</v>
          </cell>
          <cell r="I334" t="str">
            <v>FT</v>
          </cell>
          <cell r="J334">
            <v>4400453</v>
          </cell>
          <cell r="K334" t="str">
            <v>AS2240</v>
          </cell>
          <cell r="L334">
            <v>1046371</v>
          </cell>
          <cell r="M334" t="str">
            <v>halmo002</v>
          </cell>
          <cell r="N334" t="str">
            <v>ATV</v>
          </cell>
          <cell r="O334">
            <v>43031</v>
          </cell>
        </row>
        <row r="335">
          <cell r="G335" t="str">
            <v>Louise Gocher</v>
          </cell>
          <cell r="H335" t="str">
            <v>Andrew Warren</v>
          </cell>
          <cell r="I335" t="str">
            <v>FT</v>
          </cell>
          <cell r="J335">
            <v>4400165</v>
          </cell>
          <cell r="K335" t="str">
            <v>AS2086</v>
          </cell>
          <cell r="L335">
            <v>991721</v>
          </cell>
          <cell r="M335" t="str">
            <v>lgoch001</v>
          </cell>
          <cell r="N335" t="str">
            <v>LE</v>
          </cell>
          <cell r="O335">
            <v>42674</v>
          </cell>
        </row>
        <row r="336">
          <cell r="G336" t="str">
            <v>Aimee Kenshole</v>
          </cell>
          <cell r="H336" t="str">
            <v>Troy Barnaschone</v>
          </cell>
          <cell r="I336" t="str">
            <v>FT</v>
          </cell>
          <cell r="J336">
            <v>4400179</v>
          </cell>
          <cell r="K336" t="str">
            <v>AS2253</v>
          </cell>
          <cell r="L336">
            <v>1008299</v>
          </cell>
          <cell r="M336" t="str">
            <v>akens001</v>
          </cell>
          <cell r="N336" t="str">
            <v>LE</v>
          </cell>
          <cell r="O336">
            <v>42794</v>
          </cell>
        </row>
        <row r="337">
          <cell r="G337" t="str">
            <v>Siobhan Harrington</v>
          </cell>
          <cell r="H337" t="str">
            <v>Andrew Warren</v>
          </cell>
          <cell r="I337" t="str">
            <v>FT</v>
          </cell>
          <cell r="J337">
            <v>4400195</v>
          </cell>
          <cell r="K337" t="str">
            <v>AS2157</v>
          </cell>
          <cell r="L337">
            <v>412452</v>
          </cell>
          <cell r="M337" t="str">
            <v>sharr067</v>
          </cell>
          <cell r="N337" t="str">
            <v>COM</v>
          </cell>
          <cell r="O337">
            <v>42289</v>
          </cell>
        </row>
        <row r="338">
          <cell r="G338" t="str">
            <v>Richard Wevill</v>
          </cell>
          <cell r="H338" t="str">
            <v>Andrew Warren</v>
          </cell>
          <cell r="I338" t="str">
            <v>FT</v>
          </cell>
          <cell r="J338">
            <v>4400175</v>
          </cell>
          <cell r="K338" t="str">
            <v>AS2115</v>
          </cell>
          <cell r="L338">
            <v>1049430</v>
          </cell>
          <cell r="M338" t="str">
            <v>rwevi001</v>
          </cell>
          <cell r="N338" t="str">
            <v>COM</v>
          </cell>
          <cell r="O338">
            <v>43045</v>
          </cell>
        </row>
        <row r="339">
          <cell r="G339" t="str">
            <v>Sheryl Richards</v>
          </cell>
          <cell r="H339" t="str">
            <v>Andrew Warren</v>
          </cell>
          <cell r="I339" t="str">
            <v>PT</v>
          </cell>
          <cell r="J339">
            <v>4400472</v>
          </cell>
          <cell r="K339" t="str">
            <v>AS2348</v>
          </cell>
          <cell r="L339">
            <v>1053272</v>
          </cell>
          <cell r="M339" t="str">
            <v>srich087</v>
          </cell>
          <cell r="N339" t="str">
            <v>ATV</v>
          </cell>
          <cell r="O339">
            <v>43060</v>
          </cell>
        </row>
        <row r="340">
          <cell r="G340" t="str">
            <v>Simon White</v>
          </cell>
          <cell r="H340" t="str">
            <v>Troy Barnaschone</v>
          </cell>
          <cell r="I340" t="str">
            <v>FT</v>
          </cell>
          <cell r="J340">
            <v>4400008</v>
          </cell>
          <cell r="K340" t="str">
            <v>AS2161</v>
          </cell>
          <cell r="L340">
            <v>399611</v>
          </cell>
          <cell r="M340" t="str">
            <v>swhit001</v>
          </cell>
          <cell r="N340" t="str">
            <v>3RD</v>
          </cell>
          <cell r="O340">
            <v>41556</v>
          </cell>
        </row>
        <row r="341">
          <cell r="G341" t="str">
            <v>Sean Morgan</v>
          </cell>
          <cell r="H341" t="str">
            <v>Andrew Warren</v>
          </cell>
          <cell r="I341" t="str">
            <v>FT</v>
          </cell>
          <cell r="J341">
            <v>4400801</v>
          </cell>
          <cell r="K341" t="str">
            <v>AS2297</v>
          </cell>
          <cell r="L341">
            <v>1049424</v>
          </cell>
          <cell r="M341" t="str">
            <v>smorg023</v>
          </cell>
          <cell r="N341" t="str">
            <v>ATV</v>
          </cell>
          <cell r="O341">
            <v>43045</v>
          </cell>
        </row>
        <row r="342">
          <cell r="G342" t="str">
            <v>Saara Ailasmaa</v>
          </cell>
          <cell r="H342" t="str">
            <v>Antonio Follano</v>
          </cell>
          <cell r="I342" t="str">
            <v>FT</v>
          </cell>
          <cell r="J342">
            <v>4400172</v>
          </cell>
          <cell r="K342" t="str">
            <v>AS2324</v>
          </cell>
          <cell r="L342">
            <v>1042262</v>
          </cell>
          <cell r="M342" t="str">
            <v>saila001</v>
          </cell>
          <cell r="N342" t="str">
            <v>ATV</v>
          </cell>
          <cell r="O342">
            <v>43017</v>
          </cell>
        </row>
        <row r="343">
          <cell r="G343" t="str">
            <v>Ralph Hayward</v>
          </cell>
          <cell r="H343" t="str">
            <v>Richard Crellin</v>
          </cell>
          <cell r="I343" t="str">
            <v>FT</v>
          </cell>
          <cell r="J343">
            <v>4400099</v>
          </cell>
          <cell r="K343" t="str">
            <v>AS2129</v>
          </cell>
          <cell r="L343">
            <v>1029874</v>
          </cell>
          <cell r="M343" t="str">
            <v>rhayw004</v>
          </cell>
          <cell r="N343" t="str">
            <v>COM</v>
          </cell>
          <cell r="O343">
            <v>42968</v>
          </cell>
        </row>
        <row r="344">
          <cell r="G344" t="str">
            <v>Abdullah Chakmakchi</v>
          </cell>
          <cell r="H344" t="str">
            <v>Andrew Warren</v>
          </cell>
          <cell r="I344" t="str">
            <v>FT</v>
          </cell>
          <cell r="J344">
            <v>4400086</v>
          </cell>
          <cell r="K344" t="str">
            <v>AS2072</v>
          </cell>
          <cell r="L344">
            <v>1052842</v>
          </cell>
          <cell r="M344" t="str">
            <v>achak013</v>
          </cell>
          <cell r="N344" t="str">
            <v>COM</v>
          </cell>
          <cell r="O344">
            <v>43059</v>
          </cell>
        </row>
        <row r="345">
          <cell r="G345" t="str">
            <v>Kayleigh Rawlins</v>
          </cell>
          <cell r="H345" t="str">
            <v>Kelly Grant</v>
          </cell>
          <cell r="I345" t="str">
            <v>FT</v>
          </cell>
          <cell r="J345">
            <v>4400806</v>
          </cell>
          <cell r="K345" t="str">
            <v>AS2283</v>
          </cell>
          <cell r="L345">
            <v>1044108</v>
          </cell>
          <cell r="M345" t="str">
            <v>krawl004</v>
          </cell>
          <cell r="N345" t="str">
            <v>LE</v>
          </cell>
          <cell r="O345">
            <v>43024</v>
          </cell>
        </row>
        <row r="346">
          <cell r="G346" t="str">
            <v>Janis Mikelsons</v>
          </cell>
          <cell r="H346" t="str">
            <v>Andrew Warren</v>
          </cell>
          <cell r="I346" t="str">
            <v>FT</v>
          </cell>
          <cell r="J346">
            <v>4400088</v>
          </cell>
          <cell r="K346" t="str">
            <v>AS2332</v>
          </cell>
          <cell r="L346">
            <v>1047756</v>
          </cell>
          <cell r="M346" t="str">
            <v>jmike002</v>
          </cell>
          <cell r="N346" t="str">
            <v>COM</v>
          </cell>
          <cell r="O346">
            <v>43038</v>
          </cell>
        </row>
        <row r="347">
          <cell r="G347" t="str">
            <v>Sophie Downer</v>
          </cell>
          <cell r="H347" t="str">
            <v>Mark Davies</v>
          </cell>
          <cell r="I347" t="str">
            <v>FT</v>
          </cell>
          <cell r="J347">
            <v>4400132</v>
          </cell>
          <cell r="K347" t="str">
            <v>AS2179</v>
          </cell>
          <cell r="L347">
            <v>1044105</v>
          </cell>
          <cell r="M347" t="str">
            <v>sdown019</v>
          </cell>
          <cell r="N347" t="str">
            <v>COM</v>
          </cell>
          <cell r="O347">
            <v>43024</v>
          </cell>
        </row>
        <row r="348">
          <cell r="G348" t="str">
            <v>Joanne Briggs</v>
          </cell>
          <cell r="H348" t="str">
            <v>Frazer Hutchinson</v>
          </cell>
          <cell r="I348" t="str">
            <v>PT</v>
          </cell>
          <cell r="J348">
            <v>4400847</v>
          </cell>
          <cell r="K348" t="str">
            <v>AS2244</v>
          </cell>
          <cell r="L348">
            <v>1036192</v>
          </cell>
          <cell r="M348" t="str">
            <v>jbrig015</v>
          </cell>
          <cell r="N348" t="str">
            <v>LE</v>
          </cell>
          <cell r="O348">
            <v>42997</v>
          </cell>
        </row>
        <row r="349">
          <cell r="G349" t="str">
            <v>Adrian-Mihai Lica</v>
          </cell>
          <cell r="H349" t="str">
            <v>Joda Pow</v>
          </cell>
          <cell r="I349" t="str">
            <v>FT</v>
          </cell>
          <cell r="J349">
            <v>4400105</v>
          </cell>
          <cell r="K349" t="str">
            <v>AS2333</v>
          </cell>
          <cell r="L349">
            <v>1048150</v>
          </cell>
          <cell r="M349" t="str">
            <v>alica005</v>
          </cell>
          <cell r="N349" t="str">
            <v>COM</v>
          </cell>
          <cell r="O349">
            <v>43038</v>
          </cell>
        </row>
        <row r="350">
          <cell r="G350" t="str">
            <v>Maya Gordon</v>
          </cell>
          <cell r="H350" t="str">
            <v>Antonio Follano</v>
          </cell>
          <cell r="I350" t="str">
            <v>PT</v>
          </cell>
          <cell r="J350">
            <v>4400185</v>
          </cell>
          <cell r="K350" t="str">
            <v>AS2309</v>
          </cell>
          <cell r="L350">
            <v>1042561</v>
          </cell>
          <cell r="M350" t="str">
            <v>mgord029</v>
          </cell>
          <cell r="N350" t="str">
            <v>ATV</v>
          </cell>
          <cell r="O350">
            <v>43017</v>
          </cell>
        </row>
        <row r="351">
          <cell r="G351" t="str">
            <v>Samantha Johns</v>
          </cell>
          <cell r="H351" t="str">
            <v>Troy Barnaschone</v>
          </cell>
          <cell r="I351" t="str">
            <v>FT</v>
          </cell>
          <cell r="J351">
            <v>4400018</v>
          </cell>
          <cell r="K351" t="str">
            <v>AS2112</v>
          </cell>
          <cell r="L351">
            <v>407753</v>
          </cell>
          <cell r="M351" t="str">
            <v>sjohn184</v>
          </cell>
          <cell r="N351" t="str">
            <v>3RD</v>
          </cell>
          <cell r="O351">
            <v>42457</v>
          </cell>
        </row>
        <row r="352">
          <cell r="G352" t="str">
            <v>Thomas Cregan</v>
          </cell>
          <cell r="H352" t="str">
            <v>Avril Oliver</v>
          </cell>
          <cell r="I352" t="str">
            <v>FT</v>
          </cell>
          <cell r="J352">
            <v>4400028</v>
          </cell>
          <cell r="K352" t="str">
            <v>AS2060</v>
          </cell>
          <cell r="L352">
            <v>407769</v>
          </cell>
          <cell r="M352" t="str">
            <v>tcreg001</v>
          </cell>
          <cell r="N352" t="str">
            <v>CRM</v>
          </cell>
          <cell r="O352">
            <v>41658</v>
          </cell>
        </row>
        <row r="353">
          <cell r="G353" t="str">
            <v>Ladene Jones</v>
          </cell>
          <cell r="H353" t="str">
            <v>Joda Pow</v>
          </cell>
          <cell r="I353" t="str">
            <v>PT</v>
          </cell>
          <cell r="J353">
            <v>4400815</v>
          </cell>
          <cell r="K353" t="str">
            <v>AS2253</v>
          </cell>
          <cell r="L353">
            <v>1036179</v>
          </cell>
          <cell r="M353" t="str">
            <v>ljone102</v>
          </cell>
          <cell r="N353" t="str">
            <v>LE</v>
          </cell>
          <cell r="O353">
            <v>42997</v>
          </cell>
        </row>
        <row r="354">
          <cell r="G354" t="str">
            <v>Amanda Dorrington</v>
          </cell>
          <cell r="H354" t="str">
            <v>Chris Adams</v>
          </cell>
          <cell r="I354" t="str">
            <v>FT</v>
          </cell>
          <cell r="J354">
            <v>4400874</v>
          </cell>
          <cell r="K354" t="str">
            <v>AS2076</v>
          </cell>
          <cell r="L354">
            <v>998576</v>
          </cell>
          <cell r="M354" t="str">
            <v>adorr002</v>
          </cell>
          <cell r="N354" t="str">
            <v>LE</v>
          </cell>
          <cell r="O354">
            <v>42716</v>
          </cell>
        </row>
        <row r="355">
          <cell r="G355" t="str">
            <v>Natalia Lopes de Araujo</v>
          </cell>
          <cell r="H355" t="str">
            <v>Frazer Hutchinson</v>
          </cell>
          <cell r="I355" t="str">
            <v>FT</v>
          </cell>
          <cell r="J355">
            <v>4400174</v>
          </cell>
          <cell r="K355" t="str">
            <v>AS2314</v>
          </cell>
          <cell r="L355">
            <v>1042576</v>
          </cell>
          <cell r="M355" t="str">
            <v>nlope051</v>
          </cell>
          <cell r="N355" t="str">
            <v>ATV</v>
          </cell>
          <cell r="O355">
            <v>43017</v>
          </cell>
        </row>
        <row r="356">
          <cell r="G356" t="str">
            <v>Thomas Ashfield</v>
          </cell>
          <cell r="H356" t="str">
            <v>Andrew Warren</v>
          </cell>
          <cell r="I356" t="str">
            <v>PT</v>
          </cell>
          <cell r="J356">
            <v>4400870</v>
          </cell>
          <cell r="K356" t="str">
            <v>AS2345</v>
          </cell>
          <cell r="L356">
            <v>1053437</v>
          </cell>
          <cell r="M356" t="str">
            <v>tashf004</v>
          </cell>
          <cell r="N356" t="str">
            <v>LE</v>
          </cell>
          <cell r="O356">
            <v>43060</v>
          </cell>
        </row>
        <row r="357">
          <cell r="G357" t="str">
            <v>Edward Treneer-Beresford-Salisbury</v>
          </cell>
          <cell r="H357" t="str">
            <v>Andrew Warren</v>
          </cell>
          <cell r="I357" t="str">
            <v>FT</v>
          </cell>
          <cell r="J357">
            <v>4400801</v>
          </cell>
          <cell r="K357" t="str">
            <v>AS2185</v>
          </cell>
          <cell r="L357">
            <v>1056510</v>
          </cell>
          <cell r="M357" t="str">
            <v>etren003</v>
          </cell>
          <cell r="N357" t="str">
            <v>ATV</v>
          </cell>
          <cell r="O357">
            <v>43073</v>
          </cell>
        </row>
        <row r="358">
          <cell r="G358" t="str">
            <v>Abigail Burton</v>
          </cell>
          <cell r="H358" t="str">
            <v>Andrew Warren</v>
          </cell>
          <cell r="I358" t="str">
            <v>PT</v>
          </cell>
          <cell r="J358">
            <v>4401011</v>
          </cell>
          <cell r="K358" t="str">
            <v>AS2101</v>
          </cell>
          <cell r="L358">
            <v>1045921</v>
          </cell>
          <cell r="M358" t="str">
            <v>aburt014</v>
          </cell>
          <cell r="N358" t="str">
            <v>LE</v>
          </cell>
          <cell r="O358">
            <v>43031</v>
          </cell>
        </row>
        <row r="359">
          <cell r="G359" t="str">
            <v>Keely Passmore</v>
          </cell>
          <cell r="H359" t="str">
            <v>Andrew Warren</v>
          </cell>
          <cell r="I359" t="str">
            <v>PT</v>
          </cell>
          <cell r="J359">
            <v>4401111</v>
          </cell>
          <cell r="K359" t="str">
            <v>AS2341</v>
          </cell>
          <cell r="L359">
            <v>1048134</v>
          </cell>
          <cell r="M359" t="str">
            <v>kpass001</v>
          </cell>
          <cell r="N359" t="str">
            <v>COM</v>
          </cell>
          <cell r="O359">
            <v>43038</v>
          </cell>
        </row>
        <row r="360">
          <cell r="G360" t="str">
            <v>Xena White</v>
          </cell>
          <cell r="H360" t="str">
            <v>Andrew Warren</v>
          </cell>
          <cell r="I360" t="str">
            <v>PT</v>
          </cell>
          <cell r="J360">
            <v>4400501</v>
          </cell>
          <cell r="K360" t="str">
            <v>AS2343</v>
          </cell>
          <cell r="L360">
            <v>1048128</v>
          </cell>
          <cell r="M360" t="str">
            <v>xwhit001</v>
          </cell>
          <cell r="N360" t="str">
            <v>COM</v>
          </cell>
          <cell r="O360">
            <v>43038</v>
          </cell>
        </row>
        <row r="361">
          <cell r="G361" t="str">
            <v>Kaycee Pearman</v>
          </cell>
          <cell r="H361" t="str">
            <v>Frazer Hutchinson</v>
          </cell>
          <cell r="I361" t="str">
            <v>PT</v>
          </cell>
          <cell r="J361">
            <v>4400169</v>
          </cell>
          <cell r="K361" t="str">
            <v>AS2159</v>
          </cell>
          <cell r="L361">
            <v>1002598</v>
          </cell>
          <cell r="M361" t="str">
            <v>kpear017</v>
          </cell>
          <cell r="N361" t="str">
            <v>ATV</v>
          </cell>
          <cell r="O361">
            <v>42866</v>
          </cell>
        </row>
        <row r="362">
          <cell r="G362" t="str">
            <v>Kieran Tanner</v>
          </cell>
          <cell r="H362" t="str">
            <v>Troy Barnaschone</v>
          </cell>
          <cell r="I362" t="str">
            <v>FT</v>
          </cell>
          <cell r="J362">
            <v>4400120</v>
          </cell>
          <cell r="K362" t="str">
            <v>AS2137</v>
          </cell>
          <cell r="L362">
            <v>1003187</v>
          </cell>
          <cell r="M362" t="str">
            <v>ktann002</v>
          </cell>
          <cell r="N362" t="str">
            <v>3RD</v>
          </cell>
          <cell r="O362">
            <v>42752</v>
          </cell>
        </row>
        <row r="363">
          <cell r="G363" t="str">
            <v>Georgia Wilson</v>
          </cell>
          <cell r="H363" t="str">
            <v>Mark Davies</v>
          </cell>
          <cell r="I363" t="str">
            <v>FT</v>
          </cell>
          <cell r="J363">
            <v>4400942</v>
          </cell>
          <cell r="K363" t="str">
            <v>AS2136</v>
          </cell>
          <cell r="L363">
            <v>1044128</v>
          </cell>
          <cell r="M363" t="str">
            <v>gwils022</v>
          </cell>
          <cell r="N363" t="str">
            <v>COM</v>
          </cell>
          <cell r="O363">
            <v>43024</v>
          </cell>
        </row>
        <row r="364">
          <cell r="G364" t="str">
            <v>Daniel Burbage</v>
          </cell>
          <cell r="H364" t="str">
            <v>Antonio Follano</v>
          </cell>
          <cell r="I364" t="str">
            <v>FT</v>
          </cell>
          <cell r="J364">
            <v>4400463</v>
          </cell>
          <cell r="K364" t="str">
            <v>AS2194</v>
          </cell>
          <cell r="L364">
            <v>1031989</v>
          </cell>
          <cell r="M364" t="str">
            <v>dburb002</v>
          </cell>
          <cell r="N364" t="str">
            <v>ATV</v>
          </cell>
          <cell r="O364">
            <v>42982</v>
          </cell>
        </row>
        <row r="365">
          <cell r="G365" t="str">
            <v>Tara Simmons</v>
          </cell>
          <cell r="H365" t="str">
            <v>Joda Pow</v>
          </cell>
          <cell r="I365" t="str">
            <v>FT</v>
          </cell>
          <cell r="J365">
            <v>4400871</v>
          </cell>
          <cell r="K365" t="str">
            <v>AS2312</v>
          </cell>
          <cell r="L365">
            <v>1042147</v>
          </cell>
          <cell r="M365" t="str">
            <v>tsimm018</v>
          </cell>
          <cell r="N365" t="str">
            <v>LE</v>
          </cell>
          <cell r="O365">
            <v>43017</v>
          </cell>
        </row>
        <row r="366">
          <cell r="G366" t="str">
            <v>Scott Davis</v>
          </cell>
          <cell r="H366" t="str">
            <v>Andrew Warren</v>
          </cell>
          <cell r="I366" t="str">
            <v>FT</v>
          </cell>
          <cell r="J366">
            <v>4400864</v>
          </cell>
          <cell r="K366" t="str">
            <v>AS2281</v>
          </cell>
          <cell r="L366">
            <v>1056466</v>
          </cell>
          <cell r="M366" t="str">
            <v>sdavi153</v>
          </cell>
          <cell r="N366" t="str">
            <v>LE</v>
          </cell>
          <cell r="O366">
            <v>43073</v>
          </cell>
        </row>
        <row r="367">
          <cell r="G367" t="str">
            <v>Peter Sacre</v>
          </cell>
          <cell r="H367" t="str">
            <v>Chris Adams</v>
          </cell>
          <cell r="I367" t="str">
            <v>FT</v>
          </cell>
          <cell r="J367">
            <v>4400156</v>
          </cell>
          <cell r="K367" t="str">
            <v>AS2290</v>
          </cell>
          <cell r="L367">
            <v>386072</v>
          </cell>
          <cell r="M367" t="str">
            <v>psacr001</v>
          </cell>
          <cell r="N367" t="str">
            <v>LE</v>
          </cell>
          <cell r="O367">
            <v>42416</v>
          </cell>
        </row>
        <row r="368">
          <cell r="G368" t="str">
            <v>Mike Dixon</v>
          </cell>
          <cell r="H368" t="str">
            <v>Clive Barber</v>
          </cell>
          <cell r="I368" t="str">
            <v>FT</v>
          </cell>
          <cell r="J368">
            <v>4400049</v>
          </cell>
          <cell r="K368" t="str">
            <v>AS2182</v>
          </cell>
          <cell r="L368">
            <v>398313</v>
          </cell>
          <cell r="M368" t="str">
            <v>mdixo006</v>
          </cell>
          <cell r="N368" t="str">
            <v>COM</v>
          </cell>
          <cell r="O368">
            <v>42674</v>
          </cell>
        </row>
        <row r="369">
          <cell r="G369" t="str">
            <v>Isaac Butterfield - Kendall</v>
          </cell>
          <cell r="H369" t="str">
            <v>Mark Davies</v>
          </cell>
          <cell r="I369" t="str">
            <v>PT</v>
          </cell>
          <cell r="J369">
            <v>4400995</v>
          </cell>
          <cell r="K369" t="str">
            <v>AS2310</v>
          </cell>
          <cell r="L369">
            <v>1044097</v>
          </cell>
          <cell r="M369" t="str">
            <v>ibutt001</v>
          </cell>
          <cell r="N369" t="str">
            <v>COM</v>
          </cell>
          <cell r="O369">
            <v>43024</v>
          </cell>
        </row>
        <row r="370">
          <cell r="G370" t="str">
            <v>Kirsty Burridge</v>
          </cell>
          <cell r="H370" t="str">
            <v>Andrew Warren</v>
          </cell>
          <cell r="I370" t="str">
            <v>PT</v>
          </cell>
          <cell r="J370">
            <v>4400175</v>
          </cell>
          <cell r="K370" t="str">
            <v>AS2298</v>
          </cell>
          <cell r="L370">
            <v>1056453</v>
          </cell>
          <cell r="M370" t="str">
            <v>kburr003</v>
          </cell>
          <cell r="N370" t="str">
            <v>ATV</v>
          </cell>
          <cell r="O370">
            <v>43073</v>
          </cell>
        </row>
        <row r="371">
          <cell r="G371" t="str">
            <v>Terri McNeill</v>
          </cell>
          <cell r="H371" t="str">
            <v>Michael Ennals</v>
          </cell>
          <cell r="I371" t="str">
            <v>FT</v>
          </cell>
          <cell r="J371">
            <v>4400524</v>
          </cell>
          <cell r="K371" t="str">
            <v>AS2127</v>
          </cell>
          <cell r="L371">
            <v>419285</v>
          </cell>
          <cell r="M371" t="str">
            <v>tmcne011</v>
          </cell>
          <cell r="N371" t="str">
            <v>ATV</v>
          </cell>
          <cell r="O371">
            <v>42863</v>
          </cell>
        </row>
        <row r="372">
          <cell r="G372" t="str">
            <v>Sophie Westcott</v>
          </cell>
          <cell r="H372" t="str">
            <v>Sean Rowe</v>
          </cell>
          <cell r="I372" t="str">
            <v>FT</v>
          </cell>
          <cell r="J372">
            <v>4408905</v>
          </cell>
          <cell r="K372" t="str">
            <v>AS4055</v>
          </cell>
          <cell r="L372">
            <v>1034347</v>
          </cell>
          <cell r="M372" t="str">
            <v>swest025</v>
          </cell>
          <cell r="N372" t="str">
            <v>OTH</v>
          </cell>
          <cell r="O372">
            <v>42989</v>
          </cell>
        </row>
        <row r="373">
          <cell r="G373" t="str">
            <v>Christopher Harrity</v>
          </cell>
          <cell r="H373" t="str">
            <v>Chris Adams</v>
          </cell>
          <cell r="I373" t="str">
            <v>FT</v>
          </cell>
          <cell r="J373">
            <v>4400807</v>
          </cell>
          <cell r="K373" t="str">
            <v>AS2135</v>
          </cell>
          <cell r="L373">
            <v>1025800</v>
          </cell>
          <cell r="M373" t="str">
            <v>charr089</v>
          </cell>
          <cell r="N373" t="str">
            <v>LE</v>
          </cell>
          <cell r="O373">
            <v>42940</v>
          </cell>
        </row>
        <row r="374">
          <cell r="G374" t="str">
            <v>Elisha Durant</v>
          </cell>
          <cell r="H374" t="str">
            <v>Richard Crellin</v>
          </cell>
          <cell r="I374" t="str">
            <v>FT</v>
          </cell>
          <cell r="J374">
            <v>4400857</v>
          </cell>
          <cell r="K374" t="str">
            <v>AS2107</v>
          </cell>
          <cell r="L374">
            <v>1048137</v>
          </cell>
          <cell r="M374" t="str">
            <v>edura021</v>
          </cell>
          <cell r="N374" t="str">
            <v>LE</v>
          </cell>
          <cell r="O374">
            <v>43038</v>
          </cell>
        </row>
        <row r="375">
          <cell r="G375" t="str">
            <v>Tommy Hooper</v>
          </cell>
          <cell r="H375" t="str">
            <v>Andrew Warren</v>
          </cell>
          <cell r="I375" t="str">
            <v>FT</v>
          </cell>
          <cell r="J375">
            <v>4400088</v>
          </cell>
          <cell r="K375" t="str">
            <v>AS2345</v>
          </cell>
          <cell r="L375">
            <v>1061015</v>
          </cell>
          <cell r="M375" t="str">
            <v>thoop005</v>
          </cell>
          <cell r="N375" t="str">
            <v>PC</v>
          </cell>
          <cell r="O375">
            <v>43108</v>
          </cell>
        </row>
        <row r="376">
          <cell r="G376" t="str">
            <v>Mario Tisi</v>
          </cell>
          <cell r="H376" t="str">
            <v>Antonio Follano</v>
          </cell>
          <cell r="I376" t="str">
            <v>FT</v>
          </cell>
          <cell r="J376">
            <v>4400848</v>
          </cell>
          <cell r="K376" t="str">
            <v>AS2216</v>
          </cell>
          <cell r="L376">
            <v>991850</v>
          </cell>
          <cell r="M376" t="str">
            <v>mtisi001</v>
          </cell>
          <cell r="N376" t="str">
            <v>ATV</v>
          </cell>
          <cell r="O376">
            <v>42676</v>
          </cell>
        </row>
        <row r="377">
          <cell r="G377" t="str">
            <v>Jason Chidgey</v>
          </cell>
          <cell r="H377" t="str">
            <v>Joda Pow</v>
          </cell>
          <cell r="I377" t="str">
            <v>FT</v>
          </cell>
          <cell r="J377">
            <v>4400162</v>
          </cell>
          <cell r="K377" t="str">
            <v>AS2319</v>
          </cell>
          <cell r="L377">
            <v>1049379</v>
          </cell>
          <cell r="M377" t="str">
            <v>jchid001</v>
          </cell>
          <cell r="N377" t="str">
            <v>ATV</v>
          </cell>
          <cell r="O377">
            <v>43045</v>
          </cell>
        </row>
        <row r="378">
          <cell r="G378" t="str">
            <v>Alan Mayne</v>
          </cell>
          <cell r="H378" t="str">
            <v>Andrew Warren</v>
          </cell>
          <cell r="I378" t="str">
            <v>FT</v>
          </cell>
          <cell r="J378">
            <v>4400081</v>
          </cell>
          <cell r="K378" t="str">
            <v>AS2294</v>
          </cell>
          <cell r="L378">
            <v>1056489</v>
          </cell>
          <cell r="M378" t="str">
            <v>amayn005</v>
          </cell>
          <cell r="N378" t="str">
            <v>LE</v>
          </cell>
          <cell r="O378">
            <v>43073</v>
          </cell>
        </row>
        <row r="379">
          <cell r="G379" t="str">
            <v>Jeffery Sanders</v>
          </cell>
          <cell r="H379" t="str">
            <v>Antonio Follano</v>
          </cell>
          <cell r="I379" t="str">
            <v>FT</v>
          </cell>
          <cell r="J379">
            <v>4400197</v>
          </cell>
          <cell r="K379" t="str">
            <v>AS2102</v>
          </cell>
          <cell r="L379">
            <v>1025789</v>
          </cell>
          <cell r="M379" t="str">
            <v>jsand104</v>
          </cell>
          <cell r="N379" t="str">
            <v>ATV</v>
          </cell>
          <cell r="O379">
            <v>42940</v>
          </cell>
        </row>
        <row r="380">
          <cell r="G380" t="str">
            <v>Habib Rahman</v>
          </cell>
          <cell r="H380" t="str">
            <v>Joda Pow</v>
          </cell>
          <cell r="I380" t="str">
            <v>PT</v>
          </cell>
          <cell r="J380">
            <v>4400179</v>
          </cell>
          <cell r="K380" t="str">
            <v>AS2075</v>
          </cell>
          <cell r="L380">
            <v>1049950</v>
          </cell>
          <cell r="M380" t="str">
            <v>hrahm003</v>
          </cell>
          <cell r="N380" t="str">
            <v>COM</v>
          </cell>
          <cell r="O380">
            <v>43045</v>
          </cell>
        </row>
        <row r="381">
          <cell r="G381" t="str">
            <v>Stephen Ackrell</v>
          </cell>
          <cell r="H381" t="str">
            <v>Sean Rowe</v>
          </cell>
          <cell r="I381" t="str">
            <v>FT</v>
          </cell>
          <cell r="J381">
            <v>4408911</v>
          </cell>
          <cell r="K381" t="str">
            <v>AS4061</v>
          </cell>
          <cell r="L381">
            <v>1033472</v>
          </cell>
          <cell r="M381" t="str">
            <v>sackr001</v>
          </cell>
          <cell r="N381" t="str">
            <v>OTH</v>
          </cell>
          <cell r="O381">
            <v>42989</v>
          </cell>
        </row>
        <row r="382">
          <cell r="G382" t="str">
            <v>Kelly Grant</v>
          </cell>
          <cell r="H382" t="str">
            <v>Rowan Marshall</v>
          </cell>
          <cell r="I382" t="str">
            <v>FT</v>
          </cell>
          <cell r="J382">
            <v>4400157</v>
          </cell>
          <cell r="K382" t="str">
            <v>AS2118</v>
          </cell>
          <cell r="L382">
            <v>407760</v>
          </cell>
          <cell r="M382" t="str">
            <v>kgran014</v>
          </cell>
          <cell r="N382" t="str">
            <v>TM/C</v>
          </cell>
          <cell r="O382">
            <v>42023</v>
          </cell>
        </row>
        <row r="383">
          <cell r="G383" t="str">
            <v>Jean-Paul Harris</v>
          </cell>
          <cell r="H383" t="str">
            <v>Mark Davies</v>
          </cell>
          <cell r="I383" t="str">
            <v>FT</v>
          </cell>
          <cell r="J383">
            <v>4400153</v>
          </cell>
          <cell r="K383" t="str">
            <v>AS2004</v>
          </cell>
          <cell r="L383">
            <v>1036191</v>
          </cell>
          <cell r="M383" t="str">
            <v>jharr129</v>
          </cell>
          <cell r="N383" t="str">
            <v>COM</v>
          </cell>
          <cell r="O383">
            <v>42997</v>
          </cell>
        </row>
        <row r="384">
          <cell r="G384" t="str">
            <v>Paul Miller</v>
          </cell>
          <cell r="H384" t="str">
            <v>Andrew Warren</v>
          </cell>
          <cell r="I384" t="str">
            <v>PT</v>
          </cell>
          <cell r="J384">
            <v>4400801</v>
          </cell>
          <cell r="K384" t="str">
            <v>AS2309</v>
          </cell>
          <cell r="L384">
            <v>1060927</v>
          </cell>
          <cell r="M384" t="str">
            <v>pmill024</v>
          </cell>
          <cell r="N384" t="str">
            <v>ATV</v>
          </cell>
          <cell r="O384">
            <v>43108</v>
          </cell>
        </row>
        <row r="385">
          <cell r="G385" t="str">
            <v>Martyn Goodwin-Jones</v>
          </cell>
          <cell r="H385" t="str">
            <v>Joda Pow</v>
          </cell>
          <cell r="I385" t="str">
            <v>FT</v>
          </cell>
          <cell r="J385">
            <v>4400102</v>
          </cell>
          <cell r="K385" t="str">
            <v>AS2138</v>
          </cell>
          <cell r="L385">
            <v>417887</v>
          </cell>
          <cell r="M385" t="str">
            <v>mgood022</v>
          </cell>
          <cell r="N385" t="str">
            <v>LE</v>
          </cell>
          <cell r="O385">
            <v>42660</v>
          </cell>
        </row>
        <row r="386">
          <cell r="G386" t="str">
            <v>Mark Watson</v>
          </cell>
          <cell r="H386" t="str">
            <v>Michael Ennals</v>
          </cell>
          <cell r="I386" t="str">
            <v>FT</v>
          </cell>
          <cell r="J386">
            <v>4400853</v>
          </cell>
          <cell r="K386" t="str">
            <v>AS2212</v>
          </cell>
          <cell r="L386">
            <v>1006287</v>
          </cell>
          <cell r="M386" t="str">
            <v>mwats022</v>
          </cell>
          <cell r="N386" t="str">
            <v>ATV</v>
          </cell>
          <cell r="O386">
            <v>42779</v>
          </cell>
        </row>
        <row r="387">
          <cell r="G387" t="str">
            <v>Mara Pavila</v>
          </cell>
          <cell r="H387" t="str">
            <v>Mark Elliott</v>
          </cell>
          <cell r="I387" t="str">
            <v>PT</v>
          </cell>
          <cell r="J387">
            <v>4400833</v>
          </cell>
          <cell r="K387" t="str">
            <v>AS2278</v>
          </cell>
          <cell r="L387">
            <v>1030069</v>
          </cell>
          <cell r="M387" t="str">
            <v>mpavi003</v>
          </cell>
          <cell r="N387" t="str">
            <v>OTH</v>
          </cell>
          <cell r="O387">
            <v>42969</v>
          </cell>
        </row>
        <row r="388">
          <cell r="G388" t="str">
            <v>Amanda Varnell</v>
          </cell>
          <cell r="H388" t="str">
            <v>Andrew Warren</v>
          </cell>
          <cell r="I388" t="str">
            <v>FT</v>
          </cell>
          <cell r="J388">
            <v>4400086</v>
          </cell>
          <cell r="K388" t="str">
            <v>AS2072</v>
          </cell>
          <cell r="L388">
            <v>1060932</v>
          </cell>
          <cell r="M388" t="str">
            <v>avarn006</v>
          </cell>
          <cell r="N388" t="str">
            <v>PC</v>
          </cell>
          <cell r="O388">
            <v>43108</v>
          </cell>
        </row>
        <row r="389">
          <cell r="G389" t="str">
            <v>Jamie Hammond</v>
          </cell>
          <cell r="H389" t="str">
            <v>Mark Elliott</v>
          </cell>
          <cell r="I389" t="str">
            <v>FT</v>
          </cell>
          <cell r="J389">
            <v>4400809</v>
          </cell>
          <cell r="K389" t="str">
            <v>AS2218</v>
          </cell>
          <cell r="L389">
            <v>1030063</v>
          </cell>
          <cell r="M389" t="str">
            <v>jhamm019</v>
          </cell>
          <cell r="N389" t="str">
            <v>OTH</v>
          </cell>
          <cell r="O389">
            <v>42969</v>
          </cell>
        </row>
        <row r="390">
          <cell r="G390" t="str">
            <v>Christopher Betts</v>
          </cell>
          <cell r="H390" t="str">
            <v>Joda Pow</v>
          </cell>
          <cell r="I390" t="str">
            <v>PT</v>
          </cell>
          <cell r="J390">
            <v>4400170</v>
          </cell>
          <cell r="K390" t="str">
            <v>AS2201</v>
          </cell>
          <cell r="L390">
            <v>1053510</v>
          </cell>
          <cell r="M390" t="str">
            <v>cbett005</v>
          </cell>
          <cell r="N390" t="str">
            <v>ATV</v>
          </cell>
          <cell r="O390">
            <v>43060</v>
          </cell>
        </row>
        <row r="391">
          <cell r="G391" t="str">
            <v>Christopher Gillard</v>
          </cell>
          <cell r="H391" t="str">
            <v>Mark Davies</v>
          </cell>
          <cell r="I391" t="str">
            <v>FT</v>
          </cell>
          <cell r="J391">
            <v>4400135</v>
          </cell>
          <cell r="K391" t="str">
            <v>AS2119</v>
          </cell>
          <cell r="L391">
            <v>417729</v>
          </cell>
          <cell r="M391" t="str">
            <v>cgill024</v>
          </cell>
          <cell r="N391" t="str">
            <v>COM</v>
          </cell>
          <cell r="O391">
            <v>42528</v>
          </cell>
        </row>
        <row r="392">
          <cell r="G392" t="str">
            <v>Scott Foster</v>
          </cell>
          <cell r="H392" t="str">
            <v>Andrew Warren</v>
          </cell>
          <cell r="I392" t="str">
            <v>FT</v>
          </cell>
          <cell r="J392">
            <v>4400147</v>
          </cell>
          <cell r="K392" t="str">
            <v>AS2060</v>
          </cell>
          <cell r="L392">
            <v>1060964</v>
          </cell>
          <cell r="M392" t="str">
            <v>sfost036</v>
          </cell>
          <cell r="N392" t="str">
            <v>PC</v>
          </cell>
          <cell r="O392">
            <v>43108</v>
          </cell>
        </row>
        <row r="393">
          <cell r="G393" t="str">
            <v>Amy Thomas</v>
          </cell>
          <cell r="H393" t="str">
            <v>Andrew Warren</v>
          </cell>
          <cell r="I393" t="str">
            <v>PT</v>
          </cell>
          <cell r="J393">
            <v>4400142</v>
          </cell>
          <cell r="K393" t="str">
            <v>AS2123</v>
          </cell>
          <cell r="L393">
            <v>1056442</v>
          </cell>
          <cell r="M393" t="str">
            <v>athom202</v>
          </cell>
          <cell r="N393" t="str">
            <v>LE</v>
          </cell>
          <cell r="O393">
            <v>43073</v>
          </cell>
        </row>
        <row r="394">
          <cell r="G394" t="str">
            <v>Jake Barnes</v>
          </cell>
          <cell r="H394" t="str">
            <v>Antonio Follano</v>
          </cell>
          <cell r="I394" t="str">
            <v>FT</v>
          </cell>
          <cell r="J394">
            <v>4400520</v>
          </cell>
          <cell r="K394" t="str">
            <v>AS2005</v>
          </cell>
          <cell r="L394">
            <v>1029831</v>
          </cell>
          <cell r="M394" t="str">
            <v>jbarn053</v>
          </cell>
          <cell r="N394" t="str">
            <v>ATV</v>
          </cell>
          <cell r="O394">
            <v>42968</v>
          </cell>
        </row>
        <row r="395">
          <cell r="G395" t="str">
            <v>Adam Paulley</v>
          </cell>
          <cell r="H395" t="str">
            <v>Mark Davies</v>
          </cell>
          <cell r="I395" t="str">
            <v>FT</v>
          </cell>
          <cell r="J395">
            <v>4400872</v>
          </cell>
          <cell r="K395" t="str">
            <v>AS2143</v>
          </cell>
          <cell r="L395">
            <v>1049440</v>
          </cell>
          <cell r="M395" t="str">
            <v>apaul041</v>
          </cell>
          <cell r="N395" t="str">
            <v>COM</v>
          </cell>
          <cell r="O395">
            <v>43045</v>
          </cell>
        </row>
        <row r="396">
          <cell r="G396" t="str">
            <v>Billy Jefferson</v>
          </cell>
          <cell r="H396" t="str">
            <v>Antonio Follano</v>
          </cell>
          <cell r="I396" t="str">
            <v>FT</v>
          </cell>
          <cell r="J396">
            <v>4400193</v>
          </cell>
          <cell r="K396" t="str">
            <v>AS2053</v>
          </cell>
          <cell r="L396">
            <v>1031838</v>
          </cell>
          <cell r="M396" t="str">
            <v>bjeff012</v>
          </cell>
          <cell r="N396" t="str">
            <v>ATV</v>
          </cell>
          <cell r="O396">
            <v>42982</v>
          </cell>
        </row>
        <row r="397">
          <cell r="G397" t="str">
            <v>Shireen Hussain</v>
          </cell>
          <cell r="H397" t="str">
            <v>Chris Adams</v>
          </cell>
          <cell r="I397" t="str">
            <v>FT</v>
          </cell>
          <cell r="J397">
            <v>4400875</v>
          </cell>
          <cell r="K397" t="str">
            <v>AS2327</v>
          </cell>
          <cell r="L397">
            <v>1042238</v>
          </cell>
          <cell r="M397" t="str">
            <v>shuss062</v>
          </cell>
          <cell r="N397" t="str">
            <v>LE</v>
          </cell>
          <cell r="O397">
            <v>43024</v>
          </cell>
        </row>
        <row r="398">
          <cell r="G398" t="str">
            <v>Daniel Foweraker</v>
          </cell>
          <cell r="H398" t="str">
            <v>Andrew Warren</v>
          </cell>
          <cell r="I398" t="str">
            <v>FT</v>
          </cell>
          <cell r="J398">
            <v>4400847</v>
          </cell>
          <cell r="K398" t="str">
            <v>AS2182</v>
          </cell>
          <cell r="L398">
            <v>1064450</v>
          </cell>
          <cell r="M398" t="str">
            <v>dfowe001</v>
          </cell>
          <cell r="N398" t="str">
            <v>LE</v>
          </cell>
          <cell r="O398">
            <v>43122</v>
          </cell>
        </row>
        <row r="399">
          <cell r="G399" t="str">
            <v>David Tejada</v>
          </cell>
          <cell r="H399" t="str">
            <v>Andrew Warren</v>
          </cell>
          <cell r="I399" t="str">
            <v>FT</v>
          </cell>
          <cell r="J399">
            <v>4400815</v>
          </cell>
          <cell r="K399" t="str">
            <v>AS2281</v>
          </cell>
          <cell r="L399">
            <v>1064442</v>
          </cell>
          <cell r="M399" t="str">
            <v>dteja004</v>
          </cell>
          <cell r="N399" t="str">
            <v>LE</v>
          </cell>
          <cell r="O399">
            <v>43122</v>
          </cell>
        </row>
        <row r="400">
          <cell r="G400" t="str">
            <v>Jodi Caldwell</v>
          </cell>
          <cell r="H400" t="str">
            <v>Rachel Hoinville</v>
          </cell>
          <cell r="I400" t="str">
            <v>FT</v>
          </cell>
          <cell r="J400">
            <v>4400908</v>
          </cell>
          <cell r="K400" t="str">
            <v>AS2362</v>
          </cell>
          <cell r="L400">
            <v>1064685</v>
          </cell>
          <cell r="M400" t="str">
            <v>jcald051</v>
          </cell>
          <cell r="N400" t="str">
            <v>EHT Aftersales</v>
          </cell>
          <cell r="O400">
            <v>43122</v>
          </cell>
        </row>
        <row r="401"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</row>
        <row r="402"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</row>
        <row r="403"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</row>
        <row r="404"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</row>
        <row r="405"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</row>
        <row r="406"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</row>
        <row r="407"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</row>
        <row r="408"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</row>
        <row r="409"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</row>
        <row r="410"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</row>
        <row r="411"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</row>
        <row r="412"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</row>
        <row r="413"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</row>
        <row r="414"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</row>
        <row r="415"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</row>
        <row r="416"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</row>
        <row r="417"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</row>
        <row r="418"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</row>
        <row r="419"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</row>
        <row r="420"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</row>
        <row r="421"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</row>
        <row r="422"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</row>
        <row r="423"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</row>
        <row r="424"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</row>
        <row r="425"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</row>
        <row r="426"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</row>
        <row r="427"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</row>
        <row r="428"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</row>
        <row r="429"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</row>
        <row r="430"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</row>
        <row r="431"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</row>
        <row r="432"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</row>
        <row r="433"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</row>
        <row r="434"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</row>
        <row r="435"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</row>
        <row r="436"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</row>
        <row r="437"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</row>
        <row r="438"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</row>
        <row r="439"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  <cell r="O439">
            <v>0</v>
          </cell>
        </row>
        <row r="440"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</row>
        <row r="441"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</row>
        <row r="442"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</row>
        <row r="443"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  <cell r="O443">
            <v>0</v>
          </cell>
        </row>
        <row r="444"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</row>
        <row r="445"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</row>
        <row r="446"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</row>
        <row r="447"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</row>
        <row r="448"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</row>
        <row r="449"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</row>
        <row r="450"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</row>
        <row r="451"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</row>
        <row r="452"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</row>
        <row r="453"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</row>
        <row r="454"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</row>
        <row r="455"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</row>
        <row r="456"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</row>
        <row r="457"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</row>
        <row r="458"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</row>
        <row r="459"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  <cell r="O459">
            <v>0</v>
          </cell>
        </row>
        <row r="460"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</row>
        <row r="461"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</row>
        <row r="462"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</row>
        <row r="463"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</row>
        <row r="464"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</row>
        <row r="465"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</row>
        <row r="466"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</row>
        <row r="467"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</row>
        <row r="468"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</row>
        <row r="469"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  <cell r="O469">
            <v>0</v>
          </cell>
        </row>
        <row r="470"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</row>
        <row r="471"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</row>
        <row r="472"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</row>
        <row r="473"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</row>
        <row r="474"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</row>
        <row r="475"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</row>
        <row r="476"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</row>
        <row r="477"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</row>
        <row r="478"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</row>
        <row r="479"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</row>
        <row r="480"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</row>
        <row r="481"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</row>
        <row r="482"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</row>
        <row r="483"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</row>
        <row r="484"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  <cell r="O484">
            <v>0</v>
          </cell>
        </row>
        <row r="485"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</row>
        <row r="486"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  <cell r="O486">
            <v>0</v>
          </cell>
        </row>
        <row r="487"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</row>
        <row r="488"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</row>
        <row r="489"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</row>
        <row r="490"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</row>
        <row r="491"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</row>
        <row r="492"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</row>
        <row r="493"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</row>
        <row r="494"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</row>
        <row r="495"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  <cell r="O495">
            <v>0</v>
          </cell>
        </row>
        <row r="496"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  <cell r="O496">
            <v>0</v>
          </cell>
        </row>
        <row r="497"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</row>
        <row r="498"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</row>
        <row r="499"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</row>
        <row r="500"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0</v>
          </cell>
        </row>
        <row r="501"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</row>
        <row r="502"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0</v>
          </cell>
        </row>
        <row r="503"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</row>
        <row r="504"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</row>
        <row r="505"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  <cell r="O505">
            <v>0</v>
          </cell>
        </row>
        <row r="506"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0</v>
          </cell>
        </row>
        <row r="507"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</row>
        <row r="508"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</row>
        <row r="509"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0</v>
          </cell>
        </row>
        <row r="510"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</row>
        <row r="511"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</row>
        <row r="512"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0</v>
          </cell>
        </row>
        <row r="513"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</row>
        <row r="514"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</row>
        <row r="515"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0</v>
          </cell>
        </row>
        <row r="516"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</row>
        <row r="517"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0</v>
          </cell>
        </row>
        <row r="518"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</row>
        <row r="519"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0</v>
          </cell>
        </row>
        <row r="520"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  <cell r="O520">
            <v>0</v>
          </cell>
        </row>
        <row r="521"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</row>
        <row r="522"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</row>
        <row r="523"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0</v>
          </cell>
        </row>
        <row r="524"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  <cell r="O524">
            <v>0</v>
          </cell>
        </row>
        <row r="525"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0</v>
          </cell>
        </row>
        <row r="526"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0</v>
          </cell>
        </row>
        <row r="527"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</row>
        <row r="528"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0</v>
          </cell>
        </row>
        <row r="529"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</row>
        <row r="530"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</row>
        <row r="531"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</row>
        <row r="532"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</row>
        <row r="533"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</row>
        <row r="534"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</row>
        <row r="535"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0</v>
          </cell>
        </row>
        <row r="536"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</row>
        <row r="537"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</row>
        <row r="538"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0</v>
          </cell>
        </row>
        <row r="539"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0</v>
          </cell>
        </row>
        <row r="540"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</row>
        <row r="541"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</row>
        <row r="542"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</row>
        <row r="543"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</row>
        <row r="544"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0</v>
          </cell>
        </row>
        <row r="545"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0</v>
          </cell>
        </row>
        <row r="546"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0</v>
          </cell>
        </row>
        <row r="547"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0</v>
          </cell>
        </row>
        <row r="548"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0</v>
          </cell>
        </row>
        <row r="549"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0</v>
          </cell>
        </row>
        <row r="550"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  <cell r="O550">
            <v>0</v>
          </cell>
        </row>
        <row r="551"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0</v>
          </cell>
        </row>
        <row r="552"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  <cell r="O552">
            <v>0</v>
          </cell>
        </row>
        <row r="553"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  <cell r="O553">
            <v>0</v>
          </cell>
        </row>
        <row r="554"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</row>
        <row r="555"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0</v>
          </cell>
        </row>
        <row r="556"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0</v>
          </cell>
        </row>
        <row r="557"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</row>
        <row r="558"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0</v>
          </cell>
        </row>
        <row r="559"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</row>
        <row r="561"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</row>
        <row r="562"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</row>
        <row r="563"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  <cell r="O564">
            <v>0</v>
          </cell>
        </row>
        <row r="565"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0</v>
          </cell>
        </row>
        <row r="566"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  <cell r="O566">
            <v>0</v>
          </cell>
        </row>
        <row r="567"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  <cell r="O567">
            <v>0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</row>
        <row r="569"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  <cell r="O569">
            <v>0</v>
          </cell>
        </row>
        <row r="570"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</row>
        <row r="571"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</row>
        <row r="573"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</row>
        <row r="574"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</row>
        <row r="575"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</row>
        <row r="577"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</row>
        <row r="579"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</row>
        <row r="580"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</row>
        <row r="581"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</row>
        <row r="582"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</row>
        <row r="583"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</row>
        <row r="585"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</row>
        <row r="587"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</row>
        <row r="588"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</row>
        <row r="589"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</row>
        <row r="590"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  <cell r="O590">
            <v>0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</row>
        <row r="592"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0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</row>
        <row r="594"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</row>
        <row r="595"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0</v>
          </cell>
        </row>
        <row r="596"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0</v>
          </cell>
        </row>
        <row r="597"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</row>
        <row r="599"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0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0</v>
          </cell>
        </row>
        <row r="601"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</row>
        <row r="602"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</row>
        <row r="603"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</row>
        <row r="604"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</row>
        <row r="605"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</row>
        <row r="606"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</row>
        <row r="607"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</row>
        <row r="608"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O609">
            <v>0</v>
          </cell>
        </row>
        <row r="610"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</row>
        <row r="612"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</row>
        <row r="613"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0</v>
          </cell>
        </row>
        <row r="614"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</row>
        <row r="615"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  <cell r="O615">
            <v>0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</row>
        <row r="617"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</row>
        <row r="618"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</row>
        <row r="620"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</row>
        <row r="622"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</row>
        <row r="623"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</row>
        <row r="625"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</row>
        <row r="627"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</row>
        <row r="628"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</row>
        <row r="629"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</row>
        <row r="631"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</row>
        <row r="633"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</row>
        <row r="634"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</row>
        <row r="635"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</row>
        <row r="636"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</row>
        <row r="637"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</row>
        <row r="639"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</row>
        <row r="641"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</row>
        <row r="642"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</row>
        <row r="643"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</row>
        <row r="644"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</row>
        <row r="646"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</row>
        <row r="648"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</row>
        <row r="649"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</row>
        <row r="650"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</row>
        <row r="651"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</row>
        <row r="652"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</row>
        <row r="653"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</row>
        <row r="655"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</row>
        <row r="656"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</row>
        <row r="657"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</row>
        <row r="659"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</row>
        <row r="663"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</row>
        <row r="664"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</row>
        <row r="666"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</row>
        <row r="667"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</row>
        <row r="669"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</row>
        <row r="672"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</row>
        <row r="674"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</row>
        <row r="678"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</row>
        <row r="681"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</row>
        <row r="682"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</row>
        <row r="684"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</row>
        <row r="685"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</row>
        <row r="687"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</row>
        <row r="690"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</row>
        <row r="699"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</row>
        <row r="701"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</row>
        <row r="705"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</row>
        <row r="707"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</row>
        <row r="708"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</row>
        <row r="709"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</row>
        <row r="710"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</row>
        <row r="712"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</row>
      </sheetData>
      <sheetData sheetId="3"/>
      <sheetData sheetId="4"/>
      <sheetData sheetId="5"/>
      <sheetData sheetId="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im Hanchet" refreshedDate="43131.576264236108" createdVersion="5" refreshedVersion="5" minRefreshableVersion="3" recordCount="801">
  <cacheSource type="worksheet">
    <worksheetSource ref="A4:AX801" sheet="Agent Details"/>
  </cacheSource>
  <cacheFields count="50">
    <cacheField name="Full Name" numFmtId="0">
      <sharedItems containsBlank="1"/>
    </cacheField>
    <cacheField name="Specialisation" numFmtId="0">
      <sharedItems containsBlank="1"/>
    </cacheField>
    <cacheField name="Status" numFmtId="0">
      <sharedItems containsBlank="1"/>
    </cacheField>
    <cacheField name="Manager " numFmtId="0">
      <sharedItems containsBlank="1"/>
    </cacheField>
    <cacheField name="Start Date" numFmtId="0">
      <sharedItems containsNonDate="0" containsDate="1" containsString="0" containsBlank="1" minDate="2007-08-28T00:00:00" maxDate="2018-01-23T00:00:00"/>
    </cacheField>
    <cacheField name="Refund Policy" numFmtId="0">
      <sharedItems containsBlank="1"/>
    </cacheField>
    <cacheField name="LE Debit Support" numFmtId="0">
      <sharedItems containsBlank="1"/>
    </cacheField>
    <cacheField name="PROCESS 3" numFmtId="0">
      <sharedItems containsBlank="1" count="2">
        <m/>
        <s v="OFF"/>
      </sharedItems>
    </cacheField>
    <cacheField name="PROCESS 4" numFmtId="0">
      <sharedItems containsBlank="1" count="2">
        <m/>
        <s v="OFF"/>
      </sharedItems>
    </cacheField>
    <cacheField name="PROCESS 5" numFmtId="0">
      <sharedItems containsBlank="1" count="2">
        <m/>
        <s v="OFF"/>
      </sharedItems>
    </cacheField>
    <cacheField name="PROCESS 6" numFmtId="0">
      <sharedItems containsBlank="1" count="2">
        <m/>
        <s v="OFF"/>
      </sharedItems>
    </cacheField>
    <cacheField name="PROCESS 7" numFmtId="0">
      <sharedItems containsBlank="1" count="2">
        <m/>
        <s v="OFF"/>
      </sharedItems>
    </cacheField>
    <cacheField name="PROCESS 8" numFmtId="0">
      <sharedItems containsBlank="1" count="2">
        <m/>
        <s v="OFF"/>
      </sharedItems>
    </cacheField>
    <cacheField name="PROCESS 9" numFmtId="0">
      <sharedItems containsBlank="1" count="2">
        <m/>
        <s v="OFF"/>
      </sharedItems>
    </cacheField>
    <cacheField name="PROCESS 10" numFmtId="0">
      <sharedItems containsBlank="1" count="2">
        <m/>
        <s v="OFF"/>
      </sharedItems>
    </cacheField>
    <cacheField name="PROCESS 11" numFmtId="0">
      <sharedItems containsBlank="1" count="2">
        <m/>
        <s v="OFF"/>
      </sharedItems>
    </cacheField>
    <cacheField name="PROCESS 12" numFmtId="0">
      <sharedItems containsBlank="1" count="2">
        <m/>
        <s v="OFF"/>
      </sharedItems>
    </cacheField>
    <cacheField name="PROCESS 13" numFmtId="0">
      <sharedItems containsBlank="1" count="2">
        <m/>
        <s v="OFF"/>
      </sharedItems>
    </cacheField>
    <cacheField name="PROCESS 14" numFmtId="0">
      <sharedItems containsBlank="1" count="2">
        <m/>
        <s v="OFF"/>
      </sharedItems>
    </cacheField>
    <cacheField name="PROCESS 15" numFmtId="0">
      <sharedItems containsBlank="1" count="2">
        <m/>
        <s v="OFF"/>
      </sharedItems>
    </cacheField>
    <cacheField name="PROCESS 16" numFmtId="0">
      <sharedItems containsBlank="1"/>
    </cacheField>
    <cacheField name="PROCESS 17" numFmtId="0">
      <sharedItems containsBlank="1"/>
    </cacheField>
    <cacheField name="PROCESS 18" numFmtId="0">
      <sharedItems containsBlank="1"/>
    </cacheField>
    <cacheField name="PROCESS 19" numFmtId="0">
      <sharedItems containsBlank="1"/>
    </cacheField>
    <cacheField name="PROCESS 20" numFmtId="0">
      <sharedItems containsBlank="1"/>
    </cacheField>
    <cacheField name="PROCESS 21" numFmtId="0">
      <sharedItems containsBlank="1"/>
    </cacheField>
    <cacheField name="PROCESS 22" numFmtId="0">
      <sharedItems containsBlank="1"/>
    </cacheField>
    <cacheField name="PROCESS 23" numFmtId="0">
      <sharedItems containsBlank="1"/>
    </cacheField>
    <cacheField name="PROCESS 24" numFmtId="0">
      <sharedItems containsBlank="1"/>
    </cacheField>
    <cacheField name="PROCESS 25" numFmtId="0">
      <sharedItems containsBlank="1"/>
    </cacheField>
    <cacheField name="PROCESS 26" numFmtId="0">
      <sharedItems containsBlank="1"/>
    </cacheField>
    <cacheField name="PROCESS 27" numFmtId="0">
      <sharedItems containsBlank="1"/>
    </cacheField>
    <cacheField name="PROCESS 28" numFmtId="0">
      <sharedItems containsBlank="1"/>
    </cacheField>
    <cacheField name="PROCESS 29" numFmtId="0">
      <sharedItems containsBlank="1"/>
    </cacheField>
    <cacheField name="PROCESS 30" numFmtId="0">
      <sharedItems containsBlank="1"/>
    </cacheField>
    <cacheField name="PROCESS 31" numFmtId="0">
      <sharedItems containsBlank="1"/>
    </cacheField>
    <cacheField name="PROCESS 32" numFmtId="0">
      <sharedItems containsBlank="1"/>
    </cacheField>
    <cacheField name="PROCESS 33" numFmtId="0">
      <sharedItems containsBlank="1"/>
    </cacheField>
    <cacheField name="PROCESS 34" numFmtId="0">
      <sharedItems containsBlank="1"/>
    </cacheField>
    <cacheField name="PROCESS 35" numFmtId="0">
      <sharedItems containsBlank="1"/>
    </cacheField>
    <cacheField name="PROCESS 36" numFmtId="0">
      <sharedItems containsBlank="1"/>
    </cacheField>
    <cacheField name="PROCESS 37" numFmtId="0">
      <sharedItems containsBlank="1"/>
    </cacheField>
    <cacheField name="PROCESS 38" numFmtId="0">
      <sharedItems containsBlank="1"/>
    </cacheField>
    <cacheField name="PROCESS 39" numFmtId="0">
      <sharedItems containsBlank="1"/>
    </cacheField>
    <cacheField name="PROCESS 40" numFmtId="0">
      <sharedItems containsBlank="1"/>
    </cacheField>
    <cacheField name="PROCESS 41" numFmtId="0">
      <sharedItems containsBlank="1"/>
    </cacheField>
    <cacheField name="PROCESS 42" numFmtId="0">
      <sharedItems containsBlank="1"/>
    </cacheField>
    <cacheField name="PROCESS 43" numFmtId="0">
      <sharedItems containsBlank="1"/>
    </cacheField>
    <cacheField name="PROCESS 44" numFmtId="0">
      <sharedItems containsBlank="1"/>
    </cacheField>
    <cacheField name="PROCESS 45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1">
  <r>
    <s v="Amy Thomas"/>
    <s v="LE"/>
    <s v="Gradbay"/>
    <s v="Andrew Warren"/>
    <d v="2017-12-04T00:00:00"/>
    <s v="LTS"/>
    <s v="LTS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s v="OFF"/>
    <s v="OFF"/>
    <s v="OFF"/>
    <s v="OFF"/>
    <s v="OFF"/>
    <s v="OFF"/>
    <s v="OFF"/>
    <s v="OFF"/>
    <s v="OFF"/>
    <s v="OFF"/>
    <s v="OFF"/>
    <s v="OFF"/>
  </r>
  <r>
    <s v="Anya Moore"/>
    <s v="ATV"/>
    <s v="Gradbay"/>
    <s v="Andrew Warren"/>
    <d v="2017-12-04T00:00:00"/>
    <s v="Complete"/>
    <s v="Complete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s v="OFF"/>
    <s v="OFF"/>
    <s v="OFF"/>
    <s v="OFF"/>
    <s v="OFF"/>
    <s v="OFF"/>
    <s v="OFF"/>
    <s v="OFF"/>
    <s v="OFF"/>
    <s v="OFF"/>
    <s v="OFF"/>
    <s v="OFF"/>
  </r>
  <r>
    <s v="James Eginton"/>
    <s v="COM"/>
    <s v="ACTIVE"/>
    <s v="Andrew Warren"/>
    <d v="2015-07-27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Maya Gordon"/>
    <s v="Leaver"/>
    <s v="Leaver"/>
    <s v="Antonio Follano"/>
    <d v="2017-10-09T00:00:00"/>
    <s v="Not Required"/>
    <s v="OFF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Jemma Sercombe"/>
    <s v="TM/C"/>
    <s v="ACTIVE"/>
    <s v="Andrew Warren"/>
    <d v="2014-10-14T00:00:00"/>
    <s v="not live"/>
    <s v="not liv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Gordon Franks"/>
    <s v="CST"/>
    <s v="ACTIVE"/>
    <s v="Andrew Warren"/>
    <d v="2016-04-12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Candace Penter"/>
    <s v="ATV"/>
    <s v="ACTIVE"/>
    <s v="Andrew Warren"/>
    <d v="2017-02-27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Benjamin Relf"/>
    <s v="LE"/>
    <s v="ACTIVE"/>
    <s v="Andrew Warren"/>
    <d v="2014-09-08T00:00:00"/>
    <s v="not live"/>
    <s v="not live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s v="OFF"/>
    <s v="OFF"/>
    <s v="OFF"/>
    <s v="OFF"/>
    <s v="OFF"/>
    <s v="OFF"/>
    <s v="OFF"/>
    <s v="OFF"/>
    <s v="OFF"/>
    <s v="OFF"/>
    <s v="OFF"/>
    <s v="OFF"/>
  </r>
  <r>
    <s v="Erica Kanoun"/>
    <s v="LE"/>
    <s v="Gradbay"/>
    <s v="Andrew Warren"/>
    <d v="2017-12-04T00:00:00"/>
    <s v="Complete"/>
    <s v="Complete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s v="OFF"/>
    <s v="OFF"/>
    <s v="OFF"/>
    <s v="OFF"/>
    <s v="OFF"/>
    <s v="OFF"/>
    <s v="OFF"/>
    <s v="OFF"/>
    <s v="OFF"/>
    <s v="OFF"/>
    <s v="OFF"/>
    <s v="OFF"/>
  </r>
  <r>
    <s v="Maria Flack"/>
    <s v="LE"/>
    <s v="Gradbay"/>
    <s v="Andrew Warren"/>
    <d v="2017-12-04T00:00:00"/>
    <s v="Complete"/>
    <s v="LTS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s v="OFF"/>
    <s v="OFF"/>
    <s v="OFF"/>
    <s v="OFF"/>
    <s v="OFF"/>
    <s v="OFF"/>
    <s v="OFF"/>
    <s v="OFF"/>
    <s v="OFF"/>
    <s v="OFF"/>
    <s v="OFF"/>
    <s v="OFF"/>
  </r>
  <r>
    <s v="Mark Williams"/>
    <s v="ATV"/>
    <s v="Gradbay"/>
    <s v="Andrew Warren"/>
    <d v="2017-12-04T00:00:00"/>
    <s v="Complete"/>
    <s v="Complete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s v="OFF"/>
    <s v="OFF"/>
    <s v="OFF"/>
    <s v="OFF"/>
    <s v="OFF"/>
    <s v="OFF"/>
    <s v="OFF"/>
    <s v="OFF"/>
    <s v="OFF"/>
    <s v="OFF"/>
    <s v="OFF"/>
    <s v="OFF"/>
  </r>
  <r>
    <s v="Sean James"/>
    <s v="ATV"/>
    <s v="Gradbay"/>
    <s v="Andrew Warren"/>
    <d v="2017-12-04T00:00:00"/>
    <s v="Complete"/>
    <s v="Complete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s v="OFF"/>
    <s v="OFF"/>
    <s v="OFF"/>
    <s v="OFF"/>
    <s v="OFF"/>
    <s v="OFF"/>
    <s v="OFF"/>
    <s v="OFF"/>
    <s v="OFF"/>
    <s v="OFF"/>
    <s v="OFF"/>
    <s v="OFF"/>
  </r>
  <r>
    <s v="Shaun Fry"/>
    <s v="ATV"/>
    <s v="Gradbay"/>
    <s v="Andrew Warren"/>
    <d v="2017-12-04T00:00:00"/>
    <s v="Complete"/>
    <s v="Complete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s v="OFF"/>
    <s v="OFF"/>
    <s v="OFF"/>
    <s v="OFF"/>
    <s v="OFF"/>
    <s v="OFF"/>
    <s v="OFF"/>
    <s v="OFF"/>
    <s v="OFF"/>
    <s v="OFF"/>
    <s v="OFF"/>
    <s v="OFF"/>
  </r>
  <r>
    <s v="Amber Richardson"/>
    <s v="ATV"/>
    <s v="Gradbay"/>
    <s v="Andrew Warren"/>
    <d v="2018-01-08T00:00:00"/>
    <s v="not live"/>
    <s v="not live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s v="OFF"/>
    <s v="OFF"/>
    <s v="OFF"/>
    <s v="OFF"/>
    <s v="OFF"/>
    <s v="OFF"/>
    <s v="OFF"/>
    <s v="OFF"/>
    <s v="OFF"/>
    <s v="OFF"/>
    <s v="OFF"/>
    <s v="OFF"/>
  </r>
  <r>
    <s v="Quratul Ain Ip Sayeeda"/>
    <s v="COM"/>
    <s v="Gradbay"/>
    <s v="Andrew Warren"/>
    <d v="2018-01-08T00:00:00"/>
    <s v="not live"/>
    <s v="not live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s v="OFF"/>
    <s v="OFF"/>
    <s v="OFF"/>
    <s v="OFF"/>
    <s v="OFF"/>
    <s v="OFF"/>
    <s v="OFF"/>
    <s v="OFF"/>
    <s v="OFF"/>
    <s v="OFF"/>
    <s v="OFF"/>
    <s v="OFF"/>
  </r>
  <r>
    <s v="Lia Woodham"/>
    <s v="COM"/>
    <s v="Gradbay"/>
    <s v="Andrew Warren"/>
    <d v="2018-01-08T00:00:00"/>
    <s v="not live"/>
    <s v="not live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s v="OFF"/>
    <s v="OFF"/>
    <s v="OFF"/>
    <s v="OFF"/>
    <s v="OFF"/>
    <s v="OFF"/>
    <s v="OFF"/>
    <s v="OFF"/>
    <s v="OFF"/>
    <s v="OFF"/>
    <s v="OFF"/>
    <s v="OFF"/>
  </r>
  <r>
    <s v="Jake Stephens"/>
    <s v="COM"/>
    <s v="Gradbay"/>
    <s v="Andrew Warren"/>
    <d v="2018-01-08T00:00:00"/>
    <s v="not live"/>
    <s v="not live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s v="OFF"/>
    <s v="OFF"/>
    <s v="OFF"/>
    <s v="OFF"/>
    <s v="OFF"/>
    <s v="OFF"/>
    <s v="OFF"/>
    <s v="OFF"/>
    <s v="OFF"/>
    <s v="OFF"/>
    <s v="OFF"/>
    <s v="OFF"/>
  </r>
  <r>
    <s v="Alexander O'Dea"/>
    <s v="COM"/>
    <s v="Gradbay"/>
    <s v="Andrew Warren"/>
    <d v="2018-01-08T00:00:00"/>
    <s v="not live"/>
    <s v="not live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s v="OFF"/>
    <s v="OFF"/>
    <s v="OFF"/>
    <s v="OFF"/>
    <s v="OFF"/>
    <s v="OFF"/>
    <s v="OFF"/>
    <s v="OFF"/>
    <s v="OFF"/>
    <s v="OFF"/>
    <s v="OFF"/>
    <s v="OFF"/>
  </r>
  <r>
    <s v="Steven Thomas"/>
    <s v="ATV"/>
    <s v="Gradbay"/>
    <s v="Andrew Warren"/>
    <d v="2018-01-08T00:00:00"/>
    <s v="not live"/>
    <s v="not live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s v="OFF"/>
    <s v="OFF"/>
    <s v="OFF"/>
    <s v="OFF"/>
    <s v="OFF"/>
    <s v="OFF"/>
    <s v="OFF"/>
    <s v="OFF"/>
    <s v="OFF"/>
    <s v="OFF"/>
    <s v="OFF"/>
    <s v="OFF"/>
  </r>
  <r>
    <s v="Scott Foster"/>
    <s v="COM"/>
    <s v="Gradbay"/>
    <s v="Andrew Warren"/>
    <d v="2018-01-08T00:00:00"/>
    <s v="not live"/>
    <s v="not live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s v="OFF"/>
    <s v="OFF"/>
    <s v="OFF"/>
    <s v="OFF"/>
    <s v="OFF"/>
    <s v="OFF"/>
    <s v="OFF"/>
    <s v="OFF"/>
    <s v="OFF"/>
    <s v="OFF"/>
    <s v="OFF"/>
    <s v="OFF"/>
  </r>
  <r>
    <s v="Daniel Burbage"/>
    <s v="Leaver"/>
    <s v="Leaver"/>
    <s v="Antonio Follano"/>
    <d v="2017-09-04T00:00:00"/>
    <s v="Not Required"/>
    <s v="OFF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Adam Ellisson"/>
    <s v="COM"/>
    <s v="Gradbay"/>
    <s v="Andrew Warren"/>
    <d v="2018-01-08T00:00:00"/>
    <s v="not live"/>
    <s v="not live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s v="OFF"/>
    <s v="OFF"/>
    <s v="OFF"/>
    <s v="OFF"/>
    <s v="OFF"/>
    <s v="OFF"/>
    <s v="OFF"/>
    <s v="OFF"/>
    <s v="OFF"/>
    <s v="OFF"/>
    <s v="OFF"/>
    <s v="OFF"/>
  </r>
  <r>
    <s v="Bryony Carter"/>
    <s v="ATV"/>
    <s v="Gradbay"/>
    <s v="Andrew Warren"/>
    <d v="2018-01-08T00:00:00"/>
    <s v="not live"/>
    <s v="not live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s v="OFF"/>
    <s v="OFF"/>
    <s v="OFF"/>
    <s v="OFF"/>
    <s v="OFF"/>
    <s v="OFF"/>
    <s v="OFF"/>
    <s v="OFF"/>
    <s v="OFF"/>
    <s v="OFF"/>
    <s v="OFF"/>
    <s v="OFF"/>
  </r>
  <r>
    <s v="Robert Watkins"/>
    <s v="ATV"/>
    <s v="Gradbay"/>
    <s v="Andrew Warren"/>
    <d v="2018-01-08T00:00:00"/>
    <s v="not live"/>
    <s v="not live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s v="OFF"/>
    <s v="OFF"/>
    <s v="OFF"/>
    <s v="OFF"/>
    <s v="OFF"/>
    <s v="OFF"/>
    <s v="OFF"/>
    <s v="OFF"/>
    <s v="OFF"/>
    <s v="OFF"/>
    <s v="OFF"/>
    <s v="OFF"/>
  </r>
  <r>
    <s v="Dougal Ironside-Smith"/>
    <s v="ATV"/>
    <s v="Gradbay"/>
    <s v="Andrew Warren"/>
    <d v="2018-01-08T00:00:00"/>
    <s v="not live"/>
    <s v="not live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s v="OFF"/>
    <s v="OFF"/>
    <s v="OFF"/>
    <s v="OFF"/>
    <s v="OFF"/>
    <s v="OFF"/>
    <s v="OFF"/>
    <s v="OFF"/>
    <s v="OFF"/>
    <s v="OFF"/>
    <s v="OFF"/>
    <s v="OFF"/>
  </r>
  <r>
    <s v="Alfie Phillips"/>
    <s v="ATV"/>
    <s v="Gradbay"/>
    <s v="Andrew Warren"/>
    <d v="2018-01-08T00:00:00"/>
    <s v="not live"/>
    <s v="not live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s v="OFF"/>
    <s v="OFF"/>
    <s v="OFF"/>
    <s v="OFF"/>
    <s v="OFF"/>
    <s v="OFF"/>
    <s v="OFF"/>
    <s v="OFF"/>
    <s v="OFF"/>
    <s v="OFF"/>
    <s v="OFF"/>
    <s v="OFF"/>
  </r>
  <r>
    <s v="Jeffery Sanders"/>
    <s v="Leaver"/>
    <s v="Leaver"/>
    <s v="Antonio Follano"/>
    <d v="2017-07-24T00:00:00"/>
    <s v="Complete"/>
    <s v="OFF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Alistair Macpherson"/>
    <s v="ATV"/>
    <s v="Gradbay"/>
    <s v="Andrew Warren"/>
    <d v="2018-01-08T00:00:00"/>
    <s v="not live"/>
    <s v="not live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aniel Foster"/>
    <s v="COM"/>
    <s v="Gradbay"/>
    <s v="Andrew Warren"/>
    <d v="2018-01-22T00:00:00"/>
    <s v="not live"/>
    <s v="not live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Luke Desborough"/>
    <s v="COM"/>
    <s v="Gradbay"/>
    <s v="Andrew Warren"/>
    <d v="2018-01-22T00:00:00"/>
    <s v="not live"/>
    <s v="not live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chel Daniels"/>
    <s v="LE"/>
    <s v="Gradbay"/>
    <s v="Andrew Warren"/>
    <d v="2018-01-22T00:00:00"/>
    <s v="not live"/>
    <s v="not live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Fletcher Wilkinson"/>
    <s v="LE"/>
    <s v="Gradbay"/>
    <s v="Andrew Warren"/>
    <d v="2018-01-22T00:00:00"/>
    <s v="not live"/>
    <s v="not live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olly Perrett"/>
    <s v="LE"/>
    <s v="Gradbay"/>
    <s v="Andrew Warren"/>
    <d v="2018-01-22T00:00:00"/>
    <s v="not live"/>
    <s v="not live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aniel Jessop"/>
    <s v="LE"/>
    <s v="Gradbay"/>
    <s v="Andrew Warren"/>
    <d v="2018-01-22T00:00:00"/>
    <s v="not live"/>
    <s v="not live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avid Matthews"/>
    <s v="LE"/>
    <s v="Gradbay"/>
    <s v="Andrew Warren"/>
    <d v="2018-01-22T00:00:00"/>
    <s v="not live"/>
    <s v="not live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aniel Foweraker"/>
    <s v="LE"/>
    <s v="Gradbay"/>
    <s v="Andrew Warren"/>
    <d v="2018-01-22T00:00:00"/>
    <s v="not live"/>
    <s v="not live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icholas Andrews"/>
    <s v="COM"/>
    <s v="Gradbay"/>
    <s v="Andrew Warren"/>
    <d v="2018-01-22T00:00:00"/>
    <s v="not live"/>
    <s v="not live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Scott Mitchell"/>
    <s v="LE"/>
    <s v="Gradbay"/>
    <s v="Andrew Warren"/>
    <d v="2018-01-22T00:00:00"/>
    <s v="not live"/>
    <s v="not live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Liberty Carter"/>
    <s v="COM"/>
    <s v="Gradbay"/>
    <s v="Andrew Warren"/>
    <d v="2018-01-22T00:00:00"/>
    <s v="not live"/>
    <s v="not live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aven Caton"/>
    <s v="COM"/>
    <s v="Gradbay"/>
    <s v="Andrew Warren"/>
    <d v="2018-01-22T00:00:00"/>
    <s v="not live"/>
    <s v="not live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Benjamin Judd"/>
    <s v="COM"/>
    <s v="Gradbay"/>
    <s v="Andrew Warren"/>
    <d v="2018-01-22T00:00:00"/>
    <s v="not live"/>
    <s v="not live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Cordula-Isabelle"/>
    <s v="COM"/>
    <s v="Gradbay"/>
    <s v="Andrew Warren"/>
    <d v="2018-01-22T00:00:00"/>
    <s v="not live"/>
    <s v="not live"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evon Scannel"/>
    <s v="LE"/>
    <s v="Gradbay"/>
    <s v="Andrew Warren"/>
    <d v="2018-01-22T00:00:00"/>
    <s v="not live"/>
    <s v="not liv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Ashley Hooper"/>
    <s v="ATV"/>
    <s v="ACTIVE"/>
    <s v="Antonio Follano"/>
    <d v="2017-06-05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Billy Jefferson"/>
    <s v="ATV"/>
    <s v="ACTIVE"/>
    <s v="Antonio Follano"/>
    <d v="2017-09-04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Mario Tisi"/>
    <s v="Leaver"/>
    <s v="Leaver"/>
    <s v="Antonio Follano"/>
    <d v="2016-11-02T00:00:00"/>
    <s v="Not Required"/>
    <s v="OFF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Bradley JR Taylor"/>
    <s v="ATV"/>
    <s v="ACTIVE"/>
    <s v="Antonio Follano"/>
    <d v="2017-03-13T00:00:00"/>
    <s v="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Carren Northey"/>
    <s v="ATV"/>
    <s v="ACTIVE"/>
    <s v="Antonio Follano"/>
    <d v="2017-10-23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Charlie Lister"/>
    <s v="ATV"/>
    <s v="ACTIVE"/>
    <s v="Antonio Follano"/>
    <d v="2015-11-16T00:00:00"/>
    <s v="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David Palmer"/>
    <s v="ATV"/>
    <s v="ACTIVE"/>
    <s v="Antonio Follano"/>
    <d v="2017-06-05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Jake Barnes"/>
    <s v="ATV"/>
    <s v="ACTIVE"/>
    <s v="Antonio Follano"/>
    <d v="2017-08-21T00:00:00"/>
    <s v="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Kyle Shaw"/>
    <s v="ATV"/>
    <s v="ACTIVE"/>
    <s v="Antonio Follano"/>
    <d v="2017-10-23T00:00:00"/>
    <s v="In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Lucy Hunt"/>
    <s v="ATV"/>
    <s v="ACTIVE"/>
    <s v="Antonio Follano"/>
    <d v="2017-06-05T00:00:00"/>
    <s v="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Natasha Batorijs"/>
    <s v="ATV"/>
    <s v="ACTIVE"/>
    <s v="Antonio Follano"/>
    <d v="2017-10-23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Nicholas Constable"/>
    <s v="ATV"/>
    <s v="ACTIVE"/>
    <s v="Antonio Follano"/>
    <d v="2017-09-04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Peter Wreford"/>
    <s v="ATV"/>
    <s v="ACTIVE"/>
    <s v="Antonio Follano"/>
    <d v="2015-07-27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Rachel Ekstein-Walker"/>
    <s v="ATV"/>
    <s v="ACTIVE"/>
    <s v="Antonio Follano"/>
    <d v="2017-10-09T00:00:00"/>
    <s v="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Senan Graham"/>
    <s v="ATV"/>
    <s v="ACTIVE"/>
    <s v="Antonio Follano"/>
    <d v="2017-10-09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Tayo Odubore"/>
    <s v="ATV"/>
    <s v="ACTIVE"/>
    <s v="Antonio Follano"/>
    <d v="2017-10-09T00:00:00"/>
    <s v="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Tristan Watkin"/>
    <s v="CRM"/>
    <s v="ACTIVE"/>
    <s v="Avril Oliver"/>
    <d v="2013-12-17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Claire Adkins"/>
    <s v="CRM"/>
    <s v="ACTIVE"/>
    <s v="Avril Oliver"/>
    <d v="2011-09-05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Luke Davey"/>
    <s v="CRM"/>
    <s v="ACTIVE"/>
    <s v="Avril Oliver"/>
    <d v="2011-10-24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Steve Gibbard"/>
    <s v="CRM"/>
    <s v="ACTIVE"/>
    <s v="Avril Oliver"/>
    <d v="2012-08-2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Terry Chapman"/>
    <s v="CRM"/>
    <s v="ACTIVE"/>
    <s v="Avril Oliver"/>
    <d v="2013-04-08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Thomas Cregan"/>
    <s v="Leaver"/>
    <s v="Leaver"/>
    <s v="Avril Oliver"/>
    <d v="2014-01-19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Daniel Sivertsen"/>
    <s v="CRM"/>
    <s v="ACTIVE"/>
    <s v="Avril Oliver"/>
    <d v="2015-03-16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Andrew Martin"/>
    <s v="CRM"/>
    <s v="ACTIVE"/>
    <s v="Avril Oliver"/>
    <d v="2015-04-13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Henry Gorick"/>
    <s v="CRM"/>
    <s v="ACTIVE"/>
    <s v="Avril Oliver"/>
    <d v="2015-08-24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David Hosker"/>
    <s v="CRM"/>
    <s v="ACTIVE"/>
    <s v="Avril Oliver"/>
    <d v="2016-09-26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William Fell"/>
    <s v="CRM"/>
    <s v="ACTIVE"/>
    <s v="Avril Oliver"/>
    <d v="2017-03-29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Bevis Bowles Bray"/>
    <s v="CST"/>
    <s v="ACTIVE"/>
    <s v="Avril Oliver"/>
    <d v="2016-07-04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David Hitching"/>
    <s v="CRM"/>
    <s v="ACTIVE"/>
    <s v="Avril Oliver"/>
    <d v="2015-03-16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Harry Connell-Payne"/>
    <s v="CRM"/>
    <s v="ACTIVE"/>
    <s v="Avril Oliver"/>
    <d v="2015-04-13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Christopher Harrity"/>
    <s v="Leaver"/>
    <s v="Leaver"/>
    <s v="Chris Adams"/>
    <d v="2017-07-24T00:00:00"/>
    <s v="Incomplete"/>
    <s v="OFF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Amanda Dorrington"/>
    <s v="Leaver"/>
    <s v="Leaver"/>
    <s v="Chris Adams"/>
    <d v="2016-12-12T00:00:00"/>
    <s v="Incomplete"/>
    <s v="OFF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Stephen Coombes"/>
    <s v="CRM"/>
    <s v="ACTIVE"/>
    <s v="Avril Oliver"/>
    <d v="2010-07-12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Dawn Charters"/>
    <s v="CRM"/>
    <s v="ACTIVE"/>
    <s v="Avril Oliver"/>
    <d v="2017-08-2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Ben Hedworth"/>
    <s v="CRM"/>
    <s v="ACTIVE"/>
    <s v="Avril Oliver"/>
    <d v="2017-03-2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Shannon Whitlock"/>
    <s v="CRM"/>
    <s v="ACTIVE"/>
    <s v="Avril Oliver"/>
    <d v="2017-09-04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Shireen Hussain"/>
    <s v="LE"/>
    <s v="ACTIVE"/>
    <s v="Joda Pow"/>
    <d v="2017-10-16T00:00:00"/>
    <s v="LTS"/>
    <s v="LTS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Joanne Place"/>
    <s v="LE"/>
    <s v="ACTIVE"/>
    <s v="Chris Adams"/>
    <d v="2017-10-3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Amy Batchelor"/>
    <s v="LE"/>
    <s v="ACTIVE"/>
    <s v="Chris Adams"/>
    <d v="2017-10-23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Georgia Gaffney"/>
    <s v="LE"/>
    <s v="ACTIVE"/>
    <s v="Chris Adams"/>
    <d v="2017-10-23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Peter Sacre"/>
    <s v="Leaver"/>
    <s v="Leaver"/>
    <s v="Chris Adams"/>
    <d v="2016-02-16T00:00:00"/>
    <s v="In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Martin Hastings"/>
    <s v="LE"/>
    <s v="ACTIVE"/>
    <s v="Chris Adams"/>
    <d v="2017-10-23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Chris Coughlan"/>
    <s v="LE"/>
    <s v="ACTIVE"/>
    <s v="Chris Adams"/>
    <d v="2017-10-09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Dany Warren"/>
    <s v="LE"/>
    <s v="ACTIVE"/>
    <s v="Chris Adams"/>
    <d v="2017-10-09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Zac Newsome"/>
    <s v="LE"/>
    <s v="ACTIVE"/>
    <s v="Chris Adams"/>
    <d v="2017-10-09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Richard Ireland"/>
    <s v="LE"/>
    <s v="ACTIVE"/>
    <s v="Chris Adams"/>
    <d v="2017-07-24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David Marsh"/>
    <s v="LE"/>
    <s v="ACTIVE"/>
    <s v="Chris Adams"/>
    <d v="2015-07-06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David Parkhouse"/>
    <s v="LE"/>
    <s v="ACTIVE"/>
    <s v="Chris Adams"/>
    <d v="2016-09-19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James Hamilton"/>
    <s v="LE"/>
    <s v="ACTIVE"/>
    <s v="Chris Adams"/>
    <d v="2016-10-1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Karolina Kmita"/>
    <s v="LE"/>
    <s v="ACTIVE"/>
    <s v="Chris Adams"/>
    <d v="2017-01-3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Kim Cheung"/>
    <s v="LE"/>
    <s v="ACTIVE"/>
    <s v="Chris Adams"/>
    <d v="2014-12-0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Leslie Naden"/>
    <s v="LE"/>
    <s v="ACTIVE"/>
    <s v="Chris Adams"/>
    <d v="2013-05-2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Mark Challenger"/>
    <s v="LE"/>
    <s v="ACTIVE"/>
    <s v="Chris Adams"/>
    <d v="2010-08-09T00:00:00"/>
    <s v="LTS"/>
    <s v="LTS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Oliver Cox"/>
    <s v="LE"/>
    <s v="ACTIVE"/>
    <s v="Chris Adams"/>
    <d v="2015-11-02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Fiona Reid"/>
    <s v="LE"/>
    <s v="ACTIVE"/>
    <s v="Chris Adams"/>
    <d v="2017-09-19T00:00:00"/>
    <s v="LTS"/>
    <s v="LTS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Kaycee Pearman"/>
    <s v="Leaver"/>
    <s v="Leaver"/>
    <s v="Frazer Hutchinson"/>
    <d v="2017-05-11T00:00:00"/>
    <s v="Not Required"/>
    <s v="OFF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Tom Bridgman"/>
    <s v="LE"/>
    <s v="ACTIVE"/>
    <s v="Chris Adams"/>
    <d v="2017-09-19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Michelle Vickery"/>
    <s v="LE"/>
    <s v="ACTIVE"/>
    <s v="Chris Adams"/>
    <d v="2017-10-23T00:00:00"/>
    <s v="Holiday 2wk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Natalia Lopes de Araujo"/>
    <s v="Leaver"/>
    <s v="Leaver"/>
    <s v="Frazer Hutchinson"/>
    <d v="2017-10-09T00:00:00"/>
    <s v="Not Required"/>
    <s v="OFF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Jazmin Hoe"/>
    <s v="COM"/>
    <s v="Gradbay"/>
    <s v="Frazer Hutchinson"/>
    <d v="2017-10-3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Bradley AJ Taylor"/>
    <s v="ATV"/>
    <s v="DevBay"/>
    <s v="Frazer Hutchinson"/>
    <d v="2017-10-23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Luke Wallwork"/>
    <s v="ATV"/>
    <s v="ACTIVE"/>
    <s v="Frazer Hutchinson"/>
    <d v="2015-09-2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Benjamin Holdman"/>
    <s v="ATV"/>
    <s v="ACTIVE"/>
    <s v="Frazer Hutchinson"/>
    <d v="2017-08-3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William Legg"/>
    <s v="ATV"/>
    <s v="ACTIVE"/>
    <s v="Frazer Hutchinson"/>
    <d v="2017-08-3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Christopher Summerhayes"/>
    <s v="ATV"/>
    <s v="ACTIVE"/>
    <s v="Frazer Hutchinson"/>
    <d v="2017-05-1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Joshua Sims"/>
    <s v="ATV"/>
    <s v="DevBay"/>
    <s v="Frazer Hutchinson"/>
    <d v="2017-10-09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Kathleen Hunter"/>
    <s v="ATV"/>
    <s v="ACTIVE"/>
    <s v="Frazer Hutchinson"/>
    <d v="2017-05-1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Mrinalini Mustafee"/>
    <s v="LE"/>
    <s v="DevBay"/>
    <s v="Frazer Hutchinson"/>
    <d v="2017-10-09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Josh Burnett"/>
    <s v="ATV"/>
    <s v="ACTIVE"/>
    <s v="Frazer Hutchinson"/>
    <d v="2017-05-1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Mara Pavila"/>
    <s v="Leaver"/>
    <s v="Leaver"/>
    <s v="Mark Elliott"/>
    <d v="2017-08-22T00:00:00"/>
    <s v="Complete"/>
    <s v="Not Required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Patrice Jackson"/>
    <s v="LE"/>
    <s v="DevBay"/>
    <s v="Frazer Hutchinson"/>
    <d v="2017-10-09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Joanne Briggs"/>
    <s v="Leaver"/>
    <s v="Leaver"/>
    <s v="Frazer Hutchinson"/>
    <d v="2017-09-19T00:00:00"/>
    <s v="Not Required"/>
    <s v="OFF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Hayley Shuck"/>
    <s v="COM"/>
    <s v="ACTIVE"/>
    <s v="Frazer Hutchinson"/>
    <d v="2017-04-26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Christina Clevinger"/>
    <s v="LE"/>
    <s v="ACTIVE"/>
    <s v="Frazer Hutchinson"/>
    <d v="2015-11-02T00:00:00"/>
    <s v="Holiday 2wk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Karen Cattigan"/>
    <s v="LE"/>
    <s v="ACTIVE"/>
    <s v="Frazer Hutchinson"/>
    <d v="2012-06-1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Christopher Russell"/>
    <s v="ATV"/>
    <s v="ACTIVE"/>
    <s v="Frazer Hutchinson"/>
    <d v="2013-11-04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William Williams"/>
    <s v="ATV"/>
    <s v="ACTIVE"/>
    <s v="Frazer Hutchinson"/>
    <d v="2011-02-14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Katie Kingdom"/>
    <s v="ATV"/>
    <s v="ACTIVE"/>
    <s v="Frazer Hutchinson"/>
    <d v="2017-08-0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Michelle Bartlett"/>
    <s v="LE"/>
    <s v="ACTIVE"/>
    <s v="Frazer Hutchinson"/>
    <d v="2017-09-19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Thomas Perkins"/>
    <s v="ATV"/>
    <s v="ACTIVE"/>
    <s v="Frazer Hutchinson"/>
    <d v="2017-10-09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Daniel Haynes"/>
    <s v="LE"/>
    <s v="ACTIVE"/>
    <s v="Frazer Hutchinson"/>
    <d v="2017-09-19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Ashley Laycock"/>
    <s v="COM"/>
    <s v="DevBay"/>
    <s v="Joda Pow"/>
    <d v="2017-11-2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Thomas Garden"/>
    <s v="LE"/>
    <s v="DevBay"/>
    <s v="Joda Pow"/>
    <d v="2017-11-2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Charlotte Collett"/>
    <s v="ATV"/>
    <s v="DevBay"/>
    <s v="Joda Pow"/>
    <d v="2017-11-2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Paul Eaton"/>
    <s v="ATV"/>
    <s v="DevBay"/>
    <s v="Joda Pow"/>
    <d v="2017-11-2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Benjamin Hunt-Wright"/>
    <s v="ATV"/>
    <s v="DevBay"/>
    <s v="Joda Pow"/>
    <d v="2017-11-2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Benjamin Champion"/>
    <s v="ATV"/>
    <s v="DevBay"/>
    <s v="Joda Pow"/>
    <d v="2017-11-2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Christopher Betts"/>
    <s v="Leaver"/>
    <s v="DevBay"/>
    <s v="Joda Pow"/>
    <d v="2017-11-2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Ella Baker Briggs"/>
    <s v="LE"/>
    <s v="DevBay"/>
    <s v="Joda Pow"/>
    <d v="2017-11-2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Grace Hill"/>
    <s v="ATV"/>
    <s v="DevBay"/>
    <s v="Joda Pow"/>
    <d v="2017-11-21T00:00:00"/>
    <s v="Complete"/>
    <s v="LTS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Georgia Wilson"/>
    <s v="Leaver"/>
    <s v="Leaver"/>
    <s v="Mark Davies"/>
    <d v="2017-10-16T00:00:00"/>
    <m/>
    <s v="OFF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Isaac Butterfield - Kendall"/>
    <s v="Leaver"/>
    <s v="Leaver"/>
    <s v="Mark Davies"/>
    <d v="2017-10-16T00:00:00"/>
    <m/>
    <s v="OFF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Oliver Stapley"/>
    <s v="LE"/>
    <s v="DevBay"/>
    <s v="Joda Pow"/>
    <d v="2017-11-2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Robin Sagar"/>
    <s v="LE"/>
    <s v="DevBay"/>
    <s v="Joda Pow"/>
    <d v="2017-11-2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Jonathan Plumbley-Jones"/>
    <s v="ATV"/>
    <s v="DevBay"/>
    <s v="Joda Pow"/>
    <d v="2017-11-2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Gemma Halliwell"/>
    <s v="LE"/>
    <s v="DevBay"/>
    <s v="Joda Pow"/>
    <d v="2017-11-2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Deena Sebastian"/>
    <s v="LE"/>
    <s v="DevBay"/>
    <s v="Joda Pow"/>
    <d v="2017-11-2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Nathaniel Goss"/>
    <s v="COM"/>
    <s v="DevBay"/>
    <s v="Joda Pow"/>
    <d v="2017-11-2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Heather Russell"/>
    <s v="LE"/>
    <s v="DevBay"/>
    <s v="Joda Pow"/>
    <d v="2017-11-2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Jake Way"/>
    <s v="COM"/>
    <s v="DevBay"/>
    <s v="Joda Pow"/>
    <d v="2017-11-20T00:00:00"/>
    <s v="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Miguel Torrellas"/>
    <s v="COM"/>
    <s v="DevBay"/>
    <s v="Joda Pow"/>
    <d v="2017-11-2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Megan Ursini"/>
    <s v="COM"/>
    <s v="DevBay"/>
    <s v="Joda Pow"/>
    <d v="2017-11-2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Elizabeth Lomas"/>
    <s v="LE"/>
    <s v="DevBay"/>
    <s v="Joda Pow"/>
    <d v="2017-11-20T00:00:00"/>
    <s v="LTS"/>
    <s v="LTS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Connor Churchill"/>
    <s v="COM"/>
    <s v="DevBay"/>
    <s v="Joda Pow"/>
    <d v="2017-11-2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Joni Terry"/>
    <s v="LE"/>
    <s v="ACTIVE"/>
    <s v="David Hitching"/>
    <d v="2017-10-16T00:00:00"/>
    <s v="In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Zachariah Cross"/>
    <s v="COM"/>
    <s v="ACTIVE"/>
    <s v="Richard Crellin"/>
    <d v="2017-10-3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Marc Nicholson"/>
    <s v="COM"/>
    <s v="ACTIVE"/>
    <s v="Richard Crellin"/>
    <d v="2017-10-3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Jessica Wilson"/>
    <s v="LE"/>
    <s v="ACTIVE"/>
    <s v="David Hitching"/>
    <d v="2017-10-3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Adam Paulley"/>
    <s v="COM"/>
    <s v="ACTIVE"/>
    <s v="Mark Davies"/>
    <d v="2017-11-06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Chloe Thipthorpe"/>
    <s v="ATV"/>
    <s v="ACTIVE"/>
    <s v="Antonio Follano"/>
    <d v="2017-11-06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Leighe Hall"/>
    <s v="COM"/>
    <s v="ACTIVE"/>
    <s v="Mark Elliott"/>
    <d v="2017-11-06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Joseph Brooks"/>
    <s v="ATV"/>
    <s v="ACTIVE"/>
    <s v="Antonio Follano"/>
    <d v="2017-11-06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Daniel Winstone"/>
    <s v="COM"/>
    <s v="ACTIVE"/>
    <s v="Mark Davies"/>
    <d v="2017-11-06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Siobhan Cannon"/>
    <s v="LE"/>
    <s v="ACTIVE"/>
    <s v="David Hitching"/>
    <d v="2017-08-08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Matthew Coles"/>
    <s v="LE"/>
    <s v="ACTIVE"/>
    <s v="David Hitching"/>
    <d v="2017-08-08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Helen Gaston"/>
    <s v="LE"/>
    <s v="ACTIVE"/>
    <s v="David Hitching"/>
    <d v="2017-04-1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Faye Wright"/>
    <s v="LE"/>
    <s v="ACTIVE"/>
    <s v="David Hitching"/>
    <d v="2017-03-13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Johnathan Howard"/>
    <s v="LE"/>
    <s v="ACTIVE"/>
    <s v="David Hitching"/>
    <d v="2015-06-0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Paul Diamond"/>
    <s v="LE"/>
    <s v="ACTIVE"/>
    <s v="David Hitching"/>
    <d v="2016-10-3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Kayleigh Rawlins"/>
    <s v="Leaver"/>
    <s v="Leaver"/>
    <s v="Kelly Grant"/>
    <d v="2017-10-16T00:00:00"/>
    <s v="Incomplete"/>
    <s v="OFF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Sarah Poole"/>
    <s v="LE"/>
    <s v="ACTIVE"/>
    <s v="David Hitching"/>
    <d v="2017-09-19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Alexander Hogg"/>
    <s v="LE"/>
    <s v="ACTIVE"/>
    <s v="David Hitching"/>
    <d v="2017-10-09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Sophie Downer"/>
    <s v="Leaver"/>
    <s v="Leaver"/>
    <s v="Mark Davies"/>
    <d v="2017-10-16T00:00:00"/>
    <s v="Incomplete"/>
    <s v="OFF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Mita Purohit"/>
    <s v="LE"/>
    <s v="ACTIVE"/>
    <s v="David Hitching"/>
    <d v="2017-10-23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Leon Carnell"/>
    <s v="LE"/>
    <s v="ACTIVE"/>
    <s v="David Hitching"/>
    <d v="2017-10-09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Sam Way"/>
    <s v="LE"/>
    <s v="ACTIVE"/>
    <s v="David Hitching"/>
    <d v="2016-10-19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Stephen McAnespie"/>
    <s v="LE"/>
    <s v="ACTIVE"/>
    <s v="David Hitching"/>
    <d v="2017-06-05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Matthew MacKay"/>
    <s v="LE"/>
    <s v="ACTIVE"/>
    <s v="David Hitching"/>
    <d v="2016-09-19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Jean-Paul Harris"/>
    <s v="Leaver"/>
    <s v="Leaver"/>
    <s v="Mark Davies"/>
    <d v="2017-09-19T00:00:00"/>
    <s v="LTS"/>
    <m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David Parker"/>
    <s v="LE"/>
    <s v="ACTIVE"/>
    <s v="David Hitching"/>
    <d v="2017-04-1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Grant Leat"/>
    <s v="LE"/>
    <s v="ACTIVE"/>
    <s v="David Hitching"/>
    <d v="2016-11-03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Kym Wilkins"/>
    <s v="LE"/>
    <s v="ACTIVE"/>
    <s v="David Hitching"/>
    <d v="2017-01-17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Mark Nesbitt"/>
    <s v="LE"/>
    <s v="ACTIVE"/>
    <s v="David Hitching"/>
    <d v="2010-07-12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Scott Harvey"/>
    <s v="LE"/>
    <s v="ACTIVE"/>
    <s v="David Hitching"/>
    <d v="2017-10-09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April Saunders"/>
    <s v="COM"/>
    <s v="ACTIVE"/>
    <s v="Mark Davies"/>
    <d v="2017-10-3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Jordan Copland"/>
    <s v="COM"/>
    <s v="ACTIVE"/>
    <s v="Mark Davies"/>
    <d v="2017-10-16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Kelly Tucker"/>
    <s v="COM"/>
    <s v="ACTIVE"/>
    <s v="Mark Davies"/>
    <d v="2017-10-16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Christopher Whiteway"/>
    <s v="COM"/>
    <s v="ACTIVE"/>
    <s v="Mark Davies"/>
    <d v="2017-10-30T00:00:00"/>
    <s v="In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Leon Rigby"/>
    <s v="COM"/>
    <s v="ACTIVE"/>
    <s v="Mark Davies"/>
    <d v="2017-09-04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Nicholas Jessup"/>
    <s v="COM"/>
    <s v="ACTIVE"/>
    <s v="Mark Davies"/>
    <d v="2017-06-26T00:00:00"/>
    <s v="Holiday 2wk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Steven Drinkall"/>
    <s v="COM"/>
    <s v="ACTIVE"/>
    <s v="Mark Davies"/>
    <d v="2017-05-1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Samuel Foster"/>
    <s v="COM"/>
    <s v="ACTIVE"/>
    <s v="Mark Davies"/>
    <d v="2017-04-26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Olivia Clunie-Ross"/>
    <s v="COM"/>
    <s v="ACTIVE"/>
    <s v="Mark Davies"/>
    <d v="2017-08-0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James Pattison"/>
    <s v="COM"/>
    <s v="ACTIVE"/>
    <s v="Mark Davies"/>
    <d v="2017-03-29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Mark Ferguson"/>
    <s v="COM"/>
    <s v="ACTIVE"/>
    <s v="Mark Davies"/>
    <d v="2017-04-1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Christopher Gillard"/>
    <s v="Leaver"/>
    <s v="Leaver"/>
    <s v="Mark Davies"/>
    <d v="2016-06-07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Ben Stone"/>
    <s v="COM"/>
    <s v="ACTIVE"/>
    <s v="Mark Davies"/>
    <d v="2017-09-19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Kyle McCormick"/>
    <s v="COM"/>
    <s v="ACTIVE"/>
    <s v="Mark Davies"/>
    <d v="2017-09-19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Colette Neave"/>
    <s v="ATV"/>
    <s v="ACTIVE"/>
    <s v="Mark Davies"/>
    <d v="2016-11-14T00:00:00"/>
    <s v="Maternity"/>
    <s v="Maternity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Tarquin Holmes"/>
    <s v="COM"/>
    <s v="ACTIVE"/>
    <s v="Mark Davies"/>
    <d v="2017-05-08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Lucas Bland"/>
    <s v="COM"/>
    <s v="ACTIVE"/>
    <s v="Mark Davies"/>
    <d v="2017-08-0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Jamie Hammond"/>
    <s v="Leaver"/>
    <s v="Leaver"/>
    <s v="Mark Elliott"/>
    <d v="2017-08-22T00:00:00"/>
    <s v="Complete"/>
    <s v="Not Required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Terri McNeill"/>
    <s v="Leaver"/>
    <s v="Leaver"/>
    <s v="Michael Ennals"/>
    <d v="2017-05-08T00:00:00"/>
    <s v="Not Required"/>
    <s v="OFF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Edward Mullarkey"/>
    <s v="COM"/>
    <s v="ACTIVE"/>
    <s v="Mark Elliott"/>
    <d v="2017-05-1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Charlotte Fowkes"/>
    <s v="COM"/>
    <s v="ACTIVE"/>
    <s v="Mark Elliott"/>
    <d v="2017-09-19T00:00:00"/>
    <s v="Complete"/>
    <s v="LTS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Gershom Saji"/>
    <s v="COM"/>
    <s v="ACTIVE"/>
    <s v="Mark Elliott"/>
    <d v="2017-09-19T00:00:00"/>
    <s v="Complete"/>
    <s v="Not Required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Mark Watson"/>
    <s v="Leaver"/>
    <s v="Leaver"/>
    <s v="Michael Ennals"/>
    <d v="2017-02-13T00:00:00"/>
    <s v="Not Required"/>
    <s v="OFF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Clara Brown"/>
    <s v="COM"/>
    <s v="ACTIVE"/>
    <s v="Mark Elliott"/>
    <d v="2017-07-1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Lois Slater"/>
    <s v="COM"/>
    <s v="ACTIVE"/>
    <s v="Mark Elliott"/>
    <d v="2017-05-1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Paige Trump"/>
    <s v="COM"/>
    <s v="ACTIVE"/>
    <s v="Mark Elliott"/>
    <d v="2017-05-1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Jack Gooding"/>
    <s v="SW"/>
    <s v="ACTIVE"/>
    <s v="Mark Elliott"/>
    <d v="2016-11-15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Dominic Allison"/>
    <s v="SW"/>
    <s v="ACTIVE"/>
    <s v="Mark Elliott"/>
    <d v="2016-06-07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Marcus Spry"/>
    <s v="COM"/>
    <s v="ACTIVE"/>
    <s v="Mark Elliott"/>
    <d v="2016-10-17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Daniel Hennessey"/>
    <s v="SW"/>
    <s v="ACTIVE"/>
    <s v="Mark Elliott"/>
    <d v="2013-12-09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David Hulse"/>
    <s v="SW"/>
    <s v="ACTIVE"/>
    <s v="Mark Elliott"/>
    <d v="2013-05-2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Phillip Wallinder"/>
    <s v="SW"/>
    <s v="ACTIVE"/>
    <s v="Mark Elliott"/>
    <d v="2012-10-08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Roger Spackman"/>
    <s v="SW"/>
    <s v="ACTIVE"/>
    <s v="Mark Elliott"/>
    <d v="2014-09-01T00:00:00"/>
    <s v="LTS"/>
    <s v="LTS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Darren Wilde"/>
    <s v="SW"/>
    <s v="ACTIVE"/>
    <s v="Mark Elliott"/>
    <d v="2016-01-04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Daniel Chappell"/>
    <s v="LE"/>
    <s v="ACTIVE"/>
    <s v="Mark Elliott"/>
    <d v="2017-04-1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Samantha Bedwell"/>
    <s v="COM"/>
    <s v="ACTIVE"/>
    <s v="Mark Elliott"/>
    <d v="2017-05-1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Aimee Kenshole"/>
    <s v="HS"/>
    <s v="ACTIVE"/>
    <s v="Mechelle Jenkins"/>
    <d v="2017-02-28T00:00:00"/>
    <s v="Not Required"/>
    <s v="Not Required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Alexander Peck"/>
    <s v="HS"/>
    <s v="ACTIVE"/>
    <s v="Mechelle Jenkins"/>
    <d v="2016-05-09T00:00:00"/>
    <s v="Not Required"/>
    <s v="Not Required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Chelsea Burns"/>
    <s v="HS"/>
    <s v="ACTIVE"/>
    <s v="Mechelle Jenkins"/>
    <d v="2017-02-20T00:00:00"/>
    <s v="Not Required"/>
    <s v="Not Required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Shane Hayman"/>
    <s v="ATV"/>
    <s v="ACTIVE"/>
    <s v="Michael Ennals"/>
    <d v="2017-11-06T00:00:00"/>
    <s v="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Rhys Tate"/>
    <s v="ATV"/>
    <s v="ACTIVE"/>
    <s v="Michael Ennals"/>
    <d v="2017-10-23T00:00:00"/>
    <s v="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Kathryn Titheridge"/>
    <s v="ATV"/>
    <s v="ACTIVE"/>
    <s v="Michael Ennals"/>
    <d v="2017-10-09T00:00:00"/>
    <s v="In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James Chalker-Halsey"/>
    <s v="ATV"/>
    <s v="ACTIVE"/>
    <s v="Michael Ennals"/>
    <d v="2017-10-09T00:00:00"/>
    <s v="In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Amber Caldwell"/>
    <s v="ATV"/>
    <s v="ACTIVE"/>
    <s v="Michael Ennals"/>
    <d v="2017-08-21T00:00:00"/>
    <s v="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Felix Whiteaway"/>
    <s v="ATV"/>
    <s v="ACTIVE"/>
    <s v="Michael Ennals"/>
    <d v="2016-11-15T00:00:00"/>
    <s v="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Ashley Marraffa"/>
    <s v="ATV"/>
    <s v="ACTIVE"/>
    <s v="Michael Ennals"/>
    <d v="2013-09-09T00:00:00"/>
    <s v="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Elisha Durant"/>
    <s v="Leaver"/>
    <s v="Leaver"/>
    <s v="Richard Crellin"/>
    <d v="2017-10-30T00:00:00"/>
    <s v="Not Required"/>
    <s v="Not Required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Duncan France"/>
    <s v="ATV"/>
    <s v="ACTIVE"/>
    <s v="Michael Ennals"/>
    <d v="2017-06-05T00:00:00"/>
    <s v="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Mark Nyika"/>
    <s v="ATV"/>
    <s v="ACTIVE"/>
    <s v="Michael Ennals"/>
    <d v="2017-03-21T00:00:00"/>
    <s v="In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Jordan Kirby"/>
    <s v="ATV"/>
    <s v="ACTIVE"/>
    <s v="Michael Ennals"/>
    <d v="2017-02-27T00:00:00"/>
    <s v="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Joanne Barnett"/>
    <s v="ATV"/>
    <s v="ACTIVE"/>
    <s v="Michael Ennals"/>
    <d v="2015-11-02T00:00:00"/>
    <s v="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Daniel Dodds"/>
    <s v="ATV"/>
    <s v="ACTIVE"/>
    <s v="Michael Ennals"/>
    <d v="2016-09-05T00:00:00"/>
    <s v="LTS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Sadie Matthews"/>
    <s v="ATV"/>
    <s v="ACTIVE"/>
    <s v="Michael Ennals"/>
    <d v="2012-05-08T00:00:00"/>
    <s v="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Jacques Manaton"/>
    <s v="ATV"/>
    <s v="ACTIVE"/>
    <s v="Michael Ennals"/>
    <d v="2017-08-08T00:00:00"/>
    <s v="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Bradley Wilkie"/>
    <s v="ATV"/>
    <s v="ACTIVE"/>
    <s v="Michael Ennals"/>
    <d v="2017-05-08T00:00:00"/>
    <s v="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Michael West"/>
    <s v="ATV"/>
    <s v="ACTIVE"/>
    <s v="Michael Ennals"/>
    <d v="2016-07-11T00:00:00"/>
    <s v="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Matthew Wootton"/>
    <s v="ATV"/>
    <s v="ACTIVE"/>
    <s v="Michael Ennals"/>
    <d v="2014-03-24T00:00:00"/>
    <s v="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Samuel Smith"/>
    <s v="ATV"/>
    <s v="ACTIVE"/>
    <s v="Michael Ennals"/>
    <d v="2017-06-05T00:00:00"/>
    <s v="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Jameela Bukhammas"/>
    <s v="CSA"/>
    <s v="ACTIVE"/>
    <s v="Natalie Lubienski"/>
    <d v="2017-02-13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Andreas Syriopoulos"/>
    <s v="CSA"/>
    <s v="ACTIVE"/>
    <s v="Natalie Lubienski"/>
    <d v="2016-11-2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Ryan Thompson"/>
    <s v="CSA"/>
    <s v="ACTIVE"/>
    <s v="Natalie Lubienski"/>
    <d v="2016-10-17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Vikki Tiley"/>
    <s v="CSA"/>
    <s v="ACTIVE"/>
    <s v="Natalie Lubienski"/>
    <d v="2011-08-3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Daniella Wilson"/>
    <s v="CSA"/>
    <s v="ACTIVE"/>
    <s v="Natalie Lubienski"/>
    <d v="2016-06-2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Matthew Goodwin"/>
    <s v="CSA"/>
    <s v="ACTIVE"/>
    <s v="Natalie Lubienski"/>
    <d v="2014-06-02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Callum Sims"/>
    <s v="CSA"/>
    <s v="ACTIVE"/>
    <s v="Natalie Lubienski"/>
    <d v="2016-05-09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Matthew Rosser"/>
    <s v="COM"/>
    <s v="ACTIVE"/>
    <s v="Natalie Lubienski"/>
    <d v="2015-11-02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Alan Reidy"/>
    <s v="CSA"/>
    <s v="ACTIVE"/>
    <s v="Natalie Lubienski"/>
    <d v="2014-06-02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David Coombes"/>
    <s v="CSA"/>
    <s v="ACTIVE"/>
    <s v="Natalie Lubienski"/>
    <d v="2015-07-27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Emily Hedges"/>
    <s v="CSA"/>
    <s v="ACTIVE"/>
    <s v="Natalie Lubienski"/>
    <d v="2014-01-27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Hollie Whittington"/>
    <s v="CSA"/>
    <s v="ACTIVE"/>
    <s v="Natalie Lubienski"/>
    <d v="2015-04-13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Sophie Evans"/>
    <s v="CSA"/>
    <s v="ACTIVE"/>
    <s v="Natalie Lubienski"/>
    <d v="2017-01-3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Jodie Dougal"/>
    <s v="COM"/>
    <s v="ACTIVE"/>
    <s v="Natalie Lubienski"/>
    <d v="2016-04-12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Kyle Wotton"/>
    <s v="CSA"/>
    <s v="ACTIVE"/>
    <s v="Natalie Lubienski"/>
    <d v="2013-12-09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Rhonda Kearns"/>
    <s v="CSA"/>
    <s v="ACTIVE"/>
    <s v="Natalie Lubienski"/>
    <d v="2010-10-04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Charlotte Wensley"/>
    <s v="CSA"/>
    <s v="ACTIVE"/>
    <s v="Natalie Lubienski"/>
    <d v="2015-01-05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Wayne Brown"/>
    <s v="CSA"/>
    <s v="ACTIVE"/>
    <s v="Natalie Lubienski"/>
    <d v="2015-11-16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Lorna Ludgate"/>
    <s v="CSA"/>
    <s v="ACTIVE"/>
    <s v="Natalie Lubienski"/>
    <d v="2011-09-19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Michelle Lloyd"/>
    <s v="CSA"/>
    <s v="ACTIVE"/>
    <s v="Natalie Lubienski"/>
    <d v="2016-07-1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William Kettell"/>
    <s v="CSA"/>
    <s v="ACTIVE"/>
    <s v="Natalie Lubienski"/>
    <d v="2015-03-16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Samantha Guscott"/>
    <s v="CSA"/>
    <s v="ACTIVE"/>
    <s v="Natalie Lubienski"/>
    <d v="2017-09-25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Kathleen Turner"/>
    <s v="COM"/>
    <s v="ACTIVE"/>
    <s v="Richard Crellin"/>
    <d v="2017-05-11T00:00:00"/>
    <s v="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Elaine Plumpton"/>
    <s v="COM"/>
    <s v="ACTIVE"/>
    <s v="Richard Crellin"/>
    <d v="2017-08-2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Elaine Ludgrove"/>
    <s v="COM"/>
    <s v="ACTIVE"/>
    <s v="Richard Crellin"/>
    <d v="2017-08-2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Amanda Facey"/>
    <s v="COM"/>
    <s v="ACTIVE"/>
    <s v="Richard Crellin"/>
    <d v="2017-06-26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Jack O’Hara"/>
    <s v="COM"/>
    <s v="ACTIVE"/>
    <s v="Richard Crellin"/>
    <d v="2016-09-12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Lorna Simpson"/>
    <s v="COM"/>
    <s v="ACTIVE"/>
    <s v="Richard Crellin"/>
    <d v="2017-09-19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Peryanaden Coolen"/>
    <s v="COM"/>
    <s v="ACTIVE"/>
    <s v="Richard Crellin"/>
    <d v="2016-10-3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Michael Davies"/>
    <s v="COM"/>
    <s v="ACTIVE"/>
    <s v="Richard Crellin"/>
    <d v="2017-03-29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Richard Montague-Jones"/>
    <s v="COM"/>
    <s v="ACTIVE"/>
    <s v="Richard Crellin"/>
    <d v="2012-06-1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Gabriele Keleraite"/>
    <s v="COM"/>
    <s v="ACTIVE"/>
    <s v="Richard Crellin"/>
    <d v="2017-08-3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Charlotte Stack"/>
    <s v="COM"/>
    <s v="ACTIVE"/>
    <s v="Richard Crellin"/>
    <d v="2017-09-19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Helen OlohamBramley"/>
    <s v="COM"/>
    <s v="ACTIVE"/>
    <s v="Richard Crellin"/>
    <d v="2017-04-1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Anita Szocs"/>
    <s v="COM"/>
    <s v="ACTIVE"/>
    <s v="Richard Crellin"/>
    <d v="2017-07-10T00:00:00"/>
    <s v="Complete"/>
    <s v="Holiday 2wk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Timothy Savory"/>
    <s v="COM"/>
    <s v="ACTIVE"/>
    <s v="Richard Crellin"/>
    <d v="2016-12-12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Colin Duck"/>
    <s v="COM"/>
    <s v="ACTIVE"/>
    <s v="Richard Crellin"/>
    <d v="2017-07-1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Behn Wright"/>
    <s v="COM"/>
    <s v="ACTIVE"/>
    <s v="Richard Crellin"/>
    <d v="2017-07-1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Shaun Molyneux"/>
    <s v="COM"/>
    <s v="ACTIVE"/>
    <s v="Richard Crellin"/>
    <d v="2017-09-04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Gareth Stokes"/>
    <s v="Manufacturer Liaison"/>
    <s v="ACTIVE"/>
    <s v="Richard Goodchild"/>
    <d v="2014-12-0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Carol Bunting"/>
    <s v="RTA"/>
    <s v="ACTIVE"/>
    <s v="Rowan Marshall"/>
    <d v="2012-11-05T00:00:00"/>
    <s v="In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Anthony Reynolds"/>
    <s v="OTH"/>
    <s v="ACTIVE"/>
    <s v="Sean Rowe"/>
    <d v="2017-09-11T00:00:00"/>
    <s v="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Antonia Denham"/>
    <s v="OTH"/>
    <s v="ACTIVE"/>
    <s v="Sean Rowe"/>
    <d v="2017-09-11T00:00:00"/>
    <s v="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Brian Bray"/>
    <s v="OTH"/>
    <s v="ACTIVE"/>
    <s v="Sean Rowe"/>
    <d v="2017-09-11T00:00:00"/>
    <s v="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Georgina Marshall"/>
    <s v="OTH"/>
    <s v="ACTIVE"/>
    <s v="Sean Rowe"/>
    <d v="2017-09-11T00:00:00"/>
    <s v="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James Addison"/>
    <s v="OTH"/>
    <s v="ACTIVE"/>
    <s v="Sean Rowe"/>
    <d v="2017-09-11T00:00:00"/>
    <s v="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Jennifer Sanderson"/>
    <s v="OTH"/>
    <s v="ACTIVE"/>
    <s v="Sean Rowe"/>
    <d v="2017-09-11T00:00:00"/>
    <s v="In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Julie Hartshorn"/>
    <s v="OTH"/>
    <s v="ACTIVE"/>
    <s v="Sean Rowe"/>
    <d v="2017-09-11T00:00:00"/>
    <s v="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m/>
    <m/>
    <m/>
    <m/>
    <m/>
    <m/>
    <m/>
    <m/>
    <m/>
    <m/>
    <m/>
    <m/>
  </r>
  <r>
    <s v="Kayleigh Pennington"/>
    <s v="OTH"/>
    <s v="ACTIVE"/>
    <s v="Sean Rowe"/>
    <d v="2017-09-11T00:00:00"/>
    <s v="In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m/>
    <m/>
    <m/>
    <m/>
    <m/>
    <m/>
    <m/>
    <m/>
    <m/>
    <m/>
    <m/>
    <m/>
  </r>
  <r>
    <s v="Peter Davies"/>
    <s v="OTH"/>
    <s v="ACTIVE"/>
    <s v="Sean Rowe"/>
    <d v="2017-09-11T00:00:00"/>
    <s v="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m/>
    <m/>
    <m/>
    <m/>
    <m/>
    <m/>
    <m/>
    <m/>
    <m/>
    <m/>
    <m/>
    <m/>
  </r>
  <r>
    <s v="Simon Petters-smith"/>
    <s v="OTH"/>
    <s v="ACTIVE"/>
    <s v="Sean Rowe"/>
    <d v="2017-09-11T00:00:00"/>
    <s v="In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m/>
    <m/>
    <m/>
    <m/>
    <m/>
    <m/>
    <m/>
    <m/>
    <m/>
    <m/>
    <m/>
    <m/>
  </r>
  <r>
    <s v="Venessa Acheampong"/>
    <s v="OTH"/>
    <s v="ACTIVE"/>
    <s v="Sean Rowe"/>
    <d v="2017-09-11T00:00:00"/>
    <s v="Complete"/>
    <s v="In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m/>
    <m/>
    <m/>
    <m/>
    <m/>
    <m/>
    <m/>
    <m/>
    <m/>
    <m/>
    <m/>
    <m/>
  </r>
  <r>
    <s v="Joshua Bradley"/>
    <s v="CST"/>
    <s v="ACTIVE"/>
    <s v="Troy Barnaschone"/>
    <d v="2017-04-1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m/>
    <m/>
    <m/>
    <m/>
    <m/>
    <m/>
    <m/>
    <m/>
    <m/>
    <m/>
    <m/>
    <m/>
  </r>
  <r>
    <s v="Christopher Stewart"/>
    <s v="CST"/>
    <s v="ACTIVE"/>
    <s v="Troy Barnaschone"/>
    <d v="2017-02-28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m/>
    <m/>
    <m/>
    <m/>
    <m/>
    <m/>
    <m/>
    <m/>
    <m/>
    <m/>
    <m/>
    <m/>
  </r>
  <r>
    <s v="Daniel Lane"/>
    <s v="CST"/>
    <s v="ACTIVE"/>
    <s v="Troy Barnaschone"/>
    <d v="2017-04-1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m/>
    <m/>
    <m/>
    <m/>
    <m/>
    <m/>
    <m/>
    <m/>
    <m/>
    <m/>
    <m/>
    <m/>
  </r>
  <r>
    <s v="Darren James"/>
    <s v="CST"/>
    <s v="ACTIVE"/>
    <s v="Troy Barnaschone"/>
    <d v="2016-01-03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m/>
    <m/>
    <m/>
    <m/>
    <m/>
    <m/>
    <m/>
    <m/>
    <m/>
    <m/>
    <m/>
    <m/>
  </r>
  <r>
    <s v="Jonathan Land"/>
    <s v="CST"/>
    <s v="ACTIVE"/>
    <s v="Troy Barnaschone"/>
    <d v="2016-08-08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m/>
    <m/>
    <m/>
    <m/>
    <m/>
    <m/>
    <m/>
    <m/>
    <m/>
    <m/>
    <m/>
    <m/>
  </r>
  <r>
    <s v="Aaron Partridge"/>
    <s v="CST"/>
    <s v="ACTIVE"/>
    <s v="Troy Barnaschone"/>
    <d v="2013-12-09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m/>
    <m/>
    <m/>
    <m/>
    <m/>
    <m/>
    <m/>
    <m/>
    <m/>
    <m/>
    <m/>
    <m/>
  </r>
  <r>
    <s v="Chloe Wiles"/>
    <s v="CST"/>
    <s v="ACTIVE"/>
    <s v="Troy Barnaschone"/>
    <d v="2016-11-03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m/>
    <m/>
    <m/>
    <m/>
    <m/>
    <m/>
    <m/>
    <m/>
    <m/>
    <m/>
    <m/>
    <m/>
  </r>
  <r>
    <s v="Lydia Humphreys"/>
    <s v="CST"/>
    <s v="ACTIVE"/>
    <s v="Troy Barnaschone"/>
    <d v="2016-10-10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m/>
    <m/>
    <m/>
    <m/>
    <m/>
    <m/>
    <m/>
    <m/>
    <m/>
    <m/>
    <m/>
    <m/>
  </r>
  <r>
    <s v="Jack Rowcroft"/>
    <s v="CST"/>
    <s v="ACTIVE"/>
    <s v="Troy Barnaschone"/>
    <d v="2016-09-12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m/>
    <m/>
    <m/>
    <m/>
    <m/>
    <m/>
    <m/>
    <m/>
    <m/>
    <m/>
    <m/>
    <m/>
  </r>
  <r>
    <s v="David Tancock"/>
    <s v="CST"/>
    <s v="ACTIVE"/>
    <s v="Troy Barnaschone"/>
    <d v="2015-06-0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m/>
    <m/>
    <m/>
    <m/>
    <m/>
    <m/>
    <m/>
    <m/>
    <m/>
    <m/>
    <m/>
    <m/>
  </r>
  <r>
    <s v="Alexander Templer"/>
    <s v="CST"/>
    <s v="ACTIVE"/>
    <s v="Troy Barnaschone"/>
    <d v="2012-06-1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m/>
    <m/>
    <m/>
    <m/>
    <m/>
    <m/>
    <m/>
    <m/>
    <m/>
    <m/>
    <m/>
    <m/>
  </r>
  <r>
    <s v="Phil Fogerty"/>
    <s v="CST"/>
    <s v="ACTIVE"/>
    <s v="Troy Barnaschone"/>
    <d v="2016-11-14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m/>
    <m/>
    <m/>
    <m/>
    <m/>
    <m/>
    <m/>
    <m/>
    <m/>
    <m/>
    <m/>
    <m/>
  </r>
  <r>
    <s v="Christopher Blythe"/>
    <s v="3RD"/>
    <s v="ACTIVE"/>
    <s v="Troy Barnaschone"/>
    <d v="2011-06-13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m/>
    <m/>
    <m/>
    <m/>
    <m/>
    <m/>
    <m/>
    <m/>
    <m/>
    <m/>
    <m/>
    <m/>
  </r>
  <r>
    <s v="Donna Drew"/>
    <s v="3RD"/>
    <s v="ACTIVE"/>
    <s v="Troy Barnaschone"/>
    <d v="2016-11-2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m/>
    <m/>
    <m/>
    <m/>
    <m/>
    <m/>
    <m/>
    <m/>
    <m/>
    <m/>
    <m/>
    <m/>
  </r>
  <r>
    <s v="Darren Combrinck"/>
    <s v="3RD"/>
    <s v="ACTIVE"/>
    <s v="Troy Barnaschone"/>
    <d v="2015-03-16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m/>
    <m/>
    <m/>
    <m/>
    <m/>
    <m/>
    <m/>
    <m/>
    <m/>
    <m/>
    <m/>
    <m/>
  </r>
  <r>
    <s v="Alison Matthys"/>
    <s v="3RD"/>
    <s v="ACTIVE"/>
    <s v="Troy Barnaschone"/>
    <d v="2014-07-07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Sophie Westcott"/>
    <s v="Leaver"/>
    <s v="Leaver"/>
    <s v="Sean Rowe"/>
    <d v="2017-09-11T00:00:00"/>
    <s v="Incomplete"/>
    <s v="OFF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Stephen Ackrell"/>
    <s v="Leaver"/>
    <s v="Leaver"/>
    <s v="Sean Rowe"/>
    <d v="2017-09-11T00:00:00"/>
    <s v="Incomplete"/>
    <s v="OFF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Charlotte Guy"/>
    <s v="3RD"/>
    <s v="ACTIVE"/>
    <s v="Troy Barnaschone"/>
    <d v="2015-11-16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Conor Romeril"/>
    <s v="CST"/>
    <s v="ACTIVE"/>
    <s v="Troy Barnaschone"/>
    <d v="2017-08-01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Kyle Blackmore"/>
    <s v="3RD"/>
    <s v="ACTIVE"/>
    <s v="Troy Barnaschone"/>
    <d v="2016-05-09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Christopher Buck"/>
    <s v="3RD"/>
    <s v="ACTIVE"/>
    <s v="Troy Barnaschone"/>
    <d v="2015-11-16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Margaret James"/>
    <s v="3RD"/>
    <s v="ACTIVE"/>
    <s v="Troy Barnaschone"/>
    <d v="2010-11-29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Rafferty Mackay"/>
    <s v="3RD"/>
    <s v="ACTIVE"/>
    <s v="Troy Barnaschone"/>
    <d v="2007-08-28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Samantha Johns"/>
    <s v="Leaver"/>
    <s v="Leaver"/>
    <s v="Troy Barnaschone"/>
    <d v="2016-03-28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Kieran Tanner"/>
    <s v="Leaver"/>
    <s v="Leaver"/>
    <s v="Troy Barnaschone"/>
    <d v="2017-01-17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Matthew Alford"/>
    <s v="3RD"/>
    <s v="ACTIVE"/>
    <s v="Troy Barnaschone"/>
    <d v="2016-01-03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s v="Jared O’Donnell"/>
    <s v="3RD"/>
    <s v="ACTIVE"/>
    <s v="Troy Barnaschone"/>
    <d v="2016-09-12T00:00:00"/>
    <s v="Complete"/>
    <s v="Complete"/>
    <x v="1"/>
    <x v="1"/>
    <x v="1"/>
    <x v="1"/>
    <x v="1"/>
    <x v="1"/>
    <x v="1"/>
    <x v="1"/>
    <x v="1"/>
    <x v="1"/>
    <x v="1"/>
    <x v="1"/>
    <x v="1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  <s v="OFF"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x v="0"/>
    <x v="0"/>
    <x v="0"/>
    <x v="0"/>
    <x v="0"/>
    <x v="0"/>
    <x v="0"/>
    <x v="0"/>
    <x v="0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4" cacheId="1" dataOnRows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55:D57" firstHeaderRow="1" firstDataRow="2" firstDataCol="1"/>
  <pivotFields count="50">
    <pivotField showAll="0" defaultSubtotal="0"/>
    <pivotField showAll="0" defaultSubtotal="0"/>
    <pivotField dataField="1"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2">
        <item x="1"/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Items count="1">
    <i/>
  </rowItems>
  <colFields count="1">
    <field x="19"/>
  </colFields>
  <colItems count="3">
    <i>
      <x/>
    </i>
    <i>
      <x v="1"/>
    </i>
    <i t="grand">
      <x/>
    </i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1" cacheId="1" dataOnRows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43:D45" firstHeaderRow="1" firstDataRow="2" firstDataCol="1"/>
  <pivotFields count="50">
    <pivotField showAll="0" defaultSubtotal="0"/>
    <pivotField showAll="0" defaultSubtotal="0"/>
    <pivotField dataField="1"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2">
        <item x="1"/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Items count="1">
    <i/>
  </rowItems>
  <colFields count="1">
    <field x="16"/>
  </colFields>
  <colItems count="3">
    <i>
      <x/>
    </i>
    <i>
      <x v="1"/>
    </i>
    <i t="grand">
      <x/>
    </i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9" cacheId="1" dataOnRows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5:D37" firstHeaderRow="1" firstDataRow="2" firstDataCol="1"/>
  <pivotFields count="50">
    <pivotField showAll="0" defaultSubtotal="0"/>
    <pivotField showAll="0" defaultSubtotal="0"/>
    <pivotField dataField="1"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2">
        <item x="1"/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Items count="1">
    <i/>
  </rowItems>
  <colFields count="1">
    <field x="14"/>
  </colFields>
  <colItems count="3">
    <i>
      <x/>
    </i>
    <i>
      <x v="1"/>
    </i>
    <i t="grand">
      <x/>
    </i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6" cacheId="1" dataOnRows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23:D25" firstHeaderRow="1" firstDataRow="2" firstDataCol="1"/>
  <pivotFields count="50">
    <pivotField showAll="0" defaultSubtotal="0"/>
    <pivotField showAll="0" defaultSubtotal="0"/>
    <pivotField dataField="1"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2">
        <item x="1"/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Items count="1">
    <i/>
  </rowItems>
  <colFields count="1">
    <field x="11"/>
  </colFields>
  <colItems count="3">
    <i>
      <x/>
    </i>
    <i>
      <x v="1"/>
    </i>
    <i t="grand">
      <x/>
    </i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8" cacheId="1" dataOnRows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1:D33" firstHeaderRow="1" firstDataRow="2" firstDataCol="1"/>
  <pivotFields count="50">
    <pivotField showAll="0" defaultSubtotal="0"/>
    <pivotField showAll="0" defaultSubtotal="0"/>
    <pivotField dataField="1"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2">
        <item x="1"/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Items count="1">
    <i/>
  </rowItems>
  <colFields count="1">
    <field x="13"/>
  </colFields>
  <colItems count="3">
    <i>
      <x/>
    </i>
    <i>
      <x v="1"/>
    </i>
    <i t="grand">
      <x/>
    </i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3" cacheId="1" dataOnRows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51:D53" firstHeaderRow="1" firstDataRow="2" firstDataCol="1"/>
  <pivotFields count="50">
    <pivotField showAll="0" defaultSubtotal="0"/>
    <pivotField showAll="0" defaultSubtotal="0"/>
    <pivotField dataField="1"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2">
        <item x="1"/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Items count="1">
    <i/>
  </rowItems>
  <colFields count="1">
    <field x="18"/>
  </colFields>
  <colItems count="3">
    <i>
      <x/>
    </i>
    <i>
      <x v="1"/>
    </i>
    <i t="grand">
      <x/>
    </i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4" cacheId="1" dataOnRows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15:D17" firstHeaderRow="1" firstDataRow="2" firstDataCol="1"/>
  <pivotFields count="50">
    <pivotField showAll="0" defaultSubtotal="0"/>
    <pivotField showAll="0" defaultSubtotal="0"/>
    <pivotField dataField="1"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2">
        <item x="1"/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Items count="1">
    <i/>
  </rowItems>
  <colFields count="1">
    <field x="9"/>
  </colFields>
  <colItems count="3">
    <i>
      <x/>
    </i>
    <i>
      <x v="1"/>
    </i>
    <i t="grand">
      <x/>
    </i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3" cacheId="1" dataOnRows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11:D13" firstHeaderRow="1" firstDataRow="2" firstDataCol="1"/>
  <pivotFields count="50">
    <pivotField showAll="0" defaultSubtotal="0"/>
    <pivotField showAll="0" defaultSubtotal="0"/>
    <pivotField dataField="1" showAll="0" defaultSubtotal="0"/>
    <pivotField showAll="0"/>
    <pivotField showAll="0"/>
    <pivotField showAll="0" defaultSubtotal="0"/>
    <pivotField showAll="0" defaultSubtotal="0"/>
    <pivotField showAll="0" defaultSubtotal="0"/>
    <pivotField axis="axisCol" showAll="0" defaultSubtotal="0">
      <items count="2">
        <item x="1"/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Items count="1">
    <i/>
  </rowItems>
  <colFields count="1">
    <field x="8"/>
  </colFields>
  <colItems count="3">
    <i>
      <x/>
    </i>
    <i>
      <x v="1"/>
    </i>
    <i t="grand">
      <x/>
    </i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12" cacheId="1" dataOnRows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47:D49" firstHeaderRow="1" firstDataRow="2" firstDataCol="1"/>
  <pivotFields count="50">
    <pivotField showAll="0" defaultSubtotal="0"/>
    <pivotField showAll="0" defaultSubtotal="0"/>
    <pivotField dataField="1"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2">
        <item x="1"/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Items count="1">
    <i/>
  </rowItems>
  <colFields count="1">
    <field x="17"/>
  </colFields>
  <colItems count="3">
    <i>
      <x/>
    </i>
    <i>
      <x v="1"/>
    </i>
    <i t="grand">
      <x/>
    </i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PivotTable10" cacheId="1" dataOnRows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9:D41" firstHeaderRow="1" firstDataRow="2" firstDataCol="1"/>
  <pivotFields count="50">
    <pivotField showAll="0" defaultSubtotal="0"/>
    <pivotField showAll="0" defaultSubtotal="0"/>
    <pivotField dataField="1"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2">
        <item x="1"/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Items count="1">
    <i/>
  </rowItems>
  <colFields count="1">
    <field x="15"/>
  </colFields>
  <colItems count="3">
    <i>
      <x/>
    </i>
    <i>
      <x v="1"/>
    </i>
    <i t="grand">
      <x/>
    </i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PivotTable2" cacheId="1" dataOnRows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7:D9" firstHeaderRow="1" firstDataRow="2" firstDataCol="1"/>
  <pivotFields count="50">
    <pivotField showAll="0" defaultSubtotal="0"/>
    <pivotField showAll="0" defaultSubtotal="0"/>
    <pivotField dataField="1" showAll="0" defaultSubtotal="0"/>
    <pivotField showAll="0"/>
    <pivotField showAll="0"/>
    <pivotField showAll="0" defaultSubtotal="0"/>
    <pivotField showAll="0" defaultSubtotal="0"/>
    <pivotField axis="axisCol" showAll="0" defaultSubtotal="0">
      <items count="2">
        <item x="1"/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Items count="1">
    <i/>
  </rowItems>
  <colFields count="1">
    <field x="7"/>
  </colFields>
  <colItems count="3">
    <i>
      <x/>
    </i>
    <i>
      <x v="1"/>
    </i>
    <i t="grand">
      <x/>
    </i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2.xml><?xml version="1.0" encoding="utf-8"?>
<pivotTableDefinition xmlns="http://schemas.openxmlformats.org/spreadsheetml/2006/main" name="PivotTable1" cacheId="1" dataOnRows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A4" firstHeaderRow="1" firstDataRow="1" firstDataCol="0"/>
  <pivotFields count="50">
    <pivotField showAll="0" defaultSubtotal="0"/>
    <pivotField showAll="0" defaultSubtotal="0"/>
    <pivotField dataField="1"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Items count="1">
    <i/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3.xml><?xml version="1.0" encoding="utf-8"?>
<pivotTableDefinition xmlns="http://schemas.openxmlformats.org/spreadsheetml/2006/main" name="PivotTable5" cacheId="1" dataOnRows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19:D21" firstHeaderRow="1" firstDataRow="2" firstDataCol="1"/>
  <pivotFields count="50">
    <pivotField showAll="0" defaultSubtotal="0"/>
    <pivotField showAll="0" defaultSubtotal="0"/>
    <pivotField dataField="1"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2">
        <item x="1"/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Items count="1">
    <i/>
  </rowItems>
  <colFields count="1">
    <field x="10"/>
  </colFields>
  <colItems count="3">
    <i>
      <x/>
    </i>
    <i>
      <x v="1"/>
    </i>
    <i t="grand">
      <x/>
    </i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4.xml><?xml version="1.0" encoding="utf-8"?>
<pivotTableDefinition xmlns="http://schemas.openxmlformats.org/spreadsheetml/2006/main" name="PivotTable7" cacheId="1" dataOnRows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27:D29" firstHeaderRow="1" firstDataRow="2" firstDataCol="1"/>
  <pivotFields count="50">
    <pivotField showAll="0" defaultSubtotal="0"/>
    <pivotField showAll="0" defaultSubtotal="0"/>
    <pivotField dataField="1"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2">
        <item x="1"/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Items count="1">
    <i/>
  </rowItems>
  <colFields count="1">
    <field x="12"/>
  </colFields>
  <colItems count="3">
    <i>
      <x/>
    </i>
    <i>
      <x v="1"/>
    </i>
    <i t="grand">
      <x/>
    </i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John Lewis">
  <a:themeElements>
    <a:clrScheme name="John Lewis">
      <a:dk1>
        <a:srgbClr val="000000"/>
      </a:dk1>
      <a:lt1>
        <a:srgbClr val="FFFFFF"/>
      </a:lt1>
      <a:dk2>
        <a:srgbClr val="53585F"/>
      </a:dk2>
      <a:lt2>
        <a:srgbClr val="DCDEE0"/>
      </a:lt2>
      <a:accent1>
        <a:srgbClr val="153F28"/>
      </a:accent1>
      <a:accent2>
        <a:srgbClr val="1B7B49"/>
      </a:accent2>
      <a:accent3>
        <a:srgbClr val="19971C"/>
      </a:accent3>
      <a:accent4>
        <a:srgbClr val="F24804"/>
      </a:accent4>
      <a:accent5>
        <a:srgbClr val="C00000"/>
      </a:accent5>
      <a:accent6>
        <a:srgbClr val="A831B5"/>
      </a:accent6>
      <a:hlink>
        <a:srgbClr val="0070C0"/>
      </a:hlink>
      <a:folHlink>
        <a:srgbClr val="00B0F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2"/>
        </a:solidFill>
        <a:ln>
          <a:noFill/>
        </a:ln>
        <a:effectLst/>
      </a:spPr>
      <a:bodyPr rtlCol="0" anchor="ctr"/>
      <a:lstStyle>
        <a:defPPr algn="ctr">
          <a:defRPr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1"/>
  <dimension ref="A3:S57"/>
  <sheetViews>
    <sheetView topLeftCell="A4" zoomScale="84" zoomScaleNormal="84" workbookViewId="0">
      <selection activeCell="A4" sqref="A4"/>
    </sheetView>
  </sheetViews>
  <sheetFormatPr defaultRowHeight="15" x14ac:dyDescent="0.3"/>
  <cols>
    <col min="1" max="1" width="15.140625" customWidth="1"/>
    <col min="2" max="2" width="17.140625" customWidth="1"/>
    <col min="3" max="3" width="7.5703125" customWidth="1"/>
    <col min="4" max="4" width="11.7109375" customWidth="1"/>
    <col min="5" max="5" width="9.85546875" customWidth="1"/>
    <col min="6" max="6" width="13.28515625" customWidth="1"/>
    <col min="7" max="9" width="11.7109375" customWidth="1"/>
    <col min="10" max="10" width="9" customWidth="1"/>
    <col min="11" max="11" width="11.7109375" customWidth="1"/>
    <col min="12" max="12" width="36.5703125" customWidth="1"/>
    <col min="13" max="13" width="17.140625" customWidth="1"/>
    <col min="14" max="14" width="12.5703125" customWidth="1"/>
    <col min="15" max="15" width="4.42578125" customWidth="1"/>
    <col min="16" max="16" width="9.85546875" customWidth="1"/>
    <col min="17" max="17" width="8" customWidth="1"/>
    <col min="18" max="18" width="13.28515625" customWidth="1"/>
    <col min="19" max="19" width="11.7109375" customWidth="1"/>
    <col min="20" max="20" width="7" customWidth="1"/>
    <col min="21" max="21" width="11.7109375" customWidth="1"/>
    <col min="22" max="22" width="11" customWidth="1"/>
    <col min="23" max="42" width="36.5703125" bestFit="1" customWidth="1"/>
    <col min="43" max="43" width="28.42578125" bestFit="1" customWidth="1"/>
    <col min="44" max="44" width="36.85546875" bestFit="1" customWidth="1"/>
    <col min="45" max="45" width="36.5703125" bestFit="1" customWidth="1"/>
    <col min="46" max="46" width="36.85546875" bestFit="1" customWidth="1"/>
    <col min="47" max="47" width="41.42578125" bestFit="1" customWidth="1"/>
    <col min="48" max="48" width="34.85546875" bestFit="1" customWidth="1"/>
  </cols>
  <sheetData>
    <row r="3" spans="1:19" x14ac:dyDescent="0.3">
      <c r="A3" t="s">
        <v>334</v>
      </c>
    </row>
    <row r="4" spans="1:19" x14ac:dyDescent="0.3">
      <c r="A4" s="12">
        <v>315</v>
      </c>
    </row>
    <row r="5" spans="1:19" x14ac:dyDescent="0.3">
      <c r="L5" s="13"/>
      <c r="M5" s="12"/>
      <c r="N5" s="12"/>
      <c r="O5" s="12"/>
      <c r="P5" s="12"/>
      <c r="Q5" s="12"/>
      <c r="R5" s="12"/>
      <c r="S5" s="12"/>
    </row>
    <row r="6" spans="1:19" x14ac:dyDescent="0.3">
      <c r="L6" s="13"/>
      <c r="M6" s="12"/>
      <c r="N6" s="12"/>
      <c r="O6" s="12"/>
      <c r="P6" s="12"/>
      <c r="Q6" s="12"/>
      <c r="R6" s="12"/>
      <c r="S6" s="12"/>
    </row>
    <row r="7" spans="1:19" x14ac:dyDescent="0.3">
      <c r="B7" s="11" t="s">
        <v>4</v>
      </c>
      <c r="L7" s="13"/>
      <c r="M7" s="12"/>
      <c r="N7" s="12"/>
      <c r="O7" s="12"/>
      <c r="P7" s="12"/>
      <c r="Q7" s="12"/>
      <c r="R7" s="12"/>
      <c r="S7" s="12"/>
    </row>
    <row r="8" spans="1:19" x14ac:dyDescent="0.3">
      <c r="B8" t="s">
        <v>313</v>
      </c>
      <c r="C8" t="s">
        <v>2</v>
      </c>
      <c r="D8" t="s">
        <v>3</v>
      </c>
      <c r="L8" s="13"/>
      <c r="M8" s="12"/>
      <c r="N8" s="12"/>
      <c r="O8" s="12"/>
      <c r="P8" s="12"/>
      <c r="Q8" s="12"/>
      <c r="R8" s="12"/>
      <c r="S8" s="12"/>
    </row>
    <row r="9" spans="1:19" x14ac:dyDescent="0.3">
      <c r="A9" t="s">
        <v>334</v>
      </c>
      <c r="B9" s="12">
        <v>280</v>
      </c>
      <c r="C9" s="12">
        <v>35</v>
      </c>
      <c r="D9" s="12">
        <v>315</v>
      </c>
      <c r="L9" s="13"/>
      <c r="M9" s="12"/>
      <c r="N9" s="12"/>
      <c r="O9" s="12"/>
      <c r="P9" s="12"/>
      <c r="Q9" s="12"/>
      <c r="R9" s="12"/>
      <c r="S9" s="12"/>
    </row>
    <row r="10" spans="1:19" x14ac:dyDescent="0.3">
      <c r="L10" s="13"/>
      <c r="M10" s="12"/>
      <c r="N10" s="12"/>
      <c r="O10" s="12"/>
      <c r="P10" s="12"/>
      <c r="Q10" s="12"/>
      <c r="R10" s="12"/>
      <c r="S10" s="12"/>
    </row>
    <row r="11" spans="1:19" x14ac:dyDescent="0.3">
      <c r="B11" s="11" t="s">
        <v>4</v>
      </c>
    </row>
    <row r="12" spans="1:19" x14ac:dyDescent="0.3">
      <c r="B12" t="s">
        <v>313</v>
      </c>
      <c r="C12" t="s">
        <v>2</v>
      </c>
      <c r="D12" t="s">
        <v>3</v>
      </c>
    </row>
    <row r="13" spans="1:19" x14ac:dyDescent="0.3">
      <c r="A13" t="s">
        <v>334</v>
      </c>
      <c r="B13" s="12">
        <v>280</v>
      </c>
      <c r="C13" s="12">
        <v>35</v>
      </c>
      <c r="D13" s="12">
        <v>315</v>
      </c>
    </row>
    <row r="15" spans="1:19" x14ac:dyDescent="0.3">
      <c r="B15" s="11" t="s">
        <v>4</v>
      </c>
    </row>
    <row r="16" spans="1:19" x14ac:dyDescent="0.3">
      <c r="B16" t="s">
        <v>313</v>
      </c>
      <c r="C16" t="s">
        <v>2</v>
      </c>
      <c r="D16" t="s">
        <v>3</v>
      </c>
    </row>
    <row r="17" spans="1:6" x14ac:dyDescent="0.3">
      <c r="A17" t="s">
        <v>334</v>
      </c>
      <c r="B17" s="12">
        <v>280</v>
      </c>
      <c r="C17" s="12">
        <v>35</v>
      </c>
      <c r="D17" s="12">
        <v>315</v>
      </c>
    </row>
    <row r="19" spans="1:6" x14ac:dyDescent="0.3">
      <c r="B19" s="11" t="s">
        <v>4</v>
      </c>
      <c r="E19" s="14"/>
      <c r="F19" s="14"/>
    </row>
    <row r="20" spans="1:6" x14ac:dyDescent="0.3">
      <c r="B20" t="s">
        <v>313</v>
      </c>
      <c r="C20" t="s">
        <v>2</v>
      </c>
      <c r="D20" t="s">
        <v>3</v>
      </c>
    </row>
    <row r="21" spans="1:6" x14ac:dyDescent="0.3">
      <c r="A21" t="s">
        <v>334</v>
      </c>
      <c r="B21" s="12">
        <v>280</v>
      </c>
      <c r="C21" s="12">
        <v>35</v>
      </c>
      <c r="D21" s="12">
        <v>315</v>
      </c>
    </row>
    <row r="23" spans="1:6" x14ac:dyDescent="0.3">
      <c r="B23" s="11" t="s">
        <v>4</v>
      </c>
    </row>
    <row r="24" spans="1:6" x14ac:dyDescent="0.3">
      <c r="B24" t="s">
        <v>313</v>
      </c>
      <c r="C24" t="s">
        <v>2</v>
      </c>
      <c r="D24" t="s">
        <v>3</v>
      </c>
    </row>
    <row r="25" spans="1:6" x14ac:dyDescent="0.3">
      <c r="A25" t="s">
        <v>334</v>
      </c>
      <c r="B25" s="12">
        <v>280</v>
      </c>
      <c r="C25" s="12">
        <v>35</v>
      </c>
      <c r="D25" s="12">
        <v>315</v>
      </c>
    </row>
    <row r="26" spans="1:6" x14ac:dyDescent="0.3">
      <c r="B26" s="14"/>
      <c r="C26" s="14"/>
      <c r="D26" s="14"/>
      <c r="E26" s="14"/>
      <c r="F26" s="14"/>
    </row>
    <row r="27" spans="1:6" x14ac:dyDescent="0.3">
      <c r="B27" s="11" t="s">
        <v>4</v>
      </c>
    </row>
    <row r="28" spans="1:6" x14ac:dyDescent="0.3">
      <c r="B28" t="s">
        <v>313</v>
      </c>
      <c r="C28" t="s">
        <v>2</v>
      </c>
      <c r="D28" t="s">
        <v>3</v>
      </c>
    </row>
    <row r="29" spans="1:6" x14ac:dyDescent="0.3">
      <c r="A29" t="s">
        <v>334</v>
      </c>
      <c r="B29" s="12">
        <v>280</v>
      </c>
      <c r="C29" s="12">
        <v>35</v>
      </c>
      <c r="D29" s="12">
        <v>315</v>
      </c>
    </row>
    <row r="31" spans="1:6" x14ac:dyDescent="0.3">
      <c r="B31" s="11" t="s">
        <v>4</v>
      </c>
    </row>
    <row r="32" spans="1:6" x14ac:dyDescent="0.3">
      <c r="B32" t="s">
        <v>313</v>
      </c>
      <c r="C32" t="s">
        <v>2</v>
      </c>
      <c r="D32" t="s">
        <v>3</v>
      </c>
    </row>
    <row r="33" spans="1:6" x14ac:dyDescent="0.3">
      <c r="A33" t="s">
        <v>334</v>
      </c>
      <c r="B33" s="12">
        <v>280</v>
      </c>
      <c r="C33" s="12">
        <v>35</v>
      </c>
      <c r="D33" s="12">
        <v>315</v>
      </c>
      <c r="E33" s="14"/>
      <c r="F33" s="14"/>
    </row>
    <row r="35" spans="1:6" x14ac:dyDescent="0.3">
      <c r="B35" s="11" t="s">
        <v>4</v>
      </c>
    </row>
    <row r="36" spans="1:6" x14ac:dyDescent="0.3">
      <c r="B36" t="s">
        <v>313</v>
      </c>
      <c r="C36" t="s">
        <v>2</v>
      </c>
      <c r="D36" t="s">
        <v>3</v>
      </c>
    </row>
    <row r="37" spans="1:6" x14ac:dyDescent="0.3">
      <c r="A37" t="s">
        <v>334</v>
      </c>
      <c r="B37" s="12">
        <v>280</v>
      </c>
      <c r="C37" s="12">
        <v>35</v>
      </c>
      <c r="D37" s="12">
        <v>315</v>
      </c>
    </row>
    <row r="39" spans="1:6" x14ac:dyDescent="0.3">
      <c r="B39" s="11" t="s">
        <v>4</v>
      </c>
    </row>
    <row r="40" spans="1:6" x14ac:dyDescent="0.3">
      <c r="B40" t="s">
        <v>313</v>
      </c>
      <c r="C40" t="s">
        <v>2</v>
      </c>
      <c r="D40" t="s">
        <v>3</v>
      </c>
      <c r="E40" s="14"/>
      <c r="F40" s="14"/>
    </row>
    <row r="41" spans="1:6" x14ac:dyDescent="0.3">
      <c r="A41" t="s">
        <v>334</v>
      </c>
      <c r="B41" s="12">
        <v>280</v>
      </c>
      <c r="C41" s="12">
        <v>35</v>
      </c>
      <c r="D41" s="12">
        <v>315</v>
      </c>
    </row>
    <row r="43" spans="1:6" x14ac:dyDescent="0.3">
      <c r="B43" s="11" t="s">
        <v>4</v>
      </c>
    </row>
    <row r="44" spans="1:6" x14ac:dyDescent="0.3">
      <c r="B44" t="s">
        <v>313</v>
      </c>
      <c r="C44" t="s">
        <v>2</v>
      </c>
      <c r="D44" t="s">
        <v>3</v>
      </c>
    </row>
    <row r="45" spans="1:6" x14ac:dyDescent="0.3">
      <c r="A45" t="s">
        <v>334</v>
      </c>
      <c r="B45" s="12">
        <v>280</v>
      </c>
      <c r="C45" s="12">
        <v>35</v>
      </c>
      <c r="D45" s="12">
        <v>315</v>
      </c>
    </row>
    <row r="47" spans="1:6" x14ac:dyDescent="0.3">
      <c r="B47" s="11" t="s">
        <v>4</v>
      </c>
    </row>
    <row r="48" spans="1:6" x14ac:dyDescent="0.3">
      <c r="B48" t="s">
        <v>313</v>
      </c>
      <c r="C48" t="s">
        <v>2</v>
      </c>
      <c r="D48" t="s">
        <v>3</v>
      </c>
    </row>
    <row r="49" spans="1:4" x14ac:dyDescent="0.3">
      <c r="A49" t="s">
        <v>334</v>
      </c>
      <c r="B49" s="12">
        <v>280</v>
      </c>
      <c r="C49" s="12">
        <v>35</v>
      </c>
      <c r="D49" s="12">
        <v>315</v>
      </c>
    </row>
    <row r="51" spans="1:4" x14ac:dyDescent="0.3">
      <c r="B51" s="11" t="s">
        <v>4</v>
      </c>
    </row>
    <row r="52" spans="1:4" x14ac:dyDescent="0.3">
      <c r="B52" t="s">
        <v>313</v>
      </c>
      <c r="C52" t="s">
        <v>2</v>
      </c>
      <c r="D52" t="s">
        <v>3</v>
      </c>
    </row>
    <row r="53" spans="1:4" x14ac:dyDescent="0.3">
      <c r="A53" t="s">
        <v>334</v>
      </c>
      <c r="B53" s="12">
        <v>280</v>
      </c>
      <c r="C53" s="12">
        <v>35</v>
      </c>
      <c r="D53" s="12">
        <v>315</v>
      </c>
    </row>
    <row r="55" spans="1:4" x14ac:dyDescent="0.3">
      <c r="B55" s="11" t="s">
        <v>4</v>
      </c>
    </row>
    <row r="56" spans="1:4" x14ac:dyDescent="0.3">
      <c r="B56" t="s">
        <v>313</v>
      </c>
      <c r="C56" t="s">
        <v>2</v>
      </c>
      <c r="D56" t="s">
        <v>3</v>
      </c>
    </row>
    <row r="57" spans="1:4" x14ac:dyDescent="0.3">
      <c r="A57" t="s">
        <v>334</v>
      </c>
      <c r="B57" s="12">
        <v>280</v>
      </c>
      <c r="C57" s="12">
        <v>35</v>
      </c>
      <c r="D57" s="12">
        <v>315</v>
      </c>
    </row>
  </sheetData>
  <sortState ref="A3:I7">
    <sortCondition descending="1" ref="I7"/>
  </sortState>
  <customSheetViews>
    <customSheetView guid="{3B73CFE8-02C9-4B1B-B71A-B4D8AE9078B4}" scale="84">
      <selection activeCell="C60" sqref="C60:C6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5" filterMode="1"/>
  <dimension ref="A1:AX1142"/>
  <sheetViews>
    <sheetView tabSelected="1" zoomScale="90" zoomScaleNormal="90" workbookViewId="0">
      <selection activeCell="D5" sqref="D5:E330"/>
    </sheetView>
  </sheetViews>
  <sheetFormatPr defaultColWidth="8.85546875" defaultRowHeight="15" x14ac:dyDescent="0.3"/>
  <cols>
    <col min="1" max="1" width="23.5703125" style="1" bestFit="1" customWidth="1"/>
    <col min="2" max="2" width="14" style="20" customWidth="1"/>
    <col min="3" max="3" width="42.7109375" style="1" customWidth="1"/>
    <col min="4" max="4" width="21.28515625" style="3" customWidth="1"/>
    <col min="5" max="5" width="12.42578125" style="1" customWidth="1"/>
    <col min="6" max="6" width="16" style="23" customWidth="1"/>
    <col min="7" max="7" width="15.85546875" style="23" customWidth="1"/>
    <col min="8" max="8" width="18.28515625" style="23" customWidth="1"/>
    <col min="9" max="9" width="13.85546875" style="23" customWidth="1"/>
    <col min="10" max="10" width="15.7109375" style="23" customWidth="1" collapsed="1"/>
    <col min="11" max="12" width="15.7109375" style="23" customWidth="1"/>
    <col min="13" max="13" width="15.7109375" style="23" customWidth="1" collapsed="1"/>
    <col min="14" max="34" width="15.7109375" style="23" customWidth="1"/>
    <col min="35" max="35" width="18.140625" style="23" bestFit="1" customWidth="1"/>
    <col min="36" max="50" width="8.85546875" style="23"/>
  </cols>
  <sheetData>
    <row r="1" spans="1:50" ht="44.25" customHeight="1" thickBot="1" x14ac:dyDescent="0.35">
      <c r="A1" s="38" t="s">
        <v>333</v>
      </c>
      <c r="B1" s="38"/>
      <c r="C1" s="38"/>
      <c r="D1" s="50" t="s">
        <v>331</v>
      </c>
      <c r="E1" s="50"/>
      <c r="F1" s="49">
        <v>43104</v>
      </c>
      <c r="G1" s="49">
        <v>43118</v>
      </c>
      <c r="H1" s="49">
        <v>43139</v>
      </c>
      <c r="I1" s="36"/>
      <c r="J1" s="36"/>
      <c r="K1" s="36"/>
      <c r="L1" s="36"/>
      <c r="M1" s="36"/>
      <c r="N1" s="36"/>
      <c r="O1" s="36"/>
      <c r="P1" s="36"/>
      <c r="Q1" s="36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</row>
    <row r="2" spans="1:50" ht="43.5" customHeight="1" thickBot="1" x14ac:dyDescent="0.35">
      <c r="A2" s="54" t="s">
        <v>330</v>
      </c>
      <c r="B2" s="55"/>
      <c r="C2" s="56"/>
      <c r="D2" s="50" t="s">
        <v>332</v>
      </c>
      <c r="E2" s="50"/>
      <c r="F2" s="49">
        <v>43111</v>
      </c>
      <c r="G2" s="49">
        <v>43124</v>
      </c>
      <c r="H2" s="49">
        <v>43132</v>
      </c>
      <c r="I2" s="36"/>
      <c r="J2" s="36"/>
      <c r="K2" s="36"/>
      <c r="L2" s="36"/>
      <c r="M2" s="36"/>
      <c r="N2" s="36"/>
      <c r="O2" s="36"/>
      <c r="P2" s="36"/>
      <c r="Q2" s="36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</row>
    <row r="3" spans="1:50" ht="24" customHeight="1" thickBot="1" x14ac:dyDescent="0.35">
      <c r="A3" s="51" t="s">
        <v>329</v>
      </c>
      <c r="B3" s="52"/>
      <c r="C3" s="53"/>
      <c r="D3" s="50" t="s">
        <v>285</v>
      </c>
      <c r="E3" s="50"/>
      <c r="F3" s="35">
        <f t="shared" ref="F3:AX3" si="0">IFERROR(COUNTIF(F5:F315,"Complete")/((COUNTIF(F5:F315,"Incomplete"))+(COUNTIF(F5:F315,"Complete"))),"-")</f>
        <v>0.94308943089430897</v>
      </c>
      <c r="G3" s="35">
        <f t="shared" si="0"/>
        <v>0.97446808510638294</v>
      </c>
      <c r="H3" s="35">
        <f t="shared" si="0"/>
        <v>0.592741935483871</v>
      </c>
      <c r="I3" s="35" t="str">
        <f t="shared" si="0"/>
        <v>-</v>
      </c>
      <c r="J3" s="35" t="str">
        <f t="shared" si="0"/>
        <v>-</v>
      </c>
      <c r="K3" s="35" t="str">
        <f t="shared" si="0"/>
        <v>-</v>
      </c>
      <c r="L3" s="35" t="str">
        <f t="shared" si="0"/>
        <v>-</v>
      </c>
      <c r="M3" s="35" t="str">
        <f t="shared" si="0"/>
        <v>-</v>
      </c>
      <c r="N3" s="35" t="str">
        <f t="shared" si="0"/>
        <v>-</v>
      </c>
      <c r="O3" s="35" t="str">
        <f t="shared" si="0"/>
        <v>-</v>
      </c>
      <c r="P3" s="35" t="str">
        <f t="shared" si="0"/>
        <v>-</v>
      </c>
      <c r="Q3" s="35" t="str">
        <f t="shared" si="0"/>
        <v>-</v>
      </c>
      <c r="R3" s="35" t="str">
        <f t="shared" si="0"/>
        <v>-</v>
      </c>
      <c r="S3" s="35" t="str">
        <f t="shared" si="0"/>
        <v>-</v>
      </c>
      <c r="T3" s="35" t="str">
        <f t="shared" si="0"/>
        <v>-</v>
      </c>
      <c r="U3" s="35" t="str">
        <f t="shared" si="0"/>
        <v>-</v>
      </c>
      <c r="V3" s="35" t="str">
        <f t="shared" si="0"/>
        <v>-</v>
      </c>
      <c r="W3" s="35" t="str">
        <f t="shared" si="0"/>
        <v>-</v>
      </c>
      <c r="X3" s="35" t="str">
        <f t="shared" si="0"/>
        <v>-</v>
      </c>
      <c r="Y3" s="35" t="str">
        <f t="shared" si="0"/>
        <v>-</v>
      </c>
      <c r="Z3" s="35" t="str">
        <f t="shared" si="0"/>
        <v>-</v>
      </c>
      <c r="AA3" s="35" t="str">
        <f t="shared" si="0"/>
        <v>-</v>
      </c>
      <c r="AB3" s="35" t="str">
        <f t="shared" si="0"/>
        <v>-</v>
      </c>
      <c r="AC3" s="35" t="str">
        <f t="shared" si="0"/>
        <v>-</v>
      </c>
      <c r="AD3" s="35" t="str">
        <f t="shared" si="0"/>
        <v>-</v>
      </c>
      <c r="AE3" s="35" t="str">
        <f t="shared" si="0"/>
        <v>-</v>
      </c>
      <c r="AF3" s="35" t="str">
        <f t="shared" si="0"/>
        <v>-</v>
      </c>
      <c r="AG3" s="35" t="str">
        <f t="shared" si="0"/>
        <v>-</v>
      </c>
      <c r="AH3" s="35" t="str">
        <f t="shared" si="0"/>
        <v>-</v>
      </c>
      <c r="AI3" s="35" t="str">
        <f t="shared" si="0"/>
        <v>-</v>
      </c>
      <c r="AJ3" s="35" t="str">
        <f t="shared" si="0"/>
        <v>-</v>
      </c>
      <c r="AK3" s="35" t="str">
        <f t="shared" si="0"/>
        <v>-</v>
      </c>
      <c r="AL3" s="35" t="str">
        <f t="shared" si="0"/>
        <v>-</v>
      </c>
      <c r="AM3" s="35" t="str">
        <f t="shared" si="0"/>
        <v>-</v>
      </c>
      <c r="AN3" s="35" t="str">
        <f t="shared" si="0"/>
        <v>-</v>
      </c>
      <c r="AO3" s="35" t="str">
        <f t="shared" si="0"/>
        <v>-</v>
      </c>
      <c r="AP3" s="35" t="str">
        <f t="shared" si="0"/>
        <v>-</v>
      </c>
      <c r="AQ3" s="35" t="str">
        <f t="shared" si="0"/>
        <v>-</v>
      </c>
      <c r="AR3" s="35" t="str">
        <f t="shared" si="0"/>
        <v>-</v>
      </c>
      <c r="AS3" s="35" t="str">
        <f t="shared" si="0"/>
        <v>-</v>
      </c>
      <c r="AT3" s="35" t="str">
        <f t="shared" si="0"/>
        <v>-</v>
      </c>
      <c r="AU3" s="35" t="str">
        <f t="shared" si="0"/>
        <v>-</v>
      </c>
      <c r="AV3" s="35" t="str">
        <f t="shared" si="0"/>
        <v>-</v>
      </c>
      <c r="AW3" s="35" t="str">
        <f t="shared" si="0"/>
        <v>-</v>
      </c>
      <c r="AX3" s="35" t="str">
        <f t="shared" si="0"/>
        <v>-</v>
      </c>
    </row>
    <row r="4" spans="1:50" ht="52.5" customHeight="1" thickBot="1" x14ac:dyDescent="0.4">
      <c r="A4" s="43" t="s">
        <v>5</v>
      </c>
      <c r="B4" s="44" t="s">
        <v>266</v>
      </c>
      <c r="C4" s="45" t="s">
        <v>265</v>
      </c>
      <c r="D4" s="46" t="s">
        <v>0</v>
      </c>
      <c r="E4" s="47" t="s">
        <v>1</v>
      </c>
      <c r="F4" s="48" t="s">
        <v>336</v>
      </c>
      <c r="G4" s="48" t="s">
        <v>371</v>
      </c>
      <c r="H4" s="48" t="s">
        <v>391</v>
      </c>
      <c r="I4" s="48" t="s">
        <v>286</v>
      </c>
      <c r="J4" s="48" t="s">
        <v>287</v>
      </c>
      <c r="K4" s="48" t="s">
        <v>288</v>
      </c>
      <c r="L4" s="48" t="s">
        <v>289</v>
      </c>
      <c r="M4" s="48" t="s">
        <v>290</v>
      </c>
      <c r="N4" s="48" t="s">
        <v>291</v>
      </c>
      <c r="O4" s="48" t="s">
        <v>292</v>
      </c>
      <c r="P4" s="48" t="s">
        <v>293</v>
      </c>
      <c r="Q4" s="48" t="s">
        <v>294</v>
      </c>
      <c r="R4" s="48" t="s">
        <v>295</v>
      </c>
      <c r="S4" s="48" t="s">
        <v>296</v>
      </c>
      <c r="T4" s="48" t="s">
        <v>297</v>
      </c>
      <c r="U4" s="48" t="s">
        <v>298</v>
      </c>
      <c r="V4" s="48" t="s">
        <v>299</v>
      </c>
      <c r="W4" s="48" t="s">
        <v>300</v>
      </c>
      <c r="X4" s="48" t="s">
        <v>301</v>
      </c>
      <c r="Y4" s="48" t="s">
        <v>302</v>
      </c>
      <c r="Z4" s="48" t="s">
        <v>303</v>
      </c>
      <c r="AA4" s="48" t="s">
        <v>304</v>
      </c>
      <c r="AB4" s="48" t="s">
        <v>305</v>
      </c>
      <c r="AC4" s="48" t="s">
        <v>306</v>
      </c>
      <c r="AD4" s="48" t="s">
        <v>307</v>
      </c>
      <c r="AE4" s="48" t="s">
        <v>308</v>
      </c>
      <c r="AF4" s="48" t="s">
        <v>309</v>
      </c>
      <c r="AG4" s="48" t="s">
        <v>310</v>
      </c>
      <c r="AH4" s="48" t="s">
        <v>311</v>
      </c>
      <c r="AI4" s="48" t="s">
        <v>312</v>
      </c>
      <c r="AJ4" s="48" t="s">
        <v>314</v>
      </c>
      <c r="AK4" s="48" t="s">
        <v>315</v>
      </c>
      <c r="AL4" s="48" t="s">
        <v>316</v>
      </c>
      <c r="AM4" s="48" t="s">
        <v>317</v>
      </c>
      <c r="AN4" s="48" t="s">
        <v>318</v>
      </c>
      <c r="AO4" s="48" t="s">
        <v>319</v>
      </c>
      <c r="AP4" s="48" t="s">
        <v>320</v>
      </c>
      <c r="AQ4" s="48" t="s">
        <v>321</v>
      </c>
      <c r="AR4" s="48" t="s">
        <v>322</v>
      </c>
      <c r="AS4" s="48" t="s">
        <v>323</v>
      </c>
      <c r="AT4" s="48" t="s">
        <v>324</v>
      </c>
      <c r="AU4" s="48" t="s">
        <v>325</v>
      </c>
      <c r="AV4" s="48" t="s">
        <v>326</v>
      </c>
      <c r="AW4" s="48" t="s">
        <v>327</v>
      </c>
      <c r="AX4" s="48" t="s">
        <v>328</v>
      </c>
    </row>
    <row r="5" spans="1:50" ht="15.75" customHeight="1" x14ac:dyDescent="0.3">
      <c r="A5" s="30" t="s">
        <v>342</v>
      </c>
      <c r="B5" s="29" t="s">
        <v>349</v>
      </c>
      <c r="C5" s="29" t="s">
        <v>350</v>
      </c>
      <c r="D5" s="39" t="s">
        <v>351</v>
      </c>
      <c r="E5" s="40">
        <v>43073</v>
      </c>
      <c r="F5" s="21" t="s">
        <v>338</v>
      </c>
      <c r="G5" s="21" t="s">
        <v>338</v>
      </c>
      <c r="H5" s="21" t="s">
        <v>338</v>
      </c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 t="s">
        <v>313</v>
      </c>
      <c r="AN5" s="21" t="s">
        <v>313</v>
      </c>
      <c r="AO5" s="21" t="s">
        <v>313</v>
      </c>
      <c r="AP5" s="21" t="s">
        <v>313</v>
      </c>
      <c r="AQ5" s="21" t="s">
        <v>313</v>
      </c>
      <c r="AR5" s="21" t="s">
        <v>313</v>
      </c>
      <c r="AS5" s="21" t="s">
        <v>313</v>
      </c>
      <c r="AT5" s="21" t="s">
        <v>313</v>
      </c>
      <c r="AU5" s="21" t="s">
        <v>313</v>
      </c>
      <c r="AV5" s="21" t="s">
        <v>313</v>
      </c>
      <c r="AW5" s="21" t="s">
        <v>313</v>
      </c>
      <c r="AX5" s="21" t="s">
        <v>313</v>
      </c>
    </row>
    <row r="6" spans="1:50" ht="15.75" customHeight="1" x14ac:dyDescent="0.3">
      <c r="A6" s="30" t="s">
        <v>228</v>
      </c>
      <c r="B6" s="29" t="str">
        <f>IFERROR(VLOOKUP(A6,'[1]JL EXE ACTIVE FTE List'!$G:$N,8,FALSE),IF(ISNA(VLOOKUP(A6,'[1]JL EXE LEAVER List'!$G:$I,3,FALSE)),"Query","Leaver"))</f>
        <v>COM</v>
      </c>
      <c r="C6" s="29" t="str">
        <f>IFERROR(VLOOKUP(A6,'[1]JL EXE ACTIVE FTE List'!$G:$R,12,FALSE),IF(ISNA(VLOOKUP(A6,'[1]JL EXE LEAVER List'!$G:$I,3,FALSE)),"?QUERY?","Leaver"))</f>
        <v>ACTIVE</v>
      </c>
      <c r="D6" s="39" t="str">
        <f>IFERROR(IFERROR(VLOOKUP(A6,'[1]JL EXE ACTIVE FTE List'!$G:$H,2,FALSE),VLOOKUP(A6,'[1]JL EXE LEAVER List'!$G:$H,2,FALSE)),"?QUERY?")</f>
        <v>Andrew Warren</v>
      </c>
      <c r="E6" s="40">
        <f>IFERROR(IFERROR(VLOOKUP(A6,'[1]JL EXE ACTIVE FTE List'!$G:$O,9,FALSE),VLOOKUP(A6,'[1]JL EXE LEAVER List'!$G:$O,9,FALSE)),"?QUERY?")</f>
        <v>42212</v>
      </c>
      <c r="F6" s="21" t="s">
        <v>338</v>
      </c>
      <c r="G6" s="21" t="s">
        <v>338</v>
      </c>
      <c r="H6" s="21" t="s">
        <v>341</v>
      </c>
      <c r="I6" s="21" t="s">
        <v>313</v>
      </c>
      <c r="J6" s="21" t="s">
        <v>313</v>
      </c>
      <c r="K6" s="21" t="s">
        <v>313</v>
      </c>
      <c r="L6" s="21" t="s">
        <v>313</v>
      </c>
      <c r="M6" s="21" t="s">
        <v>313</v>
      </c>
      <c r="N6" s="21" t="s">
        <v>313</v>
      </c>
      <c r="O6" s="21" t="s">
        <v>313</v>
      </c>
      <c r="P6" s="21" t="s">
        <v>313</v>
      </c>
      <c r="Q6" s="21" t="s">
        <v>313</v>
      </c>
      <c r="R6" s="21" t="s">
        <v>313</v>
      </c>
      <c r="S6" s="21" t="s">
        <v>313</v>
      </c>
      <c r="T6" s="21" t="s">
        <v>313</v>
      </c>
      <c r="U6" s="21" t="s">
        <v>313</v>
      </c>
      <c r="V6" s="21" t="s">
        <v>313</v>
      </c>
      <c r="W6" s="21" t="s">
        <v>313</v>
      </c>
      <c r="X6" s="21" t="s">
        <v>313</v>
      </c>
      <c r="Y6" s="21" t="s">
        <v>313</v>
      </c>
      <c r="Z6" s="21" t="s">
        <v>313</v>
      </c>
      <c r="AA6" s="21" t="s">
        <v>313</v>
      </c>
      <c r="AB6" s="21" t="s">
        <v>313</v>
      </c>
      <c r="AC6" s="21" t="s">
        <v>313</v>
      </c>
      <c r="AD6" s="21" t="s">
        <v>313</v>
      </c>
      <c r="AE6" s="21" t="s">
        <v>313</v>
      </c>
      <c r="AF6" s="21" t="s">
        <v>313</v>
      </c>
      <c r="AG6" s="21" t="s">
        <v>313</v>
      </c>
      <c r="AH6" s="21" t="s">
        <v>313</v>
      </c>
      <c r="AI6" s="21" t="s">
        <v>313</v>
      </c>
      <c r="AJ6" s="21" t="s">
        <v>313</v>
      </c>
      <c r="AK6" s="21" t="s">
        <v>313</v>
      </c>
      <c r="AL6" s="21" t="s">
        <v>313</v>
      </c>
      <c r="AM6" s="21" t="s">
        <v>313</v>
      </c>
      <c r="AN6" s="21" t="s">
        <v>313</v>
      </c>
      <c r="AO6" s="21" t="s">
        <v>313</v>
      </c>
      <c r="AP6" s="21" t="s">
        <v>313</v>
      </c>
      <c r="AQ6" s="21" t="s">
        <v>313</v>
      </c>
      <c r="AR6" s="21" t="s">
        <v>313</v>
      </c>
      <c r="AS6" s="21" t="s">
        <v>313</v>
      </c>
      <c r="AT6" s="21" t="s">
        <v>313</v>
      </c>
      <c r="AU6" s="21" t="s">
        <v>313</v>
      </c>
      <c r="AV6" s="21" t="s">
        <v>313</v>
      </c>
      <c r="AW6" s="21" t="s">
        <v>313</v>
      </c>
      <c r="AX6" s="21" t="s">
        <v>313</v>
      </c>
    </row>
    <row r="7" spans="1:50" ht="15.75" hidden="1" customHeight="1" x14ac:dyDescent="0.3">
      <c r="A7" s="30" t="s">
        <v>77</v>
      </c>
      <c r="B7" s="29" t="str">
        <f>IFERROR(VLOOKUP(A7,'[1]JL EXE ACTIVE FTE List'!$G:$N,8,FALSE),IF(ISNA(VLOOKUP(A7,'[1]JL EXE LEAVER List'!$G:$I,3,FALSE)),"Query","Leaver"))</f>
        <v>Leaver</v>
      </c>
      <c r="C7" s="29" t="str">
        <f>IFERROR(VLOOKUP(A7,'[1]JL EXE ACTIVE FTE List'!$G:$R,12,FALSE),IF(ISNA(VLOOKUP(A7,'[1]JL EXE LEAVER List'!$G:$I,3,FALSE)),"?QUERY?","Leaver"))</f>
        <v>Leaver</v>
      </c>
      <c r="D7" s="39" t="str">
        <f>IFERROR(IFERROR(VLOOKUP(A7,'[1]JL EXE ACTIVE FTE List'!$G:$H,2,FALSE),VLOOKUP(A7,'[1]JL EXE LEAVER List'!$G:$H,2,FALSE)),"?QUERY?")</f>
        <v>Antonio Follano</v>
      </c>
      <c r="E7" s="40">
        <f>IFERROR(IFERROR(VLOOKUP(A7,'[1]JL EXE ACTIVE FTE List'!$G:$O,9,FALSE),VLOOKUP(A7,'[1]JL EXE LEAVER List'!$G:$O,9,FALSE)),"?QUERY?")</f>
        <v>43017</v>
      </c>
      <c r="F7" s="21" t="s">
        <v>339</v>
      </c>
      <c r="G7" s="21" t="s">
        <v>313</v>
      </c>
      <c r="H7" s="21" t="s">
        <v>313</v>
      </c>
      <c r="I7" s="21" t="s">
        <v>313</v>
      </c>
      <c r="J7" s="21" t="s">
        <v>313</v>
      </c>
      <c r="K7" s="21" t="s">
        <v>313</v>
      </c>
      <c r="L7" s="21" t="s">
        <v>313</v>
      </c>
      <c r="M7" s="21" t="s">
        <v>313</v>
      </c>
      <c r="N7" s="21" t="s">
        <v>313</v>
      </c>
      <c r="O7" s="21" t="s">
        <v>313</v>
      </c>
      <c r="P7" s="21" t="s">
        <v>313</v>
      </c>
      <c r="Q7" s="21" t="s">
        <v>313</v>
      </c>
      <c r="R7" s="21" t="s">
        <v>313</v>
      </c>
      <c r="S7" s="21" t="s">
        <v>313</v>
      </c>
      <c r="T7" s="21" t="s">
        <v>313</v>
      </c>
      <c r="U7" s="21" t="s">
        <v>313</v>
      </c>
      <c r="V7" s="21" t="s">
        <v>313</v>
      </c>
      <c r="W7" s="21" t="s">
        <v>313</v>
      </c>
      <c r="X7" s="21" t="s">
        <v>313</v>
      </c>
      <c r="Y7" s="21" t="s">
        <v>313</v>
      </c>
      <c r="Z7" s="21" t="s">
        <v>313</v>
      </c>
      <c r="AA7" s="21" t="s">
        <v>313</v>
      </c>
      <c r="AB7" s="21" t="s">
        <v>313</v>
      </c>
      <c r="AC7" s="21" t="s">
        <v>313</v>
      </c>
      <c r="AD7" s="21" t="s">
        <v>313</v>
      </c>
      <c r="AE7" s="21" t="s">
        <v>313</v>
      </c>
      <c r="AF7" s="21" t="s">
        <v>313</v>
      </c>
      <c r="AG7" s="21" t="s">
        <v>313</v>
      </c>
      <c r="AH7" s="21" t="s">
        <v>313</v>
      </c>
      <c r="AI7" s="21" t="s">
        <v>313</v>
      </c>
      <c r="AJ7" s="21" t="s">
        <v>313</v>
      </c>
      <c r="AK7" s="21" t="s">
        <v>313</v>
      </c>
      <c r="AL7" s="21" t="s">
        <v>313</v>
      </c>
      <c r="AM7" s="21" t="s">
        <v>313</v>
      </c>
      <c r="AN7" s="21" t="s">
        <v>313</v>
      </c>
      <c r="AO7" s="21" t="s">
        <v>313</v>
      </c>
      <c r="AP7" s="21" t="s">
        <v>313</v>
      </c>
      <c r="AQ7" s="21" t="s">
        <v>313</v>
      </c>
      <c r="AR7" s="21" t="s">
        <v>313</v>
      </c>
      <c r="AS7" s="21" t="s">
        <v>313</v>
      </c>
      <c r="AT7" s="21" t="s">
        <v>313</v>
      </c>
      <c r="AU7" s="21" t="s">
        <v>313</v>
      </c>
      <c r="AV7" s="21" t="s">
        <v>313</v>
      </c>
      <c r="AW7" s="21" t="s">
        <v>313</v>
      </c>
      <c r="AX7" s="21" t="s">
        <v>313</v>
      </c>
    </row>
    <row r="8" spans="1:50" ht="15.75" hidden="1" customHeight="1" x14ac:dyDescent="0.3">
      <c r="A8" s="30" t="s">
        <v>6</v>
      </c>
      <c r="B8" s="29" t="str">
        <f>IFERROR(VLOOKUP(A8,'[1]JL EXE ACTIVE FTE List'!$G:$N,8,FALSE),IF(ISNA(VLOOKUP(A8,'[1]JL EXE LEAVER List'!$G:$I,3,FALSE)),"Query","Leaver"))</f>
        <v>TM/C</v>
      </c>
      <c r="C8" s="29" t="str">
        <f>IFERROR(VLOOKUP(A8,'[1]JL EXE ACTIVE FTE List'!$G:$R,12,FALSE),IF(ISNA(VLOOKUP(A8,'[1]JL EXE LEAVER List'!$G:$I,3,FALSE)),"?QUERY?","Leaver"))</f>
        <v>ACTIVE</v>
      </c>
      <c r="D8" s="39" t="str">
        <f>IFERROR(IFERROR(VLOOKUP(A8,'[1]JL EXE ACTIVE FTE List'!$G:$H,2,FALSE),VLOOKUP(A8,'[1]JL EXE LEAVER List'!$G:$H,2,FALSE)),"?QUERY?")</f>
        <v>Andrew Warren</v>
      </c>
      <c r="E8" s="40">
        <f>IFERROR(IFERROR(VLOOKUP(A8,'[1]JL EXE ACTIVE FTE List'!$G:$O,9,FALSE),VLOOKUP(A8,'[1]JL EXE LEAVER List'!$G:$O,9,FALSE)),"?QUERY?")</f>
        <v>41926</v>
      </c>
      <c r="F8" s="21" t="s">
        <v>341</v>
      </c>
      <c r="G8" s="21" t="s">
        <v>341</v>
      </c>
      <c r="H8" s="21" t="s">
        <v>341</v>
      </c>
      <c r="I8" s="21" t="s">
        <v>313</v>
      </c>
      <c r="J8" s="21" t="s">
        <v>313</v>
      </c>
      <c r="K8" s="21" t="s">
        <v>313</v>
      </c>
      <c r="L8" s="21" t="s">
        <v>313</v>
      </c>
      <c r="M8" s="21" t="s">
        <v>313</v>
      </c>
      <c r="N8" s="21" t="s">
        <v>313</v>
      </c>
      <c r="O8" s="21" t="s">
        <v>313</v>
      </c>
      <c r="P8" s="21" t="s">
        <v>313</v>
      </c>
      <c r="Q8" s="21" t="s">
        <v>313</v>
      </c>
      <c r="R8" s="21" t="s">
        <v>313</v>
      </c>
      <c r="S8" s="21" t="s">
        <v>313</v>
      </c>
      <c r="T8" s="21" t="s">
        <v>313</v>
      </c>
      <c r="U8" s="21" t="s">
        <v>313</v>
      </c>
      <c r="V8" s="21" t="s">
        <v>313</v>
      </c>
      <c r="W8" s="21" t="s">
        <v>313</v>
      </c>
      <c r="X8" s="21" t="s">
        <v>313</v>
      </c>
      <c r="Y8" s="21" t="s">
        <v>313</v>
      </c>
      <c r="Z8" s="21" t="s">
        <v>313</v>
      </c>
      <c r="AA8" s="21" t="s">
        <v>313</v>
      </c>
      <c r="AB8" s="21" t="s">
        <v>313</v>
      </c>
      <c r="AC8" s="21" t="s">
        <v>313</v>
      </c>
      <c r="AD8" s="21" t="s">
        <v>313</v>
      </c>
      <c r="AE8" s="21" t="s">
        <v>313</v>
      </c>
      <c r="AF8" s="21" t="s">
        <v>313</v>
      </c>
      <c r="AG8" s="21" t="s">
        <v>313</v>
      </c>
      <c r="AH8" s="21" t="s">
        <v>313</v>
      </c>
      <c r="AI8" s="21" t="s">
        <v>313</v>
      </c>
      <c r="AJ8" s="21" t="s">
        <v>313</v>
      </c>
      <c r="AK8" s="21" t="s">
        <v>313</v>
      </c>
      <c r="AL8" s="21" t="s">
        <v>313</v>
      </c>
      <c r="AM8" s="21" t="s">
        <v>313</v>
      </c>
      <c r="AN8" s="21" t="s">
        <v>313</v>
      </c>
      <c r="AO8" s="21" t="s">
        <v>313</v>
      </c>
      <c r="AP8" s="21" t="s">
        <v>313</v>
      </c>
      <c r="AQ8" s="21" t="s">
        <v>313</v>
      </c>
      <c r="AR8" s="21" t="s">
        <v>313</v>
      </c>
      <c r="AS8" s="21" t="s">
        <v>313</v>
      </c>
      <c r="AT8" s="21" t="s">
        <v>313</v>
      </c>
      <c r="AU8" s="21" t="s">
        <v>313</v>
      </c>
      <c r="AV8" s="21" t="s">
        <v>313</v>
      </c>
      <c r="AW8" s="21" t="s">
        <v>313</v>
      </c>
      <c r="AX8" s="21" t="s">
        <v>313</v>
      </c>
    </row>
    <row r="9" spans="1:50" ht="15.75" customHeight="1" x14ac:dyDescent="0.3">
      <c r="A9" s="30" t="s">
        <v>7</v>
      </c>
      <c r="B9" s="29" t="str">
        <f>IFERROR(VLOOKUP(A9,'[1]JL EXE ACTIVE FTE List'!$G:$N,8,FALSE),IF(ISNA(VLOOKUP(A9,'[1]JL EXE LEAVER List'!$G:$I,3,FALSE)),"Query","Leaver"))</f>
        <v>CST</v>
      </c>
      <c r="C9" s="29" t="str">
        <f>IFERROR(VLOOKUP(A9,'[1]JL EXE ACTIVE FTE List'!$G:$R,12,FALSE),IF(ISNA(VLOOKUP(A9,'[1]JL EXE LEAVER List'!$G:$I,3,FALSE)),"?QUERY?","Leaver"))</f>
        <v>ACTIVE</v>
      </c>
      <c r="D9" s="39" t="str">
        <f>IFERROR(IFERROR(VLOOKUP(A9,'[1]JL EXE ACTIVE FTE List'!$G:$H,2,FALSE),VLOOKUP(A9,'[1]JL EXE LEAVER List'!$G:$H,2,FALSE)),"?QUERY?")</f>
        <v>Andrew Warren</v>
      </c>
      <c r="E9" s="40">
        <f>IFERROR(IFERROR(VLOOKUP(A9,'[1]JL EXE ACTIVE FTE List'!$G:$O,9,FALSE),VLOOKUP(A9,'[1]JL EXE LEAVER List'!$G:$O,9,FALSE)),"?QUERY?")</f>
        <v>42472</v>
      </c>
      <c r="F9" s="21" t="s">
        <v>338</v>
      </c>
      <c r="G9" s="21" t="s">
        <v>338</v>
      </c>
      <c r="H9" s="21" t="s">
        <v>338</v>
      </c>
      <c r="I9" s="21" t="s">
        <v>313</v>
      </c>
      <c r="J9" s="21" t="s">
        <v>313</v>
      </c>
      <c r="K9" s="21" t="s">
        <v>313</v>
      </c>
      <c r="L9" s="21" t="s">
        <v>313</v>
      </c>
      <c r="M9" s="21" t="s">
        <v>313</v>
      </c>
      <c r="N9" s="21" t="s">
        <v>313</v>
      </c>
      <c r="O9" s="21" t="s">
        <v>313</v>
      </c>
      <c r="P9" s="21" t="s">
        <v>313</v>
      </c>
      <c r="Q9" s="21" t="s">
        <v>313</v>
      </c>
      <c r="R9" s="21" t="s">
        <v>313</v>
      </c>
      <c r="S9" s="21" t="s">
        <v>313</v>
      </c>
      <c r="T9" s="21" t="s">
        <v>313</v>
      </c>
      <c r="U9" s="21" t="s">
        <v>313</v>
      </c>
      <c r="V9" s="21" t="s">
        <v>313</v>
      </c>
      <c r="W9" s="21" t="s">
        <v>313</v>
      </c>
      <c r="X9" s="21" t="s">
        <v>313</v>
      </c>
      <c r="Y9" s="21" t="s">
        <v>313</v>
      </c>
      <c r="Z9" s="21" t="s">
        <v>313</v>
      </c>
      <c r="AA9" s="21" t="s">
        <v>313</v>
      </c>
      <c r="AB9" s="21" t="s">
        <v>313</v>
      </c>
      <c r="AC9" s="21" t="s">
        <v>313</v>
      </c>
      <c r="AD9" s="21" t="s">
        <v>313</v>
      </c>
      <c r="AE9" s="21" t="s">
        <v>313</v>
      </c>
      <c r="AF9" s="21" t="s">
        <v>313</v>
      </c>
      <c r="AG9" s="21" t="s">
        <v>313</v>
      </c>
      <c r="AH9" s="21" t="s">
        <v>313</v>
      </c>
      <c r="AI9" s="21" t="s">
        <v>313</v>
      </c>
      <c r="AJ9" s="21" t="s">
        <v>313</v>
      </c>
      <c r="AK9" s="21" t="s">
        <v>313</v>
      </c>
      <c r="AL9" s="21" t="s">
        <v>313</v>
      </c>
      <c r="AM9" s="21" t="s">
        <v>313</v>
      </c>
      <c r="AN9" s="21" t="s">
        <v>313</v>
      </c>
      <c r="AO9" s="21" t="s">
        <v>313</v>
      </c>
      <c r="AP9" s="21" t="s">
        <v>313</v>
      </c>
      <c r="AQ9" s="21" t="s">
        <v>313</v>
      </c>
      <c r="AR9" s="21" t="s">
        <v>313</v>
      </c>
      <c r="AS9" s="21" t="s">
        <v>313</v>
      </c>
      <c r="AT9" s="21" t="s">
        <v>313</v>
      </c>
      <c r="AU9" s="21" t="s">
        <v>313</v>
      </c>
      <c r="AV9" s="21" t="s">
        <v>313</v>
      </c>
      <c r="AW9" s="21" t="s">
        <v>313</v>
      </c>
      <c r="AX9" s="21" t="s">
        <v>313</v>
      </c>
    </row>
    <row r="10" spans="1:50" ht="15.75" customHeight="1" x14ac:dyDescent="0.3">
      <c r="A10" s="30" t="s">
        <v>167</v>
      </c>
      <c r="B10" s="29" t="str">
        <f>IFERROR(VLOOKUP(A10,'[1]JL EXE ACTIVE FTE List'!$G:$N,8,FALSE),IF(ISNA(VLOOKUP(A10,'[1]JL EXE LEAVER List'!$G:$I,3,FALSE)),"Query","Leaver"))</f>
        <v>ATV</v>
      </c>
      <c r="C10" s="29" t="str">
        <f>IFERROR(VLOOKUP(A10,'[1]JL EXE ACTIVE FTE List'!$G:$R,12,FALSE),IF(ISNA(VLOOKUP(A10,'[1]JL EXE LEAVER List'!$G:$I,3,FALSE)),"?QUERY?","Leaver"))</f>
        <v>ACTIVE</v>
      </c>
      <c r="D10" s="39" t="s">
        <v>351</v>
      </c>
      <c r="E10" s="40">
        <f>IFERROR(IFERROR(VLOOKUP(A10,'[1]JL EXE ACTIVE FTE List'!$G:$O,9,FALSE),VLOOKUP(A10,'[1]JL EXE LEAVER List'!$G:$O,9,FALSE)),"?QUERY?")</f>
        <v>42793</v>
      </c>
      <c r="F10" s="21" t="s">
        <v>338</v>
      </c>
      <c r="G10" s="21" t="s">
        <v>338</v>
      </c>
      <c r="H10" s="21" t="s">
        <v>338</v>
      </c>
      <c r="I10" s="21" t="s">
        <v>313</v>
      </c>
      <c r="J10" s="21" t="s">
        <v>313</v>
      </c>
      <c r="K10" s="21" t="s">
        <v>313</v>
      </c>
      <c r="L10" s="21" t="s">
        <v>313</v>
      </c>
      <c r="M10" s="21" t="s">
        <v>313</v>
      </c>
      <c r="N10" s="21" t="s">
        <v>313</v>
      </c>
      <c r="O10" s="21" t="s">
        <v>313</v>
      </c>
      <c r="P10" s="21" t="s">
        <v>313</v>
      </c>
      <c r="Q10" s="21" t="s">
        <v>313</v>
      </c>
      <c r="R10" s="21" t="s">
        <v>313</v>
      </c>
      <c r="S10" s="21" t="s">
        <v>313</v>
      </c>
      <c r="T10" s="21" t="s">
        <v>313</v>
      </c>
      <c r="U10" s="21" t="s">
        <v>313</v>
      </c>
      <c r="V10" s="21" t="s">
        <v>313</v>
      </c>
      <c r="W10" s="21" t="s">
        <v>313</v>
      </c>
      <c r="X10" s="21" t="s">
        <v>313</v>
      </c>
      <c r="Y10" s="21" t="s">
        <v>313</v>
      </c>
      <c r="Z10" s="21" t="s">
        <v>313</v>
      </c>
      <c r="AA10" s="21" t="s">
        <v>313</v>
      </c>
      <c r="AB10" s="21" t="s">
        <v>313</v>
      </c>
      <c r="AC10" s="21" t="s">
        <v>313</v>
      </c>
      <c r="AD10" s="21" t="s">
        <v>313</v>
      </c>
      <c r="AE10" s="21" t="s">
        <v>313</v>
      </c>
      <c r="AF10" s="21" t="s">
        <v>313</v>
      </c>
      <c r="AG10" s="21" t="s">
        <v>313</v>
      </c>
      <c r="AH10" s="21" t="s">
        <v>313</v>
      </c>
      <c r="AI10" s="21" t="s">
        <v>313</v>
      </c>
      <c r="AJ10" s="21" t="s">
        <v>313</v>
      </c>
      <c r="AK10" s="21" t="s">
        <v>313</v>
      </c>
      <c r="AL10" s="21" t="s">
        <v>313</v>
      </c>
      <c r="AM10" s="21" t="s">
        <v>313</v>
      </c>
      <c r="AN10" s="21" t="s">
        <v>313</v>
      </c>
      <c r="AO10" s="21" t="s">
        <v>313</v>
      </c>
      <c r="AP10" s="21" t="s">
        <v>313</v>
      </c>
      <c r="AQ10" s="21" t="s">
        <v>313</v>
      </c>
      <c r="AR10" s="21" t="s">
        <v>313</v>
      </c>
      <c r="AS10" s="21" t="s">
        <v>313</v>
      </c>
      <c r="AT10" s="21" t="s">
        <v>313</v>
      </c>
      <c r="AU10" s="21" t="s">
        <v>313</v>
      </c>
      <c r="AV10" s="21" t="s">
        <v>313</v>
      </c>
      <c r="AW10" s="21" t="s">
        <v>313</v>
      </c>
      <c r="AX10" s="21" t="s">
        <v>313</v>
      </c>
    </row>
    <row r="11" spans="1:50" ht="15.75" hidden="1" customHeight="1" x14ac:dyDescent="0.3">
      <c r="A11" s="30" t="s">
        <v>219</v>
      </c>
      <c r="B11" s="29" t="str">
        <f>IFERROR(VLOOKUP(A11,'[1]JL EXE ACTIVE FTE List'!$G:$N,8,FALSE),IF(ISNA(VLOOKUP(A11,'[1]JL EXE LEAVER List'!$G:$I,3,FALSE)),"Query","Leaver"))</f>
        <v>LE</v>
      </c>
      <c r="C11" s="29" t="str">
        <f>IFERROR(VLOOKUP(A11,'[1]JL EXE ACTIVE FTE List'!$G:$R,12,FALSE),IF(ISNA(VLOOKUP(A11,'[1]JL EXE LEAVER List'!$G:$I,3,FALSE)),"?QUERY?","Leaver"))</f>
        <v>ACTIVE</v>
      </c>
      <c r="D11" s="39" t="str">
        <f>IFERROR(IFERROR(VLOOKUP(A11,'[1]JL EXE ACTIVE FTE List'!$G:$H,2,FALSE),VLOOKUP(A11,'[1]JL EXE LEAVER List'!$G:$H,2,FALSE)),"?QUERY?")</f>
        <v>Andrew Warren</v>
      </c>
      <c r="E11" s="40">
        <f>IFERROR(IFERROR(VLOOKUP(A11,'[1]JL EXE ACTIVE FTE List'!$G:$O,9,FALSE),VLOOKUP(A11,'[1]JL EXE LEAVER List'!$G:$O,9,FALSE)),"?QUERY?")</f>
        <v>41890</v>
      </c>
      <c r="F11" s="21" t="s">
        <v>341</v>
      </c>
      <c r="G11" s="21" t="s">
        <v>341</v>
      </c>
      <c r="H11" s="21" t="s">
        <v>341</v>
      </c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 t="s">
        <v>313</v>
      </c>
      <c r="AN11" s="21" t="s">
        <v>313</v>
      </c>
      <c r="AO11" s="21" t="s">
        <v>313</v>
      </c>
      <c r="AP11" s="21" t="s">
        <v>313</v>
      </c>
      <c r="AQ11" s="21" t="s">
        <v>313</v>
      </c>
      <c r="AR11" s="21" t="s">
        <v>313</v>
      </c>
      <c r="AS11" s="21" t="s">
        <v>313</v>
      </c>
      <c r="AT11" s="21" t="s">
        <v>313</v>
      </c>
      <c r="AU11" s="21" t="s">
        <v>313</v>
      </c>
      <c r="AV11" s="21" t="s">
        <v>313</v>
      </c>
      <c r="AW11" s="21" t="s">
        <v>313</v>
      </c>
      <c r="AX11" s="21" t="s">
        <v>313</v>
      </c>
    </row>
    <row r="12" spans="1:50" ht="15.75" customHeight="1" x14ac:dyDescent="0.3">
      <c r="A12" s="30" t="s">
        <v>343</v>
      </c>
      <c r="B12" s="29" t="s">
        <v>348</v>
      </c>
      <c r="C12" s="29" t="s">
        <v>350</v>
      </c>
      <c r="D12" s="39" t="s">
        <v>351</v>
      </c>
      <c r="E12" s="40">
        <v>43073</v>
      </c>
      <c r="F12" s="21" t="s">
        <v>338</v>
      </c>
      <c r="G12" s="21" t="s">
        <v>338</v>
      </c>
      <c r="H12" s="21" t="s">
        <v>335</v>
      </c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 t="s">
        <v>313</v>
      </c>
      <c r="AN12" s="21" t="s">
        <v>313</v>
      </c>
      <c r="AO12" s="21" t="s">
        <v>313</v>
      </c>
      <c r="AP12" s="21" t="s">
        <v>313</v>
      </c>
      <c r="AQ12" s="21" t="s">
        <v>313</v>
      </c>
      <c r="AR12" s="21" t="s">
        <v>313</v>
      </c>
      <c r="AS12" s="21" t="s">
        <v>313</v>
      </c>
      <c r="AT12" s="21" t="s">
        <v>313</v>
      </c>
      <c r="AU12" s="21" t="s">
        <v>313</v>
      </c>
      <c r="AV12" s="21" t="s">
        <v>313</v>
      </c>
      <c r="AW12" s="21" t="s">
        <v>313</v>
      </c>
      <c r="AX12" s="21" t="s">
        <v>313</v>
      </c>
    </row>
    <row r="13" spans="1:50" ht="15.75" hidden="1" customHeight="1" x14ac:dyDescent="0.3">
      <c r="A13" s="30" t="s">
        <v>353</v>
      </c>
      <c r="B13" s="29" t="s">
        <v>349</v>
      </c>
      <c r="C13" s="29" t="s">
        <v>350</v>
      </c>
      <c r="D13" s="39" t="s">
        <v>351</v>
      </c>
      <c r="E13" s="40">
        <v>43108</v>
      </c>
      <c r="F13" s="21" t="s">
        <v>341</v>
      </c>
      <c r="G13" s="21" t="s">
        <v>341</v>
      </c>
      <c r="H13" s="21" t="s">
        <v>338</v>
      </c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 t="s">
        <v>313</v>
      </c>
      <c r="AN13" s="21" t="s">
        <v>313</v>
      </c>
      <c r="AO13" s="21" t="s">
        <v>313</v>
      </c>
      <c r="AP13" s="21" t="s">
        <v>313</v>
      </c>
      <c r="AQ13" s="21" t="s">
        <v>313</v>
      </c>
      <c r="AR13" s="21" t="s">
        <v>313</v>
      </c>
      <c r="AS13" s="21" t="s">
        <v>313</v>
      </c>
      <c r="AT13" s="21" t="s">
        <v>313</v>
      </c>
      <c r="AU13" s="21" t="s">
        <v>313</v>
      </c>
      <c r="AV13" s="21" t="s">
        <v>313</v>
      </c>
      <c r="AW13" s="21" t="s">
        <v>313</v>
      </c>
      <c r="AX13" s="21" t="s">
        <v>313</v>
      </c>
    </row>
    <row r="14" spans="1:50" ht="15.75" hidden="1" customHeight="1" x14ac:dyDescent="0.3">
      <c r="A14" s="30" t="s">
        <v>354</v>
      </c>
      <c r="B14" s="29" t="s">
        <v>365</v>
      </c>
      <c r="C14" s="29" t="s">
        <v>350</v>
      </c>
      <c r="D14" s="39" t="s">
        <v>351</v>
      </c>
      <c r="E14" s="40">
        <v>43108</v>
      </c>
      <c r="F14" s="21" t="s">
        <v>341</v>
      </c>
      <c r="G14" s="21" t="s">
        <v>341</v>
      </c>
      <c r="H14" s="21" t="s">
        <v>352</v>
      </c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 t="s">
        <v>313</v>
      </c>
      <c r="AN14" s="21" t="s">
        <v>313</v>
      </c>
      <c r="AO14" s="21" t="s">
        <v>313</v>
      </c>
      <c r="AP14" s="21" t="s">
        <v>313</v>
      </c>
      <c r="AQ14" s="21" t="s">
        <v>313</v>
      </c>
      <c r="AR14" s="21" t="s">
        <v>313</v>
      </c>
      <c r="AS14" s="21" t="s">
        <v>313</v>
      </c>
      <c r="AT14" s="21" t="s">
        <v>313</v>
      </c>
      <c r="AU14" s="21" t="s">
        <v>313</v>
      </c>
      <c r="AV14" s="21" t="s">
        <v>313</v>
      </c>
      <c r="AW14" s="21" t="s">
        <v>313</v>
      </c>
      <c r="AX14" s="21" t="s">
        <v>313</v>
      </c>
    </row>
    <row r="15" spans="1:50" ht="15.75" hidden="1" customHeight="1" x14ac:dyDescent="0.3">
      <c r="A15" s="30" t="s">
        <v>355</v>
      </c>
      <c r="B15" s="29" t="s">
        <v>365</v>
      </c>
      <c r="C15" s="29" t="s">
        <v>350</v>
      </c>
      <c r="D15" s="39" t="s">
        <v>351</v>
      </c>
      <c r="E15" s="40">
        <v>43108</v>
      </c>
      <c r="F15" s="21" t="s">
        <v>341</v>
      </c>
      <c r="G15" s="21" t="s">
        <v>341</v>
      </c>
      <c r="H15" s="21" t="s">
        <v>338</v>
      </c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 t="s">
        <v>313</v>
      </c>
      <c r="AN15" s="21" t="s">
        <v>313</v>
      </c>
      <c r="AO15" s="21" t="s">
        <v>313</v>
      </c>
      <c r="AP15" s="21" t="s">
        <v>313</v>
      </c>
      <c r="AQ15" s="21" t="s">
        <v>313</v>
      </c>
      <c r="AR15" s="21" t="s">
        <v>313</v>
      </c>
      <c r="AS15" s="21" t="s">
        <v>313</v>
      </c>
      <c r="AT15" s="21" t="s">
        <v>313</v>
      </c>
      <c r="AU15" s="21" t="s">
        <v>313</v>
      </c>
      <c r="AV15" s="21" t="s">
        <v>313</v>
      </c>
      <c r="AW15" s="21" t="s">
        <v>313</v>
      </c>
      <c r="AX15" s="21" t="s">
        <v>313</v>
      </c>
    </row>
    <row r="16" spans="1:50" ht="15.75" hidden="1" customHeight="1" x14ac:dyDescent="0.3">
      <c r="A16" s="30" t="s">
        <v>356</v>
      </c>
      <c r="B16" s="29" t="s">
        <v>365</v>
      </c>
      <c r="C16" s="29" t="s">
        <v>350</v>
      </c>
      <c r="D16" s="39" t="s">
        <v>351</v>
      </c>
      <c r="E16" s="40">
        <v>43108</v>
      </c>
      <c r="F16" s="21" t="s">
        <v>341</v>
      </c>
      <c r="G16" s="21" t="s">
        <v>341</v>
      </c>
      <c r="H16" s="21" t="s">
        <v>338</v>
      </c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 t="s">
        <v>313</v>
      </c>
      <c r="AN16" s="21" t="s">
        <v>313</v>
      </c>
      <c r="AO16" s="21" t="s">
        <v>313</v>
      </c>
      <c r="AP16" s="21" t="s">
        <v>313</v>
      </c>
      <c r="AQ16" s="21" t="s">
        <v>313</v>
      </c>
      <c r="AR16" s="21" t="s">
        <v>313</v>
      </c>
      <c r="AS16" s="21" t="s">
        <v>313</v>
      </c>
      <c r="AT16" s="21" t="s">
        <v>313</v>
      </c>
      <c r="AU16" s="21" t="s">
        <v>313</v>
      </c>
      <c r="AV16" s="21" t="s">
        <v>313</v>
      </c>
      <c r="AW16" s="21" t="s">
        <v>313</v>
      </c>
      <c r="AX16" s="21" t="s">
        <v>313</v>
      </c>
    </row>
    <row r="17" spans="1:50" ht="15.75" hidden="1" customHeight="1" x14ac:dyDescent="0.3">
      <c r="A17" s="30" t="s">
        <v>357</v>
      </c>
      <c r="B17" s="29" t="s">
        <v>365</v>
      </c>
      <c r="C17" s="29" t="s">
        <v>350</v>
      </c>
      <c r="D17" s="39" t="s">
        <v>351</v>
      </c>
      <c r="E17" s="40">
        <v>43108</v>
      </c>
      <c r="F17" s="21" t="s">
        <v>341</v>
      </c>
      <c r="G17" s="21" t="s">
        <v>341</v>
      </c>
      <c r="H17" s="21" t="s">
        <v>338</v>
      </c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 t="s">
        <v>313</v>
      </c>
      <c r="AN17" s="21" t="s">
        <v>313</v>
      </c>
      <c r="AO17" s="21" t="s">
        <v>313</v>
      </c>
      <c r="AP17" s="21" t="s">
        <v>313</v>
      </c>
      <c r="AQ17" s="21" t="s">
        <v>313</v>
      </c>
      <c r="AR17" s="21" t="s">
        <v>313</v>
      </c>
      <c r="AS17" s="21" t="s">
        <v>313</v>
      </c>
      <c r="AT17" s="21" t="s">
        <v>313</v>
      </c>
      <c r="AU17" s="21" t="s">
        <v>313</v>
      </c>
      <c r="AV17" s="21" t="s">
        <v>313</v>
      </c>
      <c r="AW17" s="21" t="s">
        <v>313</v>
      </c>
      <c r="AX17" s="21" t="s">
        <v>313</v>
      </c>
    </row>
    <row r="18" spans="1:50" ht="15.75" hidden="1" customHeight="1" x14ac:dyDescent="0.3">
      <c r="A18" s="30" t="s">
        <v>358</v>
      </c>
      <c r="B18" s="29" t="s">
        <v>349</v>
      </c>
      <c r="C18" s="29" t="s">
        <v>350</v>
      </c>
      <c r="D18" s="39" t="s">
        <v>351</v>
      </c>
      <c r="E18" s="40">
        <v>43108</v>
      </c>
      <c r="F18" s="21" t="s">
        <v>341</v>
      </c>
      <c r="G18" s="21" t="s">
        <v>341</v>
      </c>
      <c r="H18" s="21" t="s">
        <v>338</v>
      </c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 t="s">
        <v>313</v>
      </c>
      <c r="AN18" s="21" t="s">
        <v>313</v>
      </c>
      <c r="AO18" s="21" t="s">
        <v>313</v>
      </c>
      <c r="AP18" s="21" t="s">
        <v>313</v>
      </c>
      <c r="AQ18" s="21" t="s">
        <v>313</v>
      </c>
      <c r="AR18" s="21" t="s">
        <v>313</v>
      </c>
      <c r="AS18" s="21" t="s">
        <v>313</v>
      </c>
      <c r="AT18" s="21" t="s">
        <v>313</v>
      </c>
      <c r="AU18" s="21" t="s">
        <v>313</v>
      </c>
      <c r="AV18" s="21" t="s">
        <v>313</v>
      </c>
      <c r="AW18" s="21" t="s">
        <v>313</v>
      </c>
      <c r="AX18" s="21" t="s">
        <v>313</v>
      </c>
    </row>
    <row r="19" spans="1:50" ht="15.75" hidden="1" customHeight="1" x14ac:dyDescent="0.3">
      <c r="A19" s="30" t="s">
        <v>359</v>
      </c>
      <c r="B19" s="29" t="s">
        <v>365</v>
      </c>
      <c r="C19" s="29" t="s">
        <v>350</v>
      </c>
      <c r="D19" s="39" t="s">
        <v>351</v>
      </c>
      <c r="E19" s="40">
        <v>43108</v>
      </c>
      <c r="F19" s="21" t="s">
        <v>341</v>
      </c>
      <c r="G19" s="21" t="s">
        <v>341</v>
      </c>
      <c r="H19" s="21" t="s">
        <v>338</v>
      </c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 t="s">
        <v>313</v>
      </c>
      <c r="AN19" s="21" t="s">
        <v>313</v>
      </c>
      <c r="AO19" s="21" t="s">
        <v>313</v>
      </c>
      <c r="AP19" s="21" t="s">
        <v>313</v>
      </c>
      <c r="AQ19" s="21" t="s">
        <v>313</v>
      </c>
      <c r="AR19" s="21" t="s">
        <v>313</v>
      </c>
      <c r="AS19" s="21" t="s">
        <v>313</v>
      </c>
      <c r="AT19" s="21" t="s">
        <v>313</v>
      </c>
      <c r="AU19" s="21" t="s">
        <v>313</v>
      </c>
      <c r="AV19" s="21" t="s">
        <v>313</v>
      </c>
      <c r="AW19" s="21" t="s">
        <v>313</v>
      </c>
      <c r="AX19" s="21" t="s">
        <v>313</v>
      </c>
    </row>
    <row r="20" spans="1:50" ht="15.75" hidden="1" customHeight="1" x14ac:dyDescent="0.3">
      <c r="A20" s="30" t="s">
        <v>360</v>
      </c>
      <c r="B20" s="29" t="s">
        <v>349</v>
      </c>
      <c r="C20" s="29" t="s">
        <v>350</v>
      </c>
      <c r="D20" s="39" t="s">
        <v>351</v>
      </c>
      <c r="E20" s="40">
        <v>43108</v>
      </c>
      <c r="F20" s="21" t="s">
        <v>341</v>
      </c>
      <c r="G20" s="21" t="s">
        <v>341</v>
      </c>
      <c r="H20" s="21" t="s">
        <v>338</v>
      </c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 t="s">
        <v>313</v>
      </c>
      <c r="AN20" s="21" t="s">
        <v>313</v>
      </c>
      <c r="AO20" s="21" t="s">
        <v>313</v>
      </c>
      <c r="AP20" s="21" t="s">
        <v>313</v>
      </c>
      <c r="AQ20" s="21" t="s">
        <v>313</v>
      </c>
      <c r="AR20" s="21" t="s">
        <v>313</v>
      </c>
      <c r="AS20" s="21" t="s">
        <v>313</v>
      </c>
      <c r="AT20" s="21" t="s">
        <v>313</v>
      </c>
      <c r="AU20" s="21" t="s">
        <v>313</v>
      </c>
      <c r="AV20" s="21" t="s">
        <v>313</v>
      </c>
      <c r="AW20" s="21" t="s">
        <v>313</v>
      </c>
      <c r="AX20" s="21" t="s">
        <v>313</v>
      </c>
    </row>
    <row r="21" spans="1:50" ht="15.75" hidden="1" customHeight="1" x14ac:dyDescent="0.3">
      <c r="A21" s="30" t="s">
        <v>361</v>
      </c>
      <c r="B21" s="29" t="s">
        <v>349</v>
      </c>
      <c r="C21" s="29" t="s">
        <v>350</v>
      </c>
      <c r="D21" s="39" t="s">
        <v>351</v>
      </c>
      <c r="E21" s="40">
        <v>43108</v>
      </c>
      <c r="F21" s="21" t="s">
        <v>341</v>
      </c>
      <c r="G21" s="21" t="s">
        <v>341</v>
      </c>
      <c r="H21" s="21" t="s">
        <v>338</v>
      </c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 t="s">
        <v>313</v>
      </c>
      <c r="AN21" s="21" t="s">
        <v>313</v>
      </c>
      <c r="AO21" s="21" t="s">
        <v>313</v>
      </c>
      <c r="AP21" s="21" t="s">
        <v>313</v>
      </c>
      <c r="AQ21" s="21" t="s">
        <v>313</v>
      </c>
      <c r="AR21" s="21" t="s">
        <v>313</v>
      </c>
      <c r="AS21" s="21" t="s">
        <v>313</v>
      </c>
      <c r="AT21" s="21" t="s">
        <v>313</v>
      </c>
      <c r="AU21" s="21" t="s">
        <v>313</v>
      </c>
      <c r="AV21" s="21" t="s">
        <v>313</v>
      </c>
      <c r="AW21" s="21" t="s">
        <v>313</v>
      </c>
      <c r="AX21" s="21" t="s">
        <v>313</v>
      </c>
    </row>
    <row r="22" spans="1:50" ht="15.75" hidden="1" customHeight="1" x14ac:dyDescent="0.3">
      <c r="A22" s="30" t="s">
        <v>362</v>
      </c>
      <c r="B22" s="29" t="s">
        <v>349</v>
      </c>
      <c r="C22" s="29" t="s">
        <v>350</v>
      </c>
      <c r="D22" s="39" t="s">
        <v>351</v>
      </c>
      <c r="E22" s="40">
        <v>43108</v>
      </c>
      <c r="F22" s="21" t="s">
        <v>341</v>
      </c>
      <c r="G22" s="21" t="s">
        <v>341</v>
      </c>
      <c r="H22" s="21" t="s">
        <v>338</v>
      </c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 t="s">
        <v>313</v>
      </c>
      <c r="AN22" s="21" t="s">
        <v>313</v>
      </c>
      <c r="AO22" s="21" t="s">
        <v>313</v>
      </c>
      <c r="AP22" s="21" t="s">
        <v>313</v>
      </c>
      <c r="AQ22" s="21" t="s">
        <v>313</v>
      </c>
      <c r="AR22" s="21" t="s">
        <v>313</v>
      </c>
      <c r="AS22" s="21" t="s">
        <v>313</v>
      </c>
      <c r="AT22" s="21" t="s">
        <v>313</v>
      </c>
      <c r="AU22" s="21" t="s">
        <v>313</v>
      </c>
      <c r="AV22" s="21" t="s">
        <v>313</v>
      </c>
      <c r="AW22" s="21" t="s">
        <v>313</v>
      </c>
      <c r="AX22" s="21" t="s">
        <v>313</v>
      </c>
    </row>
    <row r="23" spans="1:50" ht="16.5" hidden="1" customHeight="1" x14ac:dyDescent="0.3">
      <c r="A23" s="30" t="s">
        <v>134</v>
      </c>
      <c r="B23" s="29" t="str">
        <f>IFERROR(VLOOKUP(A23,'[1]JL EXE ACTIVE FTE List'!$G:$N,8,FALSE),IF(ISNA(VLOOKUP(A23,'[1]JL EXE LEAVER List'!$G:$I,3,FALSE)),"Query","Leaver"))</f>
        <v>Leaver</v>
      </c>
      <c r="C23" s="29" t="str">
        <f>IFERROR(VLOOKUP(A23,'[1]JL EXE ACTIVE FTE List'!$G:$R,12,FALSE),IF(ISNA(VLOOKUP(A23,'[1]JL EXE LEAVER List'!$G:$I,3,FALSE)),"?QUERY?","Leaver"))</f>
        <v>Leaver</v>
      </c>
      <c r="D23" s="39" t="str">
        <f>IFERROR(IFERROR(VLOOKUP(A23,'[1]JL EXE ACTIVE FTE List'!$G:$H,2,FALSE),VLOOKUP(A23,'[1]JL EXE LEAVER List'!$G:$H,2,FALSE)),"?QUERY?")</f>
        <v>Antonio Follano</v>
      </c>
      <c r="E23" s="40">
        <f>IFERROR(IFERROR(VLOOKUP(A23,'[1]JL EXE ACTIVE FTE List'!$G:$O,9,FALSE),VLOOKUP(A23,'[1]JL EXE LEAVER List'!$G:$O,9,FALSE)),"?QUERY?")</f>
        <v>42982</v>
      </c>
      <c r="F23" s="21" t="s">
        <v>339</v>
      </c>
      <c r="G23" s="21" t="s">
        <v>313</v>
      </c>
      <c r="H23" s="21" t="s">
        <v>313</v>
      </c>
      <c r="I23" s="21" t="s">
        <v>313</v>
      </c>
      <c r="J23" s="21" t="s">
        <v>313</v>
      </c>
      <c r="K23" s="21" t="s">
        <v>313</v>
      </c>
      <c r="L23" s="21" t="s">
        <v>313</v>
      </c>
      <c r="M23" s="21" t="s">
        <v>313</v>
      </c>
      <c r="N23" s="21" t="s">
        <v>313</v>
      </c>
      <c r="O23" s="21" t="s">
        <v>313</v>
      </c>
      <c r="P23" s="21" t="s">
        <v>313</v>
      </c>
      <c r="Q23" s="21" t="s">
        <v>313</v>
      </c>
      <c r="R23" s="21" t="s">
        <v>313</v>
      </c>
      <c r="S23" s="21" t="s">
        <v>313</v>
      </c>
      <c r="T23" s="21" t="s">
        <v>313</v>
      </c>
      <c r="U23" s="21" t="s">
        <v>313</v>
      </c>
      <c r="V23" s="21" t="s">
        <v>313</v>
      </c>
      <c r="W23" s="21" t="s">
        <v>313</v>
      </c>
      <c r="X23" s="21" t="s">
        <v>313</v>
      </c>
      <c r="Y23" s="21" t="s">
        <v>313</v>
      </c>
      <c r="Z23" s="21" t="s">
        <v>313</v>
      </c>
      <c r="AA23" s="21" t="s">
        <v>313</v>
      </c>
      <c r="AB23" s="21" t="s">
        <v>313</v>
      </c>
      <c r="AC23" s="21" t="s">
        <v>313</v>
      </c>
      <c r="AD23" s="21" t="s">
        <v>313</v>
      </c>
      <c r="AE23" s="21" t="s">
        <v>313</v>
      </c>
      <c r="AF23" s="21" t="s">
        <v>313</v>
      </c>
      <c r="AG23" s="21" t="s">
        <v>313</v>
      </c>
      <c r="AH23" s="21" t="s">
        <v>313</v>
      </c>
      <c r="AI23" s="21" t="s">
        <v>313</v>
      </c>
      <c r="AJ23" s="21" t="s">
        <v>313</v>
      </c>
      <c r="AK23" s="21" t="s">
        <v>313</v>
      </c>
      <c r="AL23" s="21" t="s">
        <v>313</v>
      </c>
      <c r="AM23" s="21" t="s">
        <v>313</v>
      </c>
      <c r="AN23" s="21" t="s">
        <v>313</v>
      </c>
      <c r="AO23" s="21" t="s">
        <v>313</v>
      </c>
      <c r="AP23" s="21" t="s">
        <v>313</v>
      </c>
      <c r="AQ23" s="21" t="s">
        <v>313</v>
      </c>
      <c r="AR23" s="21" t="s">
        <v>313</v>
      </c>
      <c r="AS23" s="21" t="s">
        <v>313</v>
      </c>
      <c r="AT23" s="21" t="s">
        <v>313</v>
      </c>
      <c r="AU23" s="21" t="s">
        <v>313</v>
      </c>
      <c r="AV23" s="21" t="s">
        <v>313</v>
      </c>
      <c r="AW23" s="21" t="s">
        <v>313</v>
      </c>
      <c r="AX23" s="21" t="s">
        <v>313</v>
      </c>
    </row>
    <row r="24" spans="1:50" ht="15.75" hidden="1" customHeight="1" x14ac:dyDescent="0.3">
      <c r="A24" s="30" t="s">
        <v>363</v>
      </c>
      <c r="B24" s="29" t="s">
        <v>349</v>
      </c>
      <c r="C24" s="29" t="s">
        <v>350</v>
      </c>
      <c r="D24" s="39" t="s">
        <v>351</v>
      </c>
      <c r="E24" s="40">
        <v>43108</v>
      </c>
      <c r="F24" s="21" t="s">
        <v>341</v>
      </c>
      <c r="G24" s="21" t="s">
        <v>341</v>
      </c>
      <c r="H24" s="21" t="s">
        <v>338</v>
      </c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 t="s">
        <v>313</v>
      </c>
      <c r="AN24" s="21" t="s">
        <v>313</v>
      </c>
      <c r="AO24" s="21" t="s">
        <v>313</v>
      </c>
      <c r="AP24" s="21" t="s">
        <v>313</v>
      </c>
      <c r="AQ24" s="21" t="s">
        <v>313</v>
      </c>
      <c r="AR24" s="21" t="s">
        <v>313</v>
      </c>
      <c r="AS24" s="21" t="s">
        <v>313</v>
      </c>
      <c r="AT24" s="21" t="s">
        <v>313</v>
      </c>
      <c r="AU24" s="21" t="s">
        <v>313</v>
      </c>
      <c r="AV24" s="21" t="s">
        <v>313</v>
      </c>
      <c r="AW24" s="21" t="s">
        <v>313</v>
      </c>
      <c r="AX24" s="21" t="s">
        <v>313</v>
      </c>
    </row>
    <row r="25" spans="1:50" ht="15.75" hidden="1" customHeight="1" x14ac:dyDescent="0.3">
      <c r="A25" s="30" t="s">
        <v>364</v>
      </c>
      <c r="B25" s="29" t="s">
        <v>349</v>
      </c>
      <c r="C25" s="29" t="s">
        <v>350</v>
      </c>
      <c r="D25" s="39" t="s">
        <v>351</v>
      </c>
      <c r="E25" s="40">
        <v>43108</v>
      </c>
      <c r="F25" s="21" t="s">
        <v>341</v>
      </c>
      <c r="G25" s="21" t="s">
        <v>341</v>
      </c>
      <c r="H25" s="21" t="s">
        <v>338</v>
      </c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 t="s">
        <v>313</v>
      </c>
      <c r="AN25" s="21" t="s">
        <v>313</v>
      </c>
      <c r="AO25" s="21" t="s">
        <v>313</v>
      </c>
      <c r="AP25" s="21" t="s">
        <v>313</v>
      </c>
      <c r="AQ25" s="21" t="s">
        <v>313</v>
      </c>
      <c r="AR25" s="21" t="s">
        <v>313</v>
      </c>
      <c r="AS25" s="21" t="s">
        <v>313</v>
      </c>
      <c r="AT25" s="21" t="s">
        <v>313</v>
      </c>
      <c r="AU25" s="21" t="s">
        <v>313</v>
      </c>
      <c r="AV25" s="21" t="s">
        <v>313</v>
      </c>
      <c r="AW25" s="21" t="s">
        <v>313</v>
      </c>
      <c r="AX25" s="21" t="s">
        <v>313</v>
      </c>
    </row>
    <row r="26" spans="1:50" ht="15.75" hidden="1" customHeight="1" x14ac:dyDescent="0.3">
      <c r="A26" s="30" t="s">
        <v>372</v>
      </c>
      <c r="B26" s="29" t="s">
        <v>365</v>
      </c>
      <c r="C26" s="29" t="s">
        <v>350</v>
      </c>
      <c r="D26" s="39" t="s">
        <v>351</v>
      </c>
      <c r="E26" s="40">
        <v>43122</v>
      </c>
      <c r="F26" s="21" t="s">
        <v>341</v>
      </c>
      <c r="G26" s="21" t="s">
        <v>341</v>
      </c>
      <c r="H26" s="21" t="s">
        <v>341</v>
      </c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 t="s">
        <v>313</v>
      </c>
      <c r="AN26" s="21" t="s">
        <v>313</v>
      </c>
      <c r="AO26" s="21" t="s">
        <v>313</v>
      </c>
      <c r="AP26" s="21" t="s">
        <v>313</v>
      </c>
      <c r="AQ26" s="21" t="s">
        <v>313</v>
      </c>
      <c r="AR26" s="21" t="s">
        <v>313</v>
      </c>
      <c r="AS26" s="21" t="s">
        <v>313</v>
      </c>
      <c r="AT26" s="21" t="s">
        <v>313</v>
      </c>
      <c r="AU26" s="21" t="s">
        <v>313</v>
      </c>
      <c r="AV26" s="21" t="s">
        <v>313</v>
      </c>
      <c r="AW26" s="21" t="s">
        <v>313</v>
      </c>
      <c r="AX26" s="21" t="s">
        <v>313</v>
      </c>
    </row>
    <row r="27" spans="1:50" ht="15.75" hidden="1" customHeight="1" x14ac:dyDescent="0.3">
      <c r="A27" s="30" t="s">
        <v>373</v>
      </c>
      <c r="B27" s="29" t="s">
        <v>365</v>
      </c>
      <c r="C27" s="29" t="s">
        <v>350</v>
      </c>
      <c r="D27" s="39" t="s">
        <v>351</v>
      </c>
      <c r="E27" s="40">
        <v>43122</v>
      </c>
      <c r="F27" s="21" t="s">
        <v>341</v>
      </c>
      <c r="G27" s="21" t="s">
        <v>341</v>
      </c>
      <c r="H27" s="21" t="s">
        <v>341</v>
      </c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 t="s">
        <v>313</v>
      </c>
      <c r="AN27" s="21" t="s">
        <v>313</v>
      </c>
      <c r="AO27" s="21" t="s">
        <v>313</v>
      </c>
      <c r="AP27" s="21" t="s">
        <v>313</v>
      </c>
      <c r="AQ27" s="21" t="s">
        <v>313</v>
      </c>
      <c r="AR27" s="21" t="s">
        <v>313</v>
      </c>
      <c r="AS27" s="21" t="s">
        <v>313</v>
      </c>
      <c r="AT27" s="21" t="s">
        <v>313</v>
      </c>
      <c r="AU27" s="21" t="s">
        <v>313</v>
      </c>
      <c r="AV27" s="21" t="s">
        <v>313</v>
      </c>
      <c r="AW27" s="21" t="s">
        <v>313</v>
      </c>
      <c r="AX27" s="21" t="s">
        <v>313</v>
      </c>
    </row>
    <row r="28" spans="1:50" ht="15" hidden="1" customHeight="1" x14ac:dyDescent="0.3">
      <c r="A28" s="30" t="s">
        <v>374</v>
      </c>
      <c r="B28" s="29" t="s">
        <v>348</v>
      </c>
      <c r="C28" s="29" t="s">
        <v>350</v>
      </c>
      <c r="D28" s="39" t="s">
        <v>351</v>
      </c>
      <c r="E28" s="40">
        <v>43122</v>
      </c>
      <c r="F28" s="21" t="s">
        <v>341</v>
      </c>
      <c r="G28" s="21" t="s">
        <v>341</v>
      </c>
      <c r="H28" s="21" t="s">
        <v>341</v>
      </c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 t="s">
        <v>313</v>
      </c>
      <c r="AN28" s="21" t="s">
        <v>313</v>
      </c>
      <c r="AO28" s="21" t="s">
        <v>313</v>
      </c>
      <c r="AP28" s="21" t="s">
        <v>313</v>
      </c>
      <c r="AQ28" s="21" t="s">
        <v>313</v>
      </c>
      <c r="AR28" s="21" t="s">
        <v>313</v>
      </c>
      <c r="AS28" s="21" t="s">
        <v>313</v>
      </c>
      <c r="AT28" s="21" t="s">
        <v>313</v>
      </c>
      <c r="AU28" s="21" t="s">
        <v>313</v>
      </c>
      <c r="AV28" s="21" t="s">
        <v>313</v>
      </c>
      <c r="AW28" s="21" t="s">
        <v>313</v>
      </c>
      <c r="AX28" s="21" t="s">
        <v>313</v>
      </c>
    </row>
    <row r="29" spans="1:50" ht="15.75" hidden="1" customHeight="1" x14ac:dyDescent="0.3">
      <c r="A29" s="30" t="s">
        <v>135</v>
      </c>
      <c r="B29" s="29" t="str">
        <f>IFERROR(VLOOKUP(A29,'[1]JL EXE ACTIVE FTE List'!$G:$N,8,FALSE),IF(ISNA(VLOOKUP(A29,'[1]JL EXE LEAVER List'!$G:$I,3,FALSE)),"Query","Leaver"))</f>
        <v>Leaver</v>
      </c>
      <c r="C29" s="29" t="str">
        <f>IFERROR(VLOOKUP(A29,'[1]JL EXE ACTIVE FTE List'!$G:$R,12,FALSE),IF(ISNA(VLOOKUP(A29,'[1]JL EXE LEAVER List'!$G:$I,3,FALSE)),"?QUERY?","Leaver"))</f>
        <v>Leaver</v>
      </c>
      <c r="D29" s="39" t="str">
        <f>IFERROR(IFERROR(VLOOKUP(A29,'[1]JL EXE ACTIVE FTE List'!$G:$H,2,FALSE),VLOOKUP(A29,'[1]JL EXE LEAVER List'!$G:$H,2,FALSE)),"?QUERY?")</f>
        <v>Antonio Follano</v>
      </c>
      <c r="E29" s="40">
        <f>IFERROR(IFERROR(VLOOKUP(A29,'[1]JL EXE ACTIVE FTE List'!$G:$O,9,FALSE),VLOOKUP(A29,'[1]JL EXE LEAVER List'!$G:$O,9,FALSE)),"?QUERY?")</f>
        <v>42940</v>
      </c>
      <c r="F29" s="21" t="s">
        <v>338</v>
      </c>
      <c r="G29" s="21" t="s">
        <v>313</v>
      </c>
      <c r="H29" s="21" t="s">
        <v>313</v>
      </c>
      <c r="I29" s="21" t="s">
        <v>313</v>
      </c>
      <c r="J29" s="21" t="s">
        <v>313</v>
      </c>
      <c r="K29" s="21" t="s">
        <v>313</v>
      </c>
      <c r="L29" s="21" t="s">
        <v>313</v>
      </c>
      <c r="M29" s="21" t="s">
        <v>313</v>
      </c>
      <c r="N29" s="21" t="s">
        <v>313</v>
      </c>
      <c r="O29" s="21" t="s">
        <v>313</v>
      </c>
      <c r="P29" s="21" t="s">
        <v>313</v>
      </c>
      <c r="Q29" s="21" t="s">
        <v>313</v>
      </c>
      <c r="R29" s="21" t="s">
        <v>313</v>
      </c>
      <c r="S29" s="21" t="s">
        <v>313</v>
      </c>
      <c r="T29" s="21" t="s">
        <v>313</v>
      </c>
      <c r="U29" s="21" t="s">
        <v>313</v>
      </c>
      <c r="V29" s="21" t="s">
        <v>313</v>
      </c>
      <c r="W29" s="21" t="s">
        <v>313</v>
      </c>
      <c r="X29" s="21" t="s">
        <v>313</v>
      </c>
      <c r="Y29" s="21" t="s">
        <v>313</v>
      </c>
      <c r="Z29" s="21" t="s">
        <v>313</v>
      </c>
      <c r="AA29" s="21" t="s">
        <v>313</v>
      </c>
      <c r="AB29" s="21" t="s">
        <v>313</v>
      </c>
      <c r="AC29" s="21" t="s">
        <v>313</v>
      </c>
      <c r="AD29" s="21" t="s">
        <v>313</v>
      </c>
      <c r="AE29" s="21" t="s">
        <v>313</v>
      </c>
      <c r="AF29" s="21" t="s">
        <v>313</v>
      </c>
      <c r="AG29" s="21" t="s">
        <v>313</v>
      </c>
      <c r="AH29" s="21" t="s">
        <v>313</v>
      </c>
      <c r="AI29" s="21" t="s">
        <v>313</v>
      </c>
      <c r="AJ29" s="21" t="s">
        <v>313</v>
      </c>
      <c r="AK29" s="21" t="s">
        <v>313</v>
      </c>
      <c r="AL29" s="21" t="s">
        <v>313</v>
      </c>
      <c r="AM29" s="21" t="s">
        <v>313</v>
      </c>
      <c r="AN29" s="21" t="s">
        <v>313</v>
      </c>
      <c r="AO29" s="21" t="s">
        <v>313</v>
      </c>
      <c r="AP29" s="21" t="s">
        <v>313</v>
      </c>
      <c r="AQ29" s="21" t="s">
        <v>313</v>
      </c>
      <c r="AR29" s="21" t="s">
        <v>313</v>
      </c>
      <c r="AS29" s="21" t="s">
        <v>313</v>
      </c>
      <c r="AT29" s="21" t="s">
        <v>313</v>
      </c>
      <c r="AU29" s="21" t="s">
        <v>313</v>
      </c>
      <c r="AV29" s="21" t="s">
        <v>313</v>
      </c>
      <c r="AW29" s="21" t="s">
        <v>313</v>
      </c>
      <c r="AX29" s="21" t="s">
        <v>313</v>
      </c>
    </row>
    <row r="30" spans="1:50" ht="15.75" hidden="1" customHeight="1" x14ac:dyDescent="0.3">
      <c r="A30" s="30" t="s">
        <v>375</v>
      </c>
      <c r="B30" s="29" t="s">
        <v>348</v>
      </c>
      <c r="C30" s="29" t="s">
        <v>350</v>
      </c>
      <c r="D30" s="39" t="s">
        <v>351</v>
      </c>
      <c r="E30" s="40">
        <v>43122</v>
      </c>
      <c r="F30" s="21" t="s">
        <v>341</v>
      </c>
      <c r="G30" s="21" t="s">
        <v>341</v>
      </c>
      <c r="H30" s="21" t="s">
        <v>341</v>
      </c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</row>
    <row r="31" spans="1:50" ht="15.75" hidden="1" customHeight="1" x14ac:dyDescent="0.3">
      <c r="A31" s="30" t="s">
        <v>376</v>
      </c>
      <c r="B31" s="29" t="s">
        <v>348</v>
      </c>
      <c r="C31" s="29" t="s">
        <v>350</v>
      </c>
      <c r="D31" s="39" t="s">
        <v>351</v>
      </c>
      <c r="E31" s="40">
        <v>43122</v>
      </c>
      <c r="F31" s="21" t="s">
        <v>341</v>
      </c>
      <c r="G31" s="21" t="s">
        <v>341</v>
      </c>
      <c r="H31" s="21" t="s">
        <v>341</v>
      </c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</row>
    <row r="32" spans="1:50" ht="15.75" hidden="1" customHeight="1" x14ac:dyDescent="0.3">
      <c r="A32" s="30" t="s">
        <v>377</v>
      </c>
      <c r="B32" s="29" t="s">
        <v>348</v>
      </c>
      <c r="C32" s="29" t="s">
        <v>350</v>
      </c>
      <c r="D32" s="39" t="s">
        <v>351</v>
      </c>
      <c r="E32" s="40">
        <v>43122</v>
      </c>
      <c r="F32" s="21" t="s">
        <v>341</v>
      </c>
      <c r="G32" s="21" t="s">
        <v>341</v>
      </c>
      <c r="H32" s="21" t="s">
        <v>341</v>
      </c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</row>
    <row r="33" spans="1:50" ht="15.75" hidden="1" customHeight="1" x14ac:dyDescent="0.3">
      <c r="A33" s="30" t="s">
        <v>378</v>
      </c>
      <c r="B33" s="29" t="s">
        <v>348</v>
      </c>
      <c r="C33" s="29" t="s">
        <v>350</v>
      </c>
      <c r="D33" s="39" t="s">
        <v>351</v>
      </c>
      <c r="E33" s="40">
        <v>43122</v>
      </c>
      <c r="F33" s="21" t="s">
        <v>341</v>
      </c>
      <c r="G33" s="21" t="s">
        <v>341</v>
      </c>
      <c r="H33" s="21" t="s">
        <v>341</v>
      </c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</row>
    <row r="34" spans="1:50" ht="15.75" hidden="1" customHeight="1" x14ac:dyDescent="0.3">
      <c r="A34" s="30" t="s">
        <v>379</v>
      </c>
      <c r="B34" s="29" t="s">
        <v>348</v>
      </c>
      <c r="C34" s="29" t="s">
        <v>350</v>
      </c>
      <c r="D34" s="39" t="s">
        <v>351</v>
      </c>
      <c r="E34" s="40">
        <v>43122</v>
      </c>
      <c r="F34" s="21" t="s">
        <v>341</v>
      </c>
      <c r="G34" s="21" t="s">
        <v>341</v>
      </c>
      <c r="H34" s="21" t="s">
        <v>341</v>
      </c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</row>
    <row r="35" spans="1:50" ht="15.75" hidden="1" customHeight="1" x14ac:dyDescent="0.3">
      <c r="A35" s="30" t="s">
        <v>380</v>
      </c>
      <c r="B35" s="29" t="s">
        <v>365</v>
      </c>
      <c r="C35" s="29" t="s">
        <v>350</v>
      </c>
      <c r="D35" s="39" t="s">
        <v>351</v>
      </c>
      <c r="E35" s="40">
        <v>43122</v>
      </c>
      <c r="F35" s="21" t="s">
        <v>341</v>
      </c>
      <c r="G35" s="21" t="s">
        <v>341</v>
      </c>
      <c r="H35" s="21" t="s">
        <v>341</v>
      </c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</row>
    <row r="36" spans="1:50" ht="15.75" hidden="1" customHeight="1" x14ac:dyDescent="0.3">
      <c r="A36" s="30" t="s">
        <v>381</v>
      </c>
      <c r="B36" s="29" t="s">
        <v>348</v>
      </c>
      <c r="C36" s="29" t="s">
        <v>350</v>
      </c>
      <c r="D36" s="39" t="s">
        <v>351</v>
      </c>
      <c r="E36" s="40">
        <v>43122</v>
      </c>
      <c r="F36" s="21" t="s">
        <v>341</v>
      </c>
      <c r="G36" s="21" t="s">
        <v>341</v>
      </c>
      <c r="H36" s="21" t="s">
        <v>341</v>
      </c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</row>
    <row r="37" spans="1:50" ht="15.75" hidden="1" customHeight="1" x14ac:dyDescent="0.3">
      <c r="A37" s="30" t="s">
        <v>382</v>
      </c>
      <c r="B37" s="29" t="s">
        <v>365</v>
      </c>
      <c r="C37" s="29" t="s">
        <v>350</v>
      </c>
      <c r="D37" s="39" t="s">
        <v>351</v>
      </c>
      <c r="E37" s="40">
        <v>43122</v>
      </c>
      <c r="F37" s="21" t="s">
        <v>341</v>
      </c>
      <c r="G37" s="21" t="s">
        <v>341</v>
      </c>
      <c r="H37" s="21" t="s">
        <v>341</v>
      </c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</row>
    <row r="38" spans="1:50" ht="15.75" hidden="1" customHeight="1" x14ac:dyDescent="0.3">
      <c r="A38" s="30" t="s">
        <v>383</v>
      </c>
      <c r="B38" s="29" t="s">
        <v>365</v>
      </c>
      <c r="C38" s="29" t="s">
        <v>350</v>
      </c>
      <c r="D38" s="39" t="s">
        <v>351</v>
      </c>
      <c r="E38" s="40">
        <v>43122</v>
      </c>
      <c r="F38" s="21" t="s">
        <v>341</v>
      </c>
      <c r="G38" s="21" t="s">
        <v>341</v>
      </c>
      <c r="H38" s="21" t="s">
        <v>341</v>
      </c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</row>
    <row r="39" spans="1:50" ht="15.75" hidden="1" customHeight="1" x14ac:dyDescent="0.3">
      <c r="A39" s="30" t="s">
        <v>384</v>
      </c>
      <c r="B39" s="29" t="s">
        <v>365</v>
      </c>
      <c r="C39" s="29" t="s">
        <v>350</v>
      </c>
      <c r="D39" s="39" t="s">
        <v>351</v>
      </c>
      <c r="E39" s="40">
        <v>43122</v>
      </c>
      <c r="F39" s="21" t="s">
        <v>341</v>
      </c>
      <c r="G39" s="21" t="s">
        <v>341</v>
      </c>
      <c r="H39" s="21" t="s">
        <v>341</v>
      </c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</row>
    <row r="40" spans="1:50" ht="15.75" hidden="1" customHeight="1" x14ac:dyDescent="0.3">
      <c r="A40" s="30" t="s">
        <v>385</v>
      </c>
      <c r="B40" s="29" t="s">
        <v>365</v>
      </c>
      <c r="C40" s="29" t="s">
        <v>350</v>
      </c>
      <c r="D40" s="39" t="s">
        <v>351</v>
      </c>
      <c r="E40" s="40">
        <v>43122</v>
      </c>
      <c r="F40" s="21" t="s">
        <v>341</v>
      </c>
      <c r="G40" s="21" t="s">
        <v>341</v>
      </c>
      <c r="H40" s="21" t="s">
        <v>341</v>
      </c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</row>
    <row r="41" spans="1:50" ht="15.75" hidden="1" customHeight="1" x14ac:dyDescent="0.3">
      <c r="A41" s="30" t="s">
        <v>386</v>
      </c>
      <c r="B41" s="29" t="s">
        <v>348</v>
      </c>
      <c r="C41" s="29" t="s">
        <v>350</v>
      </c>
      <c r="D41" s="39" t="s">
        <v>351</v>
      </c>
      <c r="E41" s="40">
        <v>43122</v>
      </c>
      <c r="F41" s="21" t="s">
        <v>341</v>
      </c>
      <c r="G41" s="21" t="s">
        <v>341</v>
      </c>
      <c r="H41" s="21" t="s">
        <v>341</v>
      </c>
      <c r="I41" s="21" t="s">
        <v>313</v>
      </c>
      <c r="J41" s="21" t="s">
        <v>313</v>
      </c>
      <c r="K41" s="21" t="s">
        <v>313</v>
      </c>
      <c r="L41" s="21" t="s">
        <v>313</v>
      </c>
      <c r="M41" s="21" t="s">
        <v>313</v>
      </c>
      <c r="N41" s="21" t="s">
        <v>313</v>
      </c>
      <c r="O41" s="21" t="s">
        <v>313</v>
      </c>
      <c r="P41" s="21" t="s">
        <v>313</v>
      </c>
      <c r="Q41" s="21" t="s">
        <v>313</v>
      </c>
      <c r="R41" s="21" t="s">
        <v>313</v>
      </c>
      <c r="S41" s="21" t="s">
        <v>313</v>
      </c>
      <c r="T41" s="21" t="s">
        <v>313</v>
      </c>
      <c r="U41" s="21" t="s">
        <v>313</v>
      </c>
      <c r="V41" s="21" t="s">
        <v>313</v>
      </c>
      <c r="W41" s="21" t="s">
        <v>313</v>
      </c>
      <c r="X41" s="21" t="s">
        <v>313</v>
      </c>
      <c r="Y41" s="21" t="s">
        <v>313</v>
      </c>
      <c r="Z41" s="21" t="s">
        <v>313</v>
      </c>
      <c r="AA41" s="21" t="s">
        <v>313</v>
      </c>
      <c r="AB41" s="21" t="s">
        <v>313</v>
      </c>
      <c r="AC41" s="21" t="s">
        <v>313</v>
      </c>
      <c r="AD41" s="21" t="s">
        <v>313</v>
      </c>
      <c r="AE41" s="21" t="s">
        <v>313</v>
      </c>
      <c r="AF41" s="21" t="s">
        <v>313</v>
      </c>
      <c r="AG41" s="21" t="s">
        <v>313</v>
      </c>
      <c r="AH41" s="21" t="s">
        <v>313</v>
      </c>
      <c r="AI41" s="21" t="s">
        <v>313</v>
      </c>
      <c r="AJ41" s="21" t="s">
        <v>313</v>
      </c>
      <c r="AK41" s="21" t="s">
        <v>313</v>
      </c>
      <c r="AL41" s="21" t="s">
        <v>313</v>
      </c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</row>
    <row r="42" spans="1:50" ht="15.75" hidden="1" customHeight="1" x14ac:dyDescent="0.3">
      <c r="A42" s="30" t="s">
        <v>387</v>
      </c>
      <c r="B42" s="29" t="str">
        <f>IFERROR(VLOOKUP(A42,'[1]JL EXE ACTIVE FTE List'!$G:$N,8,FALSE),IF(ISNA(VLOOKUP(A42,'[1]JL EXE LEAVER List'!$G:$I,3,FALSE)),"Query","Leaver"))</f>
        <v>ATV</v>
      </c>
      <c r="C42" s="29" t="str">
        <f>IFERROR(VLOOKUP(A42,'[1]JL EXE ACTIVE FTE List'!$G:$R,12,FALSE),IF(ISNA(VLOOKUP(A42,'[1]JL EXE LEAVER List'!$G:$I,3,FALSE)),"?QUERY?","Leaver"))</f>
        <v>GradBay</v>
      </c>
      <c r="D42" s="39" t="str">
        <f>IFERROR(IFERROR(VLOOKUP(A42,'[1]JL EXE ACTIVE FTE List'!$G:$H,2,FALSE),VLOOKUP(A42,'[1]JL EXE LEAVER List'!$G:$H,2,FALSE)),"?QUERY?")</f>
        <v>Andrew Warren</v>
      </c>
      <c r="E42" s="40">
        <f>IFERROR(IFERROR(VLOOKUP(A42,'[1]JL EXE ACTIVE FTE List'!$G:$O,9,FALSE),VLOOKUP(A42,'[1]JL EXE LEAVER List'!$G:$O,9,FALSE)),"?QUERY?")</f>
        <v>43129</v>
      </c>
      <c r="F42" s="21" t="s">
        <v>341</v>
      </c>
      <c r="G42" s="21" t="s">
        <v>341</v>
      </c>
      <c r="H42" s="21" t="s">
        <v>341</v>
      </c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</row>
    <row r="43" spans="1:50" ht="15.75" hidden="1" customHeight="1" x14ac:dyDescent="0.3">
      <c r="A43" s="30" t="s">
        <v>388</v>
      </c>
      <c r="B43" s="29" t="str">
        <f>IFERROR(VLOOKUP(A43,'[1]JL EXE ACTIVE FTE List'!$G:$N,8,FALSE),IF(ISNA(VLOOKUP(A43,'[1]JL EXE LEAVER List'!$G:$I,3,FALSE)),"Query","Leaver"))</f>
        <v>PC</v>
      </c>
      <c r="C43" s="29" t="str">
        <f>IFERROR(VLOOKUP(A43,'[1]JL EXE ACTIVE FTE List'!$G:$R,12,FALSE),IF(ISNA(VLOOKUP(A43,'[1]JL EXE LEAVER List'!$G:$I,3,FALSE)),"?QUERY?","Leaver"))</f>
        <v>GradBay</v>
      </c>
      <c r="D43" s="39" t="str">
        <f>IFERROR(IFERROR(VLOOKUP(A43,'[1]JL EXE ACTIVE FTE List'!$G:$H,2,FALSE),VLOOKUP(A43,'[1]JL EXE LEAVER List'!$G:$H,2,FALSE)),"?QUERY?")</f>
        <v>Andrew Warren</v>
      </c>
      <c r="E43" s="40">
        <f>IFERROR(IFERROR(VLOOKUP(A43,'[1]JL EXE ACTIVE FTE List'!$G:$O,9,FALSE),VLOOKUP(A43,'[1]JL EXE LEAVER List'!$G:$O,9,FALSE)),"?QUERY?")</f>
        <v>43122</v>
      </c>
      <c r="F43" s="21" t="s">
        <v>341</v>
      </c>
      <c r="G43" s="21" t="s">
        <v>341</v>
      </c>
      <c r="H43" s="21" t="s">
        <v>341</v>
      </c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</row>
    <row r="44" spans="1:50" ht="15.75" hidden="1" customHeight="1" x14ac:dyDescent="0.3">
      <c r="A44" s="30" t="s">
        <v>373</v>
      </c>
      <c r="B44" s="29" t="str">
        <f>IFERROR(VLOOKUP(A44,'[1]JL EXE ACTIVE FTE List'!$G:$N,8,FALSE),IF(ISNA(VLOOKUP(A44,'[1]JL EXE LEAVER List'!$G:$I,3,FALSE)),"Query","Leaver"))</f>
        <v>PC</v>
      </c>
      <c r="C44" s="29" t="str">
        <f>IFERROR(VLOOKUP(A44,'[1]JL EXE ACTIVE FTE List'!$G:$R,12,FALSE),IF(ISNA(VLOOKUP(A44,'[1]JL EXE LEAVER List'!$G:$I,3,FALSE)),"?QUERY?","Leaver"))</f>
        <v>GradBay</v>
      </c>
      <c r="D44" s="39" t="str">
        <f>IFERROR(IFERROR(VLOOKUP(A44,'[1]JL EXE ACTIVE FTE List'!$G:$H,2,FALSE),VLOOKUP(A44,'[1]JL EXE LEAVER List'!$G:$H,2,FALSE)),"?QUERY?")</f>
        <v>Andrew Warren</v>
      </c>
      <c r="E44" s="40">
        <f>IFERROR(IFERROR(VLOOKUP(A44,'[1]JL EXE ACTIVE FTE List'!$G:$O,9,FALSE),VLOOKUP(A44,'[1]JL EXE LEAVER List'!$G:$O,9,FALSE)),"?QUERY?")</f>
        <v>43122</v>
      </c>
      <c r="F44" s="21" t="s">
        <v>341</v>
      </c>
      <c r="G44" s="21" t="s">
        <v>341</v>
      </c>
      <c r="H44" s="21" t="s">
        <v>341</v>
      </c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</row>
    <row r="45" spans="1:50" ht="15" hidden="1" customHeight="1" x14ac:dyDescent="0.3">
      <c r="A45" s="30" t="s">
        <v>374</v>
      </c>
      <c r="B45" s="29" t="str">
        <f>IFERROR(VLOOKUP(A45,'[1]JL EXE ACTIVE FTE List'!$G:$N,8,FALSE),IF(ISNA(VLOOKUP(A45,'[1]JL EXE LEAVER List'!$G:$I,3,FALSE)),"Query","Leaver"))</f>
        <v>LE</v>
      </c>
      <c r="C45" s="29" t="str">
        <f>IFERROR(VLOOKUP(A45,'[1]JL EXE ACTIVE FTE List'!$G:$R,12,FALSE),IF(ISNA(VLOOKUP(A45,'[1]JL EXE LEAVER List'!$G:$I,3,FALSE)),"?QUERY?","Leaver"))</f>
        <v>GradBay</v>
      </c>
      <c r="D45" s="39" t="str">
        <f>IFERROR(IFERROR(VLOOKUP(A45,'[1]JL EXE ACTIVE FTE List'!$G:$H,2,FALSE),VLOOKUP(A45,'[1]JL EXE LEAVER List'!$G:$H,2,FALSE)),"?QUERY?")</f>
        <v>Andrew Warren</v>
      </c>
      <c r="E45" s="40">
        <f>IFERROR(IFERROR(VLOOKUP(A45,'[1]JL EXE ACTIVE FTE List'!$G:$O,9,FALSE),VLOOKUP(A45,'[1]JL EXE LEAVER List'!$G:$O,9,FALSE)),"?QUERY?")</f>
        <v>43122</v>
      </c>
      <c r="F45" s="21" t="s">
        <v>341</v>
      </c>
      <c r="G45" s="21" t="s">
        <v>341</v>
      </c>
      <c r="H45" s="21" t="s">
        <v>341</v>
      </c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1" t="s">
        <v>313</v>
      </c>
      <c r="AN45" s="21" t="s">
        <v>313</v>
      </c>
      <c r="AO45" s="21" t="s">
        <v>313</v>
      </c>
      <c r="AP45" s="21" t="s">
        <v>313</v>
      </c>
      <c r="AQ45" s="21" t="s">
        <v>313</v>
      </c>
      <c r="AR45" s="21" t="s">
        <v>313</v>
      </c>
      <c r="AS45" s="21" t="s">
        <v>313</v>
      </c>
      <c r="AT45" s="21" t="s">
        <v>313</v>
      </c>
      <c r="AU45" s="21" t="s">
        <v>313</v>
      </c>
      <c r="AV45" s="21" t="s">
        <v>313</v>
      </c>
      <c r="AW45" s="21" t="s">
        <v>313</v>
      </c>
      <c r="AX45" s="21" t="s">
        <v>313</v>
      </c>
    </row>
    <row r="46" spans="1:50" ht="13.5" hidden="1" customHeight="1" x14ac:dyDescent="0.3">
      <c r="A46" s="30" t="s">
        <v>375</v>
      </c>
      <c r="B46" s="29" t="str">
        <f>IFERROR(VLOOKUP(A46,'[1]JL EXE ACTIVE FTE List'!$G:$N,8,FALSE),IF(ISNA(VLOOKUP(A46,'[1]JL EXE LEAVER List'!$G:$I,3,FALSE)),"Query","Leaver"))</f>
        <v>LE</v>
      </c>
      <c r="C46" s="29" t="str">
        <f>IFERROR(VLOOKUP(A46,'[1]JL EXE ACTIVE FTE List'!$G:$R,12,FALSE),IF(ISNA(VLOOKUP(A46,'[1]JL EXE LEAVER List'!$G:$I,3,FALSE)),"?QUERY?","Leaver"))</f>
        <v>GradBay</v>
      </c>
      <c r="D46" s="39" t="str">
        <f>IFERROR(IFERROR(VLOOKUP(A46,'[1]JL EXE ACTIVE FTE List'!$G:$H,2,FALSE),VLOOKUP(A46,'[1]JL EXE LEAVER List'!$G:$H,2,FALSE)),"?QUERY?")</f>
        <v>Andrew Warren</v>
      </c>
      <c r="E46" s="40">
        <f>IFERROR(IFERROR(VLOOKUP(A46,'[1]JL EXE ACTIVE FTE List'!$G:$O,9,FALSE),VLOOKUP(A46,'[1]JL EXE LEAVER List'!$G:$O,9,FALSE)),"?QUERY?")</f>
        <v>43122</v>
      </c>
      <c r="F46" s="21" t="s">
        <v>341</v>
      </c>
      <c r="G46" s="21" t="s">
        <v>341</v>
      </c>
      <c r="H46" s="21" t="s">
        <v>341</v>
      </c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1" t="s">
        <v>313</v>
      </c>
      <c r="AN46" s="21" t="s">
        <v>313</v>
      </c>
      <c r="AO46" s="21" t="s">
        <v>313</v>
      </c>
      <c r="AP46" s="21" t="s">
        <v>313</v>
      </c>
      <c r="AQ46" s="21" t="s">
        <v>313</v>
      </c>
      <c r="AR46" s="21" t="s">
        <v>313</v>
      </c>
      <c r="AS46" s="21" t="s">
        <v>313</v>
      </c>
      <c r="AT46" s="21" t="s">
        <v>313</v>
      </c>
      <c r="AU46" s="21" t="s">
        <v>313</v>
      </c>
      <c r="AV46" s="21" t="s">
        <v>313</v>
      </c>
      <c r="AW46" s="21" t="s">
        <v>313</v>
      </c>
      <c r="AX46" s="21" t="s">
        <v>313</v>
      </c>
    </row>
    <row r="47" spans="1:50" ht="15" hidden="1" customHeight="1" x14ac:dyDescent="0.3">
      <c r="A47" s="30" t="s">
        <v>133</v>
      </c>
      <c r="B47" s="29" t="str">
        <f>IFERROR(VLOOKUP(A47,'[1]JL EXE ACTIVE FTE List'!$G:$N,8,FALSE),IF(ISNA(VLOOKUP(A47,'[1]JL EXE LEAVER List'!$G:$I,3,FALSE)),"Query","Leaver"))</f>
        <v>Leaver</v>
      </c>
      <c r="C47" s="29" t="str">
        <f>IFERROR(VLOOKUP(A47,'[1]JL EXE ACTIVE FTE List'!$G:$R,12,FALSE),IF(ISNA(VLOOKUP(A47,'[1]JL EXE LEAVER List'!$G:$I,3,FALSE)),"?QUERY?","Leaver"))</f>
        <v>Leaver</v>
      </c>
      <c r="D47" s="39" t="str">
        <f>IFERROR(IFERROR(VLOOKUP(A47,'[1]JL EXE ACTIVE FTE List'!$G:$H,2,FALSE),VLOOKUP(A47,'[1]JL EXE LEAVER List'!$G:$H,2,FALSE)),"?QUERY?")</f>
        <v>Antonio Follano</v>
      </c>
      <c r="E47" s="40">
        <f>IFERROR(IFERROR(VLOOKUP(A47,'[1]JL EXE ACTIVE FTE List'!$G:$O,9,FALSE),VLOOKUP(A47,'[1]JL EXE LEAVER List'!$G:$O,9,FALSE)),"?QUERY?")</f>
        <v>42982</v>
      </c>
      <c r="F47" s="21" t="s">
        <v>338</v>
      </c>
      <c r="G47" s="21" t="s">
        <v>338</v>
      </c>
      <c r="H47" s="21" t="s">
        <v>338</v>
      </c>
      <c r="I47" s="21" t="s">
        <v>313</v>
      </c>
      <c r="J47" s="21" t="s">
        <v>313</v>
      </c>
      <c r="K47" s="21" t="s">
        <v>313</v>
      </c>
      <c r="L47" s="21" t="s">
        <v>313</v>
      </c>
      <c r="M47" s="21" t="s">
        <v>313</v>
      </c>
      <c r="N47" s="21" t="s">
        <v>313</v>
      </c>
      <c r="O47" s="21" t="s">
        <v>313</v>
      </c>
      <c r="P47" s="21" t="s">
        <v>313</v>
      </c>
      <c r="Q47" s="21" t="s">
        <v>313</v>
      </c>
      <c r="R47" s="21" t="s">
        <v>313</v>
      </c>
      <c r="S47" s="21" t="s">
        <v>313</v>
      </c>
      <c r="T47" s="21" t="s">
        <v>313</v>
      </c>
      <c r="U47" s="21" t="s">
        <v>313</v>
      </c>
      <c r="V47" s="21" t="s">
        <v>313</v>
      </c>
      <c r="W47" s="21" t="s">
        <v>313</v>
      </c>
      <c r="X47" s="21" t="s">
        <v>313</v>
      </c>
      <c r="Y47" s="21" t="s">
        <v>313</v>
      </c>
      <c r="Z47" s="21" t="s">
        <v>313</v>
      </c>
      <c r="AA47" s="21" t="s">
        <v>313</v>
      </c>
      <c r="AB47" s="21" t="s">
        <v>313</v>
      </c>
      <c r="AC47" s="21" t="s">
        <v>313</v>
      </c>
      <c r="AD47" s="21" t="s">
        <v>313</v>
      </c>
      <c r="AE47" s="21" t="s">
        <v>313</v>
      </c>
      <c r="AF47" s="21" t="s">
        <v>313</v>
      </c>
      <c r="AG47" s="21" t="s">
        <v>313</v>
      </c>
      <c r="AH47" s="21" t="s">
        <v>313</v>
      </c>
      <c r="AI47" s="21" t="s">
        <v>313</v>
      </c>
      <c r="AJ47" s="21" t="s">
        <v>313</v>
      </c>
      <c r="AK47" s="21" t="s">
        <v>313</v>
      </c>
      <c r="AL47" s="21" t="s">
        <v>313</v>
      </c>
      <c r="AM47" s="21" t="s">
        <v>313</v>
      </c>
      <c r="AN47" s="21" t="s">
        <v>313</v>
      </c>
      <c r="AO47" s="21" t="s">
        <v>313</v>
      </c>
      <c r="AP47" s="21" t="s">
        <v>313</v>
      </c>
      <c r="AQ47" s="21" t="s">
        <v>313</v>
      </c>
      <c r="AR47" s="21" t="s">
        <v>313</v>
      </c>
      <c r="AS47" s="21" t="s">
        <v>313</v>
      </c>
      <c r="AT47" s="21" t="s">
        <v>313</v>
      </c>
      <c r="AU47" s="21" t="s">
        <v>313</v>
      </c>
      <c r="AV47" s="21" t="s">
        <v>313</v>
      </c>
      <c r="AW47" s="21" t="s">
        <v>313</v>
      </c>
      <c r="AX47" s="21" t="s">
        <v>313</v>
      </c>
    </row>
    <row r="48" spans="1:50" ht="15" hidden="1" customHeight="1" x14ac:dyDescent="0.3">
      <c r="A48" s="30" t="s">
        <v>143</v>
      </c>
      <c r="B48" s="29" t="str">
        <f>IFERROR(VLOOKUP(A48,'[1]JL EXE ACTIVE FTE List'!$G:$N,8,FALSE),IF(ISNA(VLOOKUP(A48,'[1]JL EXE LEAVER List'!$G:$I,3,FALSE)),"Query","Leaver"))</f>
        <v>Leaver</v>
      </c>
      <c r="C48" s="29" t="str">
        <f>IFERROR(VLOOKUP(A48,'[1]JL EXE ACTIVE FTE List'!$G:$R,12,FALSE),IF(ISNA(VLOOKUP(A48,'[1]JL EXE LEAVER List'!$G:$I,3,FALSE)),"?QUERY?","Leaver"))</f>
        <v>Leaver</v>
      </c>
      <c r="D48" s="39" t="str">
        <f>IFERROR(IFERROR(VLOOKUP(A48,'[1]JL EXE ACTIVE FTE List'!$G:$H,2,FALSE),VLOOKUP(A48,'[1]JL EXE LEAVER List'!$G:$H,2,FALSE)),"?QUERY?")</f>
        <v>Antonio Follano</v>
      </c>
      <c r="E48" s="40">
        <f>IFERROR(IFERROR(VLOOKUP(A48,'[1]JL EXE ACTIVE FTE List'!$G:$O,9,FALSE),VLOOKUP(A48,'[1]JL EXE LEAVER List'!$G:$O,9,FALSE)),"?QUERY?")</f>
        <v>42676</v>
      </c>
      <c r="F48" s="21" t="s">
        <v>339</v>
      </c>
      <c r="G48" s="21" t="s">
        <v>313</v>
      </c>
      <c r="H48" s="21" t="s">
        <v>313</v>
      </c>
      <c r="I48" s="21" t="s">
        <v>313</v>
      </c>
      <c r="J48" s="21" t="s">
        <v>313</v>
      </c>
      <c r="K48" s="21" t="s">
        <v>313</v>
      </c>
      <c r="L48" s="21" t="s">
        <v>313</v>
      </c>
      <c r="M48" s="21" t="s">
        <v>313</v>
      </c>
      <c r="N48" s="21" t="s">
        <v>313</v>
      </c>
      <c r="O48" s="21" t="s">
        <v>313</v>
      </c>
      <c r="P48" s="21" t="s">
        <v>313</v>
      </c>
      <c r="Q48" s="21" t="s">
        <v>313</v>
      </c>
      <c r="R48" s="21" t="s">
        <v>313</v>
      </c>
      <c r="S48" s="21" t="s">
        <v>313</v>
      </c>
      <c r="T48" s="21" t="s">
        <v>313</v>
      </c>
      <c r="U48" s="21" t="s">
        <v>313</v>
      </c>
      <c r="V48" s="21" t="s">
        <v>313</v>
      </c>
      <c r="W48" s="21" t="s">
        <v>313</v>
      </c>
      <c r="X48" s="21" t="s">
        <v>313</v>
      </c>
      <c r="Y48" s="21" t="s">
        <v>313</v>
      </c>
      <c r="Z48" s="21" t="s">
        <v>313</v>
      </c>
      <c r="AA48" s="21" t="s">
        <v>313</v>
      </c>
      <c r="AB48" s="21" t="s">
        <v>313</v>
      </c>
      <c r="AC48" s="21" t="s">
        <v>313</v>
      </c>
      <c r="AD48" s="21" t="s">
        <v>313</v>
      </c>
      <c r="AE48" s="21" t="s">
        <v>313</v>
      </c>
      <c r="AF48" s="21" t="s">
        <v>313</v>
      </c>
      <c r="AG48" s="21" t="s">
        <v>313</v>
      </c>
      <c r="AH48" s="21" t="s">
        <v>313</v>
      </c>
      <c r="AI48" s="21" t="s">
        <v>313</v>
      </c>
      <c r="AJ48" s="21" t="s">
        <v>313</v>
      </c>
      <c r="AK48" s="21" t="s">
        <v>313</v>
      </c>
      <c r="AL48" s="21" t="s">
        <v>313</v>
      </c>
      <c r="AM48" s="21" t="s">
        <v>313</v>
      </c>
      <c r="AN48" s="21" t="s">
        <v>313</v>
      </c>
      <c r="AO48" s="21" t="s">
        <v>313</v>
      </c>
      <c r="AP48" s="21" t="s">
        <v>313</v>
      </c>
      <c r="AQ48" s="21" t="s">
        <v>313</v>
      </c>
      <c r="AR48" s="21" t="s">
        <v>313</v>
      </c>
      <c r="AS48" s="21" t="s">
        <v>313</v>
      </c>
      <c r="AT48" s="21" t="s">
        <v>313</v>
      </c>
      <c r="AU48" s="21" t="s">
        <v>313</v>
      </c>
      <c r="AV48" s="21" t="s">
        <v>313</v>
      </c>
      <c r="AW48" s="21" t="s">
        <v>313</v>
      </c>
      <c r="AX48" s="21" t="s">
        <v>313</v>
      </c>
    </row>
    <row r="49" spans="1:50" ht="15" hidden="1" customHeight="1" x14ac:dyDescent="0.3">
      <c r="A49" s="30" t="s">
        <v>376</v>
      </c>
      <c r="B49" s="29" t="str">
        <f>IFERROR(VLOOKUP(A49,'[1]JL EXE ACTIVE FTE List'!$G:$N,8,FALSE),IF(ISNA(VLOOKUP(A49,'[1]JL EXE LEAVER List'!$G:$I,3,FALSE)),"Query","Leaver"))</f>
        <v>LE</v>
      </c>
      <c r="C49" s="29" t="str">
        <f>IFERROR(VLOOKUP(A49,'[1]JL EXE ACTIVE FTE List'!$G:$R,12,FALSE),IF(ISNA(VLOOKUP(A49,'[1]JL EXE LEAVER List'!$G:$I,3,FALSE)),"?QUERY?","Leaver"))</f>
        <v>GradBay</v>
      </c>
      <c r="D49" s="39" t="str">
        <f>IFERROR(IFERROR(VLOOKUP(A49,'[1]JL EXE ACTIVE FTE List'!$G:$H,2,FALSE),VLOOKUP(A49,'[1]JL EXE LEAVER List'!$G:$H,2,FALSE)),"?QUERY?")</f>
        <v>Andrew Warren</v>
      </c>
      <c r="E49" s="40">
        <f>IFERROR(IFERROR(VLOOKUP(A49,'[1]JL EXE ACTIVE FTE List'!$G:$O,9,FALSE),VLOOKUP(A49,'[1]JL EXE LEAVER List'!$G:$O,9,FALSE)),"?QUERY?")</f>
        <v>43122</v>
      </c>
      <c r="F49" s="21" t="s">
        <v>341</v>
      </c>
      <c r="G49" s="21" t="s">
        <v>341</v>
      </c>
      <c r="H49" s="21" t="s">
        <v>341</v>
      </c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1" t="s">
        <v>313</v>
      </c>
      <c r="AN49" s="21" t="s">
        <v>313</v>
      </c>
      <c r="AO49" s="21" t="s">
        <v>313</v>
      </c>
      <c r="AP49" s="21" t="s">
        <v>313</v>
      </c>
      <c r="AQ49" s="21" t="s">
        <v>313</v>
      </c>
      <c r="AR49" s="21" t="s">
        <v>313</v>
      </c>
      <c r="AS49" s="21" t="s">
        <v>313</v>
      </c>
      <c r="AT49" s="21" t="s">
        <v>313</v>
      </c>
      <c r="AU49" s="21" t="s">
        <v>313</v>
      </c>
      <c r="AV49" s="21" t="s">
        <v>313</v>
      </c>
      <c r="AW49" s="21" t="s">
        <v>313</v>
      </c>
      <c r="AX49" s="21" t="s">
        <v>313</v>
      </c>
    </row>
    <row r="50" spans="1:50" ht="15" hidden="1" customHeight="1" x14ac:dyDescent="0.3">
      <c r="A50" s="30" t="s">
        <v>377</v>
      </c>
      <c r="B50" s="29" t="str">
        <f>IFERROR(VLOOKUP(A50,'[1]JL EXE ACTIVE FTE List'!$G:$N,8,FALSE),IF(ISNA(VLOOKUP(A50,'[1]JL EXE LEAVER List'!$G:$I,3,FALSE)),"Query","Leaver"))</f>
        <v>LE</v>
      </c>
      <c r="C50" s="29" t="str">
        <f>IFERROR(VLOOKUP(A50,'[1]JL EXE ACTIVE FTE List'!$G:$R,12,FALSE),IF(ISNA(VLOOKUP(A50,'[1]JL EXE LEAVER List'!$G:$I,3,FALSE)),"?QUERY?","Leaver"))</f>
        <v>GradBay</v>
      </c>
      <c r="D50" s="39" t="str">
        <f>IFERROR(IFERROR(VLOOKUP(A50,'[1]JL EXE ACTIVE FTE List'!$G:$H,2,FALSE),VLOOKUP(A50,'[1]JL EXE LEAVER List'!$G:$H,2,FALSE)),"?QUERY?")</f>
        <v>Andrew Warren</v>
      </c>
      <c r="E50" s="40">
        <f>IFERROR(IFERROR(VLOOKUP(A50,'[1]JL EXE ACTIVE FTE List'!$G:$O,9,FALSE),VLOOKUP(A50,'[1]JL EXE LEAVER List'!$G:$O,9,FALSE)),"?QUERY?")</f>
        <v>43122</v>
      </c>
      <c r="F50" s="21" t="s">
        <v>341</v>
      </c>
      <c r="G50" s="21" t="s">
        <v>341</v>
      </c>
      <c r="H50" s="21" t="s">
        <v>341</v>
      </c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1" t="s">
        <v>313</v>
      </c>
      <c r="AN50" s="21" t="s">
        <v>313</v>
      </c>
      <c r="AO50" s="21" t="s">
        <v>313</v>
      </c>
      <c r="AP50" s="21" t="s">
        <v>313</v>
      </c>
      <c r="AQ50" s="21" t="s">
        <v>313</v>
      </c>
      <c r="AR50" s="21" t="s">
        <v>313</v>
      </c>
      <c r="AS50" s="21" t="s">
        <v>313</v>
      </c>
      <c r="AT50" s="21" t="s">
        <v>313</v>
      </c>
      <c r="AU50" s="21" t="s">
        <v>313</v>
      </c>
      <c r="AV50" s="21" t="s">
        <v>313</v>
      </c>
      <c r="AW50" s="21" t="s">
        <v>313</v>
      </c>
      <c r="AX50" s="21" t="s">
        <v>313</v>
      </c>
    </row>
    <row r="51" spans="1:50" ht="15" hidden="1" customHeight="1" x14ac:dyDescent="0.3">
      <c r="A51" s="30" t="s">
        <v>380</v>
      </c>
      <c r="B51" s="29" t="str">
        <f>IFERROR(VLOOKUP(A51,'[1]JL EXE ACTIVE FTE List'!$G:$N,8,FALSE),IF(ISNA(VLOOKUP(A51,'[1]JL EXE LEAVER List'!$G:$I,3,FALSE)),"Query","Leaver"))</f>
        <v>PC</v>
      </c>
      <c r="C51" s="29" t="str">
        <f>IFERROR(VLOOKUP(A51,'[1]JL EXE ACTIVE FTE List'!$G:$R,12,FALSE),IF(ISNA(VLOOKUP(A51,'[1]JL EXE LEAVER List'!$G:$I,3,FALSE)),"?QUERY?","Leaver"))</f>
        <v>GradBay</v>
      </c>
      <c r="D51" s="39" t="str">
        <f>IFERROR(IFERROR(VLOOKUP(A51,'[1]JL EXE ACTIVE FTE List'!$G:$H,2,FALSE),VLOOKUP(A51,'[1]JL EXE LEAVER List'!$G:$H,2,FALSE)),"?QUERY?")</f>
        <v>Andrew Warren</v>
      </c>
      <c r="E51" s="40">
        <f>IFERROR(IFERROR(VLOOKUP(A51,'[1]JL EXE ACTIVE FTE List'!$G:$O,9,FALSE),VLOOKUP(A51,'[1]JL EXE LEAVER List'!$G:$O,9,FALSE)),"?QUERY?")</f>
        <v>43122</v>
      </c>
      <c r="F51" s="21" t="s">
        <v>341</v>
      </c>
      <c r="G51" s="21" t="s">
        <v>341</v>
      </c>
      <c r="H51" s="21" t="s">
        <v>341</v>
      </c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1" t="s">
        <v>313</v>
      </c>
      <c r="AN51" s="21" t="s">
        <v>313</v>
      </c>
      <c r="AO51" s="21" t="s">
        <v>313</v>
      </c>
      <c r="AP51" s="21" t="s">
        <v>313</v>
      </c>
      <c r="AQ51" s="21" t="s">
        <v>313</v>
      </c>
      <c r="AR51" s="21" t="s">
        <v>313</v>
      </c>
      <c r="AS51" s="21" t="s">
        <v>313</v>
      </c>
      <c r="AT51" s="21" t="s">
        <v>313</v>
      </c>
      <c r="AU51" s="21" t="s">
        <v>313</v>
      </c>
      <c r="AV51" s="21" t="s">
        <v>313</v>
      </c>
      <c r="AW51" s="21" t="s">
        <v>313</v>
      </c>
      <c r="AX51" s="21" t="s">
        <v>313</v>
      </c>
    </row>
    <row r="52" spans="1:50" ht="15" hidden="1" customHeight="1" x14ac:dyDescent="0.3">
      <c r="A52" s="30" t="s">
        <v>381</v>
      </c>
      <c r="B52" s="29" t="str">
        <f>IFERROR(VLOOKUP(A52,'[1]JL EXE ACTIVE FTE List'!$G:$N,8,FALSE),IF(ISNA(VLOOKUP(A52,'[1]JL EXE LEAVER List'!$G:$I,3,FALSE)),"Query","Leaver"))</f>
        <v>LE</v>
      </c>
      <c r="C52" s="29" t="str">
        <f>IFERROR(VLOOKUP(A52,'[1]JL EXE ACTIVE FTE List'!$G:$R,12,FALSE),IF(ISNA(VLOOKUP(A52,'[1]JL EXE LEAVER List'!$G:$I,3,FALSE)),"?QUERY?","Leaver"))</f>
        <v>GradBay</v>
      </c>
      <c r="D52" s="39" t="str">
        <f>IFERROR(IFERROR(VLOOKUP(A52,'[1]JL EXE ACTIVE FTE List'!$G:$H,2,FALSE),VLOOKUP(A52,'[1]JL EXE LEAVER List'!$G:$H,2,FALSE)),"?QUERY?")</f>
        <v>Andrew Warren</v>
      </c>
      <c r="E52" s="40">
        <f>IFERROR(IFERROR(VLOOKUP(A52,'[1]JL EXE ACTIVE FTE List'!$G:$O,9,FALSE),VLOOKUP(A52,'[1]JL EXE LEAVER List'!$G:$O,9,FALSE)),"?QUERY?")</f>
        <v>43122</v>
      </c>
      <c r="F52" s="21" t="s">
        <v>341</v>
      </c>
      <c r="G52" s="21" t="s">
        <v>341</v>
      </c>
      <c r="H52" s="21" t="s">
        <v>341</v>
      </c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1" t="s">
        <v>313</v>
      </c>
      <c r="AN52" s="21" t="s">
        <v>313</v>
      </c>
      <c r="AO52" s="21" t="s">
        <v>313</v>
      </c>
      <c r="AP52" s="21" t="s">
        <v>313</v>
      </c>
      <c r="AQ52" s="21" t="s">
        <v>313</v>
      </c>
      <c r="AR52" s="21" t="s">
        <v>313</v>
      </c>
      <c r="AS52" s="21" t="s">
        <v>313</v>
      </c>
      <c r="AT52" s="21" t="s">
        <v>313</v>
      </c>
      <c r="AU52" s="21" t="s">
        <v>313</v>
      </c>
      <c r="AV52" s="21" t="s">
        <v>313</v>
      </c>
      <c r="AW52" s="21" t="s">
        <v>313</v>
      </c>
      <c r="AX52" s="21" t="s">
        <v>313</v>
      </c>
    </row>
    <row r="53" spans="1:50" ht="15" hidden="1" customHeight="1" x14ac:dyDescent="0.3">
      <c r="A53" s="30" t="s">
        <v>129</v>
      </c>
      <c r="B53" s="29" t="str">
        <f>IFERROR(VLOOKUP(A53,'[1]JL EXE ACTIVE FTE List'!$G:$N,8,FALSE),IF(ISNA(VLOOKUP(A53,'[1]JL EXE LEAVER List'!$G:$I,3,FALSE)),"Query","Leaver"))</f>
        <v>Leaver</v>
      </c>
      <c r="C53" s="29" t="str">
        <f>IFERROR(VLOOKUP(A53,'[1]JL EXE ACTIVE FTE List'!$G:$R,12,FALSE),IF(ISNA(VLOOKUP(A53,'[1]JL EXE LEAVER List'!$G:$I,3,FALSE)),"?QUERY?","Leaver"))</f>
        <v>Leaver</v>
      </c>
      <c r="D53" s="39" t="str">
        <f>IFERROR(IFERROR(VLOOKUP(A53,'[1]JL EXE ACTIVE FTE List'!$G:$H,2,FALSE),VLOOKUP(A53,'[1]JL EXE LEAVER List'!$G:$H,2,FALSE)),"?QUERY?")</f>
        <v>Antonio Follano</v>
      </c>
      <c r="E53" s="40">
        <f>IFERROR(IFERROR(VLOOKUP(A53,'[1]JL EXE ACTIVE FTE List'!$G:$O,9,FALSE),VLOOKUP(A53,'[1]JL EXE LEAVER List'!$G:$O,9,FALSE)),"?QUERY?")</f>
        <v>42968</v>
      </c>
      <c r="F53" s="21" t="s">
        <v>338</v>
      </c>
      <c r="G53" s="21" t="s">
        <v>335</v>
      </c>
      <c r="H53" s="21" t="s">
        <v>338</v>
      </c>
      <c r="I53" s="21" t="s">
        <v>313</v>
      </c>
      <c r="J53" s="21" t="s">
        <v>313</v>
      </c>
      <c r="K53" s="21" t="s">
        <v>313</v>
      </c>
      <c r="L53" s="21" t="s">
        <v>313</v>
      </c>
      <c r="M53" s="21" t="s">
        <v>313</v>
      </c>
      <c r="N53" s="21" t="s">
        <v>313</v>
      </c>
      <c r="O53" s="21" t="s">
        <v>313</v>
      </c>
      <c r="P53" s="21" t="s">
        <v>313</v>
      </c>
      <c r="Q53" s="21" t="s">
        <v>313</v>
      </c>
      <c r="R53" s="21" t="s">
        <v>313</v>
      </c>
      <c r="S53" s="21" t="s">
        <v>313</v>
      </c>
      <c r="T53" s="21" t="s">
        <v>313</v>
      </c>
      <c r="U53" s="21" t="s">
        <v>313</v>
      </c>
      <c r="V53" s="21" t="s">
        <v>313</v>
      </c>
      <c r="W53" s="21" t="s">
        <v>313</v>
      </c>
      <c r="X53" s="21" t="s">
        <v>313</v>
      </c>
      <c r="Y53" s="21" t="s">
        <v>313</v>
      </c>
      <c r="Z53" s="21" t="s">
        <v>313</v>
      </c>
      <c r="AA53" s="21" t="s">
        <v>313</v>
      </c>
      <c r="AB53" s="21" t="s">
        <v>313</v>
      </c>
      <c r="AC53" s="21" t="s">
        <v>313</v>
      </c>
      <c r="AD53" s="21" t="s">
        <v>313</v>
      </c>
      <c r="AE53" s="21" t="s">
        <v>313</v>
      </c>
      <c r="AF53" s="21" t="s">
        <v>313</v>
      </c>
      <c r="AG53" s="21" t="s">
        <v>313</v>
      </c>
      <c r="AH53" s="21" t="s">
        <v>313</v>
      </c>
      <c r="AI53" s="21" t="s">
        <v>313</v>
      </c>
      <c r="AJ53" s="21" t="s">
        <v>313</v>
      </c>
      <c r="AK53" s="21" t="s">
        <v>313</v>
      </c>
      <c r="AL53" s="21" t="s">
        <v>313</v>
      </c>
      <c r="AM53" s="21" t="s">
        <v>313</v>
      </c>
      <c r="AN53" s="21" t="s">
        <v>313</v>
      </c>
      <c r="AO53" s="21" t="s">
        <v>313</v>
      </c>
      <c r="AP53" s="21" t="s">
        <v>313</v>
      </c>
      <c r="AQ53" s="21" t="s">
        <v>313</v>
      </c>
      <c r="AR53" s="21" t="s">
        <v>313</v>
      </c>
      <c r="AS53" s="21" t="s">
        <v>313</v>
      </c>
      <c r="AT53" s="21" t="s">
        <v>313</v>
      </c>
      <c r="AU53" s="21" t="s">
        <v>313</v>
      </c>
      <c r="AV53" s="21" t="s">
        <v>313</v>
      </c>
      <c r="AW53" s="21" t="s">
        <v>313</v>
      </c>
      <c r="AX53" s="21" t="s">
        <v>313</v>
      </c>
    </row>
    <row r="54" spans="1:50" ht="15" hidden="1" customHeight="1" x14ac:dyDescent="0.3">
      <c r="A54" s="30" t="s">
        <v>383</v>
      </c>
      <c r="B54" s="29" t="str">
        <f>IFERROR(VLOOKUP(A54,'[1]JL EXE ACTIVE FTE List'!$G:$N,8,FALSE),IF(ISNA(VLOOKUP(A54,'[1]JL EXE LEAVER List'!$G:$I,3,FALSE)),"Query","Leaver"))</f>
        <v>PC</v>
      </c>
      <c r="C54" s="29" t="str">
        <f>IFERROR(VLOOKUP(A54,'[1]JL EXE ACTIVE FTE List'!$G:$R,12,FALSE),IF(ISNA(VLOOKUP(A54,'[1]JL EXE LEAVER List'!$G:$I,3,FALSE)),"?QUERY?","Leaver"))</f>
        <v>GradBay</v>
      </c>
      <c r="D54" s="39" t="str">
        <f>IFERROR(IFERROR(VLOOKUP(A54,'[1]JL EXE ACTIVE FTE List'!$G:$H,2,FALSE),VLOOKUP(A54,'[1]JL EXE LEAVER List'!$G:$H,2,FALSE)),"?QUERY?")</f>
        <v>Andrew Warren</v>
      </c>
      <c r="E54" s="40">
        <f>IFERROR(IFERROR(VLOOKUP(A54,'[1]JL EXE ACTIVE FTE List'!$G:$O,9,FALSE),VLOOKUP(A54,'[1]JL EXE LEAVER List'!$G:$O,9,FALSE)),"?QUERY?")</f>
        <v>43122</v>
      </c>
      <c r="F54" s="21" t="s">
        <v>341</v>
      </c>
      <c r="G54" s="21" t="s">
        <v>341</v>
      </c>
      <c r="H54" s="21" t="s">
        <v>341</v>
      </c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1" t="s">
        <v>313</v>
      </c>
      <c r="AN54" s="21" t="s">
        <v>313</v>
      </c>
      <c r="AO54" s="21" t="s">
        <v>313</v>
      </c>
      <c r="AP54" s="21" t="s">
        <v>313</v>
      </c>
      <c r="AQ54" s="21" t="s">
        <v>313</v>
      </c>
      <c r="AR54" s="21" t="s">
        <v>313</v>
      </c>
      <c r="AS54" s="21" t="s">
        <v>313</v>
      </c>
      <c r="AT54" s="21" t="s">
        <v>313</v>
      </c>
      <c r="AU54" s="21" t="s">
        <v>313</v>
      </c>
      <c r="AV54" s="21" t="s">
        <v>313</v>
      </c>
      <c r="AW54" s="21" t="s">
        <v>313</v>
      </c>
      <c r="AX54" s="21" t="s">
        <v>313</v>
      </c>
    </row>
    <row r="55" spans="1:50" ht="15" hidden="1" customHeight="1" x14ac:dyDescent="0.3">
      <c r="A55" s="30" t="s">
        <v>384</v>
      </c>
      <c r="B55" s="29" t="str">
        <f>IFERROR(VLOOKUP(A55,'[1]JL EXE ACTIVE FTE List'!$G:$N,8,FALSE),IF(ISNA(VLOOKUP(A55,'[1]JL EXE LEAVER List'!$G:$I,3,FALSE)),"Query","Leaver"))</f>
        <v>PC</v>
      </c>
      <c r="C55" s="29" t="str">
        <f>IFERROR(VLOOKUP(A55,'[1]JL EXE ACTIVE FTE List'!$G:$R,12,FALSE),IF(ISNA(VLOOKUP(A55,'[1]JL EXE LEAVER List'!$G:$I,3,FALSE)),"?QUERY?","Leaver"))</f>
        <v>GradBay</v>
      </c>
      <c r="D55" s="39" t="str">
        <f>IFERROR(IFERROR(VLOOKUP(A55,'[1]JL EXE ACTIVE FTE List'!$G:$H,2,FALSE),VLOOKUP(A55,'[1]JL EXE LEAVER List'!$G:$H,2,FALSE)),"?QUERY?")</f>
        <v>Andrew Warren</v>
      </c>
      <c r="E55" s="40">
        <f>IFERROR(IFERROR(VLOOKUP(A55,'[1]JL EXE ACTIVE FTE List'!$G:$O,9,FALSE),VLOOKUP(A55,'[1]JL EXE LEAVER List'!$G:$O,9,FALSE)),"?QUERY?")</f>
        <v>43122</v>
      </c>
      <c r="F55" s="21" t="s">
        <v>341</v>
      </c>
      <c r="G55" s="21" t="s">
        <v>341</v>
      </c>
      <c r="H55" s="21" t="s">
        <v>341</v>
      </c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1" t="s">
        <v>313</v>
      </c>
      <c r="AN55" s="21" t="s">
        <v>313</v>
      </c>
      <c r="AO55" s="21" t="s">
        <v>313</v>
      </c>
      <c r="AP55" s="21" t="s">
        <v>313</v>
      </c>
      <c r="AQ55" s="21" t="s">
        <v>313</v>
      </c>
      <c r="AR55" s="21" t="s">
        <v>313</v>
      </c>
      <c r="AS55" s="21" t="s">
        <v>313</v>
      </c>
      <c r="AT55" s="21" t="s">
        <v>313</v>
      </c>
      <c r="AU55" s="21" t="s">
        <v>313</v>
      </c>
      <c r="AV55" s="21" t="s">
        <v>313</v>
      </c>
      <c r="AW55" s="21" t="s">
        <v>313</v>
      </c>
      <c r="AX55" s="21" t="s">
        <v>313</v>
      </c>
    </row>
    <row r="56" spans="1:50" ht="15" hidden="1" customHeight="1" x14ac:dyDescent="0.3">
      <c r="A56" s="30" t="s">
        <v>390</v>
      </c>
      <c r="B56" s="29" t="str">
        <f>IFERROR(VLOOKUP(A56,'[1]JL EXE ACTIVE FTE List'!$G:$N,8,FALSE),IF(ISNA(VLOOKUP(A56,'[1]JL EXE LEAVER List'!$G:$I,3,FALSE)),"Query","Leaver"))</f>
        <v>PC</v>
      </c>
      <c r="C56" s="29" t="str">
        <f>IFERROR(VLOOKUP(A56,'[1]JL EXE ACTIVE FTE List'!$G:$R,12,FALSE),IF(ISNA(VLOOKUP(A56,'[1]JL EXE LEAVER List'!$G:$I,3,FALSE)),"?QUERY?","Leaver"))</f>
        <v>GradBay</v>
      </c>
      <c r="D56" s="39" t="str">
        <f>IFERROR(IFERROR(VLOOKUP(A56,'[1]JL EXE ACTIVE FTE List'!$G:$H,2,FALSE),VLOOKUP(A56,'[1]JL EXE LEAVER List'!$G:$H,2,FALSE)),"?QUERY?")</f>
        <v>Andrew Warren</v>
      </c>
      <c r="E56" s="40">
        <f>IFERROR(IFERROR(VLOOKUP(A56,'[1]JL EXE ACTIVE FTE List'!$G:$O,9,FALSE),VLOOKUP(A56,'[1]JL EXE LEAVER List'!$G:$O,9,FALSE)),"?QUERY?")</f>
        <v>43122</v>
      </c>
      <c r="F56" s="21" t="s">
        <v>341</v>
      </c>
      <c r="G56" s="21" t="s">
        <v>341</v>
      </c>
      <c r="H56" s="21" t="s">
        <v>341</v>
      </c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1" t="s">
        <v>313</v>
      </c>
      <c r="AN56" s="21" t="s">
        <v>313</v>
      </c>
      <c r="AO56" s="21" t="s">
        <v>313</v>
      </c>
      <c r="AP56" s="21" t="s">
        <v>313</v>
      </c>
      <c r="AQ56" s="21" t="s">
        <v>313</v>
      </c>
      <c r="AR56" s="21" t="s">
        <v>313</v>
      </c>
      <c r="AS56" s="21" t="s">
        <v>313</v>
      </c>
      <c r="AT56" s="21" t="s">
        <v>313</v>
      </c>
      <c r="AU56" s="21" t="s">
        <v>313</v>
      </c>
      <c r="AV56" s="21" t="s">
        <v>313</v>
      </c>
      <c r="AW56" s="21" t="s">
        <v>313</v>
      </c>
      <c r="AX56" s="21" t="s">
        <v>313</v>
      </c>
    </row>
    <row r="57" spans="1:50" ht="15" customHeight="1" x14ac:dyDescent="0.3">
      <c r="A57" s="30" t="s">
        <v>138</v>
      </c>
      <c r="B57" s="29" t="str">
        <f>IFERROR(VLOOKUP(A57,'[1]JL EXE ACTIVE FTE List'!$G:$N,8,FALSE),IF(ISNA(VLOOKUP(A57,'[1]JL EXE LEAVER List'!$G:$I,3,FALSE)),"Query","Leaver"))</f>
        <v>ATV</v>
      </c>
      <c r="C57" s="29" t="str">
        <f>IFERROR(VLOOKUP(A57,'[1]JL EXE ACTIVE FTE List'!$G:$R,12,FALSE),IF(ISNA(VLOOKUP(A57,'[1]JL EXE LEAVER List'!$G:$I,3,FALSE)),"?QUERY?","Leaver"))</f>
        <v>ACTIVE</v>
      </c>
      <c r="D57" s="39" t="str">
        <f>IFERROR(IFERROR(VLOOKUP(A57,'[1]JL EXE ACTIVE FTE List'!$G:$H,2,FALSE),VLOOKUP(A57,'[1]JL EXE LEAVER List'!$G:$H,2,FALSE)),"?QUERY?")</f>
        <v>Antonio Follano</v>
      </c>
      <c r="E57" s="40">
        <f>IFERROR(IFERROR(VLOOKUP(A57,'[1]JL EXE ACTIVE FTE List'!$G:$O,9,FALSE),VLOOKUP(A57,'[1]JL EXE LEAVER List'!$G:$O,9,FALSE)),"?QUERY?")</f>
        <v>42891</v>
      </c>
      <c r="F57" s="21" t="s">
        <v>338</v>
      </c>
      <c r="G57" s="21" t="s">
        <v>338</v>
      </c>
      <c r="H57" s="21" t="s">
        <v>338</v>
      </c>
      <c r="I57" s="21" t="s">
        <v>313</v>
      </c>
      <c r="J57" s="21" t="s">
        <v>313</v>
      </c>
      <c r="K57" s="21" t="s">
        <v>313</v>
      </c>
      <c r="L57" s="21" t="s">
        <v>313</v>
      </c>
      <c r="M57" s="21" t="s">
        <v>313</v>
      </c>
      <c r="N57" s="21" t="s">
        <v>313</v>
      </c>
      <c r="O57" s="21" t="s">
        <v>313</v>
      </c>
      <c r="P57" s="21" t="s">
        <v>313</v>
      </c>
      <c r="Q57" s="21" t="s">
        <v>313</v>
      </c>
      <c r="R57" s="21" t="s">
        <v>313</v>
      </c>
      <c r="S57" s="21" t="s">
        <v>313</v>
      </c>
      <c r="T57" s="21" t="s">
        <v>313</v>
      </c>
      <c r="U57" s="21" t="s">
        <v>313</v>
      </c>
      <c r="V57" s="21" t="s">
        <v>313</v>
      </c>
      <c r="W57" s="21" t="s">
        <v>313</v>
      </c>
      <c r="X57" s="21" t="s">
        <v>313</v>
      </c>
      <c r="Y57" s="21" t="s">
        <v>313</v>
      </c>
      <c r="Z57" s="21" t="s">
        <v>313</v>
      </c>
      <c r="AA57" s="21" t="s">
        <v>313</v>
      </c>
      <c r="AB57" s="21" t="s">
        <v>313</v>
      </c>
      <c r="AC57" s="21" t="s">
        <v>313</v>
      </c>
      <c r="AD57" s="21" t="s">
        <v>313</v>
      </c>
      <c r="AE57" s="21" t="s">
        <v>313</v>
      </c>
      <c r="AF57" s="21" t="s">
        <v>313</v>
      </c>
      <c r="AG57" s="21" t="s">
        <v>313</v>
      </c>
      <c r="AH57" s="21" t="s">
        <v>313</v>
      </c>
      <c r="AI57" s="21" t="s">
        <v>313</v>
      </c>
      <c r="AJ57" s="21" t="s">
        <v>313</v>
      </c>
      <c r="AK57" s="21" t="s">
        <v>313</v>
      </c>
      <c r="AL57" s="21" t="s">
        <v>313</v>
      </c>
      <c r="AM57" s="21" t="s">
        <v>313</v>
      </c>
      <c r="AN57" s="21" t="s">
        <v>313</v>
      </c>
      <c r="AO57" s="21" t="s">
        <v>313</v>
      </c>
      <c r="AP57" s="21" t="s">
        <v>313</v>
      </c>
      <c r="AQ57" s="21" t="s">
        <v>313</v>
      </c>
      <c r="AR57" s="21" t="s">
        <v>313</v>
      </c>
      <c r="AS57" s="21" t="s">
        <v>313</v>
      </c>
      <c r="AT57" s="21" t="s">
        <v>313</v>
      </c>
      <c r="AU57" s="21" t="s">
        <v>313</v>
      </c>
      <c r="AV57" s="21" t="s">
        <v>313</v>
      </c>
      <c r="AW57" s="21" t="s">
        <v>313</v>
      </c>
      <c r="AX57" s="21" t="s">
        <v>313</v>
      </c>
    </row>
    <row r="58" spans="1:50" ht="15" customHeight="1" x14ac:dyDescent="0.3">
      <c r="A58" s="30" t="s">
        <v>258</v>
      </c>
      <c r="B58" s="29" t="str">
        <f>IFERROR(VLOOKUP(A58,'[1]JL EXE ACTIVE FTE List'!$G:$N,8,FALSE),IF(ISNA(VLOOKUP(A58,'[1]JL EXE LEAVER List'!$G:$I,3,FALSE)),"Query","Leaver"))</f>
        <v>ATV</v>
      </c>
      <c r="C58" s="29" t="str">
        <f>IFERROR(VLOOKUP(A58,'[1]JL EXE ACTIVE FTE List'!$G:$R,12,FALSE),IF(ISNA(VLOOKUP(A58,'[1]JL EXE LEAVER List'!$G:$I,3,FALSE)),"?QUERY?","Leaver"))</f>
        <v>ACTIVE</v>
      </c>
      <c r="D58" s="39" t="str">
        <f>IFERROR(IFERROR(VLOOKUP(A58,'[1]JL EXE ACTIVE FTE List'!$G:$H,2,FALSE),VLOOKUP(A58,'[1]JL EXE LEAVER List'!$G:$H,2,FALSE)),"?QUERY?")</f>
        <v>Antonio Follano</v>
      </c>
      <c r="E58" s="40">
        <f>IFERROR(IFERROR(VLOOKUP(A58,'[1]JL EXE ACTIVE FTE List'!$G:$O,9,FALSE),VLOOKUP(A58,'[1]JL EXE LEAVER List'!$G:$O,9,FALSE)),"?QUERY?")</f>
        <v>42807</v>
      </c>
      <c r="F58" s="21" t="s">
        <v>338</v>
      </c>
      <c r="G58" s="21" t="s">
        <v>338</v>
      </c>
      <c r="H58" s="21" t="s">
        <v>338</v>
      </c>
      <c r="I58" s="21" t="s">
        <v>313</v>
      </c>
      <c r="J58" s="21" t="s">
        <v>313</v>
      </c>
      <c r="K58" s="21" t="s">
        <v>313</v>
      </c>
      <c r="L58" s="21" t="s">
        <v>313</v>
      </c>
      <c r="M58" s="21" t="s">
        <v>313</v>
      </c>
      <c r="N58" s="21" t="s">
        <v>313</v>
      </c>
      <c r="O58" s="21" t="s">
        <v>313</v>
      </c>
      <c r="P58" s="21" t="s">
        <v>313</v>
      </c>
      <c r="Q58" s="21" t="s">
        <v>313</v>
      </c>
      <c r="R58" s="21" t="s">
        <v>313</v>
      </c>
      <c r="S58" s="21" t="s">
        <v>313</v>
      </c>
      <c r="T58" s="21" t="s">
        <v>313</v>
      </c>
      <c r="U58" s="21" t="s">
        <v>313</v>
      </c>
      <c r="V58" s="21" t="s">
        <v>313</v>
      </c>
      <c r="W58" s="21" t="s">
        <v>313</v>
      </c>
      <c r="X58" s="21" t="s">
        <v>313</v>
      </c>
      <c r="Y58" s="21" t="s">
        <v>313</v>
      </c>
      <c r="Z58" s="21" t="s">
        <v>313</v>
      </c>
      <c r="AA58" s="21" t="s">
        <v>313</v>
      </c>
      <c r="AB58" s="21" t="s">
        <v>313</v>
      </c>
      <c r="AC58" s="21" t="s">
        <v>313</v>
      </c>
      <c r="AD58" s="21" t="s">
        <v>313</v>
      </c>
      <c r="AE58" s="21" t="s">
        <v>313</v>
      </c>
      <c r="AF58" s="21" t="s">
        <v>313</v>
      </c>
      <c r="AG58" s="21" t="s">
        <v>313</v>
      </c>
      <c r="AH58" s="21" t="s">
        <v>313</v>
      </c>
      <c r="AI58" s="21" t="s">
        <v>313</v>
      </c>
      <c r="AJ58" s="21" t="s">
        <v>313</v>
      </c>
      <c r="AK58" s="21" t="s">
        <v>313</v>
      </c>
      <c r="AL58" s="21" t="s">
        <v>313</v>
      </c>
      <c r="AM58" s="21" t="s">
        <v>313</v>
      </c>
      <c r="AN58" s="21" t="s">
        <v>313</v>
      </c>
      <c r="AO58" s="21" t="s">
        <v>313</v>
      </c>
      <c r="AP58" s="21" t="s">
        <v>313</v>
      </c>
      <c r="AQ58" s="21" t="s">
        <v>313</v>
      </c>
      <c r="AR58" s="21" t="s">
        <v>313</v>
      </c>
      <c r="AS58" s="21" t="s">
        <v>313</v>
      </c>
      <c r="AT58" s="21" t="s">
        <v>313</v>
      </c>
      <c r="AU58" s="21" t="s">
        <v>313</v>
      </c>
      <c r="AV58" s="21" t="s">
        <v>313</v>
      </c>
      <c r="AW58" s="21" t="s">
        <v>313</v>
      </c>
      <c r="AX58" s="21" t="s">
        <v>313</v>
      </c>
    </row>
    <row r="59" spans="1:50" ht="15" customHeight="1" x14ac:dyDescent="0.3">
      <c r="A59" s="30" t="s">
        <v>49</v>
      </c>
      <c r="B59" s="29" t="str">
        <f>IFERROR(VLOOKUP(A59,'[1]JL EXE ACTIVE FTE List'!$G:$N,8,FALSE),IF(ISNA(VLOOKUP(A59,'[1]JL EXE LEAVER List'!$G:$I,3,FALSE)),"Query","Leaver"))</f>
        <v>ATV</v>
      </c>
      <c r="C59" s="29" t="str">
        <f>IFERROR(VLOOKUP(A59,'[1]JL EXE ACTIVE FTE List'!$G:$R,12,FALSE),IF(ISNA(VLOOKUP(A59,'[1]JL EXE LEAVER List'!$G:$I,3,FALSE)),"?QUERY?","Leaver"))</f>
        <v>ACTIVE</v>
      </c>
      <c r="D59" s="39" t="str">
        <f>IFERROR(IFERROR(VLOOKUP(A59,'[1]JL EXE ACTIVE FTE List'!$G:$H,2,FALSE),VLOOKUP(A59,'[1]JL EXE LEAVER List'!$G:$H,2,FALSE)),"?QUERY?")</f>
        <v>Antonio Follano</v>
      </c>
      <c r="E59" s="40">
        <f>IFERROR(IFERROR(VLOOKUP(A59,'[1]JL EXE ACTIVE FTE List'!$G:$O,9,FALSE),VLOOKUP(A59,'[1]JL EXE LEAVER List'!$G:$O,9,FALSE)),"?QUERY?")</f>
        <v>43031</v>
      </c>
      <c r="F59" s="21" t="s">
        <v>338</v>
      </c>
      <c r="G59" s="21" t="s">
        <v>338</v>
      </c>
      <c r="H59" s="21" t="s">
        <v>338</v>
      </c>
      <c r="I59" s="21" t="s">
        <v>313</v>
      </c>
      <c r="J59" s="21" t="s">
        <v>313</v>
      </c>
      <c r="K59" s="21" t="s">
        <v>313</v>
      </c>
      <c r="L59" s="21" t="s">
        <v>313</v>
      </c>
      <c r="M59" s="21" t="s">
        <v>313</v>
      </c>
      <c r="N59" s="21" t="s">
        <v>313</v>
      </c>
      <c r="O59" s="21" t="s">
        <v>313</v>
      </c>
      <c r="P59" s="21" t="s">
        <v>313</v>
      </c>
      <c r="Q59" s="21" t="s">
        <v>313</v>
      </c>
      <c r="R59" s="21" t="s">
        <v>313</v>
      </c>
      <c r="S59" s="21" t="s">
        <v>313</v>
      </c>
      <c r="T59" s="21" t="s">
        <v>313</v>
      </c>
      <c r="U59" s="21" t="s">
        <v>313</v>
      </c>
      <c r="V59" s="21" t="s">
        <v>313</v>
      </c>
      <c r="W59" s="21" t="s">
        <v>313</v>
      </c>
      <c r="X59" s="21" t="s">
        <v>313</v>
      </c>
      <c r="Y59" s="21" t="s">
        <v>313</v>
      </c>
      <c r="Z59" s="21" t="s">
        <v>313</v>
      </c>
      <c r="AA59" s="21" t="s">
        <v>313</v>
      </c>
      <c r="AB59" s="21" t="s">
        <v>313</v>
      </c>
      <c r="AC59" s="21" t="s">
        <v>313</v>
      </c>
      <c r="AD59" s="21" t="s">
        <v>313</v>
      </c>
      <c r="AE59" s="21" t="s">
        <v>313</v>
      </c>
      <c r="AF59" s="21" t="s">
        <v>313</v>
      </c>
      <c r="AG59" s="21" t="s">
        <v>313</v>
      </c>
      <c r="AH59" s="21" t="s">
        <v>313</v>
      </c>
      <c r="AI59" s="21" t="s">
        <v>313</v>
      </c>
      <c r="AJ59" s="21" t="s">
        <v>313</v>
      </c>
      <c r="AK59" s="21" t="s">
        <v>313</v>
      </c>
      <c r="AL59" s="21" t="s">
        <v>313</v>
      </c>
      <c r="AM59" s="21" t="s">
        <v>313</v>
      </c>
      <c r="AN59" s="21" t="s">
        <v>313</v>
      </c>
      <c r="AO59" s="21" t="s">
        <v>313</v>
      </c>
      <c r="AP59" s="21" t="s">
        <v>313</v>
      </c>
      <c r="AQ59" s="21" t="s">
        <v>313</v>
      </c>
      <c r="AR59" s="21" t="s">
        <v>313</v>
      </c>
      <c r="AS59" s="21" t="s">
        <v>313</v>
      </c>
      <c r="AT59" s="21" t="s">
        <v>313</v>
      </c>
      <c r="AU59" s="21" t="s">
        <v>313</v>
      </c>
      <c r="AV59" s="21" t="s">
        <v>313</v>
      </c>
      <c r="AW59" s="21" t="s">
        <v>313</v>
      </c>
      <c r="AX59" s="21" t="s">
        <v>313</v>
      </c>
    </row>
    <row r="60" spans="1:50" ht="15" hidden="1" customHeight="1" x14ac:dyDescent="0.3">
      <c r="A60" s="30" t="s">
        <v>144</v>
      </c>
      <c r="B60" s="29" t="str">
        <f>IFERROR(VLOOKUP(A60,'[1]JL EXE ACTIVE FTE List'!$G:$N,8,FALSE),IF(ISNA(VLOOKUP(A60,'[1]JL EXE LEAVER List'!$G:$I,3,FALSE)),"Query","Leaver"))</f>
        <v>ATV</v>
      </c>
      <c r="C60" s="29" t="str">
        <f>IFERROR(VLOOKUP(A60,'[1]JL EXE ACTIVE FTE List'!$G:$R,12,FALSE),IF(ISNA(VLOOKUP(A60,'[1]JL EXE LEAVER List'!$G:$I,3,FALSE)),"?QUERY?","Leaver"))</f>
        <v>ACTIVE</v>
      </c>
      <c r="D60" s="39" t="str">
        <f>IFERROR(IFERROR(VLOOKUP(A60,'[1]JL EXE ACTIVE FTE List'!$G:$H,2,FALSE),VLOOKUP(A60,'[1]JL EXE LEAVER List'!$G:$H,2,FALSE)),"?QUERY?")</f>
        <v>Antonio Follano</v>
      </c>
      <c r="E60" s="40">
        <f>IFERROR(IFERROR(VLOOKUP(A60,'[1]JL EXE ACTIVE FTE List'!$G:$O,9,FALSE),VLOOKUP(A60,'[1]JL EXE LEAVER List'!$G:$O,9,FALSE)),"?QUERY?")</f>
        <v>42324</v>
      </c>
      <c r="F60" s="21" t="s">
        <v>338</v>
      </c>
      <c r="G60" s="21" t="s">
        <v>335</v>
      </c>
      <c r="H60" s="21" t="s">
        <v>335</v>
      </c>
      <c r="I60" s="21" t="s">
        <v>313</v>
      </c>
      <c r="J60" s="21" t="s">
        <v>313</v>
      </c>
      <c r="K60" s="21" t="s">
        <v>313</v>
      </c>
      <c r="L60" s="21" t="s">
        <v>313</v>
      </c>
      <c r="M60" s="21" t="s">
        <v>313</v>
      </c>
      <c r="N60" s="21" t="s">
        <v>313</v>
      </c>
      <c r="O60" s="21" t="s">
        <v>313</v>
      </c>
      <c r="P60" s="21" t="s">
        <v>313</v>
      </c>
      <c r="Q60" s="21" t="s">
        <v>313</v>
      </c>
      <c r="R60" s="21" t="s">
        <v>313</v>
      </c>
      <c r="S60" s="21" t="s">
        <v>313</v>
      </c>
      <c r="T60" s="21" t="s">
        <v>313</v>
      </c>
      <c r="U60" s="21" t="s">
        <v>313</v>
      </c>
      <c r="V60" s="21" t="s">
        <v>313</v>
      </c>
      <c r="W60" s="21" t="s">
        <v>313</v>
      </c>
      <c r="X60" s="21" t="s">
        <v>313</v>
      </c>
      <c r="Y60" s="21" t="s">
        <v>313</v>
      </c>
      <c r="Z60" s="21" t="s">
        <v>313</v>
      </c>
      <c r="AA60" s="21" t="s">
        <v>313</v>
      </c>
      <c r="AB60" s="21" t="s">
        <v>313</v>
      </c>
      <c r="AC60" s="21" t="s">
        <v>313</v>
      </c>
      <c r="AD60" s="21" t="s">
        <v>313</v>
      </c>
      <c r="AE60" s="21" t="s">
        <v>313</v>
      </c>
      <c r="AF60" s="21" t="s">
        <v>313</v>
      </c>
      <c r="AG60" s="21" t="s">
        <v>313</v>
      </c>
      <c r="AH60" s="21" t="s">
        <v>313</v>
      </c>
      <c r="AI60" s="21" t="s">
        <v>313</v>
      </c>
      <c r="AJ60" s="21" t="s">
        <v>313</v>
      </c>
      <c r="AK60" s="21" t="s">
        <v>313</v>
      </c>
      <c r="AL60" s="21" t="s">
        <v>313</v>
      </c>
      <c r="AM60" s="21" t="s">
        <v>313</v>
      </c>
      <c r="AN60" s="21" t="s">
        <v>313</v>
      </c>
      <c r="AO60" s="21" t="s">
        <v>313</v>
      </c>
      <c r="AP60" s="21" t="s">
        <v>313</v>
      </c>
      <c r="AQ60" s="21" t="s">
        <v>313</v>
      </c>
      <c r="AR60" s="21" t="s">
        <v>313</v>
      </c>
      <c r="AS60" s="21" t="s">
        <v>313</v>
      </c>
      <c r="AT60" s="21" t="s">
        <v>313</v>
      </c>
      <c r="AU60" s="21" t="s">
        <v>313</v>
      </c>
      <c r="AV60" s="21" t="s">
        <v>313</v>
      </c>
      <c r="AW60" s="21" t="s">
        <v>313</v>
      </c>
      <c r="AX60" s="21" t="s">
        <v>313</v>
      </c>
    </row>
    <row r="61" spans="1:50" ht="15" customHeight="1" x14ac:dyDescent="0.3">
      <c r="A61" s="30" t="s">
        <v>137</v>
      </c>
      <c r="B61" s="29" t="str">
        <f>IFERROR(VLOOKUP(A61,'[1]JL EXE ACTIVE FTE List'!$G:$N,8,FALSE),IF(ISNA(VLOOKUP(A61,'[1]JL EXE LEAVER List'!$G:$I,3,FALSE)),"Query","Leaver"))</f>
        <v>ATV</v>
      </c>
      <c r="C61" s="29" t="str">
        <f>IFERROR(VLOOKUP(A61,'[1]JL EXE ACTIVE FTE List'!$G:$R,12,FALSE),IF(ISNA(VLOOKUP(A61,'[1]JL EXE LEAVER List'!$G:$I,3,FALSE)),"?QUERY?","Leaver"))</f>
        <v>ACTIVE</v>
      </c>
      <c r="D61" s="39" t="str">
        <f>IFERROR(IFERROR(VLOOKUP(A61,'[1]JL EXE ACTIVE FTE List'!$G:$H,2,FALSE),VLOOKUP(A61,'[1]JL EXE LEAVER List'!$G:$H,2,FALSE)),"?QUERY?")</f>
        <v>Antonio Follano</v>
      </c>
      <c r="E61" s="40">
        <f>IFERROR(IFERROR(VLOOKUP(A61,'[1]JL EXE ACTIVE FTE List'!$G:$O,9,FALSE),VLOOKUP(A61,'[1]JL EXE LEAVER List'!$G:$O,9,FALSE)),"?QUERY?")</f>
        <v>42891</v>
      </c>
      <c r="F61" s="21" t="s">
        <v>338</v>
      </c>
      <c r="G61" s="21" t="s">
        <v>338</v>
      </c>
      <c r="H61" s="21" t="s">
        <v>338</v>
      </c>
      <c r="I61" s="21" t="s">
        <v>313</v>
      </c>
      <c r="J61" s="21" t="s">
        <v>313</v>
      </c>
      <c r="K61" s="21" t="s">
        <v>313</v>
      </c>
      <c r="L61" s="21" t="s">
        <v>313</v>
      </c>
      <c r="M61" s="21" t="s">
        <v>313</v>
      </c>
      <c r="N61" s="21" t="s">
        <v>313</v>
      </c>
      <c r="O61" s="21" t="s">
        <v>313</v>
      </c>
      <c r="P61" s="21" t="s">
        <v>313</v>
      </c>
      <c r="Q61" s="21" t="s">
        <v>313</v>
      </c>
      <c r="R61" s="21" t="s">
        <v>313</v>
      </c>
      <c r="S61" s="21" t="s">
        <v>313</v>
      </c>
      <c r="T61" s="21" t="s">
        <v>313</v>
      </c>
      <c r="U61" s="21" t="s">
        <v>313</v>
      </c>
      <c r="V61" s="21" t="s">
        <v>313</v>
      </c>
      <c r="W61" s="21" t="s">
        <v>313</v>
      </c>
      <c r="X61" s="21" t="s">
        <v>313</v>
      </c>
      <c r="Y61" s="21" t="s">
        <v>313</v>
      </c>
      <c r="Z61" s="21" t="s">
        <v>313</v>
      </c>
      <c r="AA61" s="21" t="s">
        <v>313</v>
      </c>
      <c r="AB61" s="21" t="s">
        <v>313</v>
      </c>
      <c r="AC61" s="21" t="s">
        <v>313</v>
      </c>
      <c r="AD61" s="21" t="s">
        <v>313</v>
      </c>
      <c r="AE61" s="21" t="s">
        <v>313</v>
      </c>
      <c r="AF61" s="21" t="s">
        <v>313</v>
      </c>
      <c r="AG61" s="21" t="s">
        <v>313</v>
      </c>
      <c r="AH61" s="21" t="s">
        <v>313</v>
      </c>
      <c r="AI61" s="21" t="s">
        <v>313</v>
      </c>
      <c r="AJ61" s="21" t="s">
        <v>313</v>
      </c>
      <c r="AK61" s="21" t="s">
        <v>313</v>
      </c>
      <c r="AL61" s="21" t="s">
        <v>313</v>
      </c>
      <c r="AM61" s="21" t="s">
        <v>313</v>
      </c>
      <c r="AN61" s="21" t="s">
        <v>313</v>
      </c>
      <c r="AO61" s="21" t="s">
        <v>313</v>
      </c>
      <c r="AP61" s="21" t="s">
        <v>313</v>
      </c>
      <c r="AQ61" s="21" t="s">
        <v>313</v>
      </c>
      <c r="AR61" s="21" t="s">
        <v>313</v>
      </c>
      <c r="AS61" s="21" t="s">
        <v>313</v>
      </c>
      <c r="AT61" s="21" t="s">
        <v>313</v>
      </c>
      <c r="AU61" s="21" t="s">
        <v>313</v>
      </c>
      <c r="AV61" s="21" t="s">
        <v>313</v>
      </c>
      <c r="AW61" s="21" t="s">
        <v>313</v>
      </c>
      <c r="AX61" s="21" t="s">
        <v>313</v>
      </c>
    </row>
    <row r="62" spans="1:50" x14ac:dyDescent="0.3">
      <c r="A62" s="30" t="s">
        <v>53</v>
      </c>
      <c r="B62" s="29" t="str">
        <f>IFERROR(VLOOKUP(A62,'[1]JL EXE ACTIVE FTE List'!$G:$N,8,FALSE),IF(ISNA(VLOOKUP(A62,'[1]JL EXE LEAVER List'!$G:$I,3,FALSE)),"Query","Leaver"))</f>
        <v>ATV</v>
      </c>
      <c r="C62" s="29" t="str">
        <f>IFERROR(VLOOKUP(A62,'[1]JL EXE ACTIVE FTE List'!$G:$R,12,FALSE),IF(ISNA(VLOOKUP(A62,'[1]JL EXE LEAVER List'!$G:$I,3,FALSE)),"?QUERY?","Leaver"))</f>
        <v>ACTIVE</v>
      </c>
      <c r="D62" s="39" t="str">
        <f>IFERROR(IFERROR(VLOOKUP(A62,'[1]JL EXE ACTIVE FTE List'!$G:$H,2,FALSE),VLOOKUP(A62,'[1]JL EXE LEAVER List'!$G:$H,2,FALSE)),"?QUERY?")</f>
        <v>Antonio Follano</v>
      </c>
      <c r="E62" s="40">
        <f>IFERROR(IFERROR(VLOOKUP(A62,'[1]JL EXE ACTIVE FTE List'!$G:$O,9,FALSE),VLOOKUP(A62,'[1]JL EXE LEAVER List'!$G:$O,9,FALSE)),"?QUERY?")</f>
        <v>43031</v>
      </c>
      <c r="F62" s="21" t="s">
        <v>335</v>
      </c>
      <c r="G62" s="21" t="s">
        <v>338</v>
      </c>
      <c r="H62" s="21" t="s">
        <v>335</v>
      </c>
      <c r="I62" s="21" t="s">
        <v>313</v>
      </c>
      <c r="J62" s="21" t="s">
        <v>313</v>
      </c>
      <c r="K62" s="21" t="s">
        <v>313</v>
      </c>
      <c r="L62" s="21" t="s">
        <v>313</v>
      </c>
      <c r="M62" s="21" t="s">
        <v>313</v>
      </c>
      <c r="N62" s="21" t="s">
        <v>313</v>
      </c>
      <c r="O62" s="21" t="s">
        <v>313</v>
      </c>
      <c r="P62" s="21" t="s">
        <v>313</v>
      </c>
      <c r="Q62" s="21" t="s">
        <v>313</v>
      </c>
      <c r="R62" s="21" t="s">
        <v>313</v>
      </c>
      <c r="S62" s="21" t="s">
        <v>313</v>
      </c>
      <c r="T62" s="21" t="s">
        <v>313</v>
      </c>
      <c r="U62" s="21" t="s">
        <v>313</v>
      </c>
      <c r="V62" s="21" t="s">
        <v>313</v>
      </c>
      <c r="W62" s="21" t="s">
        <v>313</v>
      </c>
      <c r="X62" s="21" t="s">
        <v>313</v>
      </c>
      <c r="Y62" s="21" t="s">
        <v>313</v>
      </c>
      <c r="Z62" s="21" t="s">
        <v>313</v>
      </c>
      <c r="AA62" s="21" t="s">
        <v>313</v>
      </c>
      <c r="AB62" s="21" t="s">
        <v>313</v>
      </c>
      <c r="AC62" s="21" t="s">
        <v>313</v>
      </c>
      <c r="AD62" s="21" t="s">
        <v>313</v>
      </c>
      <c r="AE62" s="21" t="s">
        <v>313</v>
      </c>
      <c r="AF62" s="21" t="s">
        <v>313</v>
      </c>
      <c r="AG62" s="21" t="s">
        <v>313</v>
      </c>
      <c r="AH62" s="21" t="s">
        <v>313</v>
      </c>
      <c r="AI62" s="21" t="s">
        <v>313</v>
      </c>
      <c r="AJ62" s="21" t="s">
        <v>313</v>
      </c>
      <c r="AK62" s="21" t="s">
        <v>313</v>
      </c>
      <c r="AL62" s="21" t="s">
        <v>313</v>
      </c>
      <c r="AM62" s="21" t="s">
        <v>313</v>
      </c>
      <c r="AN62" s="21" t="s">
        <v>313</v>
      </c>
      <c r="AO62" s="21" t="s">
        <v>313</v>
      </c>
      <c r="AP62" s="21" t="s">
        <v>313</v>
      </c>
      <c r="AQ62" s="21" t="s">
        <v>313</v>
      </c>
      <c r="AR62" s="21" t="s">
        <v>313</v>
      </c>
      <c r="AS62" s="21" t="s">
        <v>313</v>
      </c>
      <c r="AT62" s="21" t="s">
        <v>313</v>
      </c>
      <c r="AU62" s="21" t="s">
        <v>313</v>
      </c>
      <c r="AV62" s="21" t="s">
        <v>313</v>
      </c>
      <c r="AW62" s="21" t="s">
        <v>313</v>
      </c>
      <c r="AX62" s="21" t="s">
        <v>313</v>
      </c>
    </row>
    <row r="63" spans="1:50" ht="15" customHeight="1" x14ac:dyDescent="0.3">
      <c r="A63" s="30" t="s">
        <v>136</v>
      </c>
      <c r="B63" s="29" t="str">
        <f>IFERROR(VLOOKUP(A63,'[1]JL EXE ACTIVE FTE List'!$G:$N,8,FALSE),IF(ISNA(VLOOKUP(A63,'[1]JL EXE LEAVER List'!$G:$I,3,FALSE)),"Query","Leaver"))</f>
        <v>ATV</v>
      </c>
      <c r="C63" s="29" t="str">
        <f>IFERROR(VLOOKUP(A63,'[1]JL EXE ACTIVE FTE List'!$G:$R,12,FALSE),IF(ISNA(VLOOKUP(A63,'[1]JL EXE LEAVER List'!$G:$I,3,FALSE)),"?QUERY?","Leaver"))</f>
        <v>ACTIVE</v>
      </c>
      <c r="D63" s="39" t="str">
        <f>IFERROR(IFERROR(VLOOKUP(A63,'[1]JL EXE ACTIVE FTE List'!$G:$H,2,FALSE),VLOOKUP(A63,'[1]JL EXE LEAVER List'!$G:$H,2,FALSE)),"?QUERY?")</f>
        <v>Antonio Follano</v>
      </c>
      <c r="E63" s="40">
        <f>IFERROR(IFERROR(VLOOKUP(A63,'[1]JL EXE ACTIVE FTE List'!$G:$O,9,FALSE),VLOOKUP(A63,'[1]JL EXE LEAVER List'!$G:$O,9,FALSE)),"?QUERY?")</f>
        <v>42891</v>
      </c>
      <c r="F63" s="21" t="s">
        <v>338</v>
      </c>
      <c r="G63" s="21" t="s">
        <v>338</v>
      </c>
      <c r="H63" s="21" t="s">
        <v>338</v>
      </c>
      <c r="I63" s="21" t="s">
        <v>313</v>
      </c>
      <c r="J63" s="21" t="s">
        <v>313</v>
      </c>
      <c r="K63" s="21" t="s">
        <v>313</v>
      </c>
      <c r="L63" s="21" t="s">
        <v>313</v>
      </c>
      <c r="M63" s="21" t="s">
        <v>313</v>
      </c>
      <c r="N63" s="21" t="s">
        <v>313</v>
      </c>
      <c r="O63" s="21" t="s">
        <v>313</v>
      </c>
      <c r="P63" s="21" t="s">
        <v>313</v>
      </c>
      <c r="Q63" s="21" t="s">
        <v>313</v>
      </c>
      <c r="R63" s="21" t="s">
        <v>313</v>
      </c>
      <c r="S63" s="21" t="s">
        <v>313</v>
      </c>
      <c r="T63" s="21" t="s">
        <v>313</v>
      </c>
      <c r="U63" s="21" t="s">
        <v>313</v>
      </c>
      <c r="V63" s="21" t="s">
        <v>313</v>
      </c>
      <c r="W63" s="21" t="s">
        <v>313</v>
      </c>
      <c r="X63" s="21" t="s">
        <v>313</v>
      </c>
      <c r="Y63" s="21" t="s">
        <v>313</v>
      </c>
      <c r="Z63" s="21" t="s">
        <v>313</v>
      </c>
      <c r="AA63" s="21" t="s">
        <v>313</v>
      </c>
      <c r="AB63" s="21" t="s">
        <v>313</v>
      </c>
      <c r="AC63" s="21" t="s">
        <v>313</v>
      </c>
      <c r="AD63" s="21" t="s">
        <v>313</v>
      </c>
      <c r="AE63" s="21" t="s">
        <v>313</v>
      </c>
      <c r="AF63" s="21" t="s">
        <v>313</v>
      </c>
      <c r="AG63" s="21" t="s">
        <v>313</v>
      </c>
      <c r="AH63" s="21" t="s">
        <v>313</v>
      </c>
      <c r="AI63" s="21" t="s">
        <v>313</v>
      </c>
      <c r="AJ63" s="21" t="s">
        <v>313</v>
      </c>
      <c r="AK63" s="21" t="s">
        <v>313</v>
      </c>
      <c r="AL63" s="21" t="s">
        <v>313</v>
      </c>
      <c r="AM63" s="21" t="s">
        <v>313</v>
      </c>
      <c r="AN63" s="21" t="s">
        <v>313</v>
      </c>
      <c r="AO63" s="21" t="s">
        <v>313</v>
      </c>
      <c r="AP63" s="21" t="s">
        <v>313</v>
      </c>
      <c r="AQ63" s="21" t="s">
        <v>313</v>
      </c>
      <c r="AR63" s="21" t="s">
        <v>313</v>
      </c>
      <c r="AS63" s="21" t="s">
        <v>313</v>
      </c>
      <c r="AT63" s="21" t="s">
        <v>313</v>
      </c>
      <c r="AU63" s="21" t="s">
        <v>313</v>
      </c>
      <c r="AV63" s="21" t="s">
        <v>313</v>
      </c>
      <c r="AW63" s="21" t="s">
        <v>313</v>
      </c>
      <c r="AX63" s="21" t="s">
        <v>313</v>
      </c>
    </row>
    <row r="64" spans="1:50" ht="15" customHeight="1" x14ac:dyDescent="0.3">
      <c r="A64" s="30" t="s">
        <v>121</v>
      </c>
      <c r="B64" s="29" t="str">
        <f>IFERROR(VLOOKUP(A64,'[1]JL EXE ACTIVE FTE List'!$G:$N,8,FALSE),IF(ISNA(VLOOKUP(A64,'[1]JL EXE LEAVER List'!$G:$I,3,FALSE)),"Query","Leaver"))</f>
        <v>ATV</v>
      </c>
      <c r="C64" s="29" t="str">
        <f>IFERROR(VLOOKUP(A64,'[1]JL EXE ACTIVE FTE List'!$G:$R,12,FALSE),IF(ISNA(VLOOKUP(A64,'[1]JL EXE LEAVER List'!$G:$I,3,FALSE)),"?QUERY?","Leaver"))</f>
        <v>ACTIVE</v>
      </c>
      <c r="D64" s="39" t="str">
        <f>IFERROR(IFERROR(VLOOKUP(A64,'[1]JL EXE ACTIVE FTE List'!$G:$H,2,FALSE),VLOOKUP(A64,'[1]JL EXE LEAVER List'!$G:$H,2,FALSE)),"?QUERY?")</f>
        <v>Antonio Follano</v>
      </c>
      <c r="E64" s="40">
        <f>IFERROR(IFERROR(VLOOKUP(A64,'[1]JL EXE ACTIVE FTE List'!$G:$O,9,FALSE),VLOOKUP(A64,'[1]JL EXE LEAVER List'!$G:$O,9,FALSE)),"?QUERY?")</f>
        <v>43031</v>
      </c>
      <c r="F64" s="21" t="s">
        <v>338</v>
      </c>
      <c r="G64" s="21" t="s">
        <v>338</v>
      </c>
      <c r="H64" s="21" t="s">
        <v>338</v>
      </c>
      <c r="I64" s="21" t="s">
        <v>313</v>
      </c>
      <c r="J64" s="21" t="s">
        <v>313</v>
      </c>
      <c r="K64" s="21" t="s">
        <v>313</v>
      </c>
      <c r="L64" s="21" t="s">
        <v>313</v>
      </c>
      <c r="M64" s="21" t="s">
        <v>313</v>
      </c>
      <c r="N64" s="21" t="s">
        <v>313</v>
      </c>
      <c r="O64" s="21" t="s">
        <v>313</v>
      </c>
      <c r="P64" s="21" t="s">
        <v>313</v>
      </c>
      <c r="Q64" s="21" t="s">
        <v>313</v>
      </c>
      <c r="R64" s="21" t="s">
        <v>313</v>
      </c>
      <c r="S64" s="21" t="s">
        <v>313</v>
      </c>
      <c r="T64" s="21" t="s">
        <v>313</v>
      </c>
      <c r="U64" s="21" t="s">
        <v>313</v>
      </c>
      <c r="V64" s="21" t="s">
        <v>313</v>
      </c>
      <c r="W64" s="21" t="s">
        <v>313</v>
      </c>
      <c r="X64" s="21" t="s">
        <v>313</v>
      </c>
      <c r="Y64" s="21" t="s">
        <v>313</v>
      </c>
      <c r="Z64" s="21" t="s">
        <v>313</v>
      </c>
      <c r="AA64" s="21" t="s">
        <v>313</v>
      </c>
      <c r="AB64" s="21" t="s">
        <v>313</v>
      </c>
      <c r="AC64" s="21" t="s">
        <v>313</v>
      </c>
      <c r="AD64" s="21" t="s">
        <v>313</v>
      </c>
      <c r="AE64" s="21" t="s">
        <v>313</v>
      </c>
      <c r="AF64" s="21" t="s">
        <v>313</v>
      </c>
      <c r="AG64" s="21" t="s">
        <v>313</v>
      </c>
      <c r="AH64" s="21" t="s">
        <v>313</v>
      </c>
      <c r="AI64" s="21" t="s">
        <v>313</v>
      </c>
      <c r="AJ64" s="21" t="s">
        <v>313</v>
      </c>
      <c r="AK64" s="21" t="s">
        <v>313</v>
      </c>
      <c r="AL64" s="21" t="s">
        <v>313</v>
      </c>
      <c r="AM64" s="21" t="s">
        <v>313</v>
      </c>
      <c r="AN64" s="21" t="s">
        <v>313</v>
      </c>
      <c r="AO64" s="21" t="s">
        <v>313</v>
      </c>
      <c r="AP64" s="21" t="s">
        <v>313</v>
      </c>
      <c r="AQ64" s="21" t="s">
        <v>313</v>
      </c>
      <c r="AR64" s="21" t="s">
        <v>313</v>
      </c>
      <c r="AS64" s="21" t="s">
        <v>313</v>
      </c>
      <c r="AT64" s="21" t="s">
        <v>313</v>
      </c>
      <c r="AU64" s="21" t="s">
        <v>313</v>
      </c>
      <c r="AV64" s="21" t="s">
        <v>313</v>
      </c>
      <c r="AW64" s="21" t="s">
        <v>313</v>
      </c>
      <c r="AX64" s="21" t="s">
        <v>313</v>
      </c>
    </row>
    <row r="65" spans="1:50" x14ac:dyDescent="0.3">
      <c r="A65" s="30" t="s">
        <v>257</v>
      </c>
      <c r="B65" s="29" t="str">
        <f>IFERROR(VLOOKUP(A65,'[1]JL EXE ACTIVE FTE List'!$G:$N,8,FALSE),IF(ISNA(VLOOKUP(A65,'[1]JL EXE LEAVER List'!$G:$I,3,FALSE)),"Query","Leaver"))</f>
        <v>ATV</v>
      </c>
      <c r="C65" s="29" t="str">
        <f>IFERROR(VLOOKUP(A65,'[1]JL EXE ACTIVE FTE List'!$G:$R,12,FALSE),IF(ISNA(VLOOKUP(A65,'[1]JL EXE LEAVER List'!$G:$I,3,FALSE)),"?QUERY?","Leaver"))</f>
        <v>ACTIVE</v>
      </c>
      <c r="D65" s="39" t="str">
        <f>IFERROR(IFERROR(VLOOKUP(A65,'[1]JL EXE ACTIVE FTE List'!$G:$H,2,FALSE),VLOOKUP(A65,'[1]JL EXE LEAVER List'!$G:$H,2,FALSE)),"?QUERY?")</f>
        <v>Antonio Follano</v>
      </c>
      <c r="E65" s="40">
        <f>IFERROR(IFERROR(VLOOKUP(A65,'[1]JL EXE ACTIVE FTE List'!$G:$O,9,FALSE),VLOOKUP(A65,'[1]JL EXE LEAVER List'!$G:$O,9,FALSE)),"?QUERY?")</f>
        <v>42982</v>
      </c>
      <c r="F65" s="21" t="s">
        <v>338</v>
      </c>
      <c r="G65" s="21" t="s">
        <v>338</v>
      </c>
      <c r="H65" s="21" t="s">
        <v>338</v>
      </c>
      <c r="I65" s="21" t="s">
        <v>313</v>
      </c>
      <c r="J65" s="21" t="s">
        <v>313</v>
      </c>
      <c r="K65" s="21" t="s">
        <v>313</v>
      </c>
      <c r="L65" s="21" t="s">
        <v>313</v>
      </c>
      <c r="M65" s="21" t="s">
        <v>313</v>
      </c>
      <c r="N65" s="21" t="s">
        <v>313</v>
      </c>
      <c r="O65" s="21" t="s">
        <v>313</v>
      </c>
      <c r="P65" s="21" t="s">
        <v>313</v>
      </c>
      <c r="Q65" s="21" t="s">
        <v>313</v>
      </c>
      <c r="R65" s="21" t="s">
        <v>313</v>
      </c>
      <c r="S65" s="21" t="s">
        <v>313</v>
      </c>
      <c r="T65" s="21" t="s">
        <v>313</v>
      </c>
      <c r="U65" s="21" t="s">
        <v>313</v>
      </c>
      <c r="V65" s="21" t="s">
        <v>313</v>
      </c>
      <c r="W65" s="21" t="s">
        <v>313</v>
      </c>
      <c r="X65" s="21" t="s">
        <v>313</v>
      </c>
      <c r="Y65" s="21" t="s">
        <v>313</v>
      </c>
      <c r="Z65" s="21" t="s">
        <v>313</v>
      </c>
      <c r="AA65" s="21" t="s">
        <v>313</v>
      </c>
      <c r="AB65" s="21" t="s">
        <v>313</v>
      </c>
      <c r="AC65" s="21" t="s">
        <v>313</v>
      </c>
      <c r="AD65" s="21" t="s">
        <v>313</v>
      </c>
      <c r="AE65" s="21" t="s">
        <v>313</v>
      </c>
      <c r="AF65" s="21" t="s">
        <v>313</v>
      </c>
      <c r="AG65" s="21" t="s">
        <v>313</v>
      </c>
      <c r="AH65" s="21" t="s">
        <v>313</v>
      </c>
      <c r="AI65" s="21" t="s">
        <v>313</v>
      </c>
      <c r="AJ65" s="21" t="s">
        <v>313</v>
      </c>
      <c r="AK65" s="21" t="s">
        <v>313</v>
      </c>
      <c r="AL65" s="21" t="s">
        <v>313</v>
      </c>
      <c r="AM65" s="21" t="s">
        <v>313</v>
      </c>
      <c r="AN65" s="21" t="s">
        <v>313</v>
      </c>
      <c r="AO65" s="21" t="s">
        <v>313</v>
      </c>
      <c r="AP65" s="21" t="s">
        <v>313</v>
      </c>
      <c r="AQ65" s="21" t="s">
        <v>313</v>
      </c>
      <c r="AR65" s="21" t="s">
        <v>313</v>
      </c>
      <c r="AS65" s="21" t="s">
        <v>313</v>
      </c>
      <c r="AT65" s="21" t="s">
        <v>313</v>
      </c>
      <c r="AU65" s="21" t="s">
        <v>313</v>
      </c>
      <c r="AV65" s="21" t="s">
        <v>313</v>
      </c>
      <c r="AW65" s="21" t="s">
        <v>313</v>
      </c>
      <c r="AX65" s="21" t="s">
        <v>313</v>
      </c>
    </row>
    <row r="66" spans="1:50" ht="15" customHeight="1" x14ac:dyDescent="0.3">
      <c r="A66" s="30" t="s">
        <v>139</v>
      </c>
      <c r="B66" s="29" t="str">
        <f>IFERROR(VLOOKUP(A66,'[1]JL EXE ACTIVE FTE List'!$G:$N,8,FALSE),IF(ISNA(VLOOKUP(A66,'[1]JL EXE LEAVER List'!$G:$I,3,FALSE)),"Query","Leaver"))</f>
        <v>ATV</v>
      </c>
      <c r="C66" s="29" t="str">
        <f>IFERROR(VLOOKUP(A66,'[1]JL EXE ACTIVE FTE List'!$G:$R,12,FALSE),IF(ISNA(VLOOKUP(A66,'[1]JL EXE LEAVER List'!$G:$I,3,FALSE)),"?QUERY?","Leaver"))</f>
        <v>ACTIVE</v>
      </c>
      <c r="D66" s="39" t="str">
        <f>IFERROR(IFERROR(VLOOKUP(A66,'[1]JL EXE ACTIVE FTE List'!$G:$H,2,FALSE),VLOOKUP(A66,'[1]JL EXE LEAVER List'!$G:$H,2,FALSE)),"?QUERY?")</f>
        <v>Antonio Follano</v>
      </c>
      <c r="E66" s="40">
        <f>IFERROR(IFERROR(VLOOKUP(A66,'[1]JL EXE ACTIVE FTE List'!$G:$O,9,FALSE),VLOOKUP(A66,'[1]JL EXE LEAVER List'!$G:$O,9,FALSE)),"?QUERY?")</f>
        <v>42212</v>
      </c>
      <c r="F66" s="21" t="s">
        <v>338</v>
      </c>
      <c r="G66" s="21" t="s">
        <v>338</v>
      </c>
      <c r="H66" s="21" t="s">
        <v>338</v>
      </c>
      <c r="I66" s="21" t="s">
        <v>313</v>
      </c>
      <c r="J66" s="21" t="s">
        <v>313</v>
      </c>
      <c r="K66" s="21" t="s">
        <v>313</v>
      </c>
      <c r="L66" s="21" t="s">
        <v>313</v>
      </c>
      <c r="M66" s="21" t="s">
        <v>313</v>
      </c>
      <c r="N66" s="21" t="s">
        <v>313</v>
      </c>
      <c r="O66" s="21" t="s">
        <v>313</v>
      </c>
      <c r="P66" s="21" t="s">
        <v>313</v>
      </c>
      <c r="Q66" s="21" t="s">
        <v>313</v>
      </c>
      <c r="R66" s="21" t="s">
        <v>313</v>
      </c>
      <c r="S66" s="21" t="s">
        <v>313</v>
      </c>
      <c r="T66" s="21" t="s">
        <v>313</v>
      </c>
      <c r="U66" s="21" t="s">
        <v>313</v>
      </c>
      <c r="V66" s="21" t="s">
        <v>313</v>
      </c>
      <c r="W66" s="21" t="s">
        <v>313</v>
      </c>
      <c r="X66" s="21" t="s">
        <v>313</v>
      </c>
      <c r="Y66" s="21" t="s">
        <v>313</v>
      </c>
      <c r="Z66" s="21" t="s">
        <v>313</v>
      </c>
      <c r="AA66" s="21" t="s">
        <v>313</v>
      </c>
      <c r="AB66" s="21" t="s">
        <v>313</v>
      </c>
      <c r="AC66" s="21" t="s">
        <v>313</v>
      </c>
      <c r="AD66" s="21" t="s">
        <v>313</v>
      </c>
      <c r="AE66" s="21" t="s">
        <v>313</v>
      </c>
      <c r="AF66" s="21" t="s">
        <v>313</v>
      </c>
      <c r="AG66" s="21" t="s">
        <v>313</v>
      </c>
      <c r="AH66" s="21" t="s">
        <v>313</v>
      </c>
      <c r="AI66" s="21" t="s">
        <v>313</v>
      </c>
      <c r="AJ66" s="21" t="s">
        <v>313</v>
      </c>
      <c r="AK66" s="21" t="s">
        <v>313</v>
      </c>
      <c r="AL66" s="21" t="s">
        <v>313</v>
      </c>
      <c r="AM66" s="21" t="s">
        <v>313</v>
      </c>
      <c r="AN66" s="21" t="s">
        <v>313</v>
      </c>
      <c r="AO66" s="21" t="s">
        <v>313</v>
      </c>
      <c r="AP66" s="21" t="s">
        <v>313</v>
      </c>
      <c r="AQ66" s="21" t="s">
        <v>313</v>
      </c>
      <c r="AR66" s="21" t="s">
        <v>313</v>
      </c>
      <c r="AS66" s="21" t="s">
        <v>313</v>
      </c>
      <c r="AT66" s="21" t="s">
        <v>313</v>
      </c>
      <c r="AU66" s="21" t="s">
        <v>313</v>
      </c>
      <c r="AV66" s="21" t="s">
        <v>313</v>
      </c>
      <c r="AW66" s="21" t="s">
        <v>313</v>
      </c>
      <c r="AX66" s="21" t="s">
        <v>313</v>
      </c>
    </row>
    <row r="67" spans="1:50" ht="15" hidden="1" customHeight="1" x14ac:dyDescent="0.3">
      <c r="A67" s="30" t="s">
        <v>229</v>
      </c>
      <c r="B67" s="29" t="str">
        <f>IFERROR(VLOOKUP(A67,'[1]JL EXE ACTIVE FTE List'!$G:$N,8,FALSE),IF(ISNA(VLOOKUP(A67,'[1]JL EXE LEAVER List'!$G:$I,3,FALSE)),"Query","Leaver"))</f>
        <v>Leaver</v>
      </c>
      <c r="C67" s="29" t="str">
        <f>IFERROR(VLOOKUP(A67,'[1]JL EXE ACTIVE FTE List'!$G:$R,12,FALSE),IF(ISNA(VLOOKUP(A67,'[1]JL EXE LEAVER List'!$G:$I,3,FALSE)),"?QUERY?","Leaver"))</f>
        <v>Leaver</v>
      </c>
      <c r="D67" s="39" t="str">
        <f>IFERROR(IFERROR(VLOOKUP(A67,'[1]JL EXE ACTIVE FTE List'!$G:$H,2,FALSE),VLOOKUP(A67,'[1]JL EXE LEAVER List'!$G:$H,2,FALSE)),"?QUERY?")</f>
        <v>Avril Oliver</v>
      </c>
      <c r="E67" s="40">
        <f>IFERROR(IFERROR(VLOOKUP(A67,'[1]JL EXE ACTIVE FTE List'!$G:$O,9,FALSE),VLOOKUP(A67,'[1]JL EXE LEAVER List'!$G:$O,9,FALSE)),"?QUERY?")</f>
        <v>41658</v>
      </c>
      <c r="F67" s="21" t="s">
        <v>338</v>
      </c>
      <c r="G67" s="21" t="s">
        <v>338</v>
      </c>
      <c r="H67" s="21" t="s">
        <v>313</v>
      </c>
      <c r="I67" s="21" t="s">
        <v>313</v>
      </c>
      <c r="J67" s="21" t="s">
        <v>313</v>
      </c>
      <c r="K67" s="21" t="s">
        <v>313</v>
      </c>
      <c r="L67" s="21" t="s">
        <v>313</v>
      </c>
      <c r="M67" s="21" t="s">
        <v>313</v>
      </c>
      <c r="N67" s="21" t="s">
        <v>313</v>
      </c>
      <c r="O67" s="21" t="s">
        <v>313</v>
      </c>
      <c r="P67" s="21" t="s">
        <v>313</v>
      </c>
      <c r="Q67" s="21" t="s">
        <v>313</v>
      </c>
      <c r="R67" s="21" t="s">
        <v>313</v>
      </c>
      <c r="S67" s="21" t="s">
        <v>313</v>
      </c>
      <c r="T67" s="21" t="s">
        <v>313</v>
      </c>
      <c r="U67" s="21" t="s">
        <v>313</v>
      </c>
      <c r="V67" s="21" t="s">
        <v>313</v>
      </c>
      <c r="W67" s="21" t="s">
        <v>313</v>
      </c>
      <c r="X67" s="21" t="s">
        <v>313</v>
      </c>
      <c r="Y67" s="21" t="s">
        <v>313</v>
      </c>
      <c r="Z67" s="21" t="s">
        <v>313</v>
      </c>
      <c r="AA67" s="21" t="s">
        <v>313</v>
      </c>
      <c r="AB67" s="21" t="s">
        <v>313</v>
      </c>
      <c r="AC67" s="21" t="s">
        <v>313</v>
      </c>
      <c r="AD67" s="21" t="s">
        <v>313</v>
      </c>
      <c r="AE67" s="21" t="s">
        <v>313</v>
      </c>
      <c r="AF67" s="21" t="s">
        <v>313</v>
      </c>
      <c r="AG67" s="21" t="s">
        <v>313</v>
      </c>
      <c r="AH67" s="21" t="s">
        <v>313</v>
      </c>
      <c r="AI67" s="21" t="s">
        <v>313</v>
      </c>
      <c r="AJ67" s="21" t="s">
        <v>313</v>
      </c>
      <c r="AK67" s="21" t="s">
        <v>313</v>
      </c>
      <c r="AL67" s="21" t="s">
        <v>313</v>
      </c>
      <c r="AM67" s="21" t="s">
        <v>313</v>
      </c>
      <c r="AN67" s="21" t="s">
        <v>313</v>
      </c>
      <c r="AO67" s="21" t="s">
        <v>313</v>
      </c>
      <c r="AP67" s="21" t="s">
        <v>313</v>
      </c>
      <c r="AQ67" s="21" t="s">
        <v>313</v>
      </c>
      <c r="AR67" s="21" t="s">
        <v>313</v>
      </c>
      <c r="AS67" s="21" t="s">
        <v>313</v>
      </c>
      <c r="AT67" s="21" t="s">
        <v>313</v>
      </c>
      <c r="AU67" s="21" t="s">
        <v>313</v>
      </c>
      <c r="AV67" s="21" t="s">
        <v>313</v>
      </c>
      <c r="AW67" s="21" t="s">
        <v>313</v>
      </c>
      <c r="AX67" s="21" t="s">
        <v>313</v>
      </c>
    </row>
    <row r="68" spans="1:50" ht="15" hidden="1" customHeight="1" x14ac:dyDescent="0.3">
      <c r="A68" s="30" t="s">
        <v>79</v>
      </c>
      <c r="B68" s="29" t="str">
        <f>IFERROR(VLOOKUP(A68,'[1]JL EXE ACTIVE FTE List'!$G:$N,8,FALSE),IF(ISNA(VLOOKUP(A68,'[1]JL EXE LEAVER List'!$G:$I,3,FALSE)),"Query","Leaver"))</f>
        <v>ATV</v>
      </c>
      <c r="C68" s="29" t="str">
        <f>IFERROR(VLOOKUP(A68,'[1]JL EXE ACTIVE FTE List'!$G:$R,12,FALSE),IF(ISNA(VLOOKUP(A68,'[1]JL EXE LEAVER List'!$G:$I,3,FALSE)),"?QUERY?","Leaver"))</f>
        <v>ACTIVE</v>
      </c>
      <c r="D68" s="39" t="str">
        <f>IFERROR(IFERROR(VLOOKUP(A68,'[1]JL EXE ACTIVE FTE List'!$G:$H,2,FALSE),VLOOKUP(A68,'[1]JL EXE LEAVER List'!$G:$H,2,FALSE)),"?QUERY?")</f>
        <v>Antonio Follano</v>
      </c>
      <c r="E68" s="40">
        <f>IFERROR(IFERROR(VLOOKUP(A68,'[1]JL EXE ACTIVE FTE List'!$G:$O,9,FALSE),VLOOKUP(A68,'[1]JL EXE LEAVER List'!$G:$O,9,FALSE)),"?QUERY?")</f>
        <v>43017</v>
      </c>
      <c r="F68" s="21" t="s">
        <v>338</v>
      </c>
      <c r="G68" s="21" t="s">
        <v>335</v>
      </c>
      <c r="H68" s="21" t="s">
        <v>338</v>
      </c>
      <c r="I68" s="21" t="s">
        <v>313</v>
      </c>
      <c r="J68" s="21" t="s">
        <v>313</v>
      </c>
      <c r="K68" s="21" t="s">
        <v>313</v>
      </c>
      <c r="L68" s="21" t="s">
        <v>313</v>
      </c>
      <c r="M68" s="21" t="s">
        <v>313</v>
      </c>
      <c r="N68" s="21" t="s">
        <v>313</v>
      </c>
      <c r="O68" s="21" t="s">
        <v>313</v>
      </c>
      <c r="P68" s="21" t="s">
        <v>313</v>
      </c>
      <c r="Q68" s="21" t="s">
        <v>313</v>
      </c>
      <c r="R68" s="21" t="s">
        <v>313</v>
      </c>
      <c r="S68" s="21" t="s">
        <v>313</v>
      </c>
      <c r="T68" s="21" t="s">
        <v>313</v>
      </c>
      <c r="U68" s="21" t="s">
        <v>313</v>
      </c>
      <c r="V68" s="21" t="s">
        <v>313</v>
      </c>
      <c r="W68" s="21" t="s">
        <v>313</v>
      </c>
      <c r="X68" s="21" t="s">
        <v>313</v>
      </c>
      <c r="Y68" s="21" t="s">
        <v>313</v>
      </c>
      <c r="Z68" s="21" t="s">
        <v>313</v>
      </c>
      <c r="AA68" s="21" t="s">
        <v>313</v>
      </c>
      <c r="AB68" s="21" t="s">
        <v>313</v>
      </c>
      <c r="AC68" s="21" t="s">
        <v>313</v>
      </c>
      <c r="AD68" s="21" t="s">
        <v>313</v>
      </c>
      <c r="AE68" s="21" t="s">
        <v>313</v>
      </c>
      <c r="AF68" s="21" t="s">
        <v>313</v>
      </c>
      <c r="AG68" s="21" t="s">
        <v>313</v>
      </c>
      <c r="AH68" s="21" t="s">
        <v>313</v>
      </c>
      <c r="AI68" s="21" t="s">
        <v>313</v>
      </c>
      <c r="AJ68" s="21" t="s">
        <v>313</v>
      </c>
      <c r="AK68" s="21" t="s">
        <v>313</v>
      </c>
      <c r="AL68" s="21" t="s">
        <v>313</v>
      </c>
      <c r="AM68" s="21" t="s">
        <v>313</v>
      </c>
      <c r="AN68" s="21" t="s">
        <v>313</v>
      </c>
      <c r="AO68" s="21" t="s">
        <v>313</v>
      </c>
      <c r="AP68" s="21" t="s">
        <v>313</v>
      </c>
      <c r="AQ68" s="21" t="s">
        <v>313</v>
      </c>
      <c r="AR68" s="21" t="s">
        <v>313</v>
      </c>
      <c r="AS68" s="21" t="s">
        <v>313</v>
      </c>
      <c r="AT68" s="21" t="s">
        <v>313</v>
      </c>
      <c r="AU68" s="21" t="s">
        <v>313</v>
      </c>
      <c r="AV68" s="21" t="s">
        <v>313</v>
      </c>
      <c r="AW68" s="21" t="s">
        <v>313</v>
      </c>
      <c r="AX68" s="21" t="s">
        <v>313</v>
      </c>
    </row>
    <row r="69" spans="1:50" ht="15" customHeight="1" x14ac:dyDescent="0.3">
      <c r="A69" s="30" t="s">
        <v>251</v>
      </c>
      <c r="B69" s="29" t="str">
        <f>IFERROR(VLOOKUP(A69,'[1]JL EXE ACTIVE FTE List'!$G:$N,8,FALSE),IF(ISNA(VLOOKUP(A69,'[1]JL EXE LEAVER List'!$G:$I,3,FALSE)),"Query","Leaver"))</f>
        <v>ATV</v>
      </c>
      <c r="C69" s="29" t="str">
        <f>IFERROR(VLOOKUP(A69,'[1]JL EXE ACTIVE FTE List'!$G:$R,12,FALSE),IF(ISNA(VLOOKUP(A69,'[1]JL EXE LEAVER List'!$G:$I,3,FALSE)),"?QUERY?","Leaver"))</f>
        <v>ACTIVE</v>
      </c>
      <c r="D69" s="39" t="str">
        <f>IFERROR(IFERROR(VLOOKUP(A69,'[1]JL EXE ACTIVE FTE List'!$G:$H,2,FALSE),VLOOKUP(A69,'[1]JL EXE LEAVER List'!$G:$H,2,FALSE)),"?QUERY?")</f>
        <v>Antonio Follano</v>
      </c>
      <c r="E69" s="40">
        <f>IFERROR(IFERROR(VLOOKUP(A69,'[1]JL EXE ACTIVE FTE List'!$G:$O,9,FALSE),VLOOKUP(A69,'[1]JL EXE LEAVER List'!$G:$O,9,FALSE)),"?QUERY?")</f>
        <v>43017</v>
      </c>
      <c r="F69" s="21" t="s">
        <v>338</v>
      </c>
      <c r="G69" s="21" t="s">
        <v>338</v>
      </c>
      <c r="H69" s="21" t="s">
        <v>338</v>
      </c>
      <c r="I69" s="21" t="s">
        <v>313</v>
      </c>
      <c r="J69" s="21" t="s">
        <v>313</v>
      </c>
      <c r="K69" s="21" t="s">
        <v>313</v>
      </c>
      <c r="L69" s="21" t="s">
        <v>313</v>
      </c>
      <c r="M69" s="21" t="s">
        <v>313</v>
      </c>
      <c r="N69" s="21" t="s">
        <v>313</v>
      </c>
      <c r="O69" s="21" t="s">
        <v>313</v>
      </c>
      <c r="P69" s="21" t="s">
        <v>313</v>
      </c>
      <c r="Q69" s="21" t="s">
        <v>313</v>
      </c>
      <c r="R69" s="21" t="s">
        <v>313</v>
      </c>
      <c r="S69" s="21" t="s">
        <v>313</v>
      </c>
      <c r="T69" s="21" t="s">
        <v>313</v>
      </c>
      <c r="U69" s="21" t="s">
        <v>313</v>
      </c>
      <c r="V69" s="21" t="s">
        <v>313</v>
      </c>
      <c r="W69" s="21" t="s">
        <v>313</v>
      </c>
      <c r="X69" s="21" t="s">
        <v>313</v>
      </c>
      <c r="Y69" s="21" t="s">
        <v>313</v>
      </c>
      <c r="Z69" s="21" t="s">
        <v>313</v>
      </c>
      <c r="AA69" s="21" t="s">
        <v>313</v>
      </c>
      <c r="AB69" s="21" t="s">
        <v>313</v>
      </c>
      <c r="AC69" s="21" t="s">
        <v>313</v>
      </c>
      <c r="AD69" s="21" t="s">
        <v>313</v>
      </c>
      <c r="AE69" s="21" t="s">
        <v>313</v>
      </c>
      <c r="AF69" s="21" t="s">
        <v>313</v>
      </c>
      <c r="AG69" s="21" t="s">
        <v>313</v>
      </c>
      <c r="AH69" s="21" t="s">
        <v>313</v>
      </c>
      <c r="AI69" s="21" t="s">
        <v>313</v>
      </c>
      <c r="AJ69" s="21" t="s">
        <v>313</v>
      </c>
      <c r="AK69" s="21" t="s">
        <v>313</v>
      </c>
      <c r="AL69" s="21" t="s">
        <v>313</v>
      </c>
      <c r="AM69" s="21" t="s">
        <v>313</v>
      </c>
      <c r="AN69" s="21" t="s">
        <v>313</v>
      </c>
      <c r="AO69" s="21" t="s">
        <v>313</v>
      </c>
      <c r="AP69" s="21" t="s">
        <v>313</v>
      </c>
      <c r="AQ69" s="21" t="s">
        <v>313</v>
      </c>
      <c r="AR69" s="21" t="s">
        <v>313</v>
      </c>
      <c r="AS69" s="21" t="s">
        <v>313</v>
      </c>
      <c r="AT69" s="21" t="s">
        <v>313</v>
      </c>
      <c r="AU69" s="21" t="s">
        <v>313</v>
      </c>
      <c r="AV69" s="21" t="s">
        <v>313</v>
      </c>
      <c r="AW69" s="21" t="s">
        <v>313</v>
      </c>
      <c r="AX69" s="21" t="s">
        <v>313</v>
      </c>
    </row>
    <row r="70" spans="1:50" ht="15" hidden="1" customHeight="1" x14ac:dyDescent="0.3">
      <c r="A70" s="30" t="s">
        <v>84</v>
      </c>
      <c r="B70" s="29" t="str">
        <f>IFERROR(VLOOKUP(A70,'[1]JL EXE ACTIVE FTE List'!$G:$N,8,FALSE),IF(ISNA(VLOOKUP(A70,'[1]JL EXE LEAVER List'!$G:$I,3,FALSE)),"Query","Leaver"))</f>
        <v>ATV</v>
      </c>
      <c r="C70" s="29" t="str">
        <f>IFERROR(VLOOKUP(A70,'[1]JL EXE ACTIVE FTE List'!$G:$R,12,FALSE),IF(ISNA(VLOOKUP(A70,'[1]JL EXE LEAVER List'!$G:$I,3,FALSE)),"?QUERY?","Leaver"))</f>
        <v>ACTIVE</v>
      </c>
      <c r="D70" s="39" t="str">
        <f>IFERROR(IFERROR(VLOOKUP(A70,'[1]JL EXE ACTIVE FTE List'!$G:$H,2,FALSE),VLOOKUP(A70,'[1]JL EXE LEAVER List'!$G:$H,2,FALSE)),"?QUERY?")</f>
        <v>Antonio Follano</v>
      </c>
      <c r="E70" s="40">
        <f>IFERROR(IFERROR(VLOOKUP(A70,'[1]JL EXE ACTIVE FTE List'!$G:$O,9,FALSE),VLOOKUP(A70,'[1]JL EXE LEAVER List'!$G:$O,9,FALSE)),"?QUERY?")</f>
        <v>43017</v>
      </c>
      <c r="F70" s="21" t="s">
        <v>338</v>
      </c>
      <c r="G70" s="21" t="s">
        <v>335</v>
      </c>
      <c r="H70" s="21" t="s">
        <v>335</v>
      </c>
      <c r="I70" s="21" t="s">
        <v>313</v>
      </c>
      <c r="J70" s="21" t="s">
        <v>313</v>
      </c>
      <c r="K70" s="21" t="s">
        <v>313</v>
      </c>
      <c r="L70" s="21" t="s">
        <v>313</v>
      </c>
      <c r="M70" s="21" t="s">
        <v>313</v>
      </c>
      <c r="N70" s="21" t="s">
        <v>313</v>
      </c>
      <c r="O70" s="21" t="s">
        <v>313</v>
      </c>
      <c r="P70" s="21" t="s">
        <v>313</v>
      </c>
      <c r="Q70" s="21" t="s">
        <v>313</v>
      </c>
      <c r="R70" s="21" t="s">
        <v>313</v>
      </c>
      <c r="S70" s="21" t="s">
        <v>313</v>
      </c>
      <c r="T70" s="21" t="s">
        <v>313</v>
      </c>
      <c r="U70" s="21" t="s">
        <v>313</v>
      </c>
      <c r="V70" s="21" t="s">
        <v>313</v>
      </c>
      <c r="W70" s="21" t="s">
        <v>313</v>
      </c>
      <c r="X70" s="21" t="s">
        <v>313</v>
      </c>
      <c r="Y70" s="21" t="s">
        <v>313</v>
      </c>
      <c r="Z70" s="21" t="s">
        <v>313</v>
      </c>
      <c r="AA70" s="21" t="s">
        <v>313</v>
      </c>
      <c r="AB70" s="21" t="s">
        <v>313</v>
      </c>
      <c r="AC70" s="21" t="s">
        <v>313</v>
      </c>
      <c r="AD70" s="21" t="s">
        <v>313</v>
      </c>
      <c r="AE70" s="21" t="s">
        <v>313</v>
      </c>
      <c r="AF70" s="21" t="s">
        <v>313</v>
      </c>
      <c r="AG70" s="21" t="s">
        <v>313</v>
      </c>
      <c r="AH70" s="21" t="s">
        <v>313</v>
      </c>
      <c r="AI70" s="21" t="s">
        <v>313</v>
      </c>
      <c r="AJ70" s="21" t="s">
        <v>313</v>
      </c>
      <c r="AK70" s="21" t="s">
        <v>313</v>
      </c>
      <c r="AL70" s="21" t="s">
        <v>313</v>
      </c>
      <c r="AM70" s="21" t="s">
        <v>313</v>
      </c>
      <c r="AN70" s="21" t="s">
        <v>313</v>
      </c>
      <c r="AO70" s="21" t="s">
        <v>313</v>
      </c>
      <c r="AP70" s="21" t="s">
        <v>313</v>
      </c>
      <c r="AQ70" s="21" t="s">
        <v>313</v>
      </c>
      <c r="AR70" s="21" t="s">
        <v>313</v>
      </c>
      <c r="AS70" s="21" t="s">
        <v>313</v>
      </c>
      <c r="AT70" s="21" t="s">
        <v>313</v>
      </c>
      <c r="AU70" s="21" t="s">
        <v>313</v>
      </c>
      <c r="AV70" s="21" t="s">
        <v>313</v>
      </c>
      <c r="AW70" s="21" t="s">
        <v>313</v>
      </c>
      <c r="AX70" s="21" t="s">
        <v>313</v>
      </c>
    </row>
    <row r="71" spans="1:50" ht="15" customHeight="1" x14ac:dyDescent="0.3">
      <c r="A71" s="30" t="s">
        <v>17</v>
      </c>
      <c r="B71" s="29" t="str">
        <f>IFERROR(VLOOKUP(A71,'[1]JL EXE ACTIVE FTE List'!$G:$N,8,FALSE),IF(ISNA(VLOOKUP(A71,'[1]JL EXE LEAVER List'!$G:$I,3,FALSE)),"Query","Leaver"))</f>
        <v>ATV</v>
      </c>
      <c r="C71" s="29" t="str">
        <f>IFERROR(VLOOKUP(A71,'[1]JL EXE ACTIVE FTE List'!$G:$R,12,FALSE),IF(ISNA(VLOOKUP(A71,'[1]JL EXE LEAVER List'!$G:$I,3,FALSE)),"?QUERY?","Leaver"))</f>
        <v>ACTIVE</v>
      </c>
      <c r="D71" s="39" t="str">
        <f>IFERROR(IFERROR(VLOOKUP(A71,'[1]JL EXE ACTIVE FTE List'!$G:$H,2,FALSE),VLOOKUP(A71,'[1]JL EXE LEAVER List'!$G:$H,2,FALSE)),"?QUERY?")</f>
        <v>Antonio Follano</v>
      </c>
      <c r="E71" s="40">
        <f>IFERROR(IFERROR(VLOOKUP(A71,'[1]JL EXE ACTIVE FTE List'!$G:$O,9,FALSE),VLOOKUP(A71,'[1]JL EXE LEAVER List'!$G:$O,9,FALSE)),"?QUERY?")</f>
        <v>43045</v>
      </c>
      <c r="F71" s="21" t="s">
        <v>338</v>
      </c>
      <c r="G71" s="21" t="s">
        <v>338</v>
      </c>
      <c r="H71" s="21" t="s">
        <v>338</v>
      </c>
      <c r="I71" s="21" t="s">
        <v>313</v>
      </c>
      <c r="J71" s="21" t="s">
        <v>313</v>
      </c>
      <c r="K71" s="21" t="s">
        <v>313</v>
      </c>
      <c r="L71" s="21" t="s">
        <v>313</v>
      </c>
      <c r="M71" s="21" t="s">
        <v>313</v>
      </c>
      <c r="N71" s="21" t="s">
        <v>313</v>
      </c>
      <c r="O71" s="21" t="s">
        <v>313</v>
      </c>
      <c r="P71" s="21" t="s">
        <v>313</v>
      </c>
      <c r="Q71" s="21" t="s">
        <v>313</v>
      </c>
      <c r="R71" s="21" t="s">
        <v>313</v>
      </c>
      <c r="S71" s="21" t="s">
        <v>313</v>
      </c>
      <c r="T71" s="21" t="s">
        <v>313</v>
      </c>
      <c r="U71" s="21" t="s">
        <v>313</v>
      </c>
      <c r="V71" s="21" t="s">
        <v>313</v>
      </c>
      <c r="W71" s="21" t="s">
        <v>313</v>
      </c>
      <c r="X71" s="21" t="s">
        <v>313</v>
      </c>
      <c r="Y71" s="21" t="s">
        <v>313</v>
      </c>
      <c r="Z71" s="21" t="s">
        <v>313</v>
      </c>
      <c r="AA71" s="21" t="s">
        <v>313</v>
      </c>
      <c r="AB71" s="21" t="s">
        <v>313</v>
      </c>
      <c r="AC71" s="21" t="s">
        <v>313</v>
      </c>
      <c r="AD71" s="21" t="s">
        <v>313</v>
      </c>
      <c r="AE71" s="21" t="s">
        <v>313</v>
      </c>
      <c r="AF71" s="21" t="s">
        <v>313</v>
      </c>
      <c r="AG71" s="21" t="s">
        <v>313</v>
      </c>
      <c r="AH71" s="21" t="s">
        <v>313</v>
      </c>
      <c r="AI71" s="21" t="s">
        <v>313</v>
      </c>
      <c r="AJ71" s="21" t="s">
        <v>313</v>
      </c>
      <c r="AK71" s="21" t="s">
        <v>313</v>
      </c>
      <c r="AL71" s="21" t="s">
        <v>313</v>
      </c>
      <c r="AM71" s="21" t="s">
        <v>313</v>
      </c>
      <c r="AN71" s="21" t="s">
        <v>313</v>
      </c>
      <c r="AO71" s="21" t="s">
        <v>313</v>
      </c>
      <c r="AP71" s="21" t="s">
        <v>313</v>
      </c>
      <c r="AQ71" s="21" t="s">
        <v>313</v>
      </c>
      <c r="AR71" s="21" t="s">
        <v>313</v>
      </c>
      <c r="AS71" s="21" t="s">
        <v>313</v>
      </c>
      <c r="AT71" s="21" t="s">
        <v>313</v>
      </c>
      <c r="AU71" s="21" t="s">
        <v>313</v>
      </c>
      <c r="AV71" s="21" t="s">
        <v>313</v>
      </c>
      <c r="AW71" s="21" t="s">
        <v>313</v>
      </c>
      <c r="AX71" s="21" t="s">
        <v>313</v>
      </c>
    </row>
    <row r="72" spans="1:50" ht="15" customHeight="1" x14ac:dyDescent="0.3">
      <c r="A72" s="30" t="s">
        <v>19</v>
      </c>
      <c r="B72" s="29" t="str">
        <f>IFERROR(VLOOKUP(A72,'[1]JL EXE ACTIVE FTE List'!$G:$N,8,FALSE),IF(ISNA(VLOOKUP(A72,'[1]JL EXE LEAVER List'!$G:$I,3,FALSE)),"Query","Leaver"))</f>
        <v>ATV</v>
      </c>
      <c r="C72" s="29" t="str">
        <f>IFERROR(VLOOKUP(A72,'[1]JL EXE ACTIVE FTE List'!$G:$R,12,FALSE),IF(ISNA(VLOOKUP(A72,'[1]JL EXE LEAVER List'!$G:$I,3,FALSE)),"?QUERY?","Leaver"))</f>
        <v>ACTIVE</v>
      </c>
      <c r="D72" s="39" t="str">
        <f>IFERROR(IFERROR(VLOOKUP(A72,'[1]JL EXE ACTIVE FTE List'!$G:$H,2,FALSE),VLOOKUP(A72,'[1]JL EXE LEAVER List'!$G:$H,2,FALSE)),"?QUERY?")</f>
        <v>Antonio Follano</v>
      </c>
      <c r="E72" s="40">
        <f>IFERROR(IFERROR(VLOOKUP(A72,'[1]JL EXE ACTIVE FTE List'!$G:$O,9,FALSE),VLOOKUP(A72,'[1]JL EXE LEAVER List'!$G:$O,9,FALSE)),"?QUERY?")</f>
        <v>43045</v>
      </c>
      <c r="F72" s="21" t="s">
        <v>338</v>
      </c>
      <c r="G72" s="21" t="s">
        <v>338</v>
      </c>
      <c r="H72" s="21" t="s">
        <v>338</v>
      </c>
      <c r="I72" s="21" t="s">
        <v>313</v>
      </c>
      <c r="J72" s="21" t="s">
        <v>313</v>
      </c>
      <c r="K72" s="21" t="s">
        <v>313</v>
      </c>
      <c r="L72" s="21" t="s">
        <v>313</v>
      </c>
      <c r="M72" s="21" t="s">
        <v>313</v>
      </c>
      <c r="N72" s="21" t="s">
        <v>313</v>
      </c>
      <c r="O72" s="21" t="s">
        <v>313</v>
      </c>
      <c r="P72" s="21" t="s">
        <v>313</v>
      </c>
      <c r="Q72" s="21" t="s">
        <v>313</v>
      </c>
      <c r="R72" s="21" t="s">
        <v>313</v>
      </c>
      <c r="S72" s="21" t="s">
        <v>313</v>
      </c>
      <c r="T72" s="21" t="s">
        <v>313</v>
      </c>
      <c r="U72" s="21" t="s">
        <v>313</v>
      </c>
      <c r="V72" s="21" t="s">
        <v>313</v>
      </c>
      <c r="W72" s="21" t="s">
        <v>313</v>
      </c>
      <c r="X72" s="21" t="s">
        <v>313</v>
      </c>
      <c r="Y72" s="21" t="s">
        <v>313</v>
      </c>
      <c r="Z72" s="21" t="s">
        <v>313</v>
      </c>
      <c r="AA72" s="21" t="s">
        <v>313</v>
      </c>
      <c r="AB72" s="21" t="s">
        <v>313</v>
      </c>
      <c r="AC72" s="21" t="s">
        <v>313</v>
      </c>
      <c r="AD72" s="21" t="s">
        <v>313</v>
      </c>
      <c r="AE72" s="21" t="s">
        <v>313</v>
      </c>
      <c r="AF72" s="21" t="s">
        <v>313</v>
      </c>
      <c r="AG72" s="21" t="s">
        <v>313</v>
      </c>
      <c r="AH72" s="21" t="s">
        <v>313</v>
      </c>
      <c r="AI72" s="21" t="s">
        <v>313</v>
      </c>
      <c r="AJ72" s="21" t="s">
        <v>313</v>
      </c>
      <c r="AK72" s="21" t="s">
        <v>313</v>
      </c>
      <c r="AL72" s="21" t="s">
        <v>313</v>
      </c>
      <c r="AM72" s="21" t="s">
        <v>313</v>
      </c>
      <c r="AN72" s="21" t="s">
        <v>313</v>
      </c>
      <c r="AO72" s="21" t="s">
        <v>313</v>
      </c>
      <c r="AP72" s="21" t="s">
        <v>313</v>
      </c>
      <c r="AQ72" s="21" t="s">
        <v>313</v>
      </c>
      <c r="AR72" s="21" t="s">
        <v>313</v>
      </c>
      <c r="AS72" s="21" t="s">
        <v>313</v>
      </c>
      <c r="AT72" s="21" t="s">
        <v>313</v>
      </c>
      <c r="AU72" s="21" t="s">
        <v>313</v>
      </c>
      <c r="AV72" s="21" t="s">
        <v>313</v>
      </c>
      <c r="AW72" s="21" t="s">
        <v>313</v>
      </c>
      <c r="AX72" s="21" t="s">
        <v>313</v>
      </c>
    </row>
    <row r="73" spans="1:50" ht="15" customHeight="1" x14ac:dyDescent="0.3">
      <c r="A73" s="30" t="s">
        <v>22</v>
      </c>
      <c r="B73" s="29" t="str">
        <f>IFERROR(VLOOKUP(A73,'[1]JL EXE ACTIVE FTE List'!$G:$N,8,FALSE),IF(ISNA(VLOOKUP(A73,'[1]JL EXE LEAVER List'!$G:$I,3,FALSE)),"Query","Leaver"))</f>
        <v>CRM</v>
      </c>
      <c r="C73" s="29" t="str">
        <f>IFERROR(VLOOKUP(A73,'[1]JL EXE ACTIVE FTE List'!$G:$R,12,FALSE),IF(ISNA(VLOOKUP(A73,'[1]JL EXE LEAVER List'!$G:$I,3,FALSE)),"?QUERY?","Leaver"))</f>
        <v>ACTIVE</v>
      </c>
      <c r="D73" s="39" t="str">
        <f>IFERROR(IFERROR(VLOOKUP(A73,'[1]JL EXE ACTIVE FTE List'!$G:$H,2,FALSE),VLOOKUP(A73,'[1]JL EXE LEAVER List'!$G:$H,2,FALSE)),"?QUERY?")</f>
        <v>Avril Oliver</v>
      </c>
      <c r="E73" s="40">
        <f>IFERROR(IFERROR(VLOOKUP(A73,'[1]JL EXE ACTIVE FTE List'!$G:$O,9,FALSE),VLOOKUP(A73,'[1]JL EXE LEAVER List'!$G:$O,9,FALSE)),"?QUERY?")</f>
        <v>41625</v>
      </c>
      <c r="F73" s="21" t="s">
        <v>338</v>
      </c>
      <c r="G73" s="21" t="s">
        <v>338</v>
      </c>
      <c r="H73" s="21" t="s">
        <v>338</v>
      </c>
      <c r="I73" s="21" t="s">
        <v>313</v>
      </c>
      <c r="J73" s="21" t="s">
        <v>313</v>
      </c>
      <c r="K73" s="21" t="s">
        <v>313</v>
      </c>
      <c r="L73" s="21" t="s">
        <v>313</v>
      </c>
      <c r="M73" s="21" t="s">
        <v>313</v>
      </c>
      <c r="N73" s="21" t="s">
        <v>313</v>
      </c>
      <c r="O73" s="21" t="s">
        <v>313</v>
      </c>
      <c r="P73" s="21" t="s">
        <v>313</v>
      </c>
      <c r="Q73" s="21" t="s">
        <v>313</v>
      </c>
      <c r="R73" s="21" t="s">
        <v>313</v>
      </c>
      <c r="S73" s="21" t="s">
        <v>313</v>
      </c>
      <c r="T73" s="21" t="s">
        <v>313</v>
      </c>
      <c r="U73" s="21" t="s">
        <v>313</v>
      </c>
      <c r="V73" s="21" t="s">
        <v>313</v>
      </c>
      <c r="W73" s="21" t="s">
        <v>313</v>
      </c>
      <c r="X73" s="21" t="s">
        <v>313</v>
      </c>
      <c r="Y73" s="21" t="s">
        <v>313</v>
      </c>
      <c r="Z73" s="21" t="s">
        <v>313</v>
      </c>
      <c r="AA73" s="21" t="s">
        <v>313</v>
      </c>
      <c r="AB73" s="21" t="s">
        <v>313</v>
      </c>
      <c r="AC73" s="21" t="s">
        <v>313</v>
      </c>
      <c r="AD73" s="21" t="s">
        <v>313</v>
      </c>
      <c r="AE73" s="21" t="s">
        <v>313</v>
      </c>
      <c r="AF73" s="21" t="s">
        <v>313</v>
      </c>
      <c r="AG73" s="21" t="s">
        <v>313</v>
      </c>
      <c r="AH73" s="21" t="s">
        <v>313</v>
      </c>
      <c r="AI73" s="21" t="s">
        <v>313</v>
      </c>
      <c r="AJ73" s="21" t="s">
        <v>313</v>
      </c>
      <c r="AK73" s="21" t="s">
        <v>313</v>
      </c>
      <c r="AL73" s="21" t="s">
        <v>313</v>
      </c>
      <c r="AM73" s="21" t="s">
        <v>313</v>
      </c>
      <c r="AN73" s="21" t="s">
        <v>313</v>
      </c>
      <c r="AO73" s="21" t="s">
        <v>313</v>
      </c>
      <c r="AP73" s="21" t="s">
        <v>313</v>
      </c>
      <c r="AQ73" s="21" t="s">
        <v>313</v>
      </c>
      <c r="AR73" s="21" t="s">
        <v>313</v>
      </c>
      <c r="AS73" s="21" t="s">
        <v>313</v>
      </c>
      <c r="AT73" s="21" t="s">
        <v>313</v>
      </c>
      <c r="AU73" s="21" t="s">
        <v>313</v>
      </c>
      <c r="AV73" s="21" t="s">
        <v>313</v>
      </c>
      <c r="AW73" s="21" t="s">
        <v>313</v>
      </c>
      <c r="AX73" s="21" t="s">
        <v>313</v>
      </c>
    </row>
    <row r="74" spans="1:50" x14ac:dyDescent="0.3">
      <c r="A74" s="30" t="s">
        <v>23</v>
      </c>
      <c r="B74" s="29" t="str">
        <f>IFERROR(VLOOKUP(A74,'[1]JL EXE ACTIVE FTE List'!$G:$N,8,FALSE),IF(ISNA(VLOOKUP(A74,'[1]JL EXE LEAVER List'!$G:$I,3,FALSE)),"Query","Leaver"))</f>
        <v>CRM</v>
      </c>
      <c r="C74" s="29" t="str">
        <f>IFERROR(VLOOKUP(A74,'[1]JL EXE ACTIVE FTE List'!$G:$R,12,FALSE),IF(ISNA(VLOOKUP(A74,'[1]JL EXE LEAVER List'!$G:$I,3,FALSE)),"?QUERY?","Leaver"))</f>
        <v>ACTIVE</v>
      </c>
      <c r="D74" s="39" t="str">
        <f>IFERROR(IFERROR(VLOOKUP(A74,'[1]JL EXE ACTIVE FTE List'!$G:$H,2,FALSE),VLOOKUP(A74,'[1]JL EXE LEAVER List'!$G:$H,2,FALSE)),"?QUERY?")</f>
        <v>Avril Oliver</v>
      </c>
      <c r="E74" s="40">
        <f>IFERROR(IFERROR(VLOOKUP(A74,'[1]JL EXE ACTIVE FTE List'!$G:$O,9,FALSE),VLOOKUP(A74,'[1]JL EXE LEAVER List'!$G:$O,9,FALSE)),"?QUERY?")</f>
        <v>40791</v>
      </c>
      <c r="F74" s="21" t="s">
        <v>338</v>
      </c>
      <c r="G74" s="21" t="s">
        <v>338</v>
      </c>
      <c r="H74" s="21" t="s">
        <v>338</v>
      </c>
      <c r="I74" s="21" t="s">
        <v>313</v>
      </c>
      <c r="J74" s="21" t="s">
        <v>313</v>
      </c>
      <c r="K74" s="21" t="s">
        <v>313</v>
      </c>
      <c r="L74" s="21" t="s">
        <v>313</v>
      </c>
      <c r="M74" s="21" t="s">
        <v>313</v>
      </c>
      <c r="N74" s="21" t="s">
        <v>313</v>
      </c>
      <c r="O74" s="21" t="s">
        <v>313</v>
      </c>
      <c r="P74" s="21" t="s">
        <v>313</v>
      </c>
      <c r="Q74" s="21" t="s">
        <v>313</v>
      </c>
      <c r="R74" s="21" t="s">
        <v>313</v>
      </c>
      <c r="S74" s="21" t="s">
        <v>313</v>
      </c>
      <c r="T74" s="21" t="s">
        <v>313</v>
      </c>
      <c r="U74" s="21" t="s">
        <v>313</v>
      </c>
      <c r="V74" s="21" t="s">
        <v>313</v>
      </c>
      <c r="W74" s="21" t="s">
        <v>313</v>
      </c>
      <c r="X74" s="21" t="s">
        <v>313</v>
      </c>
      <c r="Y74" s="21" t="s">
        <v>313</v>
      </c>
      <c r="Z74" s="21" t="s">
        <v>313</v>
      </c>
      <c r="AA74" s="21" t="s">
        <v>313</v>
      </c>
      <c r="AB74" s="21" t="s">
        <v>313</v>
      </c>
      <c r="AC74" s="21" t="s">
        <v>313</v>
      </c>
      <c r="AD74" s="21" t="s">
        <v>313</v>
      </c>
      <c r="AE74" s="21" t="s">
        <v>313</v>
      </c>
      <c r="AF74" s="21" t="s">
        <v>313</v>
      </c>
      <c r="AG74" s="21" t="s">
        <v>313</v>
      </c>
      <c r="AH74" s="21" t="s">
        <v>313</v>
      </c>
      <c r="AI74" s="21" t="s">
        <v>313</v>
      </c>
      <c r="AJ74" s="21" t="s">
        <v>313</v>
      </c>
      <c r="AK74" s="21" t="s">
        <v>313</v>
      </c>
      <c r="AL74" s="21" t="s">
        <v>313</v>
      </c>
      <c r="AM74" s="21" t="s">
        <v>313</v>
      </c>
      <c r="AN74" s="21" t="s">
        <v>313</v>
      </c>
      <c r="AO74" s="21" t="s">
        <v>313</v>
      </c>
      <c r="AP74" s="21" t="s">
        <v>313</v>
      </c>
      <c r="AQ74" s="21" t="s">
        <v>313</v>
      </c>
      <c r="AR74" s="21" t="s">
        <v>313</v>
      </c>
      <c r="AS74" s="21" t="s">
        <v>313</v>
      </c>
      <c r="AT74" s="21" t="s">
        <v>313</v>
      </c>
      <c r="AU74" s="21" t="s">
        <v>313</v>
      </c>
      <c r="AV74" s="21" t="s">
        <v>313</v>
      </c>
      <c r="AW74" s="21" t="s">
        <v>313</v>
      </c>
      <c r="AX74" s="21" t="s">
        <v>313</v>
      </c>
    </row>
    <row r="75" spans="1:50" x14ac:dyDescent="0.3">
      <c r="A75" s="30" t="s">
        <v>25</v>
      </c>
      <c r="B75" s="29" t="str">
        <f>IFERROR(VLOOKUP(A75,'[1]JL EXE ACTIVE FTE List'!$G:$N,8,FALSE),IF(ISNA(VLOOKUP(A75,'[1]JL EXE LEAVER List'!$G:$I,3,FALSE)),"Query","Leaver"))</f>
        <v>CRM</v>
      </c>
      <c r="C75" s="29" t="str">
        <f>IFERROR(VLOOKUP(A75,'[1]JL EXE ACTIVE FTE List'!$G:$R,12,FALSE),IF(ISNA(VLOOKUP(A75,'[1]JL EXE LEAVER List'!$G:$I,3,FALSE)),"?QUERY?","Leaver"))</f>
        <v>ACTIVE</v>
      </c>
      <c r="D75" s="39" t="str">
        <f>IFERROR(IFERROR(VLOOKUP(A75,'[1]JL EXE ACTIVE FTE List'!$G:$H,2,FALSE),VLOOKUP(A75,'[1]JL EXE LEAVER List'!$G:$H,2,FALSE)),"?QUERY?")</f>
        <v>Avril Oliver</v>
      </c>
      <c r="E75" s="40">
        <f>IFERROR(IFERROR(VLOOKUP(A75,'[1]JL EXE ACTIVE FTE List'!$G:$O,9,FALSE),VLOOKUP(A75,'[1]JL EXE LEAVER List'!$G:$O,9,FALSE)),"?QUERY?")</f>
        <v>40840</v>
      </c>
      <c r="F75" s="21" t="s">
        <v>338</v>
      </c>
      <c r="G75" s="21" t="s">
        <v>338</v>
      </c>
      <c r="H75" s="21" t="s">
        <v>338</v>
      </c>
      <c r="I75" s="21" t="s">
        <v>313</v>
      </c>
      <c r="J75" s="21" t="s">
        <v>313</v>
      </c>
      <c r="K75" s="21" t="s">
        <v>313</v>
      </c>
      <c r="L75" s="21" t="s">
        <v>313</v>
      </c>
      <c r="M75" s="21" t="s">
        <v>313</v>
      </c>
      <c r="N75" s="21" t="s">
        <v>313</v>
      </c>
      <c r="O75" s="21" t="s">
        <v>313</v>
      </c>
      <c r="P75" s="21" t="s">
        <v>313</v>
      </c>
      <c r="Q75" s="21" t="s">
        <v>313</v>
      </c>
      <c r="R75" s="21" t="s">
        <v>313</v>
      </c>
      <c r="S75" s="21" t="s">
        <v>313</v>
      </c>
      <c r="T75" s="21" t="s">
        <v>313</v>
      </c>
      <c r="U75" s="21" t="s">
        <v>313</v>
      </c>
      <c r="V75" s="21" t="s">
        <v>313</v>
      </c>
      <c r="W75" s="21" t="s">
        <v>313</v>
      </c>
      <c r="X75" s="21" t="s">
        <v>313</v>
      </c>
      <c r="Y75" s="21" t="s">
        <v>313</v>
      </c>
      <c r="Z75" s="21" t="s">
        <v>313</v>
      </c>
      <c r="AA75" s="21" t="s">
        <v>313</v>
      </c>
      <c r="AB75" s="21" t="s">
        <v>313</v>
      </c>
      <c r="AC75" s="21" t="s">
        <v>313</v>
      </c>
      <c r="AD75" s="21" t="s">
        <v>313</v>
      </c>
      <c r="AE75" s="21" t="s">
        <v>313</v>
      </c>
      <c r="AF75" s="21" t="s">
        <v>313</v>
      </c>
      <c r="AG75" s="21" t="s">
        <v>313</v>
      </c>
      <c r="AH75" s="21" t="s">
        <v>313</v>
      </c>
      <c r="AI75" s="21" t="s">
        <v>313</v>
      </c>
      <c r="AJ75" s="21" t="s">
        <v>313</v>
      </c>
      <c r="AK75" s="21" t="s">
        <v>313</v>
      </c>
      <c r="AL75" s="21" t="s">
        <v>313</v>
      </c>
      <c r="AM75" s="21" t="s">
        <v>313</v>
      </c>
      <c r="AN75" s="21" t="s">
        <v>313</v>
      </c>
      <c r="AO75" s="21" t="s">
        <v>313</v>
      </c>
      <c r="AP75" s="21" t="s">
        <v>313</v>
      </c>
      <c r="AQ75" s="21" t="s">
        <v>313</v>
      </c>
      <c r="AR75" s="21" t="s">
        <v>313</v>
      </c>
      <c r="AS75" s="21" t="s">
        <v>313</v>
      </c>
      <c r="AT75" s="21" t="s">
        <v>313</v>
      </c>
      <c r="AU75" s="21" t="s">
        <v>313</v>
      </c>
      <c r="AV75" s="21" t="s">
        <v>313</v>
      </c>
      <c r="AW75" s="21" t="s">
        <v>313</v>
      </c>
      <c r="AX75" s="21" t="s">
        <v>313</v>
      </c>
    </row>
    <row r="76" spans="1:50" hidden="1" x14ac:dyDescent="0.3">
      <c r="A76" s="30" t="s">
        <v>93</v>
      </c>
      <c r="B76" s="29" t="str">
        <f>IFERROR(VLOOKUP(A76,'[1]JL EXE ACTIVE FTE List'!$G:$N,8,FALSE),IF(ISNA(VLOOKUP(A76,'[1]JL EXE LEAVER List'!$G:$I,3,FALSE)),"Query","Leaver"))</f>
        <v>Leaver</v>
      </c>
      <c r="C76" s="29" t="str">
        <f>IFERROR(VLOOKUP(A76,'[1]JL EXE ACTIVE FTE List'!$G:$R,12,FALSE),IF(ISNA(VLOOKUP(A76,'[1]JL EXE LEAVER List'!$G:$I,3,FALSE)),"?QUERY?","Leaver"))</f>
        <v>Leaver</v>
      </c>
      <c r="D76" s="39" t="str">
        <f>IFERROR(IFERROR(VLOOKUP(A76,'[1]JL EXE ACTIVE FTE List'!$G:$H,2,FALSE),VLOOKUP(A76,'[1]JL EXE LEAVER List'!$G:$H,2,FALSE)),"?QUERY?")</f>
        <v>Chris Adams</v>
      </c>
      <c r="E76" s="40">
        <f>IFERROR(IFERROR(VLOOKUP(A76,'[1]JL EXE ACTIVE FTE List'!$G:$O,9,FALSE),VLOOKUP(A76,'[1]JL EXE LEAVER List'!$G:$O,9,FALSE)),"?QUERY?")</f>
        <v>42940</v>
      </c>
      <c r="F76" s="21" t="s">
        <v>335</v>
      </c>
      <c r="G76" s="21" t="s">
        <v>313</v>
      </c>
      <c r="H76" s="21" t="s">
        <v>313</v>
      </c>
      <c r="I76" s="21" t="s">
        <v>313</v>
      </c>
      <c r="J76" s="21" t="s">
        <v>313</v>
      </c>
      <c r="K76" s="21" t="s">
        <v>313</v>
      </c>
      <c r="L76" s="21" t="s">
        <v>313</v>
      </c>
      <c r="M76" s="21" t="s">
        <v>313</v>
      </c>
      <c r="N76" s="21" t="s">
        <v>313</v>
      </c>
      <c r="O76" s="21" t="s">
        <v>313</v>
      </c>
      <c r="P76" s="21" t="s">
        <v>313</v>
      </c>
      <c r="Q76" s="21" t="s">
        <v>313</v>
      </c>
      <c r="R76" s="21" t="s">
        <v>313</v>
      </c>
      <c r="S76" s="21" t="s">
        <v>313</v>
      </c>
      <c r="T76" s="21" t="s">
        <v>313</v>
      </c>
      <c r="U76" s="21" t="s">
        <v>313</v>
      </c>
      <c r="V76" s="21" t="s">
        <v>313</v>
      </c>
      <c r="W76" s="21" t="s">
        <v>313</v>
      </c>
      <c r="X76" s="21" t="s">
        <v>313</v>
      </c>
      <c r="Y76" s="21" t="s">
        <v>313</v>
      </c>
      <c r="Z76" s="21" t="s">
        <v>313</v>
      </c>
      <c r="AA76" s="21" t="s">
        <v>313</v>
      </c>
      <c r="AB76" s="21" t="s">
        <v>313</v>
      </c>
      <c r="AC76" s="21" t="s">
        <v>313</v>
      </c>
      <c r="AD76" s="21" t="s">
        <v>313</v>
      </c>
      <c r="AE76" s="21" t="s">
        <v>313</v>
      </c>
      <c r="AF76" s="21" t="s">
        <v>313</v>
      </c>
      <c r="AG76" s="21" t="s">
        <v>313</v>
      </c>
      <c r="AH76" s="21" t="s">
        <v>313</v>
      </c>
      <c r="AI76" s="21" t="s">
        <v>313</v>
      </c>
      <c r="AJ76" s="21" t="s">
        <v>313</v>
      </c>
      <c r="AK76" s="21" t="s">
        <v>313</v>
      </c>
      <c r="AL76" s="21" t="s">
        <v>313</v>
      </c>
      <c r="AM76" s="21" t="s">
        <v>313</v>
      </c>
      <c r="AN76" s="21" t="s">
        <v>313</v>
      </c>
      <c r="AO76" s="21" t="s">
        <v>313</v>
      </c>
      <c r="AP76" s="21" t="s">
        <v>313</v>
      </c>
      <c r="AQ76" s="21" t="s">
        <v>313</v>
      </c>
      <c r="AR76" s="21" t="s">
        <v>313</v>
      </c>
      <c r="AS76" s="21" t="s">
        <v>313</v>
      </c>
      <c r="AT76" s="21" t="s">
        <v>313</v>
      </c>
      <c r="AU76" s="21" t="s">
        <v>313</v>
      </c>
      <c r="AV76" s="21" t="s">
        <v>313</v>
      </c>
      <c r="AW76" s="21" t="s">
        <v>313</v>
      </c>
      <c r="AX76" s="21" t="s">
        <v>313</v>
      </c>
    </row>
    <row r="77" spans="1:50" hidden="1" x14ac:dyDescent="0.3">
      <c r="A77" s="30" t="s">
        <v>95</v>
      </c>
      <c r="B77" s="29" t="str">
        <f>IFERROR(VLOOKUP(A77,'[1]JL EXE ACTIVE FTE List'!$G:$N,8,FALSE),IF(ISNA(VLOOKUP(A77,'[1]JL EXE LEAVER List'!$G:$I,3,FALSE)),"Query","Leaver"))</f>
        <v>Leaver</v>
      </c>
      <c r="C77" s="29" t="str">
        <f>IFERROR(VLOOKUP(A77,'[1]JL EXE ACTIVE FTE List'!$G:$R,12,FALSE),IF(ISNA(VLOOKUP(A77,'[1]JL EXE LEAVER List'!$G:$I,3,FALSE)),"?QUERY?","Leaver"))</f>
        <v>Leaver</v>
      </c>
      <c r="D77" s="39" t="str">
        <f>IFERROR(IFERROR(VLOOKUP(A77,'[1]JL EXE ACTIVE FTE List'!$G:$H,2,FALSE),VLOOKUP(A77,'[1]JL EXE LEAVER List'!$G:$H,2,FALSE)),"?QUERY?")</f>
        <v>Chris Adams</v>
      </c>
      <c r="E77" s="40">
        <f>IFERROR(IFERROR(VLOOKUP(A77,'[1]JL EXE ACTIVE FTE List'!$G:$O,9,FALSE),VLOOKUP(A77,'[1]JL EXE LEAVER List'!$G:$O,9,FALSE)),"?QUERY?")</f>
        <v>42716</v>
      </c>
      <c r="F77" s="21" t="s">
        <v>335</v>
      </c>
      <c r="G77" s="21" t="s">
        <v>313</v>
      </c>
      <c r="H77" s="21" t="s">
        <v>313</v>
      </c>
      <c r="I77" s="21" t="s">
        <v>313</v>
      </c>
      <c r="J77" s="21" t="s">
        <v>313</v>
      </c>
      <c r="K77" s="21" t="s">
        <v>313</v>
      </c>
      <c r="L77" s="21" t="s">
        <v>313</v>
      </c>
      <c r="M77" s="21" t="s">
        <v>313</v>
      </c>
      <c r="N77" s="21" t="s">
        <v>313</v>
      </c>
      <c r="O77" s="21" t="s">
        <v>313</v>
      </c>
      <c r="P77" s="21" t="s">
        <v>313</v>
      </c>
      <c r="Q77" s="21" t="s">
        <v>313</v>
      </c>
      <c r="R77" s="21" t="s">
        <v>313</v>
      </c>
      <c r="S77" s="21" t="s">
        <v>313</v>
      </c>
      <c r="T77" s="21" t="s">
        <v>313</v>
      </c>
      <c r="U77" s="21" t="s">
        <v>313</v>
      </c>
      <c r="V77" s="21" t="s">
        <v>313</v>
      </c>
      <c r="W77" s="21" t="s">
        <v>313</v>
      </c>
      <c r="X77" s="21" t="s">
        <v>313</v>
      </c>
      <c r="Y77" s="21" t="s">
        <v>313</v>
      </c>
      <c r="Z77" s="21" t="s">
        <v>313</v>
      </c>
      <c r="AA77" s="21" t="s">
        <v>313</v>
      </c>
      <c r="AB77" s="21" t="s">
        <v>313</v>
      </c>
      <c r="AC77" s="21" t="s">
        <v>313</v>
      </c>
      <c r="AD77" s="21" t="s">
        <v>313</v>
      </c>
      <c r="AE77" s="21" t="s">
        <v>313</v>
      </c>
      <c r="AF77" s="21" t="s">
        <v>313</v>
      </c>
      <c r="AG77" s="21" t="s">
        <v>313</v>
      </c>
      <c r="AH77" s="21" t="s">
        <v>313</v>
      </c>
      <c r="AI77" s="21" t="s">
        <v>313</v>
      </c>
      <c r="AJ77" s="21" t="s">
        <v>313</v>
      </c>
      <c r="AK77" s="21" t="s">
        <v>313</v>
      </c>
      <c r="AL77" s="21" t="s">
        <v>313</v>
      </c>
      <c r="AM77" s="21" t="s">
        <v>313</v>
      </c>
      <c r="AN77" s="21" t="s">
        <v>313</v>
      </c>
      <c r="AO77" s="21" t="s">
        <v>313</v>
      </c>
      <c r="AP77" s="21" t="s">
        <v>313</v>
      </c>
      <c r="AQ77" s="21" t="s">
        <v>313</v>
      </c>
      <c r="AR77" s="21" t="s">
        <v>313</v>
      </c>
      <c r="AS77" s="21" t="s">
        <v>313</v>
      </c>
      <c r="AT77" s="21" t="s">
        <v>313</v>
      </c>
      <c r="AU77" s="21" t="s">
        <v>313</v>
      </c>
      <c r="AV77" s="21" t="s">
        <v>313</v>
      </c>
      <c r="AW77" s="21" t="s">
        <v>313</v>
      </c>
      <c r="AX77" s="21" t="s">
        <v>313</v>
      </c>
    </row>
    <row r="78" spans="1:50" x14ac:dyDescent="0.3">
      <c r="A78" s="30" t="s">
        <v>26</v>
      </c>
      <c r="B78" s="29" t="str">
        <f>IFERROR(VLOOKUP(A78,'[1]JL EXE ACTIVE FTE List'!$G:$N,8,FALSE),IF(ISNA(VLOOKUP(A78,'[1]JL EXE LEAVER List'!$G:$I,3,FALSE)),"Query","Leaver"))</f>
        <v>CRM</v>
      </c>
      <c r="C78" s="29" t="str">
        <f>IFERROR(VLOOKUP(A78,'[1]JL EXE ACTIVE FTE List'!$G:$R,12,FALSE),IF(ISNA(VLOOKUP(A78,'[1]JL EXE LEAVER List'!$G:$I,3,FALSE)),"?QUERY?","Leaver"))</f>
        <v>ACTIVE</v>
      </c>
      <c r="D78" s="39" t="str">
        <f>IFERROR(IFERROR(VLOOKUP(A78,'[1]JL EXE ACTIVE FTE List'!$G:$H,2,FALSE),VLOOKUP(A78,'[1]JL EXE LEAVER List'!$G:$H,2,FALSE)),"?QUERY?")</f>
        <v>Avril Oliver</v>
      </c>
      <c r="E78" s="40">
        <f>IFERROR(IFERROR(VLOOKUP(A78,'[1]JL EXE ACTIVE FTE List'!$G:$O,9,FALSE),VLOOKUP(A78,'[1]JL EXE LEAVER List'!$G:$O,9,FALSE)),"?QUERY?")</f>
        <v>41141</v>
      </c>
      <c r="F78" s="21" t="s">
        <v>338</v>
      </c>
      <c r="G78" s="21" t="s">
        <v>338</v>
      </c>
      <c r="H78" s="21" t="s">
        <v>338</v>
      </c>
      <c r="I78" s="21" t="s">
        <v>313</v>
      </c>
      <c r="J78" s="21" t="s">
        <v>313</v>
      </c>
      <c r="K78" s="21" t="s">
        <v>313</v>
      </c>
      <c r="L78" s="21" t="s">
        <v>313</v>
      </c>
      <c r="M78" s="21" t="s">
        <v>313</v>
      </c>
      <c r="N78" s="21" t="s">
        <v>313</v>
      </c>
      <c r="O78" s="21" t="s">
        <v>313</v>
      </c>
      <c r="P78" s="21" t="s">
        <v>313</v>
      </c>
      <c r="Q78" s="21" t="s">
        <v>313</v>
      </c>
      <c r="R78" s="21" t="s">
        <v>313</v>
      </c>
      <c r="S78" s="21" t="s">
        <v>313</v>
      </c>
      <c r="T78" s="21" t="s">
        <v>313</v>
      </c>
      <c r="U78" s="21" t="s">
        <v>313</v>
      </c>
      <c r="V78" s="21" t="s">
        <v>313</v>
      </c>
      <c r="W78" s="21" t="s">
        <v>313</v>
      </c>
      <c r="X78" s="21" t="s">
        <v>313</v>
      </c>
      <c r="Y78" s="21" t="s">
        <v>313</v>
      </c>
      <c r="Z78" s="21" t="s">
        <v>313</v>
      </c>
      <c r="AA78" s="21" t="s">
        <v>313</v>
      </c>
      <c r="AB78" s="21" t="s">
        <v>313</v>
      </c>
      <c r="AC78" s="21" t="s">
        <v>313</v>
      </c>
      <c r="AD78" s="21" t="s">
        <v>313</v>
      </c>
      <c r="AE78" s="21" t="s">
        <v>313</v>
      </c>
      <c r="AF78" s="21" t="s">
        <v>313</v>
      </c>
      <c r="AG78" s="21" t="s">
        <v>313</v>
      </c>
      <c r="AH78" s="21" t="s">
        <v>313</v>
      </c>
      <c r="AI78" s="21" t="s">
        <v>313</v>
      </c>
      <c r="AJ78" s="21" t="s">
        <v>313</v>
      </c>
      <c r="AK78" s="21" t="s">
        <v>313</v>
      </c>
      <c r="AL78" s="21" t="s">
        <v>313</v>
      </c>
      <c r="AM78" s="21" t="s">
        <v>313</v>
      </c>
      <c r="AN78" s="21" t="s">
        <v>313</v>
      </c>
      <c r="AO78" s="21" t="s">
        <v>313</v>
      </c>
      <c r="AP78" s="21" t="s">
        <v>313</v>
      </c>
      <c r="AQ78" s="21" t="s">
        <v>313</v>
      </c>
      <c r="AR78" s="21" t="s">
        <v>313</v>
      </c>
      <c r="AS78" s="21" t="s">
        <v>313</v>
      </c>
      <c r="AT78" s="21" t="s">
        <v>313</v>
      </c>
      <c r="AU78" s="21" t="s">
        <v>313</v>
      </c>
      <c r="AV78" s="21" t="s">
        <v>313</v>
      </c>
      <c r="AW78" s="21" t="s">
        <v>313</v>
      </c>
      <c r="AX78" s="21" t="s">
        <v>313</v>
      </c>
    </row>
    <row r="79" spans="1:50" x14ac:dyDescent="0.3">
      <c r="A79" s="30" t="s">
        <v>27</v>
      </c>
      <c r="B79" s="29" t="str">
        <f>IFERROR(VLOOKUP(A79,'[1]JL EXE ACTIVE FTE List'!$G:$N,8,FALSE),IF(ISNA(VLOOKUP(A79,'[1]JL EXE LEAVER List'!$G:$I,3,FALSE)),"Query","Leaver"))</f>
        <v>CRM</v>
      </c>
      <c r="C79" s="29" t="str">
        <f>IFERROR(VLOOKUP(A79,'[1]JL EXE ACTIVE FTE List'!$G:$R,12,FALSE),IF(ISNA(VLOOKUP(A79,'[1]JL EXE LEAVER List'!$G:$I,3,FALSE)),"?QUERY?","Leaver"))</f>
        <v>ACTIVE</v>
      </c>
      <c r="D79" s="39" t="str">
        <f>IFERROR(IFERROR(VLOOKUP(A79,'[1]JL EXE ACTIVE FTE List'!$G:$H,2,FALSE),VLOOKUP(A79,'[1]JL EXE LEAVER List'!$G:$H,2,FALSE)),"?QUERY?")</f>
        <v>Avril Oliver</v>
      </c>
      <c r="E79" s="40">
        <f>IFERROR(IFERROR(VLOOKUP(A79,'[1]JL EXE ACTIVE FTE List'!$G:$O,9,FALSE),VLOOKUP(A79,'[1]JL EXE LEAVER List'!$G:$O,9,FALSE)),"?QUERY?")</f>
        <v>41372</v>
      </c>
      <c r="F79" s="21" t="s">
        <v>338</v>
      </c>
      <c r="G79" s="21" t="s">
        <v>338</v>
      </c>
      <c r="H79" s="21" t="s">
        <v>338</v>
      </c>
      <c r="I79" s="21" t="s">
        <v>313</v>
      </c>
      <c r="J79" s="21" t="s">
        <v>313</v>
      </c>
      <c r="K79" s="21" t="s">
        <v>313</v>
      </c>
      <c r="L79" s="21" t="s">
        <v>313</v>
      </c>
      <c r="M79" s="21" t="s">
        <v>313</v>
      </c>
      <c r="N79" s="21" t="s">
        <v>313</v>
      </c>
      <c r="O79" s="21" t="s">
        <v>313</v>
      </c>
      <c r="P79" s="21" t="s">
        <v>313</v>
      </c>
      <c r="Q79" s="21" t="s">
        <v>313</v>
      </c>
      <c r="R79" s="21" t="s">
        <v>313</v>
      </c>
      <c r="S79" s="21" t="s">
        <v>313</v>
      </c>
      <c r="T79" s="21" t="s">
        <v>313</v>
      </c>
      <c r="U79" s="21" t="s">
        <v>313</v>
      </c>
      <c r="V79" s="21" t="s">
        <v>313</v>
      </c>
      <c r="W79" s="21" t="s">
        <v>313</v>
      </c>
      <c r="X79" s="21" t="s">
        <v>313</v>
      </c>
      <c r="Y79" s="21" t="s">
        <v>313</v>
      </c>
      <c r="Z79" s="21" t="s">
        <v>313</v>
      </c>
      <c r="AA79" s="21" t="s">
        <v>313</v>
      </c>
      <c r="AB79" s="21" t="s">
        <v>313</v>
      </c>
      <c r="AC79" s="21" t="s">
        <v>313</v>
      </c>
      <c r="AD79" s="21" t="s">
        <v>313</v>
      </c>
      <c r="AE79" s="21" t="s">
        <v>313</v>
      </c>
      <c r="AF79" s="21" t="s">
        <v>313</v>
      </c>
      <c r="AG79" s="21" t="s">
        <v>313</v>
      </c>
      <c r="AH79" s="21" t="s">
        <v>313</v>
      </c>
      <c r="AI79" s="21" t="s">
        <v>313</v>
      </c>
      <c r="AJ79" s="21" t="s">
        <v>313</v>
      </c>
      <c r="AK79" s="21" t="s">
        <v>313</v>
      </c>
      <c r="AL79" s="21" t="s">
        <v>313</v>
      </c>
      <c r="AM79" s="21" t="s">
        <v>313</v>
      </c>
      <c r="AN79" s="21" t="s">
        <v>313</v>
      </c>
      <c r="AO79" s="21" t="s">
        <v>313</v>
      </c>
      <c r="AP79" s="21" t="s">
        <v>313</v>
      </c>
      <c r="AQ79" s="21" t="s">
        <v>313</v>
      </c>
      <c r="AR79" s="21" t="s">
        <v>313</v>
      </c>
      <c r="AS79" s="21" t="s">
        <v>313</v>
      </c>
      <c r="AT79" s="21" t="s">
        <v>313</v>
      </c>
      <c r="AU79" s="21" t="s">
        <v>313</v>
      </c>
      <c r="AV79" s="21" t="s">
        <v>313</v>
      </c>
      <c r="AW79" s="21" t="s">
        <v>313</v>
      </c>
      <c r="AX79" s="21" t="s">
        <v>313</v>
      </c>
    </row>
    <row r="80" spans="1:50" x14ac:dyDescent="0.3">
      <c r="A80" s="30" t="s">
        <v>230</v>
      </c>
      <c r="B80" s="29" t="str">
        <f>IFERROR(VLOOKUP(A80,'[1]JL EXE ACTIVE FTE List'!$G:$N,8,FALSE),IF(ISNA(VLOOKUP(A80,'[1]JL EXE LEAVER List'!$G:$I,3,FALSE)),"Query","Leaver"))</f>
        <v>CRM</v>
      </c>
      <c r="C80" s="29" t="str">
        <f>IFERROR(VLOOKUP(A80,'[1]JL EXE ACTIVE FTE List'!$G:$R,12,FALSE),IF(ISNA(VLOOKUP(A80,'[1]JL EXE LEAVER List'!$G:$I,3,FALSE)),"?QUERY?","Leaver"))</f>
        <v>ACTIVE</v>
      </c>
      <c r="D80" s="39" t="str">
        <f>IFERROR(IFERROR(VLOOKUP(A80,'[1]JL EXE ACTIVE FTE List'!$G:$H,2,FALSE),VLOOKUP(A80,'[1]JL EXE LEAVER List'!$G:$H,2,FALSE)),"?QUERY?")</f>
        <v>Avril Oliver</v>
      </c>
      <c r="E80" s="40">
        <f>IFERROR(IFERROR(VLOOKUP(A80,'[1]JL EXE ACTIVE FTE List'!$G:$O,9,FALSE),VLOOKUP(A80,'[1]JL EXE LEAVER List'!$G:$O,9,FALSE)),"?QUERY?")</f>
        <v>42079</v>
      </c>
      <c r="F80" s="21" t="s">
        <v>338</v>
      </c>
      <c r="G80" s="21" t="s">
        <v>338</v>
      </c>
      <c r="H80" s="21" t="s">
        <v>338</v>
      </c>
      <c r="I80" s="21" t="s">
        <v>313</v>
      </c>
      <c r="J80" s="21" t="s">
        <v>313</v>
      </c>
      <c r="K80" s="21" t="s">
        <v>313</v>
      </c>
      <c r="L80" s="21" t="s">
        <v>313</v>
      </c>
      <c r="M80" s="21" t="s">
        <v>313</v>
      </c>
      <c r="N80" s="21" t="s">
        <v>313</v>
      </c>
      <c r="O80" s="21" t="s">
        <v>313</v>
      </c>
      <c r="P80" s="21" t="s">
        <v>313</v>
      </c>
      <c r="Q80" s="21" t="s">
        <v>313</v>
      </c>
      <c r="R80" s="21" t="s">
        <v>313</v>
      </c>
      <c r="S80" s="21" t="s">
        <v>313</v>
      </c>
      <c r="T80" s="21" t="s">
        <v>313</v>
      </c>
      <c r="U80" s="21" t="s">
        <v>313</v>
      </c>
      <c r="V80" s="21" t="s">
        <v>313</v>
      </c>
      <c r="W80" s="21" t="s">
        <v>313</v>
      </c>
      <c r="X80" s="21" t="s">
        <v>313</v>
      </c>
      <c r="Y80" s="21" t="s">
        <v>313</v>
      </c>
      <c r="Z80" s="21" t="s">
        <v>313</v>
      </c>
      <c r="AA80" s="21" t="s">
        <v>313</v>
      </c>
      <c r="AB80" s="21" t="s">
        <v>313</v>
      </c>
      <c r="AC80" s="21" t="s">
        <v>313</v>
      </c>
      <c r="AD80" s="21" t="s">
        <v>313</v>
      </c>
      <c r="AE80" s="21" t="s">
        <v>313</v>
      </c>
      <c r="AF80" s="21" t="s">
        <v>313</v>
      </c>
      <c r="AG80" s="21" t="s">
        <v>313</v>
      </c>
      <c r="AH80" s="21" t="s">
        <v>313</v>
      </c>
      <c r="AI80" s="21" t="s">
        <v>313</v>
      </c>
      <c r="AJ80" s="21" t="s">
        <v>313</v>
      </c>
      <c r="AK80" s="21" t="s">
        <v>313</v>
      </c>
      <c r="AL80" s="21" t="s">
        <v>313</v>
      </c>
      <c r="AM80" s="21" t="s">
        <v>313</v>
      </c>
      <c r="AN80" s="21" t="s">
        <v>313</v>
      </c>
      <c r="AO80" s="21" t="s">
        <v>313</v>
      </c>
      <c r="AP80" s="21" t="s">
        <v>313</v>
      </c>
      <c r="AQ80" s="21" t="s">
        <v>313</v>
      </c>
      <c r="AR80" s="21" t="s">
        <v>313</v>
      </c>
      <c r="AS80" s="21" t="s">
        <v>313</v>
      </c>
      <c r="AT80" s="21" t="s">
        <v>313</v>
      </c>
      <c r="AU80" s="21" t="s">
        <v>313</v>
      </c>
      <c r="AV80" s="21" t="s">
        <v>313</v>
      </c>
      <c r="AW80" s="21" t="s">
        <v>313</v>
      </c>
      <c r="AX80" s="21" t="s">
        <v>313</v>
      </c>
    </row>
    <row r="81" spans="1:50" x14ac:dyDescent="0.3">
      <c r="A81" s="30" t="s">
        <v>28</v>
      </c>
      <c r="B81" s="29" t="str">
        <f>IFERROR(VLOOKUP(A81,'[1]JL EXE ACTIVE FTE List'!$G:$N,8,FALSE),IF(ISNA(VLOOKUP(A81,'[1]JL EXE LEAVER List'!$G:$I,3,FALSE)),"Query","Leaver"))</f>
        <v>CRM</v>
      </c>
      <c r="C81" s="29" t="str">
        <f>IFERROR(VLOOKUP(A81,'[1]JL EXE ACTIVE FTE List'!$G:$R,12,FALSE),IF(ISNA(VLOOKUP(A81,'[1]JL EXE LEAVER List'!$G:$I,3,FALSE)),"?QUERY?","Leaver"))</f>
        <v>ACTIVE</v>
      </c>
      <c r="D81" s="39" t="str">
        <f>IFERROR(IFERROR(VLOOKUP(A81,'[1]JL EXE ACTIVE FTE List'!$G:$H,2,FALSE),VLOOKUP(A81,'[1]JL EXE LEAVER List'!$G:$H,2,FALSE)),"?QUERY?")</f>
        <v>Avril Oliver</v>
      </c>
      <c r="E81" s="40">
        <f>IFERROR(IFERROR(VLOOKUP(A81,'[1]JL EXE ACTIVE FTE List'!$G:$O,9,FALSE),VLOOKUP(A81,'[1]JL EXE LEAVER List'!$G:$O,9,FALSE)),"?QUERY?")</f>
        <v>42107</v>
      </c>
      <c r="F81" s="21" t="s">
        <v>338</v>
      </c>
      <c r="G81" s="21" t="s">
        <v>338</v>
      </c>
      <c r="H81" s="21" t="s">
        <v>338</v>
      </c>
      <c r="I81" s="21" t="s">
        <v>313</v>
      </c>
      <c r="J81" s="21" t="s">
        <v>313</v>
      </c>
      <c r="K81" s="21" t="s">
        <v>313</v>
      </c>
      <c r="L81" s="21" t="s">
        <v>313</v>
      </c>
      <c r="M81" s="21" t="s">
        <v>313</v>
      </c>
      <c r="N81" s="21" t="s">
        <v>313</v>
      </c>
      <c r="O81" s="21" t="s">
        <v>313</v>
      </c>
      <c r="P81" s="21" t="s">
        <v>313</v>
      </c>
      <c r="Q81" s="21" t="s">
        <v>313</v>
      </c>
      <c r="R81" s="21" t="s">
        <v>313</v>
      </c>
      <c r="S81" s="21" t="s">
        <v>313</v>
      </c>
      <c r="T81" s="21" t="s">
        <v>313</v>
      </c>
      <c r="U81" s="21" t="s">
        <v>313</v>
      </c>
      <c r="V81" s="21" t="s">
        <v>313</v>
      </c>
      <c r="W81" s="21" t="s">
        <v>313</v>
      </c>
      <c r="X81" s="21" t="s">
        <v>313</v>
      </c>
      <c r="Y81" s="21" t="s">
        <v>313</v>
      </c>
      <c r="Z81" s="21" t="s">
        <v>313</v>
      </c>
      <c r="AA81" s="21" t="s">
        <v>313</v>
      </c>
      <c r="AB81" s="21" t="s">
        <v>313</v>
      </c>
      <c r="AC81" s="21" t="s">
        <v>313</v>
      </c>
      <c r="AD81" s="21" t="s">
        <v>313</v>
      </c>
      <c r="AE81" s="21" t="s">
        <v>313</v>
      </c>
      <c r="AF81" s="21" t="s">
        <v>313</v>
      </c>
      <c r="AG81" s="21" t="s">
        <v>313</v>
      </c>
      <c r="AH81" s="21" t="s">
        <v>313</v>
      </c>
      <c r="AI81" s="21" t="s">
        <v>313</v>
      </c>
      <c r="AJ81" s="21" t="s">
        <v>313</v>
      </c>
      <c r="AK81" s="21" t="s">
        <v>313</v>
      </c>
      <c r="AL81" s="21" t="s">
        <v>313</v>
      </c>
      <c r="AM81" s="21" t="s">
        <v>313</v>
      </c>
      <c r="AN81" s="21" t="s">
        <v>313</v>
      </c>
      <c r="AO81" s="21" t="s">
        <v>313</v>
      </c>
      <c r="AP81" s="21" t="s">
        <v>313</v>
      </c>
      <c r="AQ81" s="21" t="s">
        <v>313</v>
      </c>
      <c r="AR81" s="21" t="s">
        <v>313</v>
      </c>
      <c r="AS81" s="21" t="s">
        <v>313</v>
      </c>
      <c r="AT81" s="21" t="s">
        <v>313</v>
      </c>
      <c r="AU81" s="21" t="s">
        <v>313</v>
      </c>
      <c r="AV81" s="21" t="s">
        <v>313</v>
      </c>
      <c r="AW81" s="21" t="s">
        <v>313</v>
      </c>
      <c r="AX81" s="21" t="s">
        <v>313</v>
      </c>
    </row>
    <row r="82" spans="1:50" x14ac:dyDescent="0.3">
      <c r="A82" s="30" t="s">
        <v>29</v>
      </c>
      <c r="B82" s="29" t="str">
        <f>IFERROR(VLOOKUP(A82,'[1]JL EXE ACTIVE FTE List'!$G:$N,8,FALSE),IF(ISNA(VLOOKUP(A82,'[1]JL EXE LEAVER List'!$G:$I,3,FALSE)),"Query","Leaver"))</f>
        <v>CRM</v>
      </c>
      <c r="C82" s="29" t="str">
        <f>IFERROR(VLOOKUP(A82,'[1]JL EXE ACTIVE FTE List'!$G:$R,12,FALSE),IF(ISNA(VLOOKUP(A82,'[1]JL EXE LEAVER List'!$G:$I,3,FALSE)),"?QUERY?","Leaver"))</f>
        <v>ACTIVE</v>
      </c>
      <c r="D82" s="39" t="str">
        <f>IFERROR(IFERROR(VLOOKUP(A82,'[1]JL EXE ACTIVE FTE List'!$G:$H,2,FALSE),VLOOKUP(A82,'[1]JL EXE LEAVER List'!$G:$H,2,FALSE)),"?QUERY?")</f>
        <v>Avril Oliver</v>
      </c>
      <c r="E82" s="40">
        <f>IFERROR(IFERROR(VLOOKUP(A82,'[1]JL EXE ACTIVE FTE List'!$G:$O,9,FALSE),VLOOKUP(A82,'[1]JL EXE LEAVER List'!$G:$O,9,FALSE)),"?QUERY?")</f>
        <v>42240</v>
      </c>
      <c r="F82" s="21" t="s">
        <v>338</v>
      </c>
      <c r="G82" s="21" t="s">
        <v>338</v>
      </c>
      <c r="H82" s="21" t="s">
        <v>338</v>
      </c>
      <c r="I82" s="21" t="s">
        <v>313</v>
      </c>
      <c r="J82" s="21" t="s">
        <v>313</v>
      </c>
      <c r="K82" s="21" t="s">
        <v>313</v>
      </c>
      <c r="L82" s="21" t="s">
        <v>313</v>
      </c>
      <c r="M82" s="21" t="s">
        <v>313</v>
      </c>
      <c r="N82" s="21" t="s">
        <v>313</v>
      </c>
      <c r="O82" s="21" t="s">
        <v>313</v>
      </c>
      <c r="P82" s="21" t="s">
        <v>313</v>
      </c>
      <c r="Q82" s="21" t="s">
        <v>313</v>
      </c>
      <c r="R82" s="21" t="s">
        <v>313</v>
      </c>
      <c r="S82" s="21" t="s">
        <v>313</v>
      </c>
      <c r="T82" s="21" t="s">
        <v>313</v>
      </c>
      <c r="U82" s="21" t="s">
        <v>313</v>
      </c>
      <c r="V82" s="21" t="s">
        <v>313</v>
      </c>
      <c r="W82" s="21" t="s">
        <v>313</v>
      </c>
      <c r="X82" s="21" t="s">
        <v>313</v>
      </c>
      <c r="Y82" s="21" t="s">
        <v>313</v>
      </c>
      <c r="Z82" s="21" t="s">
        <v>313</v>
      </c>
      <c r="AA82" s="21" t="s">
        <v>313</v>
      </c>
      <c r="AB82" s="21" t="s">
        <v>313</v>
      </c>
      <c r="AC82" s="21" t="s">
        <v>313</v>
      </c>
      <c r="AD82" s="21" t="s">
        <v>313</v>
      </c>
      <c r="AE82" s="21" t="s">
        <v>313</v>
      </c>
      <c r="AF82" s="21" t="s">
        <v>313</v>
      </c>
      <c r="AG82" s="21" t="s">
        <v>313</v>
      </c>
      <c r="AH82" s="21" t="s">
        <v>313</v>
      </c>
      <c r="AI82" s="21" t="s">
        <v>313</v>
      </c>
      <c r="AJ82" s="21" t="s">
        <v>313</v>
      </c>
      <c r="AK82" s="21" t="s">
        <v>313</v>
      </c>
      <c r="AL82" s="21" t="s">
        <v>313</v>
      </c>
      <c r="AM82" s="21" t="s">
        <v>313</v>
      </c>
      <c r="AN82" s="21" t="s">
        <v>313</v>
      </c>
      <c r="AO82" s="21" t="s">
        <v>313</v>
      </c>
      <c r="AP82" s="21" t="s">
        <v>313</v>
      </c>
      <c r="AQ82" s="21" t="s">
        <v>313</v>
      </c>
      <c r="AR82" s="21" t="s">
        <v>313</v>
      </c>
      <c r="AS82" s="21" t="s">
        <v>313</v>
      </c>
      <c r="AT82" s="21" t="s">
        <v>313</v>
      </c>
      <c r="AU82" s="21" t="s">
        <v>313</v>
      </c>
      <c r="AV82" s="21" t="s">
        <v>313</v>
      </c>
      <c r="AW82" s="21" t="s">
        <v>313</v>
      </c>
      <c r="AX82" s="21" t="s">
        <v>313</v>
      </c>
    </row>
    <row r="83" spans="1:50" ht="15" customHeight="1" x14ac:dyDescent="0.3">
      <c r="A83" s="30" t="s">
        <v>30</v>
      </c>
      <c r="B83" s="29" t="str">
        <f>IFERROR(VLOOKUP(A83,'[1]JL EXE ACTIVE FTE List'!$G:$N,8,FALSE),IF(ISNA(VLOOKUP(A83,'[1]JL EXE LEAVER List'!$G:$I,3,FALSE)),"Query","Leaver"))</f>
        <v>CRM</v>
      </c>
      <c r="C83" s="29" t="str">
        <f>IFERROR(VLOOKUP(A83,'[1]JL EXE ACTIVE FTE List'!$G:$R,12,FALSE),IF(ISNA(VLOOKUP(A83,'[1]JL EXE LEAVER List'!$G:$I,3,FALSE)),"?QUERY?","Leaver"))</f>
        <v>ACTIVE</v>
      </c>
      <c r="D83" s="39" t="str">
        <f>IFERROR(IFERROR(VLOOKUP(A83,'[1]JL EXE ACTIVE FTE List'!$G:$H,2,FALSE),VLOOKUP(A83,'[1]JL EXE LEAVER List'!$G:$H,2,FALSE)),"?QUERY?")</f>
        <v>Avril Oliver</v>
      </c>
      <c r="E83" s="40">
        <f>IFERROR(IFERROR(VLOOKUP(A83,'[1]JL EXE ACTIVE FTE List'!$G:$O,9,FALSE),VLOOKUP(A83,'[1]JL EXE LEAVER List'!$G:$O,9,FALSE)),"?QUERY?")</f>
        <v>42639</v>
      </c>
      <c r="F83" s="21" t="s">
        <v>338</v>
      </c>
      <c r="G83" s="21" t="s">
        <v>338</v>
      </c>
      <c r="H83" s="21" t="s">
        <v>338</v>
      </c>
      <c r="I83" s="21" t="s">
        <v>313</v>
      </c>
      <c r="J83" s="21" t="s">
        <v>313</v>
      </c>
      <c r="K83" s="21" t="s">
        <v>313</v>
      </c>
      <c r="L83" s="21" t="s">
        <v>313</v>
      </c>
      <c r="M83" s="21" t="s">
        <v>313</v>
      </c>
      <c r="N83" s="21" t="s">
        <v>313</v>
      </c>
      <c r="O83" s="21" t="s">
        <v>313</v>
      </c>
      <c r="P83" s="21" t="s">
        <v>313</v>
      </c>
      <c r="Q83" s="21" t="s">
        <v>313</v>
      </c>
      <c r="R83" s="21" t="s">
        <v>313</v>
      </c>
      <c r="S83" s="21" t="s">
        <v>313</v>
      </c>
      <c r="T83" s="21" t="s">
        <v>313</v>
      </c>
      <c r="U83" s="21" t="s">
        <v>313</v>
      </c>
      <c r="V83" s="21" t="s">
        <v>313</v>
      </c>
      <c r="W83" s="21" t="s">
        <v>313</v>
      </c>
      <c r="X83" s="21" t="s">
        <v>313</v>
      </c>
      <c r="Y83" s="21" t="s">
        <v>313</v>
      </c>
      <c r="Z83" s="21" t="s">
        <v>313</v>
      </c>
      <c r="AA83" s="21" t="s">
        <v>313</v>
      </c>
      <c r="AB83" s="21" t="s">
        <v>313</v>
      </c>
      <c r="AC83" s="21" t="s">
        <v>313</v>
      </c>
      <c r="AD83" s="21" t="s">
        <v>313</v>
      </c>
      <c r="AE83" s="21" t="s">
        <v>313</v>
      </c>
      <c r="AF83" s="21" t="s">
        <v>313</v>
      </c>
      <c r="AG83" s="21" t="s">
        <v>313</v>
      </c>
      <c r="AH83" s="21" t="s">
        <v>313</v>
      </c>
      <c r="AI83" s="21" t="s">
        <v>313</v>
      </c>
      <c r="AJ83" s="21" t="s">
        <v>313</v>
      </c>
      <c r="AK83" s="21" t="s">
        <v>313</v>
      </c>
      <c r="AL83" s="21" t="s">
        <v>313</v>
      </c>
      <c r="AM83" s="21" t="s">
        <v>313</v>
      </c>
      <c r="AN83" s="21" t="s">
        <v>313</v>
      </c>
      <c r="AO83" s="21" t="s">
        <v>313</v>
      </c>
      <c r="AP83" s="21" t="s">
        <v>313</v>
      </c>
      <c r="AQ83" s="21" t="s">
        <v>313</v>
      </c>
      <c r="AR83" s="21" t="s">
        <v>313</v>
      </c>
      <c r="AS83" s="21" t="s">
        <v>313</v>
      </c>
      <c r="AT83" s="21" t="s">
        <v>313</v>
      </c>
      <c r="AU83" s="21" t="s">
        <v>313</v>
      </c>
      <c r="AV83" s="21" t="s">
        <v>313</v>
      </c>
      <c r="AW83" s="21" t="s">
        <v>313</v>
      </c>
      <c r="AX83" s="21" t="s">
        <v>313</v>
      </c>
    </row>
    <row r="84" spans="1:50" ht="15" customHeight="1" x14ac:dyDescent="0.3">
      <c r="A84" s="30" t="s">
        <v>31</v>
      </c>
      <c r="B84" s="29" t="str">
        <f>IFERROR(VLOOKUP(A84,'[1]JL EXE ACTIVE FTE List'!$G:$N,8,FALSE),IF(ISNA(VLOOKUP(A84,'[1]JL EXE LEAVER List'!$G:$I,3,FALSE)),"Query","Leaver"))</f>
        <v>CRM</v>
      </c>
      <c r="C84" s="29" t="str">
        <f>IFERROR(VLOOKUP(A84,'[1]JL EXE ACTIVE FTE List'!$G:$R,12,FALSE),IF(ISNA(VLOOKUP(A84,'[1]JL EXE LEAVER List'!$G:$I,3,FALSE)),"?QUERY?","Leaver"))</f>
        <v>ACTIVE</v>
      </c>
      <c r="D84" s="39" t="str">
        <f>IFERROR(IFERROR(VLOOKUP(A84,'[1]JL EXE ACTIVE FTE List'!$G:$H,2,FALSE),VLOOKUP(A84,'[1]JL EXE LEAVER List'!$G:$H,2,FALSE)),"?QUERY?")</f>
        <v>Avril Oliver</v>
      </c>
      <c r="E84" s="40">
        <f>IFERROR(IFERROR(VLOOKUP(A84,'[1]JL EXE ACTIVE FTE List'!$G:$O,9,FALSE),VLOOKUP(A84,'[1]JL EXE LEAVER List'!$G:$O,9,FALSE)),"?QUERY?")</f>
        <v>42823</v>
      </c>
      <c r="F84" s="21" t="s">
        <v>338</v>
      </c>
      <c r="G84" s="21" t="s">
        <v>338</v>
      </c>
      <c r="H84" s="21" t="s">
        <v>338</v>
      </c>
      <c r="I84" s="21" t="s">
        <v>313</v>
      </c>
      <c r="J84" s="21" t="s">
        <v>313</v>
      </c>
      <c r="K84" s="21" t="s">
        <v>313</v>
      </c>
      <c r="L84" s="21" t="s">
        <v>313</v>
      </c>
      <c r="M84" s="21" t="s">
        <v>313</v>
      </c>
      <c r="N84" s="21" t="s">
        <v>313</v>
      </c>
      <c r="O84" s="21" t="s">
        <v>313</v>
      </c>
      <c r="P84" s="21" t="s">
        <v>313</v>
      </c>
      <c r="Q84" s="21" t="s">
        <v>313</v>
      </c>
      <c r="R84" s="21" t="s">
        <v>313</v>
      </c>
      <c r="S84" s="21" t="s">
        <v>313</v>
      </c>
      <c r="T84" s="21" t="s">
        <v>313</v>
      </c>
      <c r="U84" s="21" t="s">
        <v>313</v>
      </c>
      <c r="V84" s="21" t="s">
        <v>313</v>
      </c>
      <c r="W84" s="21" t="s">
        <v>313</v>
      </c>
      <c r="X84" s="21" t="s">
        <v>313</v>
      </c>
      <c r="Y84" s="21" t="s">
        <v>313</v>
      </c>
      <c r="Z84" s="21" t="s">
        <v>313</v>
      </c>
      <c r="AA84" s="21" t="s">
        <v>313</v>
      </c>
      <c r="AB84" s="21" t="s">
        <v>313</v>
      </c>
      <c r="AC84" s="21" t="s">
        <v>313</v>
      </c>
      <c r="AD84" s="21" t="s">
        <v>313</v>
      </c>
      <c r="AE84" s="21" t="s">
        <v>313</v>
      </c>
      <c r="AF84" s="21" t="s">
        <v>313</v>
      </c>
      <c r="AG84" s="21" t="s">
        <v>313</v>
      </c>
      <c r="AH84" s="21" t="s">
        <v>313</v>
      </c>
      <c r="AI84" s="21" t="s">
        <v>313</v>
      </c>
      <c r="AJ84" s="21" t="s">
        <v>313</v>
      </c>
      <c r="AK84" s="21" t="s">
        <v>313</v>
      </c>
      <c r="AL84" s="21" t="s">
        <v>313</v>
      </c>
      <c r="AM84" s="21" t="s">
        <v>313</v>
      </c>
      <c r="AN84" s="21" t="s">
        <v>313</v>
      </c>
      <c r="AO84" s="21" t="s">
        <v>313</v>
      </c>
      <c r="AP84" s="21" t="s">
        <v>313</v>
      </c>
      <c r="AQ84" s="21" t="s">
        <v>313</v>
      </c>
      <c r="AR84" s="21" t="s">
        <v>313</v>
      </c>
      <c r="AS84" s="21" t="s">
        <v>313</v>
      </c>
      <c r="AT84" s="21" t="s">
        <v>313</v>
      </c>
      <c r="AU84" s="21" t="s">
        <v>313</v>
      </c>
      <c r="AV84" s="21" t="s">
        <v>313</v>
      </c>
      <c r="AW84" s="21" t="s">
        <v>313</v>
      </c>
      <c r="AX84" s="21" t="s">
        <v>313</v>
      </c>
    </row>
    <row r="85" spans="1:50" hidden="1" x14ac:dyDescent="0.3">
      <c r="A85" s="30" t="s">
        <v>106</v>
      </c>
      <c r="B85" s="29" t="str">
        <f>IFERROR(VLOOKUP(A85,'[1]JL EXE ACTIVE FTE List'!$G:$N,8,FALSE),IF(ISNA(VLOOKUP(A85,'[1]JL EXE LEAVER List'!$G:$I,3,FALSE)),"Query","Leaver"))</f>
        <v>Leaver</v>
      </c>
      <c r="C85" s="29" t="str">
        <f>IFERROR(VLOOKUP(A85,'[1]JL EXE ACTIVE FTE List'!$G:$R,12,FALSE),IF(ISNA(VLOOKUP(A85,'[1]JL EXE LEAVER List'!$G:$I,3,FALSE)),"?QUERY?","Leaver"))</f>
        <v>Leaver</v>
      </c>
      <c r="D85" s="39" t="str">
        <f>IFERROR(IFERROR(VLOOKUP(A85,'[1]JL EXE ACTIVE FTE List'!$G:$H,2,FALSE),VLOOKUP(A85,'[1]JL EXE LEAVER List'!$G:$H,2,FALSE)),"?QUERY?")</f>
        <v>Chris Adams</v>
      </c>
      <c r="E85" s="40">
        <f>IFERROR(IFERROR(VLOOKUP(A85,'[1]JL EXE ACTIVE FTE List'!$G:$O,9,FALSE),VLOOKUP(A85,'[1]JL EXE LEAVER List'!$G:$O,9,FALSE)),"?QUERY?")</f>
        <v>42416</v>
      </c>
      <c r="F85" s="21" t="s">
        <v>335</v>
      </c>
      <c r="G85" s="21" t="s">
        <v>338</v>
      </c>
      <c r="H85" s="21" t="s">
        <v>313</v>
      </c>
      <c r="I85" s="21" t="s">
        <v>313</v>
      </c>
      <c r="J85" s="21" t="s">
        <v>313</v>
      </c>
      <c r="K85" s="21" t="s">
        <v>313</v>
      </c>
      <c r="L85" s="21" t="s">
        <v>313</v>
      </c>
      <c r="M85" s="21" t="s">
        <v>313</v>
      </c>
      <c r="N85" s="21" t="s">
        <v>313</v>
      </c>
      <c r="O85" s="21" t="s">
        <v>313</v>
      </c>
      <c r="P85" s="21" t="s">
        <v>313</v>
      </c>
      <c r="Q85" s="21" t="s">
        <v>313</v>
      </c>
      <c r="R85" s="21" t="s">
        <v>313</v>
      </c>
      <c r="S85" s="21" t="s">
        <v>313</v>
      </c>
      <c r="T85" s="21" t="s">
        <v>313</v>
      </c>
      <c r="U85" s="21" t="s">
        <v>313</v>
      </c>
      <c r="V85" s="21" t="s">
        <v>313</v>
      </c>
      <c r="W85" s="21" t="s">
        <v>313</v>
      </c>
      <c r="X85" s="21" t="s">
        <v>313</v>
      </c>
      <c r="Y85" s="21" t="s">
        <v>313</v>
      </c>
      <c r="Z85" s="21" t="s">
        <v>313</v>
      </c>
      <c r="AA85" s="21" t="s">
        <v>313</v>
      </c>
      <c r="AB85" s="21" t="s">
        <v>313</v>
      </c>
      <c r="AC85" s="21" t="s">
        <v>313</v>
      </c>
      <c r="AD85" s="21" t="s">
        <v>313</v>
      </c>
      <c r="AE85" s="21" t="s">
        <v>313</v>
      </c>
      <c r="AF85" s="21" t="s">
        <v>313</v>
      </c>
      <c r="AG85" s="21" t="s">
        <v>313</v>
      </c>
      <c r="AH85" s="21" t="s">
        <v>313</v>
      </c>
      <c r="AI85" s="21" t="s">
        <v>313</v>
      </c>
      <c r="AJ85" s="21" t="s">
        <v>313</v>
      </c>
      <c r="AK85" s="21" t="s">
        <v>313</v>
      </c>
      <c r="AL85" s="21" t="s">
        <v>313</v>
      </c>
      <c r="AM85" s="21" t="s">
        <v>313</v>
      </c>
      <c r="AN85" s="21" t="s">
        <v>313</v>
      </c>
      <c r="AO85" s="21" t="s">
        <v>313</v>
      </c>
      <c r="AP85" s="21" t="s">
        <v>313</v>
      </c>
      <c r="AQ85" s="21" t="s">
        <v>313</v>
      </c>
      <c r="AR85" s="21" t="s">
        <v>313</v>
      </c>
      <c r="AS85" s="21" t="s">
        <v>313</v>
      </c>
      <c r="AT85" s="21" t="s">
        <v>313</v>
      </c>
      <c r="AU85" s="21" t="s">
        <v>313</v>
      </c>
      <c r="AV85" s="21" t="s">
        <v>313</v>
      </c>
      <c r="AW85" s="21" t="s">
        <v>313</v>
      </c>
      <c r="AX85" s="21" t="s">
        <v>313</v>
      </c>
    </row>
    <row r="86" spans="1:50" x14ac:dyDescent="0.3">
      <c r="A86" s="30" t="s">
        <v>32</v>
      </c>
      <c r="B86" s="29" t="str">
        <f>IFERROR(VLOOKUP(A86,'[1]JL EXE ACTIVE FTE List'!$G:$N,8,FALSE),IF(ISNA(VLOOKUP(A86,'[1]JL EXE LEAVER List'!$G:$I,3,FALSE)),"Query","Leaver"))</f>
        <v>CST</v>
      </c>
      <c r="C86" s="29" t="str">
        <f>IFERROR(VLOOKUP(A86,'[1]JL EXE ACTIVE FTE List'!$G:$R,12,FALSE),IF(ISNA(VLOOKUP(A86,'[1]JL EXE LEAVER List'!$G:$I,3,FALSE)),"?QUERY?","Leaver"))</f>
        <v>ACTIVE</v>
      </c>
      <c r="D86" s="39" t="str">
        <f>IFERROR(IFERROR(VLOOKUP(A86,'[1]JL EXE ACTIVE FTE List'!$G:$H,2,FALSE),VLOOKUP(A86,'[1]JL EXE LEAVER List'!$G:$H,2,FALSE)),"?QUERY?")</f>
        <v>Avril Oliver</v>
      </c>
      <c r="E86" s="40">
        <f>IFERROR(IFERROR(VLOOKUP(A86,'[1]JL EXE ACTIVE FTE List'!$G:$O,9,FALSE),VLOOKUP(A86,'[1]JL EXE LEAVER List'!$G:$O,9,FALSE)),"?QUERY?")</f>
        <v>42555</v>
      </c>
      <c r="F86" s="21" t="s">
        <v>338</v>
      </c>
      <c r="G86" s="21" t="s">
        <v>338</v>
      </c>
      <c r="H86" s="21" t="s">
        <v>338</v>
      </c>
      <c r="I86" s="21" t="s">
        <v>313</v>
      </c>
      <c r="J86" s="21" t="s">
        <v>313</v>
      </c>
      <c r="K86" s="21" t="s">
        <v>313</v>
      </c>
      <c r="L86" s="21" t="s">
        <v>313</v>
      </c>
      <c r="M86" s="21" t="s">
        <v>313</v>
      </c>
      <c r="N86" s="21" t="s">
        <v>313</v>
      </c>
      <c r="O86" s="21" t="s">
        <v>313</v>
      </c>
      <c r="P86" s="21" t="s">
        <v>313</v>
      </c>
      <c r="Q86" s="21" t="s">
        <v>313</v>
      </c>
      <c r="R86" s="21" t="s">
        <v>313</v>
      </c>
      <c r="S86" s="21" t="s">
        <v>313</v>
      </c>
      <c r="T86" s="21" t="s">
        <v>313</v>
      </c>
      <c r="U86" s="21" t="s">
        <v>313</v>
      </c>
      <c r="V86" s="21" t="s">
        <v>313</v>
      </c>
      <c r="W86" s="21" t="s">
        <v>313</v>
      </c>
      <c r="X86" s="21" t="s">
        <v>313</v>
      </c>
      <c r="Y86" s="21" t="s">
        <v>313</v>
      </c>
      <c r="Z86" s="21" t="s">
        <v>313</v>
      </c>
      <c r="AA86" s="21" t="s">
        <v>313</v>
      </c>
      <c r="AB86" s="21" t="s">
        <v>313</v>
      </c>
      <c r="AC86" s="21" t="s">
        <v>313</v>
      </c>
      <c r="AD86" s="21" t="s">
        <v>313</v>
      </c>
      <c r="AE86" s="21" t="s">
        <v>313</v>
      </c>
      <c r="AF86" s="21" t="s">
        <v>313</v>
      </c>
      <c r="AG86" s="21" t="s">
        <v>313</v>
      </c>
      <c r="AH86" s="21" t="s">
        <v>313</v>
      </c>
      <c r="AI86" s="21" t="s">
        <v>313</v>
      </c>
      <c r="AJ86" s="21" t="s">
        <v>313</v>
      </c>
      <c r="AK86" s="21" t="s">
        <v>313</v>
      </c>
      <c r="AL86" s="21" t="s">
        <v>313</v>
      </c>
      <c r="AM86" s="21" t="s">
        <v>313</v>
      </c>
      <c r="AN86" s="21" t="s">
        <v>313</v>
      </c>
      <c r="AO86" s="21" t="s">
        <v>313</v>
      </c>
      <c r="AP86" s="21" t="s">
        <v>313</v>
      </c>
      <c r="AQ86" s="21" t="s">
        <v>313</v>
      </c>
      <c r="AR86" s="21" t="s">
        <v>313</v>
      </c>
      <c r="AS86" s="21" t="s">
        <v>313</v>
      </c>
      <c r="AT86" s="21" t="s">
        <v>313</v>
      </c>
      <c r="AU86" s="21" t="s">
        <v>313</v>
      </c>
      <c r="AV86" s="21" t="s">
        <v>313</v>
      </c>
      <c r="AW86" s="21" t="s">
        <v>313</v>
      </c>
      <c r="AX86" s="21" t="s">
        <v>313</v>
      </c>
    </row>
    <row r="87" spans="1:50" x14ac:dyDescent="0.3">
      <c r="A87" s="30" t="s">
        <v>244</v>
      </c>
      <c r="B87" s="29" t="str">
        <f>IFERROR(VLOOKUP(A87,'[1]JL EXE ACTIVE FTE List'!$G:$N,8,FALSE),IF(ISNA(VLOOKUP(A87,'[1]JL EXE LEAVER List'!$G:$I,3,FALSE)),"Query","Leaver"))</f>
        <v>CRM</v>
      </c>
      <c r="C87" s="29" t="str">
        <f>IFERROR(VLOOKUP(A87,'[1]JL EXE ACTIVE FTE List'!$G:$R,12,FALSE),IF(ISNA(VLOOKUP(A87,'[1]JL EXE LEAVER List'!$G:$I,3,FALSE)),"?QUERY?","Leaver"))</f>
        <v>ACTIVE</v>
      </c>
      <c r="D87" s="39" t="str">
        <f>IFERROR(IFERROR(VLOOKUP(A87,'[1]JL EXE ACTIVE FTE List'!$G:$H,2,FALSE),VLOOKUP(A87,'[1]JL EXE LEAVER List'!$G:$H,2,FALSE)),"?QUERY?")</f>
        <v>Avril Oliver</v>
      </c>
      <c r="E87" s="40">
        <f>IFERROR(IFERROR(VLOOKUP(A87,'[1]JL EXE ACTIVE FTE List'!$G:$O,9,FALSE),VLOOKUP(A87,'[1]JL EXE LEAVER List'!$G:$O,9,FALSE)),"?QUERY?")</f>
        <v>42079</v>
      </c>
      <c r="F87" s="21" t="s">
        <v>338</v>
      </c>
      <c r="G87" s="21" t="s">
        <v>338</v>
      </c>
      <c r="H87" s="21" t="s">
        <v>338</v>
      </c>
      <c r="I87" s="21" t="s">
        <v>313</v>
      </c>
      <c r="J87" s="21" t="s">
        <v>313</v>
      </c>
      <c r="K87" s="21" t="s">
        <v>313</v>
      </c>
      <c r="L87" s="21" t="s">
        <v>313</v>
      </c>
      <c r="M87" s="21" t="s">
        <v>313</v>
      </c>
      <c r="N87" s="21" t="s">
        <v>313</v>
      </c>
      <c r="O87" s="21" t="s">
        <v>313</v>
      </c>
      <c r="P87" s="21" t="s">
        <v>313</v>
      </c>
      <c r="Q87" s="21" t="s">
        <v>313</v>
      </c>
      <c r="R87" s="21" t="s">
        <v>313</v>
      </c>
      <c r="S87" s="21" t="s">
        <v>313</v>
      </c>
      <c r="T87" s="21" t="s">
        <v>313</v>
      </c>
      <c r="U87" s="21" t="s">
        <v>313</v>
      </c>
      <c r="V87" s="21" t="s">
        <v>313</v>
      </c>
      <c r="W87" s="21" t="s">
        <v>313</v>
      </c>
      <c r="X87" s="21" t="s">
        <v>313</v>
      </c>
      <c r="Y87" s="21" t="s">
        <v>313</v>
      </c>
      <c r="Z87" s="21" t="s">
        <v>313</v>
      </c>
      <c r="AA87" s="21" t="s">
        <v>313</v>
      </c>
      <c r="AB87" s="21" t="s">
        <v>313</v>
      </c>
      <c r="AC87" s="21" t="s">
        <v>313</v>
      </c>
      <c r="AD87" s="21" t="s">
        <v>313</v>
      </c>
      <c r="AE87" s="21" t="s">
        <v>313</v>
      </c>
      <c r="AF87" s="21" t="s">
        <v>313</v>
      </c>
      <c r="AG87" s="21" t="s">
        <v>313</v>
      </c>
      <c r="AH87" s="21" t="s">
        <v>313</v>
      </c>
      <c r="AI87" s="21" t="s">
        <v>313</v>
      </c>
      <c r="AJ87" s="21" t="s">
        <v>313</v>
      </c>
      <c r="AK87" s="21" t="s">
        <v>313</v>
      </c>
      <c r="AL87" s="21" t="s">
        <v>313</v>
      </c>
      <c r="AM87" s="21" t="s">
        <v>313</v>
      </c>
      <c r="AN87" s="21" t="s">
        <v>313</v>
      </c>
      <c r="AO87" s="21" t="s">
        <v>313</v>
      </c>
      <c r="AP87" s="21" t="s">
        <v>313</v>
      </c>
      <c r="AQ87" s="21" t="s">
        <v>313</v>
      </c>
      <c r="AR87" s="21" t="s">
        <v>313</v>
      </c>
      <c r="AS87" s="21" t="s">
        <v>313</v>
      </c>
      <c r="AT87" s="21" t="s">
        <v>313</v>
      </c>
      <c r="AU87" s="21" t="s">
        <v>313</v>
      </c>
      <c r="AV87" s="21" t="s">
        <v>313</v>
      </c>
      <c r="AW87" s="21" t="s">
        <v>313</v>
      </c>
      <c r="AX87" s="21" t="s">
        <v>313</v>
      </c>
    </row>
    <row r="88" spans="1:50" x14ac:dyDescent="0.3">
      <c r="A88" s="30" t="s">
        <v>24</v>
      </c>
      <c r="B88" s="29" t="str">
        <f>IFERROR(VLOOKUP(A88,'[1]JL EXE ACTIVE FTE List'!$G:$N,8,FALSE),IF(ISNA(VLOOKUP(A88,'[1]JL EXE LEAVER List'!$G:$I,3,FALSE)),"Query","Leaver"))</f>
        <v>CRM</v>
      </c>
      <c r="C88" s="29" t="str">
        <f>IFERROR(VLOOKUP(A88,'[1]JL EXE ACTIVE FTE List'!$G:$R,12,FALSE),IF(ISNA(VLOOKUP(A88,'[1]JL EXE LEAVER List'!$G:$I,3,FALSE)),"?QUERY?","Leaver"))</f>
        <v>ACTIVE</v>
      </c>
      <c r="D88" s="39" t="str">
        <f>IFERROR(IFERROR(VLOOKUP(A88,'[1]JL EXE ACTIVE FTE List'!$G:$H,2,FALSE),VLOOKUP(A88,'[1]JL EXE LEAVER List'!$G:$H,2,FALSE)),"?QUERY?")</f>
        <v>Avril Oliver</v>
      </c>
      <c r="E88" s="40">
        <f>IFERROR(IFERROR(VLOOKUP(A88,'[1]JL EXE ACTIVE FTE List'!$G:$O,9,FALSE),VLOOKUP(A88,'[1]JL EXE LEAVER List'!$G:$O,9,FALSE)),"?QUERY?")</f>
        <v>42107</v>
      </c>
      <c r="F88" s="21" t="s">
        <v>338</v>
      </c>
      <c r="G88" s="21" t="s">
        <v>338</v>
      </c>
      <c r="H88" s="21" t="s">
        <v>338</v>
      </c>
      <c r="I88" s="21" t="s">
        <v>313</v>
      </c>
      <c r="J88" s="21" t="s">
        <v>313</v>
      </c>
      <c r="K88" s="21" t="s">
        <v>313</v>
      </c>
      <c r="L88" s="21" t="s">
        <v>313</v>
      </c>
      <c r="M88" s="21" t="s">
        <v>313</v>
      </c>
      <c r="N88" s="21" t="s">
        <v>313</v>
      </c>
      <c r="O88" s="21" t="s">
        <v>313</v>
      </c>
      <c r="P88" s="21" t="s">
        <v>313</v>
      </c>
      <c r="Q88" s="21" t="s">
        <v>313</v>
      </c>
      <c r="R88" s="21" t="s">
        <v>313</v>
      </c>
      <c r="S88" s="21" t="s">
        <v>313</v>
      </c>
      <c r="T88" s="21" t="s">
        <v>313</v>
      </c>
      <c r="U88" s="21" t="s">
        <v>313</v>
      </c>
      <c r="V88" s="21" t="s">
        <v>313</v>
      </c>
      <c r="W88" s="21" t="s">
        <v>313</v>
      </c>
      <c r="X88" s="21" t="s">
        <v>313</v>
      </c>
      <c r="Y88" s="21" t="s">
        <v>313</v>
      </c>
      <c r="Z88" s="21" t="s">
        <v>313</v>
      </c>
      <c r="AA88" s="21" t="s">
        <v>313</v>
      </c>
      <c r="AB88" s="21" t="s">
        <v>313</v>
      </c>
      <c r="AC88" s="21" t="s">
        <v>313</v>
      </c>
      <c r="AD88" s="21" t="s">
        <v>313</v>
      </c>
      <c r="AE88" s="21" t="s">
        <v>313</v>
      </c>
      <c r="AF88" s="21" t="s">
        <v>313</v>
      </c>
      <c r="AG88" s="21" t="s">
        <v>313</v>
      </c>
      <c r="AH88" s="21" t="s">
        <v>313</v>
      </c>
      <c r="AI88" s="21" t="s">
        <v>313</v>
      </c>
      <c r="AJ88" s="21" t="s">
        <v>313</v>
      </c>
      <c r="AK88" s="21" t="s">
        <v>313</v>
      </c>
      <c r="AL88" s="21" t="s">
        <v>313</v>
      </c>
      <c r="AM88" s="21" t="s">
        <v>313</v>
      </c>
      <c r="AN88" s="21" t="s">
        <v>313</v>
      </c>
      <c r="AO88" s="21" t="s">
        <v>313</v>
      </c>
      <c r="AP88" s="21" t="s">
        <v>313</v>
      </c>
      <c r="AQ88" s="21" t="s">
        <v>313</v>
      </c>
      <c r="AR88" s="21" t="s">
        <v>313</v>
      </c>
      <c r="AS88" s="21" t="s">
        <v>313</v>
      </c>
      <c r="AT88" s="21" t="s">
        <v>313</v>
      </c>
      <c r="AU88" s="21" t="s">
        <v>313</v>
      </c>
      <c r="AV88" s="21" t="s">
        <v>313</v>
      </c>
      <c r="AW88" s="21" t="s">
        <v>313</v>
      </c>
      <c r="AX88" s="21" t="s">
        <v>313</v>
      </c>
    </row>
    <row r="89" spans="1:50" x14ac:dyDescent="0.3">
      <c r="A89" s="30" t="s">
        <v>245</v>
      </c>
      <c r="B89" s="29" t="str">
        <f>IFERROR(VLOOKUP(A89,'[1]JL EXE ACTIVE FTE List'!$G:$N,8,FALSE),IF(ISNA(VLOOKUP(A89,'[1]JL EXE LEAVER List'!$G:$I,3,FALSE)),"Query","Leaver"))</f>
        <v>CRM</v>
      </c>
      <c r="C89" s="29" t="str">
        <f>IFERROR(VLOOKUP(A89,'[1]JL EXE ACTIVE FTE List'!$G:$R,12,FALSE),IF(ISNA(VLOOKUP(A89,'[1]JL EXE LEAVER List'!$G:$I,3,FALSE)),"?QUERY?","Leaver"))</f>
        <v>ACTIVE</v>
      </c>
      <c r="D89" s="39" t="str">
        <f>IFERROR(IFERROR(VLOOKUP(A89,'[1]JL EXE ACTIVE FTE List'!$G:$H,2,FALSE),VLOOKUP(A89,'[1]JL EXE LEAVER List'!$G:$H,2,FALSE)),"?QUERY?")</f>
        <v>Avril Oliver</v>
      </c>
      <c r="E89" s="40">
        <f>IFERROR(IFERROR(VLOOKUP(A89,'[1]JL EXE ACTIVE FTE List'!$G:$O,9,FALSE),VLOOKUP(A89,'[1]JL EXE LEAVER List'!$G:$O,9,FALSE)),"?QUERY?")</f>
        <v>40371</v>
      </c>
      <c r="F89" s="21" t="s">
        <v>338</v>
      </c>
      <c r="G89" s="21" t="s">
        <v>338</v>
      </c>
      <c r="H89" s="21" t="s">
        <v>338</v>
      </c>
      <c r="I89" s="21" t="s">
        <v>313</v>
      </c>
      <c r="J89" s="21" t="s">
        <v>313</v>
      </c>
      <c r="K89" s="21" t="s">
        <v>313</v>
      </c>
      <c r="L89" s="21" t="s">
        <v>313</v>
      </c>
      <c r="M89" s="21" t="s">
        <v>313</v>
      </c>
      <c r="N89" s="21" t="s">
        <v>313</v>
      </c>
      <c r="O89" s="21" t="s">
        <v>313</v>
      </c>
      <c r="P89" s="21" t="s">
        <v>313</v>
      </c>
      <c r="Q89" s="21" t="s">
        <v>313</v>
      </c>
      <c r="R89" s="21" t="s">
        <v>313</v>
      </c>
      <c r="S89" s="21" t="s">
        <v>313</v>
      </c>
      <c r="T89" s="21" t="s">
        <v>313</v>
      </c>
      <c r="U89" s="21" t="s">
        <v>313</v>
      </c>
      <c r="V89" s="21" t="s">
        <v>313</v>
      </c>
      <c r="W89" s="21" t="s">
        <v>313</v>
      </c>
      <c r="X89" s="21" t="s">
        <v>313</v>
      </c>
      <c r="Y89" s="21" t="s">
        <v>313</v>
      </c>
      <c r="Z89" s="21" t="s">
        <v>313</v>
      </c>
      <c r="AA89" s="21" t="s">
        <v>313</v>
      </c>
      <c r="AB89" s="21" t="s">
        <v>313</v>
      </c>
      <c r="AC89" s="21" t="s">
        <v>313</v>
      </c>
      <c r="AD89" s="21" t="s">
        <v>313</v>
      </c>
      <c r="AE89" s="21" t="s">
        <v>313</v>
      </c>
      <c r="AF89" s="21" t="s">
        <v>313</v>
      </c>
      <c r="AG89" s="21" t="s">
        <v>313</v>
      </c>
      <c r="AH89" s="21" t="s">
        <v>313</v>
      </c>
      <c r="AI89" s="21" t="s">
        <v>313</v>
      </c>
      <c r="AJ89" s="21" t="s">
        <v>313</v>
      </c>
      <c r="AK89" s="21" t="s">
        <v>313</v>
      </c>
      <c r="AL89" s="21" t="s">
        <v>313</v>
      </c>
      <c r="AM89" s="21" t="s">
        <v>313</v>
      </c>
      <c r="AN89" s="21" t="s">
        <v>313</v>
      </c>
      <c r="AO89" s="21" t="s">
        <v>313</v>
      </c>
      <c r="AP89" s="21" t="s">
        <v>313</v>
      </c>
      <c r="AQ89" s="21" t="s">
        <v>313</v>
      </c>
      <c r="AR89" s="21" t="s">
        <v>313</v>
      </c>
      <c r="AS89" s="21" t="s">
        <v>313</v>
      </c>
      <c r="AT89" s="21" t="s">
        <v>313</v>
      </c>
      <c r="AU89" s="21" t="s">
        <v>313</v>
      </c>
      <c r="AV89" s="21" t="s">
        <v>313</v>
      </c>
      <c r="AW89" s="21" t="s">
        <v>313</v>
      </c>
      <c r="AX89" s="21" t="s">
        <v>313</v>
      </c>
    </row>
    <row r="90" spans="1:50" ht="15" customHeight="1" x14ac:dyDescent="0.3">
      <c r="A90" s="30" t="s">
        <v>122</v>
      </c>
      <c r="B90" s="29" t="str">
        <f>IFERROR(VLOOKUP(A90,'[1]JL EXE ACTIVE FTE List'!$G:$N,8,FALSE),IF(ISNA(VLOOKUP(A90,'[1]JL EXE LEAVER List'!$G:$I,3,FALSE)),"Query","Leaver"))</f>
        <v>CRM</v>
      </c>
      <c r="C90" s="29" t="str">
        <f>IFERROR(VLOOKUP(A90,'[1]JL EXE ACTIVE FTE List'!$G:$R,12,FALSE),IF(ISNA(VLOOKUP(A90,'[1]JL EXE LEAVER List'!$G:$I,3,FALSE)),"?QUERY?","Leaver"))</f>
        <v>ACTIVE</v>
      </c>
      <c r="D90" s="39" t="str">
        <f>IFERROR(IFERROR(VLOOKUP(A90,'[1]JL EXE ACTIVE FTE List'!$G:$H,2,FALSE),VLOOKUP(A90,'[1]JL EXE LEAVER List'!$G:$H,2,FALSE)),"?QUERY?")</f>
        <v>Avril Oliver</v>
      </c>
      <c r="E90" s="40">
        <f>IFERROR(IFERROR(VLOOKUP(A90,'[1]JL EXE ACTIVE FTE List'!$G:$O,9,FALSE),VLOOKUP(A90,'[1]JL EXE LEAVER List'!$G:$O,9,FALSE)),"?QUERY?")</f>
        <v>42968</v>
      </c>
      <c r="F90" s="21" t="s">
        <v>338</v>
      </c>
      <c r="G90" s="21" t="s">
        <v>338</v>
      </c>
      <c r="H90" s="21" t="s">
        <v>338</v>
      </c>
      <c r="I90" s="21" t="s">
        <v>313</v>
      </c>
      <c r="J90" s="21" t="s">
        <v>313</v>
      </c>
      <c r="K90" s="21" t="s">
        <v>313</v>
      </c>
      <c r="L90" s="21" t="s">
        <v>313</v>
      </c>
      <c r="M90" s="21" t="s">
        <v>313</v>
      </c>
      <c r="N90" s="21" t="s">
        <v>313</v>
      </c>
      <c r="O90" s="21" t="s">
        <v>313</v>
      </c>
      <c r="P90" s="21" t="s">
        <v>313</v>
      </c>
      <c r="Q90" s="21" t="s">
        <v>313</v>
      </c>
      <c r="R90" s="21" t="s">
        <v>313</v>
      </c>
      <c r="S90" s="21" t="s">
        <v>313</v>
      </c>
      <c r="T90" s="21" t="s">
        <v>313</v>
      </c>
      <c r="U90" s="21" t="s">
        <v>313</v>
      </c>
      <c r="V90" s="21" t="s">
        <v>313</v>
      </c>
      <c r="W90" s="21" t="s">
        <v>313</v>
      </c>
      <c r="X90" s="21" t="s">
        <v>313</v>
      </c>
      <c r="Y90" s="21" t="s">
        <v>313</v>
      </c>
      <c r="Z90" s="21" t="s">
        <v>313</v>
      </c>
      <c r="AA90" s="21" t="s">
        <v>313</v>
      </c>
      <c r="AB90" s="21" t="s">
        <v>313</v>
      </c>
      <c r="AC90" s="21" t="s">
        <v>313</v>
      </c>
      <c r="AD90" s="21" t="s">
        <v>313</v>
      </c>
      <c r="AE90" s="21" t="s">
        <v>313</v>
      </c>
      <c r="AF90" s="21" t="s">
        <v>313</v>
      </c>
      <c r="AG90" s="21" t="s">
        <v>313</v>
      </c>
      <c r="AH90" s="21" t="s">
        <v>313</v>
      </c>
      <c r="AI90" s="21" t="s">
        <v>313</v>
      </c>
      <c r="AJ90" s="21" t="s">
        <v>313</v>
      </c>
      <c r="AK90" s="21" t="s">
        <v>313</v>
      </c>
      <c r="AL90" s="21" t="s">
        <v>313</v>
      </c>
      <c r="AM90" s="21" t="s">
        <v>313</v>
      </c>
      <c r="AN90" s="21" t="s">
        <v>313</v>
      </c>
      <c r="AO90" s="21" t="s">
        <v>313</v>
      </c>
      <c r="AP90" s="21" t="s">
        <v>313</v>
      </c>
      <c r="AQ90" s="21" t="s">
        <v>313</v>
      </c>
      <c r="AR90" s="21" t="s">
        <v>313</v>
      </c>
      <c r="AS90" s="21" t="s">
        <v>313</v>
      </c>
      <c r="AT90" s="21" t="s">
        <v>313</v>
      </c>
      <c r="AU90" s="21" t="s">
        <v>313</v>
      </c>
      <c r="AV90" s="21" t="s">
        <v>313</v>
      </c>
      <c r="AW90" s="21" t="s">
        <v>313</v>
      </c>
      <c r="AX90" s="21" t="s">
        <v>313</v>
      </c>
    </row>
    <row r="91" spans="1:50" ht="15" customHeight="1" x14ac:dyDescent="0.3">
      <c r="A91" s="30" t="s">
        <v>212</v>
      </c>
      <c r="B91" s="29" t="str">
        <f>IFERROR(VLOOKUP(A91,'[1]JL EXE ACTIVE FTE List'!$G:$N,8,FALSE),IF(ISNA(VLOOKUP(A91,'[1]JL EXE LEAVER List'!$G:$I,3,FALSE)),"Query","Leaver"))</f>
        <v>CRM</v>
      </c>
      <c r="C91" s="29" t="str">
        <f>IFERROR(VLOOKUP(A91,'[1]JL EXE ACTIVE FTE List'!$G:$R,12,FALSE),IF(ISNA(VLOOKUP(A91,'[1]JL EXE LEAVER List'!$G:$I,3,FALSE)),"?QUERY?","Leaver"))</f>
        <v>ACTIVE</v>
      </c>
      <c r="D91" s="39" t="str">
        <f>IFERROR(IFERROR(VLOOKUP(A91,'[1]JL EXE ACTIVE FTE List'!$G:$H,2,FALSE),VLOOKUP(A91,'[1]JL EXE LEAVER List'!$G:$H,2,FALSE)),"?QUERY?")</f>
        <v>Avril Oliver</v>
      </c>
      <c r="E91" s="40">
        <f>IFERROR(IFERROR(VLOOKUP(A91,'[1]JL EXE ACTIVE FTE List'!$G:$O,9,FALSE),VLOOKUP(A91,'[1]JL EXE LEAVER List'!$G:$O,9,FALSE)),"?QUERY?")</f>
        <v>42815</v>
      </c>
      <c r="F91" s="21" t="s">
        <v>338</v>
      </c>
      <c r="G91" s="21" t="s">
        <v>338</v>
      </c>
      <c r="H91" s="21" t="s">
        <v>338</v>
      </c>
      <c r="I91" s="21" t="s">
        <v>313</v>
      </c>
      <c r="J91" s="21" t="s">
        <v>313</v>
      </c>
      <c r="K91" s="21" t="s">
        <v>313</v>
      </c>
      <c r="L91" s="21" t="s">
        <v>313</v>
      </c>
      <c r="M91" s="21" t="s">
        <v>313</v>
      </c>
      <c r="N91" s="21" t="s">
        <v>313</v>
      </c>
      <c r="O91" s="21" t="s">
        <v>313</v>
      </c>
      <c r="P91" s="21" t="s">
        <v>313</v>
      </c>
      <c r="Q91" s="21" t="s">
        <v>313</v>
      </c>
      <c r="R91" s="21" t="s">
        <v>313</v>
      </c>
      <c r="S91" s="21" t="s">
        <v>313</v>
      </c>
      <c r="T91" s="21" t="s">
        <v>313</v>
      </c>
      <c r="U91" s="21" t="s">
        <v>313</v>
      </c>
      <c r="V91" s="21" t="s">
        <v>313</v>
      </c>
      <c r="W91" s="21" t="s">
        <v>313</v>
      </c>
      <c r="X91" s="21" t="s">
        <v>313</v>
      </c>
      <c r="Y91" s="21" t="s">
        <v>313</v>
      </c>
      <c r="Z91" s="21" t="s">
        <v>313</v>
      </c>
      <c r="AA91" s="21" t="s">
        <v>313</v>
      </c>
      <c r="AB91" s="21" t="s">
        <v>313</v>
      </c>
      <c r="AC91" s="21" t="s">
        <v>313</v>
      </c>
      <c r="AD91" s="21" t="s">
        <v>313</v>
      </c>
      <c r="AE91" s="21" t="s">
        <v>313</v>
      </c>
      <c r="AF91" s="21" t="s">
        <v>313</v>
      </c>
      <c r="AG91" s="21" t="s">
        <v>313</v>
      </c>
      <c r="AH91" s="21" t="s">
        <v>313</v>
      </c>
      <c r="AI91" s="21" t="s">
        <v>313</v>
      </c>
      <c r="AJ91" s="21" t="s">
        <v>313</v>
      </c>
      <c r="AK91" s="21" t="s">
        <v>313</v>
      </c>
      <c r="AL91" s="21" t="s">
        <v>313</v>
      </c>
      <c r="AM91" s="21" t="s">
        <v>313</v>
      </c>
      <c r="AN91" s="21" t="s">
        <v>313</v>
      </c>
      <c r="AO91" s="21" t="s">
        <v>313</v>
      </c>
      <c r="AP91" s="21" t="s">
        <v>313</v>
      </c>
      <c r="AQ91" s="21" t="s">
        <v>313</v>
      </c>
      <c r="AR91" s="21" t="s">
        <v>313</v>
      </c>
      <c r="AS91" s="21" t="s">
        <v>313</v>
      </c>
      <c r="AT91" s="21" t="s">
        <v>313</v>
      </c>
      <c r="AU91" s="21" t="s">
        <v>313</v>
      </c>
      <c r="AV91" s="21" t="s">
        <v>313</v>
      </c>
      <c r="AW91" s="21" t="s">
        <v>313</v>
      </c>
      <c r="AX91" s="21" t="s">
        <v>313</v>
      </c>
    </row>
    <row r="92" spans="1:50" x14ac:dyDescent="0.3">
      <c r="A92" s="30" t="s">
        <v>199</v>
      </c>
      <c r="B92" s="29" t="str">
        <f>IFERROR(VLOOKUP(A92,'[1]JL EXE ACTIVE FTE List'!$G:$N,8,FALSE),IF(ISNA(VLOOKUP(A92,'[1]JL EXE LEAVER List'!$G:$I,3,FALSE)),"Query","Leaver"))</f>
        <v>CRM</v>
      </c>
      <c r="C92" s="29" t="str">
        <f>IFERROR(VLOOKUP(A92,'[1]JL EXE ACTIVE FTE List'!$G:$R,12,FALSE),IF(ISNA(VLOOKUP(A92,'[1]JL EXE LEAVER List'!$G:$I,3,FALSE)),"?QUERY?","Leaver"))</f>
        <v>ACTIVE</v>
      </c>
      <c r="D92" s="39" t="str">
        <f>IFERROR(IFERROR(VLOOKUP(A92,'[1]JL EXE ACTIVE FTE List'!$G:$H,2,FALSE),VLOOKUP(A92,'[1]JL EXE LEAVER List'!$G:$H,2,FALSE)),"?QUERY?")</f>
        <v>Avril Oliver</v>
      </c>
      <c r="E92" s="40">
        <f>IFERROR(IFERROR(VLOOKUP(A92,'[1]JL EXE ACTIVE FTE List'!$G:$O,9,FALSE),VLOOKUP(A92,'[1]JL EXE LEAVER List'!$G:$O,9,FALSE)),"?QUERY?")</f>
        <v>42982</v>
      </c>
      <c r="F92" s="21" t="s">
        <v>338</v>
      </c>
      <c r="G92" s="21" t="s">
        <v>338</v>
      </c>
      <c r="H92" s="21" t="s">
        <v>338</v>
      </c>
      <c r="I92" s="21" t="s">
        <v>313</v>
      </c>
      <c r="J92" s="21" t="s">
        <v>313</v>
      </c>
      <c r="K92" s="21" t="s">
        <v>313</v>
      </c>
      <c r="L92" s="21" t="s">
        <v>313</v>
      </c>
      <c r="M92" s="21" t="s">
        <v>313</v>
      </c>
      <c r="N92" s="21" t="s">
        <v>313</v>
      </c>
      <c r="O92" s="21" t="s">
        <v>313</v>
      </c>
      <c r="P92" s="21" t="s">
        <v>313</v>
      </c>
      <c r="Q92" s="21" t="s">
        <v>313</v>
      </c>
      <c r="R92" s="21" t="s">
        <v>313</v>
      </c>
      <c r="S92" s="21" t="s">
        <v>313</v>
      </c>
      <c r="T92" s="21" t="s">
        <v>313</v>
      </c>
      <c r="U92" s="21" t="s">
        <v>313</v>
      </c>
      <c r="V92" s="21" t="s">
        <v>313</v>
      </c>
      <c r="W92" s="21" t="s">
        <v>313</v>
      </c>
      <c r="X92" s="21" t="s">
        <v>313</v>
      </c>
      <c r="Y92" s="21" t="s">
        <v>313</v>
      </c>
      <c r="Z92" s="21" t="s">
        <v>313</v>
      </c>
      <c r="AA92" s="21" t="s">
        <v>313</v>
      </c>
      <c r="AB92" s="21" t="s">
        <v>313</v>
      </c>
      <c r="AC92" s="21" t="s">
        <v>313</v>
      </c>
      <c r="AD92" s="21" t="s">
        <v>313</v>
      </c>
      <c r="AE92" s="21" t="s">
        <v>313</v>
      </c>
      <c r="AF92" s="21" t="s">
        <v>313</v>
      </c>
      <c r="AG92" s="21" t="s">
        <v>313</v>
      </c>
      <c r="AH92" s="21" t="s">
        <v>313</v>
      </c>
      <c r="AI92" s="21" t="s">
        <v>313</v>
      </c>
      <c r="AJ92" s="21" t="s">
        <v>313</v>
      </c>
      <c r="AK92" s="21" t="s">
        <v>313</v>
      </c>
      <c r="AL92" s="21" t="s">
        <v>313</v>
      </c>
      <c r="AM92" s="21" t="s">
        <v>313</v>
      </c>
      <c r="AN92" s="21" t="s">
        <v>313</v>
      </c>
      <c r="AO92" s="21" t="s">
        <v>313</v>
      </c>
      <c r="AP92" s="21" t="s">
        <v>313</v>
      </c>
      <c r="AQ92" s="21" t="s">
        <v>313</v>
      </c>
      <c r="AR92" s="21" t="s">
        <v>313</v>
      </c>
      <c r="AS92" s="21" t="s">
        <v>313</v>
      </c>
      <c r="AT92" s="21" t="s">
        <v>313</v>
      </c>
      <c r="AU92" s="21" t="s">
        <v>313</v>
      </c>
      <c r="AV92" s="21" t="s">
        <v>313</v>
      </c>
      <c r="AW92" s="21" t="s">
        <v>313</v>
      </c>
      <c r="AX92" s="21" t="s">
        <v>313</v>
      </c>
    </row>
    <row r="93" spans="1:50" x14ac:dyDescent="0.3">
      <c r="A93" s="30" t="s">
        <v>11</v>
      </c>
      <c r="B93" s="29" t="str">
        <f>IFERROR(VLOOKUP(A93,'[1]JL EXE ACTIVE FTE List'!$G:$N,8,FALSE),IF(ISNA(VLOOKUP(A93,'[1]JL EXE LEAVER List'!$G:$I,3,FALSE)),"Query","Leaver"))</f>
        <v>LE</v>
      </c>
      <c r="C93" s="29" t="str">
        <f>IFERROR(VLOOKUP(A93,'[1]JL EXE ACTIVE FTE List'!$G:$R,12,FALSE),IF(ISNA(VLOOKUP(A93,'[1]JL EXE LEAVER List'!$G:$I,3,FALSE)),"?QUERY?","Leaver"))</f>
        <v>ACTIVE</v>
      </c>
      <c r="D93" s="39" t="str">
        <f>IFERROR(IFERROR(VLOOKUP(A93,'[1]JL EXE ACTIVE FTE List'!$G:$H,2,FALSE),VLOOKUP(A93,'[1]JL EXE LEAVER List'!$G:$H,2,FALSE)),"?QUERY?")</f>
        <v>Chris Adams</v>
      </c>
      <c r="E93" s="40">
        <f>IFERROR(IFERROR(VLOOKUP(A93,'[1]JL EXE ACTIVE FTE List'!$G:$O,9,FALSE),VLOOKUP(A93,'[1]JL EXE LEAVER List'!$G:$O,9,FALSE)),"?QUERY?")</f>
        <v>43038</v>
      </c>
      <c r="F93" s="21" t="s">
        <v>338</v>
      </c>
      <c r="G93" s="21" t="s">
        <v>338</v>
      </c>
      <c r="H93" s="21" t="s">
        <v>335</v>
      </c>
      <c r="I93" s="21" t="s">
        <v>313</v>
      </c>
      <c r="J93" s="21" t="s">
        <v>313</v>
      </c>
      <c r="K93" s="21" t="s">
        <v>313</v>
      </c>
      <c r="L93" s="21" t="s">
        <v>313</v>
      </c>
      <c r="M93" s="21" t="s">
        <v>313</v>
      </c>
      <c r="N93" s="21" t="s">
        <v>313</v>
      </c>
      <c r="O93" s="21" t="s">
        <v>313</v>
      </c>
      <c r="P93" s="21" t="s">
        <v>313</v>
      </c>
      <c r="Q93" s="21" t="s">
        <v>313</v>
      </c>
      <c r="R93" s="21" t="s">
        <v>313</v>
      </c>
      <c r="S93" s="21" t="s">
        <v>313</v>
      </c>
      <c r="T93" s="21" t="s">
        <v>313</v>
      </c>
      <c r="U93" s="21" t="s">
        <v>313</v>
      </c>
      <c r="V93" s="21" t="s">
        <v>313</v>
      </c>
      <c r="W93" s="21" t="s">
        <v>313</v>
      </c>
      <c r="X93" s="21" t="s">
        <v>313</v>
      </c>
      <c r="Y93" s="21" t="s">
        <v>313</v>
      </c>
      <c r="Z93" s="21" t="s">
        <v>313</v>
      </c>
      <c r="AA93" s="21" t="s">
        <v>313</v>
      </c>
      <c r="AB93" s="21" t="s">
        <v>313</v>
      </c>
      <c r="AC93" s="21" t="s">
        <v>313</v>
      </c>
      <c r="AD93" s="21" t="s">
        <v>313</v>
      </c>
      <c r="AE93" s="21" t="s">
        <v>313</v>
      </c>
      <c r="AF93" s="21" t="s">
        <v>313</v>
      </c>
      <c r="AG93" s="21" t="s">
        <v>313</v>
      </c>
      <c r="AH93" s="21" t="s">
        <v>313</v>
      </c>
      <c r="AI93" s="21" t="s">
        <v>313</v>
      </c>
      <c r="AJ93" s="21" t="s">
        <v>313</v>
      </c>
      <c r="AK93" s="21" t="s">
        <v>313</v>
      </c>
      <c r="AL93" s="21" t="s">
        <v>313</v>
      </c>
      <c r="AM93" s="21" t="s">
        <v>313</v>
      </c>
      <c r="AN93" s="21" t="s">
        <v>313</v>
      </c>
      <c r="AO93" s="21" t="s">
        <v>313</v>
      </c>
      <c r="AP93" s="21" t="s">
        <v>313</v>
      </c>
      <c r="AQ93" s="21" t="s">
        <v>313</v>
      </c>
      <c r="AR93" s="21" t="s">
        <v>313</v>
      </c>
      <c r="AS93" s="21" t="s">
        <v>313</v>
      </c>
      <c r="AT93" s="21" t="s">
        <v>313</v>
      </c>
      <c r="AU93" s="21" t="s">
        <v>313</v>
      </c>
      <c r="AV93" s="21" t="s">
        <v>313</v>
      </c>
      <c r="AW93" s="21" t="s">
        <v>313</v>
      </c>
      <c r="AX93" s="21" t="s">
        <v>313</v>
      </c>
    </row>
    <row r="94" spans="1:50" x14ac:dyDescent="0.3">
      <c r="A94" s="30" t="s">
        <v>43</v>
      </c>
      <c r="B94" s="29" t="str">
        <f>IFERROR(VLOOKUP(A94,'[1]JL EXE ACTIVE FTE List'!$G:$N,8,FALSE),IF(ISNA(VLOOKUP(A94,'[1]JL EXE LEAVER List'!$G:$I,3,FALSE)),"Query","Leaver"))</f>
        <v>LE</v>
      </c>
      <c r="C94" s="29" t="str">
        <f>IFERROR(VLOOKUP(A94,'[1]JL EXE ACTIVE FTE List'!$G:$R,12,FALSE),IF(ISNA(VLOOKUP(A94,'[1]JL EXE LEAVER List'!$G:$I,3,FALSE)),"?QUERY?","Leaver"))</f>
        <v>ACTIVE</v>
      </c>
      <c r="D94" s="39" t="str">
        <f>IFERROR(IFERROR(VLOOKUP(A94,'[1]JL EXE ACTIVE FTE List'!$G:$H,2,FALSE),VLOOKUP(A94,'[1]JL EXE LEAVER List'!$G:$H,2,FALSE)),"?QUERY?")</f>
        <v>Chris Adams</v>
      </c>
      <c r="E94" s="40">
        <f>IFERROR(IFERROR(VLOOKUP(A94,'[1]JL EXE ACTIVE FTE List'!$G:$O,9,FALSE),VLOOKUP(A94,'[1]JL EXE LEAVER List'!$G:$O,9,FALSE)),"?QUERY?")</f>
        <v>43031</v>
      </c>
      <c r="F94" s="21" t="s">
        <v>338</v>
      </c>
      <c r="G94" s="21" t="s">
        <v>338</v>
      </c>
      <c r="H94" s="21" t="s">
        <v>335</v>
      </c>
      <c r="I94" s="21" t="s">
        <v>313</v>
      </c>
      <c r="J94" s="21" t="s">
        <v>313</v>
      </c>
      <c r="K94" s="21" t="s">
        <v>313</v>
      </c>
      <c r="L94" s="21" t="s">
        <v>313</v>
      </c>
      <c r="M94" s="21" t="s">
        <v>313</v>
      </c>
      <c r="N94" s="21" t="s">
        <v>313</v>
      </c>
      <c r="O94" s="21" t="s">
        <v>313</v>
      </c>
      <c r="P94" s="21" t="s">
        <v>313</v>
      </c>
      <c r="Q94" s="21" t="s">
        <v>313</v>
      </c>
      <c r="R94" s="21" t="s">
        <v>313</v>
      </c>
      <c r="S94" s="21" t="s">
        <v>313</v>
      </c>
      <c r="T94" s="21" t="s">
        <v>313</v>
      </c>
      <c r="U94" s="21" t="s">
        <v>313</v>
      </c>
      <c r="V94" s="21" t="s">
        <v>313</v>
      </c>
      <c r="W94" s="21" t="s">
        <v>313</v>
      </c>
      <c r="X94" s="21" t="s">
        <v>313</v>
      </c>
      <c r="Y94" s="21" t="s">
        <v>313</v>
      </c>
      <c r="Z94" s="21" t="s">
        <v>313</v>
      </c>
      <c r="AA94" s="21" t="s">
        <v>313</v>
      </c>
      <c r="AB94" s="21" t="s">
        <v>313</v>
      </c>
      <c r="AC94" s="21" t="s">
        <v>313</v>
      </c>
      <c r="AD94" s="21" t="s">
        <v>313</v>
      </c>
      <c r="AE94" s="21" t="s">
        <v>313</v>
      </c>
      <c r="AF94" s="21" t="s">
        <v>313</v>
      </c>
      <c r="AG94" s="21" t="s">
        <v>313</v>
      </c>
      <c r="AH94" s="21" t="s">
        <v>313</v>
      </c>
      <c r="AI94" s="21" t="s">
        <v>313</v>
      </c>
      <c r="AJ94" s="21" t="s">
        <v>313</v>
      </c>
      <c r="AK94" s="21" t="s">
        <v>313</v>
      </c>
      <c r="AL94" s="21" t="s">
        <v>313</v>
      </c>
      <c r="AM94" s="21" t="s">
        <v>313</v>
      </c>
      <c r="AN94" s="21" t="s">
        <v>313</v>
      </c>
      <c r="AO94" s="21" t="s">
        <v>313</v>
      </c>
      <c r="AP94" s="21" t="s">
        <v>313</v>
      </c>
      <c r="AQ94" s="21" t="s">
        <v>313</v>
      </c>
      <c r="AR94" s="21" t="s">
        <v>313</v>
      </c>
      <c r="AS94" s="21" t="s">
        <v>313</v>
      </c>
      <c r="AT94" s="21" t="s">
        <v>313</v>
      </c>
      <c r="AU94" s="21" t="s">
        <v>313</v>
      </c>
      <c r="AV94" s="21" t="s">
        <v>313</v>
      </c>
      <c r="AW94" s="21" t="s">
        <v>313</v>
      </c>
      <c r="AX94" s="21" t="s">
        <v>313</v>
      </c>
    </row>
    <row r="95" spans="1:50" ht="15" customHeight="1" x14ac:dyDescent="0.3">
      <c r="A95" s="30" t="s">
        <v>50</v>
      </c>
      <c r="B95" s="29" t="str">
        <f>IFERROR(VLOOKUP(A95,'[1]JL EXE ACTIVE FTE List'!$G:$N,8,FALSE),IF(ISNA(VLOOKUP(A95,'[1]JL EXE LEAVER List'!$G:$I,3,FALSE)),"Query","Leaver"))</f>
        <v>LE</v>
      </c>
      <c r="C95" s="29" t="str">
        <f>IFERROR(VLOOKUP(A95,'[1]JL EXE ACTIVE FTE List'!$G:$R,12,FALSE),IF(ISNA(VLOOKUP(A95,'[1]JL EXE LEAVER List'!$G:$I,3,FALSE)),"?QUERY?","Leaver"))</f>
        <v>ACTIVE</v>
      </c>
      <c r="D95" s="39" t="str">
        <f>IFERROR(IFERROR(VLOOKUP(A95,'[1]JL EXE ACTIVE FTE List'!$G:$H,2,FALSE),VLOOKUP(A95,'[1]JL EXE LEAVER List'!$G:$H,2,FALSE)),"?QUERY?")</f>
        <v>Chris Adams</v>
      </c>
      <c r="E95" s="40">
        <f>IFERROR(IFERROR(VLOOKUP(A95,'[1]JL EXE ACTIVE FTE List'!$G:$O,9,FALSE),VLOOKUP(A95,'[1]JL EXE LEAVER List'!$G:$O,9,FALSE)),"?QUERY?")</f>
        <v>43031</v>
      </c>
      <c r="F95" s="21" t="s">
        <v>338</v>
      </c>
      <c r="G95" s="21" t="s">
        <v>338</v>
      </c>
      <c r="H95" s="21" t="s">
        <v>335</v>
      </c>
      <c r="I95" s="21" t="s">
        <v>313</v>
      </c>
      <c r="J95" s="21" t="s">
        <v>313</v>
      </c>
      <c r="K95" s="21" t="s">
        <v>313</v>
      </c>
      <c r="L95" s="21" t="s">
        <v>313</v>
      </c>
      <c r="M95" s="21" t="s">
        <v>313</v>
      </c>
      <c r="N95" s="21" t="s">
        <v>313</v>
      </c>
      <c r="O95" s="21" t="s">
        <v>313</v>
      </c>
      <c r="P95" s="21" t="s">
        <v>313</v>
      </c>
      <c r="Q95" s="21" t="s">
        <v>313</v>
      </c>
      <c r="R95" s="21" t="s">
        <v>313</v>
      </c>
      <c r="S95" s="21" t="s">
        <v>313</v>
      </c>
      <c r="T95" s="21" t="s">
        <v>313</v>
      </c>
      <c r="U95" s="21" t="s">
        <v>313</v>
      </c>
      <c r="V95" s="21" t="s">
        <v>313</v>
      </c>
      <c r="W95" s="21" t="s">
        <v>313</v>
      </c>
      <c r="X95" s="21" t="s">
        <v>313</v>
      </c>
      <c r="Y95" s="21" t="s">
        <v>313</v>
      </c>
      <c r="Z95" s="21" t="s">
        <v>313</v>
      </c>
      <c r="AA95" s="21" t="s">
        <v>313</v>
      </c>
      <c r="AB95" s="21" t="s">
        <v>313</v>
      </c>
      <c r="AC95" s="21" t="s">
        <v>313</v>
      </c>
      <c r="AD95" s="21" t="s">
        <v>313</v>
      </c>
      <c r="AE95" s="21" t="s">
        <v>313</v>
      </c>
      <c r="AF95" s="21" t="s">
        <v>313</v>
      </c>
      <c r="AG95" s="21" t="s">
        <v>313</v>
      </c>
      <c r="AH95" s="21" t="s">
        <v>313</v>
      </c>
      <c r="AI95" s="21" t="s">
        <v>313</v>
      </c>
      <c r="AJ95" s="21" t="s">
        <v>313</v>
      </c>
      <c r="AK95" s="21" t="s">
        <v>313</v>
      </c>
      <c r="AL95" s="21" t="s">
        <v>313</v>
      </c>
      <c r="AM95" s="21" t="s">
        <v>313</v>
      </c>
      <c r="AN95" s="21" t="s">
        <v>313</v>
      </c>
      <c r="AO95" s="21" t="s">
        <v>313</v>
      </c>
      <c r="AP95" s="21" t="s">
        <v>313</v>
      </c>
      <c r="AQ95" s="21" t="s">
        <v>313</v>
      </c>
      <c r="AR95" s="21" t="s">
        <v>313</v>
      </c>
      <c r="AS95" s="21" t="s">
        <v>313</v>
      </c>
      <c r="AT95" s="21" t="s">
        <v>313</v>
      </c>
      <c r="AU95" s="21" t="s">
        <v>313</v>
      </c>
      <c r="AV95" s="21" t="s">
        <v>313</v>
      </c>
      <c r="AW95" s="21" t="s">
        <v>313</v>
      </c>
      <c r="AX95" s="21" t="s">
        <v>313</v>
      </c>
    </row>
    <row r="96" spans="1:50" x14ac:dyDescent="0.3">
      <c r="A96" s="30" t="s">
        <v>55</v>
      </c>
      <c r="B96" s="29" t="str">
        <f>IFERROR(VLOOKUP(A96,'[1]JL EXE ACTIVE FTE List'!$G:$N,8,FALSE),IF(ISNA(VLOOKUP(A96,'[1]JL EXE LEAVER List'!$G:$I,3,FALSE)),"Query","Leaver"))</f>
        <v>LE</v>
      </c>
      <c r="C96" s="29" t="str">
        <f>IFERROR(VLOOKUP(A96,'[1]JL EXE ACTIVE FTE List'!$G:$R,12,FALSE),IF(ISNA(VLOOKUP(A96,'[1]JL EXE LEAVER List'!$G:$I,3,FALSE)),"?QUERY?","Leaver"))</f>
        <v>ACTIVE</v>
      </c>
      <c r="D96" s="39" t="str">
        <f>IFERROR(IFERROR(VLOOKUP(A96,'[1]JL EXE ACTIVE FTE List'!$G:$H,2,FALSE),VLOOKUP(A96,'[1]JL EXE LEAVER List'!$G:$H,2,FALSE)),"?QUERY?")</f>
        <v>Chris Adams</v>
      </c>
      <c r="E96" s="40">
        <f>IFERROR(IFERROR(VLOOKUP(A96,'[1]JL EXE ACTIVE FTE List'!$G:$O,9,FALSE),VLOOKUP(A96,'[1]JL EXE LEAVER List'!$G:$O,9,FALSE)),"?QUERY?")</f>
        <v>43031</v>
      </c>
      <c r="F96" s="21" t="s">
        <v>338</v>
      </c>
      <c r="G96" s="21" t="s">
        <v>338</v>
      </c>
      <c r="H96" s="21" t="s">
        <v>335</v>
      </c>
      <c r="I96" s="21" t="s">
        <v>313</v>
      </c>
      <c r="J96" s="21" t="s">
        <v>313</v>
      </c>
      <c r="K96" s="21" t="s">
        <v>313</v>
      </c>
      <c r="L96" s="21" t="s">
        <v>313</v>
      </c>
      <c r="M96" s="21" t="s">
        <v>313</v>
      </c>
      <c r="N96" s="21" t="s">
        <v>313</v>
      </c>
      <c r="O96" s="21" t="s">
        <v>313</v>
      </c>
      <c r="P96" s="21" t="s">
        <v>313</v>
      </c>
      <c r="Q96" s="21" t="s">
        <v>313</v>
      </c>
      <c r="R96" s="21" t="s">
        <v>313</v>
      </c>
      <c r="S96" s="21" t="s">
        <v>313</v>
      </c>
      <c r="T96" s="21" t="s">
        <v>313</v>
      </c>
      <c r="U96" s="21" t="s">
        <v>313</v>
      </c>
      <c r="V96" s="21" t="s">
        <v>313</v>
      </c>
      <c r="W96" s="21" t="s">
        <v>313</v>
      </c>
      <c r="X96" s="21" t="s">
        <v>313</v>
      </c>
      <c r="Y96" s="21" t="s">
        <v>313</v>
      </c>
      <c r="Z96" s="21" t="s">
        <v>313</v>
      </c>
      <c r="AA96" s="21" t="s">
        <v>313</v>
      </c>
      <c r="AB96" s="21" t="s">
        <v>313</v>
      </c>
      <c r="AC96" s="21" t="s">
        <v>313</v>
      </c>
      <c r="AD96" s="21" t="s">
        <v>313</v>
      </c>
      <c r="AE96" s="21" t="s">
        <v>313</v>
      </c>
      <c r="AF96" s="21" t="s">
        <v>313</v>
      </c>
      <c r="AG96" s="21" t="s">
        <v>313</v>
      </c>
      <c r="AH96" s="21" t="s">
        <v>313</v>
      </c>
      <c r="AI96" s="21" t="s">
        <v>313</v>
      </c>
      <c r="AJ96" s="21" t="s">
        <v>313</v>
      </c>
      <c r="AK96" s="21" t="s">
        <v>313</v>
      </c>
      <c r="AL96" s="21" t="s">
        <v>313</v>
      </c>
      <c r="AM96" s="21" t="s">
        <v>313</v>
      </c>
      <c r="AN96" s="21" t="s">
        <v>313</v>
      </c>
      <c r="AO96" s="21" t="s">
        <v>313</v>
      </c>
      <c r="AP96" s="21" t="s">
        <v>313</v>
      </c>
      <c r="AQ96" s="21" t="s">
        <v>313</v>
      </c>
      <c r="AR96" s="21" t="s">
        <v>313</v>
      </c>
      <c r="AS96" s="21" t="s">
        <v>313</v>
      </c>
      <c r="AT96" s="21" t="s">
        <v>313</v>
      </c>
      <c r="AU96" s="21" t="s">
        <v>313</v>
      </c>
      <c r="AV96" s="21" t="s">
        <v>313</v>
      </c>
      <c r="AW96" s="21" t="s">
        <v>313</v>
      </c>
      <c r="AX96" s="21" t="s">
        <v>313</v>
      </c>
    </row>
    <row r="97" spans="1:50" ht="15" customHeight="1" x14ac:dyDescent="0.3">
      <c r="A97" s="30" t="s">
        <v>249</v>
      </c>
      <c r="B97" s="29" t="str">
        <f>IFERROR(VLOOKUP(A97,'[1]JL EXE ACTIVE FTE List'!$G:$N,8,FALSE),IF(ISNA(VLOOKUP(A97,'[1]JL EXE LEAVER List'!$G:$I,3,FALSE)),"Query","Leaver"))</f>
        <v>LE</v>
      </c>
      <c r="C97" s="29" t="str">
        <f>IFERROR(VLOOKUP(A97,'[1]JL EXE ACTIVE FTE List'!$G:$R,12,FALSE),IF(ISNA(VLOOKUP(A97,'[1]JL EXE LEAVER List'!$G:$I,3,FALSE)),"?QUERY?","Leaver"))</f>
        <v>ACTIVE</v>
      </c>
      <c r="D97" s="39" t="str">
        <f>IFERROR(IFERROR(VLOOKUP(A97,'[1]JL EXE ACTIVE FTE List'!$G:$H,2,FALSE),VLOOKUP(A97,'[1]JL EXE LEAVER List'!$G:$H,2,FALSE)),"?QUERY?")</f>
        <v>Chris Adams</v>
      </c>
      <c r="E97" s="40">
        <f>IFERROR(IFERROR(VLOOKUP(A97,'[1]JL EXE ACTIVE FTE List'!$G:$O,9,FALSE),VLOOKUP(A97,'[1]JL EXE LEAVER List'!$G:$O,9,FALSE)),"?QUERY?")</f>
        <v>43017</v>
      </c>
      <c r="F97" s="21" t="s">
        <v>338</v>
      </c>
      <c r="G97" s="21" t="s">
        <v>338</v>
      </c>
      <c r="H97" s="21" t="s">
        <v>335</v>
      </c>
      <c r="I97" s="21" t="s">
        <v>313</v>
      </c>
      <c r="J97" s="21" t="s">
        <v>313</v>
      </c>
      <c r="K97" s="21" t="s">
        <v>313</v>
      </c>
      <c r="L97" s="21" t="s">
        <v>313</v>
      </c>
      <c r="M97" s="21" t="s">
        <v>313</v>
      </c>
      <c r="N97" s="21" t="s">
        <v>313</v>
      </c>
      <c r="O97" s="21" t="s">
        <v>313</v>
      </c>
      <c r="P97" s="21" t="s">
        <v>313</v>
      </c>
      <c r="Q97" s="21" t="s">
        <v>313</v>
      </c>
      <c r="R97" s="21" t="s">
        <v>313</v>
      </c>
      <c r="S97" s="21" t="s">
        <v>313</v>
      </c>
      <c r="T97" s="21" t="s">
        <v>313</v>
      </c>
      <c r="U97" s="21" t="s">
        <v>313</v>
      </c>
      <c r="V97" s="21" t="s">
        <v>313</v>
      </c>
      <c r="W97" s="21" t="s">
        <v>313</v>
      </c>
      <c r="X97" s="21" t="s">
        <v>313</v>
      </c>
      <c r="Y97" s="21" t="s">
        <v>313</v>
      </c>
      <c r="Z97" s="21" t="s">
        <v>313</v>
      </c>
      <c r="AA97" s="21" t="s">
        <v>313</v>
      </c>
      <c r="AB97" s="21" t="s">
        <v>313</v>
      </c>
      <c r="AC97" s="21" t="s">
        <v>313</v>
      </c>
      <c r="AD97" s="21" t="s">
        <v>313</v>
      </c>
      <c r="AE97" s="21" t="s">
        <v>313</v>
      </c>
      <c r="AF97" s="21" t="s">
        <v>313</v>
      </c>
      <c r="AG97" s="21" t="s">
        <v>313</v>
      </c>
      <c r="AH97" s="21" t="s">
        <v>313</v>
      </c>
      <c r="AI97" s="21" t="s">
        <v>313</v>
      </c>
      <c r="AJ97" s="21" t="s">
        <v>313</v>
      </c>
      <c r="AK97" s="21" t="s">
        <v>313</v>
      </c>
      <c r="AL97" s="21" t="s">
        <v>313</v>
      </c>
      <c r="AM97" s="21" t="s">
        <v>313</v>
      </c>
      <c r="AN97" s="21" t="s">
        <v>313</v>
      </c>
      <c r="AO97" s="21" t="s">
        <v>313</v>
      </c>
      <c r="AP97" s="21" t="s">
        <v>313</v>
      </c>
      <c r="AQ97" s="21" t="s">
        <v>313</v>
      </c>
      <c r="AR97" s="21" t="s">
        <v>313</v>
      </c>
      <c r="AS97" s="21" t="s">
        <v>313</v>
      </c>
      <c r="AT97" s="21" t="s">
        <v>313</v>
      </c>
      <c r="AU97" s="21" t="s">
        <v>313</v>
      </c>
      <c r="AV97" s="21" t="s">
        <v>313</v>
      </c>
      <c r="AW97" s="21" t="s">
        <v>313</v>
      </c>
      <c r="AX97" s="21" t="s">
        <v>313</v>
      </c>
    </row>
    <row r="98" spans="1:50" x14ac:dyDescent="0.3">
      <c r="A98" s="30" t="s">
        <v>73</v>
      </c>
      <c r="B98" s="29" t="str">
        <f>IFERROR(VLOOKUP(A98,'[1]JL EXE ACTIVE FTE List'!$G:$N,8,FALSE),IF(ISNA(VLOOKUP(A98,'[1]JL EXE LEAVER List'!$G:$I,3,FALSE)),"Query","Leaver"))</f>
        <v>LE</v>
      </c>
      <c r="C98" s="29" t="str">
        <f>IFERROR(VLOOKUP(A98,'[1]JL EXE ACTIVE FTE List'!$G:$R,12,FALSE),IF(ISNA(VLOOKUP(A98,'[1]JL EXE LEAVER List'!$G:$I,3,FALSE)),"?QUERY?","Leaver"))</f>
        <v>ACTIVE</v>
      </c>
      <c r="D98" s="39" t="str">
        <f>IFERROR(IFERROR(VLOOKUP(A98,'[1]JL EXE ACTIVE FTE List'!$G:$H,2,FALSE),VLOOKUP(A98,'[1]JL EXE LEAVER List'!$G:$H,2,FALSE)),"?QUERY?")</f>
        <v>Chris Adams</v>
      </c>
      <c r="E98" s="40">
        <f>IFERROR(IFERROR(VLOOKUP(A98,'[1]JL EXE ACTIVE FTE List'!$G:$O,9,FALSE),VLOOKUP(A98,'[1]JL EXE LEAVER List'!$G:$O,9,FALSE)),"?QUERY?")</f>
        <v>43017</v>
      </c>
      <c r="F98" s="21" t="s">
        <v>338</v>
      </c>
      <c r="G98" s="21" t="s">
        <v>338</v>
      </c>
      <c r="H98" s="21" t="s">
        <v>335</v>
      </c>
      <c r="I98" s="21" t="s">
        <v>313</v>
      </c>
      <c r="J98" s="21" t="s">
        <v>313</v>
      </c>
      <c r="K98" s="21" t="s">
        <v>313</v>
      </c>
      <c r="L98" s="21" t="s">
        <v>313</v>
      </c>
      <c r="M98" s="21" t="s">
        <v>313</v>
      </c>
      <c r="N98" s="21" t="s">
        <v>313</v>
      </c>
      <c r="O98" s="21" t="s">
        <v>313</v>
      </c>
      <c r="P98" s="21" t="s">
        <v>313</v>
      </c>
      <c r="Q98" s="21" t="s">
        <v>313</v>
      </c>
      <c r="R98" s="21" t="s">
        <v>313</v>
      </c>
      <c r="S98" s="21" t="s">
        <v>313</v>
      </c>
      <c r="T98" s="21" t="s">
        <v>313</v>
      </c>
      <c r="U98" s="21" t="s">
        <v>313</v>
      </c>
      <c r="V98" s="21" t="s">
        <v>313</v>
      </c>
      <c r="W98" s="21" t="s">
        <v>313</v>
      </c>
      <c r="X98" s="21" t="s">
        <v>313</v>
      </c>
      <c r="Y98" s="21" t="s">
        <v>313</v>
      </c>
      <c r="Z98" s="21" t="s">
        <v>313</v>
      </c>
      <c r="AA98" s="21" t="s">
        <v>313</v>
      </c>
      <c r="AB98" s="21" t="s">
        <v>313</v>
      </c>
      <c r="AC98" s="21" t="s">
        <v>313</v>
      </c>
      <c r="AD98" s="21" t="s">
        <v>313</v>
      </c>
      <c r="AE98" s="21" t="s">
        <v>313</v>
      </c>
      <c r="AF98" s="21" t="s">
        <v>313</v>
      </c>
      <c r="AG98" s="21" t="s">
        <v>313</v>
      </c>
      <c r="AH98" s="21" t="s">
        <v>313</v>
      </c>
      <c r="AI98" s="21" t="s">
        <v>313</v>
      </c>
      <c r="AJ98" s="21" t="s">
        <v>313</v>
      </c>
      <c r="AK98" s="21" t="s">
        <v>313</v>
      </c>
      <c r="AL98" s="21" t="s">
        <v>313</v>
      </c>
      <c r="AM98" s="21" t="s">
        <v>313</v>
      </c>
      <c r="AN98" s="21" t="s">
        <v>313</v>
      </c>
      <c r="AO98" s="21" t="s">
        <v>313</v>
      </c>
      <c r="AP98" s="21" t="s">
        <v>313</v>
      </c>
      <c r="AQ98" s="21" t="s">
        <v>313</v>
      </c>
      <c r="AR98" s="21" t="s">
        <v>313</v>
      </c>
      <c r="AS98" s="21" t="s">
        <v>313</v>
      </c>
      <c r="AT98" s="21" t="s">
        <v>313</v>
      </c>
      <c r="AU98" s="21" t="s">
        <v>313</v>
      </c>
      <c r="AV98" s="21" t="s">
        <v>313</v>
      </c>
      <c r="AW98" s="21" t="s">
        <v>313</v>
      </c>
      <c r="AX98" s="21" t="s">
        <v>313</v>
      </c>
    </row>
    <row r="99" spans="1:50" x14ac:dyDescent="0.3">
      <c r="A99" s="30" t="s">
        <v>85</v>
      </c>
      <c r="B99" s="29" t="str">
        <f>IFERROR(VLOOKUP(A99,'[1]JL EXE ACTIVE FTE List'!$G:$N,8,FALSE),IF(ISNA(VLOOKUP(A99,'[1]JL EXE LEAVER List'!$G:$I,3,FALSE)),"Query","Leaver"))</f>
        <v>LE</v>
      </c>
      <c r="C99" s="29" t="str">
        <f>IFERROR(VLOOKUP(A99,'[1]JL EXE ACTIVE FTE List'!$G:$R,12,FALSE),IF(ISNA(VLOOKUP(A99,'[1]JL EXE LEAVER List'!$G:$I,3,FALSE)),"?QUERY?","Leaver"))</f>
        <v>ACTIVE</v>
      </c>
      <c r="D99" s="39" t="str">
        <f>IFERROR(IFERROR(VLOOKUP(A99,'[1]JL EXE ACTIVE FTE List'!$G:$H,2,FALSE),VLOOKUP(A99,'[1]JL EXE LEAVER List'!$G:$H,2,FALSE)),"?QUERY?")</f>
        <v>Chris Adams</v>
      </c>
      <c r="E99" s="40">
        <f>IFERROR(IFERROR(VLOOKUP(A99,'[1]JL EXE ACTIVE FTE List'!$G:$O,9,FALSE),VLOOKUP(A99,'[1]JL EXE LEAVER List'!$G:$O,9,FALSE)),"?QUERY?")</f>
        <v>43017</v>
      </c>
      <c r="F99" s="21" t="s">
        <v>338</v>
      </c>
      <c r="G99" s="21" t="s">
        <v>338</v>
      </c>
      <c r="H99" s="21" t="s">
        <v>335</v>
      </c>
      <c r="I99" s="21" t="s">
        <v>313</v>
      </c>
      <c r="J99" s="21" t="s">
        <v>313</v>
      </c>
      <c r="K99" s="21" t="s">
        <v>313</v>
      </c>
      <c r="L99" s="21" t="s">
        <v>313</v>
      </c>
      <c r="M99" s="21" t="s">
        <v>313</v>
      </c>
      <c r="N99" s="21" t="s">
        <v>313</v>
      </c>
      <c r="O99" s="21" t="s">
        <v>313</v>
      </c>
      <c r="P99" s="21" t="s">
        <v>313</v>
      </c>
      <c r="Q99" s="21" t="s">
        <v>313</v>
      </c>
      <c r="R99" s="21" t="s">
        <v>313</v>
      </c>
      <c r="S99" s="21" t="s">
        <v>313</v>
      </c>
      <c r="T99" s="21" t="s">
        <v>313</v>
      </c>
      <c r="U99" s="21" t="s">
        <v>313</v>
      </c>
      <c r="V99" s="21" t="s">
        <v>313</v>
      </c>
      <c r="W99" s="21" t="s">
        <v>313</v>
      </c>
      <c r="X99" s="21" t="s">
        <v>313</v>
      </c>
      <c r="Y99" s="21" t="s">
        <v>313</v>
      </c>
      <c r="Z99" s="21" t="s">
        <v>313</v>
      </c>
      <c r="AA99" s="21" t="s">
        <v>313</v>
      </c>
      <c r="AB99" s="21" t="s">
        <v>313</v>
      </c>
      <c r="AC99" s="21" t="s">
        <v>313</v>
      </c>
      <c r="AD99" s="21" t="s">
        <v>313</v>
      </c>
      <c r="AE99" s="21" t="s">
        <v>313</v>
      </c>
      <c r="AF99" s="21" t="s">
        <v>313</v>
      </c>
      <c r="AG99" s="21" t="s">
        <v>313</v>
      </c>
      <c r="AH99" s="21" t="s">
        <v>313</v>
      </c>
      <c r="AI99" s="21" t="s">
        <v>313</v>
      </c>
      <c r="AJ99" s="21" t="s">
        <v>313</v>
      </c>
      <c r="AK99" s="21" t="s">
        <v>313</v>
      </c>
      <c r="AL99" s="21" t="s">
        <v>313</v>
      </c>
      <c r="AM99" s="21" t="s">
        <v>313</v>
      </c>
      <c r="AN99" s="21" t="s">
        <v>313</v>
      </c>
      <c r="AO99" s="21" t="s">
        <v>313</v>
      </c>
      <c r="AP99" s="21" t="s">
        <v>313</v>
      </c>
      <c r="AQ99" s="21" t="s">
        <v>313</v>
      </c>
      <c r="AR99" s="21" t="s">
        <v>313</v>
      </c>
      <c r="AS99" s="21" t="s">
        <v>313</v>
      </c>
      <c r="AT99" s="21" t="s">
        <v>313</v>
      </c>
      <c r="AU99" s="21" t="s">
        <v>313</v>
      </c>
      <c r="AV99" s="21" t="s">
        <v>313</v>
      </c>
      <c r="AW99" s="21" t="s">
        <v>313</v>
      </c>
      <c r="AX99" s="21" t="s">
        <v>313</v>
      </c>
    </row>
    <row r="100" spans="1:50" hidden="1" x14ac:dyDescent="0.3">
      <c r="A100" s="30" t="s">
        <v>44</v>
      </c>
      <c r="B100" s="29" t="str">
        <f>IFERROR(VLOOKUP(A100,'[1]JL EXE ACTIVE FTE List'!$G:$N,8,FALSE),IF(ISNA(VLOOKUP(A100,'[1]JL EXE LEAVER List'!$G:$I,3,FALSE)),"Query","Leaver"))</f>
        <v>Leaver</v>
      </c>
      <c r="C100" s="29" t="str">
        <f>IFERROR(VLOOKUP(A100,'[1]JL EXE ACTIVE FTE List'!$G:$R,12,FALSE),IF(ISNA(VLOOKUP(A100,'[1]JL EXE LEAVER List'!$G:$I,3,FALSE)),"?QUERY?","Leaver"))</f>
        <v>Leaver</v>
      </c>
      <c r="D100" s="39" t="str">
        <f>IFERROR(IFERROR(VLOOKUP(A100,'[1]JL EXE ACTIVE FTE List'!$G:$H,2,FALSE),VLOOKUP(A100,'[1]JL EXE LEAVER List'!$G:$H,2,FALSE)),"?QUERY?")</f>
        <v>Frazer Hutchinson</v>
      </c>
      <c r="E100" s="40">
        <f>IFERROR(IFERROR(VLOOKUP(A100,'[1]JL EXE ACTIVE FTE List'!$G:$O,9,FALSE),VLOOKUP(A100,'[1]JL EXE LEAVER List'!$G:$O,9,FALSE)),"?QUERY?")</f>
        <v>42866</v>
      </c>
      <c r="F100" s="21" t="s">
        <v>339</v>
      </c>
      <c r="G100" s="21" t="s">
        <v>313</v>
      </c>
      <c r="H100" s="21" t="s">
        <v>313</v>
      </c>
      <c r="I100" s="21" t="s">
        <v>313</v>
      </c>
      <c r="J100" s="21" t="s">
        <v>313</v>
      </c>
      <c r="K100" s="21" t="s">
        <v>313</v>
      </c>
      <c r="L100" s="21" t="s">
        <v>313</v>
      </c>
      <c r="M100" s="21" t="s">
        <v>313</v>
      </c>
      <c r="N100" s="21" t="s">
        <v>313</v>
      </c>
      <c r="O100" s="21" t="s">
        <v>313</v>
      </c>
      <c r="P100" s="21" t="s">
        <v>313</v>
      </c>
      <c r="Q100" s="21" t="s">
        <v>313</v>
      </c>
      <c r="R100" s="21" t="s">
        <v>313</v>
      </c>
      <c r="S100" s="21" t="s">
        <v>313</v>
      </c>
      <c r="T100" s="21" t="s">
        <v>313</v>
      </c>
      <c r="U100" s="21" t="s">
        <v>313</v>
      </c>
      <c r="V100" s="21" t="s">
        <v>313</v>
      </c>
      <c r="W100" s="21" t="s">
        <v>313</v>
      </c>
      <c r="X100" s="21" t="s">
        <v>313</v>
      </c>
      <c r="Y100" s="21" t="s">
        <v>313</v>
      </c>
      <c r="Z100" s="21" t="s">
        <v>313</v>
      </c>
      <c r="AA100" s="21" t="s">
        <v>313</v>
      </c>
      <c r="AB100" s="21" t="s">
        <v>313</v>
      </c>
      <c r="AC100" s="21" t="s">
        <v>313</v>
      </c>
      <c r="AD100" s="21" t="s">
        <v>313</v>
      </c>
      <c r="AE100" s="21" t="s">
        <v>313</v>
      </c>
      <c r="AF100" s="21" t="s">
        <v>313</v>
      </c>
      <c r="AG100" s="21" t="s">
        <v>313</v>
      </c>
      <c r="AH100" s="21" t="s">
        <v>313</v>
      </c>
      <c r="AI100" s="21" t="s">
        <v>313</v>
      </c>
      <c r="AJ100" s="21" t="s">
        <v>313</v>
      </c>
      <c r="AK100" s="21" t="s">
        <v>313</v>
      </c>
      <c r="AL100" s="21" t="s">
        <v>313</v>
      </c>
      <c r="AM100" s="21" t="s">
        <v>313</v>
      </c>
      <c r="AN100" s="21" t="s">
        <v>313</v>
      </c>
      <c r="AO100" s="21" t="s">
        <v>313</v>
      </c>
      <c r="AP100" s="21" t="s">
        <v>313</v>
      </c>
      <c r="AQ100" s="21" t="s">
        <v>313</v>
      </c>
      <c r="AR100" s="21" t="s">
        <v>313</v>
      </c>
      <c r="AS100" s="21" t="s">
        <v>313</v>
      </c>
      <c r="AT100" s="21" t="s">
        <v>313</v>
      </c>
      <c r="AU100" s="21" t="s">
        <v>313</v>
      </c>
      <c r="AV100" s="21" t="s">
        <v>313</v>
      </c>
      <c r="AW100" s="21" t="s">
        <v>313</v>
      </c>
      <c r="AX100" s="21" t="s">
        <v>313</v>
      </c>
    </row>
    <row r="101" spans="1:50" ht="15" customHeight="1" x14ac:dyDescent="0.3">
      <c r="A101" s="30" t="s">
        <v>92</v>
      </c>
      <c r="B101" s="29" t="str">
        <f>IFERROR(VLOOKUP(A101,'[1]JL EXE ACTIVE FTE List'!$G:$N,8,FALSE),IF(ISNA(VLOOKUP(A101,'[1]JL EXE LEAVER List'!$G:$I,3,FALSE)),"Query","Leaver"))</f>
        <v>LE</v>
      </c>
      <c r="C101" s="29" t="str">
        <f>IFERROR(VLOOKUP(A101,'[1]JL EXE ACTIVE FTE List'!$G:$R,12,FALSE),IF(ISNA(VLOOKUP(A101,'[1]JL EXE LEAVER List'!$G:$I,3,FALSE)),"?QUERY?","Leaver"))</f>
        <v>ACTIVE</v>
      </c>
      <c r="D101" s="39" t="str">
        <f>IFERROR(IFERROR(VLOOKUP(A101,'[1]JL EXE ACTIVE FTE List'!$G:$H,2,FALSE),VLOOKUP(A101,'[1]JL EXE LEAVER List'!$G:$H,2,FALSE)),"?QUERY?")</f>
        <v>Chris Adams</v>
      </c>
      <c r="E101" s="40">
        <f>IFERROR(IFERROR(VLOOKUP(A101,'[1]JL EXE ACTIVE FTE List'!$G:$O,9,FALSE),VLOOKUP(A101,'[1]JL EXE LEAVER List'!$G:$O,9,FALSE)),"?QUERY?")</f>
        <v>42940</v>
      </c>
      <c r="F101" s="21" t="s">
        <v>338</v>
      </c>
      <c r="G101" s="21" t="s">
        <v>338</v>
      </c>
      <c r="H101" s="21" t="s">
        <v>335</v>
      </c>
      <c r="I101" s="21" t="s">
        <v>313</v>
      </c>
      <c r="J101" s="21" t="s">
        <v>313</v>
      </c>
      <c r="K101" s="21" t="s">
        <v>313</v>
      </c>
      <c r="L101" s="21" t="s">
        <v>313</v>
      </c>
      <c r="M101" s="21" t="s">
        <v>313</v>
      </c>
      <c r="N101" s="21" t="s">
        <v>313</v>
      </c>
      <c r="O101" s="21" t="s">
        <v>313</v>
      </c>
      <c r="P101" s="21" t="s">
        <v>313</v>
      </c>
      <c r="Q101" s="21" t="s">
        <v>313</v>
      </c>
      <c r="R101" s="21" t="s">
        <v>313</v>
      </c>
      <c r="S101" s="21" t="s">
        <v>313</v>
      </c>
      <c r="T101" s="21" t="s">
        <v>313</v>
      </c>
      <c r="U101" s="21" t="s">
        <v>313</v>
      </c>
      <c r="V101" s="21" t="s">
        <v>313</v>
      </c>
      <c r="W101" s="21" t="s">
        <v>313</v>
      </c>
      <c r="X101" s="21" t="s">
        <v>313</v>
      </c>
      <c r="Y101" s="21" t="s">
        <v>313</v>
      </c>
      <c r="Z101" s="21" t="s">
        <v>313</v>
      </c>
      <c r="AA101" s="21" t="s">
        <v>313</v>
      </c>
      <c r="AB101" s="21" t="s">
        <v>313</v>
      </c>
      <c r="AC101" s="21" t="s">
        <v>313</v>
      </c>
      <c r="AD101" s="21" t="s">
        <v>313</v>
      </c>
      <c r="AE101" s="21" t="s">
        <v>313</v>
      </c>
      <c r="AF101" s="21" t="s">
        <v>313</v>
      </c>
      <c r="AG101" s="21" t="s">
        <v>313</v>
      </c>
      <c r="AH101" s="21" t="s">
        <v>313</v>
      </c>
      <c r="AI101" s="21" t="s">
        <v>313</v>
      </c>
      <c r="AJ101" s="21" t="s">
        <v>313</v>
      </c>
      <c r="AK101" s="21" t="s">
        <v>313</v>
      </c>
      <c r="AL101" s="21" t="s">
        <v>313</v>
      </c>
      <c r="AM101" s="21" t="s">
        <v>313</v>
      </c>
      <c r="AN101" s="21" t="s">
        <v>313</v>
      </c>
      <c r="AO101" s="21" t="s">
        <v>313</v>
      </c>
      <c r="AP101" s="21" t="s">
        <v>313</v>
      </c>
      <c r="AQ101" s="21" t="s">
        <v>313</v>
      </c>
      <c r="AR101" s="21" t="s">
        <v>313</v>
      </c>
      <c r="AS101" s="21" t="s">
        <v>313</v>
      </c>
      <c r="AT101" s="21" t="s">
        <v>313</v>
      </c>
      <c r="AU101" s="21" t="s">
        <v>313</v>
      </c>
      <c r="AV101" s="21" t="s">
        <v>313</v>
      </c>
      <c r="AW101" s="21" t="s">
        <v>313</v>
      </c>
      <c r="AX101" s="21" t="s">
        <v>313</v>
      </c>
    </row>
    <row r="102" spans="1:50" ht="15" customHeight="1" x14ac:dyDescent="0.3">
      <c r="A102" s="30" t="s">
        <v>100</v>
      </c>
      <c r="B102" s="29" t="str">
        <f>IFERROR(VLOOKUP(A102,'[1]JL EXE ACTIVE FTE List'!$G:$N,8,FALSE),IF(ISNA(VLOOKUP(A102,'[1]JL EXE LEAVER List'!$G:$I,3,FALSE)),"Query","Leaver"))</f>
        <v>LE</v>
      </c>
      <c r="C102" s="29" t="str">
        <f>IFERROR(VLOOKUP(A102,'[1]JL EXE ACTIVE FTE List'!$G:$R,12,FALSE),IF(ISNA(VLOOKUP(A102,'[1]JL EXE LEAVER List'!$G:$I,3,FALSE)),"?QUERY?","Leaver"))</f>
        <v>ACTIVE</v>
      </c>
      <c r="D102" s="39" t="str">
        <f>IFERROR(IFERROR(VLOOKUP(A102,'[1]JL EXE ACTIVE FTE List'!$G:$H,2,FALSE),VLOOKUP(A102,'[1]JL EXE LEAVER List'!$G:$H,2,FALSE)),"?QUERY?")</f>
        <v>Chris Adams</v>
      </c>
      <c r="E102" s="40">
        <f>IFERROR(IFERROR(VLOOKUP(A102,'[1]JL EXE ACTIVE FTE List'!$G:$O,9,FALSE),VLOOKUP(A102,'[1]JL EXE LEAVER List'!$G:$O,9,FALSE)),"?QUERY?")</f>
        <v>42191</v>
      </c>
      <c r="F102" s="21" t="s">
        <v>338</v>
      </c>
      <c r="G102" s="21" t="s">
        <v>338</v>
      </c>
      <c r="H102" s="21" t="s">
        <v>335</v>
      </c>
      <c r="I102" s="21" t="s">
        <v>313</v>
      </c>
      <c r="J102" s="21" t="s">
        <v>313</v>
      </c>
      <c r="K102" s="21" t="s">
        <v>313</v>
      </c>
      <c r="L102" s="21" t="s">
        <v>313</v>
      </c>
      <c r="M102" s="21" t="s">
        <v>313</v>
      </c>
      <c r="N102" s="21" t="s">
        <v>313</v>
      </c>
      <c r="O102" s="21" t="s">
        <v>313</v>
      </c>
      <c r="P102" s="21" t="s">
        <v>313</v>
      </c>
      <c r="Q102" s="21" t="s">
        <v>313</v>
      </c>
      <c r="R102" s="21" t="s">
        <v>313</v>
      </c>
      <c r="S102" s="21" t="s">
        <v>313</v>
      </c>
      <c r="T102" s="21" t="s">
        <v>313</v>
      </c>
      <c r="U102" s="21" t="s">
        <v>313</v>
      </c>
      <c r="V102" s="21" t="s">
        <v>313</v>
      </c>
      <c r="W102" s="21" t="s">
        <v>313</v>
      </c>
      <c r="X102" s="21" t="s">
        <v>313</v>
      </c>
      <c r="Y102" s="21" t="s">
        <v>313</v>
      </c>
      <c r="Z102" s="21" t="s">
        <v>313</v>
      </c>
      <c r="AA102" s="21" t="s">
        <v>313</v>
      </c>
      <c r="AB102" s="21" t="s">
        <v>313</v>
      </c>
      <c r="AC102" s="21" t="s">
        <v>313</v>
      </c>
      <c r="AD102" s="21" t="s">
        <v>313</v>
      </c>
      <c r="AE102" s="21" t="s">
        <v>313</v>
      </c>
      <c r="AF102" s="21" t="s">
        <v>313</v>
      </c>
      <c r="AG102" s="21" t="s">
        <v>313</v>
      </c>
      <c r="AH102" s="21" t="s">
        <v>313</v>
      </c>
      <c r="AI102" s="21" t="s">
        <v>313</v>
      </c>
      <c r="AJ102" s="21" t="s">
        <v>313</v>
      </c>
      <c r="AK102" s="21" t="s">
        <v>313</v>
      </c>
      <c r="AL102" s="21" t="s">
        <v>313</v>
      </c>
      <c r="AM102" s="21" t="s">
        <v>313</v>
      </c>
      <c r="AN102" s="21" t="s">
        <v>313</v>
      </c>
      <c r="AO102" s="21" t="s">
        <v>313</v>
      </c>
      <c r="AP102" s="21" t="s">
        <v>313</v>
      </c>
      <c r="AQ102" s="21" t="s">
        <v>313</v>
      </c>
      <c r="AR102" s="21" t="s">
        <v>313</v>
      </c>
      <c r="AS102" s="21" t="s">
        <v>313</v>
      </c>
      <c r="AT102" s="21" t="s">
        <v>313</v>
      </c>
      <c r="AU102" s="21" t="s">
        <v>313</v>
      </c>
      <c r="AV102" s="21" t="s">
        <v>313</v>
      </c>
      <c r="AW102" s="21" t="s">
        <v>313</v>
      </c>
      <c r="AX102" s="21" t="s">
        <v>313</v>
      </c>
    </row>
    <row r="103" spans="1:50" ht="15" hidden="1" customHeight="1" x14ac:dyDescent="0.3">
      <c r="A103" s="30" t="s">
        <v>76</v>
      </c>
      <c r="B103" s="29" t="str">
        <f>IFERROR(VLOOKUP(A103,'[1]JL EXE ACTIVE FTE List'!$G:$N,8,FALSE),IF(ISNA(VLOOKUP(A103,'[1]JL EXE LEAVER List'!$G:$I,3,FALSE)),"Query","Leaver"))</f>
        <v>Leaver</v>
      </c>
      <c r="C103" s="29" t="str">
        <f>IFERROR(VLOOKUP(A103,'[1]JL EXE ACTIVE FTE List'!$G:$R,12,FALSE),IF(ISNA(VLOOKUP(A103,'[1]JL EXE LEAVER List'!$G:$I,3,FALSE)),"?QUERY?","Leaver"))</f>
        <v>Leaver</v>
      </c>
      <c r="D103" s="39" t="str">
        <f>IFERROR(IFERROR(VLOOKUP(A103,'[1]JL EXE ACTIVE FTE List'!$G:$H,2,FALSE),VLOOKUP(A103,'[1]JL EXE LEAVER List'!$G:$H,2,FALSE)),"?QUERY?")</f>
        <v>Frazer Hutchinson</v>
      </c>
      <c r="E103" s="40">
        <f>IFERROR(IFERROR(VLOOKUP(A103,'[1]JL EXE ACTIVE FTE List'!$G:$O,9,FALSE),VLOOKUP(A103,'[1]JL EXE LEAVER List'!$G:$O,9,FALSE)),"?QUERY?")</f>
        <v>43017</v>
      </c>
      <c r="F103" s="21" t="s">
        <v>339</v>
      </c>
      <c r="G103" s="21" t="s">
        <v>313</v>
      </c>
      <c r="H103" s="21" t="s">
        <v>313</v>
      </c>
      <c r="I103" s="21" t="s">
        <v>313</v>
      </c>
      <c r="J103" s="21" t="s">
        <v>313</v>
      </c>
      <c r="K103" s="21" t="s">
        <v>313</v>
      </c>
      <c r="L103" s="21" t="s">
        <v>313</v>
      </c>
      <c r="M103" s="21" t="s">
        <v>313</v>
      </c>
      <c r="N103" s="21" t="s">
        <v>313</v>
      </c>
      <c r="O103" s="21" t="s">
        <v>313</v>
      </c>
      <c r="P103" s="21" t="s">
        <v>313</v>
      </c>
      <c r="Q103" s="21" t="s">
        <v>313</v>
      </c>
      <c r="R103" s="21" t="s">
        <v>313</v>
      </c>
      <c r="S103" s="21" t="s">
        <v>313</v>
      </c>
      <c r="T103" s="21" t="s">
        <v>313</v>
      </c>
      <c r="U103" s="21" t="s">
        <v>313</v>
      </c>
      <c r="V103" s="21" t="s">
        <v>313</v>
      </c>
      <c r="W103" s="21" t="s">
        <v>313</v>
      </c>
      <c r="X103" s="21" t="s">
        <v>313</v>
      </c>
      <c r="Y103" s="21" t="s">
        <v>313</v>
      </c>
      <c r="Z103" s="21" t="s">
        <v>313</v>
      </c>
      <c r="AA103" s="21" t="s">
        <v>313</v>
      </c>
      <c r="AB103" s="21" t="s">
        <v>313</v>
      </c>
      <c r="AC103" s="21" t="s">
        <v>313</v>
      </c>
      <c r="AD103" s="21" t="s">
        <v>313</v>
      </c>
      <c r="AE103" s="21" t="s">
        <v>313</v>
      </c>
      <c r="AF103" s="21" t="s">
        <v>313</v>
      </c>
      <c r="AG103" s="21" t="s">
        <v>313</v>
      </c>
      <c r="AH103" s="21" t="s">
        <v>313</v>
      </c>
      <c r="AI103" s="21" t="s">
        <v>313</v>
      </c>
      <c r="AJ103" s="21" t="s">
        <v>313</v>
      </c>
      <c r="AK103" s="21" t="s">
        <v>313</v>
      </c>
      <c r="AL103" s="21" t="s">
        <v>313</v>
      </c>
      <c r="AM103" s="21" t="s">
        <v>313</v>
      </c>
      <c r="AN103" s="21" t="s">
        <v>313</v>
      </c>
      <c r="AO103" s="21" t="s">
        <v>313</v>
      </c>
      <c r="AP103" s="21" t="s">
        <v>313</v>
      </c>
      <c r="AQ103" s="21" t="s">
        <v>313</v>
      </c>
      <c r="AR103" s="21" t="s">
        <v>313</v>
      </c>
      <c r="AS103" s="21" t="s">
        <v>313</v>
      </c>
      <c r="AT103" s="21" t="s">
        <v>313</v>
      </c>
      <c r="AU103" s="21" t="s">
        <v>313</v>
      </c>
      <c r="AV103" s="21" t="s">
        <v>313</v>
      </c>
      <c r="AW103" s="21" t="s">
        <v>313</v>
      </c>
      <c r="AX103" s="21" t="s">
        <v>313</v>
      </c>
    </row>
    <row r="104" spans="1:50" ht="15" customHeight="1" x14ac:dyDescent="0.3">
      <c r="A104" s="30" t="s">
        <v>101</v>
      </c>
      <c r="B104" s="29" t="str">
        <f>IFERROR(VLOOKUP(A104,'[1]JL EXE ACTIVE FTE List'!$G:$N,8,FALSE),IF(ISNA(VLOOKUP(A104,'[1]JL EXE LEAVER List'!$G:$I,3,FALSE)),"Query","Leaver"))</f>
        <v>LE</v>
      </c>
      <c r="C104" s="29" t="str">
        <f>IFERROR(VLOOKUP(A104,'[1]JL EXE ACTIVE FTE List'!$G:$R,12,FALSE),IF(ISNA(VLOOKUP(A104,'[1]JL EXE LEAVER List'!$G:$I,3,FALSE)),"?QUERY?","Leaver"))</f>
        <v>ACTIVE</v>
      </c>
      <c r="D104" s="39" t="str">
        <f>IFERROR(IFERROR(VLOOKUP(A104,'[1]JL EXE ACTIVE FTE List'!$G:$H,2,FALSE),VLOOKUP(A104,'[1]JL EXE LEAVER List'!$G:$H,2,FALSE)),"?QUERY?")</f>
        <v>Chris Adams</v>
      </c>
      <c r="E104" s="40">
        <f>IFERROR(IFERROR(VLOOKUP(A104,'[1]JL EXE ACTIVE FTE List'!$G:$O,9,FALSE),VLOOKUP(A104,'[1]JL EXE LEAVER List'!$G:$O,9,FALSE)),"?QUERY?")</f>
        <v>42632</v>
      </c>
      <c r="F104" s="21" t="s">
        <v>338</v>
      </c>
      <c r="G104" s="21" t="s">
        <v>338</v>
      </c>
      <c r="H104" s="21" t="s">
        <v>335</v>
      </c>
      <c r="I104" s="21" t="s">
        <v>313</v>
      </c>
      <c r="J104" s="21" t="s">
        <v>313</v>
      </c>
      <c r="K104" s="21" t="s">
        <v>313</v>
      </c>
      <c r="L104" s="21" t="s">
        <v>313</v>
      </c>
      <c r="M104" s="21" t="s">
        <v>313</v>
      </c>
      <c r="N104" s="21" t="s">
        <v>313</v>
      </c>
      <c r="O104" s="21" t="s">
        <v>313</v>
      </c>
      <c r="P104" s="21" t="s">
        <v>313</v>
      </c>
      <c r="Q104" s="21" t="s">
        <v>313</v>
      </c>
      <c r="R104" s="21" t="s">
        <v>313</v>
      </c>
      <c r="S104" s="21" t="s">
        <v>313</v>
      </c>
      <c r="T104" s="21" t="s">
        <v>313</v>
      </c>
      <c r="U104" s="21" t="s">
        <v>313</v>
      </c>
      <c r="V104" s="21" t="s">
        <v>313</v>
      </c>
      <c r="W104" s="21" t="s">
        <v>313</v>
      </c>
      <c r="X104" s="21" t="s">
        <v>313</v>
      </c>
      <c r="Y104" s="21" t="s">
        <v>313</v>
      </c>
      <c r="Z104" s="21" t="s">
        <v>313</v>
      </c>
      <c r="AA104" s="21" t="s">
        <v>313</v>
      </c>
      <c r="AB104" s="21" t="s">
        <v>313</v>
      </c>
      <c r="AC104" s="21" t="s">
        <v>313</v>
      </c>
      <c r="AD104" s="21" t="s">
        <v>313</v>
      </c>
      <c r="AE104" s="21" t="s">
        <v>313</v>
      </c>
      <c r="AF104" s="21" t="s">
        <v>313</v>
      </c>
      <c r="AG104" s="21" t="s">
        <v>313</v>
      </c>
      <c r="AH104" s="21" t="s">
        <v>313</v>
      </c>
      <c r="AI104" s="21" t="s">
        <v>313</v>
      </c>
      <c r="AJ104" s="21" t="s">
        <v>313</v>
      </c>
      <c r="AK104" s="21" t="s">
        <v>313</v>
      </c>
      <c r="AL104" s="21" t="s">
        <v>313</v>
      </c>
      <c r="AM104" s="21" t="s">
        <v>313</v>
      </c>
      <c r="AN104" s="21" t="s">
        <v>313</v>
      </c>
      <c r="AO104" s="21" t="s">
        <v>313</v>
      </c>
      <c r="AP104" s="21" t="s">
        <v>313</v>
      </c>
      <c r="AQ104" s="21" t="s">
        <v>313</v>
      </c>
      <c r="AR104" s="21" t="s">
        <v>313</v>
      </c>
      <c r="AS104" s="21" t="s">
        <v>313</v>
      </c>
      <c r="AT104" s="21" t="s">
        <v>313</v>
      </c>
      <c r="AU104" s="21" t="s">
        <v>313</v>
      </c>
      <c r="AV104" s="21" t="s">
        <v>313</v>
      </c>
      <c r="AW104" s="21" t="s">
        <v>313</v>
      </c>
      <c r="AX104" s="21" t="s">
        <v>313</v>
      </c>
    </row>
    <row r="105" spans="1:50" x14ac:dyDescent="0.3">
      <c r="A105" s="30" t="s">
        <v>253</v>
      </c>
      <c r="B105" s="29" t="str">
        <f>IFERROR(VLOOKUP(A105,'[1]JL EXE ACTIVE FTE List'!$G:$N,8,FALSE),IF(ISNA(VLOOKUP(A105,'[1]JL EXE LEAVER List'!$G:$I,3,FALSE)),"Query","Leaver"))</f>
        <v>LE</v>
      </c>
      <c r="C105" s="29" t="str">
        <f>IFERROR(VLOOKUP(A105,'[1]JL EXE ACTIVE FTE List'!$G:$R,12,FALSE),IF(ISNA(VLOOKUP(A105,'[1]JL EXE LEAVER List'!$G:$I,3,FALSE)),"?QUERY?","Leaver"))</f>
        <v>ACTIVE</v>
      </c>
      <c r="D105" s="39" t="str">
        <f>IFERROR(IFERROR(VLOOKUP(A105,'[1]JL EXE ACTIVE FTE List'!$G:$H,2,FALSE),VLOOKUP(A105,'[1]JL EXE LEAVER List'!$G:$H,2,FALSE)),"?QUERY?")</f>
        <v>Chris Adams</v>
      </c>
      <c r="E105" s="40">
        <f>IFERROR(IFERROR(VLOOKUP(A105,'[1]JL EXE ACTIVE FTE List'!$G:$O,9,FALSE),VLOOKUP(A105,'[1]JL EXE LEAVER List'!$G:$O,9,FALSE)),"?QUERY?")</f>
        <v>42653</v>
      </c>
      <c r="F105" s="21" t="s">
        <v>338</v>
      </c>
      <c r="G105" s="21" t="s">
        <v>338</v>
      </c>
      <c r="H105" s="21" t="s">
        <v>335</v>
      </c>
      <c r="I105" s="21" t="s">
        <v>313</v>
      </c>
      <c r="J105" s="21" t="s">
        <v>313</v>
      </c>
      <c r="K105" s="21" t="s">
        <v>313</v>
      </c>
      <c r="L105" s="21" t="s">
        <v>313</v>
      </c>
      <c r="M105" s="21" t="s">
        <v>313</v>
      </c>
      <c r="N105" s="21" t="s">
        <v>313</v>
      </c>
      <c r="O105" s="21" t="s">
        <v>313</v>
      </c>
      <c r="P105" s="21" t="s">
        <v>313</v>
      </c>
      <c r="Q105" s="21" t="s">
        <v>313</v>
      </c>
      <c r="R105" s="21" t="s">
        <v>313</v>
      </c>
      <c r="S105" s="21" t="s">
        <v>313</v>
      </c>
      <c r="T105" s="21" t="s">
        <v>313</v>
      </c>
      <c r="U105" s="21" t="s">
        <v>313</v>
      </c>
      <c r="V105" s="21" t="s">
        <v>313</v>
      </c>
      <c r="W105" s="21" t="s">
        <v>313</v>
      </c>
      <c r="X105" s="21" t="s">
        <v>313</v>
      </c>
      <c r="Y105" s="21" t="s">
        <v>313</v>
      </c>
      <c r="Z105" s="21" t="s">
        <v>313</v>
      </c>
      <c r="AA105" s="21" t="s">
        <v>313</v>
      </c>
      <c r="AB105" s="21" t="s">
        <v>313</v>
      </c>
      <c r="AC105" s="21" t="s">
        <v>313</v>
      </c>
      <c r="AD105" s="21" t="s">
        <v>313</v>
      </c>
      <c r="AE105" s="21" t="s">
        <v>313</v>
      </c>
      <c r="AF105" s="21" t="s">
        <v>313</v>
      </c>
      <c r="AG105" s="21" t="s">
        <v>313</v>
      </c>
      <c r="AH105" s="21" t="s">
        <v>313</v>
      </c>
      <c r="AI105" s="21" t="s">
        <v>313</v>
      </c>
      <c r="AJ105" s="21" t="s">
        <v>313</v>
      </c>
      <c r="AK105" s="21" t="s">
        <v>313</v>
      </c>
      <c r="AL105" s="21" t="s">
        <v>313</v>
      </c>
      <c r="AM105" s="21" t="s">
        <v>313</v>
      </c>
      <c r="AN105" s="21" t="s">
        <v>313</v>
      </c>
      <c r="AO105" s="21" t="s">
        <v>313</v>
      </c>
      <c r="AP105" s="21" t="s">
        <v>313</v>
      </c>
      <c r="AQ105" s="21" t="s">
        <v>313</v>
      </c>
      <c r="AR105" s="21" t="s">
        <v>313</v>
      </c>
      <c r="AS105" s="21" t="s">
        <v>313</v>
      </c>
      <c r="AT105" s="21" t="s">
        <v>313</v>
      </c>
      <c r="AU105" s="21" t="s">
        <v>313</v>
      </c>
      <c r="AV105" s="21" t="s">
        <v>313</v>
      </c>
      <c r="AW105" s="21" t="s">
        <v>313</v>
      </c>
      <c r="AX105" s="21" t="s">
        <v>313</v>
      </c>
    </row>
    <row r="106" spans="1:50" x14ac:dyDescent="0.3">
      <c r="A106" s="30" t="s">
        <v>102</v>
      </c>
      <c r="B106" s="29" t="str">
        <f>IFERROR(VLOOKUP(A106,'[1]JL EXE ACTIVE FTE List'!$G:$N,8,FALSE),IF(ISNA(VLOOKUP(A106,'[1]JL EXE LEAVER List'!$G:$I,3,FALSE)),"Query","Leaver"))</f>
        <v>LE</v>
      </c>
      <c r="C106" s="29" t="str">
        <f>IFERROR(VLOOKUP(A106,'[1]JL EXE ACTIVE FTE List'!$G:$R,12,FALSE),IF(ISNA(VLOOKUP(A106,'[1]JL EXE LEAVER List'!$G:$I,3,FALSE)),"?QUERY?","Leaver"))</f>
        <v>ACTIVE</v>
      </c>
      <c r="D106" s="39" t="str">
        <f>IFERROR(IFERROR(VLOOKUP(A106,'[1]JL EXE ACTIVE FTE List'!$G:$H,2,FALSE),VLOOKUP(A106,'[1]JL EXE LEAVER List'!$G:$H,2,FALSE)),"?QUERY?")</f>
        <v>Chris Adams</v>
      </c>
      <c r="E106" s="40">
        <f>IFERROR(IFERROR(VLOOKUP(A106,'[1]JL EXE ACTIVE FTE List'!$G:$O,9,FALSE),VLOOKUP(A106,'[1]JL EXE LEAVER List'!$G:$O,9,FALSE)),"?QUERY?")</f>
        <v>42765</v>
      </c>
      <c r="F106" s="21" t="s">
        <v>338</v>
      </c>
      <c r="G106" s="21" t="s">
        <v>338</v>
      </c>
      <c r="H106" s="21" t="s">
        <v>335</v>
      </c>
      <c r="I106" s="21" t="s">
        <v>313</v>
      </c>
      <c r="J106" s="21" t="s">
        <v>313</v>
      </c>
      <c r="K106" s="21" t="s">
        <v>313</v>
      </c>
      <c r="L106" s="21" t="s">
        <v>313</v>
      </c>
      <c r="M106" s="21" t="s">
        <v>313</v>
      </c>
      <c r="N106" s="21" t="s">
        <v>313</v>
      </c>
      <c r="O106" s="21" t="s">
        <v>313</v>
      </c>
      <c r="P106" s="21" t="s">
        <v>313</v>
      </c>
      <c r="Q106" s="21" t="s">
        <v>313</v>
      </c>
      <c r="R106" s="21" t="s">
        <v>313</v>
      </c>
      <c r="S106" s="21" t="s">
        <v>313</v>
      </c>
      <c r="T106" s="21" t="s">
        <v>313</v>
      </c>
      <c r="U106" s="21" t="s">
        <v>313</v>
      </c>
      <c r="V106" s="21" t="s">
        <v>313</v>
      </c>
      <c r="W106" s="21" t="s">
        <v>313</v>
      </c>
      <c r="X106" s="21" t="s">
        <v>313</v>
      </c>
      <c r="Y106" s="21" t="s">
        <v>313</v>
      </c>
      <c r="Z106" s="21" t="s">
        <v>313</v>
      </c>
      <c r="AA106" s="21" t="s">
        <v>313</v>
      </c>
      <c r="AB106" s="21" t="s">
        <v>313</v>
      </c>
      <c r="AC106" s="21" t="s">
        <v>313</v>
      </c>
      <c r="AD106" s="21" t="s">
        <v>313</v>
      </c>
      <c r="AE106" s="21" t="s">
        <v>313</v>
      </c>
      <c r="AF106" s="21" t="s">
        <v>313</v>
      </c>
      <c r="AG106" s="21" t="s">
        <v>313</v>
      </c>
      <c r="AH106" s="21" t="s">
        <v>313</v>
      </c>
      <c r="AI106" s="21" t="s">
        <v>313</v>
      </c>
      <c r="AJ106" s="21" t="s">
        <v>313</v>
      </c>
      <c r="AK106" s="21" t="s">
        <v>313</v>
      </c>
      <c r="AL106" s="21" t="s">
        <v>313</v>
      </c>
      <c r="AM106" s="21" t="s">
        <v>313</v>
      </c>
      <c r="AN106" s="21" t="s">
        <v>313</v>
      </c>
      <c r="AO106" s="21" t="s">
        <v>313</v>
      </c>
      <c r="AP106" s="21" t="s">
        <v>313</v>
      </c>
      <c r="AQ106" s="21" t="s">
        <v>313</v>
      </c>
      <c r="AR106" s="21" t="s">
        <v>313</v>
      </c>
      <c r="AS106" s="21" t="s">
        <v>313</v>
      </c>
      <c r="AT106" s="21" t="s">
        <v>313</v>
      </c>
      <c r="AU106" s="21" t="s">
        <v>313</v>
      </c>
      <c r="AV106" s="21" t="s">
        <v>313</v>
      </c>
      <c r="AW106" s="21" t="s">
        <v>313</v>
      </c>
      <c r="AX106" s="21" t="s">
        <v>313</v>
      </c>
    </row>
    <row r="107" spans="1:50" ht="15" customHeight="1" x14ac:dyDescent="0.3">
      <c r="A107" s="30" t="s">
        <v>254</v>
      </c>
      <c r="B107" s="29" t="str">
        <f>IFERROR(VLOOKUP(A107,'[1]JL EXE ACTIVE FTE List'!$G:$N,8,FALSE),IF(ISNA(VLOOKUP(A107,'[1]JL EXE LEAVER List'!$G:$I,3,FALSE)),"Query","Leaver"))</f>
        <v>LE</v>
      </c>
      <c r="C107" s="29" t="str">
        <f>IFERROR(VLOOKUP(A107,'[1]JL EXE ACTIVE FTE List'!$G:$R,12,FALSE),IF(ISNA(VLOOKUP(A107,'[1]JL EXE LEAVER List'!$G:$I,3,FALSE)),"?QUERY?","Leaver"))</f>
        <v>ACTIVE</v>
      </c>
      <c r="D107" s="39" t="str">
        <f>IFERROR(IFERROR(VLOOKUP(A107,'[1]JL EXE ACTIVE FTE List'!$G:$H,2,FALSE),VLOOKUP(A107,'[1]JL EXE LEAVER List'!$G:$H,2,FALSE)),"?QUERY?")</f>
        <v>Chris Adams</v>
      </c>
      <c r="E107" s="40">
        <f>IFERROR(IFERROR(VLOOKUP(A107,'[1]JL EXE ACTIVE FTE List'!$G:$O,9,FALSE),VLOOKUP(A107,'[1]JL EXE LEAVER List'!$G:$O,9,FALSE)),"?QUERY?")</f>
        <v>41974</v>
      </c>
      <c r="F107" s="21" t="s">
        <v>338</v>
      </c>
      <c r="G107" s="21" t="s">
        <v>338</v>
      </c>
      <c r="H107" s="21" t="s">
        <v>335</v>
      </c>
      <c r="I107" s="21" t="s">
        <v>313</v>
      </c>
      <c r="J107" s="21" t="s">
        <v>313</v>
      </c>
      <c r="K107" s="21" t="s">
        <v>313</v>
      </c>
      <c r="L107" s="21" t="s">
        <v>313</v>
      </c>
      <c r="M107" s="21" t="s">
        <v>313</v>
      </c>
      <c r="N107" s="21" t="s">
        <v>313</v>
      </c>
      <c r="O107" s="21" t="s">
        <v>313</v>
      </c>
      <c r="P107" s="21" t="s">
        <v>313</v>
      </c>
      <c r="Q107" s="21" t="s">
        <v>313</v>
      </c>
      <c r="R107" s="21" t="s">
        <v>313</v>
      </c>
      <c r="S107" s="21" t="s">
        <v>313</v>
      </c>
      <c r="T107" s="21" t="s">
        <v>313</v>
      </c>
      <c r="U107" s="21" t="s">
        <v>313</v>
      </c>
      <c r="V107" s="21" t="s">
        <v>313</v>
      </c>
      <c r="W107" s="21" t="s">
        <v>313</v>
      </c>
      <c r="X107" s="21" t="s">
        <v>313</v>
      </c>
      <c r="Y107" s="21" t="s">
        <v>313</v>
      </c>
      <c r="Z107" s="21" t="s">
        <v>313</v>
      </c>
      <c r="AA107" s="21" t="s">
        <v>313</v>
      </c>
      <c r="AB107" s="21" t="s">
        <v>313</v>
      </c>
      <c r="AC107" s="21" t="s">
        <v>313</v>
      </c>
      <c r="AD107" s="21" t="s">
        <v>313</v>
      </c>
      <c r="AE107" s="21" t="s">
        <v>313</v>
      </c>
      <c r="AF107" s="21" t="s">
        <v>313</v>
      </c>
      <c r="AG107" s="21" t="s">
        <v>313</v>
      </c>
      <c r="AH107" s="21" t="s">
        <v>313</v>
      </c>
      <c r="AI107" s="21" t="s">
        <v>313</v>
      </c>
      <c r="AJ107" s="21" t="s">
        <v>313</v>
      </c>
      <c r="AK107" s="21" t="s">
        <v>313</v>
      </c>
      <c r="AL107" s="21" t="s">
        <v>313</v>
      </c>
      <c r="AM107" s="21" t="s">
        <v>313</v>
      </c>
      <c r="AN107" s="21" t="s">
        <v>313</v>
      </c>
      <c r="AO107" s="21" t="s">
        <v>313</v>
      </c>
      <c r="AP107" s="21" t="s">
        <v>313</v>
      </c>
      <c r="AQ107" s="21" t="s">
        <v>313</v>
      </c>
      <c r="AR107" s="21" t="s">
        <v>313</v>
      </c>
      <c r="AS107" s="21" t="s">
        <v>313</v>
      </c>
      <c r="AT107" s="21" t="s">
        <v>313</v>
      </c>
      <c r="AU107" s="21" t="s">
        <v>313</v>
      </c>
      <c r="AV107" s="21" t="s">
        <v>313</v>
      </c>
      <c r="AW107" s="21" t="s">
        <v>313</v>
      </c>
      <c r="AX107" s="21" t="s">
        <v>313</v>
      </c>
    </row>
    <row r="108" spans="1:50" x14ac:dyDescent="0.3">
      <c r="A108" s="30" t="s">
        <v>103</v>
      </c>
      <c r="B108" s="29" t="str">
        <f>IFERROR(VLOOKUP(A108,'[1]JL EXE ACTIVE FTE List'!$G:$N,8,FALSE),IF(ISNA(VLOOKUP(A108,'[1]JL EXE LEAVER List'!$G:$I,3,FALSE)),"Query","Leaver"))</f>
        <v>LE</v>
      </c>
      <c r="C108" s="29" t="str">
        <f>IFERROR(VLOOKUP(A108,'[1]JL EXE ACTIVE FTE List'!$G:$R,12,FALSE),IF(ISNA(VLOOKUP(A108,'[1]JL EXE LEAVER List'!$G:$I,3,FALSE)),"?QUERY?","Leaver"))</f>
        <v>ACTIVE</v>
      </c>
      <c r="D108" s="39" t="str">
        <f>IFERROR(IFERROR(VLOOKUP(A108,'[1]JL EXE ACTIVE FTE List'!$G:$H,2,FALSE),VLOOKUP(A108,'[1]JL EXE LEAVER List'!$G:$H,2,FALSE)),"?QUERY?")</f>
        <v>Chris Adams</v>
      </c>
      <c r="E108" s="40">
        <f>IFERROR(IFERROR(VLOOKUP(A108,'[1]JL EXE ACTIVE FTE List'!$G:$O,9,FALSE),VLOOKUP(A108,'[1]JL EXE LEAVER List'!$G:$O,9,FALSE)),"?QUERY?")</f>
        <v>41414</v>
      </c>
      <c r="F108" s="21" t="s">
        <v>338</v>
      </c>
      <c r="G108" s="21" t="s">
        <v>338</v>
      </c>
      <c r="H108" s="21" t="s">
        <v>335</v>
      </c>
      <c r="I108" s="21" t="s">
        <v>313</v>
      </c>
      <c r="J108" s="21" t="s">
        <v>313</v>
      </c>
      <c r="K108" s="21" t="s">
        <v>313</v>
      </c>
      <c r="L108" s="21" t="s">
        <v>313</v>
      </c>
      <c r="M108" s="21" t="s">
        <v>313</v>
      </c>
      <c r="N108" s="21" t="s">
        <v>313</v>
      </c>
      <c r="O108" s="21" t="s">
        <v>313</v>
      </c>
      <c r="P108" s="21" t="s">
        <v>313</v>
      </c>
      <c r="Q108" s="21" t="s">
        <v>313</v>
      </c>
      <c r="R108" s="21" t="s">
        <v>313</v>
      </c>
      <c r="S108" s="21" t="s">
        <v>313</v>
      </c>
      <c r="T108" s="21" t="s">
        <v>313</v>
      </c>
      <c r="U108" s="21" t="s">
        <v>313</v>
      </c>
      <c r="V108" s="21" t="s">
        <v>313</v>
      </c>
      <c r="W108" s="21" t="s">
        <v>313</v>
      </c>
      <c r="X108" s="21" t="s">
        <v>313</v>
      </c>
      <c r="Y108" s="21" t="s">
        <v>313</v>
      </c>
      <c r="Z108" s="21" t="s">
        <v>313</v>
      </c>
      <c r="AA108" s="21" t="s">
        <v>313</v>
      </c>
      <c r="AB108" s="21" t="s">
        <v>313</v>
      </c>
      <c r="AC108" s="21" t="s">
        <v>313</v>
      </c>
      <c r="AD108" s="21" t="s">
        <v>313</v>
      </c>
      <c r="AE108" s="21" t="s">
        <v>313</v>
      </c>
      <c r="AF108" s="21" t="s">
        <v>313</v>
      </c>
      <c r="AG108" s="21" t="s">
        <v>313</v>
      </c>
      <c r="AH108" s="21" t="s">
        <v>313</v>
      </c>
      <c r="AI108" s="21" t="s">
        <v>313</v>
      </c>
      <c r="AJ108" s="21" t="s">
        <v>313</v>
      </c>
      <c r="AK108" s="21" t="s">
        <v>313</v>
      </c>
      <c r="AL108" s="21" t="s">
        <v>313</v>
      </c>
      <c r="AM108" s="21" t="s">
        <v>313</v>
      </c>
      <c r="AN108" s="21" t="s">
        <v>313</v>
      </c>
      <c r="AO108" s="21" t="s">
        <v>313</v>
      </c>
      <c r="AP108" s="21" t="s">
        <v>313</v>
      </c>
      <c r="AQ108" s="21" t="s">
        <v>313</v>
      </c>
      <c r="AR108" s="21" t="s">
        <v>313</v>
      </c>
      <c r="AS108" s="21" t="s">
        <v>313</v>
      </c>
      <c r="AT108" s="21" t="s">
        <v>313</v>
      </c>
      <c r="AU108" s="21" t="s">
        <v>313</v>
      </c>
      <c r="AV108" s="21" t="s">
        <v>313</v>
      </c>
      <c r="AW108" s="21" t="s">
        <v>313</v>
      </c>
      <c r="AX108" s="21" t="s">
        <v>313</v>
      </c>
    </row>
    <row r="109" spans="1:50" ht="15" hidden="1" customHeight="1" x14ac:dyDescent="0.3">
      <c r="A109" s="30" t="s">
        <v>104</v>
      </c>
      <c r="B109" s="29" t="str">
        <f>IFERROR(VLOOKUP(A109,'[1]JL EXE ACTIVE FTE List'!$G:$N,8,FALSE),IF(ISNA(VLOOKUP(A109,'[1]JL EXE LEAVER List'!$G:$I,3,FALSE)),"Query","Leaver"))</f>
        <v>LE</v>
      </c>
      <c r="C109" s="29" t="str">
        <f>IFERROR(VLOOKUP(A109,'[1]JL EXE ACTIVE FTE List'!$G:$R,12,FALSE),IF(ISNA(VLOOKUP(A109,'[1]JL EXE LEAVER List'!$G:$I,3,FALSE)),"?QUERY?","Leaver"))</f>
        <v>ACTIVE</v>
      </c>
      <c r="D109" s="39" t="str">
        <f>IFERROR(IFERROR(VLOOKUP(A109,'[1]JL EXE ACTIVE FTE List'!$G:$H,2,FALSE),VLOOKUP(A109,'[1]JL EXE LEAVER List'!$G:$H,2,FALSE)),"?QUERY?")</f>
        <v>Chris Adams</v>
      </c>
      <c r="E109" s="40">
        <f>IFERROR(IFERROR(VLOOKUP(A109,'[1]JL EXE ACTIVE FTE List'!$G:$O,9,FALSE),VLOOKUP(A109,'[1]JL EXE LEAVER List'!$G:$O,9,FALSE)),"?QUERY?")</f>
        <v>40399</v>
      </c>
      <c r="F109" s="21" t="s">
        <v>366</v>
      </c>
      <c r="G109" s="21" t="s">
        <v>366</v>
      </c>
      <c r="H109" s="21" t="s">
        <v>335</v>
      </c>
      <c r="I109" s="21" t="s">
        <v>313</v>
      </c>
      <c r="J109" s="21" t="s">
        <v>313</v>
      </c>
      <c r="K109" s="21" t="s">
        <v>313</v>
      </c>
      <c r="L109" s="21" t="s">
        <v>313</v>
      </c>
      <c r="M109" s="21" t="s">
        <v>313</v>
      </c>
      <c r="N109" s="21" t="s">
        <v>313</v>
      </c>
      <c r="O109" s="21" t="s">
        <v>313</v>
      </c>
      <c r="P109" s="21" t="s">
        <v>313</v>
      </c>
      <c r="Q109" s="21" t="s">
        <v>313</v>
      </c>
      <c r="R109" s="21" t="s">
        <v>313</v>
      </c>
      <c r="S109" s="21" t="s">
        <v>313</v>
      </c>
      <c r="T109" s="21" t="s">
        <v>313</v>
      </c>
      <c r="U109" s="21" t="s">
        <v>313</v>
      </c>
      <c r="V109" s="21" t="s">
        <v>313</v>
      </c>
      <c r="W109" s="21" t="s">
        <v>313</v>
      </c>
      <c r="X109" s="21" t="s">
        <v>313</v>
      </c>
      <c r="Y109" s="21" t="s">
        <v>313</v>
      </c>
      <c r="Z109" s="21" t="s">
        <v>313</v>
      </c>
      <c r="AA109" s="21" t="s">
        <v>313</v>
      </c>
      <c r="AB109" s="21" t="s">
        <v>313</v>
      </c>
      <c r="AC109" s="21" t="s">
        <v>313</v>
      </c>
      <c r="AD109" s="21" t="s">
        <v>313</v>
      </c>
      <c r="AE109" s="21" t="s">
        <v>313</v>
      </c>
      <c r="AF109" s="21" t="s">
        <v>313</v>
      </c>
      <c r="AG109" s="21" t="s">
        <v>313</v>
      </c>
      <c r="AH109" s="21" t="s">
        <v>313</v>
      </c>
      <c r="AI109" s="21" t="s">
        <v>313</v>
      </c>
      <c r="AJ109" s="21" t="s">
        <v>313</v>
      </c>
      <c r="AK109" s="21" t="s">
        <v>313</v>
      </c>
      <c r="AL109" s="21" t="s">
        <v>313</v>
      </c>
      <c r="AM109" s="21" t="s">
        <v>313</v>
      </c>
      <c r="AN109" s="21" t="s">
        <v>313</v>
      </c>
      <c r="AO109" s="21" t="s">
        <v>313</v>
      </c>
      <c r="AP109" s="21" t="s">
        <v>313</v>
      </c>
      <c r="AQ109" s="21" t="s">
        <v>313</v>
      </c>
      <c r="AR109" s="21" t="s">
        <v>313</v>
      </c>
      <c r="AS109" s="21" t="s">
        <v>313</v>
      </c>
      <c r="AT109" s="21" t="s">
        <v>313</v>
      </c>
      <c r="AU109" s="21" t="s">
        <v>313</v>
      </c>
      <c r="AV109" s="21" t="s">
        <v>313</v>
      </c>
      <c r="AW109" s="21" t="s">
        <v>313</v>
      </c>
      <c r="AX109" s="21" t="s">
        <v>313</v>
      </c>
    </row>
    <row r="110" spans="1:50" x14ac:dyDescent="0.3">
      <c r="A110" s="30" t="s">
        <v>105</v>
      </c>
      <c r="B110" s="29" t="str">
        <f>IFERROR(VLOOKUP(A110,'[1]JL EXE ACTIVE FTE List'!$G:$N,8,FALSE),IF(ISNA(VLOOKUP(A110,'[1]JL EXE LEAVER List'!$G:$I,3,FALSE)),"Query","Leaver"))</f>
        <v>LE</v>
      </c>
      <c r="C110" s="29" t="str">
        <f>IFERROR(VLOOKUP(A110,'[1]JL EXE ACTIVE FTE List'!$G:$R,12,FALSE),IF(ISNA(VLOOKUP(A110,'[1]JL EXE LEAVER List'!$G:$I,3,FALSE)),"?QUERY?","Leaver"))</f>
        <v>ACTIVE</v>
      </c>
      <c r="D110" s="39" t="str">
        <f>IFERROR(IFERROR(VLOOKUP(A110,'[1]JL EXE ACTIVE FTE List'!$G:$H,2,FALSE),VLOOKUP(A110,'[1]JL EXE LEAVER List'!$G:$H,2,FALSE)),"?QUERY?")</f>
        <v>Chris Adams</v>
      </c>
      <c r="E110" s="40">
        <f>IFERROR(IFERROR(VLOOKUP(A110,'[1]JL EXE ACTIVE FTE List'!$G:$O,9,FALSE),VLOOKUP(A110,'[1]JL EXE LEAVER List'!$G:$O,9,FALSE)),"?QUERY?")</f>
        <v>42310</v>
      </c>
      <c r="F110" s="21" t="s">
        <v>338</v>
      </c>
      <c r="G110" s="21" t="s">
        <v>338</v>
      </c>
      <c r="H110" s="21" t="s">
        <v>335</v>
      </c>
      <c r="I110" s="21" t="s">
        <v>313</v>
      </c>
      <c r="J110" s="21" t="s">
        <v>313</v>
      </c>
      <c r="K110" s="21" t="s">
        <v>313</v>
      </c>
      <c r="L110" s="21" t="s">
        <v>313</v>
      </c>
      <c r="M110" s="21" t="s">
        <v>313</v>
      </c>
      <c r="N110" s="21" t="s">
        <v>313</v>
      </c>
      <c r="O110" s="21" t="s">
        <v>313</v>
      </c>
      <c r="P110" s="21" t="s">
        <v>313</v>
      </c>
      <c r="Q110" s="21" t="s">
        <v>313</v>
      </c>
      <c r="R110" s="21" t="s">
        <v>313</v>
      </c>
      <c r="S110" s="21" t="s">
        <v>313</v>
      </c>
      <c r="T110" s="21" t="s">
        <v>313</v>
      </c>
      <c r="U110" s="21" t="s">
        <v>313</v>
      </c>
      <c r="V110" s="21" t="s">
        <v>313</v>
      </c>
      <c r="W110" s="21" t="s">
        <v>313</v>
      </c>
      <c r="X110" s="21" t="s">
        <v>313</v>
      </c>
      <c r="Y110" s="21" t="s">
        <v>313</v>
      </c>
      <c r="Z110" s="21" t="s">
        <v>313</v>
      </c>
      <c r="AA110" s="21" t="s">
        <v>313</v>
      </c>
      <c r="AB110" s="21" t="s">
        <v>313</v>
      </c>
      <c r="AC110" s="21" t="s">
        <v>313</v>
      </c>
      <c r="AD110" s="21" t="s">
        <v>313</v>
      </c>
      <c r="AE110" s="21" t="s">
        <v>313</v>
      </c>
      <c r="AF110" s="21" t="s">
        <v>313</v>
      </c>
      <c r="AG110" s="21" t="s">
        <v>313</v>
      </c>
      <c r="AH110" s="21" t="s">
        <v>313</v>
      </c>
      <c r="AI110" s="21" t="s">
        <v>313</v>
      </c>
      <c r="AJ110" s="21" t="s">
        <v>313</v>
      </c>
      <c r="AK110" s="21" t="s">
        <v>313</v>
      </c>
      <c r="AL110" s="21" t="s">
        <v>313</v>
      </c>
      <c r="AM110" s="21" t="s">
        <v>313</v>
      </c>
      <c r="AN110" s="21" t="s">
        <v>313</v>
      </c>
      <c r="AO110" s="21" t="s">
        <v>313</v>
      </c>
      <c r="AP110" s="21" t="s">
        <v>313</v>
      </c>
      <c r="AQ110" s="21" t="s">
        <v>313</v>
      </c>
      <c r="AR110" s="21" t="s">
        <v>313</v>
      </c>
      <c r="AS110" s="21" t="s">
        <v>313</v>
      </c>
      <c r="AT110" s="21" t="s">
        <v>313</v>
      </c>
      <c r="AU110" s="21" t="s">
        <v>313</v>
      </c>
      <c r="AV110" s="21" t="s">
        <v>313</v>
      </c>
      <c r="AW110" s="21" t="s">
        <v>313</v>
      </c>
      <c r="AX110" s="21" t="s">
        <v>313</v>
      </c>
    </row>
    <row r="111" spans="1:50" hidden="1" x14ac:dyDescent="0.3">
      <c r="A111" s="30" t="s">
        <v>107</v>
      </c>
      <c r="B111" s="29" t="str">
        <f>IFERROR(VLOOKUP(A111,'[1]JL EXE ACTIVE FTE List'!$G:$N,8,FALSE),IF(ISNA(VLOOKUP(A111,'[1]JL EXE LEAVER List'!$G:$I,3,FALSE)),"Query","Leaver"))</f>
        <v>LE</v>
      </c>
      <c r="C111" s="29" t="str">
        <f>IFERROR(VLOOKUP(A111,'[1]JL EXE ACTIVE FTE List'!$G:$R,12,FALSE),IF(ISNA(VLOOKUP(A111,'[1]JL EXE LEAVER List'!$G:$I,3,FALSE)),"?QUERY?","Leaver"))</f>
        <v>ACTIVE</v>
      </c>
      <c r="D111" s="39" t="str">
        <f>IFERROR(IFERROR(VLOOKUP(A111,'[1]JL EXE ACTIVE FTE List'!$G:$H,2,FALSE),VLOOKUP(A111,'[1]JL EXE LEAVER List'!$G:$H,2,FALSE)),"?QUERY?")</f>
        <v>Chris Adams</v>
      </c>
      <c r="E111" s="40">
        <f>IFERROR(IFERROR(VLOOKUP(A111,'[1]JL EXE ACTIVE FTE List'!$G:$O,9,FALSE),VLOOKUP(A111,'[1]JL EXE LEAVER List'!$G:$O,9,FALSE)),"?QUERY?")</f>
        <v>42997</v>
      </c>
      <c r="F111" s="21" t="s">
        <v>366</v>
      </c>
      <c r="G111" s="21" t="s">
        <v>366</v>
      </c>
      <c r="H111" s="21" t="s">
        <v>335</v>
      </c>
      <c r="I111" s="21" t="s">
        <v>313</v>
      </c>
      <c r="J111" s="21" t="s">
        <v>313</v>
      </c>
      <c r="K111" s="21" t="s">
        <v>313</v>
      </c>
      <c r="L111" s="21" t="s">
        <v>313</v>
      </c>
      <c r="M111" s="21" t="s">
        <v>313</v>
      </c>
      <c r="N111" s="21" t="s">
        <v>313</v>
      </c>
      <c r="O111" s="21" t="s">
        <v>313</v>
      </c>
      <c r="P111" s="21" t="s">
        <v>313</v>
      </c>
      <c r="Q111" s="21" t="s">
        <v>313</v>
      </c>
      <c r="R111" s="21" t="s">
        <v>313</v>
      </c>
      <c r="S111" s="21" t="s">
        <v>313</v>
      </c>
      <c r="T111" s="21" t="s">
        <v>313</v>
      </c>
      <c r="U111" s="21" t="s">
        <v>313</v>
      </c>
      <c r="V111" s="21" t="s">
        <v>313</v>
      </c>
      <c r="W111" s="21" t="s">
        <v>313</v>
      </c>
      <c r="X111" s="21" t="s">
        <v>313</v>
      </c>
      <c r="Y111" s="21" t="s">
        <v>313</v>
      </c>
      <c r="Z111" s="21" t="s">
        <v>313</v>
      </c>
      <c r="AA111" s="21" t="s">
        <v>313</v>
      </c>
      <c r="AB111" s="21" t="s">
        <v>313</v>
      </c>
      <c r="AC111" s="21" t="s">
        <v>313</v>
      </c>
      <c r="AD111" s="21" t="s">
        <v>313</v>
      </c>
      <c r="AE111" s="21" t="s">
        <v>313</v>
      </c>
      <c r="AF111" s="21" t="s">
        <v>313</v>
      </c>
      <c r="AG111" s="21" t="s">
        <v>313</v>
      </c>
      <c r="AH111" s="21" t="s">
        <v>313</v>
      </c>
      <c r="AI111" s="21" t="s">
        <v>313</v>
      </c>
      <c r="AJ111" s="21" t="s">
        <v>313</v>
      </c>
      <c r="AK111" s="21" t="s">
        <v>313</v>
      </c>
      <c r="AL111" s="21" t="s">
        <v>313</v>
      </c>
      <c r="AM111" s="21" t="s">
        <v>313</v>
      </c>
      <c r="AN111" s="21" t="s">
        <v>313</v>
      </c>
      <c r="AO111" s="21" t="s">
        <v>313</v>
      </c>
      <c r="AP111" s="21" t="s">
        <v>313</v>
      </c>
      <c r="AQ111" s="21" t="s">
        <v>313</v>
      </c>
      <c r="AR111" s="21" t="s">
        <v>313</v>
      </c>
      <c r="AS111" s="21" t="s">
        <v>313</v>
      </c>
      <c r="AT111" s="21" t="s">
        <v>313</v>
      </c>
      <c r="AU111" s="21" t="s">
        <v>313</v>
      </c>
      <c r="AV111" s="21" t="s">
        <v>313</v>
      </c>
      <c r="AW111" s="21" t="s">
        <v>313</v>
      </c>
      <c r="AX111" s="21" t="s">
        <v>313</v>
      </c>
    </row>
    <row r="112" spans="1:50" ht="15" customHeight="1" x14ac:dyDescent="0.3">
      <c r="A112" s="30" t="s">
        <v>108</v>
      </c>
      <c r="B112" s="29" t="str">
        <f>IFERROR(VLOOKUP(A112,'[1]JL EXE ACTIVE FTE List'!$G:$N,8,FALSE),IF(ISNA(VLOOKUP(A112,'[1]JL EXE LEAVER List'!$G:$I,3,FALSE)),"Query","Leaver"))</f>
        <v>LE</v>
      </c>
      <c r="C112" s="29" t="str">
        <f>IFERROR(VLOOKUP(A112,'[1]JL EXE ACTIVE FTE List'!$G:$R,12,FALSE),IF(ISNA(VLOOKUP(A112,'[1]JL EXE LEAVER List'!$G:$I,3,FALSE)),"?QUERY?","Leaver"))</f>
        <v>ACTIVE</v>
      </c>
      <c r="D112" s="39" t="str">
        <f>IFERROR(IFERROR(VLOOKUP(A112,'[1]JL EXE ACTIVE FTE List'!$G:$H,2,FALSE),VLOOKUP(A112,'[1]JL EXE LEAVER List'!$G:$H,2,FALSE)),"?QUERY?")</f>
        <v>Chris Adams</v>
      </c>
      <c r="E112" s="40">
        <f>IFERROR(IFERROR(VLOOKUP(A112,'[1]JL EXE ACTIVE FTE List'!$G:$O,9,FALSE),VLOOKUP(A112,'[1]JL EXE LEAVER List'!$G:$O,9,FALSE)),"?QUERY?")</f>
        <v>42997</v>
      </c>
      <c r="F112" s="21" t="s">
        <v>338</v>
      </c>
      <c r="G112" s="21" t="s">
        <v>338</v>
      </c>
      <c r="H112" s="21" t="s">
        <v>335</v>
      </c>
      <c r="I112" s="21" t="s">
        <v>313</v>
      </c>
      <c r="J112" s="21" t="s">
        <v>313</v>
      </c>
      <c r="K112" s="21" t="s">
        <v>313</v>
      </c>
      <c r="L112" s="21" t="s">
        <v>313</v>
      </c>
      <c r="M112" s="21" t="s">
        <v>313</v>
      </c>
      <c r="N112" s="21" t="s">
        <v>313</v>
      </c>
      <c r="O112" s="21" t="s">
        <v>313</v>
      </c>
      <c r="P112" s="21" t="s">
        <v>313</v>
      </c>
      <c r="Q112" s="21" t="s">
        <v>313</v>
      </c>
      <c r="R112" s="21" t="s">
        <v>313</v>
      </c>
      <c r="S112" s="21" t="s">
        <v>313</v>
      </c>
      <c r="T112" s="21" t="s">
        <v>313</v>
      </c>
      <c r="U112" s="21" t="s">
        <v>313</v>
      </c>
      <c r="V112" s="21" t="s">
        <v>313</v>
      </c>
      <c r="W112" s="21" t="s">
        <v>313</v>
      </c>
      <c r="X112" s="21" t="s">
        <v>313</v>
      </c>
      <c r="Y112" s="21" t="s">
        <v>313</v>
      </c>
      <c r="Z112" s="21" t="s">
        <v>313</v>
      </c>
      <c r="AA112" s="21" t="s">
        <v>313</v>
      </c>
      <c r="AB112" s="21" t="s">
        <v>313</v>
      </c>
      <c r="AC112" s="21" t="s">
        <v>313</v>
      </c>
      <c r="AD112" s="21" t="s">
        <v>313</v>
      </c>
      <c r="AE112" s="21" t="s">
        <v>313</v>
      </c>
      <c r="AF112" s="21" t="s">
        <v>313</v>
      </c>
      <c r="AG112" s="21" t="s">
        <v>313</v>
      </c>
      <c r="AH112" s="21" t="s">
        <v>313</v>
      </c>
      <c r="AI112" s="21" t="s">
        <v>313</v>
      </c>
      <c r="AJ112" s="21" t="s">
        <v>313</v>
      </c>
      <c r="AK112" s="21" t="s">
        <v>313</v>
      </c>
      <c r="AL112" s="21" t="s">
        <v>313</v>
      </c>
      <c r="AM112" s="21" t="s">
        <v>313</v>
      </c>
      <c r="AN112" s="21" t="s">
        <v>313</v>
      </c>
      <c r="AO112" s="21" t="s">
        <v>313</v>
      </c>
      <c r="AP112" s="21" t="s">
        <v>313</v>
      </c>
      <c r="AQ112" s="21" t="s">
        <v>313</v>
      </c>
      <c r="AR112" s="21" t="s">
        <v>313</v>
      </c>
      <c r="AS112" s="21" t="s">
        <v>313</v>
      </c>
      <c r="AT112" s="21" t="s">
        <v>313</v>
      </c>
      <c r="AU112" s="21" t="s">
        <v>313</v>
      </c>
      <c r="AV112" s="21" t="s">
        <v>313</v>
      </c>
      <c r="AW112" s="21" t="s">
        <v>313</v>
      </c>
      <c r="AX112" s="21" t="s">
        <v>313</v>
      </c>
    </row>
    <row r="113" spans="1:50" ht="15" customHeight="1" x14ac:dyDescent="0.3">
      <c r="A113" s="30" t="s">
        <v>120</v>
      </c>
      <c r="B113" s="29" t="str">
        <f>IFERROR(VLOOKUP(A113,'[1]JL EXE ACTIVE FTE List'!$G:$N,8,FALSE),IF(ISNA(VLOOKUP(A113,'[1]JL EXE LEAVER List'!$G:$I,3,FALSE)),"Query","Leaver"))</f>
        <v>LE</v>
      </c>
      <c r="C113" s="29" t="str">
        <f>IFERROR(VLOOKUP(A113,'[1]JL EXE ACTIVE FTE List'!$G:$R,12,FALSE),IF(ISNA(VLOOKUP(A113,'[1]JL EXE LEAVER List'!$G:$I,3,FALSE)),"?QUERY?","Leaver"))</f>
        <v>ACTIVE</v>
      </c>
      <c r="D113" s="39" t="str">
        <f>IFERROR(IFERROR(VLOOKUP(A113,'[1]JL EXE ACTIVE FTE List'!$G:$H,2,FALSE),VLOOKUP(A113,'[1]JL EXE LEAVER List'!$G:$H,2,FALSE)),"?QUERY?")</f>
        <v>Chris Adams</v>
      </c>
      <c r="E113" s="40">
        <f>IFERROR(IFERROR(VLOOKUP(A113,'[1]JL EXE ACTIVE FTE List'!$G:$O,9,FALSE),VLOOKUP(A113,'[1]JL EXE LEAVER List'!$G:$O,9,FALSE)),"?QUERY?")</f>
        <v>43031</v>
      </c>
      <c r="F113" s="21" t="s">
        <v>352</v>
      </c>
      <c r="G113" s="21" t="s">
        <v>338</v>
      </c>
      <c r="H113" s="21" t="s">
        <v>335</v>
      </c>
      <c r="I113" s="21" t="s">
        <v>313</v>
      </c>
      <c r="J113" s="21" t="s">
        <v>313</v>
      </c>
      <c r="K113" s="21" t="s">
        <v>313</v>
      </c>
      <c r="L113" s="21" t="s">
        <v>313</v>
      </c>
      <c r="M113" s="21" t="s">
        <v>313</v>
      </c>
      <c r="N113" s="21" t="s">
        <v>313</v>
      </c>
      <c r="O113" s="21" t="s">
        <v>313</v>
      </c>
      <c r="P113" s="21" t="s">
        <v>313</v>
      </c>
      <c r="Q113" s="21" t="s">
        <v>313</v>
      </c>
      <c r="R113" s="21" t="s">
        <v>313</v>
      </c>
      <c r="S113" s="21" t="s">
        <v>313</v>
      </c>
      <c r="T113" s="21" t="s">
        <v>313</v>
      </c>
      <c r="U113" s="21" t="s">
        <v>313</v>
      </c>
      <c r="V113" s="21" t="s">
        <v>313</v>
      </c>
      <c r="W113" s="21" t="s">
        <v>313</v>
      </c>
      <c r="X113" s="21" t="s">
        <v>313</v>
      </c>
      <c r="Y113" s="21" t="s">
        <v>313</v>
      </c>
      <c r="Z113" s="21" t="s">
        <v>313</v>
      </c>
      <c r="AA113" s="21" t="s">
        <v>313</v>
      </c>
      <c r="AB113" s="21" t="s">
        <v>313</v>
      </c>
      <c r="AC113" s="21" t="s">
        <v>313</v>
      </c>
      <c r="AD113" s="21" t="s">
        <v>313</v>
      </c>
      <c r="AE113" s="21" t="s">
        <v>313</v>
      </c>
      <c r="AF113" s="21" t="s">
        <v>313</v>
      </c>
      <c r="AG113" s="21" t="s">
        <v>313</v>
      </c>
      <c r="AH113" s="21" t="s">
        <v>313</v>
      </c>
      <c r="AI113" s="21" t="s">
        <v>313</v>
      </c>
      <c r="AJ113" s="21" t="s">
        <v>313</v>
      </c>
      <c r="AK113" s="21" t="s">
        <v>313</v>
      </c>
      <c r="AL113" s="21" t="s">
        <v>313</v>
      </c>
      <c r="AM113" s="21" t="s">
        <v>313</v>
      </c>
      <c r="AN113" s="21" t="s">
        <v>313</v>
      </c>
      <c r="AO113" s="21" t="s">
        <v>313</v>
      </c>
      <c r="AP113" s="21" t="s">
        <v>313</v>
      </c>
      <c r="AQ113" s="21" t="s">
        <v>313</v>
      </c>
      <c r="AR113" s="21" t="s">
        <v>313</v>
      </c>
      <c r="AS113" s="21" t="s">
        <v>313</v>
      </c>
      <c r="AT113" s="21" t="s">
        <v>313</v>
      </c>
      <c r="AU113" s="21" t="s">
        <v>313</v>
      </c>
      <c r="AV113" s="21" t="s">
        <v>313</v>
      </c>
      <c r="AW113" s="21" t="s">
        <v>313</v>
      </c>
      <c r="AX113" s="21" t="s">
        <v>313</v>
      </c>
    </row>
    <row r="114" spans="1:50" hidden="1" x14ac:dyDescent="0.3">
      <c r="A114" s="30" t="s">
        <v>41</v>
      </c>
      <c r="B114" s="29" t="str">
        <f>IFERROR(VLOOKUP(A114,'[1]JL EXE ACTIVE FTE List'!$G:$N,8,FALSE),IF(ISNA(VLOOKUP(A114,'[1]JL EXE LEAVER List'!$G:$I,3,FALSE)),"Query","Leaver"))</f>
        <v>Leaver</v>
      </c>
      <c r="C114" s="29" t="str">
        <f>IFERROR(VLOOKUP(A114,'[1]JL EXE ACTIVE FTE List'!$G:$R,12,FALSE),IF(ISNA(VLOOKUP(A114,'[1]JL EXE LEAVER List'!$G:$I,3,FALSE)),"?QUERY?","Leaver"))</f>
        <v>Leaver</v>
      </c>
      <c r="D114" s="39" t="str">
        <f>IFERROR(IFERROR(VLOOKUP(A114,'[1]JL EXE ACTIVE FTE List'!$G:$H,2,FALSE),VLOOKUP(A114,'[1]JL EXE LEAVER List'!$G:$H,2,FALSE)),"?QUERY?")</f>
        <v>Mark Elliott</v>
      </c>
      <c r="E114" s="40">
        <f>IFERROR(IFERROR(VLOOKUP(A114,'[1]JL EXE ACTIVE FTE List'!$G:$O,9,FALSE),VLOOKUP(A114,'[1]JL EXE LEAVER List'!$G:$O,9,FALSE)),"?QUERY?")</f>
        <v>42969</v>
      </c>
      <c r="F114" s="21" t="s">
        <v>338</v>
      </c>
      <c r="G114" s="21" t="s">
        <v>339</v>
      </c>
      <c r="H114" s="21" t="s">
        <v>313</v>
      </c>
      <c r="I114" s="21" t="s">
        <v>313</v>
      </c>
      <c r="J114" s="21" t="s">
        <v>313</v>
      </c>
      <c r="K114" s="21" t="s">
        <v>313</v>
      </c>
      <c r="L114" s="21" t="s">
        <v>313</v>
      </c>
      <c r="M114" s="21" t="s">
        <v>313</v>
      </c>
      <c r="N114" s="21" t="s">
        <v>313</v>
      </c>
      <c r="O114" s="21" t="s">
        <v>313</v>
      </c>
      <c r="P114" s="21" t="s">
        <v>313</v>
      </c>
      <c r="Q114" s="21" t="s">
        <v>313</v>
      </c>
      <c r="R114" s="21" t="s">
        <v>313</v>
      </c>
      <c r="S114" s="21" t="s">
        <v>313</v>
      </c>
      <c r="T114" s="21" t="s">
        <v>313</v>
      </c>
      <c r="U114" s="21" t="s">
        <v>313</v>
      </c>
      <c r="V114" s="21" t="s">
        <v>313</v>
      </c>
      <c r="W114" s="21" t="s">
        <v>313</v>
      </c>
      <c r="X114" s="21" t="s">
        <v>313</v>
      </c>
      <c r="Y114" s="21" t="s">
        <v>313</v>
      </c>
      <c r="Z114" s="21" t="s">
        <v>313</v>
      </c>
      <c r="AA114" s="21" t="s">
        <v>313</v>
      </c>
      <c r="AB114" s="21" t="s">
        <v>313</v>
      </c>
      <c r="AC114" s="21" t="s">
        <v>313</v>
      </c>
      <c r="AD114" s="21" t="s">
        <v>313</v>
      </c>
      <c r="AE114" s="21" t="s">
        <v>313</v>
      </c>
      <c r="AF114" s="21" t="s">
        <v>313</v>
      </c>
      <c r="AG114" s="21" t="s">
        <v>313</v>
      </c>
      <c r="AH114" s="21" t="s">
        <v>313</v>
      </c>
      <c r="AI114" s="21" t="s">
        <v>313</v>
      </c>
      <c r="AJ114" s="21" t="s">
        <v>313</v>
      </c>
      <c r="AK114" s="21" t="s">
        <v>313</v>
      </c>
      <c r="AL114" s="21" t="s">
        <v>313</v>
      </c>
      <c r="AM114" s="21" t="s">
        <v>313</v>
      </c>
      <c r="AN114" s="21" t="s">
        <v>313</v>
      </c>
      <c r="AO114" s="21" t="s">
        <v>313</v>
      </c>
      <c r="AP114" s="21" t="s">
        <v>313</v>
      </c>
      <c r="AQ114" s="21" t="s">
        <v>313</v>
      </c>
      <c r="AR114" s="21" t="s">
        <v>313</v>
      </c>
      <c r="AS114" s="21" t="s">
        <v>313</v>
      </c>
      <c r="AT114" s="21" t="s">
        <v>313</v>
      </c>
      <c r="AU114" s="21" t="s">
        <v>313</v>
      </c>
      <c r="AV114" s="21" t="s">
        <v>313</v>
      </c>
      <c r="AW114" s="21" t="s">
        <v>313</v>
      </c>
      <c r="AX114" s="21" t="s">
        <v>313</v>
      </c>
    </row>
    <row r="115" spans="1:50" hidden="1" x14ac:dyDescent="0.3">
      <c r="A115" s="30" t="s">
        <v>8</v>
      </c>
      <c r="B115" s="29" t="str">
        <f>IFERROR(VLOOKUP(A115,'[1]JL EXE ACTIVE FTE List'!$G:$N,8,FALSE),IF(ISNA(VLOOKUP(A115,'[1]JL EXE LEAVER List'!$G:$I,3,FALSE)),"Query","Leaver"))</f>
        <v>LE</v>
      </c>
      <c r="C115" s="29" t="str">
        <f>IFERROR(VLOOKUP(A115,'[1]JL EXE ACTIVE FTE List'!$G:$R,12,FALSE),IF(ISNA(VLOOKUP(A115,'[1]JL EXE LEAVER List'!$G:$I,3,FALSE)),"?QUERY?","Leaver"))</f>
        <v>ACTIVE</v>
      </c>
      <c r="D115" s="39" t="str">
        <f>IFERROR(IFERROR(VLOOKUP(A115,'[1]JL EXE ACTIVE FTE List'!$G:$H,2,FALSE),VLOOKUP(A115,'[1]JL EXE LEAVER List'!$G:$H,2,FALSE)),"?QUERY?")</f>
        <v>David Hitching</v>
      </c>
      <c r="E115" s="40">
        <f>IFERROR(IFERROR(VLOOKUP(A115,'[1]JL EXE ACTIVE FTE List'!$G:$O,9,FALSE),VLOOKUP(A115,'[1]JL EXE LEAVER List'!$G:$O,9,FALSE)),"?QUERY?")</f>
        <v>43024</v>
      </c>
      <c r="F115" s="21" t="s">
        <v>335</v>
      </c>
      <c r="G115" s="21" t="s">
        <v>335</v>
      </c>
      <c r="H115" s="21" t="s">
        <v>335</v>
      </c>
      <c r="I115" s="21" t="s">
        <v>313</v>
      </c>
      <c r="J115" s="21" t="s">
        <v>313</v>
      </c>
      <c r="K115" s="21" t="s">
        <v>313</v>
      </c>
      <c r="L115" s="21" t="s">
        <v>313</v>
      </c>
      <c r="M115" s="21" t="s">
        <v>313</v>
      </c>
      <c r="N115" s="21" t="s">
        <v>313</v>
      </c>
      <c r="O115" s="21" t="s">
        <v>313</v>
      </c>
      <c r="P115" s="21" t="s">
        <v>313</v>
      </c>
      <c r="Q115" s="21" t="s">
        <v>313</v>
      </c>
      <c r="R115" s="21" t="s">
        <v>313</v>
      </c>
      <c r="S115" s="21" t="s">
        <v>313</v>
      </c>
      <c r="T115" s="21" t="s">
        <v>313</v>
      </c>
      <c r="U115" s="21" t="s">
        <v>313</v>
      </c>
      <c r="V115" s="21" t="s">
        <v>313</v>
      </c>
      <c r="W115" s="21" t="s">
        <v>313</v>
      </c>
      <c r="X115" s="21" t="s">
        <v>313</v>
      </c>
      <c r="Y115" s="21" t="s">
        <v>313</v>
      </c>
      <c r="Z115" s="21" t="s">
        <v>313</v>
      </c>
      <c r="AA115" s="21" t="s">
        <v>313</v>
      </c>
      <c r="AB115" s="21" t="s">
        <v>313</v>
      </c>
      <c r="AC115" s="21" t="s">
        <v>313</v>
      </c>
      <c r="AD115" s="21" t="s">
        <v>313</v>
      </c>
      <c r="AE115" s="21" t="s">
        <v>313</v>
      </c>
      <c r="AF115" s="21" t="s">
        <v>313</v>
      </c>
      <c r="AG115" s="21" t="s">
        <v>313</v>
      </c>
      <c r="AH115" s="21" t="s">
        <v>313</v>
      </c>
      <c r="AI115" s="21" t="s">
        <v>313</v>
      </c>
      <c r="AJ115" s="21" t="s">
        <v>313</v>
      </c>
      <c r="AK115" s="21" t="s">
        <v>313</v>
      </c>
      <c r="AL115" s="21" t="s">
        <v>313</v>
      </c>
      <c r="AM115" s="21" t="s">
        <v>313</v>
      </c>
      <c r="AN115" s="21" t="s">
        <v>313</v>
      </c>
      <c r="AO115" s="21" t="s">
        <v>313</v>
      </c>
      <c r="AP115" s="21" t="s">
        <v>313</v>
      </c>
      <c r="AQ115" s="21" t="s">
        <v>313</v>
      </c>
      <c r="AR115" s="21" t="s">
        <v>313</v>
      </c>
      <c r="AS115" s="21" t="s">
        <v>313</v>
      </c>
      <c r="AT115" s="21" t="s">
        <v>313</v>
      </c>
      <c r="AU115" s="21" t="s">
        <v>313</v>
      </c>
      <c r="AV115" s="21" t="s">
        <v>313</v>
      </c>
      <c r="AW115" s="21" t="s">
        <v>313</v>
      </c>
      <c r="AX115" s="21" t="s">
        <v>313</v>
      </c>
    </row>
    <row r="116" spans="1:50" hidden="1" x14ac:dyDescent="0.3">
      <c r="A116" s="30" t="s">
        <v>68</v>
      </c>
      <c r="B116" s="29" t="str">
        <f>IFERROR(VLOOKUP(A116,'[1]JL EXE ACTIVE FTE List'!$G:$N,8,FALSE),IF(ISNA(VLOOKUP(A116,'[1]JL EXE LEAVER List'!$G:$I,3,FALSE)),"Query","Leaver"))</f>
        <v>Leaver</v>
      </c>
      <c r="C116" s="29" t="str">
        <f>IFERROR(VLOOKUP(A116,'[1]JL EXE ACTIVE FTE List'!$G:$R,12,FALSE),IF(ISNA(VLOOKUP(A116,'[1]JL EXE LEAVER List'!$G:$I,3,FALSE)),"?QUERY?","Leaver"))</f>
        <v>Leaver</v>
      </c>
      <c r="D116" s="39" t="str">
        <f>IFERROR(IFERROR(VLOOKUP(A116,'[1]JL EXE ACTIVE FTE List'!$G:$H,2,FALSE),VLOOKUP(A116,'[1]JL EXE LEAVER List'!$G:$H,2,FALSE)),"?QUERY?")</f>
        <v>Frazer Hutchinson</v>
      </c>
      <c r="E116" s="40">
        <f>IFERROR(IFERROR(VLOOKUP(A116,'[1]JL EXE ACTIVE FTE List'!$G:$O,9,FALSE),VLOOKUP(A116,'[1]JL EXE LEAVER List'!$G:$O,9,FALSE)),"?QUERY?")</f>
        <v>42997</v>
      </c>
      <c r="F116" s="21" t="s">
        <v>339</v>
      </c>
      <c r="G116" s="21" t="s">
        <v>313</v>
      </c>
      <c r="H116" s="21" t="s">
        <v>313</v>
      </c>
      <c r="I116" s="21" t="s">
        <v>313</v>
      </c>
      <c r="J116" s="21" t="s">
        <v>313</v>
      </c>
      <c r="K116" s="21" t="s">
        <v>313</v>
      </c>
      <c r="L116" s="21" t="s">
        <v>313</v>
      </c>
      <c r="M116" s="21" t="s">
        <v>313</v>
      </c>
      <c r="N116" s="21" t="s">
        <v>313</v>
      </c>
      <c r="O116" s="21" t="s">
        <v>313</v>
      </c>
      <c r="P116" s="21" t="s">
        <v>313</v>
      </c>
      <c r="Q116" s="21" t="s">
        <v>313</v>
      </c>
      <c r="R116" s="21" t="s">
        <v>313</v>
      </c>
      <c r="S116" s="21" t="s">
        <v>313</v>
      </c>
      <c r="T116" s="21" t="s">
        <v>313</v>
      </c>
      <c r="U116" s="21" t="s">
        <v>313</v>
      </c>
      <c r="V116" s="21" t="s">
        <v>313</v>
      </c>
      <c r="W116" s="21" t="s">
        <v>313</v>
      </c>
      <c r="X116" s="21" t="s">
        <v>313</v>
      </c>
      <c r="Y116" s="21" t="s">
        <v>313</v>
      </c>
      <c r="Z116" s="21" t="s">
        <v>313</v>
      </c>
      <c r="AA116" s="21" t="s">
        <v>313</v>
      </c>
      <c r="AB116" s="21" t="s">
        <v>313</v>
      </c>
      <c r="AC116" s="21" t="s">
        <v>313</v>
      </c>
      <c r="AD116" s="21" t="s">
        <v>313</v>
      </c>
      <c r="AE116" s="21" t="s">
        <v>313</v>
      </c>
      <c r="AF116" s="21" t="s">
        <v>313</v>
      </c>
      <c r="AG116" s="21" t="s">
        <v>313</v>
      </c>
      <c r="AH116" s="21" t="s">
        <v>313</v>
      </c>
      <c r="AI116" s="21" t="s">
        <v>313</v>
      </c>
      <c r="AJ116" s="21" t="s">
        <v>313</v>
      </c>
      <c r="AK116" s="21" t="s">
        <v>313</v>
      </c>
      <c r="AL116" s="21" t="s">
        <v>313</v>
      </c>
      <c r="AM116" s="21" t="s">
        <v>313</v>
      </c>
      <c r="AN116" s="21" t="s">
        <v>313</v>
      </c>
      <c r="AO116" s="21" t="s">
        <v>313</v>
      </c>
      <c r="AP116" s="21" t="s">
        <v>313</v>
      </c>
      <c r="AQ116" s="21" t="s">
        <v>313</v>
      </c>
      <c r="AR116" s="21" t="s">
        <v>313</v>
      </c>
      <c r="AS116" s="21" t="s">
        <v>313</v>
      </c>
      <c r="AT116" s="21" t="s">
        <v>313</v>
      </c>
      <c r="AU116" s="21" t="s">
        <v>313</v>
      </c>
      <c r="AV116" s="21" t="s">
        <v>313</v>
      </c>
      <c r="AW116" s="21" t="s">
        <v>313</v>
      </c>
      <c r="AX116" s="21" t="s">
        <v>313</v>
      </c>
    </row>
    <row r="117" spans="1:50" ht="15" customHeight="1" x14ac:dyDescent="0.3">
      <c r="A117" s="30" t="s">
        <v>14</v>
      </c>
      <c r="B117" s="29" t="str">
        <f>IFERROR(VLOOKUP(A117,'[1]JL EXE ACTIVE FTE List'!$G:$N,8,FALSE),IF(ISNA(VLOOKUP(A117,'[1]JL EXE LEAVER List'!$G:$I,3,FALSE)),"Query","Leaver"))</f>
        <v>LE</v>
      </c>
      <c r="C117" s="29" t="str">
        <f>IFERROR(VLOOKUP(A117,'[1]JL EXE ACTIVE FTE List'!$G:$R,12,FALSE),IF(ISNA(VLOOKUP(A117,'[1]JL EXE LEAVER List'!$G:$I,3,FALSE)),"?QUERY?","Leaver"))</f>
        <v>ACTIVE</v>
      </c>
      <c r="D117" s="39" t="str">
        <f>IFERROR(IFERROR(VLOOKUP(A117,'[1]JL EXE ACTIVE FTE List'!$G:$H,2,FALSE),VLOOKUP(A117,'[1]JL EXE LEAVER List'!$G:$H,2,FALSE)),"?QUERY?")</f>
        <v>David Hitching</v>
      </c>
      <c r="E117" s="40">
        <f>IFERROR(IFERROR(VLOOKUP(A117,'[1]JL EXE ACTIVE FTE List'!$G:$O,9,FALSE),VLOOKUP(A117,'[1]JL EXE LEAVER List'!$G:$O,9,FALSE)),"?QUERY?")</f>
        <v>43038</v>
      </c>
      <c r="F117" s="21" t="s">
        <v>338</v>
      </c>
      <c r="G117" s="21" t="s">
        <v>338</v>
      </c>
      <c r="H117" s="21" t="s">
        <v>338</v>
      </c>
      <c r="I117" s="21" t="s">
        <v>313</v>
      </c>
      <c r="J117" s="21" t="s">
        <v>313</v>
      </c>
      <c r="K117" s="21" t="s">
        <v>313</v>
      </c>
      <c r="L117" s="21" t="s">
        <v>313</v>
      </c>
      <c r="M117" s="21" t="s">
        <v>313</v>
      </c>
      <c r="N117" s="21" t="s">
        <v>313</v>
      </c>
      <c r="O117" s="21" t="s">
        <v>313</v>
      </c>
      <c r="P117" s="21" t="s">
        <v>313</v>
      </c>
      <c r="Q117" s="21" t="s">
        <v>313</v>
      </c>
      <c r="R117" s="21" t="s">
        <v>313</v>
      </c>
      <c r="S117" s="21" t="s">
        <v>313</v>
      </c>
      <c r="T117" s="21" t="s">
        <v>313</v>
      </c>
      <c r="U117" s="21" t="s">
        <v>313</v>
      </c>
      <c r="V117" s="21" t="s">
        <v>313</v>
      </c>
      <c r="W117" s="21" t="s">
        <v>313</v>
      </c>
      <c r="X117" s="21" t="s">
        <v>313</v>
      </c>
      <c r="Y117" s="21" t="s">
        <v>313</v>
      </c>
      <c r="Z117" s="21" t="s">
        <v>313</v>
      </c>
      <c r="AA117" s="21" t="s">
        <v>313</v>
      </c>
      <c r="AB117" s="21" t="s">
        <v>313</v>
      </c>
      <c r="AC117" s="21" t="s">
        <v>313</v>
      </c>
      <c r="AD117" s="21" t="s">
        <v>313</v>
      </c>
      <c r="AE117" s="21" t="s">
        <v>313</v>
      </c>
      <c r="AF117" s="21" t="s">
        <v>313</v>
      </c>
      <c r="AG117" s="21" t="s">
        <v>313</v>
      </c>
      <c r="AH117" s="21" t="s">
        <v>313</v>
      </c>
      <c r="AI117" s="21" t="s">
        <v>313</v>
      </c>
      <c r="AJ117" s="21" t="s">
        <v>313</v>
      </c>
      <c r="AK117" s="21" t="s">
        <v>313</v>
      </c>
      <c r="AL117" s="21" t="s">
        <v>313</v>
      </c>
      <c r="AM117" s="21" t="s">
        <v>313</v>
      </c>
      <c r="AN117" s="21" t="s">
        <v>313</v>
      </c>
      <c r="AO117" s="21" t="s">
        <v>313</v>
      </c>
      <c r="AP117" s="21" t="s">
        <v>313</v>
      </c>
      <c r="AQ117" s="21" t="s">
        <v>313</v>
      </c>
      <c r="AR117" s="21" t="s">
        <v>313</v>
      </c>
      <c r="AS117" s="21" t="s">
        <v>313</v>
      </c>
      <c r="AT117" s="21" t="s">
        <v>313</v>
      </c>
      <c r="AU117" s="21" t="s">
        <v>313</v>
      </c>
      <c r="AV117" s="21" t="s">
        <v>313</v>
      </c>
      <c r="AW117" s="21" t="s">
        <v>313</v>
      </c>
      <c r="AX117" s="21" t="s">
        <v>313</v>
      </c>
    </row>
    <row r="118" spans="1:50" ht="15" customHeight="1" x14ac:dyDescent="0.3">
      <c r="A118" s="30" t="s">
        <v>59</v>
      </c>
      <c r="B118" s="29" t="str">
        <f>IFERROR(VLOOKUP(A118,'[1]JL EXE ACTIVE FTE List'!$G:$N,8,FALSE),IF(ISNA(VLOOKUP(A118,'[1]JL EXE LEAVER List'!$G:$I,3,FALSE)),"Query","Leaver"))</f>
        <v>LE</v>
      </c>
      <c r="C118" s="29" t="str">
        <f>IFERROR(VLOOKUP(A118,'[1]JL EXE ACTIVE FTE List'!$G:$R,12,FALSE),IF(ISNA(VLOOKUP(A118,'[1]JL EXE LEAVER List'!$G:$I,3,FALSE)),"?QUERY?","Leaver"))</f>
        <v>ACTIVE</v>
      </c>
      <c r="D118" s="39" t="str">
        <f>IFERROR(IFERROR(VLOOKUP(A118,'[1]JL EXE ACTIVE FTE List'!$G:$H,2,FALSE),VLOOKUP(A118,'[1]JL EXE LEAVER List'!$G:$H,2,FALSE)),"?QUERY?")</f>
        <v>David Hitching</v>
      </c>
      <c r="E118" s="40">
        <f>IFERROR(IFERROR(VLOOKUP(A118,'[1]JL EXE ACTIVE FTE List'!$G:$O,9,FALSE),VLOOKUP(A118,'[1]JL EXE LEAVER List'!$G:$O,9,FALSE)),"?QUERY?")</f>
        <v>42955</v>
      </c>
      <c r="F118" s="21" t="s">
        <v>338</v>
      </c>
      <c r="G118" s="21" t="s">
        <v>338</v>
      </c>
      <c r="H118" s="21" t="s">
        <v>338</v>
      </c>
      <c r="I118" s="21" t="s">
        <v>313</v>
      </c>
      <c r="J118" s="21" t="s">
        <v>313</v>
      </c>
      <c r="K118" s="21" t="s">
        <v>313</v>
      </c>
      <c r="L118" s="21" t="s">
        <v>313</v>
      </c>
      <c r="M118" s="21" t="s">
        <v>313</v>
      </c>
      <c r="N118" s="21" t="s">
        <v>313</v>
      </c>
      <c r="O118" s="21" t="s">
        <v>313</v>
      </c>
      <c r="P118" s="21" t="s">
        <v>313</v>
      </c>
      <c r="Q118" s="21" t="s">
        <v>313</v>
      </c>
      <c r="R118" s="21" t="s">
        <v>313</v>
      </c>
      <c r="S118" s="21" t="s">
        <v>313</v>
      </c>
      <c r="T118" s="21" t="s">
        <v>313</v>
      </c>
      <c r="U118" s="21" t="s">
        <v>313</v>
      </c>
      <c r="V118" s="21" t="s">
        <v>313</v>
      </c>
      <c r="W118" s="21" t="s">
        <v>313</v>
      </c>
      <c r="X118" s="21" t="s">
        <v>313</v>
      </c>
      <c r="Y118" s="21" t="s">
        <v>313</v>
      </c>
      <c r="Z118" s="21" t="s">
        <v>313</v>
      </c>
      <c r="AA118" s="21" t="s">
        <v>313</v>
      </c>
      <c r="AB118" s="21" t="s">
        <v>313</v>
      </c>
      <c r="AC118" s="21" t="s">
        <v>313</v>
      </c>
      <c r="AD118" s="21" t="s">
        <v>313</v>
      </c>
      <c r="AE118" s="21" t="s">
        <v>313</v>
      </c>
      <c r="AF118" s="21" t="s">
        <v>313</v>
      </c>
      <c r="AG118" s="21" t="s">
        <v>313</v>
      </c>
      <c r="AH118" s="21" t="s">
        <v>313</v>
      </c>
      <c r="AI118" s="21" t="s">
        <v>313</v>
      </c>
      <c r="AJ118" s="21" t="s">
        <v>313</v>
      </c>
      <c r="AK118" s="21" t="s">
        <v>313</v>
      </c>
      <c r="AL118" s="21" t="s">
        <v>313</v>
      </c>
      <c r="AM118" s="21" t="s">
        <v>313</v>
      </c>
      <c r="AN118" s="21" t="s">
        <v>313</v>
      </c>
      <c r="AO118" s="21" t="s">
        <v>313</v>
      </c>
      <c r="AP118" s="21" t="s">
        <v>313</v>
      </c>
      <c r="AQ118" s="21" t="s">
        <v>313</v>
      </c>
      <c r="AR118" s="21" t="s">
        <v>313</v>
      </c>
      <c r="AS118" s="21" t="s">
        <v>313</v>
      </c>
      <c r="AT118" s="21" t="s">
        <v>313</v>
      </c>
      <c r="AU118" s="21" t="s">
        <v>313</v>
      </c>
      <c r="AV118" s="21" t="s">
        <v>313</v>
      </c>
      <c r="AW118" s="21" t="s">
        <v>313</v>
      </c>
      <c r="AX118" s="21" t="s">
        <v>313</v>
      </c>
    </row>
    <row r="119" spans="1:50" ht="15" customHeight="1" x14ac:dyDescent="0.3">
      <c r="A119" s="30" t="s">
        <v>60</v>
      </c>
      <c r="B119" s="29" t="str">
        <f>IFERROR(VLOOKUP(A119,'[1]JL EXE ACTIVE FTE List'!$G:$N,8,FALSE),IF(ISNA(VLOOKUP(A119,'[1]JL EXE LEAVER List'!$G:$I,3,FALSE)),"Query","Leaver"))</f>
        <v>LE</v>
      </c>
      <c r="C119" s="29" t="str">
        <f>IFERROR(VLOOKUP(A119,'[1]JL EXE ACTIVE FTE List'!$G:$R,12,FALSE),IF(ISNA(VLOOKUP(A119,'[1]JL EXE LEAVER List'!$G:$I,3,FALSE)),"?QUERY?","Leaver"))</f>
        <v>ACTIVE</v>
      </c>
      <c r="D119" s="39" t="str">
        <f>IFERROR(IFERROR(VLOOKUP(A119,'[1]JL EXE ACTIVE FTE List'!$G:$H,2,FALSE),VLOOKUP(A119,'[1]JL EXE LEAVER List'!$G:$H,2,FALSE)),"?QUERY?")</f>
        <v>David Hitching</v>
      </c>
      <c r="E119" s="40">
        <f>IFERROR(IFERROR(VLOOKUP(A119,'[1]JL EXE ACTIVE FTE List'!$G:$O,9,FALSE),VLOOKUP(A119,'[1]JL EXE LEAVER List'!$G:$O,9,FALSE)),"?QUERY?")</f>
        <v>42955</v>
      </c>
      <c r="F119" s="21" t="s">
        <v>338</v>
      </c>
      <c r="G119" s="21" t="s">
        <v>338</v>
      </c>
      <c r="H119" s="21" t="s">
        <v>335</v>
      </c>
      <c r="I119" s="21" t="s">
        <v>313</v>
      </c>
      <c r="J119" s="21" t="s">
        <v>313</v>
      </c>
      <c r="K119" s="21" t="s">
        <v>313</v>
      </c>
      <c r="L119" s="21" t="s">
        <v>313</v>
      </c>
      <c r="M119" s="21" t="s">
        <v>313</v>
      </c>
      <c r="N119" s="21" t="s">
        <v>313</v>
      </c>
      <c r="O119" s="21" t="s">
        <v>313</v>
      </c>
      <c r="P119" s="21" t="s">
        <v>313</v>
      </c>
      <c r="Q119" s="21" t="s">
        <v>313</v>
      </c>
      <c r="R119" s="21" t="s">
        <v>313</v>
      </c>
      <c r="S119" s="21" t="s">
        <v>313</v>
      </c>
      <c r="T119" s="21" t="s">
        <v>313</v>
      </c>
      <c r="U119" s="21" t="s">
        <v>313</v>
      </c>
      <c r="V119" s="21" t="s">
        <v>313</v>
      </c>
      <c r="W119" s="21" t="s">
        <v>313</v>
      </c>
      <c r="X119" s="21" t="s">
        <v>313</v>
      </c>
      <c r="Y119" s="21" t="s">
        <v>313</v>
      </c>
      <c r="Z119" s="21" t="s">
        <v>313</v>
      </c>
      <c r="AA119" s="21" t="s">
        <v>313</v>
      </c>
      <c r="AB119" s="21" t="s">
        <v>313</v>
      </c>
      <c r="AC119" s="21" t="s">
        <v>313</v>
      </c>
      <c r="AD119" s="21" t="s">
        <v>313</v>
      </c>
      <c r="AE119" s="21" t="s">
        <v>313</v>
      </c>
      <c r="AF119" s="21" t="s">
        <v>313</v>
      </c>
      <c r="AG119" s="21" t="s">
        <v>313</v>
      </c>
      <c r="AH119" s="21" t="s">
        <v>313</v>
      </c>
      <c r="AI119" s="21" t="s">
        <v>313</v>
      </c>
      <c r="AJ119" s="21" t="s">
        <v>313</v>
      </c>
      <c r="AK119" s="21" t="s">
        <v>313</v>
      </c>
      <c r="AL119" s="21" t="s">
        <v>313</v>
      </c>
      <c r="AM119" s="21" t="s">
        <v>313</v>
      </c>
      <c r="AN119" s="21" t="s">
        <v>313</v>
      </c>
      <c r="AO119" s="21" t="s">
        <v>313</v>
      </c>
      <c r="AP119" s="21" t="s">
        <v>313</v>
      </c>
      <c r="AQ119" s="21" t="s">
        <v>313</v>
      </c>
      <c r="AR119" s="21" t="s">
        <v>313</v>
      </c>
      <c r="AS119" s="21" t="s">
        <v>313</v>
      </c>
      <c r="AT119" s="21" t="s">
        <v>313</v>
      </c>
      <c r="AU119" s="21" t="s">
        <v>313</v>
      </c>
      <c r="AV119" s="21" t="s">
        <v>313</v>
      </c>
      <c r="AW119" s="21" t="s">
        <v>313</v>
      </c>
      <c r="AX119" s="21" t="s">
        <v>313</v>
      </c>
    </row>
    <row r="120" spans="1:50" x14ac:dyDescent="0.3">
      <c r="A120" s="30" t="s">
        <v>61</v>
      </c>
      <c r="B120" s="29" t="str">
        <f>IFERROR(VLOOKUP(A120,'[1]JL EXE ACTIVE FTE List'!$G:$N,8,FALSE),IF(ISNA(VLOOKUP(A120,'[1]JL EXE LEAVER List'!$G:$I,3,FALSE)),"Query","Leaver"))</f>
        <v>LE</v>
      </c>
      <c r="C120" s="29" t="str">
        <f>IFERROR(VLOOKUP(A120,'[1]JL EXE ACTIVE FTE List'!$G:$R,12,FALSE),IF(ISNA(VLOOKUP(A120,'[1]JL EXE LEAVER List'!$G:$I,3,FALSE)),"?QUERY?","Leaver"))</f>
        <v>ACTIVE</v>
      </c>
      <c r="D120" s="39" t="str">
        <f>IFERROR(IFERROR(VLOOKUP(A120,'[1]JL EXE ACTIVE FTE List'!$G:$H,2,FALSE),VLOOKUP(A120,'[1]JL EXE LEAVER List'!$G:$H,2,FALSE)),"?QUERY?")</f>
        <v>David Hitching</v>
      </c>
      <c r="E120" s="40">
        <f>IFERROR(IFERROR(VLOOKUP(A120,'[1]JL EXE ACTIVE FTE List'!$G:$O,9,FALSE),VLOOKUP(A120,'[1]JL EXE LEAVER List'!$G:$O,9,FALSE)),"?QUERY?")</f>
        <v>42835</v>
      </c>
      <c r="F120" s="21" t="s">
        <v>338</v>
      </c>
      <c r="G120" s="21" t="s">
        <v>338</v>
      </c>
      <c r="H120" s="21" t="s">
        <v>338</v>
      </c>
      <c r="I120" s="21" t="s">
        <v>313</v>
      </c>
      <c r="J120" s="21" t="s">
        <v>313</v>
      </c>
      <c r="K120" s="21" t="s">
        <v>313</v>
      </c>
      <c r="L120" s="21" t="s">
        <v>313</v>
      </c>
      <c r="M120" s="21" t="s">
        <v>313</v>
      </c>
      <c r="N120" s="21" t="s">
        <v>313</v>
      </c>
      <c r="O120" s="21" t="s">
        <v>313</v>
      </c>
      <c r="P120" s="21" t="s">
        <v>313</v>
      </c>
      <c r="Q120" s="21" t="s">
        <v>313</v>
      </c>
      <c r="R120" s="21" t="s">
        <v>313</v>
      </c>
      <c r="S120" s="21" t="s">
        <v>313</v>
      </c>
      <c r="T120" s="21" t="s">
        <v>313</v>
      </c>
      <c r="U120" s="21" t="s">
        <v>313</v>
      </c>
      <c r="V120" s="21" t="s">
        <v>313</v>
      </c>
      <c r="W120" s="21" t="s">
        <v>313</v>
      </c>
      <c r="X120" s="21" t="s">
        <v>313</v>
      </c>
      <c r="Y120" s="21" t="s">
        <v>313</v>
      </c>
      <c r="Z120" s="21" t="s">
        <v>313</v>
      </c>
      <c r="AA120" s="21" t="s">
        <v>313</v>
      </c>
      <c r="AB120" s="21" t="s">
        <v>313</v>
      </c>
      <c r="AC120" s="21" t="s">
        <v>313</v>
      </c>
      <c r="AD120" s="21" t="s">
        <v>313</v>
      </c>
      <c r="AE120" s="21" t="s">
        <v>313</v>
      </c>
      <c r="AF120" s="21" t="s">
        <v>313</v>
      </c>
      <c r="AG120" s="21" t="s">
        <v>313</v>
      </c>
      <c r="AH120" s="21" t="s">
        <v>313</v>
      </c>
      <c r="AI120" s="21" t="s">
        <v>313</v>
      </c>
      <c r="AJ120" s="21" t="s">
        <v>313</v>
      </c>
      <c r="AK120" s="21" t="s">
        <v>313</v>
      </c>
      <c r="AL120" s="21" t="s">
        <v>313</v>
      </c>
      <c r="AM120" s="21" t="s">
        <v>313</v>
      </c>
      <c r="AN120" s="21" t="s">
        <v>313</v>
      </c>
      <c r="AO120" s="21" t="s">
        <v>313</v>
      </c>
      <c r="AP120" s="21" t="s">
        <v>313</v>
      </c>
      <c r="AQ120" s="21" t="s">
        <v>313</v>
      </c>
      <c r="AR120" s="21" t="s">
        <v>313</v>
      </c>
      <c r="AS120" s="21" t="s">
        <v>313</v>
      </c>
      <c r="AT120" s="21" t="s">
        <v>313</v>
      </c>
      <c r="AU120" s="21" t="s">
        <v>313</v>
      </c>
      <c r="AV120" s="21" t="s">
        <v>313</v>
      </c>
      <c r="AW120" s="21" t="s">
        <v>313</v>
      </c>
      <c r="AX120" s="21" t="s">
        <v>313</v>
      </c>
    </row>
    <row r="121" spans="1:50" ht="15" customHeight="1" x14ac:dyDescent="0.3">
      <c r="A121" s="30" t="s">
        <v>64</v>
      </c>
      <c r="B121" s="29" t="str">
        <f>IFERROR(VLOOKUP(A121,'[1]JL EXE ACTIVE FTE List'!$G:$N,8,FALSE),IF(ISNA(VLOOKUP(A121,'[1]JL EXE LEAVER List'!$G:$I,3,FALSE)),"Query","Leaver"))</f>
        <v>LE</v>
      </c>
      <c r="C121" s="29" t="str">
        <f>IFERROR(VLOOKUP(A121,'[1]JL EXE ACTIVE FTE List'!$G:$R,12,FALSE),IF(ISNA(VLOOKUP(A121,'[1]JL EXE LEAVER List'!$G:$I,3,FALSE)),"?QUERY?","Leaver"))</f>
        <v>ACTIVE</v>
      </c>
      <c r="D121" s="39" t="str">
        <f>IFERROR(IFERROR(VLOOKUP(A121,'[1]JL EXE ACTIVE FTE List'!$G:$H,2,FALSE),VLOOKUP(A121,'[1]JL EXE LEAVER List'!$G:$H,2,FALSE)),"?QUERY?")</f>
        <v>David Hitching</v>
      </c>
      <c r="E121" s="40">
        <f>IFERROR(IFERROR(VLOOKUP(A121,'[1]JL EXE ACTIVE FTE List'!$G:$O,9,FALSE),VLOOKUP(A121,'[1]JL EXE LEAVER List'!$G:$O,9,FALSE)),"?QUERY?")</f>
        <v>42807</v>
      </c>
      <c r="F121" s="21" t="s">
        <v>338</v>
      </c>
      <c r="G121" s="21" t="s">
        <v>338</v>
      </c>
      <c r="H121" s="21" t="s">
        <v>338</v>
      </c>
      <c r="I121" s="21" t="s">
        <v>313</v>
      </c>
      <c r="J121" s="21" t="s">
        <v>313</v>
      </c>
      <c r="K121" s="21" t="s">
        <v>313</v>
      </c>
      <c r="L121" s="21" t="s">
        <v>313</v>
      </c>
      <c r="M121" s="21" t="s">
        <v>313</v>
      </c>
      <c r="N121" s="21" t="s">
        <v>313</v>
      </c>
      <c r="O121" s="21" t="s">
        <v>313</v>
      </c>
      <c r="P121" s="21" t="s">
        <v>313</v>
      </c>
      <c r="Q121" s="21" t="s">
        <v>313</v>
      </c>
      <c r="R121" s="21" t="s">
        <v>313</v>
      </c>
      <c r="S121" s="21" t="s">
        <v>313</v>
      </c>
      <c r="T121" s="21" t="s">
        <v>313</v>
      </c>
      <c r="U121" s="21" t="s">
        <v>313</v>
      </c>
      <c r="V121" s="21" t="s">
        <v>313</v>
      </c>
      <c r="W121" s="21" t="s">
        <v>313</v>
      </c>
      <c r="X121" s="21" t="s">
        <v>313</v>
      </c>
      <c r="Y121" s="21" t="s">
        <v>313</v>
      </c>
      <c r="Z121" s="21" t="s">
        <v>313</v>
      </c>
      <c r="AA121" s="21" t="s">
        <v>313</v>
      </c>
      <c r="AB121" s="21" t="s">
        <v>313</v>
      </c>
      <c r="AC121" s="21" t="s">
        <v>313</v>
      </c>
      <c r="AD121" s="21" t="s">
        <v>313</v>
      </c>
      <c r="AE121" s="21" t="s">
        <v>313</v>
      </c>
      <c r="AF121" s="21" t="s">
        <v>313</v>
      </c>
      <c r="AG121" s="21" t="s">
        <v>313</v>
      </c>
      <c r="AH121" s="21" t="s">
        <v>313</v>
      </c>
      <c r="AI121" s="21" t="s">
        <v>313</v>
      </c>
      <c r="AJ121" s="21" t="s">
        <v>313</v>
      </c>
      <c r="AK121" s="21" t="s">
        <v>313</v>
      </c>
      <c r="AL121" s="21" t="s">
        <v>313</v>
      </c>
      <c r="AM121" s="21" t="s">
        <v>313</v>
      </c>
      <c r="AN121" s="21" t="s">
        <v>313</v>
      </c>
      <c r="AO121" s="21" t="s">
        <v>313</v>
      </c>
      <c r="AP121" s="21" t="s">
        <v>313</v>
      </c>
      <c r="AQ121" s="21" t="s">
        <v>313</v>
      </c>
      <c r="AR121" s="21" t="s">
        <v>313</v>
      </c>
      <c r="AS121" s="21" t="s">
        <v>313</v>
      </c>
      <c r="AT121" s="21" t="s">
        <v>313</v>
      </c>
      <c r="AU121" s="21" t="s">
        <v>313</v>
      </c>
      <c r="AV121" s="21" t="s">
        <v>313</v>
      </c>
      <c r="AW121" s="21" t="s">
        <v>313</v>
      </c>
      <c r="AX121" s="21" t="s">
        <v>313</v>
      </c>
    </row>
    <row r="122" spans="1:50" ht="15" customHeight="1" x14ac:dyDescent="0.3">
      <c r="A122" s="30" t="s">
        <v>232</v>
      </c>
      <c r="B122" s="29" t="str">
        <f>IFERROR(VLOOKUP(A122,'[1]JL EXE ACTIVE FTE List'!$G:$N,8,FALSE),IF(ISNA(VLOOKUP(A122,'[1]JL EXE LEAVER List'!$G:$I,3,FALSE)),"Query","Leaver"))</f>
        <v>LE</v>
      </c>
      <c r="C122" s="29" t="str">
        <f>IFERROR(VLOOKUP(A122,'[1]JL EXE ACTIVE FTE List'!$G:$R,12,FALSE),IF(ISNA(VLOOKUP(A122,'[1]JL EXE LEAVER List'!$G:$I,3,FALSE)),"?QUERY?","Leaver"))</f>
        <v>ACTIVE</v>
      </c>
      <c r="D122" s="39" t="str">
        <f>IFERROR(IFERROR(VLOOKUP(A122,'[1]JL EXE ACTIVE FTE List'!$G:$H,2,FALSE),VLOOKUP(A122,'[1]JL EXE LEAVER List'!$G:$H,2,FALSE)),"?QUERY?")</f>
        <v>David Hitching</v>
      </c>
      <c r="E122" s="40">
        <f>IFERROR(IFERROR(VLOOKUP(A122,'[1]JL EXE ACTIVE FTE List'!$G:$O,9,FALSE),VLOOKUP(A122,'[1]JL EXE LEAVER List'!$G:$O,9,FALSE)),"?QUERY?")</f>
        <v>42156</v>
      </c>
      <c r="F122" s="21" t="s">
        <v>338</v>
      </c>
      <c r="G122" s="21" t="s">
        <v>338</v>
      </c>
      <c r="H122" s="21" t="s">
        <v>338</v>
      </c>
      <c r="I122" s="21" t="s">
        <v>313</v>
      </c>
      <c r="J122" s="21" t="s">
        <v>313</v>
      </c>
      <c r="K122" s="21" t="s">
        <v>313</v>
      </c>
      <c r="L122" s="21" t="s">
        <v>313</v>
      </c>
      <c r="M122" s="21" t="s">
        <v>313</v>
      </c>
      <c r="N122" s="21" t="s">
        <v>313</v>
      </c>
      <c r="O122" s="21" t="s">
        <v>313</v>
      </c>
      <c r="P122" s="21" t="s">
        <v>313</v>
      </c>
      <c r="Q122" s="21" t="s">
        <v>313</v>
      </c>
      <c r="R122" s="21" t="s">
        <v>313</v>
      </c>
      <c r="S122" s="21" t="s">
        <v>313</v>
      </c>
      <c r="T122" s="21" t="s">
        <v>313</v>
      </c>
      <c r="U122" s="21" t="s">
        <v>313</v>
      </c>
      <c r="V122" s="21" t="s">
        <v>313</v>
      </c>
      <c r="W122" s="21" t="s">
        <v>313</v>
      </c>
      <c r="X122" s="21" t="s">
        <v>313</v>
      </c>
      <c r="Y122" s="21" t="s">
        <v>313</v>
      </c>
      <c r="Z122" s="21" t="s">
        <v>313</v>
      </c>
      <c r="AA122" s="21" t="s">
        <v>313</v>
      </c>
      <c r="AB122" s="21" t="s">
        <v>313</v>
      </c>
      <c r="AC122" s="21" t="s">
        <v>313</v>
      </c>
      <c r="AD122" s="21" t="s">
        <v>313</v>
      </c>
      <c r="AE122" s="21" t="s">
        <v>313</v>
      </c>
      <c r="AF122" s="21" t="s">
        <v>313</v>
      </c>
      <c r="AG122" s="21" t="s">
        <v>313</v>
      </c>
      <c r="AH122" s="21" t="s">
        <v>313</v>
      </c>
      <c r="AI122" s="21" t="s">
        <v>313</v>
      </c>
      <c r="AJ122" s="21" t="s">
        <v>313</v>
      </c>
      <c r="AK122" s="21" t="s">
        <v>313</v>
      </c>
      <c r="AL122" s="21" t="s">
        <v>313</v>
      </c>
      <c r="AM122" s="21" t="s">
        <v>313</v>
      </c>
      <c r="AN122" s="21" t="s">
        <v>313</v>
      </c>
      <c r="AO122" s="21" t="s">
        <v>313</v>
      </c>
      <c r="AP122" s="21" t="s">
        <v>313</v>
      </c>
      <c r="AQ122" s="21" t="s">
        <v>313</v>
      </c>
      <c r="AR122" s="21" t="s">
        <v>313</v>
      </c>
      <c r="AS122" s="21" t="s">
        <v>313</v>
      </c>
      <c r="AT122" s="21" t="s">
        <v>313</v>
      </c>
      <c r="AU122" s="21" t="s">
        <v>313</v>
      </c>
      <c r="AV122" s="21" t="s">
        <v>313</v>
      </c>
      <c r="AW122" s="21" t="s">
        <v>313</v>
      </c>
      <c r="AX122" s="21" t="s">
        <v>313</v>
      </c>
    </row>
    <row r="123" spans="1:50" ht="15" customHeight="1" x14ac:dyDescent="0.3">
      <c r="A123" s="30" t="s">
        <v>66</v>
      </c>
      <c r="B123" s="29" t="str">
        <f>IFERROR(VLOOKUP(A123,'[1]JL EXE ACTIVE FTE List'!$G:$N,8,FALSE),IF(ISNA(VLOOKUP(A123,'[1]JL EXE LEAVER List'!$G:$I,3,FALSE)),"Query","Leaver"))</f>
        <v>LE</v>
      </c>
      <c r="C123" s="29" t="str">
        <f>IFERROR(VLOOKUP(A123,'[1]JL EXE ACTIVE FTE List'!$G:$R,12,FALSE),IF(ISNA(VLOOKUP(A123,'[1]JL EXE LEAVER List'!$G:$I,3,FALSE)),"?QUERY?","Leaver"))</f>
        <v>ACTIVE</v>
      </c>
      <c r="D123" s="39" t="str">
        <f>IFERROR(IFERROR(VLOOKUP(A123,'[1]JL EXE ACTIVE FTE List'!$G:$H,2,FALSE),VLOOKUP(A123,'[1]JL EXE LEAVER List'!$G:$H,2,FALSE)),"?QUERY?")</f>
        <v>David Hitching</v>
      </c>
      <c r="E123" s="40">
        <f>IFERROR(IFERROR(VLOOKUP(A123,'[1]JL EXE ACTIVE FTE List'!$G:$O,9,FALSE),VLOOKUP(A123,'[1]JL EXE LEAVER List'!$G:$O,9,FALSE)),"?QUERY?")</f>
        <v>42674</v>
      </c>
      <c r="F123" s="21" t="s">
        <v>338</v>
      </c>
      <c r="G123" s="21" t="s">
        <v>338</v>
      </c>
      <c r="H123" s="21" t="s">
        <v>338</v>
      </c>
      <c r="I123" s="21" t="s">
        <v>313</v>
      </c>
      <c r="J123" s="21" t="s">
        <v>313</v>
      </c>
      <c r="K123" s="21" t="s">
        <v>313</v>
      </c>
      <c r="L123" s="21" t="s">
        <v>313</v>
      </c>
      <c r="M123" s="21" t="s">
        <v>313</v>
      </c>
      <c r="N123" s="21" t="s">
        <v>313</v>
      </c>
      <c r="O123" s="21" t="s">
        <v>313</v>
      </c>
      <c r="P123" s="21" t="s">
        <v>313</v>
      </c>
      <c r="Q123" s="21" t="s">
        <v>313</v>
      </c>
      <c r="R123" s="21" t="s">
        <v>313</v>
      </c>
      <c r="S123" s="21" t="s">
        <v>313</v>
      </c>
      <c r="T123" s="21" t="s">
        <v>313</v>
      </c>
      <c r="U123" s="21" t="s">
        <v>313</v>
      </c>
      <c r="V123" s="21" t="s">
        <v>313</v>
      </c>
      <c r="W123" s="21" t="s">
        <v>313</v>
      </c>
      <c r="X123" s="21" t="s">
        <v>313</v>
      </c>
      <c r="Y123" s="21" t="s">
        <v>313</v>
      </c>
      <c r="Z123" s="21" t="s">
        <v>313</v>
      </c>
      <c r="AA123" s="21" t="s">
        <v>313</v>
      </c>
      <c r="AB123" s="21" t="s">
        <v>313</v>
      </c>
      <c r="AC123" s="21" t="s">
        <v>313</v>
      </c>
      <c r="AD123" s="21" t="s">
        <v>313</v>
      </c>
      <c r="AE123" s="21" t="s">
        <v>313</v>
      </c>
      <c r="AF123" s="21" t="s">
        <v>313</v>
      </c>
      <c r="AG123" s="21" t="s">
        <v>313</v>
      </c>
      <c r="AH123" s="21" t="s">
        <v>313</v>
      </c>
      <c r="AI123" s="21" t="s">
        <v>313</v>
      </c>
      <c r="AJ123" s="21" t="s">
        <v>313</v>
      </c>
      <c r="AK123" s="21" t="s">
        <v>313</v>
      </c>
      <c r="AL123" s="21" t="s">
        <v>313</v>
      </c>
      <c r="AM123" s="21" t="s">
        <v>313</v>
      </c>
      <c r="AN123" s="21" t="s">
        <v>313</v>
      </c>
      <c r="AO123" s="21" t="s">
        <v>313</v>
      </c>
      <c r="AP123" s="21" t="s">
        <v>313</v>
      </c>
      <c r="AQ123" s="21" t="s">
        <v>313</v>
      </c>
      <c r="AR123" s="21" t="s">
        <v>313</v>
      </c>
      <c r="AS123" s="21" t="s">
        <v>313</v>
      </c>
      <c r="AT123" s="21" t="s">
        <v>313</v>
      </c>
      <c r="AU123" s="21" t="s">
        <v>313</v>
      </c>
      <c r="AV123" s="21" t="s">
        <v>313</v>
      </c>
      <c r="AW123" s="21" t="s">
        <v>313</v>
      </c>
      <c r="AX123" s="21" t="s">
        <v>313</v>
      </c>
    </row>
    <row r="124" spans="1:50" ht="15" customHeight="1" x14ac:dyDescent="0.3">
      <c r="A124" s="30" t="s">
        <v>67</v>
      </c>
      <c r="B124" s="29" t="str">
        <f>IFERROR(VLOOKUP(A124,'[1]JL EXE ACTIVE FTE List'!$G:$N,8,FALSE),IF(ISNA(VLOOKUP(A124,'[1]JL EXE LEAVER List'!$G:$I,3,FALSE)),"Query","Leaver"))</f>
        <v>LE</v>
      </c>
      <c r="C124" s="29" t="str">
        <f>IFERROR(VLOOKUP(A124,'[1]JL EXE ACTIVE FTE List'!$G:$R,12,FALSE),IF(ISNA(VLOOKUP(A124,'[1]JL EXE LEAVER List'!$G:$I,3,FALSE)),"?QUERY?","Leaver"))</f>
        <v>ACTIVE</v>
      </c>
      <c r="D124" s="39" t="str">
        <f>IFERROR(IFERROR(VLOOKUP(A124,'[1]JL EXE ACTIVE FTE List'!$G:$H,2,FALSE),VLOOKUP(A124,'[1]JL EXE LEAVER List'!$G:$H,2,FALSE)),"?QUERY?")</f>
        <v>David Hitching</v>
      </c>
      <c r="E124" s="40">
        <f>IFERROR(IFERROR(VLOOKUP(A124,'[1]JL EXE ACTIVE FTE List'!$G:$O,9,FALSE),VLOOKUP(A124,'[1]JL EXE LEAVER List'!$G:$O,9,FALSE)),"?QUERY?")</f>
        <v>42997</v>
      </c>
      <c r="F124" s="21" t="s">
        <v>338</v>
      </c>
      <c r="G124" s="21" t="s">
        <v>338</v>
      </c>
      <c r="H124" s="21" t="s">
        <v>335</v>
      </c>
      <c r="I124" s="21" t="s">
        <v>313</v>
      </c>
      <c r="J124" s="21" t="s">
        <v>313</v>
      </c>
      <c r="K124" s="21" t="s">
        <v>313</v>
      </c>
      <c r="L124" s="21" t="s">
        <v>313</v>
      </c>
      <c r="M124" s="21" t="s">
        <v>313</v>
      </c>
      <c r="N124" s="21" t="s">
        <v>313</v>
      </c>
      <c r="O124" s="21" t="s">
        <v>313</v>
      </c>
      <c r="P124" s="21" t="s">
        <v>313</v>
      </c>
      <c r="Q124" s="21" t="s">
        <v>313</v>
      </c>
      <c r="R124" s="21" t="s">
        <v>313</v>
      </c>
      <c r="S124" s="21" t="s">
        <v>313</v>
      </c>
      <c r="T124" s="21" t="s">
        <v>313</v>
      </c>
      <c r="U124" s="21" t="s">
        <v>313</v>
      </c>
      <c r="V124" s="21" t="s">
        <v>313</v>
      </c>
      <c r="W124" s="21" t="s">
        <v>313</v>
      </c>
      <c r="X124" s="21" t="s">
        <v>313</v>
      </c>
      <c r="Y124" s="21" t="s">
        <v>313</v>
      </c>
      <c r="Z124" s="21" t="s">
        <v>313</v>
      </c>
      <c r="AA124" s="21" t="s">
        <v>313</v>
      </c>
      <c r="AB124" s="21" t="s">
        <v>313</v>
      </c>
      <c r="AC124" s="21" t="s">
        <v>313</v>
      </c>
      <c r="AD124" s="21" t="s">
        <v>313</v>
      </c>
      <c r="AE124" s="21" t="s">
        <v>313</v>
      </c>
      <c r="AF124" s="21" t="s">
        <v>313</v>
      </c>
      <c r="AG124" s="21" t="s">
        <v>313</v>
      </c>
      <c r="AH124" s="21" t="s">
        <v>313</v>
      </c>
      <c r="AI124" s="21" t="s">
        <v>313</v>
      </c>
      <c r="AJ124" s="21" t="s">
        <v>313</v>
      </c>
      <c r="AK124" s="21" t="s">
        <v>313</v>
      </c>
      <c r="AL124" s="21" t="s">
        <v>313</v>
      </c>
      <c r="AM124" s="21" t="s">
        <v>313</v>
      </c>
      <c r="AN124" s="21" t="s">
        <v>313</v>
      </c>
      <c r="AO124" s="21" t="s">
        <v>313</v>
      </c>
      <c r="AP124" s="21" t="s">
        <v>313</v>
      </c>
      <c r="AQ124" s="21" t="s">
        <v>313</v>
      </c>
      <c r="AR124" s="21" t="s">
        <v>313</v>
      </c>
      <c r="AS124" s="21" t="s">
        <v>313</v>
      </c>
      <c r="AT124" s="21" t="s">
        <v>313</v>
      </c>
      <c r="AU124" s="21" t="s">
        <v>313</v>
      </c>
      <c r="AV124" s="21" t="s">
        <v>313</v>
      </c>
      <c r="AW124" s="21" t="s">
        <v>313</v>
      </c>
      <c r="AX124" s="21" t="s">
        <v>313</v>
      </c>
    </row>
    <row r="125" spans="1:50" ht="15" customHeight="1" x14ac:dyDescent="0.3">
      <c r="A125" s="30" t="s">
        <v>70</v>
      </c>
      <c r="B125" s="29" t="str">
        <f>IFERROR(VLOOKUP(A125,'[1]JL EXE ACTIVE FTE List'!$G:$N,8,FALSE),IF(ISNA(VLOOKUP(A125,'[1]JL EXE LEAVER List'!$G:$I,3,FALSE)),"Query","Leaver"))</f>
        <v>LE</v>
      </c>
      <c r="C125" s="29" t="str">
        <f>IFERROR(VLOOKUP(A125,'[1]JL EXE ACTIVE FTE List'!$G:$R,12,FALSE),IF(ISNA(VLOOKUP(A125,'[1]JL EXE LEAVER List'!$G:$I,3,FALSE)),"?QUERY?","Leaver"))</f>
        <v>ACTIVE</v>
      </c>
      <c r="D125" s="39" t="str">
        <f>IFERROR(IFERROR(VLOOKUP(A125,'[1]JL EXE ACTIVE FTE List'!$G:$H,2,FALSE),VLOOKUP(A125,'[1]JL EXE LEAVER List'!$G:$H,2,FALSE)),"?QUERY?")</f>
        <v>David Hitching</v>
      </c>
      <c r="E125" s="40">
        <f>IFERROR(IFERROR(VLOOKUP(A125,'[1]JL EXE ACTIVE FTE List'!$G:$O,9,FALSE),VLOOKUP(A125,'[1]JL EXE LEAVER List'!$G:$O,9,FALSE)),"?QUERY?")</f>
        <v>43017</v>
      </c>
      <c r="F125" s="21" t="s">
        <v>338</v>
      </c>
      <c r="G125" s="21" t="s">
        <v>338</v>
      </c>
      <c r="H125" s="21" t="s">
        <v>338</v>
      </c>
      <c r="I125" s="21" t="s">
        <v>313</v>
      </c>
      <c r="J125" s="21" t="s">
        <v>313</v>
      </c>
      <c r="K125" s="21" t="s">
        <v>313</v>
      </c>
      <c r="L125" s="21" t="s">
        <v>313</v>
      </c>
      <c r="M125" s="21" t="s">
        <v>313</v>
      </c>
      <c r="N125" s="21" t="s">
        <v>313</v>
      </c>
      <c r="O125" s="21" t="s">
        <v>313</v>
      </c>
      <c r="P125" s="21" t="s">
        <v>313</v>
      </c>
      <c r="Q125" s="21" t="s">
        <v>313</v>
      </c>
      <c r="R125" s="21" t="s">
        <v>313</v>
      </c>
      <c r="S125" s="21" t="s">
        <v>313</v>
      </c>
      <c r="T125" s="21" t="s">
        <v>313</v>
      </c>
      <c r="U125" s="21" t="s">
        <v>313</v>
      </c>
      <c r="V125" s="21" t="s">
        <v>313</v>
      </c>
      <c r="W125" s="21" t="s">
        <v>313</v>
      </c>
      <c r="X125" s="21" t="s">
        <v>313</v>
      </c>
      <c r="Y125" s="21" t="s">
        <v>313</v>
      </c>
      <c r="Z125" s="21" t="s">
        <v>313</v>
      </c>
      <c r="AA125" s="21" t="s">
        <v>313</v>
      </c>
      <c r="AB125" s="21" t="s">
        <v>313</v>
      </c>
      <c r="AC125" s="21" t="s">
        <v>313</v>
      </c>
      <c r="AD125" s="21" t="s">
        <v>313</v>
      </c>
      <c r="AE125" s="21" t="s">
        <v>313</v>
      </c>
      <c r="AF125" s="21" t="s">
        <v>313</v>
      </c>
      <c r="AG125" s="21" t="s">
        <v>313</v>
      </c>
      <c r="AH125" s="21" t="s">
        <v>313</v>
      </c>
      <c r="AI125" s="21" t="s">
        <v>313</v>
      </c>
      <c r="AJ125" s="21" t="s">
        <v>313</v>
      </c>
      <c r="AK125" s="21" t="s">
        <v>313</v>
      </c>
      <c r="AL125" s="21" t="s">
        <v>313</v>
      </c>
      <c r="AM125" s="21" t="s">
        <v>313</v>
      </c>
      <c r="AN125" s="21" t="s">
        <v>313</v>
      </c>
      <c r="AO125" s="21" t="s">
        <v>313</v>
      </c>
      <c r="AP125" s="21" t="s">
        <v>313</v>
      </c>
      <c r="AQ125" s="21" t="s">
        <v>313</v>
      </c>
      <c r="AR125" s="21" t="s">
        <v>313</v>
      </c>
      <c r="AS125" s="21" t="s">
        <v>313</v>
      </c>
      <c r="AT125" s="21" t="s">
        <v>313</v>
      </c>
      <c r="AU125" s="21" t="s">
        <v>313</v>
      </c>
      <c r="AV125" s="21" t="s">
        <v>313</v>
      </c>
      <c r="AW125" s="21" t="s">
        <v>313</v>
      </c>
      <c r="AX125" s="21" t="s">
        <v>313</v>
      </c>
    </row>
    <row r="126" spans="1:50" x14ac:dyDescent="0.3">
      <c r="A126" s="30" t="s">
        <v>250</v>
      </c>
      <c r="B126" s="29" t="str">
        <f>IFERROR(VLOOKUP(A126,'[1]JL EXE ACTIVE FTE List'!$G:$N,8,FALSE),IF(ISNA(VLOOKUP(A126,'[1]JL EXE LEAVER List'!$G:$I,3,FALSE)),"Query","Leaver"))</f>
        <v>LE</v>
      </c>
      <c r="C126" s="29" t="str">
        <f>IFERROR(VLOOKUP(A126,'[1]JL EXE ACTIVE FTE List'!$G:$R,12,FALSE),IF(ISNA(VLOOKUP(A126,'[1]JL EXE LEAVER List'!$G:$I,3,FALSE)),"?QUERY?","Leaver"))</f>
        <v>ACTIVE</v>
      </c>
      <c r="D126" s="39" t="str">
        <f>IFERROR(IFERROR(VLOOKUP(A126,'[1]JL EXE ACTIVE FTE List'!$G:$H,2,FALSE),VLOOKUP(A126,'[1]JL EXE LEAVER List'!$G:$H,2,FALSE)),"?QUERY?")</f>
        <v>David Hitching</v>
      </c>
      <c r="E126" s="40">
        <f>IFERROR(IFERROR(VLOOKUP(A126,'[1]JL EXE ACTIVE FTE List'!$G:$O,9,FALSE),VLOOKUP(A126,'[1]JL EXE LEAVER List'!$G:$O,9,FALSE)),"?QUERY?")</f>
        <v>43031</v>
      </c>
      <c r="F126" s="21" t="s">
        <v>338</v>
      </c>
      <c r="G126" s="21" t="s">
        <v>338</v>
      </c>
      <c r="H126" s="21" t="s">
        <v>338</v>
      </c>
      <c r="I126" s="21" t="s">
        <v>313</v>
      </c>
      <c r="J126" s="21" t="s">
        <v>313</v>
      </c>
      <c r="K126" s="21" t="s">
        <v>313</v>
      </c>
      <c r="L126" s="21" t="s">
        <v>313</v>
      </c>
      <c r="M126" s="21" t="s">
        <v>313</v>
      </c>
      <c r="N126" s="21" t="s">
        <v>313</v>
      </c>
      <c r="O126" s="21" t="s">
        <v>313</v>
      </c>
      <c r="P126" s="21" t="s">
        <v>313</v>
      </c>
      <c r="Q126" s="21" t="s">
        <v>313</v>
      </c>
      <c r="R126" s="21" t="s">
        <v>313</v>
      </c>
      <c r="S126" s="21" t="s">
        <v>313</v>
      </c>
      <c r="T126" s="21" t="s">
        <v>313</v>
      </c>
      <c r="U126" s="21" t="s">
        <v>313</v>
      </c>
      <c r="V126" s="21" t="s">
        <v>313</v>
      </c>
      <c r="W126" s="21" t="s">
        <v>313</v>
      </c>
      <c r="X126" s="21" t="s">
        <v>313</v>
      </c>
      <c r="Y126" s="21" t="s">
        <v>313</v>
      </c>
      <c r="Z126" s="21" t="s">
        <v>313</v>
      </c>
      <c r="AA126" s="21" t="s">
        <v>313</v>
      </c>
      <c r="AB126" s="21" t="s">
        <v>313</v>
      </c>
      <c r="AC126" s="21" t="s">
        <v>313</v>
      </c>
      <c r="AD126" s="21" t="s">
        <v>313</v>
      </c>
      <c r="AE126" s="21" t="s">
        <v>313</v>
      </c>
      <c r="AF126" s="21" t="s">
        <v>313</v>
      </c>
      <c r="AG126" s="21" t="s">
        <v>313</v>
      </c>
      <c r="AH126" s="21" t="s">
        <v>313</v>
      </c>
      <c r="AI126" s="21" t="s">
        <v>313</v>
      </c>
      <c r="AJ126" s="21" t="s">
        <v>313</v>
      </c>
      <c r="AK126" s="21" t="s">
        <v>313</v>
      </c>
      <c r="AL126" s="21" t="s">
        <v>313</v>
      </c>
      <c r="AM126" s="21" t="s">
        <v>313</v>
      </c>
      <c r="AN126" s="21" t="s">
        <v>313</v>
      </c>
      <c r="AO126" s="21" t="s">
        <v>313</v>
      </c>
      <c r="AP126" s="21" t="s">
        <v>313</v>
      </c>
      <c r="AQ126" s="21" t="s">
        <v>313</v>
      </c>
      <c r="AR126" s="21" t="s">
        <v>313</v>
      </c>
      <c r="AS126" s="21" t="s">
        <v>313</v>
      </c>
      <c r="AT126" s="21" t="s">
        <v>313</v>
      </c>
      <c r="AU126" s="21" t="s">
        <v>313</v>
      </c>
      <c r="AV126" s="21" t="s">
        <v>313</v>
      </c>
      <c r="AW126" s="21" t="s">
        <v>313</v>
      </c>
      <c r="AX126" s="21" t="s">
        <v>313</v>
      </c>
    </row>
    <row r="127" spans="1:50" ht="15" customHeight="1" x14ac:dyDescent="0.3">
      <c r="A127" s="30" t="s">
        <v>80</v>
      </c>
      <c r="B127" s="29" t="str">
        <f>IFERROR(VLOOKUP(A127,'[1]JL EXE ACTIVE FTE List'!$G:$N,8,FALSE),IF(ISNA(VLOOKUP(A127,'[1]JL EXE LEAVER List'!$G:$I,3,FALSE)),"Query","Leaver"))</f>
        <v>LE</v>
      </c>
      <c r="C127" s="29" t="str">
        <f>IFERROR(VLOOKUP(A127,'[1]JL EXE ACTIVE FTE List'!$G:$R,12,FALSE),IF(ISNA(VLOOKUP(A127,'[1]JL EXE LEAVER List'!$G:$I,3,FALSE)),"?QUERY?","Leaver"))</f>
        <v>ACTIVE</v>
      </c>
      <c r="D127" s="39" t="str">
        <f>IFERROR(IFERROR(VLOOKUP(A127,'[1]JL EXE ACTIVE FTE List'!$G:$H,2,FALSE),VLOOKUP(A127,'[1]JL EXE LEAVER List'!$G:$H,2,FALSE)),"?QUERY?")</f>
        <v>David Hitching</v>
      </c>
      <c r="E127" s="40">
        <f>IFERROR(IFERROR(VLOOKUP(A127,'[1]JL EXE ACTIVE FTE List'!$G:$O,9,FALSE),VLOOKUP(A127,'[1]JL EXE LEAVER List'!$G:$O,9,FALSE)),"?QUERY?")</f>
        <v>43017</v>
      </c>
      <c r="F127" s="21" t="s">
        <v>338</v>
      </c>
      <c r="G127" s="21" t="s">
        <v>338</v>
      </c>
      <c r="H127" s="21" t="s">
        <v>338</v>
      </c>
      <c r="I127" s="21" t="s">
        <v>313</v>
      </c>
      <c r="J127" s="21" t="s">
        <v>313</v>
      </c>
      <c r="K127" s="21" t="s">
        <v>313</v>
      </c>
      <c r="L127" s="21" t="s">
        <v>313</v>
      </c>
      <c r="M127" s="21" t="s">
        <v>313</v>
      </c>
      <c r="N127" s="21" t="s">
        <v>313</v>
      </c>
      <c r="O127" s="21" t="s">
        <v>313</v>
      </c>
      <c r="P127" s="21" t="s">
        <v>313</v>
      </c>
      <c r="Q127" s="21" t="s">
        <v>313</v>
      </c>
      <c r="R127" s="21" t="s">
        <v>313</v>
      </c>
      <c r="S127" s="21" t="s">
        <v>313</v>
      </c>
      <c r="T127" s="21" t="s">
        <v>313</v>
      </c>
      <c r="U127" s="21" t="s">
        <v>313</v>
      </c>
      <c r="V127" s="21" t="s">
        <v>313</v>
      </c>
      <c r="W127" s="21" t="s">
        <v>313</v>
      </c>
      <c r="X127" s="21" t="s">
        <v>313</v>
      </c>
      <c r="Y127" s="21" t="s">
        <v>313</v>
      </c>
      <c r="Z127" s="21" t="s">
        <v>313</v>
      </c>
      <c r="AA127" s="21" t="s">
        <v>313</v>
      </c>
      <c r="AB127" s="21" t="s">
        <v>313</v>
      </c>
      <c r="AC127" s="21" t="s">
        <v>313</v>
      </c>
      <c r="AD127" s="21" t="s">
        <v>313</v>
      </c>
      <c r="AE127" s="21" t="s">
        <v>313</v>
      </c>
      <c r="AF127" s="21" t="s">
        <v>313</v>
      </c>
      <c r="AG127" s="21" t="s">
        <v>313</v>
      </c>
      <c r="AH127" s="21" t="s">
        <v>313</v>
      </c>
      <c r="AI127" s="21" t="s">
        <v>313</v>
      </c>
      <c r="AJ127" s="21" t="s">
        <v>313</v>
      </c>
      <c r="AK127" s="21" t="s">
        <v>313</v>
      </c>
      <c r="AL127" s="21" t="s">
        <v>313</v>
      </c>
      <c r="AM127" s="21" t="s">
        <v>313</v>
      </c>
      <c r="AN127" s="21" t="s">
        <v>313</v>
      </c>
      <c r="AO127" s="21" t="s">
        <v>313</v>
      </c>
      <c r="AP127" s="21" t="s">
        <v>313</v>
      </c>
      <c r="AQ127" s="21" t="s">
        <v>313</v>
      </c>
      <c r="AR127" s="21" t="s">
        <v>313</v>
      </c>
      <c r="AS127" s="21" t="s">
        <v>313</v>
      </c>
      <c r="AT127" s="21" t="s">
        <v>313</v>
      </c>
      <c r="AU127" s="21" t="s">
        <v>313</v>
      </c>
      <c r="AV127" s="21" t="s">
        <v>313</v>
      </c>
      <c r="AW127" s="21" t="s">
        <v>313</v>
      </c>
      <c r="AX127" s="21" t="s">
        <v>313</v>
      </c>
    </row>
    <row r="128" spans="1:50" x14ac:dyDescent="0.3">
      <c r="A128" s="30" t="s">
        <v>91</v>
      </c>
      <c r="B128" s="29" t="str">
        <f>IFERROR(VLOOKUP(A128,'[1]JL EXE ACTIVE FTE List'!$G:$N,8,FALSE),IF(ISNA(VLOOKUP(A128,'[1]JL EXE LEAVER List'!$G:$I,3,FALSE)),"Query","Leaver"))</f>
        <v>LE</v>
      </c>
      <c r="C128" s="29" t="str">
        <f>IFERROR(VLOOKUP(A128,'[1]JL EXE ACTIVE FTE List'!$G:$R,12,FALSE),IF(ISNA(VLOOKUP(A128,'[1]JL EXE LEAVER List'!$G:$I,3,FALSE)),"?QUERY?","Leaver"))</f>
        <v>ACTIVE</v>
      </c>
      <c r="D128" s="39" t="str">
        <f>IFERROR(IFERROR(VLOOKUP(A128,'[1]JL EXE ACTIVE FTE List'!$G:$H,2,FALSE),VLOOKUP(A128,'[1]JL EXE LEAVER List'!$G:$H,2,FALSE)),"?QUERY?")</f>
        <v>David Hitching</v>
      </c>
      <c r="E128" s="40">
        <f>IFERROR(IFERROR(VLOOKUP(A128,'[1]JL EXE ACTIVE FTE List'!$G:$O,9,FALSE),VLOOKUP(A128,'[1]JL EXE LEAVER List'!$G:$O,9,FALSE)),"?QUERY?")</f>
        <v>42662</v>
      </c>
      <c r="F128" s="21" t="s">
        <v>338</v>
      </c>
      <c r="G128" s="21" t="s">
        <v>338</v>
      </c>
      <c r="H128" s="21" t="s">
        <v>338</v>
      </c>
      <c r="I128" s="21" t="s">
        <v>313</v>
      </c>
      <c r="J128" s="21" t="s">
        <v>313</v>
      </c>
      <c r="K128" s="21" t="s">
        <v>313</v>
      </c>
      <c r="L128" s="21" t="s">
        <v>313</v>
      </c>
      <c r="M128" s="21" t="s">
        <v>313</v>
      </c>
      <c r="N128" s="21" t="s">
        <v>313</v>
      </c>
      <c r="O128" s="21" t="s">
        <v>313</v>
      </c>
      <c r="P128" s="21" t="s">
        <v>313</v>
      </c>
      <c r="Q128" s="21" t="s">
        <v>313</v>
      </c>
      <c r="R128" s="21" t="s">
        <v>313</v>
      </c>
      <c r="S128" s="21" t="s">
        <v>313</v>
      </c>
      <c r="T128" s="21" t="s">
        <v>313</v>
      </c>
      <c r="U128" s="21" t="s">
        <v>313</v>
      </c>
      <c r="V128" s="21" t="s">
        <v>313</v>
      </c>
      <c r="W128" s="21" t="s">
        <v>313</v>
      </c>
      <c r="X128" s="21" t="s">
        <v>313</v>
      </c>
      <c r="Y128" s="21" t="s">
        <v>313</v>
      </c>
      <c r="Z128" s="21" t="s">
        <v>313</v>
      </c>
      <c r="AA128" s="21" t="s">
        <v>313</v>
      </c>
      <c r="AB128" s="21" t="s">
        <v>313</v>
      </c>
      <c r="AC128" s="21" t="s">
        <v>313</v>
      </c>
      <c r="AD128" s="21" t="s">
        <v>313</v>
      </c>
      <c r="AE128" s="21" t="s">
        <v>313</v>
      </c>
      <c r="AF128" s="21" t="s">
        <v>313</v>
      </c>
      <c r="AG128" s="21" t="s">
        <v>313</v>
      </c>
      <c r="AH128" s="21" t="s">
        <v>313</v>
      </c>
      <c r="AI128" s="21" t="s">
        <v>313</v>
      </c>
      <c r="AJ128" s="21" t="s">
        <v>313</v>
      </c>
      <c r="AK128" s="21" t="s">
        <v>313</v>
      </c>
      <c r="AL128" s="21" t="s">
        <v>313</v>
      </c>
      <c r="AM128" s="21" t="s">
        <v>313</v>
      </c>
      <c r="AN128" s="21" t="s">
        <v>313</v>
      </c>
      <c r="AO128" s="21" t="s">
        <v>313</v>
      </c>
      <c r="AP128" s="21" t="s">
        <v>313</v>
      </c>
      <c r="AQ128" s="21" t="s">
        <v>313</v>
      </c>
      <c r="AR128" s="21" t="s">
        <v>313</v>
      </c>
      <c r="AS128" s="21" t="s">
        <v>313</v>
      </c>
      <c r="AT128" s="21" t="s">
        <v>313</v>
      </c>
      <c r="AU128" s="21" t="s">
        <v>313</v>
      </c>
      <c r="AV128" s="21" t="s">
        <v>313</v>
      </c>
      <c r="AW128" s="21" t="s">
        <v>313</v>
      </c>
      <c r="AX128" s="21" t="s">
        <v>313</v>
      </c>
    </row>
    <row r="129" spans="1:50" ht="15" customHeight="1" x14ac:dyDescent="0.3">
      <c r="A129" s="30" t="s">
        <v>57</v>
      </c>
      <c r="B129" s="29" t="str">
        <f>IFERROR(VLOOKUP(A129,'[1]JL EXE ACTIVE FTE List'!$G:$N,8,FALSE),IF(ISNA(VLOOKUP(A129,'[1]JL EXE LEAVER List'!$G:$I,3,FALSE)),"Query","Leaver"))</f>
        <v>LE</v>
      </c>
      <c r="C129" s="29" t="str">
        <f>IFERROR(VLOOKUP(A129,'[1]JL EXE ACTIVE FTE List'!$G:$R,12,FALSE),IF(ISNA(VLOOKUP(A129,'[1]JL EXE LEAVER List'!$G:$I,3,FALSE)),"?QUERY?","Leaver"))</f>
        <v>ACTIVE</v>
      </c>
      <c r="D129" s="39" t="str">
        <f>IFERROR(IFERROR(VLOOKUP(A129,'[1]JL EXE ACTIVE FTE List'!$G:$H,2,FALSE),VLOOKUP(A129,'[1]JL EXE LEAVER List'!$G:$H,2,FALSE)),"?QUERY?")</f>
        <v>David Hitching</v>
      </c>
      <c r="E129" s="40">
        <f>IFERROR(IFERROR(VLOOKUP(A129,'[1]JL EXE ACTIVE FTE List'!$G:$O,9,FALSE),VLOOKUP(A129,'[1]JL EXE LEAVER List'!$G:$O,9,FALSE)),"?QUERY?")</f>
        <v>42891</v>
      </c>
      <c r="F129" s="21" t="s">
        <v>338</v>
      </c>
      <c r="G129" s="21" t="s">
        <v>338</v>
      </c>
      <c r="H129" s="21" t="s">
        <v>335</v>
      </c>
      <c r="I129" s="21" t="s">
        <v>313</v>
      </c>
      <c r="J129" s="21" t="s">
        <v>313</v>
      </c>
      <c r="K129" s="21" t="s">
        <v>313</v>
      </c>
      <c r="L129" s="21" t="s">
        <v>313</v>
      </c>
      <c r="M129" s="21" t="s">
        <v>313</v>
      </c>
      <c r="N129" s="21" t="s">
        <v>313</v>
      </c>
      <c r="O129" s="21" t="s">
        <v>313</v>
      </c>
      <c r="P129" s="21" t="s">
        <v>313</v>
      </c>
      <c r="Q129" s="21" t="s">
        <v>313</v>
      </c>
      <c r="R129" s="21" t="s">
        <v>313</v>
      </c>
      <c r="S129" s="21" t="s">
        <v>313</v>
      </c>
      <c r="T129" s="21" t="s">
        <v>313</v>
      </c>
      <c r="U129" s="21" t="s">
        <v>313</v>
      </c>
      <c r="V129" s="21" t="s">
        <v>313</v>
      </c>
      <c r="W129" s="21" t="s">
        <v>313</v>
      </c>
      <c r="X129" s="21" t="s">
        <v>313</v>
      </c>
      <c r="Y129" s="21" t="s">
        <v>313</v>
      </c>
      <c r="Z129" s="21" t="s">
        <v>313</v>
      </c>
      <c r="AA129" s="21" t="s">
        <v>313</v>
      </c>
      <c r="AB129" s="21" t="s">
        <v>313</v>
      </c>
      <c r="AC129" s="21" t="s">
        <v>313</v>
      </c>
      <c r="AD129" s="21" t="s">
        <v>313</v>
      </c>
      <c r="AE129" s="21" t="s">
        <v>313</v>
      </c>
      <c r="AF129" s="21" t="s">
        <v>313</v>
      </c>
      <c r="AG129" s="21" t="s">
        <v>313</v>
      </c>
      <c r="AH129" s="21" t="s">
        <v>313</v>
      </c>
      <c r="AI129" s="21" t="s">
        <v>313</v>
      </c>
      <c r="AJ129" s="21" t="s">
        <v>313</v>
      </c>
      <c r="AK129" s="21" t="s">
        <v>313</v>
      </c>
      <c r="AL129" s="21" t="s">
        <v>313</v>
      </c>
      <c r="AM129" s="21" t="s">
        <v>313</v>
      </c>
      <c r="AN129" s="21" t="s">
        <v>313</v>
      </c>
      <c r="AO129" s="21" t="s">
        <v>313</v>
      </c>
      <c r="AP129" s="21" t="s">
        <v>313</v>
      </c>
      <c r="AQ129" s="21" t="s">
        <v>313</v>
      </c>
      <c r="AR129" s="21" t="s">
        <v>313</v>
      </c>
      <c r="AS129" s="21" t="s">
        <v>313</v>
      </c>
      <c r="AT129" s="21" t="s">
        <v>313</v>
      </c>
      <c r="AU129" s="21" t="s">
        <v>313</v>
      </c>
      <c r="AV129" s="21" t="s">
        <v>313</v>
      </c>
      <c r="AW129" s="21" t="s">
        <v>313</v>
      </c>
      <c r="AX129" s="21" t="s">
        <v>313</v>
      </c>
    </row>
    <row r="130" spans="1:50" ht="15" customHeight="1" x14ac:dyDescent="0.3">
      <c r="A130" s="30" t="s">
        <v>58</v>
      </c>
      <c r="B130" s="29" t="str">
        <f>IFERROR(VLOOKUP(A130,'[1]JL EXE ACTIVE FTE List'!$G:$N,8,FALSE),IF(ISNA(VLOOKUP(A130,'[1]JL EXE LEAVER List'!$G:$I,3,FALSE)),"Query","Leaver"))</f>
        <v>LE</v>
      </c>
      <c r="C130" s="29" t="str">
        <f>IFERROR(VLOOKUP(A130,'[1]JL EXE ACTIVE FTE List'!$G:$R,12,FALSE),IF(ISNA(VLOOKUP(A130,'[1]JL EXE LEAVER List'!$G:$I,3,FALSE)),"?QUERY?","Leaver"))</f>
        <v>ACTIVE</v>
      </c>
      <c r="D130" s="39" t="str">
        <f>IFERROR(IFERROR(VLOOKUP(A130,'[1]JL EXE ACTIVE FTE List'!$G:$H,2,FALSE),VLOOKUP(A130,'[1]JL EXE LEAVER List'!$G:$H,2,FALSE)),"?QUERY?")</f>
        <v>David Hitching</v>
      </c>
      <c r="E130" s="40">
        <f>IFERROR(IFERROR(VLOOKUP(A130,'[1]JL EXE ACTIVE FTE List'!$G:$O,9,FALSE),VLOOKUP(A130,'[1]JL EXE LEAVER List'!$G:$O,9,FALSE)),"?QUERY?")</f>
        <v>42632</v>
      </c>
      <c r="F130" s="21" t="s">
        <v>338</v>
      </c>
      <c r="G130" s="21" t="s">
        <v>338</v>
      </c>
      <c r="H130" s="21" t="s">
        <v>338</v>
      </c>
      <c r="I130" s="21" t="s">
        <v>313</v>
      </c>
      <c r="J130" s="21" t="s">
        <v>313</v>
      </c>
      <c r="K130" s="21" t="s">
        <v>313</v>
      </c>
      <c r="L130" s="21" t="s">
        <v>313</v>
      </c>
      <c r="M130" s="21" t="s">
        <v>313</v>
      </c>
      <c r="N130" s="21" t="s">
        <v>313</v>
      </c>
      <c r="O130" s="21" t="s">
        <v>313</v>
      </c>
      <c r="P130" s="21" t="s">
        <v>313</v>
      </c>
      <c r="Q130" s="21" t="s">
        <v>313</v>
      </c>
      <c r="R130" s="21" t="s">
        <v>313</v>
      </c>
      <c r="S130" s="21" t="s">
        <v>313</v>
      </c>
      <c r="T130" s="21" t="s">
        <v>313</v>
      </c>
      <c r="U130" s="21" t="s">
        <v>313</v>
      </c>
      <c r="V130" s="21" t="s">
        <v>313</v>
      </c>
      <c r="W130" s="21" t="s">
        <v>313</v>
      </c>
      <c r="X130" s="21" t="s">
        <v>313</v>
      </c>
      <c r="Y130" s="21" t="s">
        <v>313</v>
      </c>
      <c r="Z130" s="21" t="s">
        <v>313</v>
      </c>
      <c r="AA130" s="21" t="s">
        <v>313</v>
      </c>
      <c r="AB130" s="21" t="s">
        <v>313</v>
      </c>
      <c r="AC130" s="21" t="s">
        <v>313</v>
      </c>
      <c r="AD130" s="21" t="s">
        <v>313</v>
      </c>
      <c r="AE130" s="21" t="s">
        <v>313</v>
      </c>
      <c r="AF130" s="21" t="s">
        <v>313</v>
      </c>
      <c r="AG130" s="21" t="s">
        <v>313</v>
      </c>
      <c r="AH130" s="21" t="s">
        <v>313</v>
      </c>
      <c r="AI130" s="21" t="s">
        <v>313</v>
      </c>
      <c r="AJ130" s="21" t="s">
        <v>313</v>
      </c>
      <c r="AK130" s="21" t="s">
        <v>313</v>
      </c>
      <c r="AL130" s="21" t="s">
        <v>313</v>
      </c>
      <c r="AM130" s="21" t="s">
        <v>313</v>
      </c>
      <c r="AN130" s="21" t="s">
        <v>313</v>
      </c>
      <c r="AO130" s="21" t="s">
        <v>313</v>
      </c>
      <c r="AP130" s="21" t="s">
        <v>313</v>
      </c>
      <c r="AQ130" s="21" t="s">
        <v>313</v>
      </c>
      <c r="AR130" s="21" t="s">
        <v>313</v>
      </c>
      <c r="AS130" s="21" t="s">
        <v>313</v>
      </c>
      <c r="AT130" s="21" t="s">
        <v>313</v>
      </c>
      <c r="AU130" s="21" t="s">
        <v>313</v>
      </c>
      <c r="AV130" s="21" t="s">
        <v>313</v>
      </c>
      <c r="AW130" s="21" t="s">
        <v>313</v>
      </c>
      <c r="AX130" s="21" t="s">
        <v>313</v>
      </c>
    </row>
    <row r="131" spans="1:50" x14ac:dyDescent="0.3">
      <c r="A131" s="30" t="s">
        <v>63</v>
      </c>
      <c r="B131" s="29" t="str">
        <f>IFERROR(VLOOKUP(A131,'[1]JL EXE ACTIVE FTE List'!$G:$N,8,FALSE),IF(ISNA(VLOOKUP(A131,'[1]JL EXE LEAVER List'!$G:$I,3,FALSE)),"Query","Leaver"))</f>
        <v>LE</v>
      </c>
      <c r="C131" s="29" t="str">
        <f>IFERROR(VLOOKUP(A131,'[1]JL EXE ACTIVE FTE List'!$G:$R,12,FALSE),IF(ISNA(VLOOKUP(A131,'[1]JL EXE LEAVER List'!$G:$I,3,FALSE)),"?QUERY?","Leaver"))</f>
        <v>ACTIVE</v>
      </c>
      <c r="D131" s="39" t="str">
        <f>IFERROR(IFERROR(VLOOKUP(A131,'[1]JL EXE ACTIVE FTE List'!$G:$H,2,FALSE),VLOOKUP(A131,'[1]JL EXE LEAVER List'!$G:$H,2,FALSE)),"?QUERY?")</f>
        <v>David Hitching</v>
      </c>
      <c r="E131" s="40">
        <f>IFERROR(IFERROR(VLOOKUP(A131,'[1]JL EXE ACTIVE FTE List'!$G:$O,9,FALSE),VLOOKUP(A131,'[1]JL EXE LEAVER List'!$G:$O,9,FALSE)),"?QUERY?")</f>
        <v>42835</v>
      </c>
      <c r="F131" s="21" t="s">
        <v>338</v>
      </c>
      <c r="G131" s="21" t="s">
        <v>338</v>
      </c>
      <c r="H131" s="21" t="s">
        <v>335</v>
      </c>
      <c r="I131" s="21" t="s">
        <v>313</v>
      </c>
      <c r="J131" s="21" t="s">
        <v>313</v>
      </c>
      <c r="K131" s="21" t="s">
        <v>313</v>
      </c>
      <c r="L131" s="21" t="s">
        <v>313</v>
      </c>
      <c r="M131" s="21" t="s">
        <v>313</v>
      </c>
      <c r="N131" s="21" t="s">
        <v>313</v>
      </c>
      <c r="O131" s="21" t="s">
        <v>313</v>
      </c>
      <c r="P131" s="21" t="s">
        <v>313</v>
      </c>
      <c r="Q131" s="21" t="s">
        <v>313</v>
      </c>
      <c r="R131" s="21" t="s">
        <v>313</v>
      </c>
      <c r="S131" s="21" t="s">
        <v>313</v>
      </c>
      <c r="T131" s="21" t="s">
        <v>313</v>
      </c>
      <c r="U131" s="21" t="s">
        <v>313</v>
      </c>
      <c r="V131" s="21" t="s">
        <v>313</v>
      </c>
      <c r="W131" s="21" t="s">
        <v>313</v>
      </c>
      <c r="X131" s="21" t="s">
        <v>313</v>
      </c>
      <c r="Y131" s="21" t="s">
        <v>313</v>
      </c>
      <c r="Z131" s="21" t="s">
        <v>313</v>
      </c>
      <c r="AA131" s="21" t="s">
        <v>313</v>
      </c>
      <c r="AB131" s="21" t="s">
        <v>313</v>
      </c>
      <c r="AC131" s="21" t="s">
        <v>313</v>
      </c>
      <c r="AD131" s="21" t="s">
        <v>313</v>
      </c>
      <c r="AE131" s="21" t="s">
        <v>313</v>
      </c>
      <c r="AF131" s="21" t="s">
        <v>313</v>
      </c>
      <c r="AG131" s="21" t="s">
        <v>313</v>
      </c>
      <c r="AH131" s="21" t="s">
        <v>313</v>
      </c>
      <c r="AI131" s="21" t="s">
        <v>313</v>
      </c>
      <c r="AJ131" s="21" t="s">
        <v>313</v>
      </c>
      <c r="AK131" s="21" t="s">
        <v>313</v>
      </c>
      <c r="AL131" s="21" t="s">
        <v>313</v>
      </c>
      <c r="AM131" s="21" t="s">
        <v>313</v>
      </c>
      <c r="AN131" s="21" t="s">
        <v>313</v>
      </c>
      <c r="AO131" s="21" t="s">
        <v>313</v>
      </c>
      <c r="AP131" s="21" t="s">
        <v>313</v>
      </c>
      <c r="AQ131" s="21" t="s">
        <v>313</v>
      </c>
      <c r="AR131" s="21" t="s">
        <v>313</v>
      </c>
      <c r="AS131" s="21" t="s">
        <v>313</v>
      </c>
      <c r="AT131" s="21" t="s">
        <v>313</v>
      </c>
      <c r="AU131" s="21" t="s">
        <v>313</v>
      </c>
      <c r="AV131" s="21" t="s">
        <v>313</v>
      </c>
      <c r="AW131" s="21" t="s">
        <v>313</v>
      </c>
      <c r="AX131" s="21" t="s">
        <v>313</v>
      </c>
    </row>
    <row r="132" spans="1:50" x14ac:dyDescent="0.3">
      <c r="A132" s="30" t="s">
        <v>231</v>
      </c>
      <c r="B132" s="29" t="str">
        <f>IFERROR(VLOOKUP(A132,'[1]JL EXE ACTIVE FTE List'!$G:$N,8,FALSE),IF(ISNA(VLOOKUP(A132,'[1]JL EXE LEAVER List'!$G:$I,3,FALSE)),"Query","Leaver"))</f>
        <v>LE</v>
      </c>
      <c r="C132" s="29" t="str">
        <f>IFERROR(VLOOKUP(A132,'[1]JL EXE ACTIVE FTE List'!$G:$R,12,FALSE),IF(ISNA(VLOOKUP(A132,'[1]JL EXE LEAVER List'!$G:$I,3,FALSE)),"?QUERY?","Leaver"))</f>
        <v>ACTIVE</v>
      </c>
      <c r="D132" s="39" t="str">
        <f>IFERROR(IFERROR(VLOOKUP(A132,'[1]JL EXE ACTIVE FTE List'!$G:$H,2,FALSE),VLOOKUP(A132,'[1]JL EXE LEAVER List'!$G:$H,2,FALSE)),"?QUERY?")</f>
        <v>David Hitching</v>
      </c>
      <c r="E132" s="40">
        <f>IFERROR(IFERROR(VLOOKUP(A132,'[1]JL EXE ACTIVE FTE List'!$G:$O,9,FALSE),VLOOKUP(A132,'[1]JL EXE LEAVER List'!$G:$O,9,FALSE)),"?QUERY?")</f>
        <v>42677</v>
      </c>
      <c r="F132" s="21" t="s">
        <v>338</v>
      </c>
      <c r="G132" s="21" t="s">
        <v>338</v>
      </c>
      <c r="H132" s="21" t="s">
        <v>338</v>
      </c>
      <c r="I132" s="21" t="s">
        <v>313</v>
      </c>
      <c r="J132" s="21" t="s">
        <v>313</v>
      </c>
      <c r="K132" s="21" t="s">
        <v>313</v>
      </c>
      <c r="L132" s="21" t="s">
        <v>313</v>
      </c>
      <c r="M132" s="21" t="s">
        <v>313</v>
      </c>
      <c r="N132" s="21" t="s">
        <v>313</v>
      </c>
      <c r="O132" s="21" t="s">
        <v>313</v>
      </c>
      <c r="P132" s="21" t="s">
        <v>313</v>
      </c>
      <c r="Q132" s="21" t="s">
        <v>313</v>
      </c>
      <c r="R132" s="21" t="s">
        <v>313</v>
      </c>
      <c r="S132" s="21" t="s">
        <v>313</v>
      </c>
      <c r="T132" s="21" t="s">
        <v>313</v>
      </c>
      <c r="U132" s="21" t="s">
        <v>313</v>
      </c>
      <c r="V132" s="21" t="s">
        <v>313</v>
      </c>
      <c r="W132" s="21" t="s">
        <v>313</v>
      </c>
      <c r="X132" s="21" t="s">
        <v>313</v>
      </c>
      <c r="Y132" s="21" t="s">
        <v>313</v>
      </c>
      <c r="Z132" s="21" t="s">
        <v>313</v>
      </c>
      <c r="AA132" s="21" t="s">
        <v>313</v>
      </c>
      <c r="AB132" s="21" t="s">
        <v>313</v>
      </c>
      <c r="AC132" s="21" t="s">
        <v>313</v>
      </c>
      <c r="AD132" s="21" t="s">
        <v>313</v>
      </c>
      <c r="AE132" s="21" t="s">
        <v>313</v>
      </c>
      <c r="AF132" s="21" t="s">
        <v>313</v>
      </c>
      <c r="AG132" s="21" t="s">
        <v>313</v>
      </c>
      <c r="AH132" s="21" t="s">
        <v>313</v>
      </c>
      <c r="AI132" s="21" t="s">
        <v>313</v>
      </c>
      <c r="AJ132" s="21" t="s">
        <v>313</v>
      </c>
      <c r="AK132" s="21" t="s">
        <v>313</v>
      </c>
      <c r="AL132" s="21" t="s">
        <v>313</v>
      </c>
      <c r="AM132" s="21" t="s">
        <v>313</v>
      </c>
      <c r="AN132" s="21" t="s">
        <v>313</v>
      </c>
      <c r="AO132" s="21" t="s">
        <v>313</v>
      </c>
      <c r="AP132" s="21" t="s">
        <v>313</v>
      </c>
      <c r="AQ132" s="21" t="s">
        <v>313</v>
      </c>
      <c r="AR132" s="21" t="s">
        <v>313</v>
      </c>
      <c r="AS132" s="21" t="s">
        <v>313</v>
      </c>
      <c r="AT132" s="21" t="s">
        <v>313</v>
      </c>
      <c r="AU132" s="21" t="s">
        <v>313</v>
      </c>
      <c r="AV132" s="21" t="s">
        <v>313</v>
      </c>
      <c r="AW132" s="21" t="s">
        <v>313</v>
      </c>
      <c r="AX132" s="21" t="s">
        <v>313</v>
      </c>
    </row>
    <row r="133" spans="1:50" ht="15" customHeight="1" x14ac:dyDescent="0.3">
      <c r="A133" s="30" t="s">
        <v>248</v>
      </c>
      <c r="B133" s="29" t="str">
        <f>IFERROR(VLOOKUP(A133,'[1]JL EXE ACTIVE FTE List'!$G:$N,8,FALSE),IF(ISNA(VLOOKUP(A133,'[1]JL EXE LEAVER List'!$G:$I,3,FALSE)),"Query","Leaver"))</f>
        <v>LE</v>
      </c>
      <c r="C133" s="29" t="str">
        <f>IFERROR(VLOOKUP(A133,'[1]JL EXE ACTIVE FTE List'!$G:$R,12,FALSE),IF(ISNA(VLOOKUP(A133,'[1]JL EXE LEAVER List'!$G:$I,3,FALSE)),"?QUERY?","Leaver"))</f>
        <v>ACTIVE</v>
      </c>
      <c r="D133" s="39" t="str">
        <f>IFERROR(IFERROR(VLOOKUP(A133,'[1]JL EXE ACTIVE FTE List'!$G:$H,2,FALSE),VLOOKUP(A133,'[1]JL EXE LEAVER List'!$G:$H,2,FALSE)),"?QUERY?")</f>
        <v>David Hitching</v>
      </c>
      <c r="E133" s="40">
        <f>IFERROR(IFERROR(VLOOKUP(A133,'[1]JL EXE ACTIVE FTE List'!$G:$O,9,FALSE),VLOOKUP(A133,'[1]JL EXE LEAVER List'!$G:$O,9,FALSE)),"?QUERY?")</f>
        <v>42752</v>
      </c>
      <c r="F133" s="21" t="s">
        <v>338</v>
      </c>
      <c r="G133" s="21" t="s">
        <v>338</v>
      </c>
      <c r="H133" s="21" t="s">
        <v>335</v>
      </c>
      <c r="I133" s="21" t="s">
        <v>313</v>
      </c>
      <c r="J133" s="21" t="s">
        <v>313</v>
      </c>
      <c r="K133" s="21" t="s">
        <v>313</v>
      </c>
      <c r="L133" s="21" t="s">
        <v>313</v>
      </c>
      <c r="M133" s="21" t="s">
        <v>313</v>
      </c>
      <c r="N133" s="21" t="s">
        <v>313</v>
      </c>
      <c r="O133" s="21" t="s">
        <v>313</v>
      </c>
      <c r="P133" s="21" t="s">
        <v>313</v>
      </c>
      <c r="Q133" s="21" t="s">
        <v>313</v>
      </c>
      <c r="R133" s="21" t="s">
        <v>313</v>
      </c>
      <c r="S133" s="21" t="s">
        <v>313</v>
      </c>
      <c r="T133" s="21" t="s">
        <v>313</v>
      </c>
      <c r="U133" s="21" t="s">
        <v>313</v>
      </c>
      <c r="V133" s="21" t="s">
        <v>313</v>
      </c>
      <c r="W133" s="21" t="s">
        <v>313</v>
      </c>
      <c r="X133" s="21" t="s">
        <v>313</v>
      </c>
      <c r="Y133" s="21" t="s">
        <v>313</v>
      </c>
      <c r="Z133" s="21" t="s">
        <v>313</v>
      </c>
      <c r="AA133" s="21" t="s">
        <v>313</v>
      </c>
      <c r="AB133" s="21" t="s">
        <v>313</v>
      </c>
      <c r="AC133" s="21" t="s">
        <v>313</v>
      </c>
      <c r="AD133" s="21" t="s">
        <v>313</v>
      </c>
      <c r="AE133" s="21" t="s">
        <v>313</v>
      </c>
      <c r="AF133" s="21" t="s">
        <v>313</v>
      </c>
      <c r="AG133" s="21" t="s">
        <v>313</v>
      </c>
      <c r="AH133" s="21" t="s">
        <v>313</v>
      </c>
      <c r="AI133" s="21" t="s">
        <v>313</v>
      </c>
      <c r="AJ133" s="21" t="s">
        <v>313</v>
      </c>
      <c r="AK133" s="21" t="s">
        <v>313</v>
      </c>
      <c r="AL133" s="21" t="s">
        <v>313</v>
      </c>
      <c r="AM133" s="21" t="s">
        <v>313</v>
      </c>
      <c r="AN133" s="21" t="s">
        <v>313</v>
      </c>
      <c r="AO133" s="21" t="s">
        <v>313</v>
      </c>
      <c r="AP133" s="21" t="s">
        <v>313</v>
      </c>
      <c r="AQ133" s="21" t="s">
        <v>313</v>
      </c>
      <c r="AR133" s="21" t="s">
        <v>313</v>
      </c>
      <c r="AS133" s="21" t="s">
        <v>313</v>
      </c>
      <c r="AT133" s="21" t="s">
        <v>313</v>
      </c>
      <c r="AU133" s="21" t="s">
        <v>313</v>
      </c>
      <c r="AV133" s="21" t="s">
        <v>313</v>
      </c>
      <c r="AW133" s="21" t="s">
        <v>313</v>
      </c>
      <c r="AX133" s="21" t="s">
        <v>313</v>
      </c>
    </row>
    <row r="134" spans="1:50" ht="15" hidden="1" customHeight="1" x14ac:dyDescent="0.3">
      <c r="A134" s="30" t="s">
        <v>86</v>
      </c>
      <c r="B134" s="29" t="str">
        <f>IFERROR(VLOOKUP(A134,'[1]JL EXE ACTIVE FTE List'!$G:$N,8,FALSE),IF(ISNA(VLOOKUP(A134,'[1]JL EXE LEAVER List'!$G:$I,3,FALSE)),"Query","Leaver"))</f>
        <v>Leaver</v>
      </c>
      <c r="C134" s="29" t="str">
        <f>IFERROR(VLOOKUP(A134,'[1]JL EXE ACTIVE FTE List'!$G:$R,12,FALSE),IF(ISNA(VLOOKUP(A134,'[1]JL EXE LEAVER List'!$G:$I,3,FALSE)),"?QUERY?","Leaver"))</f>
        <v>Leaver</v>
      </c>
      <c r="D134" s="39" t="str">
        <f>IFERROR(IFERROR(VLOOKUP(A134,'[1]JL EXE ACTIVE FTE List'!$G:$H,2,FALSE),VLOOKUP(A134,'[1]JL EXE LEAVER List'!$G:$H,2,FALSE)),"?QUERY?")</f>
        <v>Mark Davies</v>
      </c>
      <c r="E134" s="40">
        <f>IFERROR(IFERROR(VLOOKUP(A134,'[1]JL EXE ACTIVE FTE List'!$G:$O,9,FALSE),VLOOKUP(A134,'[1]JL EXE LEAVER List'!$G:$O,9,FALSE)),"?QUERY?")</f>
        <v>43024</v>
      </c>
      <c r="F134" s="21"/>
      <c r="G134" s="21" t="s">
        <v>313</v>
      </c>
      <c r="H134" s="21" t="s">
        <v>313</v>
      </c>
      <c r="I134" s="21" t="s">
        <v>313</v>
      </c>
      <c r="J134" s="21" t="s">
        <v>313</v>
      </c>
      <c r="K134" s="21" t="s">
        <v>313</v>
      </c>
      <c r="L134" s="21" t="s">
        <v>313</v>
      </c>
      <c r="M134" s="21" t="s">
        <v>313</v>
      </c>
      <c r="N134" s="21" t="s">
        <v>313</v>
      </c>
      <c r="O134" s="21" t="s">
        <v>313</v>
      </c>
      <c r="P134" s="21" t="s">
        <v>313</v>
      </c>
      <c r="Q134" s="21" t="s">
        <v>313</v>
      </c>
      <c r="R134" s="21" t="s">
        <v>313</v>
      </c>
      <c r="S134" s="21" t="s">
        <v>313</v>
      </c>
      <c r="T134" s="21" t="s">
        <v>313</v>
      </c>
      <c r="U134" s="21" t="s">
        <v>313</v>
      </c>
      <c r="V134" s="21" t="s">
        <v>313</v>
      </c>
      <c r="W134" s="21" t="s">
        <v>313</v>
      </c>
      <c r="X134" s="21" t="s">
        <v>313</v>
      </c>
      <c r="Y134" s="21" t="s">
        <v>313</v>
      </c>
      <c r="Z134" s="21" t="s">
        <v>313</v>
      </c>
      <c r="AA134" s="21" t="s">
        <v>313</v>
      </c>
      <c r="AB134" s="21" t="s">
        <v>313</v>
      </c>
      <c r="AC134" s="21" t="s">
        <v>313</v>
      </c>
      <c r="AD134" s="21" t="s">
        <v>313</v>
      </c>
      <c r="AE134" s="21" t="s">
        <v>313</v>
      </c>
      <c r="AF134" s="21" t="s">
        <v>313</v>
      </c>
      <c r="AG134" s="21" t="s">
        <v>313</v>
      </c>
      <c r="AH134" s="21" t="s">
        <v>313</v>
      </c>
      <c r="AI134" s="21" t="s">
        <v>313</v>
      </c>
      <c r="AJ134" s="21" t="s">
        <v>313</v>
      </c>
      <c r="AK134" s="21" t="s">
        <v>313</v>
      </c>
      <c r="AL134" s="21" t="s">
        <v>313</v>
      </c>
      <c r="AM134" s="21" t="s">
        <v>313</v>
      </c>
      <c r="AN134" s="21" t="s">
        <v>313</v>
      </c>
      <c r="AO134" s="21" t="s">
        <v>313</v>
      </c>
      <c r="AP134" s="21" t="s">
        <v>313</v>
      </c>
      <c r="AQ134" s="21" t="s">
        <v>313</v>
      </c>
      <c r="AR134" s="21" t="s">
        <v>313</v>
      </c>
      <c r="AS134" s="21" t="s">
        <v>313</v>
      </c>
      <c r="AT134" s="21" t="s">
        <v>313</v>
      </c>
      <c r="AU134" s="21" t="s">
        <v>313</v>
      </c>
      <c r="AV134" s="21" t="s">
        <v>313</v>
      </c>
      <c r="AW134" s="21" t="s">
        <v>313</v>
      </c>
      <c r="AX134" s="21" t="s">
        <v>313</v>
      </c>
    </row>
    <row r="135" spans="1:50" ht="15" hidden="1" customHeight="1" x14ac:dyDescent="0.3">
      <c r="A135" s="30" t="s">
        <v>252</v>
      </c>
      <c r="B135" s="29" t="str">
        <f>IFERROR(VLOOKUP(A135,'[1]JL EXE ACTIVE FTE List'!$G:$N,8,FALSE),IF(ISNA(VLOOKUP(A135,'[1]JL EXE LEAVER List'!$G:$I,3,FALSE)),"Query","Leaver"))</f>
        <v>Leaver</v>
      </c>
      <c r="C135" s="29" t="str">
        <f>IFERROR(VLOOKUP(A135,'[1]JL EXE ACTIVE FTE List'!$G:$R,12,FALSE),IF(ISNA(VLOOKUP(A135,'[1]JL EXE LEAVER List'!$G:$I,3,FALSE)),"?QUERY?","Leaver"))</f>
        <v>Leaver</v>
      </c>
      <c r="D135" s="39" t="str">
        <f>IFERROR(IFERROR(VLOOKUP(A135,'[1]JL EXE ACTIVE FTE List'!$G:$H,2,FALSE),VLOOKUP(A135,'[1]JL EXE LEAVER List'!$G:$H,2,FALSE)),"?QUERY?")</f>
        <v>Mark Davies</v>
      </c>
      <c r="E135" s="40">
        <f>IFERROR(IFERROR(VLOOKUP(A135,'[1]JL EXE ACTIVE FTE List'!$G:$O,9,FALSE),VLOOKUP(A135,'[1]JL EXE LEAVER List'!$G:$O,9,FALSE)),"?QUERY?")</f>
        <v>43024</v>
      </c>
      <c r="F135" s="21"/>
      <c r="G135" s="21" t="s">
        <v>313</v>
      </c>
      <c r="H135" s="21" t="s">
        <v>313</v>
      </c>
      <c r="I135" s="21" t="s">
        <v>313</v>
      </c>
      <c r="J135" s="21" t="s">
        <v>313</v>
      </c>
      <c r="K135" s="21" t="s">
        <v>313</v>
      </c>
      <c r="L135" s="21" t="s">
        <v>313</v>
      </c>
      <c r="M135" s="21" t="s">
        <v>313</v>
      </c>
      <c r="N135" s="21" t="s">
        <v>313</v>
      </c>
      <c r="O135" s="21" t="s">
        <v>313</v>
      </c>
      <c r="P135" s="21" t="s">
        <v>313</v>
      </c>
      <c r="Q135" s="21" t="s">
        <v>313</v>
      </c>
      <c r="R135" s="21" t="s">
        <v>313</v>
      </c>
      <c r="S135" s="21" t="s">
        <v>313</v>
      </c>
      <c r="T135" s="21" t="s">
        <v>313</v>
      </c>
      <c r="U135" s="21" t="s">
        <v>313</v>
      </c>
      <c r="V135" s="21" t="s">
        <v>313</v>
      </c>
      <c r="W135" s="21" t="s">
        <v>313</v>
      </c>
      <c r="X135" s="21" t="s">
        <v>313</v>
      </c>
      <c r="Y135" s="21" t="s">
        <v>313</v>
      </c>
      <c r="Z135" s="21" t="s">
        <v>313</v>
      </c>
      <c r="AA135" s="21" t="s">
        <v>313</v>
      </c>
      <c r="AB135" s="21" t="s">
        <v>313</v>
      </c>
      <c r="AC135" s="21" t="s">
        <v>313</v>
      </c>
      <c r="AD135" s="21" t="s">
        <v>313</v>
      </c>
      <c r="AE135" s="21" t="s">
        <v>313</v>
      </c>
      <c r="AF135" s="21" t="s">
        <v>313</v>
      </c>
      <c r="AG135" s="21" t="s">
        <v>313</v>
      </c>
      <c r="AH135" s="21" t="s">
        <v>313</v>
      </c>
      <c r="AI135" s="21" t="s">
        <v>313</v>
      </c>
      <c r="AJ135" s="21" t="s">
        <v>313</v>
      </c>
      <c r="AK135" s="21" t="s">
        <v>313</v>
      </c>
      <c r="AL135" s="21" t="s">
        <v>313</v>
      </c>
      <c r="AM135" s="21" t="s">
        <v>313</v>
      </c>
      <c r="AN135" s="21" t="s">
        <v>313</v>
      </c>
      <c r="AO135" s="21" t="s">
        <v>313</v>
      </c>
      <c r="AP135" s="21" t="s">
        <v>313</v>
      </c>
      <c r="AQ135" s="21" t="s">
        <v>313</v>
      </c>
      <c r="AR135" s="21" t="s">
        <v>313</v>
      </c>
      <c r="AS135" s="21" t="s">
        <v>313</v>
      </c>
      <c r="AT135" s="21" t="s">
        <v>313</v>
      </c>
      <c r="AU135" s="21" t="s">
        <v>313</v>
      </c>
      <c r="AV135" s="21" t="s">
        <v>313</v>
      </c>
      <c r="AW135" s="21" t="s">
        <v>313</v>
      </c>
      <c r="AX135" s="21" t="s">
        <v>313</v>
      </c>
    </row>
    <row r="136" spans="1:50" ht="15" customHeight="1" x14ac:dyDescent="0.3">
      <c r="A136" s="30" t="s">
        <v>65</v>
      </c>
      <c r="B136" s="29" t="str">
        <f>IFERROR(VLOOKUP(A136,'[1]JL EXE ACTIVE FTE List'!$G:$N,8,FALSE),IF(ISNA(VLOOKUP(A136,'[1]JL EXE LEAVER List'!$G:$I,3,FALSE)),"Query","Leaver"))</f>
        <v>LE</v>
      </c>
      <c r="C136" s="29" t="str">
        <f>IFERROR(VLOOKUP(A136,'[1]JL EXE ACTIVE FTE List'!$G:$R,12,FALSE),IF(ISNA(VLOOKUP(A136,'[1]JL EXE LEAVER List'!$G:$I,3,FALSE)),"?QUERY?","Leaver"))</f>
        <v>ACTIVE</v>
      </c>
      <c r="D136" s="39" t="str">
        <f>IFERROR(IFERROR(VLOOKUP(A136,'[1]JL EXE ACTIVE FTE List'!$G:$H,2,FALSE),VLOOKUP(A136,'[1]JL EXE LEAVER List'!$G:$H,2,FALSE)),"?QUERY?")</f>
        <v>David Hitching</v>
      </c>
      <c r="E136" s="40">
        <f>IFERROR(IFERROR(VLOOKUP(A136,'[1]JL EXE ACTIVE FTE List'!$G:$O,9,FALSE),VLOOKUP(A136,'[1]JL EXE LEAVER List'!$G:$O,9,FALSE)),"?QUERY?")</f>
        <v>40371</v>
      </c>
      <c r="F136" s="21" t="s">
        <v>338</v>
      </c>
      <c r="G136" s="21" t="s">
        <v>338</v>
      </c>
      <c r="H136" s="21" t="s">
        <v>338</v>
      </c>
      <c r="I136" s="21" t="s">
        <v>313</v>
      </c>
      <c r="J136" s="21" t="s">
        <v>313</v>
      </c>
      <c r="K136" s="21" t="s">
        <v>313</v>
      </c>
      <c r="L136" s="21" t="s">
        <v>313</v>
      </c>
      <c r="M136" s="21" t="s">
        <v>313</v>
      </c>
      <c r="N136" s="21" t="s">
        <v>313</v>
      </c>
      <c r="O136" s="21" t="s">
        <v>313</v>
      </c>
      <c r="P136" s="21" t="s">
        <v>313</v>
      </c>
      <c r="Q136" s="21" t="s">
        <v>313</v>
      </c>
      <c r="R136" s="21" t="s">
        <v>313</v>
      </c>
      <c r="S136" s="21" t="s">
        <v>313</v>
      </c>
      <c r="T136" s="21" t="s">
        <v>313</v>
      </c>
      <c r="U136" s="21" t="s">
        <v>313</v>
      </c>
      <c r="V136" s="21" t="s">
        <v>313</v>
      </c>
      <c r="W136" s="21" t="s">
        <v>313</v>
      </c>
      <c r="X136" s="21" t="s">
        <v>313</v>
      </c>
      <c r="Y136" s="21" t="s">
        <v>313</v>
      </c>
      <c r="Z136" s="21" t="s">
        <v>313</v>
      </c>
      <c r="AA136" s="21" t="s">
        <v>313</v>
      </c>
      <c r="AB136" s="21" t="s">
        <v>313</v>
      </c>
      <c r="AC136" s="21" t="s">
        <v>313</v>
      </c>
      <c r="AD136" s="21" t="s">
        <v>313</v>
      </c>
      <c r="AE136" s="21" t="s">
        <v>313</v>
      </c>
      <c r="AF136" s="21" t="s">
        <v>313</v>
      </c>
      <c r="AG136" s="21" t="s">
        <v>313</v>
      </c>
      <c r="AH136" s="21" t="s">
        <v>313</v>
      </c>
      <c r="AI136" s="21" t="s">
        <v>313</v>
      </c>
      <c r="AJ136" s="21" t="s">
        <v>313</v>
      </c>
      <c r="AK136" s="21" t="s">
        <v>313</v>
      </c>
      <c r="AL136" s="21" t="s">
        <v>313</v>
      </c>
      <c r="AM136" s="21" t="s">
        <v>313</v>
      </c>
      <c r="AN136" s="21" t="s">
        <v>313</v>
      </c>
      <c r="AO136" s="21" t="s">
        <v>313</v>
      </c>
      <c r="AP136" s="21" t="s">
        <v>313</v>
      </c>
      <c r="AQ136" s="21" t="s">
        <v>313</v>
      </c>
      <c r="AR136" s="21" t="s">
        <v>313</v>
      </c>
      <c r="AS136" s="21" t="s">
        <v>313</v>
      </c>
      <c r="AT136" s="21" t="s">
        <v>313</v>
      </c>
      <c r="AU136" s="21" t="s">
        <v>313</v>
      </c>
      <c r="AV136" s="21" t="s">
        <v>313</v>
      </c>
      <c r="AW136" s="21" t="s">
        <v>313</v>
      </c>
      <c r="AX136" s="21" t="s">
        <v>313</v>
      </c>
    </row>
    <row r="137" spans="1:50" ht="15" customHeight="1" x14ac:dyDescent="0.3">
      <c r="A137" s="30" t="s">
        <v>82</v>
      </c>
      <c r="B137" s="29" t="str">
        <f>IFERROR(VLOOKUP(A137,'[1]JL EXE ACTIVE FTE List'!$G:$N,8,FALSE),IF(ISNA(VLOOKUP(A137,'[1]JL EXE LEAVER List'!$G:$I,3,FALSE)),"Query","Leaver"))</f>
        <v>LE</v>
      </c>
      <c r="C137" s="29" t="str">
        <f>IFERROR(VLOOKUP(A137,'[1]JL EXE ACTIVE FTE List'!$G:$R,12,FALSE),IF(ISNA(VLOOKUP(A137,'[1]JL EXE LEAVER List'!$G:$I,3,FALSE)),"?QUERY?","Leaver"))</f>
        <v>ACTIVE</v>
      </c>
      <c r="D137" s="39" t="str">
        <f>IFERROR(IFERROR(VLOOKUP(A137,'[1]JL EXE ACTIVE FTE List'!$G:$H,2,FALSE),VLOOKUP(A137,'[1]JL EXE LEAVER List'!$G:$H,2,FALSE)),"?QUERY?")</f>
        <v>David Hitching</v>
      </c>
      <c r="E137" s="40">
        <f>IFERROR(IFERROR(VLOOKUP(A137,'[1]JL EXE ACTIVE FTE List'!$G:$O,9,FALSE),VLOOKUP(A137,'[1]JL EXE LEAVER List'!$G:$O,9,FALSE)),"?QUERY?")</f>
        <v>43017</v>
      </c>
      <c r="F137" s="21" t="s">
        <v>338</v>
      </c>
      <c r="G137" s="21" t="s">
        <v>338</v>
      </c>
      <c r="H137" s="21" t="s">
        <v>338</v>
      </c>
      <c r="I137" s="21" t="s">
        <v>313</v>
      </c>
      <c r="J137" s="21" t="s">
        <v>313</v>
      </c>
      <c r="K137" s="21" t="s">
        <v>313</v>
      </c>
      <c r="L137" s="21" t="s">
        <v>313</v>
      </c>
      <c r="M137" s="21" t="s">
        <v>313</v>
      </c>
      <c r="N137" s="21" t="s">
        <v>313</v>
      </c>
      <c r="O137" s="21" t="s">
        <v>313</v>
      </c>
      <c r="P137" s="21" t="s">
        <v>313</v>
      </c>
      <c r="Q137" s="21" t="s">
        <v>313</v>
      </c>
      <c r="R137" s="21" t="s">
        <v>313</v>
      </c>
      <c r="S137" s="21" t="s">
        <v>313</v>
      </c>
      <c r="T137" s="21" t="s">
        <v>313</v>
      </c>
      <c r="U137" s="21" t="s">
        <v>313</v>
      </c>
      <c r="V137" s="21" t="s">
        <v>313</v>
      </c>
      <c r="W137" s="21" t="s">
        <v>313</v>
      </c>
      <c r="X137" s="21" t="s">
        <v>313</v>
      </c>
      <c r="Y137" s="21" t="s">
        <v>313</v>
      </c>
      <c r="Z137" s="21" t="s">
        <v>313</v>
      </c>
      <c r="AA137" s="21" t="s">
        <v>313</v>
      </c>
      <c r="AB137" s="21" t="s">
        <v>313</v>
      </c>
      <c r="AC137" s="21" t="s">
        <v>313</v>
      </c>
      <c r="AD137" s="21" t="s">
        <v>313</v>
      </c>
      <c r="AE137" s="21" t="s">
        <v>313</v>
      </c>
      <c r="AF137" s="21" t="s">
        <v>313</v>
      </c>
      <c r="AG137" s="21" t="s">
        <v>313</v>
      </c>
      <c r="AH137" s="21" t="s">
        <v>313</v>
      </c>
      <c r="AI137" s="21" t="s">
        <v>313</v>
      </c>
      <c r="AJ137" s="21" t="s">
        <v>313</v>
      </c>
      <c r="AK137" s="21" t="s">
        <v>313</v>
      </c>
      <c r="AL137" s="21" t="s">
        <v>313</v>
      </c>
      <c r="AM137" s="21" t="s">
        <v>313</v>
      </c>
      <c r="AN137" s="21" t="s">
        <v>313</v>
      </c>
      <c r="AO137" s="21" t="s">
        <v>313</v>
      </c>
      <c r="AP137" s="21" t="s">
        <v>313</v>
      </c>
      <c r="AQ137" s="21" t="s">
        <v>313</v>
      </c>
      <c r="AR137" s="21" t="s">
        <v>313</v>
      </c>
      <c r="AS137" s="21" t="s">
        <v>313</v>
      </c>
      <c r="AT137" s="21" t="s">
        <v>313</v>
      </c>
      <c r="AU137" s="21" t="s">
        <v>313</v>
      </c>
      <c r="AV137" s="21" t="s">
        <v>313</v>
      </c>
      <c r="AW137" s="21" t="s">
        <v>313</v>
      </c>
      <c r="AX137" s="21" t="s">
        <v>313</v>
      </c>
    </row>
    <row r="138" spans="1:50" ht="15" customHeight="1" x14ac:dyDescent="0.3">
      <c r="A138" s="30" t="s">
        <v>15</v>
      </c>
      <c r="B138" s="29" t="str">
        <f>IFERROR(VLOOKUP(A138,'[1]JL EXE ACTIVE FTE List'!$G:$N,8,FALSE),IF(ISNA(VLOOKUP(A138,'[1]JL EXE LEAVER List'!$G:$I,3,FALSE)),"Query","Leaver"))</f>
        <v>COM</v>
      </c>
      <c r="C138" s="29" t="str">
        <f>IFERROR(VLOOKUP(A138,'[1]JL EXE ACTIVE FTE List'!$G:$R,12,FALSE),IF(ISNA(VLOOKUP(A138,'[1]JL EXE LEAVER List'!$G:$I,3,FALSE)),"?QUERY?","Leaver"))</f>
        <v>GradBay</v>
      </c>
      <c r="D138" s="39" t="str">
        <f>IFERROR(IFERROR(VLOOKUP(A138,'[1]JL EXE ACTIVE FTE List'!$G:$H,2,FALSE),VLOOKUP(A138,'[1]JL EXE LEAVER List'!$G:$H,2,FALSE)),"?QUERY?")</f>
        <v>Frazer Hutchinson</v>
      </c>
      <c r="E138" s="40">
        <f>IFERROR(IFERROR(VLOOKUP(A138,'[1]JL EXE ACTIVE FTE List'!$G:$O,9,FALSE),VLOOKUP(A138,'[1]JL EXE LEAVER List'!$G:$O,9,FALSE)),"?QUERY?")</f>
        <v>43038</v>
      </c>
      <c r="F138" s="21" t="s">
        <v>338</v>
      </c>
      <c r="G138" s="21" t="s">
        <v>338</v>
      </c>
      <c r="H138" s="21" t="s">
        <v>335</v>
      </c>
      <c r="I138" s="21" t="s">
        <v>313</v>
      </c>
      <c r="J138" s="21" t="s">
        <v>313</v>
      </c>
      <c r="K138" s="21" t="s">
        <v>313</v>
      </c>
      <c r="L138" s="21" t="s">
        <v>313</v>
      </c>
      <c r="M138" s="21" t="s">
        <v>313</v>
      </c>
      <c r="N138" s="21" t="s">
        <v>313</v>
      </c>
      <c r="O138" s="21" t="s">
        <v>313</v>
      </c>
      <c r="P138" s="21" t="s">
        <v>313</v>
      </c>
      <c r="Q138" s="21" t="s">
        <v>313</v>
      </c>
      <c r="R138" s="21" t="s">
        <v>313</v>
      </c>
      <c r="S138" s="21" t="s">
        <v>313</v>
      </c>
      <c r="T138" s="21" t="s">
        <v>313</v>
      </c>
      <c r="U138" s="21" t="s">
        <v>313</v>
      </c>
      <c r="V138" s="21" t="s">
        <v>313</v>
      </c>
      <c r="W138" s="21" t="s">
        <v>313</v>
      </c>
      <c r="X138" s="21" t="s">
        <v>313</v>
      </c>
      <c r="Y138" s="21" t="s">
        <v>313</v>
      </c>
      <c r="Z138" s="21" t="s">
        <v>313</v>
      </c>
      <c r="AA138" s="21" t="s">
        <v>313</v>
      </c>
      <c r="AB138" s="21" t="s">
        <v>313</v>
      </c>
      <c r="AC138" s="21" t="s">
        <v>313</v>
      </c>
      <c r="AD138" s="21" t="s">
        <v>313</v>
      </c>
      <c r="AE138" s="21" t="s">
        <v>313</v>
      </c>
      <c r="AF138" s="21" t="s">
        <v>313</v>
      </c>
      <c r="AG138" s="21" t="s">
        <v>313</v>
      </c>
      <c r="AH138" s="21" t="s">
        <v>313</v>
      </c>
      <c r="AI138" s="21" t="s">
        <v>313</v>
      </c>
      <c r="AJ138" s="21" t="s">
        <v>313</v>
      </c>
      <c r="AK138" s="21" t="s">
        <v>313</v>
      </c>
      <c r="AL138" s="21" t="s">
        <v>313</v>
      </c>
      <c r="AM138" s="21" t="s">
        <v>313</v>
      </c>
      <c r="AN138" s="21" t="s">
        <v>313</v>
      </c>
      <c r="AO138" s="21" t="s">
        <v>313</v>
      </c>
      <c r="AP138" s="21" t="s">
        <v>313</v>
      </c>
      <c r="AQ138" s="21" t="s">
        <v>313</v>
      </c>
      <c r="AR138" s="21" t="s">
        <v>313</v>
      </c>
      <c r="AS138" s="21" t="s">
        <v>313</v>
      </c>
      <c r="AT138" s="21" t="s">
        <v>313</v>
      </c>
      <c r="AU138" s="21" t="s">
        <v>313</v>
      </c>
      <c r="AV138" s="21" t="s">
        <v>313</v>
      </c>
      <c r="AW138" s="21" t="s">
        <v>313</v>
      </c>
      <c r="AX138" s="21" t="s">
        <v>313</v>
      </c>
    </row>
    <row r="139" spans="1:50" ht="15" customHeight="1" x14ac:dyDescent="0.3">
      <c r="A139" s="30" t="s">
        <v>246</v>
      </c>
      <c r="B139" s="29" t="str">
        <f>IFERROR(VLOOKUP(A139,'[1]JL EXE ACTIVE FTE List'!$G:$N,8,FALSE),IF(ISNA(VLOOKUP(A139,'[1]JL EXE LEAVER List'!$G:$I,3,FALSE)),"Query","Leaver"))</f>
        <v>ATV</v>
      </c>
      <c r="C139" s="29" t="str">
        <f>IFERROR(VLOOKUP(A139,'[1]JL EXE ACTIVE FTE List'!$G:$R,12,FALSE),IF(ISNA(VLOOKUP(A139,'[1]JL EXE LEAVER List'!$G:$I,3,FALSE)),"?QUERY?","Leaver"))</f>
        <v>DevBay</v>
      </c>
      <c r="D139" s="39" t="str">
        <f>IFERROR(IFERROR(VLOOKUP(A139,'[1]JL EXE ACTIVE FTE List'!$G:$H,2,FALSE),VLOOKUP(A139,'[1]JL EXE LEAVER List'!$G:$H,2,FALSE)),"?QUERY?")</f>
        <v>Frazer Hutchinson</v>
      </c>
      <c r="E139" s="40">
        <f>IFERROR(IFERROR(VLOOKUP(A139,'[1]JL EXE ACTIVE FTE List'!$G:$O,9,FALSE),VLOOKUP(A139,'[1]JL EXE LEAVER List'!$G:$O,9,FALSE)),"?QUERY?")</f>
        <v>43031</v>
      </c>
      <c r="F139" s="21" t="s">
        <v>338</v>
      </c>
      <c r="G139" s="21" t="s">
        <v>338</v>
      </c>
      <c r="H139" s="21" t="s">
        <v>335</v>
      </c>
      <c r="I139" s="21" t="s">
        <v>313</v>
      </c>
      <c r="J139" s="21" t="s">
        <v>313</v>
      </c>
      <c r="K139" s="21" t="s">
        <v>313</v>
      </c>
      <c r="L139" s="21" t="s">
        <v>313</v>
      </c>
      <c r="M139" s="21" t="s">
        <v>313</v>
      </c>
      <c r="N139" s="21" t="s">
        <v>313</v>
      </c>
      <c r="O139" s="21" t="s">
        <v>313</v>
      </c>
      <c r="P139" s="21" t="s">
        <v>313</v>
      </c>
      <c r="Q139" s="21" t="s">
        <v>313</v>
      </c>
      <c r="R139" s="21" t="s">
        <v>313</v>
      </c>
      <c r="S139" s="21" t="s">
        <v>313</v>
      </c>
      <c r="T139" s="21" t="s">
        <v>313</v>
      </c>
      <c r="U139" s="21" t="s">
        <v>313</v>
      </c>
      <c r="V139" s="21" t="s">
        <v>313</v>
      </c>
      <c r="W139" s="21" t="s">
        <v>313</v>
      </c>
      <c r="X139" s="21" t="s">
        <v>313</v>
      </c>
      <c r="Y139" s="21" t="s">
        <v>313</v>
      </c>
      <c r="Z139" s="21" t="s">
        <v>313</v>
      </c>
      <c r="AA139" s="21" t="s">
        <v>313</v>
      </c>
      <c r="AB139" s="21" t="s">
        <v>313</v>
      </c>
      <c r="AC139" s="21" t="s">
        <v>313</v>
      </c>
      <c r="AD139" s="21" t="s">
        <v>313</v>
      </c>
      <c r="AE139" s="21" t="s">
        <v>313</v>
      </c>
      <c r="AF139" s="21" t="s">
        <v>313</v>
      </c>
      <c r="AG139" s="21" t="s">
        <v>313</v>
      </c>
      <c r="AH139" s="21" t="s">
        <v>313</v>
      </c>
      <c r="AI139" s="21" t="s">
        <v>313</v>
      </c>
      <c r="AJ139" s="21" t="s">
        <v>313</v>
      </c>
      <c r="AK139" s="21" t="s">
        <v>313</v>
      </c>
      <c r="AL139" s="21" t="s">
        <v>313</v>
      </c>
      <c r="AM139" s="21" t="s">
        <v>313</v>
      </c>
      <c r="AN139" s="21" t="s">
        <v>313</v>
      </c>
      <c r="AO139" s="21" t="s">
        <v>313</v>
      </c>
      <c r="AP139" s="21" t="s">
        <v>313</v>
      </c>
      <c r="AQ139" s="21" t="s">
        <v>313</v>
      </c>
      <c r="AR139" s="21" t="s">
        <v>313</v>
      </c>
      <c r="AS139" s="21" t="s">
        <v>313</v>
      </c>
      <c r="AT139" s="21" t="s">
        <v>313</v>
      </c>
      <c r="AU139" s="21" t="s">
        <v>313</v>
      </c>
      <c r="AV139" s="21" t="s">
        <v>313</v>
      </c>
      <c r="AW139" s="21" t="s">
        <v>313</v>
      </c>
      <c r="AX139" s="21" t="s">
        <v>313</v>
      </c>
    </row>
    <row r="140" spans="1:50" ht="15" customHeight="1" x14ac:dyDescent="0.3">
      <c r="A140" s="30" t="s">
        <v>38</v>
      </c>
      <c r="B140" s="29" t="str">
        <f>IFERROR(VLOOKUP(A140,'[1]JL EXE ACTIVE FTE List'!$G:$N,8,FALSE),IF(ISNA(VLOOKUP(A140,'[1]JL EXE LEAVER List'!$G:$I,3,FALSE)),"Query","Leaver"))</f>
        <v>ATV</v>
      </c>
      <c r="C140" s="29" t="str">
        <f>IFERROR(VLOOKUP(A140,'[1]JL EXE ACTIVE FTE List'!$G:$R,12,FALSE),IF(ISNA(VLOOKUP(A140,'[1]JL EXE LEAVER List'!$G:$I,3,FALSE)),"?QUERY?","Leaver"))</f>
        <v>ACTIVE</v>
      </c>
      <c r="D140" s="39" t="str">
        <f>IFERROR(IFERROR(VLOOKUP(A140,'[1]JL EXE ACTIVE FTE List'!$G:$H,2,FALSE),VLOOKUP(A140,'[1]JL EXE LEAVER List'!$G:$H,2,FALSE)),"?QUERY?")</f>
        <v>Frazer Hutchinson</v>
      </c>
      <c r="E140" s="40">
        <f>IFERROR(IFERROR(VLOOKUP(A140,'[1]JL EXE ACTIVE FTE List'!$G:$O,9,FALSE),VLOOKUP(A140,'[1]JL EXE LEAVER List'!$G:$O,9,FALSE)),"?QUERY?")</f>
        <v>42268</v>
      </c>
      <c r="F140" s="21" t="s">
        <v>338</v>
      </c>
      <c r="G140" s="21" t="s">
        <v>338</v>
      </c>
      <c r="H140" s="21" t="s">
        <v>335</v>
      </c>
      <c r="I140" s="21" t="s">
        <v>313</v>
      </c>
      <c r="J140" s="21" t="s">
        <v>313</v>
      </c>
      <c r="K140" s="21" t="s">
        <v>313</v>
      </c>
      <c r="L140" s="21" t="s">
        <v>313</v>
      </c>
      <c r="M140" s="21" t="s">
        <v>313</v>
      </c>
      <c r="N140" s="21" t="s">
        <v>313</v>
      </c>
      <c r="O140" s="21" t="s">
        <v>313</v>
      </c>
      <c r="P140" s="21" t="s">
        <v>313</v>
      </c>
      <c r="Q140" s="21" t="s">
        <v>313</v>
      </c>
      <c r="R140" s="21" t="s">
        <v>313</v>
      </c>
      <c r="S140" s="21" t="s">
        <v>313</v>
      </c>
      <c r="T140" s="21" t="s">
        <v>313</v>
      </c>
      <c r="U140" s="21" t="s">
        <v>313</v>
      </c>
      <c r="V140" s="21" t="s">
        <v>313</v>
      </c>
      <c r="W140" s="21" t="s">
        <v>313</v>
      </c>
      <c r="X140" s="21" t="s">
        <v>313</v>
      </c>
      <c r="Y140" s="21" t="s">
        <v>313</v>
      </c>
      <c r="Z140" s="21" t="s">
        <v>313</v>
      </c>
      <c r="AA140" s="21" t="s">
        <v>313</v>
      </c>
      <c r="AB140" s="21" t="s">
        <v>313</v>
      </c>
      <c r="AC140" s="21" t="s">
        <v>313</v>
      </c>
      <c r="AD140" s="21" t="s">
        <v>313</v>
      </c>
      <c r="AE140" s="21" t="s">
        <v>313</v>
      </c>
      <c r="AF140" s="21" t="s">
        <v>313</v>
      </c>
      <c r="AG140" s="21" t="s">
        <v>313</v>
      </c>
      <c r="AH140" s="21" t="s">
        <v>313</v>
      </c>
      <c r="AI140" s="21" t="s">
        <v>313</v>
      </c>
      <c r="AJ140" s="21" t="s">
        <v>313</v>
      </c>
      <c r="AK140" s="21" t="s">
        <v>313</v>
      </c>
      <c r="AL140" s="21" t="s">
        <v>313</v>
      </c>
      <c r="AM140" s="21" t="s">
        <v>313</v>
      </c>
      <c r="AN140" s="21" t="s">
        <v>313</v>
      </c>
      <c r="AO140" s="21" t="s">
        <v>313</v>
      </c>
      <c r="AP140" s="21" t="s">
        <v>313</v>
      </c>
      <c r="AQ140" s="21" t="s">
        <v>313</v>
      </c>
      <c r="AR140" s="21" t="s">
        <v>313</v>
      </c>
      <c r="AS140" s="21" t="s">
        <v>313</v>
      </c>
      <c r="AT140" s="21" t="s">
        <v>313</v>
      </c>
      <c r="AU140" s="21" t="s">
        <v>313</v>
      </c>
      <c r="AV140" s="21" t="s">
        <v>313</v>
      </c>
      <c r="AW140" s="21" t="s">
        <v>313</v>
      </c>
      <c r="AX140" s="21" t="s">
        <v>313</v>
      </c>
    </row>
    <row r="141" spans="1:50" ht="15" customHeight="1" x14ac:dyDescent="0.3">
      <c r="A141" s="30" t="s">
        <v>39</v>
      </c>
      <c r="B141" s="29" t="str">
        <f>IFERROR(VLOOKUP(A141,'[1]JL EXE ACTIVE FTE List'!$G:$N,8,FALSE),IF(ISNA(VLOOKUP(A141,'[1]JL EXE LEAVER List'!$G:$I,3,FALSE)),"Query","Leaver"))</f>
        <v>ATV</v>
      </c>
      <c r="C141" s="29" t="str">
        <f>IFERROR(VLOOKUP(A141,'[1]JL EXE ACTIVE FTE List'!$G:$R,12,FALSE),IF(ISNA(VLOOKUP(A141,'[1]JL EXE LEAVER List'!$G:$I,3,FALSE)),"?QUERY?","Leaver"))</f>
        <v>ACTIVE</v>
      </c>
      <c r="D141" s="39" t="str">
        <f>IFERROR(IFERROR(VLOOKUP(A141,'[1]JL EXE ACTIVE FTE List'!$G:$H,2,FALSE),VLOOKUP(A141,'[1]JL EXE LEAVER List'!$G:$H,2,FALSE)),"?QUERY?")</f>
        <v>Frazer Hutchinson</v>
      </c>
      <c r="E141" s="40">
        <f>IFERROR(IFERROR(VLOOKUP(A141,'[1]JL EXE ACTIVE FTE List'!$G:$O,9,FALSE),VLOOKUP(A141,'[1]JL EXE LEAVER List'!$G:$O,9,FALSE)),"?QUERY?")</f>
        <v>42977</v>
      </c>
      <c r="F141" s="21" t="s">
        <v>338</v>
      </c>
      <c r="G141" s="21" t="s">
        <v>338</v>
      </c>
      <c r="H141" s="21" t="s">
        <v>335</v>
      </c>
      <c r="I141" s="21" t="s">
        <v>313</v>
      </c>
      <c r="J141" s="21" t="s">
        <v>313</v>
      </c>
      <c r="K141" s="21" t="s">
        <v>313</v>
      </c>
      <c r="L141" s="21" t="s">
        <v>313</v>
      </c>
      <c r="M141" s="21" t="s">
        <v>313</v>
      </c>
      <c r="N141" s="21" t="s">
        <v>313</v>
      </c>
      <c r="O141" s="21" t="s">
        <v>313</v>
      </c>
      <c r="P141" s="21" t="s">
        <v>313</v>
      </c>
      <c r="Q141" s="21" t="s">
        <v>313</v>
      </c>
      <c r="R141" s="21" t="s">
        <v>313</v>
      </c>
      <c r="S141" s="21" t="s">
        <v>313</v>
      </c>
      <c r="T141" s="21" t="s">
        <v>313</v>
      </c>
      <c r="U141" s="21" t="s">
        <v>313</v>
      </c>
      <c r="V141" s="21" t="s">
        <v>313</v>
      </c>
      <c r="W141" s="21" t="s">
        <v>313</v>
      </c>
      <c r="X141" s="21" t="s">
        <v>313</v>
      </c>
      <c r="Y141" s="21" t="s">
        <v>313</v>
      </c>
      <c r="Z141" s="21" t="s">
        <v>313</v>
      </c>
      <c r="AA141" s="21" t="s">
        <v>313</v>
      </c>
      <c r="AB141" s="21" t="s">
        <v>313</v>
      </c>
      <c r="AC141" s="21" t="s">
        <v>313</v>
      </c>
      <c r="AD141" s="21" t="s">
        <v>313</v>
      </c>
      <c r="AE141" s="21" t="s">
        <v>313</v>
      </c>
      <c r="AF141" s="21" t="s">
        <v>313</v>
      </c>
      <c r="AG141" s="21" t="s">
        <v>313</v>
      </c>
      <c r="AH141" s="21" t="s">
        <v>313</v>
      </c>
      <c r="AI141" s="21" t="s">
        <v>313</v>
      </c>
      <c r="AJ141" s="21" t="s">
        <v>313</v>
      </c>
      <c r="AK141" s="21" t="s">
        <v>313</v>
      </c>
      <c r="AL141" s="21" t="s">
        <v>313</v>
      </c>
      <c r="AM141" s="21" t="s">
        <v>313</v>
      </c>
      <c r="AN141" s="21" t="s">
        <v>313</v>
      </c>
      <c r="AO141" s="21" t="s">
        <v>313</v>
      </c>
      <c r="AP141" s="21" t="s">
        <v>313</v>
      </c>
      <c r="AQ141" s="21" t="s">
        <v>313</v>
      </c>
      <c r="AR141" s="21" t="s">
        <v>313</v>
      </c>
      <c r="AS141" s="21" t="s">
        <v>313</v>
      </c>
      <c r="AT141" s="21" t="s">
        <v>313</v>
      </c>
      <c r="AU141" s="21" t="s">
        <v>313</v>
      </c>
      <c r="AV141" s="21" t="s">
        <v>313</v>
      </c>
      <c r="AW141" s="21" t="s">
        <v>313</v>
      </c>
      <c r="AX141" s="21" t="s">
        <v>313</v>
      </c>
    </row>
    <row r="142" spans="1:50" ht="15" customHeight="1" x14ac:dyDescent="0.3">
      <c r="A142" s="30" t="s">
        <v>40</v>
      </c>
      <c r="B142" s="29" t="str">
        <f>IFERROR(VLOOKUP(A142,'[1]JL EXE ACTIVE FTE List'!$G:$N,8,FALSE),IF(ISNA(VLOOKUP(A142,'[1]JL EXE LEAVER List'!$G:$I,3,FALSE)),"Query","Leaver"))</f>
        <v>ATV</v>
      </c>
      <c r="C142" s="29" t="str">
        <f>IFERROR(VLOOKUP(A142,'[1]JL EXE ACTIVE FTE List'!$G:$R,12,FALSE),IF(ISNA(VLOOKUP(A142,'[1]JL EXE LEAVER List'!$G:$I,3,FALSE)),"?QUERY?","Leaver"))</f>
        <v>ACTIVE</v>
      </c>
      <c r="D142" s="39" t="str">
        <f>IFERROR(IFERROR(VLOOKUP(A142,'[1]JL EXE ACTIVE FTE List'!$G:$H,2,FALSE),VLOOKUP(A142,'[1]JL EXE LEAVER List'!$G:$H,2,FALSE)),"?QUERY?")</f>
        <v>Frazer Hutchinson</v>
      </c>
      <c r="E142" s="40">
        <f>IFERROR(IFERROR(VLOOKUP(A142,'[1]JL EXE ACTIVE FTE List'!$G:$O,9,FALSE),VLOOKUP(A142,'[1]JL EXE LEAVER List'!$G:$O,9,FALSE)),"?QUERY?")</f>
        <v>42977</v>
      </c>
      <c r="F142" s="21" t="s">
        <v>338</v>
      </c>
      <c r="G142" s="21" t="s">
        <v>338</v>
      </c>
      <c r="H142" s="21" t="s">
        <v>335</v>
      </c>
      <c r="I142" s="21" t="s">
        <v>313</v>
      </c>
      <c r="J142" s="21" t="s">
        <v>313</v>
      </c>
      <c r="K142" s="21" t="s">
        <v>313</v>
      </c>
      <c r="L142" s="21" t="s">
        <v>313</v>
      </c>
      <c r="M142" s="21" t="s">
        <v>313</v>
      </c>
      <c r="N142" s="21" t="s">
        <v>313</v>
      </c>
      <c r="O142" s="21" t="s">
        <v>313</v>
      </c>
      <c r="P142" s="21" t="s">
        <v>313</v>
      </c>
      <c r="Q142" s="21" t="s">
        <v>313</v>
      </c>
      <c r="R142" s="21" t="s">
        <v>313</v>
      </c>
      <c r="S142" s="21" t="s">
        <v>313</v>
      </c>
      <c r="T142" s="21" t="s">
        <v>313</v>
      </c>
      <c r="U142" s="21" t="s">
        <v>313</v>
      </c>
      <c r="V142" s="21" t="s">
        <v>313</v>
      </c>
      <c r="W142" s="21" t="s">
        <v>313</v>
      </c>
      <c r="X142" s="21" t="s">
        <v>313</v>
      </c>
      <c r="Y142" s="21" t="s">
        <v>313</v>
      </c>
      <c r="Z142" s="21" t="s">
        <v>313</v>
      </c>
      <c r="AA142" s="21" t="s">
        <v>313</v>
      </c>
      <c r="AB142" s="21" t="s">
        <v>313</v>
      </c>
      <c r="AC142" s="21" t="s">
        <v>313</v>
      </c>
      <c r="AD142" s="21" t="s">
        <v>313</v>
      </c>
      <c r="AE142" s="21" t="s">
        <v>313</v>
      </c>
      <c r="AF142" s="21" t="s">
        <v>313</v>
      </c>
      <c r="AG142" s="21" t="s">
        <v>313</v>
      </c>
      <c r="AH142" s="21" t="s">
        <v>313</v>
      </c>
      <c r="AI142" s="21" t="s">
        <v>313</v>
      </c>
      <c r="AJ142" s="21" t="s">
        <v>313</v>
      </c>
      <c r="AK142" s="21" t="s">
        <v>313</v>
      </c>
      <c r="AL142" s="21" t="s">
        <v>313</v>
      </c>
      <c r="AM142" s="21" t="s">
        <v>313</v>
      </c>
      <c r="AN142" s="21" t="s">
        <v>313</v>
      </c>
      <c r="AO142" s="21" t="s">
        <v>313</v>
      </c>
      <c r="AP142" s="21" t="s">
        <v>313</v>
      </c>
      <c r="AQ142" s="21" t="s">
        <v>313</v>
      </c>
      <c r="AR142" s="21" t="s">
        <v>313</v>
      </c>
      <c r="AS142" s="21" t="s">
        <v>313</v>
      </c>
      <c r="AT142" s="21" t="s">
        <v>313</v>
      </c>
      <c r="AU142" s="21" t="s">
        <v>313</v>
      </c>
      <c r="AV142" s="21" t="s">
        <v>313</v>
      </c>
      <c r="AW142" s="21" t="s">
        <v>313</v>
      </c>
      <c r="AX142" s="21" t="s">
        <v>313</v>
      </c>
    </row>
    <row r="143" spans="1:50" ht="15" customHeight="1" x14ac:dyDescent="0.3">
      <c r="A143" s="30" t="s">
        <v>45</v>
      </c>
      <c r="B143" s="29" t="str">
        <f>IFERROR(VLOOKUP(A143,'[1]JL EXE ACTIVE FTE List'!$G:$N,8,FALSE),IF(ISNA(VLOOKUP(A143,'[1]JL EXE LEAVER List'!$G:$I,3,FALSE)),"Query","Leaver"))</f>
        <v>ATV</v>
      </c>
      <c r="C143" s="29" t="str">
        <f>IFERROR(VLOOKUP(A143,'[1]JL EXE ACTIVE FTE List'!$G:$R,12,FALSE),IF(ISNA(VLOOKUP(A143,'[1]JL EXE LEAVER List'!$G:$I,3,FALSE)),"?QUERY?","Leaver"))</f>
        <v>ACTIVE</v>
      </c>
      <c r="D143" s="39" t="str">
        <f>IFERROR(IFERROR(VLOOKUP(A143,'[1]JL EXE ACTIVE FTE List'!$G:$H,2,FALSE),VLOOKUP(A143,'[1]JL EXE LEAVER List'!$G:$H,2,FALSE)),"?QUERY?")</f>
        <v>Frazer Hutchinson</v>
      </c>
      <c r="E143" s="40">
        <f>IFERROR(IFERROR(VLOOKUP(A143,'[1]JL EXE ACTIVE FTE List'!$G:$O,9,FALSE),VLOOKUP(A143,'[1]JL EXE LEAVER List'!$G:$O,9,FALSE)),"?QUERY?")</f>
        <v>42866</v>
      </c>
      <c r="F143" s="21" t="s">
        <v>338</v>
      </c>
      <c r="G143" s="21" t="s">
        <v>338</v>
      </c>
      <c r="H143" s="21" t="s">
        <v>335</v>
      </c>
      <c r="I143" s="21" t="s">
        <v>313</v>
      </c>
      <c r="J143" s="21" t="s">
        <v>313</v>
      </c>
      <c r="K143" s="21" t="s">
        <v>313</v>
      </c>
      <c r="L143" s="21" t="s">
        <v>313</v>
      </c>
      <c r="M143" s="21" t="s">
        <v>313</v>
      </c>
      <c r="N143" s="21" t="s">
        <v>313</v>
      </c>
      <c r="O143" s="21" t="s">
        <v>313</v>
      </c>
      <c r="P143" s="21" t="s">
        <v>313</v>
      </c>
      <c r="Q143" s="21" t="s">
        <v>313</v>
      </c>
      <c r="R143" s="21" t="s">
        <v>313</v>
      </c>
      <c r="S143" s="21" t="s">
        <v>313</v>
      </c>
      <c r="T143" s="21" t="s">
        <v>313</v>
      </c>
      <c r="U143" s="21" t="s">
        <v>313</v>
      </c>
      <c r="V143" s="21" t="s">
        <v>313</v>
      </c>
      <c r="W143" s="21" t="s">
        <v>313</v>
      </c>
      <c r="X143" s="21" t="s">
        <v>313</v>
      </c>
      <c r="Y143" s="21" t="s">
        <v>313</v>
      </c>
      <c r="Z143" s="21" t="s">
        <v>313</v>
      </c>
      <c r="AA143" s="21" t="s">
        <v>313</v>
      </c>
      <c r="AB143" s="21" t="s">
        <v>313</v>
      </c>
      <c r="AC143" s="21" t="s">
        <v>313</v>
      </c>
      <c r="AD143" s="21" t="s">
        <v>313</v>
      </c>
      <c r="AE143" s="21" t="s">
        <v>313</v>
      </c>
      <c r="AF143" s="21" t="s">
        <v>313</v>
      </c>
      <c r="AG143" s="21" t="s">
        <v>313</v>
      </c>
      <c r="AH143" s="21" t="s">
        <v>313</v>
      </c>
      <c r="AI143" s="21" t="s">
        <v>313</v>
      </c>
      <c r="AJ143" s="21" t="s">
        <v>313</v>
      </c>
      <c r="AK143" s="21" t="s">
        <v>313</v>
      </c>
      <c r="AL143" s="21" t="s">
        <v>313</v>
      </c>
      <c r="AM143" s="21" t="s">
        <v>313</v>
      </c>
      <c r="AN143" s="21" t="s">
        <v>313</v>
      </c>
      <c r="AO143" s="21" t="s">
        <v>313</v>
      </c>
      <c r="AP143" s="21" t="s">
        <v>313</v>
      </c>
      <c r="AQ143" s="21" t="s">
        <v>313</v>
      </c>
      <c r="AR143" s="21" t="s">
        <v>313</v>
      </c>
      <c r="AS143" s="21" t="s">
        <v>313</v>
      </c>
      <c r="AT143" s="21" t="s">
        <v>313</v>
      </c>
      <c r="AU143" s="21" t="s">
        <v>313</v>
      </c>
      <c r="AV143" s="21" t="s">
        <v>313</v>
      </c>
      <c r="AW143" s="21" t="s">
        <v>313</v>
      </c>
      <c r="AX143" s="21" t="s">
        <v>313</v>
      </c>
    </row>
    <row r="144" spans="1:50" ht="15" customHeight="1" x14ac:dyDescent="0.3">
      <c r="A144" s="30" t="s">
        <v>74</v>
      </c>
      <c r="B144" s="29" t="str">
        <f>IFERROR(VLOOKUP(A144,'[1]JL EXE ACTIVE FTE List'!$G:$N,8,FALSE),IF(ISNA(VLOOKUP(A144,'[1]JL EXE LEAVER List'!$G:$I,3,FALSE)),"Query","Leaver"))</f>
        <v>ATV</v>
      </c>
      <c r="C144" s="29" t="str">
        <f>IFERROR(VLOOKUP(A144,'[1]JL EXE ACTIVE FTE List'!$G:$R,12,FALSE),IF(ISNA(VLOOKUP(A144,'[1]JL EXE LEAVER List'!$G:$I,3,FALSE)),"?QUERY?","Leaver"))</f>
        <v>DevBay</v>
      </c>
      <c r="D144" s="39" t="str">
        <f>IFERROR(IFERROR(VLOOKUP(A144,'[1]JL EXE ACTIVE FTE List'!$G:$H,2,FALSE),VLOOKUP(A144,'[1]JL EXE LEAVER List'!$G:$H,2,FALSE)),"?QUERY?")</f>
        <v>Frazer Hutchinson</v>
      </c>
      <c r="E144" s="40">
        <f>IFERROR(IFERROR(VLOOKUP(A144,'[1]JL EXE ACTIVE FTE List'!$G:$O,9,FALSE),VLOOKUP(A144,'[1]JL EXE LEAVER List'!$G:$O,9,FALSE)),"?QUERY?")</f>
        <v>43017</v>
      </c>
      <c r="F144" s="21" t="s">
        <v>338</v>
      </c>
      <c r="G144" s="21" t="s">
        <v>338</v>
      </c>
      <c r="H144" s="21" t="s">
        <v>335</v>
      </c>
      <c r="I144" s="21" t="s">
        <v>313</v>
      </c>
      <c r="J144" s="21" t="s">
        <v>313</v>
      </c>
      <c r="K144" s="21" t="s">
        <v>313</v>
      </c>
      <c r="L144" s="21" t="s">
        <v>313</v>
      </c>
      <c r="M144" s="21" t="s">
        <v>313</v>
      </c>
      <c r="N144" s="21" t="s">
        <v>313</v>
      </c>
      <c r="O144" s="21" t="s">
        <v>313</v>
      </c>
      <c r="P144" s="21" t="s">
        <v>313</v>
      </c>
      <c r="Q144" s="21" t="s">
        <v>313</v>
      </c>
      <c r="R144" s="21" t="s">
        <v>313</v>
      </c>
      <c r="S144" s="21" t="s">
        <v>313</v>
      </c>
      <c r="T144" s="21" t="s">
        <v>313</v>
      </c>
      <c r="U144" s="21" t="s">
        <v>313</v>
      </c>
      <c r="V144" s="21" t="s">
        <v>313</v>
      </c>
      <c r="W144" s="21" t="s">
        <v>313</v>
      </c>
      <c r="X144" s="21" t="s">
        <v>313</v>
      </c>
      <c r="Y144" s="21" t="s">
        <v>313</v>
      </c>
      <c r="Z144" s="21" t="s">
        <v>313</v>
      </c>
      <c r="AA144" s="21" t="s">
        <v>313</v>
      </c>
      <c r="AB144" s="21" t="s">
        <v>313</v>
      </c>
      <c r="AC144" s="21" t="s">
        <v>313</v>
      </c>
      <c r="AD144" s="21" t="s">
        <v>313</v>
      </c>
      <c r="AE144" s="21" t="s">
        <v>313</v>
      </c>
      <c r="AF144" s="21" t="s">
        <v>313</v>
      </c>
      <c r="AG144" s="21" t="s">
        <v>313</v>
      </c>
      <c r="AH144" s="21" t="s">
        <v>313</v>
      </c>
      <c r="AI144" s="21" t="s">
        <v>313</v>
      </c>
      <c r="AJ144" s="21" t="s">
        <v>313</v>
      </c>
      <c r="AK144" s="21" t="s">
        <v>313</v>
      </c>
      <c r="AL144" s="21" t="s">
        <v>313</v>
      </c>
      <c r="AM144" s="21" t="s">
        <v>313</v>
      </c>
      <c r="AN144" s="21" t="s">
        <v>313</v>
      </c>
      <c r="AO144" s="21" t="s">
        <v>313</v>
      </c>
      <c r="AP144" s="21" t="s">
        <v>313</v>
      </c>
      <c r="AQ144" s="21" t="s">
        <v>313</v>
      </c>
      <c r="AR144" s="21" t="s">
        <v>313</v>
      </c>
      <c r="AS144" s="21" t="s">
        <v>313</v>
      </c>
      <c r="AT144" s="21" t="s">
        <v>313</v>
      </c>
      <c r="AU144" s="21" t="s">
        <v>313</v>
      </c>
      <c r="AV144" s="21" t="s">
        <v>313</v>
      </c>
      <c r="AW144" s="21" t="s">
        <v>313</v>
      </c>
      <c r="AX144" s="21" t="s">
        <v>313</v>
      </c>
    </row>
    <row r="145" spans="1:50" x14ac:dyDescent="0.3">
      <c r="A145" s="30" t="s">
        <v>46</v>
      </c>
      <c r="B145" s="29" t="str">
        <f>IFERROR(VLOOKUP(A145,'[1]JL EXE ACTIVE FTE List'!$G:$N,8,FALSE),IF(ISNA(VLOOKUP(A145,'[1]JL EXE LEAVER List'!$G:$I,3,FALSE)),"Query","Leaver"))</f>
        <v>ATV</v>
      </c>
      <c r="C145" s="29" t="str">
        <f>IFERROR(VLOOKUP(A145,'[1]JL EXE ACTIVE FTE List'!$G:$R,12,FALSE),IF(ISNA(VLOOKUP(A145,'[1]JL EXE LEAVER List'!$G:$I,3,FALSE)),"?QUERY?","Leaver"))</f>
        <v>ACTIVE</v>
      </c>
      <c r="D145" s="39" t="str">
        <f>IFERROR(IFERROR(VLOOKUP(A145,'[1]JL EXE ACTIVE FTE List'!$G:$H,2,FALSE),VLOOKUP(A145,'[1]JL EXE LEAVER List'!$G:$H,2,FALSE)),"?QUERY?")</f>
        <v>Frazer Hutchinson</v>
      </c>
      <c r="E145" s="40">
        <f>IFERROR(IFERROR(VLOOKUP(A145,'[1]JL EXE ACTIVE FTE List'!$G:$O,9,FALSE),VLOOKUP(A145,'[1]JL EXE LEAVER List'!$G:$O,9,FALSE)),"?QUERY?")</f>
        <v>42866</v>
      </c>
      <c r="F145" s="21" t="s">
        <v>338</v>
      </c>
      <c r="G145" s="21" t="s">
        <v>338</v>
      </c>
      <c r="H145" s="21" t="s">
        <v>335</v>
      </c>
      <c r="I145" s="21" t="s">
        <v>313</v>
      </c>
      <c r="J145" s="21" t="s">
        <v>313</v>
      </c>
      <c r="K145" s="21" t="s">
        <v>313</v>
      </c>
      <c r="L145" s="21" t="s">
        <v>313</v>
      </c>
      <c r="M145" s="21" t="s">
        <v>313</v>
      </c>
      <c r="N145" s="21" t="s">
        <v>313</v>
      </c>
      <c r="O145" s="21" t="s">
        <v>313</v>
      </c>
      <c r="P145" s="21" t="s">
        <v>313</v>
      </c>
      <c r="Q145" s="21" t="s">
        <v>313</v>
      </c>
      <c r="R145" s="21" t="s">
        <v>313</v>
      </c>
      <c r="S145" s="21" t="s">
        <v>313</v>
      </c>
      <c r="T145" s="21" t="s">
        <v>313</v>
      </c>
      <c r="U145" s="21" t="s">
        <v>313</v>
      </c>
      <c r="V145" s="21" t="s">
        <v>313</v>
      </c>
      <c r="W145" s="21" t="s">
        <v>313</v>
      </c>
      <c r="X145" s="21" t="s">
        <v>313</v>
      </c>
      <c r="Y145" s="21" t="s">
        <v>313</v>
      </c>
      <c r="Z145" s="21" t="s">
        <v>313</v>
      </c>
      <c r="AA145" s="21" t="s">
        <v>313</v>
      </c>
      <c r="AB145" s="21" t="s">
        <v>313</v>
      </c>
      <c r="AC145" s="21" t="s">
        <v>313</v>
      </c>
      <c r="AD145" s="21" t="s">
        <v>313</v>
      </c>
      <c r="AE145" s="21" t="s">
        <v>313</v>
      </c>
      <c r="AF145" s="21" t="s">
        <v>313</v>
      </c>
      <c r="AG145" s="21" t="s">
        <v>313</v>
      </c>
      <c r="AH145" s="21" t="s">
        <v>313</v>
      </c>
      <c r="AI145" s="21" t="s">
        <v>313</v>
      </c>
      <c r="AJ145" s="21" t="s">
        <v>313</v>
      </c>
      <c r="AK145" s="21" t="s">
        <v>313</v>
      </c>
      <c r="AL145" s="21" t="s">
        <v>313</v>
      </c>
      <c r="AM145" s="21" t="s">
        <v>313</v>
      </c>
      <c r="AN145" s="21" t="s">
        <v>313</v>
      </c>
      <c r="AO145" s="21" t="s">
        <v>313</v>
      </c>
      <c r="AP145" s="21" t="s">
        <v>313</v>
      </c>
      <c r="AQ145" s="21" t="s">
        <v>313</v>
      </c>
      <c r="AR145" s="21" t="s">
        <v>313</v>
      </c>
      <c r="AS145" s="21" t="s">
        <v>313</v>
      </c>
      <c r="AT145" s="21" t="s">
        <v>313</v>
      </c>
      <c r="AU145" s="21" t="s">
        <v>313</v>
      </c>
      <c r="AV145" s="21" t="s">
        <v>313</v>
      </c>
      <c r="AW145" s="21" t="s">
        <v>313</v>
      </c>
      <c r="AX145" s="21" t="s">
        <v>313</v>
      </c>
    </row>
    <row r="146" spans="1:50" ht="15" customHeight="1" x14ac:dyDescent="0.3">
      <c r="A146" s="30" t="s">
        <v>78</v>
      </c>
      <c r="B146" s="29" t="str">
        <f>IFERROR(VLOOKUP(A146,'[1]JL EXE ACTIVE FTE List'!$G:$N,8,FALSE),IF(ISNA(VLOOKUP(A146,'[1]JL EXE LEAVER List'!$G:$I,3,FALSE)),"Query","Leaver"))</f>
        <v>LE</v>
      </c>
      <c r="C146" s="29" t="str">
        <f>IFERROR(VLOOKUP(A146,'[1]JL EXE ACTIVE FTE List'!$G:$R,12,FALSE),IF(ISNA(VLOOKUP(A146,'[1]JL EXE LEAVER List'!$G:$I,3,FALSE)),"?QUERY?","Leaver"))</f>
        <v>DevBay</v>
      </c>
      <c r="D146" s="39" t="str">
        <f>IFERROR(IFERROR(VLOOKUP(A146,'[1]JL EXE ACTIVE FTE List'!$G:$H,2,FALSE),VLOOKUP(A146,'[1]JL EXE LEAVER List'!$G:$H,2,FALSE)),"?QUERY?")</f>
        <v>Frazer Hutchinson</v>
      </c>
      <c r="E146" s="40">
        <f>IFERROR(IFERROR(VLOOKUP(A146,'[1]JL EXE ACTIVE FTE List'!$G:$O,9,FALSE),VLOOKUP(A146,'[1]JL EXE LEAVER List'!$G:$O,9,FALSE)),"?QUERY?")</f>
        <v>43017</v>
      </c>
      <c r="F146" s="21" t="s">
        <v>338</v>
      </c>
      <c r="G146" s="21" t="s">
        <v>338</v>
      </c>
      <c r="H146" s="21" t="s">
        <v>335</v>
      </c>
      <c r="I146" s="21" t="s">
        <v>313</v>
      </c>
      <c r="J146" s="21" t="s">
        <v>313</v>
      </c>
      <c r="K146" s="21" t="s">
        <v>313</v>
      </c>
      <c r="L146" s="21" t="s">
        <v>313</v>
      </c>
      <c r="M146" s="21" t="s">
        <v>313</v>
      </c>
      <c r="N146" s="21" t="s">
        <v>313</v>
      </c>
      <c r="O146" s="21" t="s">
        <v>313</v>
      </c>
      <c r="P146" s="21" t="s">
        <v>313</v>
      </c>
      <c r="Q146" s="21" t="s">
        <v>313</v>
      </c>
      <c r="R146" s="21" t="s">
        <v>313</v>
      </c>
      <c r="S146" s="21" t="s">
        <v>313</v>
      </c>
      <c r="T146" s="21" t="s">
        <v>313</v>
      </c>
      <c r="U146" s="21" t="s">
        <v>313</v>
      </c>
      <c r="V146" s="21" t="s">
        <v>313</v>
      </c>
      <c r="W146" s="21" t="s">
        <v>313</v>
      </c>
      <c r="X146" s="21" t="s">
        <v>313</v>
      </c>
      <c r="Y146" s="21" t="s">
        <v>313</v>
      </c>
      <c r="Z146" s="21" t="s">
        <v>313</v>
      </c>
      <c r="AA146" s="21" t="s">
        <v>313</v>
      </c>
      <c r="AB146" s="21" t="s">
        <v>313</v>
      </c>
      <c r="AC146" s="21" t="s">
        <v>313</v>
      </c>
      <c r="AD146" s="21" t="s">
        <v>313</v>
      </c>
      <c r="AE146" s="21" t="s">
        <v>313</v>
      </c>
      <c r="AF146" s="21" t="s">
        <v>313</v>
      </c>
      <c r="AG146" s="21" t="s">
        <v>313</v>
      </c>
      <c r="AH146" s="21" t="s">
        <v>313</v>
      </c>
      <c r="AI146" s="21" t="s">
        <v>313</v>
      </c>
      <c r="AJ146" s="21" t="s">
        <v>313</v>
      </c>
      <c r="AK146" s="21" t="s">
        <v>313</v>
      </c>
      <c r="AL146" s="21" t="s">
        <v>313</v>
      </c>
      <c r="AM146" s="21" t="s">
        <v>313</v>
      </c>
      <c r="AN146" s="21" t="s">
        <v>313</v>
      </c>
      <c r="AO146" s="21" t="s">
        <v>313</v>
      </c>
      <c r="AP146" s="21" t="s">
        <v>313</v>
      </c>
      <c r="AQ146" s="21" t="s">
        <v>313</v>
      </c>
      <c r="AR146" s="21" t="s">
        <v>313</v>
      </c>
      <c r="AS146" s="21" t="s">
        <v>313</v>
      </c>
      <c r="AT146" s="21" t="s">
        <v>313</v>
      </c>
      <c r="AU146" s="21" t="s">
        <v>313</v>
      </c>
      <c r="AV146" s="21" t="s">
        <v>313</v>
      </c>
      <c r="AW146" s="21" t="s">
        <v>313</v>
      </c>
      <c r="AX146" s="21" t="s">
        <v>313</v>
      </c>
    </row>
    <row r="147" spans="1:50" ht="15" customHeight="1" x14ac:dyDescent="0.3">
      <c r="A147" s="30" t="s">
        <v>47</v>
      </c>
      <c r="B147" s="29" t="str">
        <f>IFERROR(VLOOKUP(A147,'[1]JL EXE ACTIVE FTE List'!$G:$N,8,FALSE),IF(ISNA(VLOOKUP(A147,'[1]JL EXE LEAVER List'!$G:$I,3,FALSE)),"Query","Leaver"))</f>
        <v>ATV</v>
      </c>
      <c r="C147" s="29" t="str">
        <f>IFERROR(VLOOKUP(A147,'[1]JL EXE ACTIVE FTE List'!$G:$R,12,FALSE),IF(ISNA(VLOOKUP(A147,'[1]JL EXE LEAVER List'!$G:$I,3,FALSE)),"?QUERY?","Leaver"))</f>
        <v>ACTIVE</v>
      </c>
      <c r="D147" s="39" t="str">
        <f>IFERROR(IFERROR(VLOOKUP(A147,'[1]JL EXE ACTIVE FTE List'!$G:$H,2,FALSE),VLOOKUP(A147,'[1]JL EXE LEAVER List'!$G:$H,2,FALSE)),"?QUERY?")</f>
        <v>Frazer Hutchinson</v>
      </c>
      <c r="E147" s="40">
        <f>IFERROR(IFERROR(VLOOKUP(A147,'[1]JL EXE ACTIVE FTE List'!$G:$O,9,FALSE),VLOOKUP(A147,'[1]JL EXE LEAVER List'!$G:$O,9,FALSE)),"?QUERY?")</f>
        <v>42866</v>
      </c>
      <c r="F147" s="21" t="s">
        <v>338</v>
      </c>
      <c r="G147" s="21" t="s">
        <v>338</v>
      </c>
      <c r="H147" s="21" t="s">
        <v>335</v>
      </c>
      <c r="I147" s="21" t="s">
        <v>313</v>
      </c>
      <c r="J147" s="21" t="s">
        <v>313</v>
      </c>
      <c r="K147" s="21" t="s">
        <v>313</v>
      </c>
      <c r="L147" s="21" t="s">
        <v>313</v>
      </c>
      <c r="M147" s="21" t="s">
        <v>313</v>
      </c>
      <c r="N147" s="21" t="s">
        <v>313</v>
      </c>
      <c r="O147" s="21" t="s">
        <v>313</v>
      </c>
      <c r="P147" s="21" t="s">
        <v>313</v>
      </c>
      <c r="Q147" s="21" t="s">
        <v>313</v>
      </c>
      <c r="R147" s="21" t="s">
        <v>313</v>
      </c>
      <c r="S147" s="21" t="s">
        <v>313</v>
      </c>
      <c r="T147" s="21" t="s">
        <v>313</v>
      </c>
      <c r="U147" s="21" t="s">
        <v>313</v>
      </c>
      <c r="V147" s="21" t="s">
        <v>313</v>
      </c>
      <c r="W147" s="21" t="s">
        <v>313</v>
      </c>
      <c r="X147" s="21" t="s">
        <v>313</v>
      </c>
      <c r="Y147" s="21" t="s">
        <v>313</v>
      </c>
      <c r="Z147" s="21" t="s">
        <v>313</v>
      </c>
      <c r="AA147" s="21" t="s">
        <v>313</v>
      </c>
      <c r="AB147" s="21" t="s">
        <v>313</v>
      </c>
      <c r="AC147" s="21" t="s">
        <v>313</v>
      </c>
      <c r="AD147" s="21" t="s">
        <v>313</v>
      </c>
      <c r="AE147" s="21" t="s">
        <v>313</v>
      </c>
      <c r="AF147" s="21" t="s">
        <v>313</v>
      </c>
      <c r="AG147" s="21" t="s">
        <v>313</v>
      </c>
      <c r="AH147" s="21" t="s">
        <v>313</v>
      </c>
      <c r="AI147" s="21" t="s">
        <v>313</v>
      </c>
      <c r="AJ147" s="21" t="s">
        <v>313</v>
      </c>
      <c r="AK147" s="21" t="s">
        <v>313</v>
      </c>
      <c r="AL147" s="21" t="s">
        <v>313</v>
      </c>
      <c r="AM147" s="21" t="s">
        <v>313</v>
      </c>
      <c r="AN147" s="21" t="s">
        <v>313</v>
      </c>
      <c r="AO147" s="21" t="s">
        <v>313</v>
      </c>
      <c r="AP147" s="21" t="s">
        <v>313</v>
      </c>
      <c r="AQ147" s="21" t="s">
        <v>313</v>
      </c>
      <c r="AR147" s="21" t="s">
        <v>313</v>
      </c>
      <c r="AS147" s="21" t="s">
        <v>313</v>
      </c>
      <c r="AT147" s="21" t="s">
        <v>313</v>
      </c>
      <c r="AU147" s="21" t="s">
        <v>313</v>
      </c>
      <c r="AV147" s="21" t="s">
        <v>313</v>
      </c>
      <c r="AW147" s="21" t="s">
        <v>313</v>
      </c>
      <c r="AX147" s="21" t="s">
        <v>313</v>
      </c>
    </row>
    <row r="148" spans="1:50" ht="15" customHeight="1" x14ac:dyDescent="0.3">
      <c r="A148" s="30" t="s">
        <v>81</v>
      </c>
      <c r="B148" s="29" t="str">
        <f>IFERROR(VLOOKUP(A148,'[1]JL EXE ACTIVE FTE List'!$G:$N,8,FALSE),IF(ISNA(VLOOKUP(A148,'[1]JL EXE LEAVER List'!$G:$I,3,FALSE)),"Query","Leaver"))</f>
        <v>LE</v>
      </c>
      <c r="C148" s="29" t="str">
        <f>IFERROR(VLOOKUP(A148,'[1]JL EXE ACTIVE FTE List'!$G:$R,12,FALSE),IF(ISNA(VLOOKUP(A148,'[1]JL EXE LEAVER List'!$G:$I,3,FALSE)),"?QUERY?","Leaver"))</f>
        <v>DevBay</v>
      </c>
      <c r="D148" s="39" t="str">
        <f>IFERROR(IFERROR(VLOOKUP(A148,'[1]JL EXE ACTIVE FTE List'!$G:$H,2,FALSE),VLOOKUP(A148,'[1]JL EXE LEAVER List'!$G:$H,2,FALSE)),"?QUERY?")</f>
        <v>Frazer Hutchinson</v>
      </c>
      <c r="E148" s="40">
        <f>IFERROR(IFERROR(VLOOKUP(A148,'[1]JL EXE ACTIVE FTE List'!$G:$O,9,FALSE),VLOOKUP(A148,'[1]JL EXE LEAVER List'!$G:$O,9,FALSE)),"?QUERY?")</f>
        <v>43017</v>
      </c>
      <c r="F148" s="21" t="s">
        <v>338</v>
      </c>
      <c r="G148" s="21" t="s">
        <v>338</v>
      </c>
      <c r="H148" s="21" t="s">
        <v>335</v>
      </c>
      <c r="I148" s="21" t="s">
        <v>313</v>
      </c>
      <c r="J148" s="21" t="s">
        <v>313</v>
      </c>
      <c r="K148" s="21" t="s">
        <v>313</v>
      </c>
      <c r="L148" s="21" t="s">
        <v>313</v>
      </c>
      <c r="M148" s="21" t="s">
        <v>313</v>
      </c>
      <c r="N148" s="21" t="s">
        <v>313</v>
      </c>
      <c r="O148" s="21" t="s">
        <v>313</v>
      </c>
      <c r="P148" s="21" t="s">
        <v>313</v>
      </c>
      <c r="Q148" s="21" t="s">
        <v>313</v>
      </c>
      <c r="R148" s="21" t="s">
        <v>313</v>
      </c>
      <c r="S148" s="21" t="s">
        <v>313</v>
      </c>
      <c r="T148" s="21" t="s">
        <v>313</v>
      </c>
      <c r="U148" s="21" t="s">
        <v>313</v>
      </c>
      <c r="V148" s="21" t="s">
        <v>313</v>
      </c>
      <c r="W148" s="21" t="s">
        <v>313</v>
      </c>
      <c r="X148" s="21" t="s">
        <v>313</v>
      </c>
      <c r="Y148" s="21" t="s">
        <v>313</v>
      </c>
      <c r="Z148" s="21" t="s">
        <v>313</v>
      </c>
      <c r="AA148" s="21" t="s">
        <v>313</v>
      </c>
      <c r="AB148" s="21" t="s">
        <v>313</v>
      </c>
      <c r="AC148" s="21" t="s">
        <v>313</v>
      </c>
      <c r="AD148" s="21" t="s">
        <v>313</v>
      </c>
      <c r="AE148" s="21" t="s">
        <v>313</v>
      </c>
      <c r="AF148" s="21" t="s">
        <v>313</v>
      </c>
      <c r="AG148" s="21" t="s">
        <v>313</v>
      </c>
      <c r="AH148" s="21" t="s">
        <v>313</v>
      </c>
      <c r="AI148" s="21" t="s">
        <v>313</v>
      </c>
      <c r="AJ148" s="21" t="s">
        <v>313</v>
      </c>
      <c r="AK148" s="21" t="s">
        <v>313</v>
      </c>
      <c r="AL148" s="21" t="s">
        <v>313</v>
      </c>
      <c r="AM148" s="21" t="s">
        <v>313</v>
      </c>
      <c r="AN148" s="21" t="s">
        <v>313</v>
      </c>
      <c r="AO148" s="21" t="s">
        <v>313</v>
      </c>
      <c r="AP148" s="21" t="s">
        <v>313</v>
      </c>
      <c r="AQ148" s="21" t="s">
        <v>313</v>
      </c>
      <c r="AR148" s="21" t="s">
        <v>313</v>
      </c>
      <c r="AS148" s="21" t="s">
        <v>313</v>
      </c>
      <c r="AT148" s="21" t="s">
        <v>313</v>
      </c>
      <c r="AU148" s="21" t="s">
        <v>313</v>
      </c>
      <c r="AV148" s="21" t="s">
        <v>313</v>
      </c>
      <c r="AW148" s="21" t="s">
        <v>313</v>
      </c>
      <c r="AX148" s="21" t="s">
        <v>313</v>
      </c>
    </row>
    <row r="149" spans="1:50" ht="15" customHeight="1" x14ac:dyDescent="0.3">
      <c r="A149" s="30" t="s">
        <v>48</v>
      </c>
      <c r="B149" s="29" t="str">
        <f>IFERROR(VLOOKUP(A149,'[1]JL EXE ACTIVE FTE List'!$G:$N,8,FALSE),IF(ISNA(VLOOKUP(A149,'[1]JL EXE LEAVER List'!$G:$I,3,FALSE)),"Query","Leaver"))</f>
        <v>COM</v>
      </c>
      <c r="C149" s="29" t="str">
        <f>IFERROR(VLOOKUP(A149,'[1]JL EXE ACTIVE FTE List'!$G:$R,12,FALSE),IF(ISNA(VLOOKUP(A149,'[1]JL EXE LEAVER List'!$G:$I,3,FALSE)),"?QUERY?","Leaver"))</f>
        <v>ACTIVE</v>
      </c>
      <c r="D149" s="39" t="str">
        <f>IFERROR(IFERROR(VLOOKUP(A149,'[1]JL EXE ACTIVE FTE List'!$G:$H,2,FALSE),VLOOKUP(A149,'[1]JL EXE LEAVER List'!$G:$H,2,FALSE)),"?QUERY?")</f>
        <v>Frazer Hutchinson</v>
      </c>
      <c r="E149" s="40">
        <f>IFERROR(IFERROR(VLOOKUP(A149,'[1]JL EXE ACTIVE FTE List'!$G:$O,9,FALSE),VLOOKUP(A149,'[1]JL EXE LEAVER List'!$G:$O,9,FALSE)),"?QUERY?")</f>
        <v>42851</v>
      </c>
      <c r="F149" s="21" t="s">
        <v>338</v>
      </c>
      <c r="G149" s="21" t="s">
        <v>338</v>
      </c>
      <c r="H149" s="21" t="s">
        <v>335</v>
      </c>
      <c r="I149" s="21" t="s">
        <v>313</v>
      </c>
      <c r="J149" s="21" t="s">
        <v>313</v>
      </c>
      <c r="K149" s="21" t="s">
        <v>313</v>
      </c>
      <c r="L149" s="21" t="s">
        <v>313</v>
      </c>
      <c r="M149" s="21" t="s">
        <v>313</v>
      </c>
      <c r="N149" s="21" t="s">
        <v>313</v>
      </c>
      <c r="O149" s="21" t="s">
        <v>313</v>
      </c>
      <c r="P149" s="21" t="s">
        <v>313</v>
      </c>
      <c r="Q149" s="21" t="s">
        <v>313</v>
      </c>
      <c r="R149" s="21" t="s">
        <v>313</v>
      </c>
      <c r="S149" s="21" t="s">
        <v>313</v>
      </c>
      <c r="T149" s="21" t="s">
        <v>313</v>
      </c>
      <c r="U149" s="21" t="s">
        <v>313</v>
      </c>
      <c r="V149" s="21" t="s">
        <v>313</v>
      </c>
      <c r="W149" s="21" t="s">
        <v>313</v>
      </c>
      <c r="X149" s="21" t="s">
        <v>313</v>
      </c>
      <c r="Y149" s="21" t="s">
        <v>313</v>
      </c>
      <c r="Z149" s="21" t="s">
        <v>313</v>
      </c>
      <c r="AA149" s="21" t="s">
        <v>313</v>
      </c>
      <c r="AB149" s="21" t="s">
        <v>313</v>
      </c>
      <c r="AC149" s="21" t="s">
        <v>313</v>
      </c>
      <c r="AD149" s="21" t="s">
        <v>313</v>
      </c>
      <c r="AE149" s="21" t="s">
        <v>313</v>
      </c>
      <c r="AF149" s="21" t="s">
        <v>313</v>
      </c>
      <c r="AG149" s="21" t="s">
        <v>313</v>
      </c>
      <c r="AH149" s="21" t="s">
        <v>313</v>
      </c>
      <c r="AI149" s="21" t="s">
        <v>313</v>
      </c>
      <c r="AJ149" s="21" t="s">
        <v>313</v>
      </c>
      <c r="AK149" s="21" t="s">
        <v>313</v>
      </c>
      <c r="AL149" s="21" t="s">
        <v>313</v>
      </c>
      <c r="AM149" s="21" t="s">
        <v>313</v>
      </c>
      <c r="AN149" s="21" t="s">
        <v>313</v>
      </c>
      <c r="AO149" s="21" t="s">
        <v>313</v>
      </c>
      <c r="AP149" s="21" t="s">
        <v>313</v>
      </c>
      <c r="AQ149" s="21" t="s">
        <v>313</v>
      </c>
      <c r="AR149" s="21" t="s">
        <v>313</v>
      </c>
      <c r="AS149" s="21" t="s">
        <v>313</v>
      </c>
      <c r="AT149" s="21" t="s">
        <v>313</v>
      </c>
      <c r="AU149" s="21" t="s">
        <v>313</v>
      </c>
      <c r="AV149" s="21" t="s">
        <v>313</v>
      </c>
      <c r="AW149" s="21" t="s">
        <v>313</v>
      </c>
      <c r="AX149" s="21" t="s">
        <v>313</v>
      </c>
    </row>
    <row r="150" spans="1:50" ht="15" customHeight="1" x14ac:dyDescent="0.3">
      <c r="A150" s="30" t="s">
        <v>247</v>
      </c>
      <c r="B150" s="29" t="str">
        <f>IFERROR(VLOOKUP(A150,'[1]JL EXE ACTIVE FTE List'!$G:$N,8,FALSE),IF(ISNA(VLOOKUP(A150,'[1]JL EXE LEAVER List'!$G:$I,3,FALSE)),"Query","Leaver"))</f>
        <v>LE</v>
      </c>
      <c r="C150" s="29" t="str">
        <f>IFERROR(VLOOKUP(A150,'[1]JL EXE ACTIVE FTE List'!$G:$R,12,FALSE),IF(ISNA(VLOOKUP(A150,'[1]JL EXE LEAVER List'!$G:$I,3,FALSE)),"?QUERY?","Leaver"))</f>
        <v>ACTIVE</v>
      </c>
      <c r="D150" s="39" t="str">
        <f>IFERROR(IFERROR(VLOOKUP(A150,'[1]JL EXE ACTIVE FTE List'!$G:$H,2,FALSE),VLOOKUP(A150,'[1]JL EXE LEAVER List'!$G:$H,2,FALSE)),"?QUERY?")</f>
        <v>Frazer Hutchinson</v>
      </c>
      <c r="E150" s="40">
        <f>IFERROR(IFERROR(VLOOKUP(A150,'[1]JL EXE ACTIVE FTE List'!$G:$O,9,FALSE),VLOOKUP(A150,'[1]JL EXE LEAVER List'!$G:$O,9,FALSE)),"?QUERY?")</f>
        <v>42310</v>
      </c>
      <c r="F150" s="21" t="s">
        <v>352</v>
      </c>
      <c r="G150" s="21" t="s">
        <v>338</v>
      </c>
      <c r="H150" s="21" t="s">
        <v>335</v>
      </c>
      <c r="I150" s="21" t="s">
        <v>313</v>
      </c>
      <c r="J150" s="21" t="s">
        <v>313</v>
      </c>
      <c r="K150" s="21" t="s">
        <v>313</v>
      </c>
      <c r="L150" s="21" t="s">
        <v>313</v>
      </c>
      <c r="M150" s="21" t="s">
        <v>313</v>
      </c>
      <c r="N150" s="21" t="s">
        <v>313</v>
      </c>
      <c r="O150" s="21" t="s">
        <v>313</v>
      </c>
      <c r="P150" s="21" t="s">
        <v>313</v>
      </c>
      <c r="Q150" s="21" t="s">
        <v>313</v>
      </c>
      <c r="R150" s="21" t="s">
        <v>313</v>
      </c>
      <c r="S150" s="21" t="s">
        <v>313</v>
      </c>
      <c r="T150" s="21" t="s">
        <v>313</v>
      </c>
      <c r="U150" s="21" t="s">
        <v>313</v>
      </c>
      <c r="V150" s="21" t="s">
        <v>313</v>
      </c>
      <c r="W150" s="21" t="s">
        <v>313</v>
      </c>
      <c r="X150" s="21" t="s">
        <v>313</v>
      </c>
      <c r="Y150" s="21" t="s">
        <v>313</v>
      </c>
      <c r="Z150" s="21" t="s">
        <v>313</v>
      </c>
      <c r="AA150" s="21" t="s">
        <v>313</v>
      </c>
      <c r="AB150" s="21" t="s">
        <v>313</v>
      </c>
      <c r="AC150" s="21" t="s">
        <v>313</v>
      </c>
      <c r="AD150" s="21" t="s">
        <v>313</v>
      </c>
      <c r="AE150" s="21" t="s">
        <v>313</v>
      </c>
      <c r="AF150" s="21" t="s">
        <v>313</v>
      </c>
      <c r="AG150" s="21" t="s">
        <v>313</v>
      </c>
      <c r="AH150" s="21" t="s">
        <v>313</v>
      </c>
      <c r="AI150" s="21" t="s">
        <v>313</v>
      </c>
      <c r="AJ150" s="21" t="s">
        <v>313</v>
      </c>
      <c r="AK150" s="21" t="s">
        <v>313</v>
      </c>
      <c r="AL150" s="21" t="s">
        <v>313</v>
      </c>
      <c r="AM150" s="21" t="s">
        <v>313</v>
      </c>
      <c r="AN150" s="21" t="s">
        <v>313</v>
      </c>
      <c r="AO150" s="21" t="s">
        <v>313</v>
      </c>
      <c r="AP150" s="21" t="s">
        <v>313</v>
      </c>
      <c r="AQ150" s="21" t="s">
        <v>313</v>
      </c>
      <c r="AR150" s="21" t="s">
        <v>313</v>
      </c>
      <c r="AS150" s="21" t="s">
        <v>313</v>
      </c>
      <c r="AT150" s="21" t="s">
        <v>313</v>
      </c>
      <c r="AU150" s="21" t="s">
        <v>313</v>
      </c>
      <c r="AV150" s="21" t="s">
        <v>313</v>
      </c>
      <c r="AW150" s="21" t="s">
        <v>313</v>
      </c>
      <c r="AX150" s="21" t="s">
        <v>313</v>
      </c>
    </row>
    <row r="151" spans="1:50" ht="15" customHeight="1" x14ac:dyDescent="0.3">
      <c r="A151" s="30" t="s">
        <v>51</v>
      </c>
      <c r="B151" s="29" t="str">
        <f>IFERROR(VLOOKUP(A151,'[1]JL EXE ACTIVE FTE List'!$G:$N,8,FALSE),IF(ISNA(VLOOKUP(A151,'[1]JL EXE LEAVER List'!$G:$I,3,FALSE)),"Query","Leaver"))</f>
        <v>LE</v>
      </c>
      <c r="C151" s="29" t="str">
        <f>IFERROR(VLOOKUP(A151,'[1]JL EXE ACTIVE FTE List'!$G:$R,12,FALSE),IF(ISNA(VLOOKUP(A151,'[1]JL EXE LEAVER List'!$G:$I,3,FALSE)),"?QUERY?","Leaver"))</f>
        <v>ACTIVE</v>
      </c>
      <c r="D151" s="39" t="str">
        <f>IFERROR(IFERROR(VLOOKUP(A151,'[1]JL EXE ACTIVE FTE List'!$G:$H,2,FALSE),VLOOKUP(A151,'[1]JL EXE LEAVER List'!$G:$H,2,FALSE)),"?QUERY?")</f>
        <v>Frazer Hutchinson</v>
      </c>
      <c r="E151" s="40">
        <f>IFERROR(IFERROR(VLOOKUP(A151,'[1]JL EXE ACTIVE FTE List'!$G:$O,9,FALSE),VLOOKUP(A151,'[1]JL EXE LEAVER List'!$G:$O,9,FALSE)),"?QUERY?")</f>
        <v>41071</v>
      </c>
      <c r="F151" s="21" t="s">
        <v>338</v>
      </c>
      <c r="G151" s="21" t="s">
        <v>338</v>
      </c>
      <c r="H151" s="21" t="s">
        <v>335</v>
      </c>
      <c r="I151" s="21" t="s">
        <v>313</v>
      </c>
      <c r="J151" s="21" t="s">
        <v>313</v>
      </c>
      <c r="K151" s="21" t="s">
        <v>313</v>
      </c>
      <c r="L151" s="21" t="s">
        <v>313</v>
      </c>
      <c r="M151" s="21" t="s">
        <v>313</v>
      </c>
      <c r="N151" s="21" t="s">
        <v>313</v>
      </c>
      <c r="O151" s="21" t="s">
        <v>313</v>
      </c>
      <c r="P151" s="21" t="s">
        <v>313</v>
      </c>
      <c r="Q151" s="21" t="s">
        <v>313</v>
      </c>
      <c r="R151" s="21" t="s">
        <v>313</v>
      </c>
      <c r="S151" s="21" t="s">
        <v>313</v>
      </c>
      <c r="T151" s="21" t="s">
        <v>313</v>
      </c>
      <c r="U151" s="21" t="s">
        <v>313</v>
      </c>
      <c r="V151" s="21" t="s">
        <v>313</v>
      </c>
      <c r="W151" s="21" t="s">
        <v>313</v>
      </c>
      <c r="X151" s="21" t="s">
        <v>313</v>
      </c>
      <c r="Y151" s="21" t="s">
        <v>313</v>
      </c>
      <c r="Z151" s="21" t="s">
        <v>313</v>
      </c>
      <c r="AA151" s="21" t="s">
        <v>313</v>
      </c>
      <c r="AB151" s="21" t="s">
        <v>313</v>
      </c>
      <c r="AC151" s="21" t="s">
        <v>313</v>
      </c>
      <c r="AD151" s="21" t="s">
        <v>313</v>
      </c>
      <c r="AE151" s="21" t="s">
        <v>313</v>
      </c>
      <c r="AF151" s="21" t="s">
        <v>313</v>
      </c>
      <c r="AG151" s="21" t="s">
        <v>313</v>
      </c>
      <c r="AH151" s="21" t="s">
        <v>313</v>
      </c>
      <c r="AI151" s="21" t="s">
        <v>313</v>
      </c>
      <c r="AJ151" s="21" t="s">
        <v>313</v>
      </c>
      <c r="AK151" s="21" t="s">
        <v>313</v>
      </c>
      <c r="AL151" s="21" t="s">
        <v>313</v>
      </c>
      <c r="AM151" s="21" t="s">
        <v>313</v>
      </c>
      <c r="AN151" s="21" t="s">
        <v>313</v>
      </c>
      <c r="AO151" s="21" t="s">
        <v>313</v>
      </c>
      <c r="AP151" s="21" t="s">
        <v>313</v>
      </c>
      <c r="AQ151" s="21" t="s">
        <v>313</v>
      </c>
      <c r="AR151" s="21" t="s">
        <v>313</v>
      </c>
      <c r="AS151" s="21" t="s">
        <v>313</v>
      </c>
      <c r="AT151" s="21" t="s">
        <v>313</v>
      </c>
      <c r="AU151" s="21" t="s">
        <v>313</v>
      </c>
      <c r="AV151" s="21" t="s">
        <v>313</v>
      </c>
      <c r="AW151" s="21" t="s">
        <v>313</v>
      </c>
      <c r="AX151" s="21" t="s">
        <v>313</v>
      </c>
    </row>
    <row r="152" spans="1:50" ht="15" hidden="1" customHeight="1" x14ac:dyDescent="0.3">
      <c r="A152" s="30" t="s">
        <v>16</v>
      </c>
      <c r="B152" s="29" t="str">
        <f>IFERROR(VLOOKUP(A152,'[1]JL EXE ACTIVE FTE List'!$G:$N,8,FALSE),IF(ISNA(VLOOKUP(A152,'[1]JL EXE LEAVER List'!$G:$I,3,FALSE)),"Query","Leaver"))</f>
        <v>Leaver</v>
      </c>
      <c r="C152" s="29" t="str">
        <f>IFERROR(VLOOKUP(A152,'[1]JL EXE ACTIVE FTE List'!$G:$R,12,FALSE),IF(ISNA(VLOOKUP(A152,'[1]JL EXE LEAVER List'!$G:$I,3,FALSE)),"?QUERY?","Leaver"))</f>
        <v>Leaver</v>
      </c>
      <c r="D152" s="39" t="str">
        <f>IFERROR(IFERROR(VLOOKUP(A152,'[1]JL EXE ACTIVE FTE List'!$G:$H,2,FALSE),VLOOKUP(A152,'[1]JL EXE LEAVER List'!$G:$H,2,FALSE)),"?QUERY?")</f>
        <v>Mark Davies</v>
      </c>
      <c r="E152" s="40">
        <f>IFERROR(IFERROR(VLOOKUP(A152,'[1]JL EXE ACTIVE FTE List'!$G:$O,9,FALSE),VLOOKUP(A152,'[1]JL EXE LEAVER List'!$G:$O,9,FALSE)),"?QUERY?")</f>
        <v>43045</v>
      </c>
      <c r="F152" s="21" t="s">
        <v>338</v>
      </c>
      <c r="G152" s="21" t="s">
        <v>338</v>
      </c>
      <c r="H152" s="21" t="s">
        <v>335</v>
      </c>
      <c r="I152" s="21" t="s">
        <v>313</v>
      </c>
      <c r="J152" s="21" t="s">
        <v>313</v>
      </c>
      <c r="K152" s="21" t="s">
        <v>313</v>
      </c>
      <c r="L152" s="21" t="s">
        <v>313</v>
      </c>
      <c r="M152" s="21" t="s">
        <v>313</v>
      </c>
      <c r="N152" s="21" t="s">
        <v>313</v>
      </c>
      <c r="O152" s="21" t="s">
        <v>313</v>
      </c>
      <c r="P152" s="21" t="s">
        <v>313</v>
      </c>
      <c r="Q152" s="21" t="s">
        <v>313</v>
      </c>
      <c r="R152" s="21" t="s">
        <v>313</v>
      </c>
      <c r="S152" s="21" t="s">
        <v>313</v>
      </c>
      <c r="T152" s="21" t="s">
        <v>313</v>
      </c>
      <c r="U152" s="21" t="s">
        <v>313</v>
      </c>
      <c r="V152" s="21" t="s">
        <v>313</v>
      </c>
      <c r="W152" s="21" t="s">
        <v>313</v>
      </c>
      <c r="X152" s="21" t="s">
        <v>313</v>
      </c>
      <c r="Y152" s="21" t="s">
        <v>313</v>
      </c>
      <c r="Z152" s="21" t="s">
        <v>313</v>
      </c>
      <c r="AA152" s="21" t="s">
        <v>313</v>
      </c>
      <c r="AB152" s="21" t="s">
        <v>313</v>
      </c>
      <c r="AC152" s="21" t="s">
        <v>313</v>
      </c>
      <c r="AD152" s="21" t="s">
        <v>313</v>
      </c>
      <c r="AE152" s="21" t="s">
        <v>313</v>
      </c>
      <c r="AF152" s="21" t="s">
        <v>313</v>
      </c>
      <c r="AG152" s="21" t="s">
        <v>313</v>
      </c>
      <c r="AH152" s="21" t="s">
        <v>313</v>
      </c>
      <c r="AI152" s="21" t="s">
        <v>313</v>
      </c>
      <c r="AJ152" s="21" t="s">
        <v>313</v>
      </c>
      <c r="AK152" s="21" t="s">
        <v>313</v>
      </c>
      <c r="AL152" s="21" t="s">
        <v>313</v>
      </c>
      <c r="AM152" s="21" t="s">
        <v>313</v>
      </c>
      <c r="AN152" s="21" t="s">
        <v>313</v>
      </c>
      <c r="AO152" s="21" t="s">
        <v>313</v>
      </c>
      <c r="AP152" s="21" t="s">
        <v>313</v>
      </c>
      <c r="AQ152" s="21" t="s">
        <v>313</v>
      </c>
      <c r="AR152" s="21" t="s">
        <v>313</v>
      </c>
      <c r="AS152" s="21" t="s">
        <v>313</v>
      </c>
      <c r="AT152" s="21" t="s">
        <v>313</v>
      </c>
      <c r="AU152" s="21" t="s">
        <v>313</v>
      </c>
      <c r="AV152" s="21" t="s">
        <v>313</v>
      </c>
      <c r="AW152" s="21" t="s">
        <v>313</v>
      </c>
      <c r="AX152" s="21" t="s">
        <v>313</v>
      </c>
    </row>
    <row r="153" spans="1:50" ht="15" customHeight="1" x14ac:dyDescent="0.3">
      <c r="A153" s="30" t="s">
        <v>52</v>
      </c>
      <c r="B153" s="29" t="str">
        <f>IFERROR(VLOOKUP(A153,'[1]JL EXE ACTIVE FTE List'!$G:$N,8,FALSE),IF(ISNA(VLOOKUP(A153,'[1]JL EXE LEAVER List'!$G:$I,3,FALSE)),"Query","Leaver"))</f>
        <v>ATV</v>
      </c>
      <c r="C153" s="29" t="str">
        <f>IFERROR(VLOOKUP(A153,'[1]JL EXE ACTIVE FTE List'!$G:$R,12,FALSE),IF(ISNA(VLOOKUP(A153,'[1]JL EXE LEAVER List'!$G:$I,3,FALSE)),"?QUERY?","Leaver"))</f>
        <v>ACTIVE</v>
      </c>
      <c r="D153" s="39" t="str">
        <f>IFERROR(IFERROR(VLOOKUP(A153,'[1]JL EXE ACTIVE FTE List'!$G:$H,2,FALSE),VLOOKUP(A153,'[1]JL EXE LEAVER List'!$G:$H,2,FALSE)),"?QUERY?")</f>
        <v>Frazer Hutchinson</v>
      </c>
      <c r="E153" s="40">
        <f>IFERROR(IFERROR(VLOOKUP(A153,'[1]JL EXE ACTIVE FTE List'!$G:$O,9,FALSE),VLOOKUP(A153,'[1]JL EXE LEAVER List'!$G:$O,9,FALSE)),"?QUERY?")</f>
        <v>41582</v>
      </c>
      <c r="F153" s="21" t="s">
        <v>338</v>
      </c>
      <c r="G153" s="21" t="s">
        <v>338</v>
      </c>
      <c r="H153" s="21" t="s">
        <v>335</v>
      </c>
      <c r="I153" s="21" t="s">
        <v>313</v>
      </c>
      <c r="J153" s="21" t="s">
        <v>313</v>
      </c>
      <c r="K153" s="21" t="s">
        <v>313</v>
      </c>
      <c r="L153" s="21" t="s">
        <v>313</v>
      </c>
      <c r="M153" s="21" t="s">
        <v>313</v>
      </c>
      <c r="N153" s="21" t="s">
        <v>313</v>
      </c>
      <c r="O153" s="21" t="s">
        <v>313</v>
      </c>
      <c r="P153" s="21" t="s">
        <v>313</v>
      </c>
      <c r="Q153" s="21" t="s">
        <v>313</v>
      </c>
      <c r="R153" s="21" t="s">
        <v>313</v>
      </c>
      <c r="S153" s="21" t="s">
        <v>313</v>
      </c>
      <c r="T153" s="21" t="s">
        <v>313</v>
      </c>
      <c r="U153" s="21" t="s">
        <v>313</v>
      </c>
      <c r="V153" s="21" t="s">
        <v>313</v>
      </c>
      <c r="W153" s="21" t="s">
        <v>313</v>
      </c>
      <c r="X153" s="21" t="s">
        <v>313</v>
      </c>
      <c r="Y153" s="21" t="s">
        <v>313</v>
      </c>
      <c r="Z153" s="21" t="s">
        <v>313</v>
      </c>
      <c r="AA153" s="21" t="s">
        <v>313</v>
      </c>
      <c r="AB153" s="21" t="s">
        <v>313</v>
      </c>
      <c r="AC153" s="21" t="s">
        <v>313</v>
      </c>
      <c r="AD153" s="21" t="s">
        <v>313</v>
      </c>
      <c r="AE153" s="21" t="s">
        <v>313</v>
      </c>
      <c r="AF153" s="21" t="s">
        <v>313</v>
      </c>
      <c r="AG153" s="21" t="s">
        <v>313</v>
      </c>
      <c r="AH153" s="21" t="s">
        <v>313</v>
      </c>
      <c r="AI153" s="21" t="s">
        <v>313</v>
      </c>
      <c r="AJ153" s="21" t="s">
        <v>313</v>
      </c>
      <c r="AK153" s="21" t="s">
        <v>313</v>
      </c>
      <c r="AL153" s="21" t="s">
        <v>313</v>
      </c>
      <c r="AM153" s="21" t="s">
        <v>313</v>
      </c>
      <c r="AN153" s="21" t="s">
        <v>313</v>
      </c>
      <c r="AO153" s="21" t="s">
        <v>313</v>
      </c>
      <c r="AP153" s="21" t="s">
        <v>313</v>
      </c>
      <c r="AQ153" s="21" t="s">
        <v>313</v>
      </c>
      <c r="AR153" s="21" t="s">
        <v>313</v>
      </c>
      <c r="AS153" s="21" t="s">
        <v>313</v>
      </c>
      <c r="AT153" s="21" t="s">
        <v>313</v>
      </c>
      <c r="AU153" s="21" t="s">
        <v>313</v>
      </c>
      <c r="AV153" s="21" t="s">
        <v>313</v>
      </c>
      <c r="AW153" s="21" t="s">
        <v>313</v>
      </c>
      <c r="AX153" s="21" t="s">
        <v>313</v>
      </c>
    </row>
    <row r="154" spans="1:50" ht="15" customHeight="1" x14ac:dyDescent="0.3">
      <c r="A154" s="30" t="s">
        <v>54</v>
      </c>
      <c r="B154" s="29" t="str">
        <f>IFERROR(VLOOKUP(A154,'[1]JL EXE ACTIVE FTE List'!$G:$N,8,FALSE),IF(ISNA(VLOOKUP(A154,'[1]JL EXE LEAVER List'!$G:$I,3,FALSE)),"Query","Leaver"))</f>
        <v>ATV</v>
      </c>
      <c r="C154" s="29" t="str">
        <f>IFERROR(VLOOKUP(A154,'[1]JL EXE ACTIVE FTE List'!$G:$R,12,FALSE),IF(ISNA(VLOOKUP(A154,'[1]JL EXE LEAVER List'!$G:$I,3,FALSE)),"?QUERY?","Leaver"))</f>
        <v>ACTIVE</v>
      </c>
      <c r="D154" s="39" t="str">
        <f>IFERROR(IFERROR(VLOOKUP(A154,'[1]JL EXE ACTIVE FTE List'!$G:$H,2,FALSE),VLOOKUP(A154,'[1]JL EXE LEAVER List'!$G:$H,2,FALSE)),"?QUERY?")</f>
        <v>Frazer Hutchinson</v>
      </c>
      <c r="E154" s="40">
        <f>IFERROR(IFERROR(VLOOKUP(A154,'[1]JL EXE ACTIVE FTE List'!$G:$O,9,FALSE),VLOOKUP(A154,'[1]JL EXE LEAVER List'!$G:$O,9,FALSE)),"?QUERY?")</f>
        <v>40588</v>
      </c>
      <c r="F154" s="21" t="s">
        <v>338</v>
      </c>
      <c r="G154" s="21" t="s">
        <v>338</v>
      </c>
      <c r="H154" s="21" t="s">
        <v>335</v>
      </c>
      <c r="I154" s="21" t="s">
        <v>313</v>
      </c>
      <c r="J154" s="21" t="s">
        <v>313</v>
      </c>
      <c r="K154" s="21" t="s">
        <v>313</v>
      </c>
      <c r="L154" s="21" t="s">
        <v>313</v>
      </c>
      <c r="M154" s="21" t="s">
        <v>313</v>
      </c>
      <c r="N154" s="21" t="s">
        <v>313</v>
      </c>
      <c r="O154" s="21" t="s">
        <v>313</v>
      </c>
      <c r="P154" s="21" t="s">
        <v>313</v>
      </c>
      <c r="Q154" s="21" t="s">
        <v>313</v>
      </c>
      <c r="R154" s="21" t="s">
        <v>313</v>
      </c>
      <c r="S154" s="21" t="s">
        <v>313</v>
      </c>
      <c r="T154" s="21" t="s">
        <v>313</v>
      </c>
      <c r="U154" s="21" t="s">
        <v>313</v>
      </c>
      <c r="V154" s="21" t="s">
        <v>313</v>
      </c>
      <c r="W154" s="21" t="s">
        <v>313</v>
      </c>
      <c r="X154" s="21" t="s">
        <v>313</v>
      </c>
      <c r="Y154" s="21" t="s">
        <v>313</v>
      </c>
      <c r="Z154" s="21" t="s">
        <v>313</v>
      </c>
      <c r="AA154" s="21" t="s">
        <v>313</v>
      </c>
      <c r="AB154" s="21" t="s">
        <v>313</v>
      </c>
      <c r="AC154" s="21" t="s">
        <v>313</v>
      </c>
      <c r="AD154" s="21" t="s">
        <v>313</v>
      </c>
      <c r="AE154" s="21" t="s">
        <v>313</v>
      </c>
      <c r="AF154" s="21" t="s">
        <v>313</v>
      </c>
      <c r="AG154" s="21" t="s">
        <v>313</v>
      </c>
      <c r="AH154" s="21" t="s">
        <v>313</v>
      </c>
      <c r="AI154" s="21" t="s">
        <v>313</v>
      </c>
      <c r="AJ154" s="21" t="s">
        <v>313</v>
      </c>
      <c r="AK154" s="21" t="s">
        <v>313</v>
      </c>
      <c r="AL154" s="21" t="s">
        <v>313</v>
      </c>
      <c r="AM154" s="21" t="s">
        <v>313</v>
      </c>
      <c r="AN154" s="21" t="s">
        <v>313</v>
      </c>
      <c r="AO154" s="21" t="s">
        <v>313</v>
      </c>
      <c r="AP154" s="21" t="s">
        <v>313</v>
      </c>
      <c r="AQ154" s="21" t="s">
        <v>313</v>
      </c>
      <c r="AR154" s="21" t="s">
        <v>313</v>
      </c>
      <c r="AS154" s="21" t="s">
        <v>313</v>
      </c>
      <c r="AT154" s="21" t="s">
        <v>313</v>
      </c>
      <c r="AU154" s="21" t="s">
        <v>313</v>
      </c>
      <c r="AV154" s="21" t="s">
        <v>313</v>
      </c>
      <c r="AW154" s="21" t="s">
        <v>313</v>
      </c>
      <c r="AX154" s="21" t="s">
        <v>313</v>
      </c>
    </row>
    <row r="155" spans="1:50" ht="15" customHeight="1" x14ac:dyDescent="0.3">
      <c r="A155" s="30" t="s">
        <v>56</v>
      </c>
      <c r="B155" s="29" t="str">
        <f>IFERROR(VLOOKUP(A155,'[1]JL EXE ACTIVE FTE List'!$G:$N,8,FALSE),IF(ISNA(VLOOKUP(A155,'[1]JL EXE LEAVER List'!$G:$I,3,FALSE)),"Query","Leaver"))</f>
        <v>ATV</v>
      </c>
      <c r="C155" s="29" t="str">
        <f>IFERROR(VLOOKUP(A155,'[1]JL EXE ACTIVE FTE List'!$G:$R,12,FALSE),IF(ISNA(VLOOKUP(A155,'[1]JL EXE LEAVER List'!$G:$I,3,FALSE)),"?QUERY?","Leaver"))</f>
        <v>ACTIVE</v>
      </c>
      <c r="D155" s="39" t="str">
        <f>IFERROR(IFERROR(VLOOKUP(A155,'[1]JL EXE ACTIVE FTE List'!$G:$H,2,FALSE),VLOOKUP(A155,'[1]JL EXE LEAVER List'!$G:$H,2,FALSE)),"?QUERY?")</f>
        <v>Frazer Hutchinson</v>
      </c>
      <c r="E155" s="40">
        <f>IFERROR(IFERROR(VLOOKUP(A155,'[1]JL EXE ACTIVE FTE List'!$G:$O,9,FALSE),VLOOKUP(A155,'[1]JL EXE LEAVER List'!$G:$O,9,FALSE)),"?QUERY?")</f>
        <v>42948</v>
      </c>
      <c r="F155" s="21" t="s">
        <v>338</v>
      </c>
      <c r="G155" s="21" t="s">
        <v>338</v>
      </c>
      <c r="H155" s="21" t="s">
        <v>335</v>
      </c>
      <c r="I155" s="21" t="s">
        <v>313</v>
      </c>
      <c r="J155" s="21" t="s">
        <v>313</v>
      </c>
      <c r="K155" s="21" t="s">
        <v>313</v>
      </c>
      <c r="L155" s="21" t="s">
        <v>313</v>
      </c>
      <c r="M155" s="21" t="s">
        <v>313</v>
      </c>
      <c r="N155" s="21" t="s">
        <v>313</v>
      </c>
      <c r="O155" s="21" t="s">
        <v>313</v>
      </c>
      <c r="P155" s="21" t="s">
        <v>313</v>
      </c>
      <c r="Q155" s="21" t="s">
        <v>313</v>
      </c>
      <c r="R155" s="21" t="s">
        <v>313</v>
      </c>
      <c r="S155" s="21" t="s">
        <v>313</v>
      </c>
      <c r="T155" s="21" t="s">
        <v>313</v>
      </c>
      <c r="U155" s="21" t="s">
        <v>313</v>
      </c>
      <c r="V155" s="21" t="s">
        <v>313</v>
      </c>
      <c r="W155" s="21" t="s">
        <v>313</v>
      </c>
      <c r="X155" s="21" t="s">
        <v>313</v>
      </c>
      <c r="Y155" s="21" t="s">
        <v>313</v>
      </c>
      <c r="Z155" s="21" t="s">
        <v>313</v>
      </c>
      <c r="AA155" s="21" t="s">
        <v>313</v>
      </c>
      <c r="AB155" s="21" t="s">
        <v>313</v>
      </c>
      <c r="AC155" s="21" t="s">
        <v>313</v>
      </c>
      <c r="AD155" s="21" t="s">
        <v>313</v>
      </c>
      <c r="AE155" s="21" t="s">
        <v>313</v>
      </c>
      <c r="AF155" s="21" t="s">
        <v>313</v>
      </c>
      <c r="AG155" s="21" t="s">
        <v>313</v>
      </c>
      <c r="AH155" s="21" t="s">
        <v>313</v>
      </c>
      <c r="AI155" s="21" t="s">
        <v>313</v>
      </c>
      <c r="AJ155" s="21" t="s">
        <v>313</v>
      </c>
      <c r="AK155" s="21" t="s">
        <v>313</v>
      </c>
      <c r="AL155" s="21" t="s">
        <v>313</v>
      </c>
      <c r="AM155" s="21" t="s">
        <v>313</v>
      </c>
      <c r="AN155" s="21" t="s">
        <v>313</v>
      </c>
      <c r="AO155" s="21" t="s">
        <v>313</v>
      </c>
      <c r="AP155" s="21" t="s">
        <v>313</v>
      </c>
      <c r="AQ155" s="21" t="s">
        <v>313</v>
      </c>
      <c r="AR155" s="21" t="s">
        <v>313</v>
      </c>
      <c r="AS155" s="21" t="s">
        <v>313</v>
      </c>
      <c r="AT155" s="21" t="s">
        <v>313</v>
      </c>
      <c r="AU155" s="21" t="s">
        <v>313</v>
      </c>
      <c r="AV155" s="21" t="s">
        <v>313</v>
      </c>
      <c r="AW155" s="21" t="s">
        <v>313</v>
      </c>
      <c r="AX155" s="21" t="s">
        <v>313</v>
      </c>
    </row>
    <row r="156" spans="1:50" ht="15" customHeight="1" x14ac:dyDescent="0.3">
      <c r="A156" s="30" t="s">
        <v>69</v>
      </c>
      <c r="B156" s="29" t="str">
        <f>IFERROR(VLOOKUP(A156,'[1]JL EXE ACTIVE FTE List'!$G:$N,8,FALSE),IF(ISNA(VLOOKUP(A156,'[1]JL EXE LEAVER List'!$G:$I,3,FALSE)),"Query","Leaver"))</f>
        <v>LE</v>
      </c>
      <c r="C156" s="29" t="str">
        <f>IFERROR(VLOOKUP(A156,'[1]JL EXE ACTIVE FTE List'!$G:$R,12,FALSE),IF(ISNA(VLOOKUP(A156,'[1]JL EXE LEAVER List'!$G:$I,3,FALSE)),"?QUERY?","Leaver"))</f>
        <v>ACTIVE</v>
      </c>
      <c r="D156" s="39" t="str">
        <f>IFERROR(IFERROR(VLOOKUP(A156,'[1]JL EXE ACTIVE FTE List'!$G:$H,2,FALSE),VLOOKUP(A156,'[1]JL EXE LEAVER List'!$G:$H,2,FALSE)),"?QUERY?")</f>
        <v>Frazer Hutchinson</v>
      </c>
      <c r="E156" s="40">
        <f>IFERROR(IFERROR(VLOOKUP(A156,'[1]JL EXE ACTIVE FTE List'!$G:$O,9,FALSE),VLOOKUP(A156,'[1]JL EXE LEAVER List'!$G:$O,9,FALSE)),"?QUERY?")</f>
        <v>42997</v>
      </c>
      <c r="F156" s="21" t="s">
        <v>338</v>
      </c>
      <c r="G156" s="21" t="s">
        <v>338</v>
      </c>
      <c r="H156" s="21" t="s">
        <v>335</v>
      </c>
      <c r="I156" s="21" t="s">
        <v>313</v>
      </c>
      <c r="J156" s="21" t="s">
        <v>313</v>
      </c>
      <c r="K156" s="21" t="s">
        <v>313</v>
      </c>
      <c r="L156" s="21" t="s">
        <v>313</v>
      </c>
      <c r="M156" s="21" t="s">
        <v>313</v>
      </c>
      <c r="N156" s="21" t="s">
        <v>313</v>
      </c>
      <c r="O156" s="21" t="s">
        <v>313</v>
      </c>
      <c r="P156" s="21" t="s">
        <v>313</v>
      </c>
      <c r="Q156" s="21" t="s">
        <v>313</v>
      </c>
      <c r="R156" s="21" t="s">
        <v>313</v>
      </c>
      <c r="S156" s="21" t="s">
        <v>313</v>
      </c>
      <c r="T156" s="21" t="s">
        <v>313</v>
      </c>
      <c r="U156" s="21" t="s">
        <v>313</v>
      </c>
      <c r="V156" s="21" t="s">
        <v>313</v>
      </c>
      <c r="W156" s="21" t="s">
        <v>313</v>
      </c>
      <c r="X156" s="21" t="s">
        <v>313</v>
      </c>
      <c r="Y156" s="21" t="s">
        <v>313</v>
      </c>
      <c r="Z156" s="21" t="s">
        <v>313</v>
      </c>
      <c r="AA156" s="21" t="s">
        <v>313</v>
      </c>
      <c r="AB156" s="21" t="s">
        <v>313</v>
      </c>
      <c r="AC156" s="21" t="s">
        <v>313</v>
      </c>
      <c r="AD156" s="21" t="s">
        <v>313</v>
      </c>
      <c r="AE156" s="21" t="s">
        <v>313</v>
      </c>
      <c r="AF156" s="21" t="s">
        <v>313</v>
      </c>
      <c r="AG156" s="21" t="s">
        <v>313</v>
      </c>
      <c r="AH156" s="21" t="s">
        <v>313</v>
      </c>
      <c r="AI156" s="21" t="s">
        <v>313</v>
      </c>
      <c r="AJ156" s="21" t="s">
        <v>313</v>
      </c>
      <c r="AK156" s="21" t="s">
        <v>313</v>
      </c>
      <c r="AL156" s="21" t="s">
        <v>313</v>
      </c>
      <c r="AM156" s="21" t="s">
        <v>313</v>
      </c>
      <c r="AN156" s="21" t="s">
        <v>313</v>
      </c>
      <c r="AO156" s="21" t="s">
        <v>313</v>
      </c>
      <c r="AP156" s="21" t="s">
        <v>313</v>
      </c>
      <c r="AQ156" s="21" t="s">
        <v>313</v>
      </c>
      <c r="AR156" s="21" t="s">
        <v>313</v>
      </c>
      <c r="AS156" s="21" t="s">
        <v>313</v>
      </c>
      <c r="AT156" s="21" t="s">
        <v>313</v>
      </c>
      <c r="AU156" s="21" t="s">
        <v>313</v>
      </c>
      <c r="AV156" s="21" t="s">
        <v>313</v>
      </c>
      <c r="AW156" s="21" t="s">
        <v>313</v>
      </c>
      <c r="AX156" s="21" t="s">
        <v>313</v>
      </c>
    </row>
    <row r="157" spans="1:50" ht="15" customHeight="1" x14ac:dyDescent="0.3">
      <c r="A157" s="30" t="s">
        <v>83</v>
      </c>
      <c r="B157" s="29" t="str">
        <f>IFERROR(VLOOKUP(A157,'[1]JL EXE ACTIVE FTE List'!$G:$N,8,FALSE),IF(ISNA(VLOOKUP(A157,'[1]JL EXE LEAVER List'!$G:$I,3,FALSE)),"Query","Leaver"))</f>
        <v>ATV</v>
      </c>
      <c r="C157" s="29" t="str">
        <f>IFERROR(VLOOKUP(A157,'[1]JL EXE ACTIVE FTE List'!$G:$R,12,FALSE),IF(ISNA(VLOOKUP(A157,'[1]JL EXE LEAVER List'!$G:$I,3,FALSE)),"?QUERY?","Leaver"))</f>
        <v>ACTIVE</v>
      </c>
      <c r="D157" s="39" t="str">
        <f>IFERROR(IFERROR(VLOOKUP(A157,'[1]JL EXE ACTIVE FTE List'!$G:$H,2,FALSE),VLOOKUP(A157,'[1]JL EXE LEAVER List'!$G:$H,2,FALSE)),"?QUERY?")</f>
        <v>Frazer Hutchinson</v>
      </c>
      <c r="E157" s="40">
        <f>IFERROR(IFERROR(VLOOKUP(A157,'[1]JL EXE ACTIVE FTE List'!$G:$O,9,FALSE),VLOOKUP(A157,'[1]JL EXE LEAVER List'!$G:$O,9,FALSE)),"?QUERY?")</f>
        <v>43017</v>
      </c>
      <c r="F157" s="21" t="s">
        <v>338</v>
      </c>
      <c r="G157" s="21" t="s">
        <v>338</v>
      </c>
      <c r="H157" s="21" t="s">
        <v>335</v>
      </c>
      <c r="I157" s="21" t="s">
        <v>313</v>
      </c>
      <c r="J157" s="21" t="s">
        <v>313</v>
      </c>
      <c r="K157" s="21" t="s">
        <v>313</v>
      </c>
      <c r="L157" s="21" t="s">
        <v>313</v>
      </c>
      <c r="M157" s="21" t="s">
        <v>313</v>
      </c>
      <c r="N157" s="21" t="s">
        <v>313</v>
      </c>
      <c r="O157" s="21" t="s">
        <v>313</v>
      </c>
      <c r="P157" s="21" t="s">
        <v>313</v>
      </c>
      <c r="Q157" s="21" t="s">
        <v>313</v>
      </c>
      <c r="R157" s="21" t="s">
        <v>313</v>
      </c>
      <c r="S157" s="21" t="s">
        <v>313</v>
      </c>
      <c r="T157" s="21" t="s">
        <v>313</v>
      </c>
      <c r="U157" s="21" t="s">
        <v>313</v>
      </c>
      <c r="V157" s="21" t="s">
        <v>313</v>
      </c>
      <c r="W157" s="21" t="s">
        <v>313</v>
      </c>
      <c r="X157" s="21" t="s">
        <v>313</v>
      </c>
      <c r="Y157" s="21" t="s">
        <v>313</v>
      </c>
      <c r="Z157" s="21" t="s">
        <v>313</v>
      </c>
      <c r="AA157" s="21" t="s">
        <v>313</v>
      </c>
      <c r="AB157" s="21" t="s">
        <v>313</v>
      </c>
      <c r="AC157" s="21" t="s">
        <v>313</v>
      </c>
      <c r="AD157" s="21" t="s">
        <v>313</v>
      </c>
      <c r="AE157" s="21" t="s">
        <v>313</v>
      </c>
      <c r="AF157" s="21" t="s">
        <v>313</v>
      </c>
      <c r="AG157" s="21" t="s">
        <v>313</v>
      </c>
      <c r="AH157" s="21" t="s">
        <v>313</v>
      </c>
      <c r="AI157" s="21" t="s">
        <v>313</v>
      </c>
      <c r="AJ157" s="21" t="s">
        <v>313</v>
      </c>
      <c r="AK157" s="21" t="s">
        <v>313</v>
      </c>
      <c r="AL157" s="21" t="s">
        <v>313</v>
      </c>
      <c r="AM157" s="21" t="s">
        <v>313</v>
      </c>
      <c r="AN157" s="21" t="s">
        <v>313</v>
      </c>
      <c r="AO157" s="21" t="s">
        <v>313</v>
      </c>
      <c r="AP157" s="21" t="s">
        <v>313</v>
      </c>
      <c r="AQ157" s="21" t="s">
        <v>313</v>
      </c>
      <c r="AR157" s="21" t="s">
        <v>313</v>
      </c>
      <c r="AS157" s="21" t="s">
        <v>313</v>
      </c>
      <c r="AT157" s="21" t="s">
        <v>313</v>
      </c>
      <c r="AU157" s="21" t="s">
        <v>313</v>
      </c>
      <c r="AV157" s="21" t="s">
        <v>313</v>
      </c>
      <c r="AW157" s="21" t="s">
        <v>313</v>
      </c>
      <c r="AX157" s="21" t="s">
        <v>313</v>
      </c>
    </row>
    <row r="158" spans="1:50" ht="15" customHeight="1" x14ac:dyDescent="0.3">
      <c r="A158" s="30" t="s">
        <v>109</v>
      </c>
      <c r="B158" s="29" t="str">
        <f>IFERROR(VLOOKUP(A158,'[1]JL EXE ACTIVE FTE List'!$G:$N,8,FALSE),IF(ISNA(VLOOKUP(A158,'[1]JL EXE LEAVER List'!$G:$I,3,FALSE)),"Query","Leaver"))</f>
        <v>LE</v>
      </c>
      <c r="C158" s="29" t="str">
        <f>IFERROR(VLOOKUP(A158,'[1]JL EXE ACTIVE FTE List'!$G:$R,12,FALSE),IF(ISNA(VLOOKUP(A158,'[1]JL EXE LEAVER List'!$G:$I,3,FALSE)),"?QUERY?","Leaver"))</f>
        <v>ACTIVE</v>
      </c>
      <c r="D158" s="39" t="str">
        <f>IFERROR(IFERROR(VLOOKUP(A158,'[1]JL EXE ACTIVE FTE List'!$G:$H,2,FALSE),VLOOKUP(A158,'[1]JL EXE LEAVER List'!$G:$H,2,FALSE)),"?QUERY?")</f>
        <v>Frazer Hutchinson</v>
      </c>
      <c r="E158" s="40">
        <f>IFERROR(IFERROR(VLOOKUP(A158,'[1]JL EXE ACTIVE FTE List'!$G:$O,9,FALSE),VLOOKUP(A158,'[1]JL EXE LEAVER List'!$G:$O,9,FALSE)),"?QUERY?")</f>
        <v>42997</v>
      </c>
      <c r="F158" s="21" t="s">
        <v>338</v>
      </c>
      <c r="G158" s="21" t="s">
        <v>338</v>
      </c>
      <c r="H158" s="21" t="s">
        <v>335</v>
      </c>
      <c r="I158" s="21" t="s">
        <v>313</v>
      </c>
      <c r="J158" s="21" t="s">
        <v>313</v>
      </c>
      <c r="K158" s="21" t="s">
        <v>313</v>
      </c>
      <c r="L158" s="21" t="s">
        <v>313</v>
      </c>
      <c r="M158" s="21" t="s">
        <v>313</v>
      </c>
      <c r="N158" s="21" t="s">
        <v>313</v>
      </c>
      <c r="O158" s="21" t="s">
        <v>313</v>
      </c>
      <c r="P158" s="21" t="s">
        <v>313</v>
      </c>
      <c r="Q158" s="21" t="s">
        <v>313</v>
      </c>
      <c r="R158" s="21" t="s">
        <v>313</v>
      </c>
      <c r="S158" s="21" t="s">
        <v>313</v>
      </c>
      <c r="T158" s="21" t="s">
        <v>313</v>
      </c>
      <c r="U158" s="21" t="s">
        <v>313</v>
      </c>
      <c r="V158" s="21" t="s">
        <v>313</v>
      </c>
      <c r="W158" s="21" t="s">
        <v>313</v>
      </c>
      <c r="X158" s="21" t="s">
        <v>313</v>
      </c>
      <c r="Y158" s="21" t="s">
        <v>313</v>
      </c>
      <c r="Z158" s="21" t="s">
        <v>313</v>
      </c>
      <c r="AA158" s="21" t="s">
        <v>313</v>
      </c>
      <c r="AB158" s="21" t="s">
        <v>313</v>
      </c>
      <c r="AC158" s="21" t="s">
        <v>313</v>
      </c>
      <c r="AD158" s="21" t="s">
        <v>313</v>
      </c>
      <c r="AE158" s="21" t="s">
        <v>313</v>
      </c>
      <c r="AF158" s="21" t="s">
        <v>313</v>
      </c>
      <c r="AG158" s="21" t="s">
        <v>313</v>
      </c>
      <c r="AH158" s="21" t="s">
        <v>313</v>
      </c>
      <c r="AI158" s="21" t="s">
        <v>313</v>
      </c>
      <c r="AJ158" s="21" t="s">
        <v>313</v>
      </c>
      <c r="AK158" s="21" t="s">
        <v>313</v>
      </c>
      <c r="AL158" s="21" t="s">
        <v>313</v>
      </c>
      <c r="AM158" s="21" t="s">
        <v>313</v>
      </c>
      <c r="AN158" s="21" t="s">
        <v>313</v>
      </c>
      <c r="AO158" s="21" t="s">
        <v>313</v>
      </c>
      <c r="AP158" s="21" t="s">
        <v>313</v>
      </c>
      <c r="AQ158" s="21" t="s">
        <v>313</v>
      </c>
      <c r="AR158" s="21" t="s">
        <v>313</v>
      </c>
      <c r="AS158" s="21" t="s">
        <v>313</v>
      </c>
      <c r="AT158" s="21" t="s">
        <v>313</v>
      </c>
      <c r="AU158" s="21" t="s">
        <v>313</v>
      </c>
      <c r="AV158" s="21" t="s">
        <v>313</v>
      </c>
      <c r="AW158" s="21" t="s">
        <v>313</v>
      </c>
      <c r="AX158" s="21" t="s">
        <v>313</v>
      </c>
    </row>
    <row r="159" spans="1:50" hidden="1" x14ac:dyDescent="0.3">
      <c r="A159" s="30" t="s">
        <v>344</v>
      </c>
      <c r="B159" s="29" t="s">
        <v>348</v>
      </c>
      <c r="C159" s="29" t="s">
        <v>369</v>
      </c>
      <c r="D159" s="39" t="s">
        <v>370</v>
      </c>
      <c r="E159" s="40">
        <v>43073</v>
      </c>
      <c r="F159" s="21" t="s">
        <v>338</v>
      </c>
      <c r="G159" s="21" t="s">
        <v>366</v>
      </c>
      <c r="H159" s="21" t="s">
        <v>338</v>
      </c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 t="s">
        <v>313</v>
      </c>
      <c r="AN159" s="21" t="s">
        <v>313</v>
      </c>
      <c r="AO159" s="21" t="s">
        <v>313</v>
      </c>
      <c r="AP159" s="21" t="s">
        <v>313</v>
      </c>
      <c r="AQ159" s="21" t="s">
        <v>313</v>
      </c>
      <c r="AR159" s="21" t="s">
        <v>313</v>
      </c>
      <c r="AS159" s="21" t="s">
        <v>313</v>
      </c>
      <c r="AT159" s="21" t="s">
        <v>313</v>
      </c>
      <c r="AU159" s="21" t="s">
        <v>313</v>
      </c>
      <c r="AV159" s="21" t="s">
        <v>313</v>
      </c>
      <c r="AW159" s="21" t="s">
        <v>313</v>
      </c>
      <c r="AX159" s="21" t="s">
        <v>313</v>
      </c>
    </row>
    <row r="160" spans="1:50" x14ac:dyDescent="0.3">
      <c r="A160" s="30" t="s">
        <v>345</v>
      </c>
      <c r="B160" s="29" t="s">
        <v>349</v>
      </c>
      <c r="C160" s="29" t="s">
        <v>369</v>
      </c>
      <c r="D160" s="39" t="s">
        <v>370</v>
      </c>
      <c r="E160" s="40">
        <v>43073</v>
      </c>
      <c r="F160" s="21" t="s">
        <v>338</v>
      </c>
      <c r="G160" s="21" t="s">
        <v>338</v>
      </c>
      <c r="H160" s="21" t="s">
        <v>338</v>
      </c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 t="s">
        <v>313</v>
      </c>
      <c r="AN160" s="21" t="s">
        <v>313</v>
      </c>
      <c r="AO160" s="21" t="s">
        <v>313</v>
      </c>
      <c r="AP160" s="21" t="s">
        <v>313</v>
      </c>
      <c r="AQ160" s="21" t="s">
        <v>313</v>
      </c>
      <c r="AR160" s="21" t="s">
        <v>313</v>
      </c>
      <c r="AS160" s="21" t="s">
        <v>313</v>
      </c>
      <c r="AT160" s="21" t="s">
        <v>313</v>
      </c>
      <c r="AU160" s="21" t="s">
        <v>313</v>
      </c>
      <c r="AV160" s="21" t="s">
        <v>313</v>
      </c>
      <c r="AW160" s="21" t="s">
        <v>313</v>
      </c>
      <c r="AX160" s="21" t="s">
        <v>313</v>
      </c>
    </row>
    <row r="161" spans="1:50" x14ac:dyDescent="0.3">
      <c r="A161" s="30" t="s">
        <v>346</v>
      </c>
      <c r="B161" s="29" t="s">
        <v>349</v>
      </c>
      <c r="C161" s="29" t="s">
        <v>369</v>
      </c>
      <c r="D161" s="39" t="s">
        <v>370</v>
      </c>
      <c r="E161" s="40">
        <v>43073</v>
      </c>
      <c r="F161" s="21" t="s">
        <v>338</v>
      </c>
      <c r="G161" s="21" t="s">
        <v>338</v>
      </c>
      <c r="H161" s="21" t="s">
        <v>338</v>
      </c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 t="s">
        <v>313</v>
      </c>
      <c r="AN161" s="21" t="s">
        <v>313</v>
      </c>
      <c r="AO161" s="21" t="s">
        <v>313</v>
      </c>
      <c r="AP161" s="21" t="s">
        <v>313</v>
      </c>
      <c r="AQ161" s="21" t="s">
        <v>313</v>
      </c>
      <c r="AR161" s="21" t="s">
        <v>313</v>
      </c>
      <c r="AS161" s="21" t="s">
        <v>313</v>
      </c>
      <c r="AT161" s="21" t="s">
        <v>313</v>
      </c>
      <c r="AU161" s="21" t="s">
        <v>313</v>
      </c>
      <c r="AV161" s="21" t="s">
        <v>313</v>
      </c>
      <c r="AW161" s="21" t="s">
        <v>313</v>
      </c>
      <c r="AX161" s="21" t="s">
        <v>313</v>
      </c>
    </row>
    <row r="162" spans="1:50" x14ac:dyDescent="0.3">
      <c r="A162" s="30" t="s">
        <v>347</v>
      </c>
      <c r="B162" s="29" t="s">
        <v>349</v>
      </c>
      <c r="C162" s="29" t="s">
        <v>369</v>
      </c>
      <c r="D162" s="39" t="s">
        <v>370</v>
      </c>
      <c r="E162" s="40">
        <v>43073</v>
      </c>
      <c r="F162" s="21" t="s">
        <v>338</v>
      </c>
      <c r="G162" s="21" t="s">
        <v>338</v>
      </c>
      <c r="H162" s="21" t="s">
        <v>338</v>
      </c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 t="s">
        <v>313</v>
      </c>
      <c r="AN162" s="21" t="s">
        <v>313</v>
      </c>
      <c r="AO162" s="21" t="s">
        <v>313</v>
      </c>
      <c r="AP162" s="21" t="s">
        <v>313</v>
      </c>
      <c r="AQ162" s="21" t="s">
        <v>313</v>
      </c>
      <c r="AR162" s="21" t="s">
        <v>313</v>
      </c>
      <c r="AS162" s="21" t="s">
        <v>313</v>
      </c>
      <c r="AT162" s="21" t="s">
        <v>313</v>
      </c>
      <c r="AU162" s="21" t="s">
        <v>313</v>
      </c>
      <c r="AV162" s="21" t="s">
        <v>313</v>
      </c>
      <c r="AW162" s="21" t="s">
        <v>313</v>
      </c>
      <c r="AX162" s="21" t="s">
        <v>313</v>
      </c>
    </row>
    <row r="163" spans="1:50" hidden="1" x14ac:dyDescent="0.3">
      <c r="A163" s="30" t="s">
        <v>88</v>
      </c>
      <c r="B163" s="29" t="str">
        <f>IFERROR(VLOOKUP(A163,'[1]JL EXE ACTIVE FTE List'!$G:$N,8,FALSE),IF(ISNA(VLOOKUP(A163,'[1]JL EXE LEAVER List'!$G:$I,3,FALSE)),"Query","Leaver"))</f>
        <v>Leaver</v>
      </c>
      <c r="C163" s="29" t="str">
        <f>IFERROR(VLOOKUP(A163,'[1]JL EXE ACTIVE FTE List'!$G:$R,12,FALSE),IF(ISNA(VLOOKUP(A163,'[1]JL EXE LEAVER List'!$G:$I,3,FALSE)),"?QUERY?","Leaver"))</f>
        <v>Leaver</v>
      </c>
      <c r="D163" s="39" t="str">
        <f>IFERROR(IFERROR(VLOOKUP(A163,'[1]JL EXE ACTIVE FTE List'!$G:$H,2,FALSE),VLOOKUP(A163,'[1]JL EXE LEAVER List'!$G:$H,2,FALSE)),"?QUERY?")</f>
        <v>Kelly Grant</v>
      </c>
      <c r="E163" s="40">
        <f>IFERROR(IFERROR(VLOOKUP(A163,'[1]JL EXE ACTIVE FTE List'!$G:$O,9,FALSE),VLOOKUP(A163,'[1]JL EXE LEAVER List'!$G:$O,9,FALSE)),"?QUERY?")</f>
        <v>43024</v>
      </c>
      <c r="F163" s="21" t="s">
        <v>335</v>
      </c>
      <c r="G163" s="21" t="s">
        <v>313</v>
      </c>
      <c r="H163" s="21" t="s">
        <v>313</v>
      </c>
      <c r="I163" s="21" t="s">
        <v>313</v>
      </c>
      <c r="J163" s="21" t="s">
        <v>313</v>
      </c>
      <c r="K163" s="21" t="s">
        <v>313</v>
      </c>
      <c r="L163" s="21" t="s">
        <v>313</v>
      </c>
      <c r="M163" s="21" t="s">
        <v>313</v>
      </c>
      <c r="N163" s="21" t="s">
        <v>313</v>
      </c>
      <c r="O163" s="21" t="s">
        <v>313</v>
      </c>
      <c r="P163" s="21" t="s">
        <v>313</v>
      </c>
      <c r="Q163" s="21" t="s">
        <v>313</v>
      </c>
      <c r="R163" s="21" t="s">
        <v>313</v>
      </c>
      <c r="S163" s="21" t="s">
        <v>313</v>
      </c>
      <c r="T163" s="21" t="s">
        <v>313</v>
      </c>
      <c r="U163" s="21" t="s">
        <v>313</v>
      </c>
      <c r="V163" s="21" t="s">
        <v>313</v>
      </c>
      <c r="W163" s="21" t="s">
        <v>313</v>
      </c>
      <c r="X163" s="21" t="s">
        <v>313</v>
      </c>
      <c r="Y163" s="21" t="s">
        <v>313</v>
      </c>
      <c r="Z163" s="21" t="s">
        <v>313</v>
      </c>
      <c r="AA163" s="21" t="s">
        <v>313</v>
      </c>
      <c r="AB163" s="21" t="s">
        <v>313</v>
      </c>
      <c r="AC163" s="21" t="s">
        <v>313</v>
      </c>
      <c r="AD163" s="21" t="s">
        <v>313</v>
      </c>
      <c r="AE163" s="21" t="s">
        <v>313</v>
      </c>
      <c r="AF163" s="21" t="s">
        <v>313</v>
      </c>
      <c r="AG163" s="21" t="s">
        <v>313</v>
      </c>
      <c r="AH163" s="21" t="s">
        <v>313</v>
      </c>
      <c r="AI163" s="21" t="s">
        <v>313</v>
      </c>
      <c r="AJ163" s="21" t="s">
        <v>313</v>
      </c>
      <c r="AK163" s="21" t="s">
        <v>313</v>
      </c>
      <c r="AL163" s="21" t="s">
        <v>313</v>
      </c>
      <c r="AM163" s="21" t="s">
        <v>313</v>
      </c>
      <c r="AN163" s="21" t="s">
        <v>313</v>
      </c>
      <c r="AO163" s="21" t="s">
        <v>313</v>
      </c>
      <c r="AP163" s="21" t="s">
        <v>313</v>
      </c>
      <c r="AQ163" s="21" t="s">
        <v>313</v>
      </c>
      <c r="AR163" s="21" t="s">
        <v>313</v>
      </c>
      <c r="AS163" s="21" t="s">
        <v>313</v>
      </c>
      <c r="AT163" s="21" t="s">
        <v>313</v>
      </c>
      <c r="AU163" s="21" t="s">
        <v>313</v>
      </c>
      <c r="AV163" s="21" t="s">
        <v>313</v>
      </c>
      <c r="AW163" s="21" t="s">
        <v>313</v>
      </c>
      <c r="AX163" s="21" t="s">
        <v>313</v>
      </c>
    </row>
    <row r="164" spans="1:50" x14ac:dyDescent="0.3">
      <c r="A164" s="28" t="s">
        <v>220</v>
      </c>
      <c r="B164" s="29" t="str">
        <f>IFERROR(VLOOKUP(A164,'[1]JL EXE ACTIVE FTE List'!$G:$N,8,FALSE),IF(ISNA(VLOOKUP(A164,'[1]JL EXE LEAVER List'!$G:$I,3,FALSE)),"Query","Leaver"))</f>
        <v>COM</v>
      </c>
      <c r="C164" s="29" t="s">
        <v>369</v>
      </c>
      <c r="D164" s="39" t="s">
        <v>370</v>
      </c>
      <c r="E164" s="40">
        <f>IFERROR(IFERROR(VLOOKUP(A164,'[1]JL EXE ACTIVE FTE List'!$G:$O,9,FALSE),VLOOKUP(A164,'[1]JL EXE LEAVER List'!$G:$O,9,FALSE)),"?QUERY?")</f>
        <v>43059</v>
      </c>
      <c r="F164" s="21" t="s">
        <v>338</v>
      </c>
      <c r="G164" s="21" t="s">
        <v>338</v>
      </c>
      <c r="H164" s="21" t="s">
        <v>338</v>
      </c>
      <c r="I164" s="21" t="s">
        <v>313</v>
      </c>
      <c r="J164" s="21" t="s">
        <v>313</v>
      </c>
      <c r="K164" s="21" t="s">
        <v>313</v>
      </c>
      <c r="L164" s="21" t="s">
        <v>313</v>
      </c>
      <c r="M164" s="21" t="s">
        <v>313</v>
      </c>
      <c r="N164" s="21" t="s">
        <v>313</v>
      </c>
      <c r="O164" s="21" t="s">
        <v>313</v>
      </c>
      <c r="P164" s="21" t="s">
        <v>313</v>
      </c>
      <c r="Q164" s="21" t="s">
        <v>313</v>
      </c>
      <c r="R164" s="21" t="s">
        <v>313</v>
      </c>
      <c r="S164" s="21" t="s">
        <v>313</v>
      </c>
      <c r="T164" s="21" t="s">
        <v>313</v>
      </c>
      <c r="U164" s="21" t="s">
        <v>313</v>
      </c>
      <c r="V164" s="21" t="s">
        <v>313</v>
      </c>
      <c r="W164" s="21" t="s">
        <v>313</v>
      </c>
      <c r="X164" s="21" t="s">
        <v>313</v>
      </c>
      <c r="Y164" s="21" t="s">
        <v>313</v>
      </c>
      <c r="Z164" s="21" t="s">
        <v>313</v>
      </c>
      <c r="AA164" s="21" t="s">
        <v>313</v>
      </c>
      <c r="AB164" s="21" t="s">
        <v>313</v>
      </c>
      <c r="AC164" s="21" t="s">
        <v>313</v>
      </c>
      <c r="AD164" s="21" t="s">
        <v>313</v>
      </c>
      <c r="AE164" s="21" t="s">
        <v>313</v>
      </c>
      <c r="AF164" s="21" t="s">
        <v>313</v>
      </c>
      <c r="AG164" s="21" t="s">
        <v>313</v>
      </c>
      <c r="AH164" s="21" t="s">
        <v>313</v>
      </c>
      <c r="AI164" s="21" t="s">
        <v>313</v>
      </c>
      <c r="AJ164" s="21" t="s">
        <v>313</v>
      </c>
      <c r="AK164" s="21" t="s">
        <v>313</v>
      </c>
      <c r="AL164" s="21" t="s">
        <v>313</v>
      </c>
      <c r="AM164" s="21" t="s">
        <v>313</v>
      </c>
      <c r="AN164" s="21" t="s">
        <v>313</v>
      </c>
      <c r="AO164" s="21" t="s">
        <v>313</v>
      </c>
      <c r="AP164" s="21" t="s">
        <v>313</v>
      </c>
      <c r="AQ164" s="21" t="s">
        <v>313</v>
      </c>
      <c r="AR164" s="21" t="s">
        <v>313</v>
      </c>
      <c r="AS164" s="21" t="s">
        <v>313</v>
      </c>
      <c r="AT164" s="21" t="s">
        <v>313</v>
      </c>
      <c r="AU164" s="21" t="s">
        <v>313</v>
      </c>
      <c r="AV164" s="21" t="s">
        <v>313</v>
      </c>
      <c r="AW164" s="21" t="s">
        <v>313</v>
      </c>
      <c r="AX164" s="21" t="s">
        <v>313</v>
      </c>
    </row>
    <row r="165" spans="1:50" x14ac:dyDescent="0.3">
      <c r="A165" s="28" t="s">
        <v>284</v>
      </c>
      <c r="B165" s="29" t="str">
        <f>IFERROR(VLOOKUP(A165,'[1]JL EXE ACTIVE FTE List'!$G:$N,8,FALSE),IF(ISNA(VLOOKUP(A165,'[1]JL EXE LEAVER List'!$G:$I,3,FALSE)),"Query","Leaver"))</f>
        <v>LE</v>
      </c>
      <c r="C165" s="29" t="s">
        <v>369</v>
      </c>
      <c r="D165" s="39" t="s">
        <v>370</v>
      </c>
      <c r="E165" s="40">
        <f>IFERROR(IFERROR(VLOOKUP(A165,'[1]JL EXE ACTIVE FTE List'!$G:$O,9,FALSE),VLOOKUP(A165,'[1]JL EXE LEAVER List'!$G:$O,9,FALSE)),"?QUERY?")</f>
        <v>43060</v>
      </c>
      <c r="F165" s="21" t="s">
        <v>338</v>
      </c>
      <c r="G165" s="21" t="s">
        <v>338</v>
      </c>
      <c r="H165" s="21" t="s">
        <v>338</v>
      </c>
      <c r="I165" s="21" t="s">
        <v>313</v>
      </c>
      <c r="J165" s="21" t="s">
        <v>313</v>
      </c>
      <c r="K165" s="21" t="s">
        <v>313</v>
      </c>
      <c r="L165" s="21" t="s">
        <v>313</v>
      </c>
      <c r="M165" s="21" t="s">
        <v>313</v>
      </c>
      <c r="N165" s="21" t="s">
        <v>313</v>
      </c>
      <c r="O165" s="21" t="s">
        <v>313</v>
      </c>
      <c r="P165" s="21" t="s">
        <v>313</v>
      </c>
      <c r="Q165" s="21" t="s">
        <v>313</v>
      </c>
      <c r="R165" s="21" t="s">
        <v>313</v>
      </c>
      <c r="S165" s="21" t="s">
        <v>313</v>
      </c>
      <c r="T165" s="21" t="s">
        <v>313</v>
      </c>
      <c r="U165" s="21" t="s">
        <v>313</v>
      </c>
      <c r="V165" s="21" t="s">
        <v>313</v>
      </c>
      <c r="W165" s="21" t="s">
        <v>313</v>
      </c>
      <c r="X165" s="21" t="s">
        <v>313</v>
      </c>
      <c r="Y165" s="21" t="s">
        <v>313</v>
      </c>
      <c r="Z165" s="21" t="s">
        <v>313</v>
      </c>
      <c r="AA165" s="21" t="s">
        <v>313</v>
      </c>
      <c r="AB165" s="21" t="s">
        <v>313</v>
      </c>
      <c r="AC165" s="21" t="s">
        <v>313</v>
      </c>
      <c r="AD165" s="21" t="s">
        <v>313</v>
      </c>
      <c r="AE165" s="21" t="s">
        <v>313</v>
      </c>
      <c r="AF165" s="21" t="s">
        <v>313</v>
      </c>
      <c r="AG165" s="21" t="s">
        <v>313</v>
      </c>
      <c r="AH165" s="21" t="s">
        <v>313</v>
      </c>
      <c r="AI165" s="21" t="s">
        <v>313</v>
      </c>
      <c r="AJ165" s="21" t="s">
        <v>313</v>
      </c>
      <c r="AK165" s="21" t="s">
        <v>313</v>
      </c>
      <c r="AL165" s="21" t="s">
        <v>313</v>
      </c>
      <c r="AM165" s="21" t="s">
        <v>313</v>
      </c>
      <c r="AN165" s="21" t="s">
        <v>313</v>
      </c>
      <c r="AO165" s="21" t="s">
        <v>313</v>
      </c>
      <c r="AP165" s="21" t="s">
        <v>313</v>
      </c>
      <c r="AQ165" s="21" t="s">
        <v>313</v>
      </c>
      <c r="AR165" s="21" t="s">
        <v>313</v>
      </c>
      <c r="AS165" s="21" t="s">
        <v>313</v>
      </c>
      <c r="AT165" s="21" t="s">
        <v>313</v>
      </c>
      <c r="AU165" s="21" t="s">
        <v>313</v>
      </c>
      <c r="AV165" s="21" t="s">
        <v>313</v>
      </c>
      <c r="AW165" s="21" t="s">
        <v>313</v>
      </c>
      <c r="AX165" s="21" t="s">
        <v>313</v>
      </c>
    </row>
    <row r="166" spans="1:50" hidden="1" x14ac:dyDescent="0.3">
      <c r="A166" s="30" t="s">
        <v>90</v>
      </c>
      <c r="B166" s="29" t="str">
        <f>IFERROR(VLOOKUP(A166,'[1]JL EXE ACTIVE FTE List'!$G:$N,8,FALSE),IF(ISNA(VLOOKUP(A166,'[1]JL EXE LEAVER List'!$G:$I,3,FALSE)),"Query","Leaver"))</f>
        <v>Leaver</v>
      </c>
      <c r="C166" s="29" t="str">
        <f>IFERROR(VLOOKUP(A166,'[1]JL EXE ACTIVE FTE List'!$G:$R,12,FALSE),IF(ISNA(VLOOKUP(A166,'[1]JL EXE LEAVER List'!$G:$I,3,FALSE)),"?QUERY?","Leaver"))</f>
        <v>Leaver</v>
      </c>
      <c r="D166" s="39" t="str">
        <f>IFERROR(IFERROR(VLOOKUP(A166,'[1]JL EXE ACTIVE FTE List'!$G:$H,2,FALSE),VLOOKUP(A166,'[1]JL EXE LEAVER List'!$G:$H,2,FALSE)),"?QUERY?")</f>
        <v>Mark Davies</v>
      </c>
      <c r="E166" s="40">
        <f>IFERROR(IFERROR(VLOOKUP(A166,'[1]JL EXE ACTIVE FTE List'!$G:$O,9,FALSE),VLOOKUP(A166,'[1]JL EXE LEAVER List'!$G:$O,9,FALSE)),"?QUERY?")</f>
        <v>43024</v>
      </c>
      <c r="F166" s="21" t="s">
        <v>335</v>
      </c>
      <c r="G166" s="21" t="s">
        <v>313</v>
      </c>
      <c r="H166" s="21" t="s">
        <v>313</v>
      </c>
      <c r="I166" s="21" t="s">
        <v>313</v>
      </c>
      <c r="J166" s="21" t="s">
        <v>313</v>
      </c>
      <c r="K166" s="21" t="s">
        <v>313</v>
      </c>
      <c r="L166" s="21" t="s">
        <v>313</v>
      </c>
      <c r="M166" s="21" t="s">
        <v>313</v>
      </c>
      <c r="N166" s="21" t="s">
        <v>313</v>
      </c>
      <c r="O166" s="21" t="s">
        <v>313</v>
      </c>
      <c r="P166" s="21" t="s">
        <v>313</v>
      </c>
      <c r="Q166" s="21" t="s">
        <v>313</v>
      </c>
      <c r="R166" s="21" t="s">
        <v>313</v>
      </c>
      <c r="S166" s="21" t="s">
        <v>313</v>
      </c>
      <c r="T166" s="21" t="s">
        <v>313</v>
      </c>
      <c r="U166" s="21" t="s">
        <v>313</v>
      </c>
      <c r="V166" s="21" t="s">
        <v>313</v>
      </c>
      <c r="W166" s="21" t="s">
        <v>313</v>
      </c>
      <c r="X166" s="21" t="s">
        <v>313</v>
      </c>
      <c r="Y166" s="21" t="s">
        <v>313</v>
      </c>
      <c r="Z166" s="21" t="s">
        <v>313</v>
      </c>
      <c r="AA166" s="21" t="s">
        <v>313</v>
      </c>
      <c r="AB166" s="21" t="s">
        <v>313</v>
      </c>
      <c r="AC166" s="21" t="s">
        <v>313</v>
      </c>
      <c r="AD166" s="21" t="s">
        <v>313</v>
      </c>
      <c r="AE166" s="21" t="s">
        <v>313</v>
      </c>
      <c r="AF166" s="21" t="s">
        <v>313</v>
      </c>
      <c r="AG166" s="21" t="s">
        <v>313</v>
      </c>
      <c r="AH166" s="21" t="s">
        <v>313</v>
      </c>
      <c r="AI166" s="21" t="s">
        <v>313</v>
      </c>
      <c r="AJ166" s="21" t="s">
        <v>313</v>
      </c>
      <c r="AK166" s="21" t="s">
        <v>313</v>
      </c>
      <c r="AL166" s="21" t="s">
        <v>313</v>
      </c>
      <c r="AM166" s="21" t="s">
        <v>313</v>
      </c>
      <c r="AN166" s="21" t="s">
        <v>313</v>
      </c>
      <c r="AO166" s="21" t="s">
        <v>313</v>
      </c>
      <c r="AP166" s="21" t="s">
        <v>313</v>
      </c>
      <c r="AQ166" s="21" t="s">
        <v>313</v>
      </c>
      <c r="AR166" s="21" t="s">
        <v>313</v>
      </c>
      <c r="AS166" s="21" t="s">
        <v>313</v>
      </c>
      <c r="AT166" s="21" t="s">
        <v>313</v>
      </c>
      <c r="AU166" s="21" t="s">
        <v>313</v>
      </c>
      <c r="AV166" s="21" t="s">
        <v>313</v>
      </c>
      <c r="AW166" s="21" t="s">
        <v>313</v>
      </c>
      <c r="AX166" s="21" t="s">
        <v>313</v>
      </c>
    </row>
    <row r="167" spans="1:50" x14ac:dyDescent="0.3">
      <c r="A167" s="28" t="s">
        <v>275</v>
      </c>
      <c r="B167" s="29" t="str">
        <f>IFERROR(VLOOKUP(A167,'[1]JL EXE ACTIVE FTE List'!$G:$N,8,FALSE),IF(ISNA(VLOOKUP(A167,'[1]JL EXE LEAVER List'!$G:$I,3,FALSE)),"Query","Leaver"))</f>
        <v>ATV</v>
      </c>
      <c r="C167" s="29" t="s">
        <v>369</v>
      </c>
      <c r="D167" s="39" t="s">
        <v>370</v>
      </c>
      <c r="E167" s="40">
        <f>IFERROR(IFERROR(VLOOKUP(A167,'[1]JL EXE ACTIVE FTE List'!$G:$O,9,FALSE),VLOOKUP(A167,'[1]JL EXE LEAVER List'!$G:$O,9,FALSE)),"?QUERY?")</f>
        <v>43060</v>
      </c>
      <c r="F167" s="21" t="s">
        <v>338</v>
      </c>
      <c r="G167" s="21" t="s">
        <v>338</v>
      </c>
      <c r="H167" s="21" t="s">
        <v>338</v>
      </c>
      <c r="I167" s="21" t="s">
        <v>313</v>
      </c>
      <c r="J167" s="21" t="s">
        <v>313</v>
      </c>
      <c r="K167" s="21" t="s">
        <v>313</v>
      </c>
      <c r="L167" s="21" t="s">
        <v>313</v>
      </c>
      <c r="M167" s="21" t="s">
        <v>313</v>
      </c>
      <c r="N167" s="21" t="s">
        <v>313</v>
      </c>
      <c r="O167" s="21" t="s">
        <v>313</v>
      </c>
      <c r="P167" s="21" t="s">
        <v>313</v>
      </c>
      <c r="Q167" s="21" t="s">
        <v>313</v>
      </c>
      <c r="R167" s="21" t="s">
        <v>313</v>
      </c>
      <c r="S167" s="21" t="s">
        <v>313</v>
      </c>
      <c r="T167" s="21" t="s">
        <v>313</v>
      </c>
      <c r="U167" s="21" t="s">
        <v>313</v>
      </c>
      <c r="V167" s="21" t="s">
        <v>313</v>
      </c>
      <c r="W167" s="21" t="s">
        <v>313</v>
      </c>
      <c r="X167" s="21" t="s">
        <v>313</v>
      </c>
      <c r="Y167" s="21" t="s">
        <v>313</v>
      </c>
      <c r="Z167" s="21" t="s">
        <v>313</v>
      </c>
      <c r="AA167" s="21" t="s">
        <v>313</v>
      </c>
      <c r="AB167" s="21" t="s">
        <v>313</v>
      </c>
      <c r="AC167" s="21" t="s">
        <v>313</v>
      </c>
      <c r="AD167" s="21" t="s">
        <v>313</v>
      </c>
      <c r="AE167" s="21" t="s">
        <v>313</v>
      </c>
      <c r="AF167" s="21" t="s">
        <v>313</v>
      </c>
      <c r="AG167" s="21" t="s">
        <v>313</v>
      </c>
      <c r="AH167" s="21" t="s">
        <v>313</v>
      </c>
      <c r="AI167" s="21" t="s">
        <v>313</v>
      </c>
      <c r="AJ167" s="21" t="s">
        <v>313</v>
      </c>
      <c r="AK167" s="21" t="s">
        <v>313</v>
      </c>
      <c r="AL167" s="21" t="s">
        <v>313</v>
      </c>
      <c r="AM167" s="21" t="s">
        <v>313</v>
      </c>
      <c r="AN167" s="21" t="s">
        <v>313</v>
      </c>
      <c r="AO167" s="21" t="s">
        <v>313</v>
      </c>
      <c r="AP167" s="21" t="s">
        <v>313</v>
      </c>
      <c r="AQ167" s="21" t="s">
        <v>313</v>
      </c>
      <c r="AR167" s="21" t="s">
        <v>313</v>
      </c>
      <c r="AS167" s="21" t="s">
        <v>313</v>
      </c>
      <c r="AT167" s="21" t="s">
        <v>313</v>
      </c>
      <c r="AU167" s="21" t="s">
        <v>313</v>
      </c>
      <c r="AV167" s="21" t="s">
        <v>313</v>
      </c>
      <c r="AW167" s="21" t="s">
        <v>313</v>
      </c>
      <c r="AX167" s="21" t="s">
        <v>313</v>
      </c>
    </row>
    <row r="168" spans="1:50" x14ac:dyDescent="0.3">
      <c r="A168" s="28" t="s">
        <v>276</v>
      </c>
      <c r="B168" s="29" t="str">
        <f>IFERROR(VLOOKUP(A168,'[1]JL EXE ACTIVE FTE List'!$G:$N,8,FALSE),IF(ISNA(VLOOKUP(A168,'[1]JL EXE LEAVER List'!$G:$I,3,FALSE)),"Query","Leaver"))</f>
        <v>ATV</v>
      </c>
      <c r="C168" s="29" t="s">
        <v>369</v>
      </c>
      <c r="D168" s="39" t="s">
        <v>370</v>
      </c>
      <c r="E168" s="40">
        <f>IFERROR(IFERROR(VLOOKUP(A168,'[1]JL EXE ACTIVE FTE List'!$G:$O,9,FALSE),VLOOKUP(A168,'[1]JL EXE LEAVER List'!$G:$O,9,FALSE)),"?QUERY?")</f>
        <v>43060</v>
      </c>
      <c r="F168" s="21" t="s">
        <v>338</v>
      </c>
      <c r="G168" s="21" t="s">
        <v>338</v>
      </c>
      <c r="H168" s="21" t="s">
        <v>338</v>
      </c>
      <c r="I168" s="21" t="s">
        <v>313</v>
      </c>
      <c r="J168" s="21" t="s">
        <v>313</v>
      </c>
      <c r="K168" s="21" t="s">
        <v>313</v>
      </c>
      <c r="L168" s="21" t="s">
        <v>313</v>
      </c>
      <c r="M168" s="21" t="s">
        <v>313</v>
      </c>
      <c r="N168" s="21" t="s">
        <v>313</v>
      </c>
      <c r="O168" s="21" t="s">
        <v>313</v>
      </c>
      <c r="P168" s="21" t="s">
        <v>313</v>
      </c>
      <c r="Q168" s="21" t="s">
        <v>313</v>
      </c>
      <c r="R168" s="21" t="s">
        <v>313</v>
      </c>
      <c r="S168" s="21" t="s">
        <v>313</v>
      </c>
      <c r="T168" s="21" t="s">
        <v>313</v>
      </c>
      <c r="U168" s="21" t="s">
        <v>313</v>
      </c>
      <c r="V168" s="21" t="s">
        <v>313</v>
      </c>
      <c r="W168" s="21" t="s">
        <v>313</v>
      </c>
      <c r="X168" s="21" t="s">
        <v>313</v>
      </c>
      <c r="Y168" s="21" t="s">
        <v>313</v>
      </c>
      <c r="Z168" s="21" t="s">
        <v>313</v>
      </c>
      <c r="AA168" s="21" t="s">
        <v>313</v>
      </c>
      <c r="AB168" s="21" t="s">
        <v>313</v>
      </c>
      <c r="AC168" s="21" t="s">
        <v>313</v>
      </c>
      <c r="AD168" s="21" t="s">
        <v>313</v>
      </c>
      <c r="AE168" s="21" t="s">
        <v>313</v>
      </c>
      <c r="AF168" s="21" t="s">
        <v>313</v>
      </c>
      <c r="AG168" s="21" t="s">
        <v>313</v>
      </c>
      <c r="AH168" s="21" t="s">
        <v>313</v>
      </c>
      <c r="AI168" s="21" t="s">
        <v>313</v>
      </c>
      <c r="AJ168" s="21" t="s">
        <v>313</v>
      </c>
      <c r="AK168" s="21" t="s">
        <v>313</v>
      </c>
      <c r="AL168" s="21" t="s">
        <v>313</v>
      </c>
      <c r="AM168" s="21" t="s">
        <v>313</v>
      </c>
      <c r="AN168" s="21" t="s">
        <v>313</v>
      </c>
      <c r="AO168" s="21" t="s">
        <v>313</v>
      </c>
      <c r="AP168" s="21" t="s">
        <v>313</v>
      </c>
      <c r="AQ168" s="21" t="s">
        <v>313</v>
      </c>
      <c r="AR168" s="21" t="s">
        <v>313</v>
      </c>
      <c r="AS168" s="21" t="s">
        <v>313</v>
      </c>
      <c r="AT168" s="21" t="s">
        <v>313</v>
      </c>
      <c r="AU168" s="21" t="s">
        <v>313</v>
      </c>
      <c r="AV168" s="21" t="s">
        <v>313</v>
      </c>
      <c r="AW168" s="21" t="s">
        <v>313</v>
      </c>
      <c r="AX168" s="21" t="s">
        <v>313</v>
      </c>
    </row>
    <row r="169" spans="1:50" x14ac:dyDescent="0.3">
      <c r="A169" s="28" t="s">
        <v>277</v>
      </c>
      <c r="B169" s="29" t="str">
        <f>IFERROR(VLOOKUP(A169,'[1]JL EXE ACTIVE FTE List'!$G:$N,8,FALSE),IF(ISNA(VLOOKUP(A169,'[1]JL EXE LEAVER List'!$G:$I,3,FALSE)),"Query","Leaver"))</f>
        <v>ATV</v>
      </c>
      <c r="C169" s="29" t="s">
        <v>369</v>
      </c>
      <c r="D169" s="39" t="s">
        <v>370</v>
      </c>
      <c r="E169" s="40">
        <f>IFERROR(IFERROR(VLOOKUP(A169,'[1]JL EXE ACTIVE FTE List'!$G:$O,9,FALSE),VLOOKUP(A169,'[1]JL EXE LEAVER List'!$G:$O,9,FALSE)),"?QUERY?")</f>
        <v>43060</v>
      </c>
      <c r="F169" s="21" t="s">
        <v>338</v>
      </c>
      <c r="G169" s="21" t="s">
        <v>338</v>
      </c>
      <c r="H169" s="21" t="s">
        <v>338</v>
      </c>
      <c r="I169" s="21" t="s">
        <v>313</v>
      </c>
      <c r="J169" s="21" t="s">
        <v>313</v>
      </c>
      <c r="K169" s="21" t="s">
        <v>313</v>
      </c>
      <c r="L169" s="21" t="s">
        <v>313</v>
      </c>
      <c r="M169" s="21" t="s">
        <v>313</v>
      </c>
      <c r="N169" s="21" t="s">
        <v>313</v>
      </c>
      <c r="O169" s="21" t="s">
        <v>313</v>
      </c>
      <c r="P169" s="21" t="s">
        <v>313</v>
      </c>
      <c r="Q169" s="21" t="s">
        <v>313</v>
      </c>
      <c r="R169" s="21" t="s">
        <v>313</v>
      </c>
      <c r="S169" s="21" t="s">
        <v>313</v>
      </c>
      <c r="T169" s="21" t="s">
        <v>313</v>
      </c>
      <c r="U169" s="21" t="s">
        <v>313</v>
      </c>
      <c r="V169" s="21" t="s">
        <v>313</v>
      </c>
      <c r="W169" s="21" t="s">
        <v>313</v>
      </c>
      <c r="X169" s="21" t="s">
        <v>313</v>
      </c>
      <c r="Y169" s="21" t="s">
        <v>313</v>
      </c>
      <c r="Z169" s="21" t="s">
        <v>313</v>
      </c>
      <c r="AA169" s="21" t="s">
        <v>313</v>
      </c>
      <c r="AB169" s="21" t="s">
        <v>313</v>
      </c>
      <c r="AC169" s="21" t="s">
        <v>313</v>
      </c>
      <c r="AD169" s="21" t="s">
        <v>313</v>
      </c>
      <c r="AE169" s="21" t="s">
        <v>313</v>
      </c>
      <c r="AF169" s="21" t="s">
        <v>313</v>
      </c>
      <c r="AG169" s="21" t="s">
        <v>313</v>
      </c>
      <c r="AH169" s="21" t="s">
        <v>313</v>
      </c>
      <c r="AI169" s="21" t="s">
        <v>313</v>
      </c>
      <c r="AJ169" s="21" t="s">
        <v>313</v>
      </c>
      <c r="AK169" s="21" t="s">
        <v>313</v>
      </c>
      <c r="AL169" s="21" t="s">
        <v>313</v>
      </c>
      <c r="AM169" s="21" t="s">
        <v>313</v>
      </c>
      <c r="AN169" s="21" t="s">
        <v>313</v>
      </c>
      <c r="AO169" s="21" t="s">
        <v>313</v>
      </c>
      <c r="AP169" s="21" t="s">
        <v>313</v>
      </c>
      <c r="AQ169" s="21" t="s">
        <v>313</v>
      </c>
      <c r="AR169" s="21" t="s">
        <v>313</v>
      </c>
      <c r="AS169" s="21" t="s">
        <v>313</v>
      </c>
      <c r="AT169" s="21" t="s">
        <v>313</v>
      </c>
      <c r="AU169" s="21" t="s">
        <v>313</v>
      </c>
      <c r="AV169" s="21" t="s">
        <v>313</v>
      </c>
      <c r="AW169" s="21" t="s">
        <v>313</v>
      </c>
      <c r="AX169" s="21" t="s">
        <v>313</v>
      </c>
    </row>
    <row r="170" spans="1:50" ht="15" customHeight="1" x14ac:dyDescent="0.3">
      <c r="A170" s="28" t="s">
        <v>278</v>
      </c>
      <c r="B170" s="29" t="str">
        <f>IFERROR(VLOOKUP(A170,'[1]JL EXE ACTIVE FTE List'!$G:$N,8,FALSE),IF(ISNA(VLOOKUP(A170,'[1]JL EXE LEAVER List'!$G:$I,3,FALSE)),"Query","Leaver"))</f>
        <v>ATV</v>
      </c>
      <c r="C170" s="29" t="s">
        <v>369</v>
      </c>
      <c r="D170" s="39" t="s">
        <v>370</v>
      </c>
      <c r="E170" s="40">
        <f>IFERROR(IFERROR(VLOOKUP(A170,'[1]JL EXE ACTIVE FTE List'!$G:$O,9,FALSE),VLOOKUP(A170,'[1]JL EXE LEAVER List'!$G:$O,9,FALSE)),"?QUERY?")</f>
        <v>43060</v>
      </c>
      <c r="F170" s="21" t="s">
        <v>338</v>
      </c>
      <c r="G170" s="21" t="s">
        <v>338</v>
      </c>
      <c r="H170" s="21" t="s">
        <v>338</v>
      </c>
      <c r="I170" s="21" t="s">
        <v>313</v>
      </c>
      <c r="J170" s="21" t="s">
        <v>313</v>
      </c>
      <c r="K170" s="21" t="s">
        <v>313</v>
      </c>
      <c r="L170" s="21" t="s">
        <v>313</v>
      </c>
      <c r="M170" s="21" t="s">
        <v>313</v>
      </c>
      <c r="N170" s="21" t="s">
        <v>313</v>
      </c>
      <c r="O170" s="21" t="s">
        <v>313</v>
      </c>
      <c r="P170" s="21" t="s">
        <v>313</v>
      </c>
      <c r="Q170" s="21" t="s">
        <v>313</v>
      </c>
      <c r="R170" s="21" t="s">
        <v>313</v>
      </c>
      <c r="S170" s="21" t="s">
        <v>313</v>
      </c>
      <c r="T170" s="21" t="s">
        <v>313</v>
      </c>
      <c r="U170" s="21" t="s">
        <v>313</v>
      </c>
      <c r="V170" s="21" t="s">
        <v>313</v>
      </c>
      <c r="W170" s="21" t="s">
        <v>313</v>
      </c>
      <c r="X170" s="21" t="s">
        <v>313</v>
      </c>
      <c r="Y170" s="21" t="s">
        <v>313</v>
      </c>
      <c r="Z170" s="21" t="s">
        <v>313</v>
      </c>
      <c r="AA170" s="21" t="s">
        <v>313</v>
      </c>
      <c r="AB170" s="21" t="s">
        <v>313</v>
      </c>
      <c r="AC170" s="21" t="s">
        <v>313</v>
      </c>
      <c r="AD170" s="21" t="s">
        <v>313</v>
      </c>
      <c r="AE170" s="21" t="s">
        <v>313</v>
      </c>
      <c r="AF170" s="21" t="s">
        <v>313</v>
      </c>
      <c r="AG170" s="21" t="s">
        <v>313</v>
      </c>
      <c r="AH170" s="21" t="s">
        <v>313</v>
      </c>
      <c r="AI170" s="21" t="s">
        <v>313</v>
      </c>
      <c r="AJ170" s="21" t="s">
        <v>313</v>
      </c>
      <c r="AK170" s="21" t="s">
        <v>313</v>
      </c>
      <c r="AL170" s="21" t="s">
        <v>313</v>
      </c>
      <c r="AM170" s="21" t="s">
        <v>313</v>
      </c>
      <c r="AN170" s="21" t="s">
        <v>313</v>
      </c>
      <c r="AO170" s="21" t="s">
        <v>313</v>
      </c>
      <c r="AP170" s="21" t="s">
        <v>313</v>
      </c>
      <c r="AQ170" s="21" t="s">
        <v>313</v>
      </c>
      <c r="AR170" s="21" t="s">
        <v>313</v>
      </c>
      <c r="AS170" s="21" t="s">
        <v>313</v>
      </c>
      <c r="AT170" s="21" t="s">
        <v>313</v>
      </c>
      <c r="AU170" s="21" t="s">
        <v>313</v>
      </c>
      <c r="AV170" s="21" t="s">
        <v>313</v>
      </c>
      <c r="AW170" s="21" t="s">
        <v>313</v>
      </c>
      <c r="AX170" s="21" t="s">
        <v>313</v>
      </c>
    </row>
    <row r="171" spans="1:50" ht="15" customHeight="1" x14ac:dyDescent="0.3">
      <c r="A171" s="28" t="s">
        <v>337</v>
      </c>
      <c r="B171" s="29" t="s">
        <v>348</v>
      </c>
      <c r="C171" s="29" t="s">
        <v>369</v>
      </c>
      <c r="D171" s="39" t="s">
        <v>370</v>
      </c>
      <c r="E171" s="40">
        <v>43060</v>
      </c>
      <c r="F171" s="21" t="s">
        <v>338</v>
      </c>
      <c r="G171" s="21" t="s">
        <v>338</v>
      </c>
      <c r="H171" s="21" t="s">
        <v>338</v>
      </c>
      <c r="I171" s="21" t="s">
        <v>313</v>
      </c>
      <c r="J171" s="21" t="s">
        <v>313</v>
      </c>
      <c r="K171" s="21" t="s">
        <v>313</v>
      </c>
      <c r="L171" s="21" t="s">
        <v>313</v>
      </c>
      <c r="M171" s="21" t="s">
        <v>313</v>
      </c>
      <c r="N171" s="21" t="s">
        <v>313</v>
      </c>
      <c r="O171" s="21" t="s">
        <v>313</v>
      </c>
      <c r="P171" s="21" t="s">
        <v>313</v>
      </c>
      <c r="Q171" s="21" t="s">
        <v>313</v>
      </c>
      <c r="R171" s="21" t="s">
        <v>313</v>
      </c>
      <c r="S171" s="21" t="s">
        <v>313</v>
      </c>
      <c r="T171" s="21" t="s">
        <v>313</v>
      </c>
      <c r="U171" s="21" t="s">
        <v>313</v>
      </c>
      <c r="V171" s="21" t="s">
        <v>313</v>
      </c>
      <c r="W171" s="21" t="s">
        <v>313</v>
      </c>
      <c r="X171" s="21" t="s">
        <v>313</v>
      </c>
      <c r="Y171" s="21" t="s">
        <v>313</v>
      </c>
      <c r="Z171" s="21" t="s">
        <v>313</v>
      </c>
      <c r="AA171" s="21" t="s">
        <v>313</v>
      </c>
      <c r="AB171" s="21" t="s">
        <v>313</v>
      </c>
      <c r="AC171" s="21" t="s">
        <v>313</v>
      </c>
      <c r="AD171" s="21" t="s">
        <v>313</v>
      </c>
      <c r="AE171" s="21" t="s">
        <v>313</v>
      </c>
      <c r="AF171" s="21" t="s">
        <v>313</v>
      </c>
      <c r="AG171" s="21" t="s">
        <v>313</v>
      </c>
      <c r="AH171" s="21" t="s">
        <v>313</v>
      </c>
      <c r="AI171" s="21" t="s">
        <v>313</v>
      </c>
      <c r="AJ171" s="21" t="s">
        <v>313</v>
      </c>
      <c r="AK171" s="21" t="s">
        <v>313</v>
      </c>
      <c r="AL171" s="21" t="s">
        <v>313</v>
      </c>
      <c r="AM171" s="21" t="s">
        <v>313</v>
      </c>
      <c r="AN171" s="21" t="s">
        <v>313</v>
      </c>
      <c r="AO171" s="21" t="s">
        <v>313</v>
      </c>
      <c r="AP171" s="21" t="s">
        <v>313</v>
      </c>
      <c r="AQ171" s="21" t="s">
        <v>313</v>
      </c>
      <c r="AR171" s="21" t="s">
        <v>313</v>
      </c>
      <c r="AS171" s="21" t="s">
        <v>313</v>
      </c>
      <c r="AT171" s="21" t="s">
        <v>313</v>
      </c>
      <c r="AU171" s="21" t="s">
        <v>313</v>
      </c>
      <c r="AV171" s="21" t="s">
        <v>313</v>
      </c>
      <c r="AW171" s="21" t="s">
        <v>313</v>
      </c>
      <c r="AX171" s="21" t="s">
        <v>313</v>
      </c>
    </row>
    <row r="172" spans="1:50" hidden="1" x14ac:dyDescent="0.3">
      <c r="A172" s="30" t="s">
        <v>124</v>
      </c>
      <c r="B172" s="29" t="str">
        <f>IFERROR(VLOOKUP(A172,'[1]JL EXE ACTIVE FTE List'!$G:$N,8,FALSE),IF(ISNA(VLOOKUP(A172,'[1]JL EXE LEAVER List'!$G:$I,3,FALSE)),"Query","Leaver"))</f>
        <v>Leaver</v>
      </c>
      <c r="C172" s="29" t="str">
        <f>IFERROR(VLOOKUP(A172,'[1]JL EXE ACTIVE FTE List'!$G:$R,12,FALSE),IF(ISNA(VLOOKUP(A172,'[1]JL EXE LEAVER List'!$G:$I,3,FALSE)),"?QUERY?","Leaver"))</f>
        <v>Leaver</v>
      </c>
      <c r="D172" s="39" t="str">
        <f>IFERROR(IFERROR(VLOOKUP(A172,'[1]JL EXE ACTIVE FTE List'!$G:$H,2,FALSE),VLOOKUP(A172,'[1]JL EXE LEAVER List'!$G:$H,2,FALSE)),"?QUERY?")</f>
        <v>Mark Davies</v>
      </c>
      <c r="E172" s="40">
        <f>IFERROR(IFERROR(VLOOKUP(A172,'[1]JL EXE ACTIVE FTE List'!$G:$O,9,FALSE),VLOOKUP(A172,'[1]JL EXE LEAVER List'!$G:$O,9,FALSE)),"?QUERY?")</f>
        <v>42997</v>
      </c>
      <c r="F172" s="21" t="s">
        <v>366</v>
      </c>
      <c r="G172" s="21"/>
      <c r="H172" s="21" t="s">
        <v>313</v>
      </c>
      <c r="I172" s="21" t="s">
        <v>313</v>
      </c>
      <c r="J172" s="21" t="s">
        <v>313</v>
      </c>
      <c r="K172" s="21" t="s">
        <v>313</v>
      </c>
      <c r="L172" s="21" t="s">
        <v>313</v>
      </c>
      <c r="M172" s="21" t="s">
        <v>313</v>
      </c>
      <c r="N172" s="21" t="s">
        <v>313</v>
      </c>
      <c r="O172" s="21" t="s">
        <v>313</v>
      </c>
      <c r="P172" s="21" t="s">
        <v>313</v>
      </c>
      <c r="Q172" s="21" t="s">
        <v>313</v>
      </c>
      <c r="R172" s="21" t="s">
        <v>313</v>
      </c>
      <c r="S172" s="21" t="s">
        <v>313</v>
      </c>
      <c r="T172" s="21" t="s">
        <v>313</v>
      </c>
      <c r="U172" s="21" t="s">
        <v>313</v>
      </c>
      <c r="V172" s="21" t="s">
        <v>313</v>
      </c>
      <c r="W172" s="21" t="s">
        <v>313</v>
      </c>
      <c r="X172" s="21" t="s">
        <v>313</v>
      </c>
      <c r="Y172" s="21" t="s">
        <v>313</v>
      </c>
      <c r="Z172" s="21" t="s">
        <v>313</v>
      </c>
      <c r="AA172" s="21" t="s">
        <v>313</v>
      </c>
      <c r="AB172" s="21" t="s">
        <v>313</v>
      </c>
      <c r="AC172" s="21" t="s">
        <v>313</v>
      </c>
      <c r="AD172" s="21" t="s">
        <v>313</v>
      </c>
      <c r="AE172" s="21" t="s">
        <v>313</v>
      </c>
      <c r="AF172" s="21" t="s">
        <v>313</v>
      </c>
      <c r="AG172" s="21" t="s">
        <v>313</v>
      </c>
      <c r="AH172" s="21" t="s">
        <v>313</v>
      </c>
      <c r="AI172" s="21" t="s">
        <v>313</v>
      </c>
      <c r="AJ172" s="21" t="s">
        <v>313</v>
      </c>
      <c r="AK172" s="21" t="s">
        <v>313</v>
      </c>
      <c r="AL172" s="21" t="s">
        <v>313</v>
      </c>
      <c r="AM172" s="21" t="s">
        <v>313</v>
      </c>
      <c r="AN172" s="21" t="s">
        <v>313</v>
      </c>
      <c r="AO172" s="21" t="s">
        <v>313</v>
      </c>
      <c r="AP172" s="21" t="s">
        <v>313</v>
      </c>
      <c r="AQ172" s="21" t="s">
        <v>313</v>
      </c>
      <c r="AR172" s="21" t="s">
        <v>313</v>
      </c>
      <c r="AS172" s="21" t="s">
        <v>313</v>
      </c>
      <c r="AT172" s="21" t="s">
        <v>313</v>
      </c>
      <c r="AU172" s="21" t="s">
        <v>313</v>
      </c>
      <c r="AV172" s="21" t="s">
        <v>313</v>
      </c>
      <c r="AW172" s="21" t="s">
        <v>313</v>
      </c>
      <c r="AX172" s="21" t="s">
        <v>313</v>
      </c>
    </row>
    <row r="173" spans="1:50" ht="15" customHeight="1" x14ac:dyDescent="0.3">
      <c r="A173" s="28" t="s">
        <v>279</v>
      </c>
      <c r="B173" s="29" t="str">
        <f>IFERROR(VLOOKUP(A173,'[1]JL EXE ACTIVE FTE List'!$G:$N,8,FALSE),IF(ISNA(VLOOKUP(A173,'[1]JL EXE LEAVER List'!$G:$I,3,FALSE)),"Query","Leaver"))</f>
        <v>ATV</v>
      </c>
      <c r="C173" s="29" t="s">
        <v>369</v>
      </c>
      <c r="D173" s="39" t="s">
        <v>370</v>
      </c>
      <c r="E173" s="40">
        <f>IFERROR(IFERROR(VLOOKUP(A173,'[1]JL EXE ACTIVE FTE List'!$G:$O,9,FALSE),VLOOKUP(A173,'[1]JL EXE LEAVER List'!$G:$O,9,FALSE)),"?QUERY?")</f>
        <v>43060</v>
      </c>
      <c r="F173" s="21" t="s">
        <v>338</v>
      </c>
      <c r="G173" s="21" t="s">
        <v>338</v>
      </c>
      <c r="H173" s="21" t="s">
        <v>338</v>
      </c>
      <c r="I173" s="21" t="s">
        <v>313</v>
      </c>
      <c r="J173" s="21" t="s">
        <v>313</v>
      </c>
      <c r="K173" s="21" t="s">
        <v>313</v>
      </c>
      <c r="L173" s="21" t="s">
        <v>313</v>
      </c>
      <c r="M173" s="21" t="s">
        <v>313</v>
      </c>
      <c r="N173" s="21" t="s">
        <v>313</v>
      </c>
      <c r="O173" s="21" t="s">
        <v>313</v>
      </c>
      <c r="P173" s="21" t="s">
        <v>313</v>
      </c>
      <c r="Q173" s="21" t="s">
        <v>313</v>
      </c>
      <c r="R173" s="21" t="s">
        <v>313</v>
      </c>
      <c r="S173" s="21" t="s">
        <v>313</v>
      </c>
      <c r="T173" s="21" t="s">
        <v>313</v>
      </c>
      <c r="U173" s="21" t="s">
        <v>313</v>
      </c>
      <c r="V173" s="21" t="s">
        <v>313</v>
      </c>
      <c r="W173" s="21" t="s">
        <v>313</v>
      </c>
      <c r="X173" s="21" t="s">
        <v>313</v>
      </c>
      <c r="Y173" s="21" t="s">
        <v>313</v>
      </c>
      <c r="Z173" s="21" t="s">
        <v>313</v>
      </c>
      <c r="AA173" s="21" t="s">
        <v>313</v>
      </c>
      <c r="AB173" s="21" t="s">
        <v>313</v>
      </c>
      <c r="AC173" s="21" t="s">
        <v>313</v>
      </c>
      <c r="AD173" s="21" t="s">
        <v>313</v>
      </c>
      <c r="AE173" s="21" t="s">
        <v>313</v>
      </c>
      <c r="AF173" s="21" t="s">
        <v>313</v>
      </c>
      <c r="AG173" s="21" t="s">
        <v>313</v>
      </c>
      <c r="AH173" s="21" t="s">
        <v>313</v>
      </c>
      <c r="AI173" s="21" t="s">
        <v>313</v>
      </c>
      <c r="AJ173" s="21" t="s">
        <v>313</v>
      </c>
      <c r="AK173" s="21" t="s">
        <v>313</v>
      </c>
      <c r="AL173" s="21" t="s">
        <v>313</v>
      </c>
      <c r="AM173" s="21" t="s">
        <v>313</v>
      </c>
      <c r="AN173" s="21" t="s">
        <v>313</v>
      </c>
      <c r="AO173" s="21" t="s">
        <v>313</v>
      </c>
      <c r="AP173" s="21" t="s">
        <v>313</v>
      </c>
      <c r="AQ173" s="21" t="s">
        <v>313</v>
      </c>
      <c r="AR173" s="21" t="s">
        <v>313</v>
      </c>
      <c r="AS173" s="21" t="s">
        <v>313</v>
      </c>
      <c r="AT173" s="21" t="s">
        <v>313</v>
      </c>
      <c r="AU173" s="21" t="s">
        <v>313</v>
      </c>
      <c r="AV173" s="21" t="s">
        <v>313</v>
      </c>
      <c r="AW173" s="21" t="s">
        <v>313</v>
      </c>
      <c r="AX173" s="21" t="s">
        <v>313</v>
      </c>
    </row>
    <row r="174" spans="1:50" x14ac:dyDescent="0.3">
      <c r="A174" s="28" t="s">
        <v>280</v>
      </c>
      <c r="B174" s="29" t="str">
        <f>IFERROR(VLOOKUP(A174,'[1]JL EXE ACTIVE FTE List'!$G:$N,8,FALSE),IF(ISNA(VLOOKUP(A174,'[1]JL EXE LEAVER List'!$G:$I,3,FALSE)),"Query","Leaver"))</f>
        <v>LE</v>
      </c>
      <c r="C174" s="29" t="s">
        <v>369</v>
      </c>
      <c r="D174" s="39" t="s">
        <v>370</v>
      </c>
      <c r="E174" s="40">
        <f>IFERROR(IFERROR(VLOOKUP(A174,'[1]JL EXE ACTIVE FTE List'!$G:$O,9,FALSE),VLOOKUP(A174,'[1]JL EXE LEAVER List'!$G:$O,9,FALSE)),"?QUERY?")</f>
        <v>43060</v>
      </c>
      <c r="F174" s="21" t="s">
        <v>338</v>
      </c>
      <c r="G174" s="21" t="s">
        <v>338</v>
      </c>
      <c r="H174" s="21" t="s">
        <v>338</v>
      </c>
      <c r="I174" s="21" t="s">
        <v>313</v>
      </c>
      <c r="J174" s="21" t="s">
        <v>313</v>
      </c>
      <c r="K174" s="21" t="s">
        <v>313</v>
      </c>
      <c r="L174" s="21" t="s">
        <v>313</v>
      </c>
      <c r="M174" s="21" t="s">
        <v>313</v>
      </c>
      <c r="N174" s="21" t="s">
        <v>313</v>
      </c>
      <c r="O174" s="21" t="s">
        <v>313</v>
      </c>
      <c r="P174" s="21" t="s">
        <v>313</v>
      </c>
      <c r="Q174" s="21" t="s">
        <v>313</v>
      </c>
      <c r="R174" s="21" t="s">
        <v>313</v>
      </c>
      <c r="S174" s="21" t="s">
        <v>313</v>
      </c>
      <c r="T174" s="21" t="s">
        <v>313</v>
      </c>
      <c r="U174" s="21" t="s">
        <v>313</v>
      </c>
      <c r="V174" s="21" t="s">
        <v>313</v>
      </c>
      <c r="W174" s="21" t="s">
        <v>313</v>
      </c>
      <c r="X174" s="21" t="s">
        <v>313</v>
      </c>
      <c r="Y174" s="21" t="s">
        <v>313</v>
      </c>
      <c r="Z174" s="21" t="s">
        <v>313</v>
      </c>
      <c r="AA174" s="21" t="s">
        <v>313</v>
      </c>
      <c r="AB174" s="21" t="s">
        <v>313</v>
      </c>
      <c r="AC174" s="21" t="s">
        <v>313</v>
      </c>
      <c r="AD174" s="21" t="s">
        <v>313</v>
      </c>
      <c r="AE174" s="21" t="s">
        <v>313</v>
      </c>
      <c r="AF174" s="21" t="s">
        <v>313</v>
      </c>
      <c r="AG174" s="21" t="s">
        <v>313</v>
      </c>
      <c r="AH174" s="21" t="s">
        <v>313</v>
      </c>
      <c r="AI174" s="21" t="s">
        <v>313</v>
      </c>
      <c r="AJ174" s="21" t="s">
        <v>313</v>
      </c>
      <c r="AK174" s="21" t="s">
        <v>313</v>
      </c>
      <c r="AL174" s="21" t="s">
        <v>313</v>
      </c>
      <c r="AM174" s="21" t="s">
        <v>313</v>
      </c>
      <c r="AN174" s="21" t="s">
        <v>313</v>
      </c>
      <c r="AO174" s="21" t="s">
        <v>313</v>
      </c>
      <c r="AP174" s="21" t="s">
        <v>313</v>
      </c>
      <c r="AQ174" s="21" t="s">
        <v>313</v>
      </c>
      <c r="AR174" s="21" t="s">
        <v>313</v>
      </c>
      <c r="AS174" s="21" t="s">
        <v>313</v>
      </c>
      <c r="AT174" s="21" t="s">
        <v>313</v>
      </c>
      <c r="AU174" s="21" t="s">
        <v>313</v>
      </c>
      <c r="AV174" s="21" t="s">
        <v>313</v>
      </c>
      <c r="AW174" s="21" t="s">
        <v>313</v>
      </c>
      <c r="AX174" s="21" t="s">
        <v>313</v>
      </c>
    </row>
    <row r="175" spans="1:50" ht="15" customHeight="1" x14ac:dyDescent="0.3">
      <c r="A175" s="28" t="s">
        <v>281</v>
      </c>
      <c r="B175" s="29" t="str">
        <f>IFERROR(VLOOKUP(A175,'[1]JL EXE ACTIVE FTE List'!$G:$N,8,FALSE),IF(ISNA(VLOOKUP(A175,'[1]JL EXE LEAVER List'!$G:$I,3,FALSE)),"Query","Leaver"))</f>
        <v>LE</v>
      </c>
      <c r="C175" s="29" t="s">
        <v>369</v>
      </c>
      <c r="D175" s="39" t="s">
        <v>370</v>
      </c>
      <c r="E175" s="40">
        <f>IFERROR(IFERROR(VLOOKUP(A175,'[1]JL EXE ACTIVE FTE List'!$G:$O,9,FALSE),VLOOKUP(A175,'[1]JL EXE LEAVER List'!$G:$O,9,FALSE)),"?QUERY?")</f>
        <v>43060</v>
      </c>
      <c r="F175" s="21" t="s">
        <v>338</v>
      </c>
      <c r="G175" s="21" t="s">
        <v>338</v>
      </c>
      <c r="H175" s="21" t="s">
        <v>338</v>
      </c>
      <c r="I175" s="21" t="s">
        <v>313</v>
      </c>
      <c r="J175" s="21" t="s">
        <v>313</v>
      </c>
      <c r="K175" s="21" t="s">
        <v>313</v>
      </c>
      <c r="L175" s="21" t="s">
        <v>313</v>
      </c>
      <c r="M175" s="21" t="s">
        <v>313</v>
      </c>
      <c r="N175" s="21" t="s">
        <v>313</v>
      </c>
      <c r="O175" s="21" t="s">
        <v>313</v>
      </c>
      <c r="P175" s="21" t="s">
        <v>313</v>
      </c>
      <c r="Q175" s="21" t="s">
        <v>313</v>
      </c>
      <c r="R175" s="21" t="s">
        <v>313</v>
      </c>
      <c r="S175" s="21" t="s">
        <v>313</v>
      </c>
      <c r="T175" s="21" t="s">
        <v>313</v>
      </c>
      <c r="U175" s="21" t="s">
        <v>313</v>
      </c>
      <c r="V175" s="21" t="s">
        <v>313</v>
      </c>
      <c r="W175" s="21" t="s">
        <v>313</v>
      </c>
      <c r="X175" s="21" t="s">
        <v>313</v>
      </c>
      <c r="Y175" s="21" t="s">
        <v>313</v>
      </c>
      <c r="Z175" s="21" t="s">
        <v>313</v>
      </c>
      <c r="AA175" s="21" t="s">
        <v>313</v>
      </c>
      <c r="AB175" s="21" t="s">
        <v>313</v>
      </c>
      <c r="AC175" s="21" t="s">
        <v>313</v>
      </c>
      <c r="AD175" s="21" t="s">
        <v>313</v>
      </c>
      <c r="AE175" s="21" t="s">
        <v>313</v>
      </c>
      <c r="AF175" s="21" t="s">
        <v>313</v>
      </c>
      <c r="AG175" s="21" t="s">
        <v>313</v>
      </c>
      <c r="AH175" s="21" t="s">
        <v>313</v>
      </c>
      <c r="AI175" s="21" t="s">
        <v>313</v>
      </c>
      <c r="AJ175" s="21" t="s">
        <v>313</v>
      </c>
      <c r="AK175" s="21" t="s">
        <v>313</v>
      </c>
      <c r="AL175" s="21" t="s">
        <v>313</v>
      </c>
      <c r="AM175" s="21" t="s">
        <v>313</v>
      </c>
      <c r="AN175" s="21" t="s">
        <v>313</v>
      </c>
      <c r="AO175" s="21" t="s">
        <v>313</v>
      </c>
      <c r="AP175" s="21" t="s">
        <v>313</v>
      </c>
      <c r="AQ175" s="21" t="s">
        <v>313</v>
      </c>
      <c r="AR175" s="21" t="s">
        <v>313</v>
      </c>
      <c r="AS175" s="21" t="s">
        <v>313</v>
      </c>
      <c r="AT175" s="21" t="s">
        <v>313</v>
      </c>
      <c r="AU175" s="21" t="s">
        <v>313</v>
      </c>
      <c r="AV175" s="21" t="s">
        <v>313</v>
      </c>
      <c r="AW175" s="21" t="s">
        <v>313</v>
      </c>
      <c r="AX175" s="21" t="s">
        <v>313</v>
      </c>
    </row>
    <row r="176" spans="1:50" x14ac:dyDescent="0.3">
      <c r="A176" s="28" t="s">
        <v>282</v>
      </c>
      <c r="B176" s="29" t="str">
        <f>IFERROR(VLOOKUP(A176,'[1]JL EXE ACTIVE FTE List'!$G:$N,8,FALSE),IF(ISNA(VLOOKUP(A176,'[1]JL EXE LEAVER List'!$G:$I,3,FALSE)),"Query","Leaver"))</f>
        <v>ATV</v>
      </c>
      <c r="C176" s="29" t="s">
        <v>369</v>
      </c>
      <c r="D176" s="39" t="s">
        <v>370</v>
      </c>
      <c r="E176" s="40">
        <f>IFERROR(IFERROR(VLOOKUP(A176,'[1]JL EXE ACTIVE FTE List'!$G:$O,9,FALSE),VLOOKUP(A176,'[1]JL EXE LEAVER List'!$G:$O,9,FALSE)),"?QUERY?")</f>
        <v>43060</v>
      </c>
      <c r="F176" s="21" t="s">
        <v>338</v>
      </c>
      <c r="G176" s="21" t="s">
        <v>338</v>
      </c>
      <c r="H176" s="21" t="s">
        <v>338</v>
      </c>
      <c r="I176" s="21" t="s">
        <v>313</v>
      </c>
      <c r="J176" s="21" t="s">
        <v>313</v>
      </c>
      <c r="K176" s="21" t="s">
        <v>313</v>
      </c>
      <c r="L176" s="21" t="s">
        <v>313</v>
      </c>
      <c r="M176" s="21" t="s">
        <v>313</v>
      </c>
      <c r="N176" s="21" t="s">
        <v>313</v>
      </c>
      <c r="O176" s="21" t="s">
        <v>313</v>
      </c>
      <c r="P176" s="21" t="s">
        <v>313</v>
      </c>
      <c r="Q176" s="21" t="s">
        <v>313</v>
      </c>
      <c r="R176" s="21" t="s">
        <v>313</v>
      </c>
      <c r="S176" s="21" t="s">
        <v>313</v>
      </c>
      <c r="T176" s="21" t="s">
        <v>313</v>
      </c>
      <c r="U176" s="21" t="s">
        <v>313</v>
      </c>
      <c r="V176" s="21" t="s">
        <v>313</v>
      </c>
      <c r="W176" s="21" t="s">
        <v>313</v>
      </c>
      <c r="X176" s="21" t="s">
        <v>313</v>
      </c>
      <c r="Y176" s="21" t="s">
        <v>313</v>
      </c>
      <c r="Z176" s="21" t="s">
        <v>313</v>
      </c>
      <c r="AA176" s="21" t="s">
        <v>313</v>
      </c>
      <c r="AB176" s="21" t="s">
        <v>313</v>
      </c>
      <c r="AC176" s="21" t="s">
        <v>313</v>
      </c>
      <c r="AD176" s="21" t="s">
        <v>313</v>
      </c>
      <c r="AE176" s="21" t="s">
        <v>313</v>
      </c>
      <c r="AF176" s="21" t="s">
        <v>313</v>
      </c>
      <c r="AG176" s="21" t="s">
        <v>313</v>
      </c>
      <c r="AH176" s="21" t="s">
        <v>313</v>
      </c>
      <c r="AI176" s="21" t="s">
        <v>313</v>
      </c>
      <c r="AJ176" s="21" t="s">
        <v>313</v>
      </c>
      <c r="AK176" s="21" t="s">
        <v>313</v>
      </c>
      <c r="AL176" s="21" t="s">
        <v>313</v>
      </c>
      <c r="AM176" s="21" t="s">
        <v>313</v>
      </c>
      <c r="AN176" s="21" t="s">
        <v>313</v>
      </c>
      <c r="AO176" s="21" t="s">
        <v>313</v>
      </c>
      <c r="AP176" s="21" t="s">
        <v>313</v>
      </c>
      <c r="AQ176" s="21" t="s">
        <v>313</v>
      </c>
      <c r="AR176" s="21" t="s">
        <v>313</v>
      </c>
      <c r="AS176" s="21" t="s">
        <v>313</v>
      </c>
      <c r="AT176" s="21" t="s">
        <v>313</v>
      </c>
      <c r="AU176" s="21" t="s">
        <v>313</v>
      </c>
      <c r="AV176" s="21" t="s">
        <v>313</v>
      </c>
      <c r="AW176" s="21" t="s">
        <v>313</v>
      </c>
      <c r="AX176" s="21" t="s">
        <v>313</v>
      </c>
    </row>
    <row r="177" spans="1:50" ht="15" customHeight="1" x14ac:dyDescent="0.3">
      <c r="A177" s="28" t="s">
        <v>267</v>
      </c>
      <c r="B177" s="29" t="str">
        <f>IFERROR(VLOOKUP(A177,'[1]JL EXE ACTIVE FTE List'!$G:$N,8,FALSE),IF(ISNA(VLOOKUP(A177,'[1]JL EXE LEAVER List'!$G:$I,3,FALSE)),"Query","Leaver"))</f>
        <v>LE</v>
      </c>
      <c r="C177" s="29" t="str">
        <f>IFERROR(VLOOKUP(A177,'[1]JL EXE ACTIVE FTE List'!$G:$R,12,FALSE),IF(ISNA(VLOOKUP(A177,'[1]JL EXE LEAVER List'!$G:$I,3,FALSE)),"?QUERY?","Leaver"))</f>
        <v>DevBay</v>
      </c>
      <c r="D177" s="39" t="str">
        <f>IFERROR(IFERROR(VLOOKUP(A177,'[1]JL EXE ACTIVE FTE List'!$G:$H,2,FALSE),VLOOKUP(A177,'[1]JL EXE LEAVER List'!$G:$H,2,FALSE)),"?QUERY?")</f>
        <v>Joda Pow</v>
      </c>
      <c r="E177" s="40">
        <f>IFERROR(IFERROR(VLOOKUP(A177,'[1]JL EXE ACTIVE FTE List'!$G:$O,9,FALSE),VLOOKUP(A177,'[1]JL EXE LEAVER List'!$G:$O,9,FALSE)),"?QUERY?")</f>
        <v>43059</v>
      </c>
      <c r="F177" s="21" t="s">
        <v>338</v>
      </c>
      <c r="G177" s="21" t="s">
        <v>338</v>
      </c>
      <c r="H177" s="21" t="s">
        <v>338</v>
      </c>
      <c r="I177" s="21" t="s">
        <v>313</v>
      </c>
      <c r="J177" s="21" t="s">
        <v>313</v>
      </c>
      <c r="K177" s="21" t="s">
        <v>313</v>
      </c>
      <c r="L177" s="21" t="s">
        <v>313</v>
      </c>
      <c r="M177" s="21" t="s">
        <v>313</v>
      </c>
      <c r="N177" s="21" t="s">
        <v>313</v>
      </c>
      <c r="O177" s="21" t="s">
        <v>313</v>
      </c>
      <c r="P177" s="21" t="s">
        <v>313</v>
      </c>
      <c r="Q177" s="21" t="s">
        <v>313</v>
      </c>
      <c r="R177" s="21" t="s">
        <v>313</v>
      </c>
      <c r="S177" s="21" t="s">
        <v>313</v>
      </c>
      <c r="T177" s="21" t="s">
        <v>313</v>
      </c>
      <c r="U177" s="21" t="s">
        <v>313</v>
      </c>
      <c r="V177" s="21" t="s">
        <v>313</v>
      </c>
      <c r="W177" s="21" t="s">
        <v>313</v>
      </c>
      <c r="X177" s="21" t="s">
        <v>313</v>
      </c>
      <c r="Y177" s="21" t="s">
        <v>313</v>
      </c>
      <c r="Z177" s="21" t="s">
        <v>313</v>
      </c>
      <c r="AA177" s="21" t="s">
        <v>313</v>
      </c>
      <c r="AB177" s="21" t="s">
        <v>313</v>
      </c>
      <c r="AC177" s="21" t="s">
        <v>313</v>
      </c>
      <c r="AD177" s="21" t="s">
        <v>313</v>
      </c>
      <c r="AE177" s="21" t="s">
        <v>313</v>
      </c>
      <c r="AF177" s="21" t="s">
        <v>313</v>
      </c>
      <c r="AG177" s="21" t="s">
        <v>313</v>
      </c>
      <c r="AH177" s="21" t="s">
        <v>313</v>
      </c>
      <c r="AI177" s="21" t="s">
        <v>313</v>
      </c>
      <c r="AJ177" s="21" t="s">
        <v>313</v>
      </c>
      <c r="AK177" s="21" t="s">
        <v>313</v>
      </c>
      <c r="AL177" s="21" t="s">
        <v>313</v>
      </c>
      <c r="AM177" s="21" t="s">
        <v>313</v>
      </c>
      <c r="AN177" s="21" t="s">
        <v>313</v>
      </c>
      <c r="AO177" s="21" t="s">
        <v>313</v>
      </c>
      <c r="AP177" s="21" t="s">
        <v>313</v>
      </c>
      <c r="AQ177" s="21" t="s">
        <v>313</v>
      </c>
      <c r="AR177" s="21" t="s">
        <v>313</v>
      </c>
      <c r="AS177" s="21" t="s">
        <v>313</v>
      </c>
      <c r="AT177" s="21" t="s">
        <v>313</v>
      </c>
      <c r="AU177" s="21" t="s">
        <v>313</v>
      </c>
      <c r="AV177" s="21" t="s">
        <v>313</v>
      </c>
      <c r="AW177" s="21" t="s">
        <v>313</v>
      </c>
      <c r="AX177" s="21" t="s">
        <v>313</v>
      </c>
    </row>
    <row r="178" spans="1:50" ht="15" customHeight="1" x14ac:dyDescent="0.3">
      <c r="A178" s="28" t="s">
        <v>268</v>
      </c>
      <c r="B178" s="29" t="str">
        <f>IFERROR(VLOOKUP(A178,'[1]JL EXE ACTIVE FTE List'!$G:$N,8,FALSE),IF(ISNA(VLOOKUP(A178,'[1]JL EXE LEAVER List'!$G:$I,3,FALSE)),"Query","Leaver"))</f>
        <v>LE</v>
      </c>
      <c r="C178" s="29" t="str">
        <f>IFERROR(VLOOKUP(A178,'[1]JL EXE ACTIVE FTE List'!$G:$R,12,FALSE),IF(ISNA(VLOOKUP(A178,'[1]JL EXE LEAVER List'!$G:$I,3,FALSE)),"?QUERY?","Leaver"))</f>
        <v>DevBay</v>
      </c>
      <c r="D178" s="39" t="str">
        <f>IFERROR(IFERROR(VLOOKUP(A178,'[1]JL EXE ACTIVE FTE List'!$G:$H,2,FALSE),VLOOKUP(A178,'[1]JL EXE LEAVER List'!$G:$H,2,FALSE)),"?QUERY?")</f>
        <v>Joda Pow</v>
      </c>
      <c r="E178" s="40">
        <f>IFERROR(IFERROR(VLOOKUP(A178,'[1]JL EXE ACTIVE FTE List'!$G:$O,9,FALSE),VLOOKUP(A178,'[1]JL EXE LEAVER List'!$G:$O,9,FALSE)),"?QUERY?")</f>
        <v>43059</v>
      </c>
      <c r="F178" s="21" t="s">
        <v>338</v>
      </c>
      <c r="G178" s="21" t="s">
        <v>338</v>
      </c>
      <c r="H178" s="21" t="s">
        <v>338</v>
      </c>
      <c r="I178" s="21" t="s">
        <v>313</v>
      </c>
      <c r="J178" s="21" t="s">
        <v>313</v>
      </c>
      <c r="K178" s="21" t="s">
        <v>313</v>
      </c>
      <c r="L178" s="21" t="s">
        <v>313</v>
      </c>
      <c r="M178" s="21" t="s">
        <v>313</v>
      </c>
      <c r="N178" s="21" t="s">
        <v>313</v>
      </c>
      <c r="O178" s="21" t="s">
        <v>313</v>
      </c>
      <c r="P178" s="21" t="s">
        <v>313</v>
      </c>
      <c r="Q178" s="21" t="s">
        <v>313</v>
      </c>
      <c r="R178" s="21" t="s">
        <v>313</v>
      </c>
      <c r="S178" s="21" t="s">
        <v>313</v>
      </c>
      <c r="T178" s="21" t="s">
        <v>313</v>
      </c>
      <c r="U178" s="21" t="s">
        <v>313</v>
      </c>
      <c r="V178" s="21" t="s">
        <v>313</v>
      </c>
      <c r="W178" s="21" t="s">
        <v>313</v>
      </c>
      <c r="X178" s="21" t="s">
        <v>313</v>
      </c>
      <c r="Y178" s="21" t="s">
        <v>313</v>
      </c>
      <c r="Z178" s="21" t="s">
        <v>313</v>
      </c>
      <c r="AA178" s="21" t="s">
        <v>313</v>
      </c>
      <c r="AB178" s="21" t="s">
        <v>313</v>
      </c>
      <c r="AC178" s="21" t="s">
        <v>313</v>
      </c>
      <c r="AD178" s="21" t="s">
        <v>313</v>
      </c>
      <c r="AE178" s="21" t="s">
        <v>313</v>
      </c>
      <c r="AF178" s="21" t="s">
        <v>313</v>
      </c>
      <c r="AG178" s="21" t="s">
        <v>313</v>
      </c>
      <c r="AH178" s="21" t="s">
        <v>313</v>
      </c>
      <c r="AI178" s="21" t="s">
        <v>313</v>
      </c>
      <c r="AJ178" s="21" t="s">
        <v>313</v>
      </c>
      <c r="AK178" s="21" t="s">
        <v>313</v>
      </c>
      <c r="AL178" s="21" t="s">
        <v>313</v>
      </c>
      <c r="AM178" s="21" t="s">
        <v>313</v>
      </c>
      <c r="AN178" s="21" t="s">
        <v>313</v>
      </c>
      <c r="AO178" s="21" t="s">
        <v>313</v>
      </c>
      <c r="AP178" s="21" t="s">
        <v>313</v>
      </c>
      <c r="AQ178" s="21" t="s">
        <v>313</v>
      </c>
      <c r="AR178" s="21" t="s">
        <v>313</v>
      </c>
      <c r="AS178" s="21" t="s">
        <v>313</v>
      </c>
      <c r="AT178" s="21" t="s">
        <v>313</v>
      </c>
      <c r="AU178" s="21" t="s">
        <v>313</v>
      </c>
      <c r="AV178" s="21" t="s">
        <v>313</v>
      </c>
      <c r="AW178" s="21" t="s">
        <v>313</v>
      </c>
      <c r="AX178" s="21" t="s">
        <v>313</v>
      </c>
    </row>
    <row r="179" spans="1:50" ht="15" customHeight="1" x14ac:dyDescent="0.3">
      <c r="A179" s="28" t="s">
        <v>269</v>
      </c>
      <c r="B179" s="29" t="str">
        <f>IFERROR(VLOOKUP(A179,'[1]JL EXE ACTIVE FTE List'!$G:$N,8,FALSE),IF(ISNA(VLOOKUP(A179,'[1]JL EXE LEAVER List'!$G:$I,3,FALSE)),"Query","Leaver"))</f>
        <v>COM</v>
      </c>
      <c r="C179" s="29" t="str">
        <f>IFERROR(VLOOKUP(A179,'[1]JL EXE ACTIVE FTE List'!$G:$R,12,FALSE),IF(ISNA(VLOOKUP(A179,'[1]JL EXE LEAVER List'!$G:$I,3,FALSE)),"?QUERY?","Leaver"))</f>
        <v>DevBay</v>
      </c>
      <c r="D179" s="39" t="str">
        <f>IFERROR(IFERROR(VLOOKUP(A179,'[1]JL EXE ACTIVE FTE List'!$G:$H,2,FALSE),VLOOKUP(A179,'[1]JL EXE LEAVER List'!$G:$H,2,FALSE)),"?QUERY?")</f>
        <v>Joda Pow</v>
      </c>
      <c r="E179" s="40">
        <f>IFERROR(IFERROR(VLOOKUP(A179,'[1]JL EXE ACTIVE FTE List'!$G:$O,9,FALSE),VLOOKUP(A179,'[1]JL EXE LEAVER List'!$G:$O,9,FALSE)),"?QUERY?")</f>
        <v>43059</v>
      </c>
      <c r="F179" s="21" t="s">
        <v>338</v>
      </c>
      <c r="G179" s="21" t="s">
        <v>338</v>
      </c>
      <c r="H179" s="21" t="s">
        <v>338</v>
      </c>
      <c r="I179" s="21" t="s">
        <v>313</v>
      </c>
      <c r="J179" s="21" t="s">
        <v>313</v>
      </c>
      <c r="K179" s="21" t="s">
        <v>313</v>
      </c>
      <c r="L179" s="21" t="s">
        <v>313</v>
      </c>
      <c r="M179" s="21" t="s">
        <v>313</v>
      </c>
      <c r="N179" s="21" t="s">
        <v>313</v>
      </c>
      <c r="O179" s="21" t="s">
        <v>313</v>
      </c>
      <c r="P179" s="21" t="s">
        <v>313</v>
      </c>
      <c r="Q179" s="21" t="s">
        <v>313</v>
      </c>
      <c r="R179" s="21" t="s">
        <v>313</v>
      </c>
      <c r="S179" s="21" t="s">
        <v>313</v>
      </c>
      <c r="T179" s="21" t="s">
        <v>313</v>
      </c>
      <c r="U179" s="21" t="s">
        <v>313</v>
      </c>
      <c r="V179" s="21" t="s">
        <v>313</v>
      </c>
      <c r="W179" s="21" t="s">
        <v>313</v>
      </c>
      <c r="X179" s="21" t="s">
        <v>313</v>
      </c>
      <c r="Y179" s="21" t="s">
        <v>313</v>
      </c>
      <c r="Z179" s="21" t="s">
        <v>313</v>
      </c>
      <c r="AA179" s="21" t="s">
        <v>313</v>
      </c>
      <c r="AB179" s="21" t="s">
        <v>313</v>
      </c>
      <c r="AC179" s="21" t="s">
        <v>313</v>
      </c>
      <c r="AD179" s="21" t="s">
        <v>313</v>
      </c>
      <c r="AE179" s="21" t="s">
        <v>313</v>
      </c>
      <c r="AF179" s="21" t="s">
        <v>313</v>
      </c>
      <c r="AG179" s="21" t="s">
        <v>313</v>
      </c>
      <c r="AH179" s="21" t="s">
        <v>313</v>
      </c>
      <c r="AI179" s="21" t="s">
        <v>313</v>
      </c>
      <c r="AJ179" s="21" t="s">
        <v>313</v>
      </c>
      <c r="AK179" s="21" t="s">
        <v>313</v>
      </c>
      <c r="AL179" s="21" t="s">
        <v>313</v>
      </c>
      <c r="AM179" s="21" t="s">
        <v>313</v>
      </c>
      <c r="AN179" s="21" t="s">
        <v>313</v>
      </c>
      <c r="AO179" s="21" t="s">
        <v>313</v>
      </c>
      <c r="AP179" s="21" t="s">
        <v>313</v>
      </c>
      <c r="AQ179" s="21" t="s">
        <v>313</v>
      </c>
      <c r="AR179" s="21" t="s">
        <v>313</v>
      </c>
      <c r="AS179" s="21" t="s">
        <v>313</v>
      </c>
      <c r="AT179" s="21" t="s">
        <v>313</v>
      </c>
      <c r="AU179" s="21" t="s">
        <v>313</v>
      </c>
      <c r="AV179" s="21" t="s">
        <v>313</v>
      </c>
      <c r="AW179" s="21" t="s">
        <v>313</v>
      </c>
      <c r="AX179" s="21" t="s">
        <v>313</v>
      </c>
    </row>
    <row r="180" spans="1:50" x14ac:dyDescent="0.3">
      <c r="A180" s="28" t="s">
        <v>270</v>
      </c>
      <c r="B180" s="29" t="str">
        <f>IFERROR(VLOOKUP(A180,'[1]JL EXE ACTIVE FTE List'!$G:$N,8,FALSE),IF(ISNA(VLOOKUP(A180,'[1]JL EXE LEAVER List'!$G:$I,3,FALSE)),"Query","Leaver"))</f>
        <v>LE</v>
      </c>
      <c r="C180" s="29" t="str">
        <f>IFERROR(VLOOKUP(A180,'[1]JL EXE ACTIVE FTE List'!$G:$R,12,FALSE),IF(ISNA(VLOOKUP(A180,'[1]JL EXE LEAVER List'!$G:$I,3,FALSE)),"?QUERY?","Leaver"))</f>
        <v>DevBay</v>
      </c>
      <c r="D180" s="39" t="str">
        <f>IFERROR(IFERROR(VLOOKUP(A180,'[1]JL EXE ACTIVE FTE List'!$G:$H,2,FALSE),VLOOKUP(A180,'[1]JL EXE LEAVER List'!$G:$H,2,FALSE)),"?QUERY?")</f>
        <v>Joda Pow</v>
      </c>
      <c r="E180" s="40">
        <f>IFERROR(IFERROR(VLOOKUP(A180,'[1]JL EXE ACTIVE FTE List'!$G:$O,9,FALSE),VLOOKUP(A180,'[1]JL EXE LEAVER List'!$G:$O,9,FALSE)),"?QUERY?")</f>
        <v>43059</v>
      </c>
      <c r="F180" s="21" t="s">
        <v>338</v>
      </c>
      <c r="G180" s="21" t="s">
        <v>338</v>
      </c>
      <c r="H180" s="21" t="s">
        <v>338</v>
      </c>
      <c r="I180" s="21" t="s">
        <v>313</v>
      </c>
      <c r="J180" s="21" t="s">
        <v>313</v>
      </c>
      <c r="K180" s="21" t="s">
        <v>313</v>
      </c>
      <c r="L180" s="21" t="s">
        <v>313</v>
      </c>
      <c r="M180" s="21" t="s">
        <v>313</v>
      </c>
      <c r="N180" s="21" t="s">
        <v>313</v>
      </c>
      <c r="O180" s="21" t="s">
        <v>313</v>
      </c>
      <c r="P180" s="21" t="s">
        <v>313</v>
      </c>
      <c r="Q180" s="21" t="s">
        <v>313</v>
      </c>
      <c r="R180" s="21" t="s">
        <v>313</v>
      </c>
      <c r="S180" s="21" t="s">
        <v>313</v>
      </c>
      <c r="T180" s="21" t="s">
        <v>313</v>
      </c>
      <c r="U180" s="21" t="s">
        <v>313</v>
      </c>
      <c r="V180" s="21" t="s">
        <v>313</v>
      </c>
      <c r="W180" s="21" t="s">
        <v>313</v>
      </c>
      <c r="X180" s="21" t="s">
        <v>313</v>
      </c>
      <c r="Y180" s="21" t="s">
        <v>313</v>
      </c>
      <c r="Z180" s="21" t="s">
        <v>313</v>
      </c>
      <c r="AA180" s="21" t="s">
        <v>313</v>
      </c>
      <c r="AB180" s="21" t="s">
        <v>313</v>
      </c>
      <c r="AC180" s="21" t="s">
        <v>313</v>
      </c>
      <c r="AD180" s="21" t="s">
        <v>313</v>
      </c>
      <c r="AE180" s="21" t="s">
        <v>313</v>
      </c>
      <c r="AF180" s="21" t="s">
        <v>313</v>
      </c>
      <c r="AG180" s="21" t="s">
        <v>313</v>
      </c>
      <c r="AH180" s="21" t="s">
        <v>313</v>
      </c>
      <c r="AI180" s="21" t="s">
        <v>313</v>
      </c>
      <c r="AJ180" s="21" t="s">
        <v>313</v>
      </c>
      <c r="AK180" s="21" t="s">
        <v>313</v>
      </c>
      <c r="AL180" s="21" t="s">
        <v>313</v>
      </c>
      <c r="AM180" s="21" t="s">
        <v>313</v>
      </c>
      <c r="AN180" s="21" t="s">
        <v>313</v>
      </c>
      <c r="AO180" s="21" t="s">
        <v>313</v>
      </c>
      <c r="AP180" s="21" t="s">
        <v>313</v>
      </c>
      <c r="AQ180" s="21" t="s">
        <v>313</v>
      </c>
      <c r="AR180" s="21" t="s">
        <v>313</v>
      </c>
      <c r="AS180" s="21" t="s">
        <v>313</v>
      </c>
      <c r="AT180" s="21" t="s">
        <v>313</v>
      </c>
      <c r="AU180" s="21" t="s">
        <v>313</v>
      </c>
      <c r="AV180" s="21" t="s">
        <v>313</v>
      </c>
      <c r="AW180" s="21" t="s">
        <v>313</v>
      </c>
      <c r="AX180" s="21" t="s">
        <v>313</v>
      </c>
    </row>
    <row r="181" spans="1:50" hidden="1" x14ac:dyDescent="0.3">
      <c r="A181" s="28" t="s">
        <v>271</v>
      </c>
      <c r="B181" s="29" t="str">
        <f>IFERROR(VLOOKUP(A181,'[1]JL EXE ACTIVE FTE List'!$G:$N,8,FALSE),IF(ISNA(VLOOKUP(A181,'[1]JL EXE LEAVER List'!$G:$I,3,FALSE)),"Query","Leaver"))</f>
        <v>COM</v>
      </c>
      <c r="C181" s="29" t="str">
        <f>IFERROR(VLOOKUP(A181,'[1]JL EXE ACTIVE FTE List'!$G:$R,12,FALSE),IF(ISNA(VLOOKUP(A181,'[1]JL EXE LEAVER List'!$G:$I,3,FALSE)),"?QUERY?","Leaver"))</f>
        <v>DevBay</v>
      </c>
      <c r="D181" s="39" t="str">
        <f>IFERROR(IFERROR(VLOOKUP(A181,'[1]JL EXE ACTIVE FTE List'!$G:$H,2,FALSE),VLOOKUP(A181,'[1]JL EXE LEAVER List'!$G:$H,2,FALSE)),"?QUERY?")</f>
        <v>Joda Pow</v>
      </c>
      <c r="E181" s="40">
        <f>IFERROR(IFERROR(VLOOKUP(A181,'[1]JL EXE ACTIVE FTE List'!$G:$O,9,FALSE),VLOOKUP(A181,'[1]JL EXE LEAVER List'!$G:$O,9,FALSE)),"?QUERY?")</f>
        <v>43059</v>
      </c>
      <c r="F181" s="21" t="s">
        <v>338</v>
      </c>
      <c r="G181" s="21" t="s">
        <v>366</v>
      </c>
      <c r="H181" s="21" t="s">
        <v>366</v>
      </c>
      <c r="I181" s="21" t="s">
        <v>313</v>
      </c>
      <c r="J181" s="21" t="s">
        <v>313</v>
      </c>
      <c r="K181" s="21" t="s">
        <v>313</v>
      </c>
      <c r="L181" s="21" t="s">
        <v>313</v>
      </c>
      <c r="M181" s="21" t="s">
        <v>313</v>
      </c>
      <c r="N181" s="21" t="s">
        <v>313</v>
      </c>
      <c r="O181" s="21" t="s">
        <v>313</v>
      </c>
      <c r="P181" s="21" t="s">
        <v>313</v>
      </c>
      <c r="Q181" s="21" t="s">
        <v>313</v>
      </c>
      <c r="R181" s="21" t="s">
        <v>313</v>
      </c>
      <c r="S181" s="21" t="s">
        <v>313</v>
      </c>
      <c r="T181" s="21" t="s">
        <v>313</v>
      </c>
      <c r="U181" s="21" t="s">
        <v>313</v>
      </c>
      <c r="V181" s="21" t="s">
        <v>313</v>
      </c>
      <c r="W181" s="21" t="s">
        <v>313</v>
      </c>
      <c r="X181" s="21" t="s">
        <v>313</v>
      </c>
      <c r="Y181" s="21" t="s">
        <v>313</v>
      </c>
      <c r="Z181" s="21" t="s">
        <v>313</v>
      </c>
      <c r="AA181" s="21" t="s">
        <v>313</v>
      </c>
      <c r="AB181" s="21" t="s">
        <v>313</v>
      </c>
      <c r="AC181" s="21" t="s">
        <v>313</v>
      </c>
      <c r="AD181" s="21" t="s">
        <v>313</v>
      </c>
      <c r="AE181" s="21" t="s">
        <v>313</v>
      </c>
      <c r="AF181" s="21" t="s">
        <v>313</v>
      </c>
      <c r="AG181" s="21" t="s">
        <v>313</v>
      </c>
      <c r="AH181" s="21" t="s">
        <v>313</v>
      </c>
      <c r="AI181" s="21" t="s">
        <v>313</v>
      </c>
      <c r="AJ181" s="21" t="s">
        <v>313</v>
      </c>
      <c r="AK181" s="21" t="s">
        <v>313</v>
      </c>
      <c r="AL181" s="21" t="s">
        <v>313</v>
      </c>
      <c r="AM181" s="21" t="s">
        <v>313</v>
      </c>
      <c r="AN181" s="21" t="s">
        <v>313</v>
      </c>
      <c r="AO181" s="21" t="s">
        <v>313</v>
      </c>
      <c r="AP181" s="21" t="s">
        <v>313</v>
      </c>
      <c r="AQ181" s="21" t="s">
        <v>313</v>
      </c>
      <c r="AR181" s="21" t="s">
        <v>313</v>
      </c>
      <c r="AS181" s="21" t="s">
        <v>313</v>
      </c>
      <c r="AT181" s="21" t="s">
        <v>313</v>
      </c>
      <c r="AU181" s="21" t="s">
        <v>313</v>
      </c>
      <c r="AV181" s="21" t="s">
        <v>313</v>
      </c>
      <c r="AW181" s="21" t="s">
        <v>313</v>
      </c>
      <c r="AX181" s="21" t="s">
        <v>313</v>
      </c>
    </row>
    <row r="182" spans="1:50" ht="15" customHeight="1" x14ac:dyDescent="0.3">
      <c r="A182" s="28" t="s">
        <v>272</v>
      </c>
      <c r="B182" s="29" t="str">
        <f>IFERROR(VLOOKUP(A182,'[1]JL EXE ACTIVE FTE List'!$G:$N,8,FALSE),IF(ISNA(VLOOKUP(A182,'[1]JL EXE LEAVER List'!$G:$I,3,FALSE)),"Query","Leaver"))</f>
        <v>COM</v>
      </c>
      <c r="C182" s="29" t="str">
        <f>IFERROR(VLOOKUP(A182,'[1]JL EXE ACTIVE FTE List'!$G:$R,12,FALSE),IF(ISNA(VLOOKUP(A182,'[1]JL EXE LEAVER List'!$G:$I,3,FALSE)),"?QUERY?","Leaver"))</f>
        <v>DevBay</v>
      </c>
      <c r="D182" s="39" t="str">
        <f>IFERROR(IFERROR(VLOOKUP(A182,'[1]JL EXE ACTIVE FTE List'!$G:$H,2,FALSE),VLOOKUP(A182,'[1]JL EXE LEAVER List'!$G:$H,2,FALSE)),"?QUERY?")</f>
        <v>Joda Pow</v>
      </c>
      <c r="E182" s="40">
        <f>IFERROR(IFERROR(VLOOKUP(A182,'[1]JL EXE ACTIVE FTE List'!$G:$O,9,FALSE),VLOOKUP(A182,'[1]JL EXE LEAVER List'!$G:$O,9,FALSE)),"?QUERY?")</f>
        <v>43059</v>
      </c>
      <c r="F182" s="21" t="s">
        <v>338</v>
      </c>
      <c r="G182" s="21" t="s">
        <v>338</v>
      </c>
      <c r="H182" s="21" t="s">
        <v>338</v>
      </c>
      <c r="I182" s="21" t="s">
        <v>313</v>
      </c>
      <c r="J182" s="21" t="s">
        <v>313</v>
      </c>
      <c r="K182" s="21" t="s">
        <v>313</v>
      </c>
      <c r="L182" s="21" t="s">
        <v>313</v>
      </c>
      <c r="M182" s="21" t="s">
        <v>313</v>
      </c>
      <c r="N182" s="21" t="s">
        <v>313</v>
      </c>
      <c r="O182" s="21" t="s">
        <v>313</v>
      </c>
      <c r="P182" s="21" t="s">
        <v>313</v>
      </c>
      <c r="Q182" s="21" t="s">
        <v>313</v>
      </c>
      <c r="R182" s="21" t="s">
        <v>313</v>
      </c>
      <c r="S182" s="21" t="s">
        <v>313</v>
      </c>
      <c r="T182" s="21" t="s">
        <v>313</v>
      </c>
      <c r="U182" s="21" t="s">
        <v>313</v>
      </c>
      <c r="V182" s="21" t="s">
        <v>313</v>
      </c>
      <c r="W182" s="21" t="s">
        <v>313</v>
      </c>
      <c r="X182" s="21" t="s">
        <v>313</v>
      </c>
      <c r="Y182" s="21" t="s">
        <v>313</v>
      </c>
      <c r="Z182" s="21" t="s">
        <v>313</v>
      </c>
      <c r="AA182" s="21" t="s">
        <v>313</v>
      </c>
      <c r="AB182" s="21" t="s">
        <v>313</v>
      </c>
      <c r="AC182" s="21" t="s">
        <v>313</v>
      </c>
      <c r="AD182" s="21" t="s">
        <v>313</v>
      </c>
      <c r="AE182" s="21" t="s">
        <v>313</v>
      </c>
      <c r="AF182" s="21" t="s">
        <v>313</v>
      </c>
      <c r="AG182" s="21" t="s">
        <v>313</v>
      </c>
      <c r="AH182" s="21" t="s">
        <v>313</v>
      </c>
      <c r="AI182" s="21" t="s">
        <v>313</v>
      </c>
      <c r="AJ182" s="21" t="s">
        <v>313</v>
      </c>
      <c r="AK182" s="21" t="s">
        <v>313</v>
      </c>
      <c r="AL182" s="21" t="s">
        <v>313</v>
      </c>
      <c r="AM182" s="21" t="s">
        <v>313</v>
      </c>
      <c r="AN182" s="21" t="s">
        <v>313</v>
      </c>
      <c r="AO182" s="21" t="s">
        <v>313</v>
      </c>
      <c r="AP182" s="21" t="s">
        <v>313</v>
      </c>
      <c r="AQ182" s="21" t="s">
        <v>313</v>
      </c>
      <c r="AR182" s="21" t="s">
        <v>313</v>
      </c>
      <c r="AS182" s="21" t="s">
        <v>313</v>
      </c>
      <c r="AT182" s="21" t="s">
        <v>313</v>
      </c>
      <c r="AU182" s="21" t="s">
        <v>313</v>
      </c>
      <c r="AV182" s="21" t="s">
        <v>313</v>
      </c>
      <c r="AW182" s="21" t="s">
        <v>313</v>
      </c>
      <c r="AX182" s="21" t="s">
        <v>313</v>
      </c>
    </row>
    <row r="183" spans="1:50" ht="15" customHeight="1" x14ac:dyDescent="0.3">
      <c r="A183" s="28" t="s">
        <v>273</v>
      </c>
      <c r="B183" s="29" t="str">
        <f>IFERROR(VLOOKUP(A183,'[1]JL EXE ACTIVE FTE List'!$G:$N,8,FALSE),IF(ISNA(VLOOKUP(A183,'[1]JL EXE LEAVER List'!$G:$I,3,FALSE)),"Query","Leaver"))</f>
        <v>COM</v>
      </c>
      <c r="C183" s="29" t="str">
        <f>IFERROR(VLOOKUP(A183,'[1]JL EXE ACTIVE FTE List'!$G:$R,12,FALSE),IF(ISNA(VLOOKUP(A183,'[1]JL EXE LEAVER List'!$G:$I,3,FALSE)),"?QUERY?","Leaver"))</f>
        <v>DevBay</v>
      </c>
      <c r="D183" s="39" t="str">
        <f>IFERROR(IFERROR(VLOOKUP(A183,'[1]JL EXE ACTIVE FTE List'!$G:$H,2,FALSE),VLOOKUP(A183,'[1]JL EXE LEAVER List'!$G:$H,2,FALSE)),"?QUERY?")</f>
        <v>Joda Pow</v>
      </c>
      <c r="E183" s="40">
        <f>IFERROR(IFERROR(VLOOKUP(A183,'[1]JL EXE ACTIVE FTE List'!$G:$O,9,FALSE),VLOOKUP(A183,'[1]JL EXE LEAVER List'!$G:$O,9,FALSE)),"?QUERY?")</f>
        <v>43059</v>
      </c>
      <c r="F183" s="21" t="s">
        <v>338</v>
      </c>
      <c r="G183" s="21" t="s">
        <v>338</v>
      </c>
      <c r="H183" s="21" t="s">
        <v>338</v>
      </c>
      <c r="I183" s="21" t="s">
        <v>313</v>
      </c>
      <c r="J183" s="21" t="s">
        <v>313</v>
      </c>
      <c r="K183" s="21" t="s">
        <v>313</v>
      </c>
      <c r="L183" s="21" t="s">
        <v>313</v>
      </c>
      <c r="M183" s="21" t="s">
        <v>313</v>
      </c>
      <c r="N183" s="21" t="s">
        <v>313</v>
      </c>
      <c r="O183" s="21" t="s">
        <v>313</v>
      </c>
      <c r="P183" s="21" t="s">
        <v>313</v>
      </c>
      <c r="Q183" s="21" t="s">
        <v>313</v>
      </c>
      <c r="R183" s="21" t="s">
        <v>313</v>
      </c>
      <c r="S183" s="21" t="s">
        <v>313</v>
      </c>
      <c r="T183" s="21" t="s">
        <v>313</v>
      </c>
      <c r="U183" s="21" t="s">
        <v>313</v>
      </c>
      <c r="V183" s="21" t="s">
        <v>313</v>
      </c>
      <c r="W183" s="21" t="s">
        <v>313</v>
      </c>
      <c r="X183" s="21" t="s">
        <v>313</v>
      </c>
      <c r="Y183" s="21" t="s">
        <v>313</v>
      </c>
      <c r="Z183" s="21" t="s">
        <v>313</v>
      </c>
      <c r="AA183" s="21" t="s">
        <v>313</v>
      </c>
      <c r="AB183" s="21" t="s">
        <v>313</v>
      </c>
      <c r="AC183" s="21" t="s">
        <v>313</v>
      </c>
      <c r="AD183" s="21" t="s">
        <v>313</v>
      </c>
      <c r="AE183" s="21" t="s">
        <v>313</v>
      </c>
      <c r="AF183" s="21" t="s">
        <v>313</v>
      </c>
      <c r="AG183" s="21" t="s">
        <v>313</v>
      </c>
      <c r="AH183" s="21" t="s">
        <v>313</v>
      </c>
      <c r="AI183" s="21" t="s">
        <v>313</v>
      </c>
      <c r="AJ183" s="21" t="s">
        <v>313</v>
      </c>
      <c r="AK183" s="21" t="s">
        <v>313</v>
      </c>
      <c r="AL183" s="21" t="s">
        <v>313</v>
      </c>
      <c r="AM183" s="21" t="s">
        <v>313</v>
      </c>
      <c r="AN183" s="21" t="s">
        <v>313</v>
      </c>
      <c r="AO183" s="21" t="s">
        <v>313</v>
      </c>
      <c r="AP183" s="21" t="s">
        <v>313</v>
      </c>
      <c r="AQ183" s="21" t="s">
        <v>313</v>
      </c>
      <c r="AR183" s="21" t="s">
        <v>313</v>
      </c>
      <c r="AS183" s="21" t="s">
        <v>313</v>
      </c>
      <c r="AT183" s="21" t="s">
        <v>313</v>
      </c>
      <c r="AU183" s="21" t="s">
        <v>313</v>
      </c>
      <c r="AV183" s="21" t="s">
        <v>313</v>
      </c>
      <c r="AW183" s="21" t="s">
        <v>313</v>
      </c>
      <c r="AX183" s="21" t="s">
        <v>313</v>
      </c>
    </row>
    <row r="184" spans="1:50" hidden="1" x14ac:dyDescent="0.3">
      <c r="A184" s="28" t="s">
        <v>274</v>
      </c>
      <c r="B184" s="29" t="str">
        <f>IFERROR(VLOOKUP(A184,'[1]JL EXE ACTIVE FTE List'!$G:$N,8,FALSE),IF(ISNA(VLOOKUP(A184,'[1]JL EXE LEAVER List'!$G:$I,3,FALSE)),"Query","Leaver"))</f>
        <v>LE</v>
      </c>
      <c r="C184" s="29" t="str">
        <f>IFERROR(VLOOKUP(A184,'[1]JL EXE ACTIVE FTE List'!$G:$R,12,FALSE),IF(ISNA(VLOOKUP(A184,'[1]JL EXE LEAVER List'!$G:$I,3,FALSE)),"?QUERY?","Leaver"))</f>
        <v>DevBay</v>
      </c>
      <c r="D184" s="39" t="str">
        <f>IFERROR(IFERROR(VLOOKUP(A184,'[1]JL EXE ACTIVE FTE List'!$G:$H,2,FALSE),VLOOKUP(A184,'[1]JL EXE LEAVER List'!$G:$H,2,FALSE)),"?QUERY?")</f>
        <v>Joda Pow</v>
      </c>
      <c r="E184" s="40">
        <f>IFERROR(IFERROR(VLOOKUP(A184,'[1]JL EXE ACTIVE FTE List'!$G:$O,9,FALSE),VLOOKUP(A184,'[1]JL EXE LEAVER List'!$G:$O,9,FALSE)),"?QUERY?")</f>
        <v>43059</v>
      </c>
      <c r="F184" s="21" t="s">
        <v>366</v>
      </c>
      <c r="G184" s="21" t="s">
        <v>366</v>
      </c>
      <c r="H184" s="21" t="s">
        <v>366</v>
      </c>
      <c r="I184" s="21" t="s">
        <v>313</v>
      </c>
      <c r="J184" s="21" t="s">
        <v>313</v>
      </c>
      <c r="K184" s="21" t="s">
        <v>313</v>
      </c>
      <c r="L184" s="21" t="s">
        <v>313</v>
      </c>
      <c r="M184" s="21" t="s">
        <v>313</v>
      </c>
      <c r="N184" s="21" t="s">
        <v>313</v>
      </c>
      <c r="O184" s="21" t="s">
        <v>313</v>
      </c>
      <c r="P184" s="21" t="s">
        <v>313</v>
      </c>
      <c r="Q184" s="21" t="s">
        <v>313</v>
      </c>
      <c r="R184" s="21" t="s">
        <v>313</v>
      </c>
      <c r="S184" s="21" t="s">
        <v>313</v>
      </c>
      <c r="T184" s="21" t="s">
        <v>313</v>
      </c>
      <c r="U184" s="21" t="s">
        <v>313</v>
      </c>
      <c r="V184" s="21" t="s">
        <v>313</v>
      </c>
      <c r="W184" s="21" t="s">
        <v>313</v>
      </c>
      <c r="X184" s="21" t="s">
        <v>313</v>
      </c>
      <c r="Y184" s="21" t="s">
        <v>313</v>
      </c>
      <c r="Z184" s="21" t="s">
        <v>313</v>
      </c>
      <c r="AA184" s="21" t="s">
        <v>313</v>
      </c>
      <c r="AB184" s="21" t="s">
        <v>313</v>
      </c>
      <c r="AC184" s="21" t="s">
        <v>313</v>
      </c>
      <c r="AD184" s="21" t="s">
        <v>313</v>
      </c>
      <c r="AE184" s="21" t="s">
        <v>313</v>
      </c>
      <c r="AF184" s="21" t="s">
        <v>313</v>
      </c>
      <c r="AG184" s="21" t="s">
        <v>313</v>
      </c>
      <c r="AH184" s="21" t="s">
        <v>313</v>
      </c>
      <c r="AI184" s="21" t="s">
        <v>313</v>
      </c>
      <c r="AJ184" s="21" t="s">
        <v>313</v>
      </c>
      <c r="AK184" s="21" t="s">
        <v>313</v>
      </c>
      <c r="AL184" s="21" t="s">
        <v>313</v>
      </c>
      <c r="AM184" s="21" t="s">
        <v>313</v>
      </c>
      <c r="AN184" s="21" t="s">
        <v>313</v>
      </c>
      <c r="AO184" s="21" t="s">
        <v>313</v>
      </c>
      <c r="AP184" s="21" t="s">
        <v>313</v>
      </c>
      <c r="AQ184" s="21" t="s">
        <v>313</v>
      </c>
      <c r="AR184" s="21" t="s">
        <v>313</v>
      </c>
      <c r="AS184" s="21" t="s">
        <v>313</v>
      </c>
      <c r="AT184" s="21" t="s">
        <v>313</v>
      </c>
      <c r="AU184" s="21" t="s">
        <v>313</v>
      </c>
      <c r="AV184" s="21" t="s">
        <v>313</v>
      </c>
      <c r="AW184" s="21" t="s">
        <v>313</v>
      </c>
      <c r="AX184" s="21" t="s">
        <v>313</v>
      </c>
    </row>
    <row r="185" spans="1:50" x14ac:dyDescent="0.3">
      <c r="A185" s="28" t="s">
        <v>283</v>
      </c>
      <c r="B185" s="29" t="str">
        <f>IFERROR(VLOOKUP(A185,'[1]JL EXE ACTIVE FTE List'!$G:$N,8,FALSE),IF(ISNA(VLOOKUP(A185,'[1]JL EXE LEAVER List'!$G:$I,3,FALSE)),"Query","Leaver"))</f>
        <v>COM</v>
      </c>
      <c r="C185" s="29" t="str">
        <f>IFERROR(VLOOKUP(A185,'[1]JL EXE ACTIVE FTE List'!$G:$R,12,FALSE),IF(ISNA(VLOOKUP(A185,'[1]JL EXE LEAVER List'!$G:$I,3,FALSE)),"?QUERY?","Leaver"))</f>
        <v>DevBay</v>
      </c>
      <c r="D185" s="39" t="str">
        <f>IFERROR(IFERROR(VLOOKUP(A185,'[1]JL EXE ACTIVE FTE List'!$G:$H,2,FALSE),VLOOKUP(A185,'[1]JL EXE LEAVER List'!$G:$H,2,FALSE)),"?QUERY?")</f>
        <v>Joda Pow</v>
      </c>
      <c r="E185" s="40">
        <f>IFERROR(IFERROR(VLOOKUP(A185,'[1]JL EXE ACTIVE FTE List'!$G:$O,9,FALSE),VLOOKUP(A185,'[1]JL EXE LEAVER List'!$G:$O,9,FALSE)),"?QUERY?")</f>
        <v>43060</v>
      </c>
      <c r="F185" s="21" t="s">
        <v>338</v>
      </c>
      <c r="G185" s="21" t="s">
        <v>338</v>
      </c>
      <c r="H185" s="21" t="s">
        <v>338</v>
      </c>
      <c r="I185" s="21" t="s">
        <v>313</v>
      </c>
      <c r="J185" s="21" t="s">
        <v>313</v>
      </c>
      <c r="K185" s="21" t="s">
        <v>313</v>
      </c>
      <c r="L185" s="21" t="s">
        <v>313</v>
      </c>
      <c r="M185" s="21" t="s">
        <v>313</v>
      </c>
      <c r="N185" s="21" t="s">
        <v>313</v>
      </c>
      <c r="O185" s="21" t="s">
        <v>313</v>
      </c>
      <c r="P185" s="21" t="s">
        <v>313</v>
      </c>
      <c r="Q185" s="21" t="s">
        <v>313</v>
      </c>
      <c r="R185" s="21" t="s">
        <v>313</v>
      </c>
      <c r="S185" s="21" t="s">
        <v>313</v>
      </c>
      <c r="T185" s="21" t="s">
        <v>313</v>
      </c>
      <c r="U185" s="21" t="s">
        <v>313</v>
      </c>
      <c r="V185" s="21" t="s">
        <v>313</v>
      </c>
      <c r="W185" s="21" t="s">
        <v>313</v>
      </c>
      <c r="X185" s="21" t="s">
        <v>313</v>
      </c>
      <c r="Y185" s="21" t="s">
        <v>313</v>
      </c>
      <c r="Z185" s="21" t="s">
        <v>313</v>
      </c>
      <c r="AA185" s="21" t="s">
        <v>313</v>
      </c>
      <c r="AB185" s="21" t="s">
        <v>313</v>
      </c>
      <c r="AC185" s="21" t="s">
        <v>313</v>
      </c>
      <c r="AD185" s="21" t="s">
        <v>313</v>
      </c>
      <c r="AE185" s="21" t="s">
        <v>313</v>
      </c>
      <c r="AF185" s="21" t="s">
        <v>313</v>
      </c>
      <c r="AG185" s="21" t="s">
        <v>313</v>
      </c>
      <c r="AH185" s="21" t="s">
        <v>313</v>
      </c>
      <c r="AI185" s="21" t="s">
        <v>313</v>
      </c>
      <c r="AJ185" s="21" t="s">
        <v>313</v>
      </c>
      <c r="AK185" s="21" t="s">
        <v>313</v>
      </c>
      <c r="AL185" s="21" t="s">
        <v>313</v>
      </c>
      <c r="AM185" s="21" t="s">
        <v>313</v>
      </c>
      <c r="AN185" s="21" t="s">
        <v>313</v>
      </c>
      <c r="AO185" s="21" t="s">
        <v>313</v>
      </c>
      <c r="AP185" s="21" t="s">
        <v>313</v>
      </c>
      <c r="AQ185" s="21" t="s">
        <v>313</v>
      </c>
      <c r="AR185" s="21" t="s">
        <v>313</v>
      </c>
      <c r="AS185" s="21" t="s">
        <v>313</v>
      </c>
      <c r="AT185" s="21" t="s">
        <v>313</v>
      </c>
      <c r="AU185" s="21" t="s">
        <v>313</v>
      </c>
      <c r="AV185" s="21" t="s">
        <v>313</v>
      </c>
      <c r="AW185" s="21" t="s">
        <v>313</v>
      </c>
      <c r="AX185" s="21" t="s">
        <v>313</v>
      </c>
    </row>
    <row r="186" spans="1:50" x14ac:dyDescent="0.3">
      <c r="A186" s="30" t="s">
        <v>21</v>
      </c>
      <c r="B186" s="29" t="str">
        <f>IFERROR(VLOOKUP(A186,'[1]JL EXE ACTIVE FTE List'!$G:$N,8,FALSE),IF(ISNA(VLOOKUP(A186,'[1]JL EXE LEAVER List'!$G:$I,3,FALSE)),"Query","Leaver"))</f>
        <v>COM</v>
      </c>
      <c r="C186" s="29" t="str">
        <f>IFERROR(VLOOKUP(A186,'[1]JL EXE ACTIVE FTE List'!$G:$R,12,FALSE),IF(ISNA(VLOOKUP(A186,'[1]JL EXE LEAVER List'!$G:$I,3,FALSE)),"?QUERY?","Leaver"))</f>
        <v>ACTIVE</v>
      </c>
      <c r="D186" s="39" t="str">
        <f>IFERROR(IFERROR(VLOOKUP(A186,'[1]JL EXE ACTIVE FTE List'!$G:$H,2,FALSE),VLOOKUP(A186,'[1]JL EXE LEAVER List'!$G:$H,2,FALSE)),"?QUERY?")</f>
        <v>Mark Davies</v>
      </c>
      <c r="E186" s="40">
        <f>IFERROR(IFERROR(VLOOKUP(A186,'[1]JL EXE ACTIVE FTE List'!$G:$O,9,FALSE),VLOOKUP(A186,'[1]JL EXE LEAVER List'!$G:$O,9,FALSE)),"?QUERY?")</f>
        <v>43045</v>
      </c>
      <c r="F186" s="21" t="s">
        <v>338</v>
      </c>
      <c r="G186" s="21" t="s">
        <v>338</v>
      </c>
      <c r="H186" s="21" t="s">
        <v>335</v>
      </c>
      <c r="I186" s="21" t="s">
        <v>313</v>
      </c>
      <c r="J186" s="21" t="s">
        <v>313</v>
      </c>
      <c r="K186" s="21" t="s">
        <v>313</v>
      </c>
      <c r="L186" s="21" t="s">
        <v>313</v>
      </c>
      <c r="M186" s="21" t="s">
        <v>313</v>
      </c>
      <c r="N186" s="21" t="s">
        <v>313</v>
      </c>
      <c r="O186" s="21" t="s">
        <v>313</v>
      </c>
      <c r="P186" s="21" t="s">
        <v>313</v>
      </c>
      <c r="Q186" s="21" t="s">
        <v>313</v>
      </c>
      <c r="R186" s="21" t="s">
        <v>313</v>
      </c>
      <c r="S186" s="21" t="s">
        <v>313</v>
      </c>
      <c r="T186" s="21" t="s">
        <v>313</v>
      </c>
      <c r="U186" s="21" t="s">
        <v>313</v>
      </c>
      <c r="V186" s="21" t="s">
        <v>313</v>
      </c>
      <c r="W186" s="21" t="s">
        <v>313</v>
      </c>
      <c r="X186" s="21" t="s">
        <v>313</v>
      </c>
      <c r="Y186" s="21" t="s">
        <v>313</v>
      </c>
      <c r="Z186" s="21" t="s">
        <v>313</v>
      </c>
      <c r="AA186" s="21" t="s">
        <v>313</v>
      </c>
      <c r="AB186" s="21" t="s">
        <v>313</v>
      </c>
      <c r="AC186" s="21" t="s">
        <v>313</v>
      </c>
      <c r="AD186" s="21" t="s">
        <v>313</v>
      </c>
      <c r="AE186" s="21" t="s">
        <v>313</v>
      </c>
      <c r="AF186" s="21" t="s">
        <v>313</v>
      </c>
      <c r="AG186" s="21" t="s">
        <v>313</v>
      </c>
      <c r="AH186" s="21" t="s">
        <v>313</v>
      </c>
      <c r="AI186" s="21" t="s">
        <v>313</v>
      </c>
      <c r="AJ186" s="21" t="s">
        <v>313</v>
      </c>
      <c r="AK186" s="21" t="s">
        <v>313</v>
      </c>
      <c r="AL186" s="21" t="s">
        <v>313</v>
      </c>
      <c r="AM186" s="21" t="s">
        <v>313</v>
      </c>
      <c r="AN186" s="21" t="s">
        <v>313</v>
      </c>
      <c r="AO186" s="21" t="s">
        <v>313</v>
      </c>
      <c r="AP186" s="21" t="s">
        <v>313</v>
      </c>
      <c r="AQ186" s="21" t="s">
        <v>313</v>
      </c>
      <c r="AR186" s="21" t="s">
        <v>313</v>
      </c>
      <c r="AS186" s="21" t="s">
        <v>313</v>
      </c>
      <c r="AT186" s="21" t="s">
        <v>313</v>
      </c>
      <c r="AU186" s="21" t="s">
        <v>313</v>
      </c>
      <c r="AV186" s="21" t="s">
        <v>313</v>
      </c>
      <c r="AW186" s="21" t="s">
        <v>313</v>
      </c>
      <c r="AX186" s="21" t="s">
        <v>313</v>
      </c>
    </row>
    <row r="187" spans="1:50" x14ac:dyDescent="0.3">
      <c r="A187" s="30" t="s">
        <v>10</v>
      </c>
      <c r="B187" s="29" t="str">
        <f>IFERROR(VLOOKUP(A187,'[1]JL EXE ACTIVE FTE List'!$G:$N,8,FALSE),IF(ISNA(VLOOKUP(A187,'[1]JL EXE LEAVER List'!$G:$I,3,FALSE)),"Query","Leaver"))</f>
        <v>COM</v>
      </c>
      <c r="C187" s="29" t="str">
        <f>IFERROR(VLOOKUP(A187,'[1]JL EXE ACTIVE FTE List'!$G:$R,12,FALSE),IF(ISNA(VLOOKUP(A187,'[1]JL EXE LEAVER List'!$G:$I,3,FALSE)),"?QUERY?","Leaver"))</f>
        <v>ACTIVE</v>
      </c>
      <c r="D187" s="39" t="str">
        <f>IFERROR(IFERROR(VLOOKUP(A187,'[1]JL EXE ACTIVE FTE List'!$G:$H,2,FALSE),VLOOKUP(A187,'[1]JL EXE LEAVER List'!$G:$H,2,FALSE)),"?QUERY?")</f>
        <v>Mark Davies</v>
      </c>
      <c r="E187" s="40">
        <f>IFERROR(IFERROR(VLOOKUP(A187,'[1]JL EXE ACTIVE FTE List'!$G:$O,9,FALSE),VLOOKUP(A187,'[1]JL EXE LEAVER List'!$G:$O,9,FALSE)),"?QUERY?")</f>
        <v>43038</v>
      </c>
      <c r="F187" s="21" t="s">
        <v>338</v>
      </c>
      <c r="G187" s="21" t="s">
        <v>338</v>
      </c>
      <c r="H187" s="21" t="s">
        <v>335</v>
      </c>
      <c r="I187" s="21" t="s">
        <v>313</v>
      </c>
      <c r="J187" s="21" t="s">
        <v>313</v>
      </c>
      <c r="K187" s="21" t="s">
        <v>313</v>
      </c>
      <c r="L187" s="21" t="s">
        <v>313</v>
      </c>
      <c r="M187" s="21" t="s">
        <v>313</v>
      </c>
      <c r="N187" s="21" t="s">
        <v>313</v>
      </c>
      <c r="O187" s="21" t="s">
        <v>313</v>
      </c>
      <c r="P187" s="21" t="s">
        <v>313</v>
      </c>
      <c r="Q187" s="21" t="s">
        <v>313</v>
      </c>
      <c r="R187" s="21" t="s">
        <v>313</v>
      </c>
      <c r="S187" s="21" t="s">
        <v>313</v>
      </c>
      <c r="T187" s="21" t="s">
        <v>313</v>
      </c>
      <c r="U187" s="21" t="s">
        <v>313</v>
      </c>
      <c r="V187" s="21" t="s">
        <v>313</v>
      </c>
      <c r="W187" s="21" t="s">
        <v>313</v>
      </c>
      <c r="X187" s="21" t="s">
        <v>313</v>
      </c>
      <c r="Y187" s="21" t="s">
        <v>313</v>
      </c>
      <c r="Z187" s="21" t="s">
        <v>313</v>
      </c>
      <c r="AA187" s="21" t="s">
        <v>313</v>
      </c>
      <c r="AB187" s="21" t="s">
        <v>313</v>
      </c>
      <c r="AC187" s="21" t="s">
        <v>313</v>
      </c>
      <c r="AD187" s="21" t="s">
        <v>313</v>
      </c>
      <c r="AE187" s="21" t="s">
        <v>313</v>
      </c>
      <c r="AF187" s="21" t="s">
        <v>313</v>
      </c>
      <c r="AG187" s="21" t="s">
        <v>313</v>
      </c>
      <c r="AH187" s="21" t="s">
        <v>313</v>
      </c>
      <c r="AI187" s="21" t="s">
        <v>313</v>
      </c>
      <c r="AJ187" s="21" t="s">
        <v>313</v>
      </c>
      <c r="AK187" s="21" t="s">
        <v>313</v>
      </c>
      <c r="AL187" s="21" t="s">
        <v>313</v>
      </c>
      <c r="AM187" s="21" t="s">
        <v>313</v>
      </c>
      <c r="AN187" s="21" t="s">
        <v>313</v>
      </c>
      <c r="AO187" s="21" t="s">
        <v>313</v>
      </c>
      <c r="AP187" s="21" t="s">
        <v>313</v>
      </c>
      <c r="AQ187" s="21" t="s">
        <v>313</v>
      </c>
      <c r="AR187" s="21" t="s">
        <v>313</v>
      </c>
      <c r="AS187" s="21" t="s">
        <v>313</v>
      </c>
      <c r="AT187" s="21" t="s">
        <v>313</v>
      </c>
      <c r="AU187" s="21" t="s">
        <v>313</v>
      </c>
      <c r="AV187" s="21" t="s">
        <v>313</v>
      </c>
      <c r="AW187" s="21" t="s">
        <v>313</v>
      </c>
      <c r="AX187" s="21" t="s">
        <v>313</v>
      </c>
    </row>
    <row r="188" spans="1:50" x14ac:dyDescent="0.3">
      <c r="A188" s="30" t="s">
        <v>87</v>
      </c>
      <c r="B188" s="29" t="str">
        <f>IFERROR(VLOOKUP(A188,'[1]JL EXE ACTIVE FTE List'!$G:$N,8,FALSE),IF(ISNA(VLOOKUP(A188,'[1]JL EXE LEAVER List'!$G:$I,3,FALSE)),"Query","Leaver"))</f>
        <v>COM</v>
      </c>
      <c r="C188" s="29" t="str">
        <f>IFERROR(VLOOKUP(A188,'[1]JL EXE ACTIVE FTE List'!$G:$R,12,FALSE),IF(ISNA(VLOOKUP(A188,'[1]JL EXE LEAVER List'!$G:$I,3,FALSE)),"?QUERY?","Leaver"))</f>
        <v>ACTIVE</v>
      </c>
      <c r="D188" s="39" t="str">
        <f>IFERROR(IFERROR(VLOOKUP(A188,'[1]JL EXE ACTIVE FTE List'!$G:$H,2,FALSE),VLOOKUP(A188,'[1]JL EXE LEAVER List'!$G:$H,2,FALSE)),"?QUERY?")</f>
        <v>Mark Davies</v>
      </c>
      <c r="E188" s="40">
        <f>IFERROR(IFERROR(VLOOKUP(A188,'[1]JL EXE ACTIVE FTE List'!$G:$O,9,FALSE),VLOOKUP(A188,'[1]JL EXE LEAVER List'!$G:$O,9,FALSE)),"?QUERY?")</f>
        <v>43024</v>
      </c>
      <c r="F188" s="21" t="s">
        <v>338</v>
      </c>
      <c r="G188" s="21" t="s">
        <v>338</v>
      </c>
      <c r="H188" s="21" t="s">
        <v>335</v>
      </c>
      <c r="I188" s="21" t="s">
        <v>313</v>
      </c>
      <c r="J188" s="21" t="s">
        <v>313</v>
      </c>
      <c r="K188" s="21" t="s">
        <v>313</v>
      </c>
      <c r="L188" s="21" t="s">
        <v>313</v>
      </c>
      <c r="M188" s="21" t="s">
        <v>313</v>
      </c>
      <c r="N188" s="21" t="s">
        <v>313</v>
      </c>
      <c r="O188" s="21" t="s">
        <v>313</v>
      </c>
      <c r="P188" s="21" t="s">
        <v>313</v>
      </c>
      <c r="Q188" s="21" t="s">
        <v>313</v>
      </c>
      <c r="R188" s="21" t="s">
        <v>313</v>
      </c>
      <c r="S188" s="21" t="s">
        <v>313</v>
      </c>
      <c r="T188" s="21" t="s">
        <v>313</v>
      </c>
      <c r="U188" s="21" t="s">
        <v>313</v>
      </c>
      <c r="V188" s="21" t="s">
        <v>313</v>
      </c>
      <c r="W188" s="21" t="s">
        <v>313</v>
      </c>
      <c r="X188" s="21" t="s">
        <v>313</v>
      </c>
      <c r="Y188" s="21" t="s">
        <v>313</v>
      </c>
      <c r="Z188" s="21" t="s">
        <v>313</v>
      </c>
      <c r="AA188" s="21" t="s">
        <v>313</v>
      </c>
      <c r="AB188" s="21" t="s">
        <v>313</v>
      </c>
      <c r="AC188" s="21" t="s">
        <v>313</v>
      </c>
      <c r="AD188" s="21" t="s">
        <v>313</v>
      </c>
      <c r="AE188" s="21" t="s">
        <v>313</v>
      </c>
      <c r="AF188" s="21" t="s">
        <v>313</v>
      </c>
      <c r="AG188" s="21" t="s">
        <v>313</v>
      </c>
      <c r="AH188" s="21" t="s">
        <v>313</v>
      </c>
      <c r="AI188" s="21" t="s">
        <v>313</v>
      </c>
      <c r="AJ188" s="21" t="s">
        <v>313</v>
      </c>
      <c r="AK188" s="21" t="s">
        <v>313</v>
      </c>
      <c r="AL188" s="21" t="s">
        <v>313</v>
      </c>
      <c r="AM188" s="21" t="s">
        <v>313</v>
      </c>
      <c r="AN188" s="21" t="s">
        <v>313</v>
      </c>
      <c r="AO188" s="21" t="s">
        <v>313</v>
      </c>
      <c r="AP188" s="21" t="s">
        <v>313</v>
      </c>
      <c r="AQ188" s="21" t="s">
        <v>313</v>
      </c>
      <c r="AR188" s="21" t="s">
        <v>313</v>
      </c>
      <c r="AS188" s="21" t="s">
        <v>313</v>
      </c>
      <c r="AT188" s="21" t="s">
        <v>313</v>
      </c>
      <c r="AU188" s="21" t="s">
        <v>313</v>
      </c>
      <c r="AV188" s="21" t="s">
        <v>313</v>
      </c>
      <c r="AW188" s="21" t="s">
        <v>313</v>
      </c>
      <c r="AX188" s="21" t="s">
        <v>313</v>
      </c>
    </row>
    <row r="189" spans="1:50" hidden="1" x14ac:dyDescent="0.3">
      <c r="A189" s="30" t="s">
        <v>131</v>
      </c>
      <c r="B189" s="29" t="str">
        <f>IFERROR(VLOOKUP(A189,'[1]JL EXE ACTIVE FTE List'!$G:$N,8,FALSE),IF(ISNA(VLOOKUP(A189,'[1]JL EXE LEAVER List'!$G:$I,3,FALSE)),"Query","Leaver"))</f>
        <v>Leaver</v>
      </c>
      <c r="C189" s="29" t="str">
        <f>IFERROR(VLOOKUP(A189,'[1]JL EXE ACTIVE FTE List'!$G:$R,12,FALSE),IF(ISNA(VLOOKUP(A189,'[1]JL EXE LEAVER List'!$G:$I,3,FALSE)),"?QUERY?","Leaver"))</f>
        <v>Leaver</v>
      </c>
      <c r="D189" s="39" t="str">
        <f>IFERROR(IFERROR(VLOOKUP(A189,'[1]JL EXE ACTIVE FTE List'!$G:$H,2,FALSE),VLOOKUP(A189,'[1]JL EXE LEAVER List'!$G:$H,2,FALSE)),"?QUERY?")</f>
        <v>Mark Davies</v>
      </c>
      <c r="E189" s="40">
        <f>IFERROR(IFERROR(VLOOKUP(A189,'[1]JL EXE ACTIVE FTE List'!$G:$O,9,FALSE),VLOOKUP(A189,'[1]JL EXE LEAVER List'!$G:$O,9,FALSE)),"?QUERY?")</f>
        <v>42528</v>
      </c>
      <c r="F189" s="21" t="s">
        <v>338</v>
      </c>
      <c r="G189" s="21" t="s">
        <v>338</v>
      </c>
      <c r="H189" s="21" t="s">
        <v>313</v>
      </c>
      <c r="I189" s="21" t="s">
        <v>313</v>
      </c>
      <c r="J189" s="21" t="s">
        <v>313</v>
      </c>
      <c r="K189" s="21" t="s">
        <v>313</v>
      </c>
      <c r="L189" s="21" t="s">
        <v>313</v>
      </c>
      <c r="M189" s="21" t="s">
        <v>313</v>
      </c>
      <c r="N189" s="21" t="s">
        <v>313</v>
      </c>
      <c r="O189" s="21" t="s">
        <v>313</v>
      </c>
      <c r="P189" s="21" t="s">
        <v>313</v>
      </c>
      <c r="Q189" s="21" t="s">
        <v>313</v>
      </c>
      <c r="R189" s="21" t="s">
        <v>313</v>
      </c>
      <c r="S189" s="21" t="s">
        <v>313</v>
      </c>
      <c r="T189" s="21" t="s">
        <v>313</v>
      </c>
      <c r="U189" s="21" t="s">
        <v>313</v>
      </c>
      <c r="V189" s="21" t="s">
        <v>313</v>
      </c>
      <c r="W189" s="21" t="s">
        <v>313</v>
      </c>
      <c r="X189" s="21" t="s">
        <v>313</v>
      </c>
      <c r="Y189" s="21" t="s">
        <v>313</v>
      </c>
      <c r="Z189" s="21" t="s">
        <v>313</v>
      </c>
      <c r="AA189" s="21" t="s">
        <v>313</v>
      </c>
      <c r="AB189" s="21" t="s">
        <v>313</v>
      </c>
      <c r="AC189" s="21" t="s">
        <v>313</v>
      </c>
      <c r="AD189" s="21" t="s">
        <v>313</v>
      </c>
      <c r="AE189" s="21" t="s">
        <v>313</v>
      </c>
      <c r="AF189" s="21" t="s">
        <v>313</v>
      </c>
      <c r="AG189" s="21" t="s">
        <v>313</v>
      </c>
      <c r="AH189" s="21" t="s">
        <v>313</v>
      </c>
      <c r="AI189" s="21" t="s">
        <v>313</v>
      </c>
      <c r="AJ189" s="21" t="s">
        <v>313</v>
      </c>
      <c r="AK189" s="21" t="s">
        <v>313</v>
      </c>
      <c r="AL189" s="21" t="s">
        <v>313</v>
      </c>
      <c r="AM189" s="21" t="s">
        <v>313</v>
      </c>
      <c r="AN189" s="21" t="s">
        <v>313</v>
      </c>
      <c r="AO189" s="21" t="s">
        <v>313</v>
      </c>
      <c r="AP189" s="21" t="s">
        <v>313</v>
      </c>
      <c r="AQ189" s="21" t="s">
        <v>313</v>
      </c>
      <c r="AR189" s="21" t="s">
        <v>313</v>
      </c>
      <c r="AS189" s="21" t="s">
        <v>313</v>
      </c>
      <c r="AT189" s="21" t="s">
        <v>313</v>
      </c>
      <c r="AU189" s="21" t="s">
        <v>313</v>
      </c>
      <c r="AV189" s="21" t="s">
        <v>313</v>
      </c>
      <c r="AW189" s="21" t="s">
        <v>313</v>
      </c>
      <c r="AX189" s="21" t="s">
        <v>313</v>
      </c>
    </row>
    <row r="190" spans="1:50" x14ac:dyDescent="0.3">
      <c r="A190" s="30" t="s">
        <v>89</v>
      </c>
      <c r="B190" s="29" t="str">
        <f>IFERROR(VLOOKUP(A190,'[1]JL EXE ACTIVE FTE List'!$G:$N,8,FALSE),IF(ISNA(VLOOKUP(A190,'[1]JL EXE LEAVER List'!$G:$I,3,FALSE)),"Query","Leaver"))</f>
        <v>COM</v>
      </c>
      <c r="C190" s="29" t="str">
        <f>IFERROR(VLOOKUP(A190,'[1]JL EXE ACTIVE FTE List'!$G:$R,12,FALSE),IF(ISNA(VLOOKUP(A190,'[1]JL EXE LEAVER List'!$G:$I,3,FALSE)),"?QUERY?","Leaver"))</f>
        <v>ACTIVE</v>
      </c>
      <c r="D190" s="39" t="str">
        <f>IFERROR(IFERROR(VLOOKUP(A190,'[1]JL EXE ACTIVE FTE List'!$G:$H,2,FALSE),VLOOKUP(A190,'[1]JL EXE LEAVER List'!$G:$H,2,FALSE)),"?QUERY?")</f>
        <v>Mark Davies</v>
      </c>
      <c r="E190" s="40">
        <f>IFERROR(IFERROR(VLOOKUP(A190,'[1]JL EXE ACTIVE FTE List'!$G:$O,9,FALSE),VLOOKUP(A190,'[1]JL EXE LEAVER List'!$G:$O,9,FALSE)),"?QUERY?")</f>
        <v>43024</v>
      </c>
      <c r="F190" s="21" t="s">
        <v>338</v>
      </c>
      <c r="G190" s="21" t="s">
        <v>338</v>
      </c>
      <c r="H190" s="21" t="s">
        <v>335</v>
      </c>
      <c r="I190" s="21" t="s">
        <v>313</v>
      </c>
      <c r="J190" s="21" t="s">
        <v>313</v>
      </c>
      <c r="K190" s="21" t="s">
        <v>313</v>
      </c>
      <c r="L190" s="21" t="s">
        <v>313</v>
      </c>
      <c r="M190" s="21" t="s">
        <v>313</v>
      </c>
      <c r="N190" s="21" t="s">
        <v>313</v>
      </c>
      <c r="O190" s="21" t="s">
        <v>313</v>
      </c>
      <c r="P190" s="21" t="s">
        <v>313</v>
      </c>
      <c r="Q190" s="21" t="s">
        <v>313</v>
      </c>
      <c r="R190" s="21" t="s">
        <v>313</v>
      </c>
      <c r="S190" s="21" t="s">
        <v>313</v>
      </c>
      <c r="T190" s="21" t="s">
        <v>313</v>
      </c>
      <c r="U190" s="21" t="s">
        <v>313</v>
      </c>
      <c r="V190" s="21" t="s">
        <v>313</v>
      </c>
      <c r="W190" s="21" t="s">
        <v>313</v>
      </c>
      <c r="X190" s="21" t="s">
        <v>313</v>
      </c>
      <c r="Y190" s="21" t="s">
        <v>313</v>
      </c>
      <c r="Z190" s="21" t="s">
        <v>313</v>
      </c>
      <c r="AA190" s="21" t="s">
        <v>313</v>
      </c>
      <c r="AB190" s="21" t="s">
        <v>313</v>
      </c>
      <c r="AC190" s="21" t="s">
        <v>313</v>
      </c>
      <c r="AD190" s="21" t="s">
        <v>313</v>
      </c>
      <c r="AE190" s="21" t="s">
        <v>313</v>
      </c>
      <c r="AF190" s="21" t="s">
        <v>313</v>
      </c>
      <c r="AG190" s="21" t="s">
        <v>313</v>
      </c>
      <c r="AH190" s="21" t="s">
        <v>313</v>
      </c>
      <c r="AI190" s="21" t="s">
        <v>313</v>
      </c>
      <c r="AJ190" s="21" t="s">
        <v>313</v>
      </c>
      <c r="AK190" s="21" t="s">
        <v>313</v>
      </c>
      <c r="AL190" s="21" t="s">
        <v>313</v>
      </c>
      <c r="AM190" s="21" t="s">
        <v>313</v>
      </c>
      <c r="AN190" s="21" t="s">
        <v>313</v>
      </c>
      <c r="AO190" s="21" t="s">
        <v>313</v>
      </c>
      <c r="AP190" s="21" t="s">
        <v>313</v>
      </c>
      <c r="AQ190" s="21" t="s">
        <v>313</v>
      </c>
      <c r="AR190" s="21" t="s">
        <v>313</v>
      </c>
      <c r="AS190" s="21" t="s">
        <v>313</v>
      </c>
      <c r="AT190" s="21" t="s">
        <v>313</v>
      </c>
      <c r="AU190" s="21" t="s">
        <v>313</v>
      </c>
      <c r="AV190" s="21" t="s">
        <v>313</v>
      </c>
      <c r="AW190" s="21" t="s">
        <v>313</v>
      </c>
      <c r="AX190" s="21" t="s">
        <v>313</v>
      </c>
    </row>
    <row r="191" spans="1:50" x14ac:dyDescent="0.3">
      <c r="A191" s="30" t="s">
        <v>243</v>
      </c>
      <c r="B191" s="29" t="str">
        <f>IFERROR(VLOOKUP(A191,'[1]JL EXE ACTIVE FTE List'!$G:$N,8,FALSE),IF(ISNA(VLOOKUP(A191,'[1]JL EXE LEAVER List'!$G:$I,3,FALSE)),"Query","Leaver"))</f>
        <v>COM</v>
      </c>
      <c r="C191" s="29" t="str">
        <f>IFERROR(VLOOKUP(A191,'[1]JL EXE ACTIVE FTE List'!$G:$R,12,FALSE),IF(ISNA(VLOOKUP(A191,'[1]JL EXE LEAVER List'!$G:$I,3,FALSE)),"?QUERY?","Leaver"))</f>
        <v>ACTIVE</v>
      </c>
      <c r="D191" s="39" t="str">
        <f>IFERROR(IFERROR(VLOOKUP(A191,'[1]JL EXE ACTIVE FTE List'!$G:$H,2,FALSE),VLOOKUP(A191,'[1]JL EXE LEAVER List'!$G:$H,2,FALSE)),"?QUERY?")</f>
        <v>Mark Davies</v>
      </c>
      <c r="E191" s="40">
        <f>IFERROR(IFERROR(VLOOKUP(A191,'[1]JL EXE ACTIVE FTE List'!$G:$O,9,FALSE),VLOOKUP(A191,'[1]JL EXE LEAVER List'!$G:$O,9,FALSE)),"?QUERY?")</f>
        <v>43038</v>
      </c>
      <c r="F191" s="21" t="s">
        <v>335</v>
      </c>
      <c r="G191" s="21" t="s">
        <v>338</v>
      </c>
      <c r="H191" s="21" t="s">
        <v>335</v>
      </c>
      <c r="I191" s="21" t="s">
        <v>313</v>
      </c>
      <c r="J191" s="21" t="s">
        <v>313</v>
      </c>
      <c r="K191" s="21" t="s">
        <v>313</v>
      </c>
      <c r="L191" s="21" t="s">
        <v>313</v>
      </c>
      <c r="M191" s="21" t="s">
        <v>313</v>
      </c>
      <c r="N191" s="21" t="s">
        <v>313</v>
      </c>
      <c r="O191" s="21" t="s">
        <v>313</v>
      </c>
      <c r="P191" s="21" t="s">
        <v>313</v>
      </c>
      <c r="Q191" s="21" t="s">
        <v>313</v>
      </c>
      <c r="R191" s="21" t="s">
        <v>313</v>
      </c>
      <c r="S191" s="21" t="s">
        <v>313</v>
      </c>
      <c r="T191" s="21" t="s">
        <v>313</v>
      </c>
      <c r="U191" s="21" t="s">
        <v>313</v>
      </c>
      <c r="V191" s="21" t="s">
        <v>313</v>
      </c>
      <c r="W191" s="21" t="s">
        <v>313</v>
      </c>
      <c r="X191" s="21" t="s">
        <v>313</v>
      </c>
      <c r="Y191" s="21" t="s">
        <v>313</v>
      </c>
      <c r="Z191" s="21" t="s">
        <v>313</v>
      </c>
      <c r="AA191" s="21" t="s">
        <v>313</v>
      </c>
      <c r="AB191" s="21" t="s">
        <v>313</v>
      </c>
      <c r="AC191" s="21" t="s">
        <v>313</v>
      </c>
      <c r="AD191" s="21" t="s">
        <v>313</v>
      </c>
      <c r="AE191" s="21" t="s">
        <v>313</v>
      </c>
      <c r="AF191" s="21" t="s">
        <v>313</v>
      </c>
      <c r="AG191" s="21" t="s">
        <v>313</v>
      </c>
      <c r="AH191" s="21" t="s">
        <v>313</v>
      </c>
      <c r="AI191" s="21" t="s">
        <v>313</v>
      </c>
      <c r="AJ191" s="21" t="s">
        <v>313</v>
      </c>
      <c r="AK191" s="21" t="s">
        <v>313</v>
      </c>
      <c r="AL191" s="21" t="s">
        <v>313</v>
      </c>
      <c r="AM191" s="21" t="s">
        <v>313</v>
      </c>
      <c r="AN191" s="21" t="s">
        <v>313</v>
      </c>
      <c r="AO191" s="21" t="s">
        <v>313</v>
      </c>
      <c r="AP191" s="21" t="s">
        <v>313</v>
      </c>
      <c r="AQ191" s="21" t="s">
        <v>313</v>
      </c>
      <c r="AR191" s="21" t="s">
        <v>313</v>
      </c>
      <c r="AS191" s="21" t="s">
        <v>313</v>
      </c>
      <c r="AT191" s="21" t="s">
        <v>313</v>
      </c>
      <c r="AU191" s="21" t="s">
        <v>313</v>
      </c>
      <c r="AV191" s="21" t="s">
        <v>313</v>
      </c>
      <c r="AW191" s="21" t="s">
        <v>313</v>
      </c>
      <c r="AX191" s="21" t="s">
        <v>313</v>
      </c>
    </row>
    <row r="192" spans="1:50" x14ac:dyDescent="0.3">
      <c r="A192" s="30" t="s">
        <v>123</v>
      </c>
      <c r="B192" s="29" t="str">
        <f>IFERROR(VLOOKUP(A192,'[1]JL EXE ACTIVE FTE List'!$G:$N,8,FALSE),IF(ISNA(VLOOKUP(A192,'[1]JL EXE LEAVER List'!$G:$I,3,FALSE)),"Query","Leaver"))</f>
        <v>COM</v>
      </c>
      <c r="C192" s="29" t="str">
        <f>IFERROR(VLOOKUP(A192,'[1]JL EXE ACTIVE FTE List'!$G:$R,12,FALSE),IF(ISNA(VLOOKUP(A192,'[1]JL EXE LEAVER List'!$G:$I,3,FALSE)),"?QUERY?","Leaver"))</f>
        <v>ACTIVE</v>
      </c>
      <c r="D192" s="39" t="str">
        <f>IFERROR(IFERROR(VLOOKUP(A192,'[1]JL EXE ACTIVE FTE List'!$G:$H,2,FALSE),VLOOKUP(A192,'[1]JL EXE LEAVER List'!$G:$H,2,FALSE)),"?QUERY?")</f>
        <v>Mark Davies</v>
      </c>
      <c r="E192" s="40">
        <f>IFERROR(IFERROR(VLOOKUP(A192,'[1]JL EXE ACTIVE FTE List'!$G:$O,9,FALSE),VLOOKUP(A192,'[1]JL EXE LEAVER List'!$G:$O,9,FALSE)),"?QUERY?")</f>
        <v>42982</v>
      </c>
      <c r="F192" s="21" t="s">
        <v>338</v>
      </c>
      <c r="G192" s="21" t="s">
        <v>338</v>
      </c>
      <c r="H192" s="21" t="s">
        <v>335</v>
      </c>
      <c r="I192" s="21" t="s">
        <v>313</v>
      </c>
      <c r="J192" s="21" t="s">
        <v>313</v>
      </c>
      <c r="K192" s="21" t="s">
        <v>313</v>
      </c>
      <c r="L192" s="21" t="s">
        <v>313</v>
      </c>
      <c r="M192" s="21" t="s">
        <v>313</v>
      </c>
      <c r="N192" s="21" t="s">
        <v>313</v>
      </c>
      <c r="O192" s="21" t="s">
        <v>313</v>
      </c>
      <c r="P192" s="21" t="s">
        <v>313</v>
      </c>
      <c r="Q192" s="21" t="s">
        <v>313</v>
      </c>
      <c r="R192" s="21" t="s">
        <v>313</v>
      </c>
      <c r="S192" s="21" t="s">
        <v>313</v>
      </c>
      <c r="T192" s="21" t="s">
        <v>313</v>
      </c>
      <c r="U192" s="21" t="s">
        <v>313</v>
      </c>
      <c r="V192" s="21" t="s">
        <v>313</v>
      </c>
      <c r="W192" s="21" t="s">
        <v>313</v>
      </c>
      <c r="X192" s="21" t="s">
        <v>313</v>
      </c>
      <c r="Y192" s="21" t="s">
        <v>313</v>
      </c>
      <c r="Z192" s="21" t="s">
        <v>313</v>
      </c>
      <c r="AA192" s="21" t="s">
        <v>313</v>
      </c>
      <c r="AB192" s="21" t="s">
        <v>313</v>
      </c>
      <c r="AC192" s="21" t="s">
        <v>313</v>
      </c>
      <c r="AD192" s="21" t="s">
        <v>313</v>
      </c>
      <c r="AE192" s="21" t="s">
        <v>313</v>
      </c>
      <c r="AF192" s="21" t="s">
        <v>313</v>
      </c>
      <c r="AG192" s="21" t="s">
        <v>313</v>
      </c>
      <c r="AH192" s="21" t="s">
        <v>313</v>
      </c>
      <c r="AI192" s="21" t="s">
        <v>313</v>
      </c>
      <c r="AJ192" s="21" t="s">
        <v>313</v>
      </c>
      <c r="AK192" s="21" t="s">
        <v>313</v>
      </c>
      <c r="AL192" s="21" t="s">
        <v>313</v>
      </c>
      <c r="AM192" s="21" t="s">
        <v>313</v>
      </c>
      <c r="AN192" s="21" t="s">
        <v>313</v>
      </c>
      <c r="AO192" s="21" t="s">
        <v>313</v>
      </c>
      <c r="AP192" s="21" t="s">
        <v>313</v>
      </c>
      <c r="AQ192" s="21" t="s">
        <v>313</v>
      </c>
      <c r="AR192" s="21" t="s">
        <v>313</v>
      </c>
      <c r="AS192" s="21" t="s">
        <v>313</v>
      </c>
      <c r="AT192" s="21" t="s">
        <v>313</v>
      </c>
      <c r="AU192" s="21" t="s">
        <v>313</v>
      </c>
      <c r="AV192" s="21" t="s">
        <v>313</v>
      </c>
      <c r="AW192" s="21" t="s">
        <v>313</v>
      </c>
      <c r="AX192" s="21" t="s">
        <v>313</v>
      </c>
    </row>
    <row r="193" spans="1:50" x14ac:dyDescent="0.3">
      <c r="A193" s="30" t="s">
        <v>126</v>
      </c>
      <c r="B193" s="29" t="str">
        <f>IFERROR(VLOOKUP(A193,'[1]JL EXE ACTIVE FTE List'!$G:$N,8,FALSE),IF(ISNA(VLOOKUP(A193,'[1]JL EXE LEAVER List'!$G:$I,3,FALSE)),"Query","Leaver"))</f>
        <v>COM</v>
      </c>
      <c r="C193" s="29" t="str">
        <f>IFERROR(VLOOKUP(A193,'[1]JL EXE ACTIVE FTE List'!$G:$R,12,FALSE),IF(ISNA(VLOOKUP(A193,'[1]JL EXE LEAVER List'!$G:$I,3,FALSE)),"?QUERY?","Leaver"))</f>
        <v>ACTIVE</v>
      </c>
      <c r="D193" s="39" t="str">
        <f>IFERROR(IFERROR(VLOOKUP(A193,'[1]JL EXE ACTIVE FTE List'!$G:$H,2,FALSE),VLOOKUP(A193,'[1]JL EXE LEAVER List'!$G:$H,2,FALSE)),"?QUERY?")</f>
        <v>Mark Davies</v>
      </c>
      <c r="E193" s="40">
        <f>IFERROR(IFERROR(VLOOKUP(A193,'[1]JL EXE ACTIVE FTE List'!$G:$O,9,FALSE),VLOOKUP(A193,'[1]JL EXE LEAVER List'!$G:$O,9,FALSE)),"?QUERY?")</f>
        <v>42912</v>
      </c>
      <c r="F193" s="21" t="s">
        <v>352</v>
      </c>
      <c r="G193" s="21" t="s">
        <v>338</v>
      </c>
      <c r="H193" s="21" t="s">
        <v>335</v>
      </c>
      <c r="I193" s="21" t="s">
        <v>313</v>
      </c>
      <c r="J193" s="21" t="s">
        <v>313</v>
      </c>
      <c r="K193" s="21" t="s">
        <v>313</v>
      </c>
      <c r="L193" s="21" t="s">
        <v>313</v>
      </c>
      <c r="M193" s="21" t="s">
        <v>313</v>
      </c>
      <c r="N193" s="21" t="s">
        <v>313</v>
      </c>
      <c r="O193" s="21" t="s">
        <v>313</v>
      </c>
      <c r="P193" s="21" t="s">
        <v>313</v>
      </c>
      <c r="Q193" s="21" t="s">
        <v>313</v>
      </c>
      <c r="R193" s="21" t="s">
        <v>313</v>
      </c>
      <c r="S193" s="21" t="s">
        <v>313</v>
      </c>
      <c r="T193" s="21" t="s">
        <v>313</v>
      </c>
      <c r="U193" s="21" t="s">
        <v>313</v>
      </c>
      <c r="V193" s="21" t="s">
        <v>313</v>
      </c>
      <c r="W193" s="21" t="s">
        <v>313</v>
      </c>
      <c r="X193" s="21" t="s">
        <v>313</v>
      </c>
      <c r="Y193" s="21" t="s">
        <v>313</v>
      </c>
      <c r="Z193" s="21" t="s">
        <v>313</v>
      </c>
      <c r="AA193" s="21" t="s">
        <v>313</v>
      </c>
      <c r="AB193" s="21" t="s">
        <v>313</v>
      </c>
      <c r="AC193" s="21" t="s">
        <v>313</v>
      </c>
      <c r="AD193" s="21" t="s">
        <v>313</v>
      </c>
      <c r="AE193" s="21" t="s">
        <v>313</v>
      </c>
      <c r="AF193" s="21" t="s">
        <v>313</v>
      </c>
      <c r="AG193" s="21" t="s">
        <v>313</v>
      </c>
      <c r="AH193" s="21" t="s">
        <v>313</v>
      </c>
      <c r="AI193" s="21" t="s">
        <v>313</v>
      </c>
      <c r="AJ193" s="21" t="s">
        <v>313</v>
      </c>
      <c r="AK193" s="21" t="s">
        <v>313</v>
      </c>
      <c r="AL193" s="21" t="s">
        <v>313</v>
      </c>
      <c r="AM193" s="21" t="s">
        <v>313</v>
      </c>
      <c r="AN193" s="21" t="s">
        <v>313</v>
      </c>
      <c r="AO193" s="21" t="s">
        <v>313</v>
      </c>
      <c r="AP193" s="21" t="s">
        <v>313</v>
      </c>
      <c r="AQ193" s="21" t="s">
        <v>313</v>
      </c>
      <c r="AR193" s="21" t="s">
        <v>313</v>
      </c>
      <c r="AS193" s="21" t="s">
        <v>313</v>
      </c>
      <c r="AT193" s="21" t="s">
        <v>313</v>
      </c>
      <c r="AU193" s="21" t="s">
        <v>313</v>
      </c>
      <c r="AV193" s="21" t="s">
        <v>313</v>
      </c>
      <c r="AW193" s="21" t="s">
        <v>313</v>
      </c>
      <c r="AX193" s="21" t="s">
        <v>313</v>
      </c>
    </row>
    <row r="194" spans="1:50" ht="15" customHeight="1" x14ac:dyDescent="0.3">
      <c r="A194" s="30" t="s">
        <v>125</v>
      </c>
      <c r="B194" s="29" t="str">
        <f>IFERROR(VLOOKUP(A194,'[1]JL EXE ACTIVE FTE List'!$G:$N,8,FALSE),IF(ISNA(VLOOKUP(A194,'[1]JL EXE LEAVER List'!$G:$I,3,FALSE)),"Query","Leaver"))</f>
        <v>COM</v>
      </c>
      <c r="C194" s="29" t="str">
        <f>IFERROR(VLOOKUP(A194,'[1]JL EXE ACTIVE FTE List'!$G:$R,12,FALSE),IF(ISNA(VLOOKUP(A194,'[1]JL EXE LEAVER List'!$G:$I,3,FALSE)),"?QUERY?","Leaver"))</f>
        <v>ACTIVE</v>
      </c>
      <c r="D194" s="39" t="str">
        <f>IFERROR(IFERROR(VLOOKUP(A194,'[1]JL EXE ACTIVE FTE List'!$G:$H,2,FALSE),VLOOKUP(A194,'[1]JL EXE LEAVER List'!$G:$H,2,FALSE)),"?QUERY?")</f>
        <v>Mark Davies</v>
      </c>
      <c r="E194" s="40">
        <f>IFERROR(IFERROR(VLOOKUP(A194,'[1]JL EXE ACTIVE FTE List'!$G:$O,9,FALSE),VLOOKUP(A194,'[1]JL EXE LEAVER List'!$G:$O,9,FALSE)),"?QUERY?")</f>
        <v>42866</v>
      </c>
      <c r="F194" s="21" t="s">
        <v>338</v>
      </c>
      <c r="G194" s="21" t="s">
        <v>338</v>
      </c>
      <c r="H194" s="21" t="s">
        <v>335</v>
      </c>
      <c r="I194" s="21" t="s">
        <v>313</v>
      </c>
      <c r="J194" s="21" t="s">
        <v>313</v>
      </c>
      <c r="K194" s="21" t="s">
        <v>313</v>
      </c>
      <c r="L194" s="21" t="s">
        <v>313</v>
      </c>
      <c r="M194" s="21" t="s">
        <v>313</v>
      </c>
      <c r="N194" s="21" t="s">
        <v>313</v>
      </c>
      <c r="O194" s="21" t="s">
        <v>313</v>
      </c>
      <c r="P194" s="21" t="s">
        <v>313</v>
      </c>
      <c r="Q194" s="21" t="s">
        <v>313</v>
      </c>
      <c r="R194" s="21" t="s">
        <v>313</v>
      </c>
      <c r="S194" s="21" t="s">
        <v>313</v>
      </c>
      <c r="T194" s="21" t="s">
        <v>313</v>
      </c>
      <c r="U194" s="21" t="s">
        <v>313</v>
      </c>
      <c r="V194" s="21" t="s">
        <v>313</v>
      </c>
      <c r="W194" s="21" t="s">
        <v>313</v>
      </c>
      <c r="X194" s="21" t="s">
        <v>313</v>
      </c>
      <c r="Y194" s="21" t="s">
        <v>313</v>
      </c>
      <c r="Z194" s="21" t="s">
        <v>313</v>
      </c>
      <c r="AA194" s="21" t="s">
        <v>313</v>
      </c>
      <c r="AB194" s="21" t="s">
        <v>313</v>
      </c>
      <c r="AC194" s="21" t="s">
        <v>313</v>
      </c>
      <c r="AD194" s="21" t="s">
        <v>313</v>
      </c>
      <c r="AE194" s="21" t="s">
        <v>313</v>
      </c>
      <c r="AF194" s="21" t="s">
        <v>313</v>
      </c>
      <c r="AG194" s="21" t="s">
        <v>313</v>
      </c>
      <c r="AH194" s="21" t="s">
        <v>313</v>
      </c>
      <c r="AI194" s="21" t="s">
        <v>313</v>
      </c>
      <c r="AJ194" s="21" t="s">
        <v>313</v>
      </c>
      <c r="AK194" s="21" t="s">
        <v>313</v>
      </c>
      <c r="AL194" s="21" t="s">
        <v>313</v>
      </c>
      <c r="AM194" s="21" t="s">
        <v>313</v>
      </c>
      <c r="AN194" s="21" t="s">
        <v>313</v>
      </c>
      <c r="AO194" s="21" t="s">
        <v>313</v>
      </c>
      <c r="AP194" s="21" t="s">
        <v>313</v>
      </c>
      <c r="AQ194" s="21" t="s">
        <v>313</v>
      </c>
      <c r="AR194" s="21" t="s">
        <v>313</v>
      </c>
      <c r="AS194" s="21" t="s">
        <v>313</v>
      </c>
      <c r="AT194" s="21" t="s">
        <v>313</v>
      </c>
      <c r="AU194" s="21" t="s">
        <v>313</v>
      </c>
      <c r="AV194" s="21" t="s">
        <v>313</v>
      </c>
      <c r="AW194" s="21" t="s">
        <v>313</v>
      </c>
      <c r="AX194" s="21" t="s">
        <v>313</v>
      </c>
    </row>
    <row r="195" spans="1:50" ht="15" hidden="1" customHeight="1" x14ac:dyDescent="0.3">
      <c r="A195" s="30" t="s">
        <v>42</v>
      </c>
      <c r="B195" s="29" t="str">
        <f>IFERROR(VLOOKUP(A195,'[1]JL EXE ACTIVE FTE List'!$G:$N,8,FALSE),IF(ISNA(VLOOKUP(A195,'[1]JL EXE LEAVER List'!$G:$I,3,FALSE)),"Query","Leaver"))</f>
        <v>Leaver</v>
      </c>
      <c r="C195" s="29" t="str">
        <f>IFERROR(VLOOKUP(A195,'[1]JL EXE ACTIVE FTE List'!$G:$R,12,FALSE),IF(ISNA(VLOOKUP(A195,'[1]JL EXE LEAVER List'!$G:$I,3,FALSE)),"?QUERY?","Leaver"))</f>
        <v>Leaver</v>
      </c>
      <c r="D195" s="39" t="str">
        <f>IFERROR(IFERROR(VLOOKUP(A195,'[1]JL EXE ACTIVE FTE List'!$G:$H,2,FALSE),VLOOKUP(A195,'[1]JL EXE LEAVER List'!$G:$H,2,FALSE)),"?QUERY?")</f>
        <v>Mark Elliott</v>
      </c>
      <c r="E195" s="40">
        <f>IFERROR(IFERROR(VLOOKUP(A195,'[1]JL EXE ACTIVE FTE List'!$G:$O,9,FALSE),VLOOKUP(A195,'[1]JL EXE LEAVER List'!$G:$O,9,FALSE)),"?QUERY?")</f>
        <v>42969</v>
      </c>
      <c r="F195" s="21" t="s">
        <v>338</v>
      </c>
      <c r="G195" s="21" t="s">
        <v>339</v>
      </c>
      <c r="H195" s="21" t="s">
        <v>313</v>
      </c>
      <c r="I195" s="21" t="s">
        <v>313</v>
      </c>
      <c r="J195" s="21" t="s">
        <v>313</v>
      </c>
      <c r="K195" s="21" t="s">
        <v>313</v>
      </c>
      <c r="L195" s="21" t="s">
        <v>313</v>
      </c>
      <c r="M195" s="21" t="s">
        <v>313</v>
      </c>
      <c r="N195" s="21" t="s">
        <v>313</v>
      </c>
      <c r="O195" s="21" t="s">
        <v>313</v>
      </c>
      <c r="P195" s="21" t="s">
        <v>313</v>
      </c>
      <c r="Q195" s="21" t="s">
        <v>313</v>
      </c>
      <c r="R195" s="21" t="s">
        <v>313</v>
      </c>
      <c r="S195" s="21" t="s">
        <v>313</v>
      </c>
      <c r="T195" s="21" t="s">
        <v>313</v>
      </c>
      <c r="U195" s="21" t="s">
        <v>313</v>
      </c>
      <c r="V195" s="21" t="s">
        <v>313</v>
      </c>
      <c r="W195" s="21" t="s">
        <v>313</v>
      </c>
      <c r="X195" s="21" t="s">
        <v>313</v>
      </c>
      <c r="Y195" s="21" t="s">
        <v>313</v>
      </c>
      <c r="Z195" s="21" t="s">
        <v>313</v>
      </c>
      <c r="AA195" s="21" t="s">
        <v>313</v>
      </c>
      <c r="AB195" s="21" t="s">
        <v>313</v>
      </c>
      <c r="AC195" s="21" t="s">
        <v>313</v>
      </c>
      <c r="AD195" s="21" t="s">
        <v>313</v>
      </c>
      <c r="AE195" s="21" t="s">
        <v>313</v>
      </c>
      <c r="AF195" s="21" t="s">
        <v>313</v>
      </c>
      <c r="AG195" s="21" t="s">
        <v>313</v>
      </c>
      <c r="AH195" s="21" t="s">
        <v>313</v>
      </c>
      <c r="AI195" s="21" t="s">
        <v>313</v>
      </c>
      <c r="AJ195" s="21" t="s">
        <v>313</v>
      </c>
      <c r="AK195" s="21" t="s">
        <v>313</v>
      </c>
      <c r="AL195" s="21" t="s">
        <v>313</v>
      </c>
      <c r="AM195" s="21" t="s">
        <v>313</v>
      </c>
      <c r="AN195" s="21" t="s">
        <v>313</v>
      </c>
      <c r="AO195" s="21" t="s">
        <v>313</v>
      </c>
      <c r="AP195" s="21" t="s">
        <v>313</v>
      </c>
      <c r="AQ195" s="21" t="s">
        <v>313</v>
      </c>
      <c r="AR195" s="21" t="s">
        <v>313</v>
      </c>
      <c r="AS195" s="21" t="s">
        <v>313</v>
      </c>
      <c r="AT195" s="21" t="s">
        <v>313</v>
      </c>
      <c r="AU195" s="21" t="s">
        <v>313</v>
      </c>
      <c r="AV195" s="21" t="s">
        <v>313</v>
      </c>
      <c r="AW195" s="21" t="s">
        <v>313</v>
      </c>
      <c r="AX195" s="21" t="s">
        <v>313</v>
      </c>
    </row>
    <row r="196" spans="1:50" hidden="1" x14ac:dyDescent="0.3">
      <c r="A196" s="30" t="s">
        <v>260</v>
      </c>
      <c r="B196" s="29" t="str">
        <f>IFERROR(VLOOKUP(A196,'[1]JL EXE ACTIVE FTE List'!$G:$N,8,FALSE),IF(ISNA(VLOOKUP(A196,'[1]JL EXE LEAVER List'!$G:$I,3,FALSE)),"Query","Leaver"))</f>
        <v>Leaver</v>
      </c>
      <c r="C196" s="29" t="str">
        <f>IFERROR(VLOOKUP(A196,'[1]JL EXE ACTIVE FTE List'!$G:$R,12,FALSE),IF(ISNA(VLOOKUP(A196,'[1]JL EXE LEAVER List'!$G:$I,3,FALSE)),"?QUERY?","Leaver"))</f>
        <v>Leaver</v>
      </c>
      <c r="D196" s="39" t="str">
        <f>IFERROR(IFERROR(VLOOKUP(A196,'[1]JL EXE ACTIVE FTE List'!$G:$H,2,FALSE),VLOOKUP(A196,'[1]JL EXE LEAVER List'!$G:$H,2,FALSE)),"?QUERY?")</f>
        <v>Michael Ennals</v>
      </c>
      <c r="E196" s="40">
        <f>IFERROR(IFERROR(VLOOKUP(A196,'[1]JL EXE ACTIVE FTE List'!$G:$O,9,FALSE),VLOOKUP(A196,'[1]JL EXE LEAVER List'!$G:$O,9,FALSE)),"?QUERY?")</f>
        <v>42863</v>
      </c>
      <c r="F196" s="21" t="s">
        <v>339</v>
      </c>
      <c r="G196" s="21" t="s">
        <v>313</v>
      </c>
      <c r="H196" s="21" t="s">
        <v>313</v>
      </c>
      <c r="I196" s="21" t="s">
        <v>313</v>
      </c>
      <c r="J196" s="21" t="s">
        <v>313</v>
      </c>
      <c r="K196" s="21" t="s">
        <v>313</v>
      </c>
      <c r="L196" s="21" t="s">
        <v>313</v>
      </c>
      <c r="M196" s="21" t="s">
        <v>313</v>
      </c>
      <c r="N196" s="21" t="s">
        <v>313</v>
      </c>
      <c r="O196" s="21" t="s">
        <v>313</v>
      </c>
      <c r="P196" s="21" t="s">
        <v>313</v>
      </c>
      <c r="Q196" s="21" t="s">
        <v>313</v>
      </c>
      <c r="R196" s="21" t="s">
        <v>313</v>
      </c>
      <c r="S196" s="21" t="s">
        <v>313</v>
      </c>
      <c r="T196" s="21" t="s">
        <v>313</v>
      </c>
      <c r="U196" s="21" t="s">
        <v>313</v>
      </c>
      <c r="V196" s="21" t="s">
        <v>313</v>
      </c>
      <c r="W196" s="21" t="s">
        <v>313</v>
      </c>
      <c r="X196" s="21" t="s">
        <v>313</v>
      </c>
      <c r="Y196" s="21" t="s">
        <v>313</v>
      </c>
      <c r="Z196" s="21" t="s">
        <v>313</v>
      </c>
      <c r="AA196" s="21" t="s">
        <v>313</v>
      </c>
      <c r="AB196" s="21" t="s">
        <v>313</v>
      </c>
      <c r="AC196" s="21" t="s">
        <v>313</v>
      </c>
      <c r="AD196" s="21" t="s">
        <v>313</v>
      </c>
      <c r="AE196" s="21" t="s">
        <v>313</v>
      </c>
      <c r="AF196" s="21" t="s">
        <v>313</v>
      </c>
      <c r="AG196" s="21" t="s">
        <v>313</v>
      </c>
      <c r="AH196" s="21" t="s">
        <v>313</v>
      </c>
      <c r="AI196" s="21" t="s">
        <v>313</v>
      </c>
      <c r="AJ196" s="21" t="s">
        <v>313</v>
      </c>
      <c r="AK196" s="21" t="s">
        <v>313</v>
      </c>
      <c r="AL196" s="21" t="s">
        <v>313</v>
      </c>
      <c r="AM196" s="21" t="s">
        <v>313</v>
      </c>
      <c r="AN196" s="21" t="s">
        <v>313</v>
      </c>
      <c r="AO196" s="21" t="s">
        <v>313</v>
      </c>
      <c r="AP196" s="21" t="s">
        <v>313</v>
      </c>
      <c r="AQ196" s="21" t="s">
        <v>313</v>
      </c>
      <c r="AR196" s="21" t="s">
        <v>313</v>
      </c>
      <c r="AS196" s="21" t="s">
        <v>313</v>
      </c>
      <c r="AT196" s="21" t="s">
        <v>313</v>
      </c>
      <c r="AU196" s="21" t="s">
        <v>313</v>
      </c>
      <c r="AV196" s="21" t="s">
        <v>313</v>
      </c>
      <c r="AW196" s="21" t="s">
        <v>313</v>
      </c>
      <c r="AX196" s="21" t="s">
        <v>313</v>
      </c>
    </row>
    <row r="197" spans="1:50" x14ac:dyDescent="0.3">
      <c r="A197" s="30" t="s">
        <v>130</v>
      </c>
      <c r="B197" s="29" t="str">
        <f>IFERROR(VLOOKUP(A197,'[1]JL EXE ACTIVE FTE List'!$G:$N,8,FALSE),IF(ISNA(VLOOKUP(A197,'[1]JL EXE LEAVER List'!$G:$I,3,FALSE)),"Query","Leaver"))</f>
        <v>COM</v>
      </c>
      <c r="C197" s="29" t="str">
        <f>IFERROR(VLOOKUP(A197,'[1]JL EXE ACTIVE FTE List'!$G:$R,12,FALSE),IF(ISNA(VLOOKUP(A197,'[1]JL EXE LEAVER List'!$G:$I,3,FALSE)),"?QUERY?","Leaver"))</f>
        <v>ACTIVE</v>
      </c>
      <c r="D197" s="39" t="str">
        <f>IFERROR(IFERROR(VLOOKUP(A197,'[1]JL EXE ACTIVE FTE List'!$G:$H,2,FALSE),VLOOKUP(A197,'[1]JL EXE LEAVER List'!$G:$H,2,FALSE)),"?QUERY?")</f>
        <v>Mark Davies</v>
      </c>
      <c r="E197" s="40">
        <f>IFERROR(IFERROR(VLOOKUP(A197,'[1]JL EXE ACTIVE FTE List'!$G:$O,9,FALSE),VLOOKUP(A197,'[1]JL EXE LEAVER List'!$G:$O,9,FALSE)),"?QUERY?")</f>
        <v>42851</v>
      </c>
      <c r="F197" s="21" t="s">
        <v>338</v>
      </c>
      <c r="G197" s="21" t="s">
        <v>338</v>
      </c>
      <c r="H197" s="21" t="s">
        <v>335</v>
      </c>
      <c r="I197" s="21" t="s">
        <v>313</v>
      </c>
      <c r="J197" s="21" t="s">
        <v>313</v>
      </c>
      <c r="K197" s="21" t="s">
        <v>313</v>
      </c>
      <c r="L197" s="21" t="s">
        <v>313</v>
      </c>
      <c r="M197" s="21" t="s">
        <v>313</v>
      </c>
      <c r="N197" s="21" t="s">
        <v>313</v>
      </c>
      <c r="O197" s="21" t="s">
        <v>313</v>
      </c>
      <c r="P197" s="21" t="s">
        <v>313</v>
      </c>
      <c r="Q197" s="21" t="s">
        <v>313</v>
      </c>
      <c r="R197" s="21" t="s">
        <v>313</v>
      </c>
      <c r="S197" s="21" t="s">
        <v>313</v>
      </c>
      <c r="T197" s="21" t="s">
        <v>313</v>
      </c>
      <c r="U197" s="21" t="s">
        <v>313</v>
      </c>
      <c r="V197" s="21" t="s">
        <v>313</v>
      </c>
      <c r="W197" s="21" t="s">
        <v>313</v>
      </c>
      <c r="X197" s="21" t="s">
        <v>313</v>
      </c>
      <c r="Y197" s="21" t="s">
        <v>313</v>
      </c>
      <c r="Z197" s="21" t="s">
        <v>313</v>
      </c>
      <c r="AA197" s="21" t="s">
        <v>313</v>
      </c>
      <c r="AB197" s="21" t="s">
        <v>313</v>
      </c>
      <c r="AC197" s="21" t="s">
        <v>313</v>
      </c>
      <c r="AD197" s="21" t="s">
        <v>313</v>
      </c>
      <c r="AE197" s="21" t="s">
        <v>313</v>
      </c>
      <c r="AF197" s="21" t="s">
        <v>313</v>
      </c>
      <c r="AG197" s="21" t="s">
        <v>313</v>
      </c>
      <c r="AH197" s="21" t="s">
        <v>313</v>
      </c>
      <c r="AI197" s="21" t="s">
        <v>313</v>
      </c>
      <c r="AJ197" s="21" t="s">
        <v>313</v>
      </c>
      <c r="AK197" s="21" t="s">
        <v>313</v>
      </c>
      <c r="AL197" s="21" t="s">
        <v>313</v>
      </c>
      <c r="AM197" s="21" t="s">
        <v>313</v>
      </c>
      <c r="AN197" s="21" t="s">
        <v>313</v>
      </c>
      <c r="AO197" s="21" t="s">
        <v>313</v>
      </c>
      <c r="AP197" s="21" t="s">
        <v>313</v>
      </c>
      <c r="AQ197" s="21" t="s">
        <v>313</v>
      </c>
      <c r="AR197" s="21" t="s">
        <v>313</v>
      </c>
      <c r="AS197" s="21" t="s">
        <v>313</v>
      </c>
      <c r="AT197" s="21" t="s">
        <v>313</v>
      </c>
      <c r="AU197" s="21" t="s">
        <v>313</v>
      </c>
      <c r="AV197" s="21" t="s">
        <v>313</v>
      </c>
      <c r="AW197" s="21" t="s">
        <v>313</v>
      </c>
      <c r="AX197" s="21" t="s">
        <v>313</v>
      </c>
    </row>
    <row r="198" spans="1:50" x14ac:dyDescent="0.3">
      <c r="A198" s="30" t="s">
        <v>256</v>
      </c>
      <c r="B198" s="29" t="str">
        <f>IFERROR(VLOOKUP(A198,'[1]JL EXE ACTIVE FTE List'!$G:$N,8,FALSE),IF(ISNA(VLOOKUP(A198,'[1]JL EXE LEAVER List'!$G:$I,3,FALSE)),"Query","Leaver"))</f>
        <v>COM</v>
      </c>
      <c r="C198" s="29" t="str">
        <f>IFERROR(VLOOKUP(A198,'[1]JL EXE ACTIVE FTE List'!$G:$R,12,FALSE),IF(ISNA(VLOOKUP(A198,'[1]JL EXE LEAVER List'!$G:$I,3,FALSE)),"?QUERY?","Leaver"))</f>
        <v>ACTIVE</v>
      </c>
      <c r="D198" s="39" t="str">
        <f>IFERROR(IFERROR(VLOOKUP(A198,'[1]JL EXE ACTIVE FTE List'!$G:$H,2,FALSE),VLOOKUP(A198,'[1]JL EXE LEAVER List'!$G:$H,2,FALSE)),"?QUERY?")</f>
        <v>Mark Davies</v>
      </c>
      <c r="E198" s="40">
        <f>IFERROR(IFERROR(VLOOKUP(A198,'[1]JL EXE ACTIVE FTE List'!$G:$O,9,FALSE),VLOOKUP(A198,'[1]JL EXE LEAVER List'!$G:$O,9,FALSE)),"?QUERY?")</f>
        <v>42948</v>
      </c>
      <c r="F198" s="21" t="s">
        <v>338</v>
      </c>
      <c r="G198" s="21" t="s">
        <v>338</v>
      </c>
      <c r="H198" s="21" t="s">
        <v>335</v>
      </c>
      <c r="I198" s="21" t="s">
        <v>313</v>
      </c>
      <c r="J198" s="21" t="s">
        <v>313</v>
      </c>
      <c r="K198" s="21" t="s">
        <v>313</v>
      </c>
      <c r="L198" s="21" t="s">
        <v>313</v>
      </c>
      <c r="M198" s="21" t="s">
        <v>313</v>
      </c>
      <c r="N198" s="21" t="s">
        <v>313</v>
      </c>
      <c r="O198" s="21" t="s">
        <v>313</v>
      </c>
      <c r="P198" s="21" t="s">
        <v>313</v>
      </c>
      <c r="Q198" s="21" t="s">
        <v>313</v>
      </c>
      <c r="R198" s="21" t="s">
        <v>313</v>
      </c>
      <c r="S198" s="21" t="s">
        <v>313</v>
      </c>
      <c r="T198" s="21" t="s">
        <v>313</v>
      </c>
      <c r="U198" s="21" t="s">
        <v>313</v>
      </c>
      <c r="V198" s="21" t="s">
        <v>313</v>
      </c>
      <c r="W198" s="21" t="s">
        <v>313</v>
      </c>
      <c r="X198" s="21" t="s">
        <v>313</v>
      </c>
      <c r="Y198" s="21" t="s">
        <v>313</v>
      </c>
      <c r="Z198" s="21" t="s">
        <v>313</v>
      </c>
      <c r="AA198" s="21" t="s">
        <v>313</v>
      </c>
      <c r="AB198" s="21" t="s">
        <v>313</v>
      </c>
      <c r="AC198" s="21" t="s">
        <v>313</v>
      </c>
      <c r="AD198" s="21" t="s">
        <v>313</v>
      </c>
      <c r="AE198" s="21" t="s">
        <v>313</v>
      </c>
      <c r="AF198" s="21" t="s">
        <v>313</v>
      </c>
      <c r="AG198" s="21" t="s">
        <v>313</v>
      </c>
      <c r="AH198" s="21" t="s">
        <v>313</v>
      </c>
      <c r="AI198" s="21" t="s">
        <v>313</v>
      </c>
      <c r="AJ198" s="21" t="s">
        <v>313</v>
      </c>
      <c r="AK198" s="21" t="s">
        <v>313</v>
      </c>
      <c r="AL198" s="21" t="s">
        <v>313</v>
      </c>
      <c r="AM198" s="21" t="s">
        <v>313</v>
      </c>
      <c r="AN198" s="21" t="s">
        <v>313</v>
      </c>
      <c r="AO198" s="21" t="s">
        <v>313</v>
      </c>
      <c r="AP198" s="21" t="s">
        <v>313</v>
      </c>
      <c r="AQ198" s="21" t="s">
        <v>313</v>
      </c>
      <c r="AR198" s="21" t="s">
        <v>313</v>
      </c>
      <c r="AS198" s="21" t="s">
        <v>313</v>
      </c>
      <c r="AT198" s="21" t="s">
        <v>313</v>
      </c>
      <c r="AU198" s="21" t="s">
        <v>313</v>
      </c>
      <c r="AV198" s="21" t="s">
        <v>313</v>
      </c>
      <c r="AW198" s="21" t="s">
        <v>313</v>
      </c>
      <c r="AX198" s="21" t="s">
        <v>313</v>
      </c>
    </row>
    <row r="199" spans="1:50" ht="15" customHeight="1" x14ac:dyDescent="0.3">
      <c r="A199" s="30" t="s">
        <v>127</v>
      </c>
      <c r="B199" s="29" t="str">
        <f>IFERROR(VLOOKUP(A199,'[1]JL EXE ACTIVE FTE List'!$G:$N,8,FALSE),IF(ISNA(VLOOKUP(A199,'[1]JL EXE LEAVER List'!$G:$I,3,FALSE)),"Query","Leaver"))</f>
        <v>COM</v>
      </c>
      <c r="C199" s="29" t="str">
        <f>IFERROR(VLOOKUP(A199,'[1]JL EXE ACTIVE FTE List'!$G:$R,12,FALSE),IF(ISNA(VLOOKUP(A199,'[1]JL EXE LEAVER List'!$G:$I,3,FALSE)),"?QUERY?","Leaver"))</f>
        <v>ACTIVE</v>
      </c>
      <c r="D199" s="39" t="str">
        <f>IFERROR(IFERROR(VLOOKUP(A199,'[1]JL EXE ACTIVE FTE List'!$G:$H,2,FALSE),VLOOKUP(A199,'[1]JL EXE LEAVER List'!$G:$H,2,FALSE)),"?QUERY?")</f>
        <v>Mark Davies</v>
      </c>
      <c r="E199" s="40">
        <f>IFERROR(IFERROR(VLOOKUP(A199,'[1]JL EXE ACTIVE FTE List'!$G:$O,9,FALSE),VLOOKUP(A199,'[1]JL EXE LEAVER List'!$G:$O,9,FALSE)),"?QUERY?")</f>
        <v>42823</v>
      </c>
      <c r="F199" s="21" t="s">
        <v>338</v>
      </c>
      <c r="G199" s="21" t="s">
        <v>338</v>
      </c>
      <c r="H199" s="21" t="s">
        <v>335</v>
      </c>
      <c r="I199" s="21" t="s">
        <v>313</v>
      </c>
      <c r="J199" s="21" t="s">
        <v>313</v>
      </c>
      <c r="K199" s="21" t="s">
        <v>313</v>
      </c>
      <c r="L199" s="21" t="s">
        <v>313</v>
      </c>
      <c r="M199" s="21" t="s">
        <v>313</v>
      </c>
      <c r="N199" s="21" t="s">
        <v>313</v>
      </c>
      <c r="O199" s="21" t="s">
        <v>313</v>
      </c>
      <c r="P199" s="21" t="s">
        <v>313</v>
      </c>
      <c r="Q199" s="21" t="s">
        <v>313</v>
      </c>
      <c r="R199" s="21" t="s">
        <v>313</v>
      </c>
      <c r="S199" s="21" t="s">
        <v>313</v>
      </c>
      <c r="T199" s="21" t="s">
        <v>313</v>
      </c>
      <c r="U199" s="21" t="s">
        <v>313</v>
      </c>
      <c r="V199" s="21" t="s">
        <v>313</v>
      </c>
      <c r="W199" s="21" t="s">
        <v>313</v>
      </c>
      <c r="X199" s="21" t="s">
        <v>313</v>
      </c>
      <c r="Y199" s="21" t="s">
        <v>313</v>
      </c>
      <c r="Z199" s="21" t="s">
        <v>313</v>
      </c>
      <c r="AA199" s="21" t="s">
        <v>313</v>
      </c>
      <c r="AB199" s="21" t="s">
        <v>313</v>
      </c>
      <c r="AC199" s="21" t="s">
        <v>313</v>
      </c>
      <c r="AD199" s="21" t="s">
        <v>313</v>
      </c>
      <c r="AE199" s="21" t="s">
        <v>313</v>
      </c>
      <c r="AF199" s="21" t="s">
        <v>313</v>
      </c>
      <c r="AG199" s="21" t="s">
        <v>313</v>
      </c>
      <c r="AH199" s="21" t="s">
        <v>313</v>
      </c>
      <c r="AI199" s="21" t="s">
        <v>313</v>
      </c>
      <c r="AJ199" s="21" t="s">
        <v>313</v>
      </c>
      <c r="AK199" s="21" t="s">
        <v>313</v>
      </c>
      <c r="AL199" s="21" t="s">
        <v>313</v>
      </c>
      <c r="AM199" s="21" t="s">
        <v>313</v>
      </c>
      <c r="AN199" s="21" t="s">
        <v>313</v>
      </c>
      <c r="AO199" s="21" t="s">
        <v>313</v>
      </c>
      <c r="AP199" s="21" t="s">
        <v>313</v>
      </c>
      <c r="AQ199" s="21" t="s">
        <v>313</v>
      </c>
      <c r="AR199" s="21" t="s">
        <v>313</v>
      </c>
      <c r="AS199" s="21" t="s">
        <v>313</v>
      </c>
      <c r="AT199" s="21" t="s">
        <v>313</v>
      </c>
      <c r="AU199" s="21" t="s">
        <v>313</v>
      </c>
      <c r="AV199" s="21" t="s">
        <v>313</v>
      </c>
      <c r="AW199" s="21" t="s">
        <v>313</v>
      </c>
      <c r="AX199" s="21" t="s">
        <v>313</v>
      </c>
    </row>
    <row r="200" spans="1:50" hidden="1" x14ac:dyDescent="0.3">
      <c r="A200" s="30" t="s">
        <v>169</v>
      </c>
      <c r="B200" s="29" t="s">
        <v>367</v>
      </c>
      <c r="C200" s="29" t="s">
        <v>367</v>
      </c>
      <c r="D200" s="39" t="str">
        <f>IFERROR(IFERROR(VLOOKUP(A200,'[1]JL EXE ACTIVE FTE List'!$G:$H,2,FALSE),VLOOKUP(A200,'[1]JL EXE LEAVER List'!$G:$H,2,FALSE)),"?QUERY?")</f>
        <v>Michael Ennals</v>
      </c>
      <c r="E200" s="40">
        <f>IFERROR(IFERROR(VLOOKUP(A200,'[1]JL EXE ACTIVE FTE List'!$G:$O,9,FALSE),VLOOKUP(A200,'[1]JL EXE LEAVER List'!$G:$O,9,FALSE)),"?QUERY?")</f>
        <v>42779</v>
      </c>
      <c r="F200" s="21" t="s">
        <v>339</v>
      </c>
      <c r="G200" s="21" t="s">
        <v>313</v>
      </c>
      <c r="H200" s="21" t="s">
        <v>313</v>
      </c>
      <c r="I200" s="21" t="s">
        <v>313</v>
      </c>
      <c r="J200" s="21" t="s">
        <v>313</v>
      </c>
      <c r="K200" s="21" t="s">
        <v>313</v>
      </c>
      <c r="L200" s="21" t="s">
        <v>313</v>
      </c>
      <c r="M200" s="21" t="s">
        <v>313</v>
      </c>
      <c r="N200" s="21" t="s">
        <v>313</v>
      </c>
      <c r="O200" s="21" t="s">
        <v>313</v>
      </c>
      <c r="P200" s="21" t="s">
        <v>313</v>
      </c>
      <c r="Q200" s="21" t="s">
        <v>313</v>
      </c>
      <c r="R200" s="21" t="s">
        <v>313</v>
      </c>
      <c r="S200" s="21" t="s">
        <v>313</v>
      </c>
      <c r="T200" s="21" t="s">
        <v>313</v>
      </c>
      <c r="U200" s="21" t="s">
        <v>313</v>
      </c>
      <c r="V200" s="21" t="s">
        <v>313</v>
      </c>
      <c r="W200" s="21" t="s">
        <v>313</v>
      </c>
      <c r="X200" s="21" t="s">
        <v>313</v>
      </c>
      <c r="Y200" s="21" t="s">
        <v>313</v>
      </c>
      <c r="Z200" s="21" t="s">
        <v>313</v>
      </c>
      <c r="AA200" s="21" t="s">
        <v>313</v>
      </c>
      <c r="AB200" s="21" t="s">
        <v>313</v>
      </c>
      <c r="AC200" s="21" t="s">
        <v>313</v>
      </c>
      <c r="AD200" s="21" t="s">
        <v>313</v>
      </c>
      <c r="AE200" s="21" t="s">
        <v>313</v>
      </c>
      <c r="AF200" s="21" t="s">
        <v>313</v>
      </c>
      <c r="AG200" s="21" t="s">
        <v>313</v>
      </c>
      <c r="AH200" s="21" t="s">
        <v>313</v>
      </c>
      <c r="AI200" s="21" t="s">
        <v>313</v>
      </c>
      <c r="AJ200" s="21" t="s">
        <v>313</v>
      </c>
      <c r="AK200" s="21" t="s">
        <v>313</v>
      </c>
      <c r="AL200" s="21" t="s">
        <v>313</v>
      </c>
      <c r="AM200" s="21" t="s">
        <v>313</v>
      </c>
      <c r="AN200" s="21" t="s">
        <v>313</v>
      </c>
      <c r="AO200" s="21" t="s">
        <v>313</v>
      </c>
      <c r="AP200" s="21" t="s">
        <v>313</v>
      </c>
      <c r="AQ200" s="21" t="s">
        <v>313</v>
      </c>
      <c r="AR200" s="21" t="s">
        <v>313</v>
      </c>
      <c r="AS200" s="21" t="s">
        <v>313</v>
      </c>
      <c r="AT200" s="21" t="s">
        <v>313</v>
      </c>
      <c r="AU200" s="21" t="s">
        <v>313</v>
      </c>
      <c r="AV200" s="21" t="s">
        <v>313</v>
      </c>
      <c r="AW200" s="21" t="s">
        <v>313</v>
      </c>
      <c r="AX200" s="21" t="s">
        <v>313</v>
      </c>
    </row>
    <row r="201" spans="1:50" x14ac:dyDescent="0.3">
      <c r="A201" s="30" t="s">
        <v>128</v>
      </c>
      <c r="B201" s="29" t="str">
        <f>IFERROR(VLOOKUP(A201,'[1]JL EXE ACTIVE FTE List'!$G:$N,8,FALSE),IF(ISNA(VLOOKUP(A201,'[1]JL EXE LEAVER List'!$G:$I,3,FALSE)),"Query","Leaver"))</f>
        <v>COM</v>
      </c>
      <c r="C201" s="29" t="str">
        <f>IFERROR(VLOOKUP(A201,'[1]JL EXE ACTIVE FTE List'!$G:$R,12,FALSE),IF(ISNA(VLOOKUP(A201,'[1]JL EXE LEAVER List'!$G:$I,3,FALSE)),"?QUERY?","Leaver"))</f>
        <v>ACTIVE</v>
      </c>
      <c r="D201" s="39" t="str">
        <f>IFERROR(IFERROR(VLOOKUP(A201,'[1]JL EXE ACTIVE FTE List'!$G:$H,2,FALSE),VLOOKUP(A201,'[1]JL EXE LEAVER List'!$G:$H,2,FALSE)),"?QUERY?")</f>
        <v>Mark Davies</v>
      </c>
      <c r="E201" s="40">
        <f>IFERROR(IFERROR(VLOOKUP(A201,'[1]JL EXE ACTIVE FTE List'!$G:$O,9,FALSE),VLOOKUP(A201,'[1]JL EXE LEAVER List'!$G:$O,9,FALSE)),"?QUERY?")</f>
        <v>42835</v>
      </c>
      <c r="F201" s="21" t="s">
        <v>338</v>
      </c>
      <c r="G201" s="21" t="s">
        <v>338</v>
      </c>
      <c r="H201" s="21" t="s">
        <v>335</v>
      </c>
      <c r="I201" s="21" t="s">
        <v>313</v>
      </c>
      <c r="J201" s="21" t="s">
        <v>313</v>
      </c>
      <c r="K201" s="21" t="s">
        <v>313</v>
      </c>
      <c r="L201" s="21" t="s">
        <v>313</v>
      </c>
      <c r="M201" s="21" t="s">
        <v>313</v>
      </c>
      <c r="N201" s="21" t="s">
        <v>313</v>
      </c>
      <c r="O201" s="21" t="s">
        <v>313</v>
      </c>
      <c r="P201" s="21" t="s">
        <v>313</v>
      </c>
      <c r="Q201" s="21" t="s">
        <v>313</v>
      </c>
      <c r="R201" s="21" t="s">
        <v>313</v>
      </c>
      <c r="S201" s="21" t="s">
        <v>313</v>
      </c>
      <c r="T201" s="21" t="s">
        <v>313</v>
      </c>
      <c r="U201" s="21" t="s">
        <v>313</v>
      </c>
      <c r="V201" s="21" t="s">
        <v>313</v>
      </c>
      <c r="W201" s="21" t="s">
        <v>313</v>
      </c>
      <c r="X201" s="21" t="s">
        <v>313</v>
      </c>
      <c r="Y201" s="21" t="s">
        <v>313</v>
      </c>
      <c r="Z201" s="21" t="s">
        <v>313</v>
      </c>
      <c r="AA201" s="21" t="s">
        <v>313</v>
      </c>
      <c r="AB201" s="21" t="s">
        <v>313</v>
      </c>
      <c r="AC201" s="21" t="s">
        <v>313</v>
      </c>
      <c r="AD201" s="21" t="s">
        <v>313</v>
      </c>
      <c r="AE201" s="21" t="s">
        <v>313</v>
      </c>
      <c r="AF201" s="21" t="s">
        <v>313</v>
      </c>
      <c r="AG201" s="21" t="s">
        <v>313</v>
      </c>
      <c r="AH201" s="21" t="s">
        <v>313</v>
      </c>
      <c r="AI201" s="21" t="s">
        <v>313</v>
      </c>
      <c r="AJ201" s="21" t="s">
        <v>313</v>
      </c>
      <c r="AK201" s="21" t="s">
        <v>313</v>
      </c>
      <c r="AL201" s="21" t="s">
        <v>313</v>
      </c>
      <c r="AM201" s="21" t="s">
        <v>313</v>
      </c>
      <c r="AN201" s="21" t="s">
        <v>313</v>
      </c>
      <c r="AO201" s="21" t="s">
        <v>313</v>
      </c>
      <c r="AP201" s="21" t="s">
        <v>313</v>
      </c>
      <c r="AQ201" s="21" t="s">
        <v>313</v>
      </c>
      <c r="AR201" s="21" t="s">
        <v>313</v>
      </c>
      <c r="AS201" s="21" t="s">
        <v>313</v>
      </c>
      <c r="AT201" s="21" t="s">
        <v>313</v>
      </c>
      <c r="AU201" s="21" t="s">
        <v>313</v>
      </c>
      <c r="AV201" s="21" t="s">
        <v>313</v>
      </c>
      <c r="AW201" s="21" t="s">
        <v>313</v>
      </c>
      <c r="AX201" s="21" t="s">
        <v>313</v>
      </c>
    </row>
    <row r="202" spans="1:50" ht="15" customHeight="1" x14ac:dyDescent="0.3">
      <c r="A202" s="30" t="s">
        <v>132</v>
      </c>
      <c r="B202" s="29" t="str">
        <f>IFERROR(VLOOKUP(A202,'[1]JL EXE ACTIVE FTE List'!$G:$N,8,FALSE),IF(ISNA(VLOOKUP(A202,'[1]JL EXE LEAVER List'!$G:$I,3,FALSE)),"Query","Leaver"))</f>
        <v>COM</v>
      </c>
      <c r="C202" s="29" t="str">
        <f>IFERROR(VLOOKUP(A202,'[1]JL EXE ACTIVE FTE List'!$G:$R,12,FALSE),IF(ISNA(VLOOKUP(A202,'[1]JL EXE LEAVER List'!$G:$I,3,FALSE)),"?QUERY?","Leaver"))</f>
        <v>ACTIVE</v>
      </c>
      <c r="D202" s="39" t="str">
        <f>IFERROR(IFERROR(VLOOKUP(A202,'[1]JL EXE ACTIVE FTE List'!$G:$H,2,FALSE),VLOOKUP(A202,'[1]JL EXE LEAVER List'!$G:$H,2,FALSE)),"?QUERY?")</f>
        <v>Mark Davies</v>
      </c>
      <c r="E202" s="40">
        <f>IFERROR(IFERROR(VLOOKUP(A202,'[1]JL EXE ACTIVE FTE List'!$G:$O,9,FALSE),VLOOKUP(A202,'[1]JL EXE LEAVER List'!$G:$O,9,FALSE)),"?QUERY?")</f>
        <v>42997</v>
      </c>
      <c r="F202" s="21" t="s">
        <v>338</v>
      </c>
      <c r="G202" s="21" t="s">
        <v>338</v>
      </c>
      <c r="H202" s="21" t="s">
        <v>335</v>
      </c>
      <c r="I202" s="21" t="s">
        <v>313</v>
      </c>
      <c r="J202" s="21" t="s">
        <v>313</v>
      </c>
      <c r="K202" s="21" t="s">
        <v>313</v>
      </c>
      <c r="L202" s="21" t="s">
        <v>313</v>
      </c>
      <c r="M202" s="21" t="s">
        <v>313</v>
      </c>
      <c r="N202" s="21" t="s">
        <v>313</v>
      </c>
      <c r="O202" s="21" t="s">
        <v>313</v>
      </c>
      <c r="P202" s="21" t="s">
        <v>313</v>
      </c>
      <c r="Q202" s="21" t="s">
        <v>313</v>
      </c>
      <c r="R202" s="21" t="s">
        <v>313</v>
      </c>
      <c r="S202" s="21" t="s">
        <v>313</v>
      </c>
      <c r="T202" s="21" t="s">
        <v>313</v>
      </c>
      <c r="U202" s="21" t="s">
        <v>313</v>
      </c>
      <c r="V202" s="21" t="s">
        <v>313</v>
      </c>
      <c r="W202" s="21" t="s">
        <v>313</v>
      </c>
      <c r="X202" s="21" t="s">
        <v>313</v>
      </c>
      <c r="Y202" s="21" t="s">
        <v>313</v>
      </c>
      <c r="Z202" s="21" t="s">
        <v>313</v>
      </c>
      <c r="AA202" s="21" t="s">
        <v>313</v>
      </c>
      <c r="AB202" s="21" t="s">
        <v>313</v>
      </c>
      <c r="AC202" s="21" t="s">
        <v>313</v>
      </c>
      <c r="AD202" s="21" t="s">
        <v>313</v>
      </c>
      <c r="AE202" s="21" t="s">
        <v>313</v>
      </c>
      <c r="AF202" s="21" t="s">
        <v>313</v>
      </c>
      <c r="AG202" s="21" t="s">
        <v>313</v>
      </c>
      <c r="AH202" s="21" t="s">
        <v>313</v>
      </c>
      <c r="AI202" s="21" t="s">
        <v>313</v>
      </c>
      <c r="AJ202" s="21" t="s">
        <v>313</v>
      </c>
      <c r="AK202" s="21" t="s">
        <v>313</v>
      </c>
      <c r="AL202" s="21" t="s">
        <v>313</v>
      </c>
      <c r="AM202" s="21" t="s">
        <v>313</v>
      </c>
      <c r="AN202" s="21" t="s">
        <v>313</v>
      </c>
      <c r="AO202" s="21" t="s">
        <v>313</v>
      </c>
      <c r="AP202" s="21" t="s">
        <v>313</v>
      </c>
      <c r="AQ202" s="21" t="s">
        <v>313</v>
      </c>
      <c r="AR202" s="21" t="s">
        <v>313</v>
      </c>
      <c r="AS202" s="21" t="s">
        <v>313</v>
      </c>
      <c r="AT202" s="21" t="s">
        <v>313</v>
      </c>
      <c r="AU202" s="21" t="s">
        <v>313</v>
      </c>
      <c r="AV202" s="21" t="s">
        <v>313</v>
      </c>
      <c r="AW202" s="21" t="s">
        <v>313</v>
      </c>
      <c r="AX202" s="21" t="s">
        <v>313</v>
      </c>
    </row>
    <row r="203" spans="1:50" ht="15" customHeight="1" x14ac:dyDescent="0.3">
      <c r="A203" s="30" t="s">
        <v>141</v>
      </c>
      <c r="B203" s="29" t="str">
        <f>IFERROR(VLOOKUP(A203,'[1]JL EXE ACTIVE FTE List'!$G:$N,8,FALSE),IF(ISNA(VLOOKUP(A203,'[1]JL EXE LEAVER List'!$G:$I,3,FALSE)),"Query","Leaver"))</f>
        <v>COM</v>
      </c>
      <c r="C203" s="29" t="str">
        <f>IFERROR(VLOOKUP(A203,'[1]JL EXE ACTIVE FTE List'!$G:$R,12,FALSE),IF(ISNA(VLOOKUP(A203,'[1]JL EXE LEAVER List'!$G:$I,3,FALSE)),"?QUERY?","Leaver"))</f>
        <v>ACTIVE</v>
      </c>
      <c r="D203" s="39" t="str">
        <f>IFERROR(IFERROR(VLOOKUP(A203,'[1]JL EXE ACTIVE FTE List'!$G:$H,2,FALSE),VLOOKUP(A203,'[1]JL EXE LEAVER List'!$G:$H,2,FALSE)),"?QUERY?")</f>
        <v>Mark Davies</v>
      </c>
      <c r="E203" s="40">
        <f>IFERROR(IFERROR(VLOOKUP(A203,'[1]JL EXE ACTIVE FTE List'!$G:$O,9,FALSE),VLOOKUP(A203,'[1]JL EXE LEAVER List'!$G:$O,9,FALSE)),"?QUERY?")</f>
        <v>42997</v>
      </c>
      <c r="F203" s="21" t="s">
        <v>338</v>
      </c>
      <c r="G203" s="21" t="s">
        <v>338</v>
      </c>
      <c r="H203" s="21" t="s">
        <v>335</v>
      </c>
      <c r="I203" s="21" t="s">
        <v>313</v>
      </c>
      <c r="J203" s="21" t="s">
        <v>313</v>
      </c>
      <c r="K203" s="21" t="s">
        <v>313</v>
      </c>
      <c r="L203" s="21" t="s">
        <v>313</v>
      </c>
      <c r="M203" s="21" t="s">
        <v>313</v>
      </c>
      <c r="N203" s="21" t="s">
        <v>313</v>
      </c>
      <c r="O203" s="21" t="s">
        <v>313</v>
      </c>
      <c r="P203" s="21" t="s">
        <v>313</v>
      </c>
      <c r="Q203" s="21" t="s">
        <v>313</v>
      </c>
      <c r="R203" s="21" t="s">
        <v>313</v>
      </c>
      <c r="S203" s="21" t="s">
        <v>313</v>
      </c>
      <c r="T203" s="21" t="s">
        <v>313</v>
      </c>
      <c r="U203" s="21" t="s">
        <v>313</v>
      </c>
      <c r="V203" s="21" t="s">
        <v>313</v>
      </c>
      <c r="W203" s="21" t="s">
        <v>313</v>
      </c>
      <c r="X203" s="21" t="s">
        <v>313</v>
      </c>
      <c r="Y203" s="21" t="s">
        <v>313</v>
      </c>
      <c r="Z203" s="21" t="s">
        <v>313</v>
      </c>
      <c r="AA203" s="21" t="s">
        <v>313</v>
      </c>
      <c r="AB203" s="21" t="s">
        <v>313</v>
      </c>
      <c r="AC203" s="21" t="s">
        <v>313</v>
      </c>
      <c r="AD203" s="21" t="s">
        <v>313</v>
      </c>
      <c r="AE203" s="21" t="s">
        <v>313</v>
      </c>
      <c r="AF203" s="21" t="s">
        <v>313</v>
      </c>
      <c r="AG203" s="21" t="s">
        <v>313</v>
      </c>
      <c r="AH203" s="21" t="s">
        <v>313</v>
      </c>
      <c r="AI203" s="21" t="s">
        <v>313</v>
      </c>
      <c r="AJ203" s="21" t="s">
        <v>313</v>
      </c>
      <c r="AK203" s="21" t="s">
        <v>313</v>
      </c>
      <c r="AL203" s="21" t="s">
        <v>313</v>
      </c>
      <c r="AM203" s="21" t="s">
        <v>313</v>
      </c>
      <c r="AN203" s="21" t="s">
        <v>313</v>
      </c>
      <c r="AO203" s="21" t="s">
        <v>313</v>
      </c>
      <c r="AP203" s="21" t="s">
        <v>313</v>
      </c>
      <c r="AQ203" s="21" t="s">
        <v>313</v>
      </c>
      <c r="AR203" s="21" t="s">
        <v>313</v>
      </c>
      <c r="AS203" s="21" t="s">
        <v>313</v>
      </c>
      <c r="AT203" s="21" t="s">
        <v>313</v>
      </c>
      <c r="AU203" s="21" t="s">
        <v>313</v>
      </c>
      <c r="AV203" s="21" t="s">
        <v>313</v>
      </c>
      <c r="AW203" s="21" t="s">
        <v>313</v>
      </c>
      <c r="AX203" s="21" t="s">
        <v>313</v>
      </c>
    </row>
    <row r="204" spans="1:50" hidden="1" x14ac:dyDescent="0.3">
      <c r="A204" s="30" t="s">
        <v>146</v>
      </c>
      <c r="B204" s="29" t="str">
        <f>IFERROR(VLOOKUP(A204,'[1]JL EXE ACTIVE FTE List'!$G:$N,8,FALSE),IF(ISNA(VLOOKUP(A204,'[1]JL EXE LEAVER List'!$G:$I,3,FALSE)),"Query","Leaver"))</f>
        <v>ATV</v>
      </c>
      <c r="C204" s="29" t="str">
        <f>IFERROR(VLOOKUP(A204,'[1]JL EXE ACTIVE FTE List'!$G:$R,12,FALSE),IF(ISNA(VLOOKUP(A204,'[1]JL EXE LEAVER List'!$G:$I,3,FALSE)),"?QUERY?","Leaver"))</f>
        <v>ACTIVE</v>
      </c>
      <c r="D204" s="39" t="str">
        <f>IFERROR(IFERROR(VLOOKUP(A204,'[1]JL EXE ACTIVE FTE List'!$G:$H,2,FALSE),VLOOKUP(A204,'[1]JL EXE LEAVER List'!$G:$H,2,FALSE)),"?QUERY?")</f>
        <v>Mark Davies</v>
      </c>
      <c r="E204" s="40">
        <f>IFERROR(IFERROR(VLOOKUP(A204,'[1]JL EXE ACTIVE FTE List'!$G:$O,9,FALSE),VLOOKUP(A204,'[1]JL EXE LEAVER List'!$G:$O,9,FALSE)),"?QUERY?")</f>
        <v>42688</v>
      </c>
      <c r="F204" s="21" t="s">
        <v>340</v>
      </c>
      <c r="G204" s="21" t="s">
        <v>340</v>
      </c>
      <c r="H204" s="21" t="s">
        <v>335</v>
      </c>
      <c r="I204" s="21" t="s">
        <v>313</v>
      </c>
      <c r="J204" s="21" t="s">
        <v>313</v>
      </c>
      <c r="K204" s="21" t="s">
        <v>313</v>
      </c>
      <c r="L204" s="21" t="s">
        <v>313</v>
      </c>
      <c r="M204" s="21" t="s">
        <v>313</v>
      </c>
      <c r="N204" s="21" t="s">
        <v>313</v>
      </c>
      <c r="O204" s="21" t="s">
        <v>313</v>
      </c>
      <c r="P204" s="21" t="s">
        <v>313</v>
      </c>
      <c r="Q204" s="21" t="s">
        <v>313</v>
      </c>
      <c r="R204" s="21" t="s">
        <v>313</v>
      </c>
      <c r="S204" s="21" t="s">
        <v>313</v>
      </c>
      <c r="T204" s="21" t="s">
        <v>313</v>
      </c>
      <c r="U204" s="21" t="s">
        <v>313</v>
      </c>
      <c r="V204" s="21" t="s">
        <v>313</v>
      </c>
      <c r="W204" s="21" t="s">
        <v>313</v>
      </c>
      <c r="X204" s="21" t="s">
        <v>313</v>
      </c>
      <c r="Y204" s="21" t="s">
        <v>313</v>
      </c>
      <c r="Z204" s="21" t="s">
        <v>313</v>
      </c>
      <c r="AA204" s="21" t="s">
        <v>313</v>
      </c>
      <c r="AB204" s="21" t="s">
        <v>313</v>
      </c>
      <c r="AC204" s="21" t="s">
        <v>313</v>
      </c>
      <c r="AD204" s="21" t="s">
        <v>313</v>
      </c>
      <c r="AE204" s="21" t="s">
        <v>313</v>
      </c>
      <c r="AF204" s="21" t="s">
        <v>313</v>
      </c>
      <c r="AG204" s="21" t="s">
        <v>313</v>
      </c>
      <c r="AH204" s="21" t="s">
        <v>313</v>
      </c>
      <c r="AI204" s="21" t="s">
        <v>313</v>
      </c>
      <c r="AJ204" s="21" t="s">
        <v>313</v>
      </c>
      <c r="AK204" s="21" t="s">
        <v>313</v>
      </c>
      <c r="AL204" s="21" t="s">
        <v>313</v>
      </c>
      <c r="AM204" s="21" t="s">
        <v>313</v>
      </c>
      <c r="AN204" s="21" t="s">
        <v>313</v>
      </c>
      <c r="AO204" s="21" t="s">
        <v>313</v>
      </c>
      <c r="AP204" s="21" t="s">
        <v>313</v>
      </c>
      <c r="AQ204" s="21" t="s">
        <v>313</v>
      </c>
      <c r="AR204" s="21" t="s">
        <v>313</v>
      </c>
      <c r="AS204" s="21" t="s">
        <v>313</v>
      </c>
      <c r="AT204" s="21" t="s">
        <v>313</v>
      </c>
      <c r="AU204" s="21" t="s">
        <v>313</v>
      </c>
      <c r="AV204" s="21" t="s">
        <v>313</v>
      </c>
      <c r="AW204" s="21" t="s">
        <v>313</v>
      </c>
      <c r="AX204" s="21" t="s">
        <v>313</v>
      </c>
    </row>
    <row r="205" spans="1:50" x14ac:dyDescent="0.3">
      <c r="A205" s="30" t="s">
        <v>148</v>
      </c>
      <c r="B205" s="29" t="str">
        <f>IFERROR(VLOOKUP(A205,'[1]JL EXE ACTIVE FTE List'!$G:$N,8,FALSE),IF(ISNA(VLOOKUP(A205,'[1]JL EXE LEAVER List'!$G:$I,3,FALSE)),"Query","Leaver"))</f>
        <v>COM</v>
      </c>
      <c r="C205" s="29" t="str">
        <f>IFERROR(VLOOKUP(A205,'[1]JL EXE ACTIVE FTE List'!$G:$R,12,FALSE),IF(ISNA(VLOOKUP(A205,'[1]JL EXE LEAVER List'!$G:$I,3,FALSE)),"?QUERY?","Leaver"))</f>
        <v>ACTIVE</v>
      </c>
      <c r="D205" s="39" t="str">
        <f>IFERROR(IFERROR(VLOOKUP(A205,'[1]JL EXE ACTIVE FTE List'!$G:$H,2,FALSE),VLOOKUP(A205,'[1]JL EXE LEAVER List'!$G:$H,2,FALSE)),"?QUERY?")</f>
        <v>Mark Davies</v>
      </c>
      <c r="E205" s="40">
        <f>IFERROR(IFERROR(VLOOKUP(A205,'[1]JL EXE ACTIVE FTE List'!$G:$O,9,FALSE),VLOOKUP(A205,'[1]JL EXE LEAVER List'!$G:$O,9,FALSE)),"?QUERY?")</f>
        <v>42863</v>
      </c>
      <c r="F205" s="21" t="s">
        <v>338</v>
      </c>
      <c r="G205" s="21" t="s">
        <v>338</v>
      </c>
      <c r="H205" s="21" t="s">
        <v>335</v>
      </c>
      <c r="I205" s="21" t="s">
        <v>313</v>
      </c>
      <c r="J205" s="21" t="s">
        <v>313</v>
      </c>
      <c r="K205" s="21" t="s">
        <v>313</v>
      </c>
      <c r="L205" s="21" t="s">
        <v>313</v>
      </c>
      <c r="M205" s="21" t="s">
        <v>313</v>
      </c>
      <c r="N205" s="21" t="s">
        <v>313</v>
      </c>
      <c r="O205" s="21" t="s">
        <v>313</v>
      </c>
      <c r="P205" s="21" t="s">
        <v>313</v>
      </c>
      <c r="Q205" s="21" t="s">
        <v>313</v>
      </c>
      <c r="R205" s="21" t="s">
        <v>313</v>
      </c>
      <c r="S205" s="21" t="s">
        <v>313</v>
      </c>
      <c r="T205" s="21" t="s">
        <v>313</v>
      </c>
      <c r="U205" s="21" t="s">
        <v>313</v>
      </c>
      <c r="V205" s="21" t="s">
        <v>313</v>
      </c>
      <c r="W205" s="21" t="s">
        <v>313</v>
      </c>
      <c r="X205" s="21" t="s">
        <v>313</v>
      </c>
      <c r="Y205" s="21" t="s">
        <v>313</v>
      </c>
      <c r="Z205" s="21" t="s">
        <v>313</v>
      </c>
      <c r="AA205" s="21" t="s">
        <v>313</v>
      </c>
      <c r="AB205" s="21" t="s">
        <v>313</v>
      </c>
      <c r="AC205" s="21" t="s">
        <v>313</v>
      </c>
      <c r="AD205" s="21" t="s">
        <v>313</v>
      </c>
      <c r="AE205" s="21" t="s">
        <v>313</v>
      </c>
      <c r="AF205" s="21" t="s">
        <v>313</v>
      </c>
      <c r="AG205" s="21" t="s">
        <v>313</v>
      </c>
      <c r="AH205" s="21" t="s">
        <v>313</v>
      </c>
      <c r="AI205" s="21" t="s">
        <v>313</v>
      </c>
      <c r="AJ205" s="21" t="s">
        <v>313</v>
      </c>
      <c r="AK205" s="21" t="s">
        <v>313</v>
      </c>
      <c r="AL205" s="21" t="s">
        <v>313</v>
      </c>
      <c r="AM205" s="21" t="s">
        <v>313</v>
      </c>
      <c r="AN205" s="21" t="s">
        <v>313</v>
      </c>
      <c r="AO205" s="21" t="s">
        <v>313</v>
      </c>
      <c r="AP205" s="21" t="s">
        <v>313</v>
      </c>
      <c r="AQ205" s="21" t="s">
        <v>313</v>
      </c>
      <c r="AR205" s="21" t="s">
        <v>313</v>
      </c>
      <c r="AS205" s="21" t="s">
        <v>313</v>
      </c>
      <c r="AT205" s="21" t="s">
        <v>313</v>
      </c>
      <c r="AU205" s="21" t="s">
        <v>313</v>
      </c>
      <c r="AV205" s="21" t="s">
        <v>313</v>
      </c>
      <c r="AW205" s="21" t="s">
        <v>313</v>
      </c>
      <c r="AX205" s="21" t="s">
        <v>313</v>
      </c>
    </row>
    <row r="206" spans="1:50" ht="15" customHeight="1" x14ac:dyDescent="0.3">
      <c r="A206" s="30" t="s">
        <v>149</v>
      </c>
      <c r="B206" s="29" t="str">
        <f>IFERROR(VLOOKUP(A206,'[1]JL EXE ACTIVE FTE List'!$G:$N,8,FALSE),IF(ISNA(VLOOKUP(A206,'[1]JL EXE LEAVER List'!$G:$I,3,FALSE)),"Query","Leaver"))</f>
        <v>COM</v>
      </c>
      <c r="C206" s="29" t="str">
        <f>IFERROR(VLOOKUP(A206,'[1]JL EXE ACTIVE FTE List'!$G:$R,12,FALSE),IF(ISNA(VLOOKUP(A206,'[1]JL EXE LEAVER List'!$G:$I,3,FALSE)),"?QUERY?","Leaver"))</f>
        <v>ACTIVE</v>
      </c>
      <c r="D206" s="39" t="str">
        <f>IFERROR(IFERROR(VLOOKUP(A206,'[1]JL EXE ACTIVE FTE List'!$G:$H,2,FALSE),VLOOKUP(A206,'[1]JL EXE LEAVER List'!$G:$H,2,FALSE)),"?QUERY?")</f>
        <v>Mark Davies</v>
      </c>
      <c r="E206" s="40">
        <f>IFERROR(IFERROR(VLOOKUP(A206,'[1]JL EXE ACTIVE FTE List'!$G:$O,9,FALSE),VLOOKUP(A206,'[1]JL EXE LEAVER List'!$G:$O,9,FALSE)),"?QUERY?")</f>
        <v>42948</v>
      </c>
      <c r="F206" s="21" t="s">
        <v>338</v>
      </c>
      <c r="G206" s="21" t="s">
        <v>338</v>
      </c>
      <c r="H206" s="21" t="s">
        <v>335</v>
      </c>
      <c r="I206" s="21" t="s">
        <v>313</v>
      </c>
      <c r="J206" s="21" t="s">
        <v>313</v>
      </c>
      <c r="K206" s="21" t="s">
        <v>313</v>
      </c>
      <c r="L206" s="21" t="s">
        <v>313</v>
      </c>
      <c r="M206" s="21" t="s">
        <v>313</v>
      </c>
      <c r="N206" s="21" t="s">
        <v>313</v>
      </c>
      <c r="O206" s="21" t="s">
        <v>313</v>
      </c>
      <c r="P206" s="21" t="s">
        <v>313</v>
      </c>
      <c r="Q206" s="21" t="s">
        <v>313</v>
      </c>
      <c r="R206" s="21" t="s">
        <v>313</v>
      </c>
      <c r="S206" s="21" t="s">
        <v>313</v>
      </c>
      <c r="T206" s="21" t="s">
        <v>313</v>
      </c>
      <c r="U206" s="21" t="s">
        <v>313</v>
      </c>
      <c r="V206" s="21" t="s">
        <v>313</v>
      </c>
      <c r="W206" s="21" t="s">
        <v>313</v>
      </c>
      <c r="X206" s="21" t="s">
        <v>313</v>
      </c>
      <c r="Y206" s="21" t="s">
        <v>313</v>
      </c>
      <c r="Z206" s="21" t="s">
        <v>313</v>
      </c>
      <c r="AA206" s="21" t="s">
        <v>313</v>
      </c>
      <c r="AB206" s="21" t="s">
        <v>313</v>
      </c>
      <c r="AC206" s="21" t="s">
        <v>313</v>
      </c>
      <c r="AD206" s="21" t="s">
        <v>313</v>
      </c>
      <c r="AE206" s="21" t="s">
        <v>313</v>
      </c>
      <c r="AF206" s="21" t="s">
        <v>313</v>
      </c>
      <c r="AG206" s="21" t="s">
        <v>313</v>
      </c>
      <c r="AH206" s="21" t="s">
        <v>313</v>
      </c>
      <c r="AI206" s="21" t="s">
        <v>313</v>
      </c>
      <c r="AJ206" s="21" t="s">
        <v>313</v>
      </c>
      <c r="AK206" s="21" t="s">
        <v>313</v>
      </c>
      <c r="AL206" s="21" t="s">
        <v>313</v>
      </c>
      <c r="AM206" s="21" t="s">
        <v>313</v>
      </c>
      <c r="AN206" s="21" t="s">
        <v>313</v>
      </c>
      <c r="AO206" s="21" t="s">
        <v>313</v>
      </c>
      <c r="AP206" s="21" t="s">
        <v>313</v>
      </c>
      <c r="AQ206" s="21" t="s">
        <v>313</v>
      </c>
      <c r="AR206" s="21" t="s">
        <v>313</v>
      </c>
      <c r="AS206" s="21" t="s">
        <v>313</v>
      </c>
      <c r="AT206" s="21" t="s">
        <v>313</v>
      </c>
      <c r="AU206" s="21" t="s">
        <v>313</v>
      </c>
      <c r="AV206" s="21" t="s">
        <v>313</v>
      </c>
      <c r="AW206" s="21" t="s">
        <v>313</v>
      </c>
      <c r="AX206" s="21" t="s">
        <v>313</v>
      </c>
    </row>
    <row r="207" spans="1:50" x14ac:dyDescent="0.3">
      <c r="A207" s="30" t="s">
        <v>18</v>
      </c>
      <c r="B207" s="29" t="str">
        <f>IFERROR(VLOOKUP(A207,'[1]JL EXE ACTIVE FTE List'!$G:$N,8,FALSE),IF(ISNA(VLOOKUP(A207,'[1]JL EXE LEAVER List'!$G:$I,3,FALSE)),"Query","Leaver"))</f>
        <v>COM</v>
      </c>
      <c r="C207" s="29" t="str">
        <f>IFERROR(VLOOKUP(A207,'[1]JL EXE ACTIVE FTE List'!$G:$R,12,FALSE),IF(ISNA(VLOOKUP(A207,'[1]JL EXE LEAVER List'!$G:$I,3,FALSE)),"?QUERY?","Leaver"))</f>
        <v>ACTIVE</v>
      </c>
      <c r="D207" s="39" t="str">
        <f>IFERROR(IFERROR(VLOOKUP(A207,'[1]JL EXE ACTIVE FTE List'!$G:$H,2,FALSE),VLOOKUP(A207,'[1]JL EXE LEAVER List'!$G:$H,2,FALSE)),"?QUERY?")</f>
        <v>Mark Elliott</v>
      </c>
      <c r="E207" s="40">
        <f>IFERROR(IFERROR(VLOOKUP(A207,'[1]JL EXE ACTIVE FTE List'!$G:$O,9,FALSE),VLOOKUP(A207,'[1]JL EXE LEAVER List'!$G:$O,9,FALSE)),"?QUERY?")</f>
        <v>43045</v>
      </c>
      <c r="F207" s="21" t="s">
        <v>338</v>
      </c>
      <c r="G207" s="21" t="s">
        <v>338</v>
      </c>
      <c r="H207" s="21" t="s">
        <v>339</v>
      </c>
      <c r="I207" s="21" t="s">
        <v>313</v>
      </c>
      <c r="J207" s="21" t="s">
        <v>313</v>
      </c>
      <c r="K207" s="21" t="s">
        <v>313</v>
      </c>
      <c r="L207" s="21" t="s">
        <v>313</v>
      </c>
      <c r="M207" s="21" t="s">
        <v>313</v>
      </c>
      <c r="N207" s="21" t="s">
        <v>313</v>
      </c>
      <c r="O207" s="21" t="s">
        <v>313</v>
      </c>
      <c r="P207" s="21" t="s">
        <v>313</v>
      </c>
      <c r="Q207" s="21" t="s">
        <v>313</v>
      </c>
      <c r="R207" s="21" t="s">
        <v>313</v>
      </c>
      <c r="S207" s="21" t="s">
        <v>313</v>
      </c>
      <c r="T207" s="21" t="s">
        <v>313</v>
      </c>
      <c r="U207" s="21" t="s">
        <v>313</v>
      </c>
      <c r="V207" s="21" t="s">
        <v>313</v>
      </c>
      <c r="W207" s="21" t="s">
        <v>313</v>
      </c>
      <c r="X207" s="21" t="s">
        <v>313</v>
      </c>
      <c r="Y207" s="21" t="s">
        <v>313</v>
      </c>
      <c r="Z207" s="21" t="s">
        <v>313</v>
      </c>
      <c r="AA207" s="21" t="s">
        <v>313</v>
      </c>
      <c r="AB207" s="21" t="s">
        <v>313</v>
      </c>
      <c r="AC207" s="21" t="s">
        <v>313</v>
      </c>
      <c r="AD207" s="21" t="s">
        <v>313</v>
      </c>
      <c r="AE207" s="21" t="s">
        <v>313</v>
      </c>
      <c r="AF207" s="21" t="s">
        <v>313</v>
      </c>
      <c r="AG207" s="21" t="s">
        <v>313</v>
      </c>
      <c r="AH207" s="21" t="s">
        <v>313</v>
      </c>
      <c r="AI207" s="21" t="s">
        <v>313</v>
      </c>
      <c r="AJ207" s="21" t="s">
        <v>313</v>
      </c>
      <c r="AK207" s="21" t="s">
        <v>313</v>
      </c>
      <c r="AL207" s="21" t="s">
        <v>313</v>
      </c>
      <c r="AM207" s="21" t="s">
        <v>313</v>
      </c>
      <c r="AN207" s="21" t="s">
        <v>313</v>
      </c>
      <c r="AO207" s="21" t="s">
        <v>313</v>
      </c>
      <c r="AP207" s="21" t="s">
        <v>313</v>
      </c>
      <c r="AQ207" s="21" t="s">
        <v>313</v>
      </c>
      <c r="AR207" s="21" t="s">
        <v>313</v>
      </c>
      <c r="AS207" s="21" t="s">
        <v>313</v>
      </c>
      <c r="AT207" s="21" t="s">
        <v>313</v>
      </c>
      <c r="AU207" s="21" t="s">
        <v>313</v>
      </c>
      <c r="AV207" s="21" t="s">
        <v>313</v>
      </c>
      <c r="AW207" s="21" t="s">
        <v>313</v>
      </c>
      <c r="AX207" s="21" t="s">
        <v>313</v>
      </c>
    </row>
    <row r="208" spans="1:50" ht="15" customHeight="1" x14ac:dyDescent="0.3">
      <c r="A208" s="30" t="s">
        <v>259</v>
      </c>
      <c r="B208" s="29" t="str">
        <f>IFERROR(VLOOKUP(A208,'[1]JL EXE ACTIVE FTE List'!$G:$N,8,FALSE),IF(ISNA(VLOOKUP(A208,'[1]JL EXE LEAVER List'!$G:$I,3,FALSE)),"Query","Leaver"))</f>
        <v>COM</v>
      </c>
      <c r="C208" s="29" t="str">
        <f>IFERROR(VLOOKUP(A208,'[1]JL EXE ACTIVE FTE List'!$G:$R,12,FALSE),IF(ISNA(VLOOKUP(A208,'[1]JL EXE LEAVER List'!$G:$I,3,FALSE)),"?QUERY?","Leaver"))</f>
        <v>ACTIVE</v>
      </c>
      <c r="D208" s="39" t="str">
        <f>IFERROR(IFERROR(VLOOKUP(A208,'[1]JL EXE ACTIVE FTE List'!$G:$H,2,FALSE),VLOOKUP(A208,'[1]JL EXE LEAVER List'!$G:$H,2,FALSE)),"?QUERY?")</f>
        <v>Mark Elliott</v>
      </c>
      <c r="E208" s="40">
        <f>IFERROR(IFERROR(VLOOKUP(A208,'[1]JL EXE ACTIVE FTE List'!$G:$O,9,FALSE),VLOOKUP(A208,'[1]JL EXE LEAVER List'!$G:$O,9,FALSE)),"?QUERY?")</f>
        <v>42866</v>
      </c>
      <c r="F208" s="21" t="s">
        <v>338</v>
      </c>
      <c r="G208" s="21" t="s">
        <v>338</v>
      </c>
      <c r="H208" s="21" t="s">
        <v>338</v>
      </c>
      <c r="I208" s="21" t="s">
        <v>313</v>
      </c>
      <c r="J208" s="21" t="s">
        <v>313</v>
      </c>
      <c r="K208" s="21" t="s">
        <v>313</v>
      </c>
      <c r="L208" s="21" t="s">
        <v>313</v>
      </c>
      <c r="M208" s="21" t="s">
        <v>313</v>
      </c>
      <c r="N208" s="21" t="s">
        <v>313</v>
      </c>
      <c r="O208" s="21" t="s">
        <v>313</v>
      </c>
      <c r="P208" s="21" t="s">
        <v>313</v>
      </c>
      <c r="Q208" s="21" t="s">
        <v>313</v>
      </c>
      <c r="R208" s="21" t="s">
        <v>313</v>
      </c>
      <c r="S208" s="21" t="s">
        <v>313</v>
      </c>
      <c r="T208" s="21" t="s">
        <v>313</v>
      </c>
      <c r="U208" s="21" t="s">
        <v>313</v>
      </c>
      <c r="V208" s="21" t="s">
        <v>313</v>
      </c>
      <c r="W208" s="21" t="s">
        <v>313</v>
      </c>
      <c r="X208" s="21" t="s">
        <v>313</v>
      </c>
      <c r="Y208" s="21" t="s">
        <v>313</v>
      </c>
      <c r="Z208" s="21" t="s">
        <v>313</v>
      </c>
      <c r="AA208" s="21" t="s">
        <v>313</v>
      </c>
      <c r="AB208" s="21" t="s">
        <v>313</v>
      </c>
      <c r="AC208" s="21" t="s">
        <v>313</v>
      </c>
      <c r="AD208" s="21" t="s">
        <v>313</v>
      </c>
      <c r="AE208" s="21" t="s">
        <v>313</v>
      </c>
      <c r="AF208" s="21" t="s">
        <v>313</v>
      </c>
      <c r="AG208" s="21" t="s">
        <v>313</v>
      </c>
      <c r="AH208" s="21" t="s">
        <v>313</v>
      </c>
      <c r="AI208" s="21" t="s">
        <v>313</v>
      </c>
      <c r="AJ208" s="21" t="s">
        <v>313</v>
      </c>
      <c r="AK208" s="21" t="s">
        <v>313</v>
      </c>
      <c r="AL208" s="21" t="s">
        <v>313</v>
      </c>
      <c r="AM208" s="21" t="s">
        <v>313</v>
      </c>
      <c r="AN208" s="21" t="s">
        <v>313</v>
      </c>
      <c r="AO208" s="21" t="s">
        <v>313</v>
      </c>
      <c r="AP208" s="21" t="s">
        <v>313</v>
      </c>
      <c r="AQ208" s="21" t="s">
        <v>313</v>
      </c>
      <c r="AR208" s="21" t="s">
        <v>313</v>
      </c>
      <c r="AS208" s="21" t="s">
        <v>313</v>
      </c>
      <c r="AT208" s="21" t="s">
        <v>313</v>
      </c>
      <c r="AU208" s="21" t="s">
        <v>313</v>
      </c>
      <c r="AV208" s="21" t="s">
        <v>313</v>
      </c>
      <c r="AW208" s="21" t="s">
        <v>313</v>
      </c>
      <c r="AX208" s="21" t="s">
        <v>313</v>
      </c>
    </row>
    <row r="209" spans="1:50" ht="15" hidden="1" customHeight="1" x14ac:dyDescent="0.3">
      <c r="A209" s="30" t="s">
        <v>150</v>
      </c>
      <c r="B209" s="29" t="str">
        <f>IFERROR(VLOOKUP(A209,'[1]JL EXE ACTIVE FTE List'!$G:$N,8,FALSE),IF(ISNA(VLOOKUP(A209,'[1]JL EXE LEAVER List'!$G:$I,3,FALSE)),"Query","Leaver"))</f>
        <v>COM</v>
      </c>
      <c r="C209" s="29" t="str">
        <f>IFERROR(VLOOKUP(A209,'[1]JL EXE ACTIVE FTE List'!$G:$R,12,FALSE),IF(ISNA(VLOOKUP(A209,'[1]JL EXE LEAVER List'!$G:$I,3,FALSE)),"?QUERY?","Leaver"))</f>
        <v>ACTIVE</v>
      </c>
      <c r="D209" s="39" t="str">
        <f>IFERROR(IFERROR(VLOOKUP(A209,'[1]JL EXE ACTIVE FTE List'!$G:$H,2,FALSE),VLOOKUP(A209,'[1]JL EXE LEAVER List'!$G:$H,2,FALSE)),"?QUERY?")</f>
        <v>Mark Elliott</v>
      </c>
      <c r="E209" s="40">
        <f>IFERROR(IFERROR(VLOOKUP(A209,'[1]JL EXE ACTIVE FTE List'!$G:$O,9,FALSE),VLOOKUP(A209,'[1]JL EXE LEAVER List'!$G:$O,9,FALSE)),"?QUERY?")</f>
        <v>42997</v>
      </c>
      <c r="F209" s="21" t="s">
        <v>338</v>
      </c>
      <c r="G209" s="21" t="s">
        <v>366</v>
      </c>
      <c r="H209" s="21" t="s">
        <v>338</v>
      </c>
      <c r="I209" s="21" t="s">
        <v>313</v>
      </c>
      <c r="J209" s="21" t="s">
        <v>313</v>
      </c>
      <c r="K209" s="21" t="s">
        <v>313</v>
      </c>
      <c r="L209" s="21" t="s">
        <v>313</v>
      </c>
      <c r="M209" s="21" t="s">
        <v>313</v>
      </c>
      <c r="N209" s="21" t="s">
        <v>313</v>
      </c>
      <c r="O209" s="21" t="s">
        <v>313</v>
      </c>
      <c r="P209" s="21" t="s">
        <v>313</v>
      </c>
      <c r="Q209" s="21" t="s">
        <v>313</v>
      </c>
      <c r="R209" s="21" t="s">
        <v>313</v>
      </c>
      <c r="S209" s="21" t="s">
        <v>313</v>
      </c>
      <c r="T209" s="21" t="s">
        <v>313</v>
      </c>
      <c r="U209" s="21" t="s">
        <v>313</v>
      </c>
      <c r="V209" s="21" t="s">
        <v>313</v>
      </c>
      <c r="W209" s="21" t="s">
        <v>313</v>
      </c>
      <c r="X209" s="21" t="s">
        <v>313</v>
      </c>
      <c r="Y209" s="21" t="s">
        <v>313</v>
      </c>
      <c r="Z209" s="21" t="s">
        <v>313</v>
      </c>
      <c r="AA209" s="21" t="s">
        <v>313</v>
      </c>
      <c r="AB209" s="21" t="s">
        <v>313</v>
      </c>
      <c r="AC209" s="21" t="s">
        <v>313</v>
      </c>
      <c r="AD209" s="21" t="s">
        <v>313</v>
      </c>
      <c r="AE209" s="21" t="s">
        <v>313</v>
      </c>
      <c r="AF209" s="21" t="s">
        <v>313</v>
      </c>
      <c r="AG209" s="21" t="s">
        <v>313</v>
      </c>
      <c r="AH209" s="21" t="s">
        <v>313</v>
      </c>
      <c r="AI209" s="21" t="s">
        <v>313</v>
      </c>
      <c r="AJ209" s="21" t="s">
        <v>313</v>
      </c>
      <c r="AK209" s="21" t="s">
        <v>313</v>
      </c>
      <c r="AL209" s="21" t="s">
        <v>313</v>
      </c>
      <c r="AM209" s="21" t="s">
        <v>313</v>
      </c>
      <c r="AN209" s="21" t="s">
        <v>313</v>
      </c>
      <c r="AO209" s="21" t="s">
        <v>313</v>
      </c>
      <c r="AP209" s="21" t="s">
        <v>313</v>
      </c>
      <c r="AQ209" s="21" t="s">
        <v>313</v>
      </c>
      <c r="AR209" s="21" t="s">
        <v>313</v>
      </c>
      <c r="AS209" s="21" t="s">
        <v>313</v>
      </c>
      <c r="AT209" s="21" t="s">
        <v>313</v>
      </c>
      <c r="AU209" s="21" t="s">
        <v>313</v>
      </c>
      <c r="AV209" s="21" t="s">
        <v>313</v>
      </c>
      <c r="AW209" s="21" t="s">
        <v>313</v>
      </c>
      <c r="AX209" s="21" t="s">
        <v>313</v>
      </c>
    </row>
    <row r="210" spans="1:50" ht="15" hidden="1" customHeight="1" x14ac:dyDescent="0.3">
      <c r="A210" s="30" t="s">
        <v>151</v>
      </c>
      <c r="B210" s="29" t="str">
        <f>IFERROR(VLOOKUP(A210,'[1]JL EXE ACTIVE FTE List'!$G:$N,8,FALSE),IF(ISNA(VLOOKUP(A210,'[1]JL EXE LEAVER List'!$G:$I,3,FALSE)),"Query","Leaver"))</f>
        <v>COM</v>
      </c>
      <c r="C210" s="29" t="str">
        <f>IFERROR(VLOOKUP(A210,'[1]JL EXE ACTIVE FTE List'!$G:$R,12,FALSE),IF(ISNA(VLOOKUP(A210,'[1]JL EXE LEAVER List'!$G:$I,3,FALSE)),"?QUERY?","Leaver"))</f>
        <v>ACTIVE</v>
      </c>
      <c r="D210" s="39" t="str">
        <f>IFERROR(IFERROR(VLOOKUP(A210,'[1]JL EXE ACTIVE FTE List'!$G:$H,2,FALSE),VLOOKUP(A210,'[1]JL EXE LEAVER List'!$G:$H,2,FALSE)),"?QUERY?")</f>
        <v>Mark Elliott</v>
      </c>
      <c r="E210" s="40">
        <f>IFERROR(IFERROR(VLOOKUP(A210,'[1]JL EXE ACTIVE FTE List'!$G:$O,9,FALSE),VLOOKUP(A210,'[1]JL EXE LEAVER List'!$G:$O,9,FALSE)),"?QUERY?")</f>
        <v>42997</v>
      </c>
      <c r="F210" s="21" t="s">
        <v>338</v>
      </c>
      <c r="G210" s="21" t="s">
        <v>339</v>
      </c>
      <c r="H210" s="21" t="s">
        <v>338</v>
      </c>
      <c r="I210" s="21" t="s">
        <v>313</v>
      </c>
      <c r="J210" s="21" t="s">
        <v>313</v>
      </c>
      <c r="K210" s="21" t="s">
        <v>313</v>
      </c>
      <c r="L210" s="21" t="s">
        <v>313</v>
      </c>
      <c r="M210" s="21" t="s">
        <v>313</v>
      </c>
      <c r="N210" s="21" t="s">
        <v>313</v>
      </c>
      <c r="O210" s="21" t="s">
        <v>313</v>
      </c>
      <c r="P210" s="21" t="s">
        <v>313</v>
      </c>
      <c r="Q210" s="21" t="s">
        <v>313</v>
      </c>
      <c r="R210" s="21" t="s">
        <v>313</v>
      </c>
      <c r="S210" s="21" t="s">
        <v>313</v>
      </c>
      <c r="T210" s="21" t="s">
        <v>313</v>
      </c>
      <c r="U210" s="21" t="s">
        <v>313</v>
      </c>
      <c r="V210" s="21" t="s">
        <v>313</v>
      </c>
      <c r="W210" s="21" t="s">
        <v>313</v>
      </c>
      <c r="X210" s="21" t="s">
        <v>313</v>
      </c>
      <c r="Y210" s="21" t="s">
        <v>313</v>
      </c>
      <c r="Z210" s="21" t="s">
        <v>313</v>
      </c>
      <c r="AA210" s="21" t="s">
        <v>313</v>
      </c>
      <c r="AB210" s="21" t="s">
        <v>313</v>
      </c>
      <c r="AC210" s="21" t="s">
        <v>313</v>
      </c>
      <c r="AD210" s="21" t="s">
        <v>313</v>
      </c>
      <c r="AE210" s="21" t="s">
        <v>313</v>
      </c>
      <c r="AF210" s="21" t="s">
        <v>313</v>
      </c>
      <c r="AG210" s="21" t="s">
        <v>313</v>
      </c>
      <c r="AH210" s="21" t="s">
        <v>313</v>
      </c>
      <c r="AI210" s="21" t="s">
        <v>313</v>
      </c>
      <c r="AJ210" s="21" t="s">
        <v>313</v>
      </c>
      <c r="AK210" s="21" t="s">
        <v>313</v>
      </c>
      <c r="AL210" s="21" t="s">
        <v>313</v>
      </c>
      <c r="AM210" s="21" t="s">
        <v>313</v>
      </c>
      <c r="AN210" s="21" t="s">
        <v>313</v>
      </c>
      <c r="AO210" s="21" t="s">
        <v>313</v>
      </c>
      <c r="AP210" s="21" t="s">
        <v>313</v>
      </c>
      <c r="AQ210" s="21" t="s">
        <v>313</v>
      </c>
      <c r="AR210" s="21" t="s">
        <v>313</v>
      </c>
      <c r="AS210" s="21" t="s">
        <v>313</v>
      </c>
      <c r="AT210" s="21" t="s">
        <v>313</v>
      </c>
      <c r="AU210" s="21" t="s">
        <v>313</v>
      </c>
      <c r="AV210" s="21" t="s">
        <v>313</v>
      </c>
      <c r="AW210" s="21" t="s">
        <v>313</v>
      </c>
      <c r="AX210" s="21" t="s">
        <v>313</v>
      </c>
    </row>
    <row r="211" spans="1:50" ht="15" customHeight="1" x14ac:dyDescent="0.3">
      <c r="A211" s="30" t="s">
        <v>153</v>
      </c>
      <c r="B211" s="29" t="str">
        <f>IFERROR(VLOOKUP(A211,'[1]JL EXE ACTIVE FTE List'!$G:$N,8,FALSE),IF(ISNA(VLOOKUP(A211,'[1]JL EXE LEAVER List'!$G:$I,3,FALSE)),"Query","Leaver"))</f>
        <v>COM</v>
      </c>
      <c r="C211" s="29" t="str">
        <f>IFERROR(VLOOKUP(A211,'[1]JL EXE ACTIVE FTE List'!$G:$R,12,FALSE),IF(ISNA(VLOOKUP(A211,'[1]JL EXE LEAVER List'!$G:$I,3,FALSE)),"?QUERY?","Leaver"))</f>
        <v>ACTIVE</v>
      </c>
      <c r="D211" s="39" t="str">
        <f>IFERROR(IFERROR(VLOOKUP(A211,'[1]JL EXE ACTIVE FTE List'!$G:$H,2,FALSE),VLOOKUP(A211,'[1]JL EXE LEAVER List'!$G:$H,2,FALSE)),"?QUERY?")</f>
        <v>Mark Elliott</v>
      </c>
      <c r="E211" s="40">
        <f>IFERROR(IFERROR(VLOOKUP(A211,'[1]JL EXE ACTIVE FTE List'!$G:$O,9,FALSE),VLOOKUP(A211,'[1]JL EXE LEAVER List'!$G:$O,9,FALSE)),"?QUERY?")</f>
        <v>42926</v>
      </c>
      <c r="F211" s="21" t="s">
        <v>338</v>
      </c>
      <c r="G211" s="21" t="s">
        <v>338</v>
      </c>
      <c r="H211" s="21" t="s">
        <v>338</v>
      </c>
      <c r="I211" s="21" t="s">
        <v>313</v>
      </c>
      <c r="J211" s="21" t="s">
        <v>313</v>
      </c>
      <c r="K211" s="21" t="s">
        <v>313</v>
      </c>
      <c r="L211" s="21" t="s">
        <v>313</v>
      </c>
      <c r="M211" s="21" t="s">
        <v>313</v>
      </c>
      <c r="N211" s="21" t="s">
        <v>313</v>
      </c>
      <c r="O211" s="21" t="s">
        <v>313</v>
      </c>
      <c r="P211" s="21" t="s">
        <v>313</v>
      </c>
      <c r="Q211" s="21" t="s">
        <v>313</v>
      </c>
      <c r="R211" s="21" t="s">
        <v>313</v>
      </c>
      <c r="S211" s="21" t="s">
        <v>313</v>
      </c>
      <c r="T211" s="21" t="s">
        <v>313</v>
      </c>
      <c r="U211" s="21" t="s">
        <v>313</v>
      </c>
      <c r="V211" s="21" t="s">
        <v>313</v>
      </c>
      <c r="W211" s="21" t="s">
        <v>313</v>
      </c>
      <c r="X211" s="21" t="s">
        <v>313</v>
      </c>
      <c r="Y211" s="21" t="s">
        <v>313</v>
      </c>
      <c r="Z211" s="21" t="s">
        <v>313</v>
      </c>
      <c r="AA211" s="21" t="s">
        <v>313</v>
      </c>
      <c r="AB211" s="21" t="s">
        <v>313</v>
      </c>
      <c r="AC211" s="21" t="s">
        <v>313</v>
      </c>
      <c r="AD211" s="21" t="s">
        <v>313</v>
      </c>
      <c r="AE211" s="21" t="s">
        <v>313</v>
      </c>
      <c r="AF211" s="21" t="s">
        <v>313</v>
      </c>
      <c r="AG211" s="21" t="s">
        <v>313</v>
      </c>
      <c r="AH211" s="21" t="s">
        <v>313</v>
      </c>
      <c r="AI211" s="21" t="s">
        <v>313</v>
      </c>
      <c r="AJ211" s="21" t="s">
        <v>313</v>
      </c>
      <c r="AK211" s="21" t="s">
        <v>313</v>
      </c>
      <c r="AL211" s="21" t="s">
        <v>313</v>
      </c>
      <c r="AM211" s="21" t="s">
        <v>313</v>
      </c>
      <c r="AN211" s="21" t="s">
        <v>313</v>
      </c>
      <c r="AO211" s="21" t="s">
        <v>313</v>
      </c>
      <c r="AP211" s="21" t="s">
        <v>313</v>
      </c>
      <c r="AQ211" s="21" t="s">
        <v>313</v>
      </c>
      <c r="AR211" s="21" t="s">
        <v>313</v>
      </c>
      <c r="AS211" s="21" t="s">
        <v>313</v>
      </c>
      <c r="AT211" s="21" t="s">
        <v>313</v>
      </c>
      <c r="AU211" s="21" t="s">
        <v>313</v>
      </c>
      <c r="AV211" s="21" t="s">
        <v>313</v>
      </c>
      <c r="AW211" s="21" t="s">
        <v>313</v>
      </c>
      <c r="AX211" s="21" t="s">
        <v>313</v>
      </c>
    </row>
    <row r="212" spans="1:50" ht="15" customHeight="1" x14ac:dyDescent="0.3">
      <c r="A212" s="30" t="s">
        <v>178</v>
      </c>
      <c r="B212" s="29" t="str">
        <f>IFERROR(VLOOKUP(A212,'[1]JL EXE ACTIVE FTE List'!$G:$N,8,FALSE),IF(ISNA(VLOOKUP(A212,'[1]JL EXE LEAVER List'!$G:$I,3,FALSE)),"Query","Leaver"))</f>
        <v>COM</v>
      </c>
      <c r="C212" s="29" t="str">
        <f>IFERROR(VLOOKUP(A212,'[1]JL EXE ACTIVE FTE List'!$G:$R,12,FALSE),IF(ISNA(VLOOKUP(A212,'[1]JL EXE LEAVER List'!$G:$I,3,FALSE)),"?QUERY?","Leaver"))</f>
        <v>ACTIVE</v>
      </c>
      <c r="D212" s="39" t="str">
        <f>IFERROR(IFERROR(VLOOKUP(A212,'[1]JL EXE ACTIVE FTE List'!$G:$H,2,FALSE),VLOOKUP(A212,'[1]JL EXE LEAVER List'!$G:$H,2,FALSE)),"?QUERY?")</f>
        <v>Mark Elliott</v>
      </c>
      <c r="E212" s="40">
        <f>IFERROR(IFERROR(VLOOKUP(A212,'[1]JL EXE ACTIVE FTE List'!$G:$O,9,FALSE),VLOOKUP(A212,'[1]JL EXE LEAVER List'!$G:$O,9,FALSE)),"?QUERY?")</f>
        <v>42866</v>
      </c>
      <c r="F212" s="21" t="s">
        <v>338</v>
      </c>
      <c r="G212" s="21" t="s">
        <v>338</v>
      </c>
      <c r="H212" s="21" t="s">
        <v>338</v>
      </c>
      <c r="I212" s="21" t="s">
        <v>313</v>
      </c>
      <c r="J212" s="21" t="s">
        <v>313</v>
      </c>
      <c r="K212" s="21" t="s">
        <v>313</v>
      </c>
      <c r="L212" s="21" t="s">
        <v>313</v>
      </c>
      <c r="M212" s="21" t="s">
        <v>313</v>
      </c>
      <c r="N212" s="21" t="s">
        <v>313</v>
      </c>
      <c r="O212" s="21" t="s">
        <v>313</v>
      </c>
      <c r="P212" s="21" t="s">
        <v>313</v>
      </c>
      <c r="Q212" s="21" t="s">
        <v>313</v>
      </c>
      <c r="R212" s="21" t="s">
        <v>313</v>
      </c>
      <c r="S212" s="21" t="s">
        <v>313</v>
      </c>
      <c r="T212" s="21" t="s">
        <v>313</v>
      </c>
      <c r="U212" s="21" t="s">
        <v>313</v>
      </c>
      <c r="V212" s="21" t="s">
        <v>313</v>
      </c>
      <c r="W212" s="21" t="s">
        <v>313</v>
      </c>
      <c r="X212" s="21" t="s">
        <v>313</v>
      </c>
      <c r="Y212" s="21" t="s">
        <v>313</v>
      </c>
      <c r="Z212" s="21" t="s">
        <v>313</v>
      </c>
      <c r="AA212" s="21" t="s">
        <v>313</v>
      </c>
      <c r="AB212" s="21" t="s">
        <v>313</v>
      </c>
      <c r="AC212" s="21" t="s">
        <v>313</v>
      </c>
      <c r="AD212" s="21" t="s">
        <v>313</v>
      </c>
      <c r="AE212" s="21" t="s">
        <v>313</v>
      </c>
      <c r="AF212" s="21" t="s">
        <v>313</v>
      </c>
      <c r="AG212" s="21" t="s">
        <v>313</v>
      </c>
      <c r="AH212" s="21" t="s">
        <v>313</v>
      </c>
      <c r="AI212" s="21" t="s">
        <v>313</v>
      </c>
      <c r="AJ212" s="21" t="s">
        <v>313</v>
      </c>
      <c r="AK212" s="21" t="s">
        <v>313</v>
      </c>
      <c r="AL212" s="21" t="s">
        <v>313</v>
      </c>
      <c r="AM212" s="21" t="s">
        <v>313</v>
      </c>
      <c r="AN212" s="21" t="s">
        <v>313</v>
      </c>
      <c r="AO212" s="21" t="s">
        <v>313</v>
      </c>
      <c r="AP212" s="21" t="s">
        <v>313</v>
      </c>
      <c r="AQ212" s="21" t="s">
        <v>313</v>
      </c>
      <c r="AR212" s="21" t="s">
        <v>313</v>
      </c>
      <c r="AS212" s="21" t="s">
        <v>313</v>
      </c>
      <c r="AT212" s="21" t="s">
        <v>313</v>
      </c>
      <c r="AU212" s="21" t="s">
        <v>313</v>
      </c>
      <c r="AV212" s="21" t="s">
        <v>313</v>
      </c>
      <c r="AW212" s="21" t="s">
        <v>313</v>
      </c>
      <c r="AX212" s="21" t="s">
        <v>313</v>
      </c>
    </row>
    <row r="213" spans="1:50" ht="15" customHeight="1" x14ac:dyDescent="0.3">
      <c r="A213" s="30" t="s">
        <v>179</v>
      </c>
      <c r="B213" s="29" t="str">
        <f>IFERROR(VLOOKUP(A213,'[1]JL EXE ACTIVE FTE List'!$G:$N,8,FALSE),IF(ISNA(VLOOKUP(A213,'[1]JL EXE LEAVER List'!$G:$I,3,FALSE)),"Query","Leaver"))</f>
        <v>COM</v>
      </c>
      <c r="C213" s="29" t="str">
        <f>IFERROR(VLOOKUP(A213,'[1]JL EXE ACTIVE FTE List'!$G:$R,12,FALSE),IF(ISNA(VLOOKUP(A213,'[1]JL EXE LEAVER List'!$G:$I,3,FALSE)),"?QUERY?","Leaver"))</f>
        <v>ACTIVE</v>
      </c>
      <c r="D213" s="39" t="str">
        <f>IFERROR(IFERROR(VLOOKUP(A213,'[1]JL EXE ACTIVE FTE List'!$G:$H,2,FALSE),VLOOKUP(A213,'[1]JL EXE LEAVER List'!$G:$H,2,FALSE)),"?QUERY?")</f>
        <v>Mark Elliott</v>
      </c>
      <c r="E213" s="40">
        <f>IFERROR(IFERROR(VLOOKUP(A213,'[1]JL EXE ACTIVE FTE List'!$G:$O,9,FALSE),VLOOKUP(A213,'[1]JL EXE LEAVER List'!$G:$O,9,FALSE)),"?QUERY?")</f>
        <v>42866</v>
      </c>
      <c r="F213" s="21" t="s">
        <v>338</v>
      </c>
      <c r="G213" s="21" t="s">
        <v>338</v>
      </c>
      <c r="H213" s="21" t="s">
        <v>338</v>
      </c>
      <c r="I213" s="21" t="s">
        <v>313</v>
      </c>
      <c r="J213" s="21" t="s">
        <v>313</v>
      </c>
      <c r="K213" s="21" t="s">
        <v>313</v>
      </c>
      <c r="L213" s="21" t="s">
        <v>313</v>
      </c>
      <c r="M213" s="21" t="s">
        <v>313</v>
      </c>
      <c r="N213" s="21" t="s">
        <v>313</v>
      </c>
      <c r="O213" s="21" t="s">
        <v>313</v>
      </c>
      <c r="P213" s="21" t="s">
        <v>313</v>
      </c>
      <c r="Q213" s="21" t="s">
        <v>313</v>
      </c>
      <c r="R213" s="21" t="s">
        <v>313</v>
      </c>
      <c r="S213" s="21" t="s">
        <v>313</v>
      </c>
      <c r="T213" s="21" t="s">
        <v>313</v>
      </c>
      <c r="U213" s="21" t="s">
        <v>313</v>
      </c>
      <c r="V213" s="21" t="s">
        <v>313</v>
      </c>
      <c r="W213" s="21" t="s">
        <v>313</v>
      </c>
      <c r="X213" s="21" t="s">
        <v>313</v>
      </c>
      <c r="Y213" s="21" t="s">
        <v>313</v>
      </c>
      <c r="Z213" s="21" t="s">
        <v>313</v>
      </c>
      <c r="AA213" s="21" t="s">
        <v>313</v>
      </c>
      <c r="AB213" s="21" t="s">
        <v>313</v>
      </c>
      <c r="AC213" s="21" t="s">
        <v>313</v>
      </c>
      <c r="AD213" s="21" t="s">
        <v>313</v>
      </c>
      <c r="AE213" s="21" t="s">
        <v>313</v>
      </c>
      <c r="AF213" s="21" t="s">
        <v>313</v>
      </c>
      <c r="AG213" s="21" t="s">
        <v>313</v>
      </c>
      <c r="AH213" s="21" t="s">
        <v>313</v>
      </c>
      <c r="AI213" s="21" t="s">
        <v>313</v>
      </c>
      <c r="AJ213" s="21" t="s">
        <v>313</v>
      </c>
      <c r="AK213" s="21" t="s">
        <v>313</v>
      </c>
      <c r="AL213" s="21" t="s">
        <v>313</v>
      </c>
      <c r="AM213" s="21" t="s">
        <v>313</v>
      </c>
      <c r="AN213" s="21" t="s">
        <v>313</v>
      </c>
      <c r="AO213" s="21" t="s">
        <v>313</v>
      </c>
      <c r="AP213" s="21" t="s">
        <v>313</v>
      </c>
      <c r="AQ213" s="21" t="s">
        <v>313</v>
      </c>
      <c r="AR213" s="21" t="s">
        <v>313</v>
      </c>
      <c r="AS213" s="21" t="s">
        <v>313</v>
      </c>
      <c r="AT213" s="21" t="s">
        <v>313</v>
      </c>
      <c r="AU213" s="21" t="s">
        <v>313</v>
      </c>
      <c r="AV213" s="21" t="s">
        <v>313</v>
      </c>
      <c r="AW213" s="21" t="s">
        <v>313</v>
      </c>
      <c r="AX213" s="21" t="s">
        <v>313</v>
      </c>
    </row>
    <row r="214" spans="1:50" ht="15" customHeight="1" x14ac:dyDescent="0.3">
      <c r="A214" s="30" t="s">
        <v>152</v>
      </c>
      <c r="B214" s="29" t="str">
        <f>IFERROR(VLOOKUP(A214,'[1]JL EXE ACTIVE FTE List'!$G:$N,8,FALSE),IF(ISNA(VLOOKUP(A214,'[1]JL EXE LEAVER List'!$G:$I,3,FALSE)),"Query","Leaver"))</f>
        <v>SW</v>
      </c>
      <c r="C214" s="29" t="str">
        <f>IFERROR(VLOOKUP(A214,'[1]JL EXE ACTIVE FTE List'!$G:$R,12,FALSE),IF(ISNA(VLOOKUP(A214,'[1]JL EXE LEAVER List'!$G:$I,3,FALSE)),"?QUERY?","Leaver"))</f>
        <v>ACTIVE</v>
      </c>
      <c r="D214" s="39" t="str">
        <f>IFERROR(IFERROR(VLOOKUP(A214,'[1]JL EXE ACTIVE FTE List'!$G:$H,2,FALSE),VLOOKUP(A214,'[1]JL EXE LEAVER List'!$G:$H,2,FALSE)),"?QUERY?")</f>
        <v>Mark Elliott</v>
      </c>
      <c r="E214" s="40">
        <f>IFERROR(IFERROR(VLOOKUP(A214,'[1]JL EXE ACTIVE FTE List'!$G:$O,9,FALSE),VLOOKUP(A214,'[1]JL EXE LEAVER List'!$G:$O,9,FALSE)),"?QUERY?")</f>
        <v>42689</v>
      </c>
      <c r="F214" s="21" t="s">
        <v>338</v>
      </c>
      <c r="G214" s="21" t="s">
        <v>338</v>
      </c>
      <c r="H214" s="21" t="s">
        <v>338</v>
      </c>
      <c r="I214" s="21" t="s">
        <v>313</v>
      </c>
      <c r="J214" s="21" t="s">
        <v>313</v>
      </c>
      <c r="K214" s="21" t="s">
        <v>313</v>
      </c>
      <c r="L214" s="21" t="s">
        <v>313</v>
      </c>
      <c r="M214" s="21" t="s">
        <v>313</v>
      </c>
      <c r="N214" s="21" t="s">
        <v>313</v>
      </c>
      <c r="O214" s="21" t="s">
        <v>313</v>
      </c>
      <c r="P214" s="21" t="s">
        <v>313</v>
      </c>
      <c r="Q214" s="21" t="s">
        <v>313</v>
      </c>
      <c r="R214" s="21" t="s">
        <v>313</v>
      </c>
      <c r="S214" s="21" t="s">
        <v>313</v>
      </c>
      <c r="T214" s="21" t="s">
        <v>313</v>
      </c>
      <c r="U214" s="21" t="s">
        <v>313</v>
      </c>
      <c r="V214" s="21" t="s">
        <v>313</v>
      </c>
      <c r="W214" s="21" t="s">
        <v>313</v>
      </c>
      <c r="X214" s="21" t="s">
        <v>313</v>
      </c>
      <c r="Y214" s="21" t="s">
        <v>313</v>
      </c>
      <c r="Z214" s="21" t="s">
        <v>313</v>
      </c>
      <c r="AA214" s="21" t="s">
        <v>313</v>
      </c>
      <c r="AB214" s="21" t="s">
        <v>313</v>
      </c>
      <c r="AC214" s="21" t="s">
        <v>313</v>
      </c>
      <c r="AD214" s="21" t="s">
        <v>313</v>
      </c>
      <c r="AE214" s="21" t="s">
        <v>313</v>
      </c>
      <c r="AF214" s="21" t="s">
        <v>313</v>
      </c>
      <c r="AG214" s="21" t="s">
        <v>313</v>
      </c>
      <c r="AH214" s="21" t="s">
        <v>313</v>
      </c>
      <c r="AI214" s="21" t="s">
        <v>313</v>
      </c>
      <c r="AJ214" s="21" t="s">
        <v>313</v>
      </c>
      <c r="AK214" s="21" t="s">
        <v>313</v>
      </c>
      <c r="AL214" s="21" t="s">
        <v>313</v>
      </c>
      <c r="AM214" s="21" t="s">
        <v>313</v>
      </c>
      <c r="AN214" s="21" t="s">
        <v>313</v>
      </c>
      <c r="AO214" s="21" t="s">
        <v>313</v>
      </c>
      <c r="AP214" s="21" t="s">
        <v>313</v>
      </c>
      <c r="AQ214" s="21" t="s">
        <v>313</v>
      </c>
      <c r="AR214" s="21" t="s">
        <v>313</v>
      </c>
      <c r="AS214" s="21" t="s">
        <v>313</v>
      </c>
      <c r="AT214" s="21" t="s">
        <v>313</v>
      </c>
      <c r="AU214" s="21" t="s">
        <v>313</v>
      </c>
      <c r="AV214" s="21" t="s">
        <v>313</v>
      </c>
      <c r="AW214" s="21" t="s">
        <v>313</v>
      </c>
      <c r="AX214" s="21" t="s">
        <v>313</v>
      </c>
    </row>
    <row r="215" spans="1:50" ht="15" customHeight="1" x14ac:dyDescent="0.3">
      <c r="A215" s="30" t="s">
        <v>154</v>
      </c>
      <c r="B215" s="29" t="str">
        <f>IFERROR(VLOOKUP(A215,'[1]JL EXE ACTIVE FTE List'!$G:$N,8,FALSE),IF(ISNA(VLOOKUP(A215,'[1]JL EXE LEAVER List'!$G:$I,3,FALSE)),"Query","Leaver"))</f>
        <v>SW</v>
      </c>
      <c r="C215" s="29" t="str">
        <f>IFERROR(VLOOKUP(A215,'[1]JL EXE ACTIVE FTE List'!$G:$R,12,FALSE),IF(ISNA(VLOOKUP(A215,'[1]JL EXE LEAVER List'!$G:$I,3,FALSE)),"?QUERY?","Leaver"))</f>
        <v>ACTIVE</v>
      </c>
      <c r="D215" s="39" t="str">
        <f>IFERROR(IFERROR(VLOOKUP(A215,'[1]JL EXE ACTIVE FTE List'!$G:$H,2,FALSE),VLOOKUP(A215,'[1]JL EXE LEAVER List'!$G:$H,2,FALSE)),"?QUERY?")</f>
        <v>Mark Elliott</v>
      </c>
      <c r="E215" s="40">
        <f>IFERROR(IFERROR(VLOOKUP(A215,'[1]JL EXE ACTIVE FTE List'!$G:$O,9,FALSE),VLOOKUP(A215,'[1]JL EXE LEAVER List'!$G:$O,9,FALSE)),"?QUERY?")</f>
        <v>42528</v>
      </c>
      <c r="F215" s="21" t="s">
        <v>338</v>
      </c>
      <c r="G215" s="21" t="s">
        <v>338</v>
      </c>
      <c r="H215" s="21" t="s">
        <v>338</v>
      </c>
      <c r="I215" s="21" t="s">
        <v>313</v>
      </c>
      <c r="J215" s="21" t="s">
        <v>313</v>
      </c>
      <c r="K215" s="21" t="s">
        <v>313</v>
      </c>
      <c r="L215" s="21" t="s">
        <v>313</v>
      </c>
      <c r="M215" s="21" t="s">
        <v>313</v>
      </c>
      <c r="N215" s="21" t="s">
        <v>313</v>
      </c>
      <c r="O215" s="21" t="s">
        <v>313</v>
      </c>
      <c r="P215" s="21" t="s">
        <v>313</v>
      </c>
      <c r="Q215" s="21" t="s">
        <v>313</v>
      </c>
      <c r="R215" s="21" t="s">
        <v>313</v>
      </c>
      <c r="S215" s="21" t="s">
        <v>313</v>
      </c>
      <c r="T215" s="21" t="s">
        <v>313</v>
      </c>
      <c r="U215" s="21" t="s">
        <v>313</v>
      </c>
      <c r="V215" s="21" t="s">
        <v>313</v>
      </c>
      <c r="W215" s="21" t="s">
        <v>313</v>
      </c>
      <c r="X215" s="21" t="s">
        <v>313</v>
      </c>
      <c r="Y215" s="21" t="s">
        <v>313</v>
      </c>
      <c r="Z215" s="21" t="s">
        <v>313</v>
      </c>
      <c r="AA215" s="21" t="s">
        <v>313</v>
      </c>
      <c r="AB215" s="21" t="s">
        <v>313</v>
      </c>
      <c r="AC215" s="21" t="s">
        <v>313</v>
      </c>
      <c r="AD215" s="21" t="s">
        <v>313</v>
      </c>
      <c r="AE215" s="21" t="s">
        <v>313</v>
      </c>
      <c r="AF215" s="21" t="s">
        <v>313</v>
      </c>
      <c r="AG215" s="21" t="s">
        <v>313</v>
      </c>
      <c r="AH215" s="21" t="s">
        <v>313</v>
      </c>
      <c r="AI215" s="21" t="s">
        <v>313</v>
      </c>
      <c r="AJ215" s="21" t="s">
        <v>313</v>
      </c>
      <c r="AK215" s="21" t="s">
        <v>313</v>
      </c>
      <c r="AL215" s="21" t="s">
        <v>313</v>
      </c>
      <c r="AM215" s="21" t="s">
        <v>313</v>
      </c>
      <c r="AN215" s="21" t="s">
        <v>313</v>
      </c>
      <c r="AO215" s="21" t="s">
        <v>313</v>
      </c>
      <c r="AP215" s="21" t="s">
        <v>313</v>
      </c>
      <c r="AQ215" s="21" t="s">
        <v>313</v>
      </c>
      <c r="AR215" s="21" t="s">
        <v>313</v>
      </c>
      <c r="AS215" s="21" t="s">
        <v>313</v>
      </c>
      <c r="AT215" s="21" t="s">
        <v>313</v>
      </c>
      <c r="AU215" s="21" t="s">
        <v>313</v>
      </c>
      <c r="AV215" s="21" t="s">
        <v>313</v>
      </c>
      <c r="AW215" s="21" t="s">
        <v>313</v>
      </c>
      <c r="AX215" s="21" t="s">
        <v>313</v>
      </c>
    </row>
    <row r="216" spans="1:50" ht="15" customHeight="1" x14ac:dyDescent="0.3">
      <c r="A216" s="30" t="s">
        <v>234</v>
      </c>
      <c r="B216" s="29" t="str">
        <f>IFERROR(VLOOKUP(A216,'[1]JL EXE ACTIVE FTE List'!$G:$N,8,FALSE),IF(ISNA(VLOOKUP(A216,'[1]JL EXE LEAVER List'!$G:$I,3,FALSE)),"Query","Leaver"))</f>
        <v>COM</v>
      </c>
      <c r="C216" s="29" t="str">
        <f>IFERROR(VLOOKUP(A216,'[1]JL EXE ACTIVE FTE List'!$G:$R,12,FALSE),IF(ISNA(VLOOKUP(A216,'[1]JL EXE LEAVER List'!$G:$I,3,FALSE)),"?QUERY?","Leaver"))</f>
        <v>ACTIVE</v>
      </c>
      <c r="D216" s="39" t="str">
        <f>IFERROR(IFERROR(VLOOKUP(A216,'[1]JL EXE ACTIVE FTE List'!$G:$H,2,FALSE),VLOOKUP(A216,'[1]JL EXE LEAVER List'!$G:$H,2,FALSE)),"?QUERY?")</f>
        <v>Mark Elliott</v>
      </c>
      <c r="E216" s="40">
        <f>IFERROR(IFERROR(VLOOKUP(A216,'[1]JL EXE ACTIVE FTE List'!$G:$O,9,FALSE),VLOOKUP(A216,'[1]JL EXE LEAVER List'!$G:$O,9,FALSE)),"?QUERY?")</f>
        <v>42660</v>
      </c>
      <c r="F216" s="21" t="s">
        <v>338</v>
      </c>
      <c r="G216" s="21" t="s">
        <v>338</v>
      </c>
      <c r="H216" s="21" t="s">
        <v>338</v>
      </c>
      <c r="I216" s="21" t="s">
        <v>313</v>
      </c>
      <c r="J216" s="21" t="s">
        <v>313</v>
      </c>
      <c r="K216" s="21" t="s">
        <v>313</v>
      </c>
      <c r="L216" s="21" t="s">
        <v>313</v>
      </c>
      <c r="M216" s="21" t="s">
        <v>313</v>
      </c>
      <c r="N216" s="21" t="s">
        <v>313</v>
      </c>
      <c r="O216" s="21" t="s">
        <v>313</v>
      </c>
      <c r="P216" s="21" t="s">
        <v>313</v>
      </c>
      <c r="Q216" s="21" t="s">
        <v>313</v>
      </c>
      <c r="R216" s="21" t="s">
        <v>313</v>
      </c>
      <c r="S216" s="21" t="s">
        <v>313</v>
      </c>
      <c r="T216" s="21" t="s">
        <v>313</v>
      </c>
      <c r="U216" s="21" t="s">
        <v>313</v>
      </c>
      <c r="V216" s="21" t="s">
        <v>313</v>
      </c>
      <c r="W216" s="21" t="s">
        <v>313</v>
      </c>
      <c r="X216" s="21" t="s">
        <v>313</v>
      </c>
      <c r="Y216" s="21" t="s">
        <v>313</v>
      </c>
      <c r="Z216" s="21" t="s">
        <v>313</v>
      </c>
      <c r="AA216" s="21" t="s">
        <v>313</v>
      </c>
      <c r="AB216" s="21" t="s">
        <v>313</v>
      </c>
      <c r="AC216" s="21" t="s">
        <v>313</v>
      </c>
      <c r="AD216" s="21" t="s">
        <v>313</v>
      </c>
      <c r="AE216" s="21" t="s">
        <v>313</v>
      </c>
      <c r="AF216" s="21" t="s">
        <v>313</v>
      </c>
      <c r="AG216" s="21" t="s">
        <v>313</v>
      </c>
      <c r="AH216" s="21" t="s">
        <v>313</v>
      </c>
      <c r="AI216" s="21" t="s">
        <v>313</v>
      </c>
      <c r="AJ216" s="21" t="s">
        <v>313</v>
      </c>
      <c r="AK216" s="21" t="s">
        <v>313</v>
      </c>
      <c r="AL216" s="21" t="s">
        <v>313</v>
      </c>
      <c r="AM216" s="21" t="s">
        <v>313</v>
      </c>
      <c r="AN216" s="21" t="s">
        <v>313</v>
      </c>
      <c r="AO216" s="21" t="s">
        <v>313</v>
      </c>
      <c r="AP216" s="21" t="s">
        <v>313</v>
      </c>
      <c r="AQ216" s="21" t="s">
        <v>313</v>
      </c>
      <c r="AR216" s="21" t="s">
        <v>313</v>
      </c>
      <c r="AS216" s="21" t="s">
        <v>313</v>
      </c>
      <c r="AT216" s="21" t="s">
        <v>313</v>
      </c>
      <c r="AU216" s="21" t="s">
        <v>313</v>
      </c>
      <c r="AV216" s="21" t="s">
        <v>313</v>
      </c>
      <c r="AW216" s="21" t="s">
        <v>313</v>
      </c>
      <c r="AX216" s="21" t="s">
        <v>313</v>
      </c>
    </row>
    <row r="217" spans="1:50" x14ac:dyDescent="0.3">
      <c r="A217" s="30" t="s">
        <v>155</v>
      </c>
      <c r="B217" s="29" t="str">
        <f>IFERROR(VLOOKUP(A217,'[1]JL EXE ACTIVE FTE List'!$G:$N,8,FALSE),IF(ISNA(VLOOKUP(A217,'[1]JL EXE LEAVER List'!$G:$I,3,FALSE)),"Query","Leaver"))</f>
        <v>SW</v>
      </c>
      <c r="C217" s="29" t="str">
        <f>IFERROR(VLOOKUP(A217,'[1]JL EXE ACTIVE FTE List'!$G:$R,12,FALSE),IF(ISNA(VLOOKUP(A217,'[1]JL EXE LEAVER List'!$G:$I,3,FALSE)),"?QUERY?","Leaver"))</f>
        <v>ACTIVE</v>
      </c>
      <c r="D217" s="39" t="str">
        <f>IFERROR(IFERROR(VLOOKUP(A217,'[1]JL EXE ACTIVE FTE List'!$G:$H,2,FALSE),VLOOKUP(A217,'[1]JL EXE LEAVER List'!$G:$H,2,FALSE)),"?QUERY?")</f>
        <v>Mark Elliott</v>
      </c>
      <c r="E217" s="40">
        <f>IFERROR(IFERROR(VLOOKUP(A217,'[1]JL EXE ACTIVE FTE List'!$G:$O,9,FALSE),VLOOKUP(A217,'[1]JL EXE LEAVER List'!$G:$O,9,FALSE)),"?QUERY?")</f>
        <v>41617</v>
      </c>
      <c r="F217" s="21" t="s">
        <v>338</v>
      </c>
      <c r="G217" s="21" t="s">
        <v>338</v>
      </c>
      <c r="H217" s="21" t="s">
        <v>338</v>
      </c>
      <c r="I217" s="21" t="s">
        <v>313</v>
      </c>
      <c r="J217" s="21" t="s">
        <v>313</v>
      </c>
      <c r="K217" s="21" t="s">
        <v>313</v>
      </c>
      <c r="L217" s="21" t="s">
        <v>313</v>
      </c>
      <c r="M217" s="21" t="s">
        <v>313</v>
      </c>
      <c r="N217" s="21" t="s">
        <v>313</v>
      </c>
      <c r="O217" s="21" t="s">
        <v>313</v>
      </c>
      <c r="P217" s="21" t="s">
        <v>313</v>
      </c>
      <c r="Q217" s="21" t="s">
        <v>313</v>
      </c>
      <c r="R217" s="21" t="s">
        <v>313</v>
      </c>
      <c r="S217" s="21" t="s">
        <v>313</v>
      </c>
      <c r="T217" s="21" t="s">
        <v>313</v>
      </c>
      <c r="U217" s="21" t="s">
        <v>313</v>
      </c>
      <c r="V217" s="21" t="s">
        <v>313</v>
      </c>
      <c r="W217" s="21" t="s">
        <v>313</v>
      </c>
      <c r="X217" s="21" t="s">
        <v>313</v>
      </c>
      <c r="Y217" s="21" t="s">
        <v>313</v>
      </c>
      <c r="Z217" s="21" t="s">
        <v>313</v>
      </c>
      <c r="AA217" s="21" t="s">
        <v>313</v>
      </c>
      <c r="AB217" s="21" t="s">
        <v>313</v>
      </c>
      <c r="AC217" s="21" t="s">
        <v>313</v>
      </c>
      <c r="AD217" s="21" t="s">
        <v>313</v>
      </c>
      <c r="AE217" s="21" t="s">
        <v>313</v>
      </c>
      <c r="AF217" s="21" t="s">
        <v>313</v>
      </c>
      <c r="AG217" s="21" t="s">
        <v>313</v>
      </c>
      <c r="AH217" s="21" t="s">
        <v>313</v>
      </c>
      <c r="AI217" s="21" t="s">
        <v>313</v>
      </c>
      <c r="AJ217" s="21" t="s">
        <v>313</v>
      </c>
      <c r="AK217" s="21" t="s">
        <v>313</v>
      </c>
      <c r="AL217" s="21" t="s">
        <v>313</v>
      </c>
      <c r="AM217" s="21" t="s">
        <v>313</v>
      </c>
      <c r="AN217" s="21" t="s">
        <v>313</v>
      </c>
      <c r="AO217" s="21" t="s">
        <v>313</v>
      </c>
      <c r="AP217" s="21" t="s">
        <v>313</v>
      </c>
      <c r="AQ217" s="21" t="s">
        <v>313</v>
      </c>
      <c r="AR217" s="21" t="s">
        <v>313</v>
      </c>
      <c r="AS217" s="21" t="s">
        <v>313</v>
      </c>
      <c r="AT217" s="21" t="s">
        <v>313</v>
      </c>
      <c r="AU217" s="21" t="s">
        <v>313</v>
      </c>
      <c r="AV217" s="21" t="s">
        <v>313</v>
      </c>
      <c r="AW217" s="21" t="s">
        <v>313</v>
      </c>
      <c r="AX217" s="21" t="s">
        <v>313</v>
      </c>
    </row>
    <row r="218" spans="1:50" x14ac:dyDescent="0.3">
      <c r="A218" s="30" t="s">
        <v>156</v>
      </c>
      <c r="B218" s="29" t="str">
        <f>IFERROR(VLOOKUP(A218,'[1]JL EXE ACTIVE FTE List'!$G:$N,8,FALSE),IF(ISNA(VLOOKUP(A218,'[1]JL EXE LEAVER List'!$G:$I,3,FALSE)),"Query","Leaver"))</f>
        <v>SW</v>
      </c>
      <c r="C218" s="29" t="str">
        <f>IFERROR(VLOOKUP(A218,'[1]JL EXE ACTIVE FTE List'!$G:$R,12,FALSE),IF(ISNA(VLOOKUP(A218,'[1]JL EXE LEAVER List'!$G:$I,3,FALSE)),"?QUERY?","Leaver"))</f>
        <v>ACTIVE</v>
      </c>
      <c r="D218" s="39" t="str">
        <f>IFERROR(IFERROR(VLOOKUP(A218,'[1]JL EXE ACTIVE FTE List'!$G:$H,2,FALSE),VLOOKUP(A218,'[1]JL EXE LEAVER List'!$G:$H,2,FALSE)),"?QUERY?")</f>
        <v>Mark Elliott</v>
      </c>
      <c r="E218" s="40">
        <f>IFERROR(IFERROR(VLOOKUP(A218,'[1]JL EXE ACTIVE FTE List'!$G:$O,9,FALSE),VLOOKUP(A218,'[1]JL EXE LEAVER List'!$G:$O,9,FALSE)),"?QUERY?")</f>
        <v>41414</v>
      </c>
      <c r="F218" s="21" t="s">
        <v>338</v>
      </c>
      <c r="G218" s="21" t="s">
        <v>338</v>
      </c>
      <c r="H218" s="21" t="s">
        <v>338</v>
      </c>
      <c r="I218" s="21" t="s">
        <v>313</v>
      </c>
      <c r="J218" s="21" t="s">
        <v>313</v>
      </c>
      <c r="K218" s="21" t="s">
        <v>313</v>
      </c>
      <c r="L218" s="21" t="s">
        <v>313</v>
      </c>
      <c r="M218" s="21" t="s">
        <v>313</v>
      </c>
      <c r="N218" s="21" t="s">
        <v>313</v>
      </c>
      <c r="O218" s="21" t="s">
        <v>313</v>
      </c>
      <c r="P218" s="21" t="s">
        <v>313</v>
      </c>
      <c r="Q218" s="21" t="s">
        <v>313</v>
      </c>
      <c r="R218" s="21" t="s">
        <v>313</v>
      </c>
      <c r="S218" s="21" t="s">
        <v>313</v>
      </c>
      <c r="T218" s="21" t="s">
        <v>313</v>
      </c>
      <c r="U218" s="21" t="s">
        <v>313</v>
      </c>
      <c r="V218" s="21" t="s">
        <v>313</v>
      </c>
      <c r="W218" s="21" t="s">
        <v>313</v>
      </c>
      <c r="X218" s="21" t="s">
        <v>313</v>
      </c>
      <c r="Y218" s="21" t="s">
        <v>313</v>
      </c>
      <c r="Z218" s="21" t="s">
        <v>313</v>
      </c>
      <c r="AA218" s="21" t="s">
        <v>313</v>
      </c>
      <c r="AB218" s="21" t="s">
        <v>313</v>
      </c>
      <c r="AC218" s="21" t="s">
        <v>313</v>
      </c>
      <c r="AD218" s="21" t="s">
        <v>313</v>
      </c>
      <c r="AE218" s="21" t="s">
        <v>313</v>
      </c>
      <c r="AF218" s="21" t="s">
        <v>313</v>
      </c>
      <c r="AG218" s="21" t="s">
        <v>313</v>
      </c>
      <c r="AH218" s="21" t="s">
        <v>313</v>
      </c>
      <c r="AI218" s="21" t="s">
        <v>313</v>
      </c>
      <c r="AJ218" s="21" t="s">
        <v>313</v>
      </c>
      <c r="AK218" s="21" t="s">
        <v>313</v>
      </c>
      <c r="AL218" s="21" t="s">
        <v>313</v>
      </c>
      <c r="AM218" s="21" t="s">
        <v>313</v>
      </c>
      <c r="AN218" s="21" t="s">
        <v>313</v>
      </c>
      <c r="AO218" s="21" t="s">
        <v>313</v>
      </c>
      <c r="AP218" s="21" t="s">
        <v>313</v>
      </c>
      <c r="AQ218" s="21" t="s">
        <v>313</v>
      </c>
      <c r="AR218" s="21" t="s">
        <v>313</v>
      </c>
      <c r="AS218" s="21" t="s">
        <v>313</v>
      </c>
      <c r="AT218" s="21" t="s">
        <v>313</v>
      </c>
      <c r="AU218" s="21" t="s">
        <v>313</v>
      </c>
      <c r="AV218" s="21" t="s">
        <v>313</v>
      </c>
      <c r="AW218" s="21" t="s">
        <v>313</v>
      </c>
      <c r="AX218" s="21" t="s">
        <v>313</v>
      </c>
    </row>
    <row r="219" spans="1:50" x14ac:dyDescent="0.3">
      <c r="A219" s="30" t="s">
        <v>157</v>
      </c>
      <c r="B219" s="29" t="str">
        <f>IFERROR(VLOOKUP(A219,'[1]JL EXE ACTIVE FTE List'!$G:$N,8,FALSE),IF(ISNA(VLOOKUP(A219,'[1]JL EXE LEAVER List'!$G:$I,3,FALSE)),"Query","Leaver"))</f>
        <v>SW</v>
      </c>
      <c r="C219" s="29" t="str">
        <f>IFERROR(VLOOKUP(A219,'[1]JL EXE ACTIVE FTE List'!$G:$R,12,FALSE),IF(ISNA(VLOOKUP(A219,'[1]JL EXE LEAVER List'!$G:$I,3,FALSE)),"?QUERY?","Leaver"))</f>
        <v>ACTIVE</v>
      </c>
      <c r="D219" s="39" t="str">
        <f>IFERROR(IFERROR(VLOOKUP(A219,'[1]JL EXE ACTIVE FTE List'!$G:$H,2,FALSE),VLOOKUP(A219,'[1]JL EXE LEAVER List'!$G:$H,2,FALSE)),"?QUERY?")</f>
        <v>Mark Elliott</v>
      </c>
      <c r="E219" s="40">
        <f>IFERROR(IFERROR(VLOOKUP(A219,'[1]JL EXE ACTIVE FTE List'!$G:$O,9,FALSE),VLOOKUP(A219,'[1]JL EXE LEAVER List'!$G:$O,9,FALSE)),"?QUERY?")</f>
        <v>41190</v>
      </c>
      <c r="F219" s="21" t="s">
        <v>338</v>
      </c>
      <c r="G219" s="21" t="s">
        <v>338</v>
      </c>
      <c r="H219" s="21" t="s">
        <v>338</v>
      </c>
      <c r="I219" s="21" t="s">
        <v>313</v>
      </c>
      <c r="J219" s="21" t="s">
        <v>313</v>
      </c>
      <c r="K219" s="21" t="s">
        <v>313</v>
      </c>
      <c r="L219" s="21" t="s">
        <v>313</v>
      </c>
      <c r="M219" s="21" t="s">
        <v>313</v>
      </c>
      <c r="N219" s="21" t="s">
        <v>313</v>
      </c>
      <c r="O219" s="21" t="s">
        <v>313</v>
      </c>
      <c r="P219" s="21" t="s">
        <v>313</v>
      </c>
      <c r="Q219" s="21" t="s">
        <v>313</v>
      </c>
      <c r="R219" s="21" t="s">
        <v>313</v>
      </c>
      <c r="S219" s="21" t="s">
        <v>313</v>
      </c>
      <c r="T219" s="21" t="s">
        <v>313</v>
      </c>
      <c r="U219" s="21" t="s">
        <v>313</v>
      </c>
      <c r="V219" s="21" t="s">
        <v>313</v>
      </c>
      <c r="W219" s="21" t="s">
        <v>313</v>
      </c>
      <c r="X219" s="21" t="s">
        <v>313</v>
      </c>
      <c r="Y219" s="21" t="s">
        <v>313</v>
      </c>
      <c r="Z219" s="21" t="s">
        <v>313</v>
      </c>
      <c r="AA219" s="21" t="s">
        <v>313</v>
      </c>
      <c r="AB219" s="21" t="s">
        <v>313</v>
      </c>
      <c r="AC219" s="21" t="s">
        <v>313</v>
      </c>
      <c r="AD219" s="21" t="s">
        <v>313</v>
      </c>
      <c r="AE219" s="21" t="s">
        <v>313</v>
      </c>
      <c r="AF219" s="21" t="s">
        <v>313</v>
      </c>
      <c r="AG219" s="21" t="s">
        <v>313</v>
      </c>
      <c r="AH219" s="21" t="s">
        <v>313</v>
      </c>
      <c r="AI219" s="21" t="s">
        <v>313</v>
      </c>
      <c r="AJ219" s="21" t="s">
        <v>313</v>
      </c>
      <c r="AK219" s="21" t="s">
        <v>313</v>
      </c>
      <c r="AL219" s="21" t="s">
        <v>313</v>
      </c>
      <c r="AM219" s="21" t="s">
        <v>313</v>
      </c>
      <c r="AN219" s="21" t="s">
        <v>313</v>
      </c>
      <c r="AO219" s="21" t="s">
        <v>313</v>
      </c>
      <c r="AP219" s="21" t="s">
        <v>313</v>
      </c>
      <c r="AQ219" s="21" t="s">
        <v>313</v>
      </c>
      <c r="AR219" s="21" t="s">
        <v>313</v>
      </c>
      <c r="AS219" s="21" t="s">
        <v>313</v>
      </c>
      <c r="AT219" s="21" t="s">
        <v>313</v>
      </c>
      <c r="AU219" s="21" t="s">
        <v>313</v>
      </c>
      <c r="AV219" s="21" t="s">
        <v>313</v>
      </c>
      <c r="AW219" s="21" t="s">
        <v>313</v>
      </c>
      <c r="AX219" s="21" t="s">
        <v>313</v>
      </c>
    </row>
    <row r="220" spans="1:50" hidden="1" x14ac:dyDescent="0.3">
      <c r="A220" s="30" t="s">
        <v>158</v>
      </c>
      <c r="B220" s="29" t="str">
        <f>IFERROR(VLOOKUP(A220,'[1]JL EXE ACTIVE FTE List'!$G:$N,8,FALSE),IF(ISNA(VLOOKUP(A220,'[1]JL EXE LEAVER List'!$G:$I,3,FALSE)),"Query","Leaver"))</f>
        <v>SW</v>
      </c>
      <c r="C220" s="29" t="str">
        <f>IFERROR(VLOOKUP(A220,'[1]JL EXE ACTIVE FTE List'!$G:$R,12,FALSE),IF(ISNA(VLOOKUP(A220,'[1]JL EXE LEAVER List'!$G:$I,3,FALSE)),"?QUERY?","Leaver"))</f>
        <v>ACTIVE</v>
      </c>
      <c r="D220" s="39" t="str">
        <f>IFERROR(IFERROR(VLOOKUP(A220,'[1]JL EXE ACTIVE FTE List'!$G:$H,2,FALSE),VLOOKUP(A220,'[1]JL EXE LEAVER List'!$G:$H,2,FALSE)),"?QUERY?")</f>
        <v>Mark Elliott</v>
      </c>
      <c r="E220" s="40">
        <f>IFERROR(IFERROR(VLOOKUP(A220,'[1]JL EXE ACTIVE FTE List'!$G:$O,9,FALSE),VLOOKUP(A220,'[1]JL EXE LEAVER List'!$G:$O,9,FALSE)),"?QUERY?")</f>
        <v>41883</v>
      </c>
      <c r="F220" s="21" t="s">
        <v>366</v>
      </c>
      <c r="G220" s="21" t="s">
        <v>366</v>
      </c>
      <c r="H220" s="21" t="s">
        <v>338</v>
      </c>
      <c r="I220" s="21" t="s">
        <v>313</v>
      </c>
      <c r="J220" s="21" t="s">
        <v>313</v>
      </c>
      <c r="K220" s="21" t="s">
        <v>313</v>
      </c>
      <c r="L220" s="21" t="s">
        <v>313</v>
      </c>
      <c r="M220" s="21" t="s">
        <v>313</v>
      </c>
      <c r="N220" s="21" t="s">
        <v>313</v>
      </c>
      <c r="O220" s="21" t="s">
        <v>313</v>
      </c>
      <c r="P220" s="21" t="s">
        <v>313</v>
      </c>
      <c r="Q220" s="21" t="s">
        <v>313</v>
      </c>
      <c r="R220" s="21" t="s">
        <v>313</v>
      </c>
      <c r="S220" s="21" t="s">
        <v>313</v>
      </c>
      <c r="T220" s="21" t="s">
        <v>313</v>
      </c>
      <c r="U220" s="21" t="s">
        <v>313</v>
      </c>
      <c r="V220" s="21" t="s">
        <v>313</v>
      </c>
      <c r="W220" s="21" t="s">
        <v>313</v>
      </c>
      <c r="X220" s="21" t="s">
        <v>313</v>
      </c>
      <c r="Y220" s="21" t="s">
        <v>313</v>
      </c>
      <c r="Z220" s="21" t="s">
        <v>313</v>
      </c>
      <c r="AA220" s="21" t="s">
        <v>313</v>
      </c>
      <c r="AB220" s="21" t="s">
        <v>313</v>
      </c>
      <c r="AC220" s="21" t="s">
        <v>313</v>
      </c>
      <c r="AD220" s="21" t="s">
        <v>313</v>
      </c>
      <c r="AE220" s="21" t="s">
        <v>313</v>
      </c>
      <c r="AF220" s="21" t="s">
        <v>313</v>
      </c>
      <c r="AG220" s="21" t="s">
        <v>313</v>
      </c>
      <c r="AH220" s="21" t="s">
        <v>313</v>
      </c>
      <c r="AI220" s="21" t="s">
        <v>313</v>
      </c>
      <c r="AJ220" s="21" t="s">
        <v>313</v>
      </c>
      <c r="AK220" s="21" t="s">
        <v>313</v>
      </c>
      <c r="AL220" s="21" t="s">
        <v>313</v>
      </c>
      <c r="AM220" s="21" t="s">
        <v>313</v>
      </c>
      <c r="AN220" s="21" t="s">
        <v>313</v>
      </c>
      <c r="AO220" s="21" t="s">
        <v>313</v>
      </c>
      <c r="AP220" s="21" t="s">
        <v>313</v>
      </c>
      <c r="AQ220" s="21" t="s">
        <v>313</v>
      </c>
      <c r="AR220" s="21" t="s">
        <v>313</v>
      </c>
      <c r="AS220" s="21" t="s">
        <v>313</v>
      </c>
      <c r="AT220" s="21" t="s">
        <v>313</v>
      </c>
      <c r="AU220" s="21" t="s">
        <v>313</v>
      </c>
      <c r="AV220" s="21" t="s">
        <v>313</v>
      </c>
      <c r="AW220" s="21" t="s">
        <v>313</v>
      </c>
      <c r="AX220" s="21" t="s">
        <v>313</v>
      </c>
    </row>
    <row r="221" spans="1:50" ht="15" customHeight="1" x14ac:dyDescent="0.3">
      <c r="A221" s="30" t="s">
        <v>159</v>
      </c>
      <c r="B221" s="29" t="str">
        <f>IFERROR(VLOOKUP(A221,'[1]JL EXE ACTIVE FTE List'!$G:$N,8,FALSE),IF(ISNA(VLOOKUP(A221,'[1]JL EXE LEAVER List'!$G:$I,3,FALSE)),"Query","Leaver"))</f>
        <v>SW</v>
      </c>
      <c r="C221" s="29" t="str">
        <f>IFERROR(VLOOKUP(A221,'[1]JL EXE ACTIVE FTE List'!$G:$R,12,FALSE),IF(ISNA(VLOOKUP(A221,'[1]JL EXE LEAVER List'!$G:$I,3,FALSE)),"?QUERY?","Leaver"))</f>
        <v>ACTIVE</v>
      </c>
      <c r="D221" s="39" t="str">
        <f>IFERROR(IFERROR(VLOOKUP(A221,'[1]JL EXE ACTIVE FTE List'!$G:$H,2,FALSE),VLOOKUP(A221,'[1]JL EXE LEAVER List'!$G:$H,2,FALSE)),"?QUERY?")</f>
        <v>Mark Elliott</v>
      </c>
      <c r="E221" s="40">
        <f>IFERROR(IFERROR(VLOOKUP(A221,'[1]JL EXE ACTIVE FTE List'!$G:$O,9,FALSE),VLOOKUP(A221,'[1]JL EXE LEAVER List'!$G:$O,9,FALSE)),"?QUERY?")</f>
        <v>42373</v>
      </c>
      <c r="F221" s="21" t="s">
        <v>338</v>
      </c>
      <c r="G221" s="21" t="s">
        <v>338</v>
      </c>
      <c r="H221" s="21" t="s">
        <v>338</v>
      </c>
      <c r="I221" s="21" t="s">
        <v>313</v>
      </c>
      <c r="J221" s="21" t="s">
        <v>313</v>
      </c>
      <c r="K221" s="21" t="s">
        <v>313</v>
      </c>
      <c r="L221" s="21" t="s">
        <v>313</v>
      </c>
      <c r="M221" s="21" t="s">
        <v>313</v>
      </c>
      <c r="N221" s="21" t="s">
        <v>313</v>
      </c>
      <c r="O221" s="21" t="s">
        <v>313</v>
      </c>
      <c r="P221" s="21" t="s">
        <v>313</v>
      </c>
      <c r="Q221" s="21" t="s">
        <v>313</v>
      </c>
      <c r="R221" s="21" t="s">
        <v>313</v>
      </c>
      <c r="S221" s="21" t="s">
        <v>313</v>
      </c>
      <c r="T221" s="21" t="s">
        <v>313</v>
      </c>
      <c r="U221" s="21" t="s">
        <v>313</v>
      </c>
      <c r="V221" s="21" t="s">
        <v>313</v>
      </c>
      <c r="W221" s="21" t="s">
        <v>313</v>
      </c>
      <c r="X221" s="21" t="s">
        <v>313</v>
      </c>
      <c r="Y221" s="21" t="s">
        <v>313</v>
      </c>
      <c r="Z221" s="21" t="s">
        <v>313</v>
      </c>
      <c r="AA221" s="21" t="s">
        <v>313</v>
      </c>
      <c r="AB221" s="21" t="s">
        <v>313</v>
      </c>
      <c r="AC221" s="21" t="s">
        <v>313</v>
      </c>
      <c r="AD221" s="21" t="s">
        <v>313</v>
      </c>
      <c r="AE221" s="21" t="s">
        <v>313</v>
      </c>
      <c r="AF221" s="21" t="s">
        <v>313</v>
      </c>
      <c r="AG221" s="21" t="s">
        <v>313</v>
      </c>
      <c r="AH221" s="21" t="s">
        <v>313</v>
      </c>
      <c r="AI221" s="21" t="s">
        <v>313</v>
      </c>
      <c r="AJ221" s="21" t="s">
        <v>313</v>
      </c>
      <c r="AK221" s="21" t="s">
        <v>313</v>
      </c>
      <c r="AL221" s="21" t="s">
        <v>313</v>
      </c>
      <c r="AM221" s="21" t="s">
        <v>313</v>
      </c>
      <c r="AN221" s="21" t="s">
        <v>313</v>
      </c>
      <c r="AO221" s="21" t="s">
        <v>313</v>
      </c>
      <c r="AP221" s="21" t="s">
        <v>313</v>
      </c>
      <c r="AQ221" s="21" t="s">
        <v>313</v>
      </c>
      <c r="AR221" s="21" t="s">
        <v>313</v>
      </c>
      <c r="AS221" s="21" t="s">
        <v>313</v>
      </c>
      <c r="AT221" s="21" t="s">
        <v>313</v>
      </c>
      <c r="AU221" s="21" t="s">
        <v>313</v>
      </c>
      <c r="AV221" s="21" t="s">
        <v>313</v>
      </c>
      <c r="AW221" s="21" t="s">
        <v>313</v>
      </c>
      <c r="AX221" s="21" t="s">
        <v>313</v>
      </c>
    </row>
    <row r="222" spans="1:50" x14ac:dyDescent="0.3">
      <c r="A222" s="30" t="s">
        <v>160</v>
      </c>
      <c r="B222" s="29" t="str">
        <f>IFERROR(VLOOKUP(A222,'[1]JL EXE ACTIVE FTE List'!$G:$N,8,FALSE),IF(ISNA(VLOOKUP(A222,'[1]JL EXE LEAVER List'!$G:$I,3,FALSE)),"Query","Leaver"))</f>
        <v>LE</v>
      </c>
      <c r="C222" s="29" t="str">
        <f>IFERROR(VLOOKUP(A222,'[1]JL EXE ACTIVE FTE List'!$G:$R,12,FALSE),IF(ISNA(VLOOKUP(A222,'[1]JL EXE LEAVER List'!$G:$I,3,FALSE)),"?QUERY?","Leaver"))</f>
        <v>ACTIVE</v>
      </c>
      <c r="D222" s="39" t="str">
        <f>IFERROR(IFERROR(VLOOKUP(A222,'[1]JL EXE ACTIVE FTE List'!$G:$H,2,FALSE),VLOOKUP(A222,'[1]JL EXE LEAVER List'!$G:$H,2,FALSE)),"?QUERY?")</f>
        <v>Mark Elliott</v>
      </c>
      <c r="E222" s="40">
        <f>IFERROR(IFERROR(VLOOKUP(A222,'[1]JL EXE ACTIVE FTE List'!$G:$O,9,FALSE),VLOOKUP(A222,'[1]JL EXE LEAVER List'!$G:$O,9,FALSE)),"?QUERY?")</f>
        <v>42835</v>
      </c>
      <c r="F222" s="21" t="s">
        <v>338</v>
      </c>
      <c r="G222" s="21" t="s">
        <v>338</v>
      </c>
      <c r="H222" s="21" t="s">
        <v>338</v>
      </c>
      <c r="I222" s="21" t="s">
        <v>313</v>
      </c>
      <c r="J222" s="21" t="s">
        <v>313</v>
      </c>
      <c r="K222" s="21" t="s">
        <v>313</v>
      </c>
      <c r="L222" s="21" t="s">
        <v>313</v>
      </c>
      <c r="M222" s="21" t="s">
        <v>313</v>
      </c>
      <c r="N222" s="21" t="s">
        <v>313</v>
      </c>
      <c r="O222" s="21" t="s">
        <v>313</v>
      </c>
      <c r="P222" s="21" t="s">
        <v>313</v>
      </c>
      <c r="Q222" s="21" t="s">
        <v>313</v>
      </c>
      <c r="R222" s="21" t="s">
        <v>313</v>
      </c>
      <c r="S222" s="21" t="s">
        <v>313</v>
      </c>
      <c r="T222" s="21" t="s">
        <v>313</v>
      </c>
      <c r="U222" s="21" t="s">
        <v>313</v>
      </c>
      <c r="V222" s="21" t="s">
        <v>313</v>
      </c>
      <c r="W222" s="21" t="s">
        <v>313</v>
      </c>
      <c r="X222" s="21" t="s">
        <v>313</v>
      </c>
      <c r="Y222" s="21" t="s">
        <v>313</v>
      </c>
      <c r="Z222" s="21" t="s">
        <v>313</v>
      </c>
      <c r="AA222" s="21" t="s">
        <v>313</v>
      </c>
      <c r="AB222" s="21" t="s">
        <v>313</v>
      </c>
      <c r="AC222" s="21" t="s">
        <v>313</v>
      </c>
      <c r="AD222" s="21" t="s">
        <v>313</v>
      </c>
      <c r="AE222" s="21" t="s">
        <v>313</v>
      </c>
      <c r="AF222" s="21" t="s">
        <v>313</v>
      </c>
      <c r="AG222" s="21" t="s">
        <v>313</v>
      </c>
      <c r="AH222" s="21" t="s">
        <v>313</v>
      </c>
      <c r="AI222" s="21" t="s">
        <v>313</v>
      </c>
      <c r="AJ222" s="21" t="s">
        <v>313</v>
      </c>
      <c r="AK222" s="21" t="s">
        <v>313</v>
      </c>
      <c r="AL222" s="21" t="s">
        <v>313</v>
      </c>
      <c r="AM222" s="21" t="s">
        <v>313</v>
      </c>
      <c r="AN222" s="21" t="s">
        <v>313</v>
      </c>
      <c r="AO222" s="21" t="s">
        <v>313</v>
      </c>
      <c r="AP222" s="21" t="s">
        <v>313</v>
      </c>
      <c r="AQ222" s="21" t="s">
        <v>313</v>
      </c>
      <c r="AR222" s="21" t="s">
        <v>313</v>
      </c>
      <c r="AS222" s="21" t="s">
        <v>313</v>
      </c>
      <c r="AT222" s="21" t="s">
        <v>313</v>
      </c>
      <c r="AU222" s="21" t="s">
        <v>313</v>
      </c>
      <c r="AV222" s="21" t="s">
        <v>313</v>
      </c>
      <c r="AW222" s="21" t="s">
        <v>313</v>
      </c>
      <c r="AX222" s="21" t="s">
        <v>313</v>
      </c>
    </row>
    <row r="223" spans="1:50" x14ac:dyDescent="0.3">
      <c r="A223" s="30" t="s">
        <v>161</v>
      </c>
      <c r="B223" s="29" t="str">
        <f>IFERROR(VLOOKUP(A223,'[1]JL EXE ACTIVE FTE List'!$G:$N,8,FALSE),IF(ISNA(VLOOKUP(A223,'[1]JL EXE LEAVER List'!$G:$I,3,FALSE)),"Query","Leaver"))</f>
        <v>COM</v>
      </c>
      <c r="C223" s="29" t="str">
        <f>IFERROR(VLOOKUP(A223,'[1]JL EXE ACTIVE FTE List'!$G:$R,12,FALSE),IF(ISNA(VLOOKUP(A223,'[1]JL EXE LEAVER List'!$G:$I,3,FALSE)),"?QUERY?","Leaver"))</f>
        <v>ACTIVE</v>
      </c>
      <c r="D223" s="39" t="str">
        <f>IFERROR(IFERROR(VLOOKUP(A223,'[1]JL EXE ACTIVE FTE List'!$G:$H,2,FALSE),VLOOKUP(A223,'[1]JL EXE LEAVER List'!$G:$H,2,FALSE)),"?QUERY?")</f>
        <v>Mark Elliott</v>
      </c>
      <c r="E223" s="40">
        <f>IFERROR(IFERROR(VLOOKUP(A223,'[1]JL EXE ACTIVE FTE List'!$G:$O,9,FALSE),VLOOKUP(A223,'[1]JL EXE LEAVER List'!$G:$O,9,FALSE)),"?QUERY?")</f>
        <v>42866</v>
      </c>
      <c r="F223" s="21" t="s">
        <v>338</v>
      </c>
      <c r="G223" s="21" t="s">
        <v>338</v>
      </c>
      <c r="H223" s="21" t="s">
        <v>338</v>
      </c>
      <c r="I223" s="21" t="s">
        <v>313</v>
      </c>
      <c r="J223" s="21" t="s">
        <v>313</v>
      </c>
      <c r="K223" s="21" t="s">
        <v>313</v>
      </c>
      <c r="L223" s="21" t="s">
        <v>313</v>
      </c>
      <c r="M223" s="21" t="s">
        <v>313</v>
      </c>
      <c r="N223" s="21" t="s">
        <v>313</v>
      </c>
      <c r="O223" s="21" t="s">
        <v>313</v>
      </c>
      <c r="P223" s="21" t="s">
        <v>313</v>
      </c>
      <c r="Q223" s="21" t="s">
        <v>313</v>
      </c>
      <c r="R223" s="21" t="s">
        <v>313</v>
      </c>
      <c r="S223" s="21" t="s">
        <v>313</v>
      </c>
      <c r="T223" s="21" t="s">
        <v>313</v>
      </c>
      <c r="U223" s="21" t="s">
        <v>313</v>
      </c>
      <c r="V223" s="21" t="s">
        <v>313</v>
      </c>
      <c r="W223" s="21" t="s">
        <v>313</v>
      </c>
      <c r="X223" s="21" t="s">
        <v>313</v>
      </c>
      <c r="Y223" s="21" t="s">
        <v>313</v>
      </c>
      <c r="Z223" s="21" t="s">
        <v>313</v>
      </c>
      <c r="AA223" s="21" t="s">
        <v>313</v>
      </c>
      <c r="AB223" s="21" t="s">
        <v>313</v>
      </c>
      <c r="AC223" s="21" t="s">
        <v>313</v>
      </c>
      <c r="AD223" s="21" t="s">
        <v>313</v>
      </c>
      <c r="AE223" s="21" t="s">
        <v>313</v>
      </c>
      <c r="AF223" s="21" t="s">
        <v>313</v>
      </c>
      <c r="AG223" s="21" t="s">
        <v>313</v>
      </c>
      <c r="AH223" s="21" t="s">
        <v>313</v>
      </c>
      <c r="AI223" s="21" t="s">
        <v>313</v>
      </c>
      <c r="AJ223" s="21" t="s">
        <v>313</v>
      </c>
      <c r="AK223" s="21" t="s">
        <v>313</v>
      </c>
      <c r="AL223" s="21" t="s">
        <v>313</v>
      </c>
      <c r="AM223" s="21" t="s">
        <v>313</v>
      </c>
      <c r="AN223" s="21" t="s">
        <v>313</v>
      </c>
      <c r="AO223" s="21" t="s">
        <v>313</v>
      </c>
      <c r="AP223" s="21" t="s">
        <v>313</v>
      </c>
      <c r="AQ223" s="21" t="s">
        <v>313</v>
      </c>
      <c r="AR223" s="21" t="s">
        <v>313</v>
      </c>
      <c r="AS223" s="21" t="s">
        <v>313</v>
      </c>
      <c r="AT223" s="21" t="s">
        <v>313</v>
      </c>
      <c r="AU223" s="21" t="s">
        <v>313</v>
      </c>
      <c r="AV223" s="21" t="s">
        <v>313</v>
      </c>
      <c r="AW223" s="21" t="s">
        <v>313</v>
      </c>
      <c r="AX223" s="21" t="s">
        <v>313</v>
      </c>
    </row>
    <row r="224" spans="1:50" hidden="1" x14ac:dyDescent="0.3">
      <c r="A224" s="30" t="s">
        <v>9</v>
      </c>
      <c r="B224" s="29" t="str">
        <f>IFERROR(VLOOKUP(A224,'[1]JL EXE ACTIVE FTE List'!$G:$N,8,FALSE),IF(ISNA(VLOOKUP(A224,'[1]JL EXE LEAVER List'!$G:$I,3,FALSE)),"Query","Leaver"))</f>
        <v>Leaver</v>
      </c>
      <c r="C224" s="29" t="s">
        <v>367</v>
      </c>
      <c r="D224" s="39" t="str">
        <f>IFERROR(IFERROR(VLOOKUP(A224,'[1]JL EXE ACTIVE FTE List'!$G:$H,2,FALSE),VLOOKUP(A224,'[1]JL EXE LEAVER List'!$G:$H,2,FALSE)),"?QUERY?")</f>
        <v>Richard Crellin</v>
      </c>
      <c r="E224" s="40">
        <f>IFERROR(IFERROR(VLOOKUP(A224,'[1]JL EXE ACTIVE FTE List'!$G:$O,9,FALSE),VLOOKUP(A224,'[1]JL EXE LEAVER List'!$G:$O,9,FALSE)),"?QUERY?")</f>
        <v>43038</v>
      </c>
      <c r="F224" s="21" t="s">
        <v>339</v>
      </c>
      <c r="G224" s="21" t="s">
        <v>339</v>
      </c>
      <c r="H224" s="21" t="s">
        <v>313</v>
      </c>
      <c r="I224" s="21" t="s">
        <v>313</v>
      </c>
      <c r="J224" s="21" t="s">
        <v>313</v>
      </c>
      <c r="K224" s="21" t="s">
        <v>313</v>
      </c>
      <c r="L224" s="21" t="s">
        <v>313</v>
      </c>
      <c r="M224" s="21" t="s">
        <v>313</v>
      </c>
      <c r="N224" s="21" t="s">
        <v>313</v>
      </c>
      <c r="O224" s="21" t="s">
        <v>313</v>
      </c>
      <c r="P224" s="21" t="s">
        <v>313</v>
      </c>
      <c r="Q224" s="21" t="s">
        <v>313</v>
      </c>
      <c r="R224" s="21" t="s">
        <v>313</v>
      </c>
      <c r="S224" s="21" t="s">
        <v>313</v>
      </c>
      <c r="T224" s="21" t="s">
        <v>313</v>
      </c>
      <c r="U224" s="21" t="s">
        <v>313</v>
      </c>
      <c r="V224" s="21" t="s">
        <v>313</v>
      </c>
      <c r="W224" s="21" t="s">
        <v>313</v>
      </c>
      <c r="X224" s="21" t="s">
        <v>313</v>
      </c>
      <c r="Y224" s="21" t="s">
        <v>313</v>
      </c>
      <c r="Z224" s="21" t="s">
        <v>313</v>
      </c>
      <c r="AA224" s="21" t="s">
        <v>313</v>
      </c>
      <c r="AB224" s="21" t="s">
        <v>313</v>
      </c>
      <c r="AC224" s="21" t="s">
        <v>313</v>
      </c>
      <c r="AD224" s="21" t="s">
        <v>313</v>
      </c>
      <c r="AE224" s="21" t="s">
        <v>313</v>
      </c>
      <c r="AF224" s="21" t="s">
        <v>313</v>
      </c>
      <c r="AG224" s="21" t="s">
        <v>313</v>
      </c>
      <c r="AH224" s="21" t="s">
        <v>313</v>
      </c>
      <c r="AI224" s="21" t="s">
        <v>313</v>
      </c>
      <c r="AJ224" s="21" t="s">
        <v>313</v>
      </c>
      <c r="AK224" s="21" t="s">
        <v>313</v>
      </c>
      <c r="AL224" s="21" t="s">
        <v>313</v>
      </c>
      <c r="AM224" s="21" t="s">
        <v>313</v>
      </c>
      <c r="AN224" s="21" t="s">
        <v>313</v>
      </c>
      <c r="AO224" s="21" t="s">
        <v>313</v>
      </c>
      <c r="AP224" s="21" t="s">
        <v>313</v>
      </c>
      <c r="AQ224" s="21" t="s">
        <v>313</v>
      </c>
      <c r="AR224" s="21" t="s">
        <v>313</v>
      </c>
      <c r="AS224" s="21" t="s">
        <v>313</v>
      </c>
      <c r="AT224" s="21" t="s">
        <v>313</v>
      </c>
      <c r="AU224" s="21" t="s">
        <v>313</v>
      </c>
      <c r="AV224" s="21" t="s">
        <v>313</v>
      </c>
      <c r="AW224" s="21" t="s">
        <v>313</v>
      </c>
      <c r="AX224" s="21" t="s">
        <v>313</v>
      </c>
    </row>
    <row r="225" spans="1:50" hidden="1" x14ac:dyDescent="0.3">
      <c r="A225" s="30" t="s">
        <v>97</v>
      </c>
      <c r="B225" s="29" t="str">
        <f>IFERROR(VLOOKUP(A225,'[1]JL EXE ACTIVE FTE List'!$G:$N,8,FALSE),IF(ISNA(VLOOKUP(A225,'[1]JL EXE LEAVER List'!$G:$I,3,FALSE)),"Query","Leaver"))</f>
        <v>HS</v>
      </c>
      <c r="C225" s="29" t="str">
        <f>IFERROR(VLOOKUP(A225,'[1]JL EXE ACTIVE FTE List'!$G:$R,12,FALSE),IF(ISNA(VLOOKUP(A225,'[1]JL EXE LEAVER List'!$G:$I,3,FALSE)),"?QUERY?","Leaver"))</f>
        <v>ACTIVE</v>
      </c>
      <c r="D225" s="39" t="str">
        <f>IFERROR(IFERROR(VLOOKUP(A225,'[1]JL EXE ACTIVE FTE List'!$G:$H,2,FALSE),VLOOKUP(A225,'[1]JL EXE LEAVER List'!$G:$H,2,FALSE)),"?QUERY?")</f>
        <v>Mechelle Jenkins</v>
      </c>
      <c r="E225" s="40">
        <f>IFERROR(IFERROR(VLOOKUP(A225,'[1]JL EXE ACTIVE FTE List'!$G:$O,9,FALSE),VLOOKUP(A225,'[1]JL EXE LEAVER List'!$G:$O,9,FALSE)),"?QUERY?")</f>
        <v>42794</v>
      </c>
      <c r="F225" s="21" t="s">
        <v>339</v>
      </c>
      <c r="G225" s="21" t="s">
        <v>339</v>
      </c>
      <c r="H225" s="21" t="s">
        <v>335</v>
      </c>
      <c r="I225" s="21" t="s">
        <v>313</v>
      </c>
      <c r="J225" s="21" t="s">
        <v>313</v>
      </c>
      <c r="K225" s="21" t="s">
        <v>313</v>
      </c>
      <c r="L225" s="21" t="s">
        <v>313</v>
      </c>
      <c r="M225" s="21" t="s">
        <v>313</v>
      </c>
      <c r="N225" s="21" t="s">
        <v>313</v>
      </c>
      <c r="O225" s="21" t="s">
        <v>313</v>
      </c>
      <c r="P225" s="21" t="s">
        <v>313</v>
      </c>
      <c r="Q225" s="21" t="s">
        <v>313</v>
      </c>
      <c r="R225" s="21" t="s">
        <v>313</v>
      </c>
      <c r="S225" s="21" t="s">
        <v>313</v>
      </c>
      <c r="T225" s="21" t="s">
        <v>313</v>
      </c>
      <c r="U225" s="21" t="s">
        <v>313</v>
      </c>
      <c r="V225" s="21" t="s">
        <v>313</v>
      </c>
      <c r="W225" s="21" t="s">
        <v>313</v>
      </c>
      <c r="X225" s="21" t="s">
        <v>313</v>
      </c>
      <c r="Y225" s="21" t="s">
        <v>313</v>
      </c>
      <c r="Z225" s="21" t="s">
        <v>313</v>
      </c>
      <c r="AA225" s="21" t="s">
        <v>313</v>
      </c>
      <c r="AB225" s="21" t="s">
        <v>313</v>
      </c>
      <c r="AC225" s="21" t="s">
        <v>313</v>
      </c>
      <c r="AD225" s="21" t="s">
        <v>313</v>
      </c>
      <c r="AE225" s="21" t="s">
        <v>313</v>
      </c>
      <c r="AF225" s="21" t="s">
        <v>313</v>
      </c>
      <c r="AG225" s="21" t="s">
        <v>313</v>
      </c>
      <c r="AH225" s="21" t="s">
        <v>313</v>
      </c>
      <c r="AI225" s="21" t="s">
        <v>313</v>
      </c>
      <c r="AJ225" s="21" t="s">
        <v>313</v>
      </c>
      <c r="AK225" s="21" t="s">
        <v>313</v>
      </c>
      <c r="AL225" s="21" t="s">
        <v>313</v>
      </c>
      <c r="AM225" s="21" t="s">
        <v>313</v>
      </c>
      <c r="AN225" s="21" t="s">
        <v>313</v>
      </c>
      <c r="AO225" s="21" t="s">
        <v>313</v>
      </c>
      <c r="AP225" s="21" t="s">
        <v>313</v>
      </c>
      <c r="AQ225" s="21" t="s">
        <v>313</v>
      </c>
      <c r="AR225" s="21" t="s">
        <v>313</v>
      </c>
      <c r="AS225" s="21" t="s">
        <v>313</v>
      </c>
      <c r="AT225" s="21" t="s">
        <v>313</v>
      </c>
      <c r="AU225" s="21" t="s">
        <v>313</v>
      </c>
      <c r="AV225" s="21" t="s">
        <v>313</v>
      </c>
      <c r="AW225" s="21" t="s">
        <v>313</v>
      </c>
      <c r="AX225" s="21" t="s">
        <v>313</v>
      </c>
    </row>
    <row r="226" spans="1:50" ht="15" hidden="1" customHeight="1" x14ac:dyDescent="0.3">
      <c r="A226" s="30" t="s">
        <v>140</v>
      </c>
      <c r="B226" s="29" t="str">
        <f>IFERROR(VLOOKUP(A226,'[1]JL EXE ACTIVE FTE List'!$G:$N,8,FALSE),IF(ISNA(VLOOKUP(A226,'[1]JL EXE LEAVER List'!$G:$I,3,FALSE)),"Query","Leaver"))</f>
        <v>HS</v>
      </c>
      <c r="C226" s="29" t="str">
        <f>IFERROR(VLOOKUP(A226,'[1]JL EXE ACTIVE FTE List'!$G:$R,12,FALSE),IF(ISNA(VLOOKUP(A226,'[1]JL EXE LEAVER List'!$G:$I,3,FALSE)),"?QUERY?","Leaver"))</f>
        <v>ACTIVE</v>
      </c>
      <c r="D226" s="39" t="str">
        <f>IFERROR(IFERROR(VLOOKUP(A226,'[1]JL EXE ACTIVE FTE List'!$G:$H,2,FALSE),VLOOKUP(A226,'[1]JL EXE LEAVER List'!$G:$H,2,FALSE)),"?QUERY?")</f>
        <v>Mechelle Jenkins</v>
      </c>
      <c r="E226" s="40">
        <f>IFERROR(IFERROR(VLOOKUP(A226,'[1]JL EXE ACTIVE FTE List'!$G:$O,9,FALSE),VLOOKUP(A226,'[1]JL EXE LEAVER List'!$G:$O,9,FALSE)),"?QUERY?")</f>
        <v>42499</v>
      </c>
      <c r="F226" s="21" t="s">
        <v>339</v>
      </c>
      <c r="G226" s="21" t="s">
        <v>339</v>
      </c>
      <c r="H226" s="21" t="s">
        <v>335</v>
      </c>
      <c r="I226" s="21" t="s">
        <v>313</v>
      </c>
      <c r="J226" s="21" t="s">
        <v>313</v>
      </c>
      <c r="K226" s="21" t="s">
        <v>313</v>
      </c>
      <c r="L226" s="21" t="s">
        <v>313</v>
      </c>
      <c r="M226" s="21" t="s">
        <v>313</v>
      </c>
      <c r="N226" s="21" t="s">
        <v>313</v>
      </c>
      <c r="O226" s="21" t="s">
        <v>313</v>
      </c>
      <c r="P226" s="21" t="s">
        <v>313</v>
      </c>
      <c r="Q226" s="21" t="s">
        <v>313</v>
      </c>
      <c r="R226" s="21" t="s">
        <v>313</v>
      </c>
      <c r="S226" s="21" t="s">
        <v>313</v>
      </c>
      <c r="T226" s="21" t="s">
        <v>313</v>
      </c>
      <c r="U226" s="21" t="s">
        <v>313</v>
      </c>
      <c r="V226" s="21" t="s">
        <v>313</v>
      </c>
      <c r="W226" s="21" t="s">
        <v>313</v>
      </c>
      <c r="X226" s="21" t="s">
        <v>313</v>
      </c>
      <c r="Y226" s="21" t="s">
        <v>313</v>
      </c>
      <c r="Z226" s="21" t="s">
        <v>313</v>
      </c>
      <c r="AA226" s="21" t="s">
        <v>313</v>
      </c>
      <c r="AB226" s="21" t="s">
        <v>313</v>
      </c>
      <c r="AC226" s="21" t="s">
        <v>313</v>
      </c>
      <c r="AD226" s="21" t="s">
        <v>313</v>
      </c>
      <c r="AE226" s="21" t="s">
        <v>313</v>
      </c>
      <c r="AF226" s="21" t="s">
        <v>313</v>
      </c>
      <c r="AG226" s="21" t="s">
        <v>313</v>
      </c>
      <c r="AH226" s="21" t="s">
        <v>313</v>
      </c>
      <c r="AI226" s="21" t="s">
        <v>313</v>
      </c>
      <c r="AJ226" s="21" t="s">
        <v>313</v>
      </c>
      <c r="AK226" s="21" t="s">
        <v>313</v>
      </c>
      <c r="AL226" s="21" t="s">
        <v>313</v>
      </c>
      <c r="AM226" s="21" t="s">
        <v>313</v>
      </c>
      <c r="AN226" s="21" t="s">
        <v>313</v>
      </c>
      <c r="AO226" s="21" t="s">
        <v>313</v>
      </c>
      <c r="AP226" s="21" t="s">
        <v>313</v>
      </c>
      <c r="AQ226" s="21" t="s">
        <v>313</v>
      </c>
      <c r="AR226" s="21" t="s">
        <v>313</v>
      </c>
      <c r="AS226" s="21" t="s">
        <v>313</v>
      </c>
      <c r="AT226" s="21" t="s">
        <v>313</v>
      </c>
      <c r="AU226" s="21" t="s">
        <v>313</v>
      </c>
      <c r="AV226" s="21" t="s">
        <v>313</v>
      </c>
      <c r="AW226" s="21" t="s">
        <v>313</v>
      </c>
      <c r="AX226" s="21" t="s">
        <v>313</v>
      </c>
    </row>
    <row r="227" spans="1:50" ht="15" hidden="1" customHeight="1" x14ac:dyDescent="0.3">
      <c r="A227" s="30" t="s">
        <v>221</v>
      </c>
      <c r="B227" s="29" t="str">
        <f>IFERROR(VLOOKUP(A227,'[1]JL EXE ACTIVE FTE List'!$G:$N,8,FALSE),IF(ISNA(VLOOKUP(A227,'[1]JL EXE LEAVER List'!$G:$I,3,FALSE)),"Query","Leaver"))</f>
        <v>HS</v>
      </c>
      <c r="C227" s="29" t="str">
        <f>IFERROR(VLOOKUP(A227,'[1]JL EXE ACTIVE FTE List'!$G:$R,12,FALSE),IF(ISNA(VLOOKUP(A227,'[1]JL EXE LEAVER List'!$G:$I,3,FALSE)),"?QUERY?","Leaver"))</f>
        <v>ACTIVE</v>
      </c>
      <c r="D227" s="39" t="str">
        <f>IFERROR(IFERROR(VLOOKUP(A227,'[1]JL EXE ACTIVE FTE List'!$G:$H,2,FALSE),VLOOKUP(A227,'[1]JL EXE LEAVER List'!$G:$H,2,FALSE)),"?QUERY?")</f>
        <v>Mechelle Jenkins</v>
      </c>
      <c r="E227" s="40">
        <f>IFERROR(IFERROR(VLOOKUP(A227,'[1]JL EXE ACTIVE FTE List'!$G:$O,9,FALSE),VLOOKUP(A227,'[1]JL EXE LEAVER List'!$G:$O,9,FALSE)),"?QUERY?")</f>
        <v>42786</v>
      </c>
      <c r="F227" s="21" t="s">
        <v>339</v>
      </c>
      <c r="G227" s="21" t="s">
        <v>339</v>
      </c>
      <c r="H227" s="21" t="s">
        <v>335</v>
      </c>
      <c r="I227" s="21" t="s">
        <v>313</v>
      </c>
      <c r="J227" s="21" t="s">
        <v>313</v>
      </c>
      <c r="K227" s="21" t="s">
        <v>313</v>
      </c>
      <c r="L227" s="21" t="s">
        <v>313</v>
      </c>
      <c r="M227" s="21" t="s">
        <v>313</v>
      </c>
      <c r="N227" s="21" t="s">
        <v>313</v>
      </c>
      <c r="O227" s="21" t="s">
        <v>313</v>
      </c>
      <c r="P227" s="21" t="s">
        <v>313</v>
      </c>
      <c r="Q227" s="21" t="s">
        <v>313</v>
      </c>
      <c r="R227" s="21" t="s">
        <v>313</v>
      </c>
      <c r="S227" s="21" t="s">
        <v>313</v>
      </c>
      <c r="T227" s="21" t="s">
        <v>313</v>
      </c>
      <c r="U227" s="21" t="s">
        <v>313</v>
      </c>
      <c r="V227" s="21" t="s">
        <v>313</v>
      </c>
      <c r="W227" s="21" t="s">
        <v>313</v>
      </c>
      <c r="X227" s="21" t="s">
        <v>313</v>
      </c>
      <c r="Y227" s="21" t="s">
        <v>313</v>
      </c>
      <c r="Z227" s="21" t="s">
        <v>313</v>
      </c>
      <c r="AA227" s="21" t="s">
        <v>313</v>
      </c>
      <c r="AB227" s="21" t="s">
        <v>313</v>
      </c>
      <c r="AC227" s="21" t="s">
        <v>313</v>
      </c>
      <c r="AD227" s="21" t="s">
        <v>313</v>
      </c>
      <c r="AE227" s="21" t="s">
        <v>313</v>
      </c>
      <c r="AF227" s="21" t="s">
        <v>313</v>
      </c>
      <c r="AG227" s="21" t="s">
        <v>313</v>
      </c>
      <c r="AH227" s="21" t="s">
        <v>313</v>
      </c>
      <c r="AI227" s="21" t="s">
        <v>313</v>
      </c>
      <c r="AJ227" s="21" t="s">
        <v>313</v>
      </c>
      <c r="AK227" s="21" t="s">
        <v>313</v>
      </c>
      <c r="AL227" s="21" t="s">
        <v>313</v>
      </c>
      <c r="AM227" s="21" t="s">
        <v>313</v>
      </c>
      <c r="AN227" s="21" t="s">
        <v>313</v>
      </c>
      <c r="AO227" s="21" t="s">
        <v>313</v>
      </c>
      <c r="AP227" s="21" t="s">
        <v>313</v>
      </c>
      <c r="AQ227" s="21" t="s">
        <v>313</v>
      </c>
      <c r="AR227" s="21" t="s">
        <v>313</v>
      </c>
      <c r="AS227" s="21" t="s">
        <v>313</v>
      </c>
      <c r="AT227" s="21" t="s">
        <v>313</v>
      </c>
      <c r="AU227" s="21" t="s">
        <v>313</v>
      </c>
      <c r="AV227" s="21" t="s">
        <v>313</v>
      </c>
      <c r="AW227" s="21" t="s">
        <v>313</v>
      </c>
      <c r="AX227" s="21" t="s">
        <v>313</v>
      </c>
    </row>
    <row r="228" spans="1:50" x14ac:dyDescent="0.3">
      <c r="A228" s="30" t="s">
        <v>20</v>
      </c>
      <c r="B228" s="29" t="str">
        <f>IFERROR(VLOOKUP(A228,'[1]JL EXE ACTIVE FTE List'!$G:$N,8,FALSE),IF(ISNA(VLOOKUP(A228,'[1]JL EXE LEAVER List'!$G:$I,3,FALSE)),"Query","Leaver"))</f>
        <v>ATV</v>
      </c>
      <c r="C228" s="29" t="str">
        <f>IFERROR(VLOOKUP(A228,'[1]JL EXE ACTIVE FTE List'!$G:$R,12,FALSE),IF(ISNA(VLOOKUP(A228,'[1]JL EXE LEAVER List'!$G:$I,3,FALSE)),"?QUERY?","Leaver"))</f>
        <v>ACTIVE</v>
      </c>
      <c r="D228" s="39" t="str">
        <f>IFERROR(IFERROR(VLOOKUP(A228,'[1]JL EXE ACTIVE FTE List'!$G:$H,2,FALSE),VLOOKUP(A228,'[1]JL EXE LEAVER List'!$G:$H,2,FALSE)),"?QUERY?")</f>
        <v>Michael Ennals</v>
      </c>
      <c r="E228" s="40">
        <f>IFERROR(IFERROR(VLOOKUP(A228,'[1]JL EXE ACTIVE FTE List'!$G:$O,9,FALSE),VLOOKUP(A228,'[1]JL EXE LEAVER List'!$G:$O,9,FALSE)),"?QUERY?")</f>
        <v>43045</v>
      </c>
      <c r="F228" s="21" t="s">
        <v>338</v>
      </c>
      <c r="G228" s="21" t="s">
        <v>338</v>
      </c>
      <c r="H228" s="21" t="s">
        <v>338</v>
      </c>
      <c r="I228" s="21" t="s">
        <v>313</v>
      </c>
      <c r="J228" s="21" t="s">
        <v>313</v>
      </c>
      <c r="K228" s="21" t="s">
        <v>313</v>
      </c>
      <c r="L228" s="21" t="s">
        <v>313</v>
      </c>
      <c r="M228" s="21" t="s">
        <v>313</v>
      </c>
      <c r="N228" s="21" t="s">
        <v>313</v>
      </c>
      <c r="O228" s="21" t="s">
        <v>313</v>
      </c>
      <c r="P228" s="21" t="s">
        <v>313</v>
      </c>
      <c r="Q228" s="21" t="s">
        <v>313</v>
      </c>
      <c r="R228" s="21" t="s">
        <v>313</v>
      </c>
      <c r="S228" s="21" t="s">
        <v>313</v>
      </c>
      <c r="T228" s="21" t="s">
        <v>313</v>
      </c>
      <c r="U228" s="21" t="s">
        <v>313</v>
      </c>
      <c r="V228" s="21" t="s">
        <v>313</v>
      </c>
      <c r="W228" s="21" t="s">
        <v>313</v>
      </c>
      <c r="X228" s="21" t="s">
        <v>313</v>
      </c>
      <c r="Y228" s="21" t="s">
        <v>313</v>
      </c>
      <c r="Z228" s="21" t="s">
        <v>313</v>
      </c>
      <c r="AA228" s="21" t="s">
        <v>313</v>
      </c>
      <c r="AB228" s="21" t="s">
        <v>313</v>
      </c>
      <c r="AC228" s="21" t="s">
        <v>313</v>
      </c>
      <c r="AD228" s="21" t="s">
        <v>313</v>
      </c>
      <c r="AE228" s="21" t="s">
        <v>313</v>
      </c>
      <c r="AF228" s="21" t="s">
        <v>313</v>
      </c>
      <c r="AG228" s="21" t="s">
        <v>313</v>
      </c>
      <c r="AH228" s="21" t="s">
        <v>313</v>
      </c>
      <c r="AI228" s="21" t="s">
        <v>313</v>
      </c>
      <c r="AJ228" s="21" t="s">
        <v>313</v>
      </c>
      <c r="AK228" s="21" t="s">
        <v>313</v>
      </c>
      <c r="AL228" s="21" t="s">
        <v>313</v>
      </c>
      <c r="AM228" s="21" t="s">
        <v>313</v>
      </c>
      <c r="AN228" s="21" t="s">
        <v>313</v>
      </c>
      <c r="AO228" s="21" t="s">
        <v>313</v>
      </c>
      <c r="AP228" s="21" t="s">
        <v>313</v>
      </c>
      <c r="AQ228" s="21" t="s">
        <v>313</v>
      </c>
      <c r="AR228" s="21" t="s">
        <v>313</v>
      </c>
      <c r="AS228" s="21" t="s">
        <v>313</v>
      </c>
      <c r="AT228" s="21" t="s">
        <v>313</v>
      </c>
      <c r="AU228" s="21" t="s">
        <v>313</v>
      </c>
      <c r="AV228" s="21" t="s">
        <v>313</v>
      </c>
      <c r="AW228" s="21" t="s">
        <v>313</v>
      </c>
      <c r="AX228" s="21" t="s">
        <v>313</v>
      </c>
    </row>
    <row r="229" spans="1:50" x14ac:dyDescent="0.3">
      <c r="A229" s="30" t="s">
        <v>72</v>
      </c>
      <c r="B229" s="29" t="str">
        <f>IFERROR(VLOOKUP(A229,'[1]JL EXE ACTIVE FTE List'!$G:$N,8,FALSE),IF(ISNA(VLOOKUP(A229,'[1]JL EXE LEAVER List'!$G:$I,3,FALSE)),"Query","Leaver"))</f>
        <v>ATV</v>
      </c>
      <c r="C229" s="29" t="str">
        <f>IFERROR(VLOOKUP(A229,'[1]JL EXE ACTIVE FTE List'!$G:$R,12,FALSE),IF(ISNA(VLOOKUP(A229,'[1]JL EXE LEAVER List'!$G:$I,3,FALSE)),"?QUERY?","Leaver"))</f>
        <v>ACTIVE</v>
      </c>
      <c r="D229" s="39" t="str">
        <f>IFERROR(IFERROR(VLOOKUP(A229,'[1]JL EXE ACTIVE FTE List'!$G:$H,2,FALSE),VLOOKUP(A229,'[1]JL EXE LEAVER List'!$G:$H,2,FALSE)),"?QUERY?")</f>
        <v>Michael Ennals</v>
      </c>
      <c r="E229" s="40">
        <f>IFERROR(IFERROR(VLOOKUP(A229,'[1]JL EXE ACTIVE FTE List'!$G:$O,9,FALSE),VLOOKUP(A229,'[1]JL EXE LEAVER List'!$G:$O,9,FALSE)),"?QUERY?")</f>
        <v>43031</v>
      </c>
      <c r="F229" s="21" t="s">
        <v>338</v>
      </c>
      <c r="G229" s="21" t="s">
        <v>338</v>
      </c>
      <c r="H229" s="21" t="s">
        <v>335</v>
      </c>
      <c r="I229" s="21" t="s">
        <v>313</v>
      </c>
      <c r="J229" s="21" t="s">
        <v>313</v>
      </c>
      <c r="K229" s="21" t="s">
        <v>313</v>
      </c>
      <c r="L229" s="21" t="s">
        <v>313</v>
      </c>
      <c r="M229" s="21" t="s">
        <v>313</v>
      </c>
      <c r="N229" s="21" t="s">
        <v>313</v>
      </c>
      <c r="O229" s="21" t="s">
        <v>313</v>
      </c>
      <c r="P229" s="21" t="s">
        <v>313</v>
      </c>
      <c r="Q229" s="21" t="s">
        <v>313</v>
      </c>
      <c r="R229" s="21" t="s">
        <v>313</v>
      </c>
      <c r="S229" s="21" t="s">
        <v>313</v>
      </c>
      <c r="T229" s="21" t="s">
        <v>313</v>
      </c>
      <c r="U229" s="21" t="s">
        <v>313</v>
      </c>
      <c r="V229" s="21" t="s">
        <v>313</v>
      </c>
      <c r="W229" s="21" t="s">
        <v>313</v>
      </c>
      <c r="X229" s="21" t="s">
        <v>313</v>
      </c>
      <c r="Y229" s="21" t="s">
        <v>313</v>
      </c>
      <c r="Z229" s="21" t="s">
        <v>313</v>
      </c>
      <c r="AA229" s="21" t="s">
        <v>313</v>
      </c>
      <c r="AB229" s="21" t="s">
        <v>313</v>
      </c>
      <c r="AC229" s="21" t="s">
        <v>313</v>
      </c>
      <c r="AD229" s="21" t="s">
        <v>313</v>
      </c>
      <c r="AE229" s="21" t="s">
        <v>313</v>
      </c>
      <c r="AF229" s="21" t="s">
        <v>313</v>
      </c>
      <c r="AG229" s="21" t="s">
        <v>313</v>
      </c>
      <c r="AH229" s="21" t="s">
        <v>313</v>
      </c>
      <c r="AI229" s="21" t="s">
        <v>313</v>
      </c>
      <c r="AJ229" s="21" t="s">
        <v>313</v>
      </c>
      <c r="AK229" s="21" t="s">
        <v>313</v>
      </c>
      <c r="AL229" s="21" t="s">
        <v>313</v>
      </c>
      <c r="AM229" s="21" t="s">
        <v>313</v>
      </c>
      <c r="AN229" s="21" t="s">
        <v>313</v>
      </c>
      <c r="AO229" s="21" t="s">
        <v>313</v>
      </c>
      <c r="AP229" s="21" t="s">
        <v>313</v>
      </c>
      <c r="AQ229" s="21" t="s">
        <v>313</v>
      </c>
      <c r="AR229" s="21" t="s">
        <v>313</v>
      </c>
      <c r="AS229" s="21" t="s">
        <v>313</v>
      </c>
      <c r="AT229" s="21" t="s">
        <v>313</v>
      </c>
      <c r="AU229" s="21" t="s">
        <v>313</v>
      </c>
      <c r="AV229" s="21" t="s">
        <v>313</v>
      </c>
      <c r="AW229" s="21" t="s">
        <v>313</v>
      </c>
      <c r="AX229" s="21" t="s">
        <v>313</v>
      </c>
    </row>
    <row r="230" spans="1:50" x14ac:dyDescent="0.3">
      <c r="A230" s="30" t="s">
        <v>75</v>
      </c>
      <c r="B230" s="29" t="str">
        <f>IFERROR(VLOOKUP(A230,'[1]JL EXE ACTIVE FTE List'!$G:$N,8,FALSE),IF(ISNA(VLOOKUP(A230,'[1]JL EXE LEAVER List'!$G:$I,3,FALSE)),"Query","Leaver"))</f>
        <v>ATV</v>
      </c>
      <c r="C230" s="29" t="str">
        <f>IFERROR(VLOOKUP(A230,'[1]JL EXE ACTIVE FTE List'!$G:$R,12,FALSE),IF(ISNA(VLOOKUP(A230,'[1]JL EXE LEAVER List'!$G:$I,3,FALSE)),"?QUERY?","Leaver"))</f>
        <v>ACTIVE</v>
      </c>
      <c r="D230" s="39" t="str">
        <f>IFERROR(IFERROR(VLOOKUP(A230,'[1]JL EXE ACTIVE FTE List'!$G:$H,2,FALSE),VLOOKUP(A230,'[1]JL EXE LEAVER List'!$G:$H,2,FALSE)),"?QUERY?")</f>
        <v>Michael Ennals</v>
      </c>
      <c r="E230" s="40">
        <f>IFERROR(IFERROR(VLOOKUP(A230,'[1]JL EXE ACTIVE FTE List'!$G:$O,9,FALSE),VLOOKUP(A230,'[1]JL EXE LEAVER List'!$G:$O,9,FALSE)),"?QUERY?")</f>
        <v>43017</v>
      </c>
      <c r="F230" s="21" t="s">
        <v>338</v>
      </c>
      <c r="G230" s="21" t="s">
        <v>338</v>
      </c>
      <c r="H230" s="21" t="s">
        <v>335</v>
      </c>
      <c r="I230" s="21" t="s">
        <v>313</v>
      </c>
      <c r="J230" s="21" t="s">
        <v>313</v>
      </c>
      <c r="K230" s="21" t="s">
        <v>313</v>
      </c>
      <c r="L230" s="21" t="s">
        <v>313</v>
      </c>
      <c r="M230" s="21" t="s">
        <v>313</v>
      </c>
      <c r="N230" s="21" t="s">
        <v>313</v>
      </c>
      <c r="O230" s="21" t="s">
        <v>313</v>
      </c>
      <c r="P230" s="21" t="s">
        <v>313</v>
      </c>
      <c r="Q230" s="21" t="s">
        <v>313</v>
      </c>
      <c r="R230" s="21" t="s">
        <v>313</v>
      </c>
      <c r="S230" s="21" t="s">
        <v>313</v>
      </c>
      <c r="T230" s="21" t="s">
        <v>313</v>
      </c>
      <c r="U230" s="21" t="s">
        <v>313</v>
      </c>
      <c r="V230" s="21" t="s">
        <v>313</v>
      </c>
      <c r="W230" s="21" t="s">
        <v>313</v>
      </c>
      <c r="X230" s="21" t="s">
        <v>313</v>
      </c>
      <c r="Y230" s="21" t="s">
        <v>313</v>
      </c>
      <c r="Z230" s="21" t="s">
        <v>313</v>
      </c>
      <c r="AA230" s="21" t="s">
        <v>313</v>
      </c>
      <c r="AB230" s="21" t="s">
        <v>313</v>
      </c>
      <c r="AC230" s="21" t="s">
        <v>313</v>
      </c>
      <c r="AD230" s="21" t="s">
        <v>313</v>
      </c>
      <c r="AE230" s="21" t="s">
        <v>313</v>
      </c>
      <c r="AF230" s="21" t="s">
        <v>313</v>
      </c>
      <c r="AG230" s="21" t="s">
        <v>313</v>
      </c>
      <c r="AH230" s="21" t="s">
        <v>313</v>
      </c>
      <c r="AI230" s="21" t="s">
        <v>313</v>
      </c>
      <c r="AJ230" s="21" t="s">
        <v>313</v>
      </c>
      <c r="AK230" s="21" t="s">
        <v>313</v>
      </c>
      <c r="AL230" s="21" t="s">
        <v>313</v>
      </c>
      <c r="AM230" s="21" t="s">
        <v>313</v>
      </c>
      <c r="AN230" s="21" t="s">
        <v>313</v>
      </c>
      <c r="AO230" s="21" t="s">
        <v>313</v>
      </c>
      <c r="AP230" s="21" t="s">
        <v>313</v>
      </c>
      <c r="AQ230" s="21" t="s">
        <v>313</v>
      </c>
      <c r="AR230" s="21" t="s">
        <v>313</v>
      </c>
      <c r="AS230" s="21" t="s">
        <v>313</v>
      </c>
      <c r="AT230" s="21" t="s">
        <v>313</v>
      </c>
      <c r="AU230" s="21" t="s">
        <v>313</v>
      </c>
      <c r="AV230" s="21" t="s">
        <v>313</v>
      </c>
      <c r="AW230" s="21" t="s">
        <v>313</v>
      </c>
      <c r="AX230" s="21" t="s">
        <v>313</v>
      </c>
    </row>
    <row r="231" spans="1:50" x14ac:dyDescent="0.3">
      <c r="A231" s="30" t="s">
        <v>71</v>
      </c>
      <c r="B231" s="29" t="str">
        <f>IFERROR(VLOOKUP(A231,'[1]JL EXE ACTIVE FTE List'!$G:$N,8,FALSE),IF(ISNA(VLOOKUP(A231,'[1]JL EXE LEAVER List'!$G:$I,3,FALSE)),"Query","Leaver"))</f>
        <v>ATV</v>
      </c>
      <c r="C231" s="29" t="str">
        <f>IFERROR(VLOOKUP(A231,'[1]JL EXE ACTIVE FTE List'!$G:$R,12,FALSE),IF(ISNA(VLOOKUP(A231,'[1]JL EXE LEAVER List'!$G:$I,3,FALSE)),"?QUERY?","Leaver"))</f>
        <v>ACTIVE</v>
      </c>
      <c r="D231" s="39" t="str">
        <f>IFERROR(IFERROR(VLOOKUP(A231,'[1]JL EXE ACTIVE FTE List'!$G:$H,2,FALSE),VLOOKUP(A231,'[1]JL EXE LEAVER List'!$G:$H,2,FALSE)),"?QUERY?")</f>
        <v>Michael Ennals</v>
      </c>
      <c r="E231" s="40">
        <f>IFERROR(IFERROR(VLOOKUP(A231,'[1]JL EXE ACTIVE FTE List'!$G:$O,9,FALSE),VLOOKUP(A231,'[1]JL EXE LEAVER List'!$G:$O,9,FALSE)),"?QUERY?")</f>
        <v>43017</v>
      </c>
      <c r="F231" s="21" t="s">
        <v>338</v>
      </c>
      <c r="G231" s="21" t="s">
        <v>338</v>
      </c>
      <c r="H231" s="21" t="s">
        <v>338</v>
      </c>
      <c r="I231" s="21" t="s">
        <v>313</v>
      </c>
      <c r="J231" s="21" t="s">
        <v>313</v>
      </c>
      <c r="K231" s="21" t="s">
        <v>313</v>
      </c>
      <c r="L231" s="21" t="s">
        <v>313</v>
      </c>
      <c r="M231" s="21" t="s">
        <v>313</v>
      </c>
      <c r="N231" s="21" t="s">
        <v>313</v>
      </c>
      <c r="O231" s="21" t="s">
        <v>313</v>
      </c>
      <c r="P231" s="21" t="s">
        <v>313</v>
      </c>
      <c r="Q231" s="21" t="s">
        <v>313</v>
      </c>
      <c r="R231" s="21" t="s">
        <v>313</v>
      </c>
      <c r="S231" s="21" t="s">
        <v>313</v>
      </c>
      <c r="T231" s="21" t="s">
        <v>313</v>
      </c>
      <c r="U231" s="21" t="s">
        <v>313</v>
      </c>
      <c r="V231" s="21" t="s">
        <v>313</v>
      </c>
      <c r="W231" s="21" t="s">
        <v>313</v>
      </c>
      <c r="X231" s="21" t="s">
        <v>313</v>
      </c>
      <c r="Y231" s="21" t="s">
        <v>313</v>
      </c>
      <c r="Z231" s="21" t="s">
        <v>313</v>
      </c>
      <c r="AA231" s="21" t="s">
        <v>313</v>
      </c>
      <c r="AB231" s="21" t="s">
        <v>313</v>
      </c>
      <c r="AC231" s="21" t="s">
        <v>313</v>
      </c>
      <c r="AD231" s="21" t="s">
        <v>313</v>
      </c>
      <c r="AE231" s="21" t="s">
        <v>313</v>
      </c>
      <c r="AF231" s="21" t="s">
        <v>313</v>
      </c>
      <c r="AG231" s="21" t="s">
        <v>313</v>
      </c>
      <c r="AH231" s="21" t="s">
        <v>313</v>
      </c>
      <c r="AI231" s="21" t="s">
        <v>313</v>
      </c>
      <c r="AJ231" s="21" t="s">
        <v>313</v>
      </c>
      <c r="AK231" s="21" t="s">
        <v>313</v>
      </c>
      <c r="AL231" s="21" t="s">
        <v>313</v>
      </c>
      <c r="AM231" s="21" t="s">
        <v>313</v>
      </c>
      <c r="AN231" s="21" t="s">
        <v>313</v>
      </c>
      <c r="AO231" s="21" t="s">
        <v>313</v>
      </c>
      <c r="AP231" s="21" t="s">
        <v>313</v>
      </c>
      <c r="AQ231" s="21" t="s">
        <v>313</v>
      </c>
      <c r="AR231" s="21" t="s">
        <v>313</v>
      </c>
      <c r="AS231" s="21" t="s">
        <v>313</v>
      </c>
      <c r="AT231" s="21" t="s">
        <v>313</v>
      </c>
      <c r="AU231" s="21" t="s">
        <v>313</v>
      </c>
      <c r="AV231" s="21" t="s">
        <v>313</v>
      </c>
      <c r="AW231" s="21" t="s">
        <v>313</v>
      </c>
      <c r="AX231" s="21" t="s">
        <v>313</v>
      </c>
    </row>
    <row r="232" spans="1:50" x14ac:dyDescent="0.3">
      <c r="A232" s="30" t="s">
        <v>162</v>
      </c>
      <c r="B232" s="29" t="s">
        <v>349</v>
      </c>
      <c r="C232" s="29" t="str">
        <f>IFERROR(VLOOKUP(A232,'[1]JL EXE ACTIVE FTE List'!$G:$R,12,FALSE),IF(ISNA(VLOOKUP(A232,'[1]JL EXE LEAVER List'!$G:$I,3,FALSE)),"?QUERY?","Leaver"))</f>
        <v>ACTIVE</v>
      </c>
      <c r="D232" s="39" t="str">
        <f>IFERROR(IFERROR(VLOOKUP(A232,'[1]JL EXE ACTIVE FTE List'!$G:$H,2,FALSE),VLOOKUP(A232,'[1]JL EXE LEAVER List'!$G:$H,2,FALSE)),"?QUERY?")</f>
        <v>Michael Ennals</v>
      </c>
      <c r="E232" s="40">
        <f>IFERROR(IFERROR(VLOOKUP(A232,'[1]JL EXE ACTIVE FTE List'!$G:$O,9,FALSE),VLOOKUP(A232,'[1]JL EXE LEAVER List'!$G:$O,9,FALSE)),"?QUERY?")</f>
        <v>42968</v>
      </c>
      <c r="F232" s="21" t="s">
        <v>338</v>
      </c>
      <c r="G232" s="21" t="s">
        <v>338</v>
      </c>
      <c r="H232" s="21" t="s">
        <v>338</v>
      </c>
      <c r="I232" s="21" t="s">
        <v>313</v>
      </c>
      <c r="J232" s="21" t="s">
        <v>313</v>
      </c>
      <c r="K232" s="21" t="s">
        <v>313</v>
      </c>
      <c r="L232" s="21" t="s">
        <v>313</v>
      </c>
      <c r="M232" s="21" t="s">
        <v>313</v>
      </c>
      <c r="N232" s="21" t="s">
        <v>313</v>
      </c>
      <c r="O232" s="21" t="s">
        <v>313</v>
      </c>
      <c r="P232" s="21" t="s">
        <v>313</v>
      </c>
      <c r="Q232" s="21" t="s">
        <v>313</v>
      </c>
      <c r="R232" s="21" t="s">
        <v>313</v>
      </c>
      <c r="S232" s="21" t="s">
        <v>313</v>
      </c>
      <c r="T232" s="21" t="s">
        <v>313</v>
      </c>
      <c r="U232" s="21" t="s">
        <v>313</v>
      </c>
      <c r="V232" s="21" t="s">
        <v>313</v>
      </c>
      <c r="W232" s="21" t="s">
        <v>313</v>
      </c>
      <c r="X232" s="21" t="s">
        <v>313</v>
      </c>
      <c r="Y232" s="21" t="s">
        <v>313</v>
      </c>
      <c r="Z232" s="21" t="s">
        <v>313</v>
      </c>
      <c r="AA232" s="21" t="s">
        <v>313</v>
      </c>
      <c r="AB232" s="21" t="s">
        <v>313</v>
      </c>
      <c r="AC232" s="21" t="s">
        <v>313</v>
      </c>
      <c r="AD232" s="21" t="s">
        <v>313</v>
      </c>
      <c r="AE232" s="21" t="s">
        <v>313</v>
      </c>
      <c r="AF232" s="21" t="s">
        <v>313</v>
      </c>
      <c r="AG232" s="21" t="s">
        <v>313</v>
      </c>
      <c r="AH232" s="21" t="s">
        <v>313</v>
      </c>
      <c r="AI232" s="21" t="s">
        <v>313</v>
      </c>
      <c r="AJ232" s="21" t="s">
        <v>313</v>
      </c>
      <c r="AK232" s="21" t="s">
        <v>313</v>
      </c>
      <c r="AL232" s="21" t="s">
        <v>313</v>
      </c>
      <c r="AM232" s="21" t="s">
        <v>313</v>
      </c>
      <c r="AN232" s="21" t="s">
        <v>313</v>
      </c>
      <c r="AO232" s="21" t="s">
        <v>313</v>
      </c>
      <c r="AP232" s="21" t="s">
        <v>313</v>
      </c>
      <c r="AQ232" s="21" t="s">
        <v>313</v>
      </c>
      <c r="AR232" s="21" t="s">
        <v>313</v>
      </c>
      <c r="AS232" s="21" t="s">
        <v>313</v>
      </c>
      <c r="AT232" s="21" t="s">
        <v>313</v>
      </c>
      <c r="AU232" s="21" t="s">
        <v>313</v>
      </c>
      <c r="AV232" s="21" t="s">
        <v>313</v>
      </c>
      <c r="AW232" s="21" t="s">
        <v>313</v>
      </c>
      <c r="AX232" s="21" t="s">
        <v>313</v>
      </c>
    </row>
    <row r="233" spans="1:50" x14ac:dyDescent="0.3">
      <c r="A233" s="30" t="s">
        <v>163</v>
      </c>
      <c r="B233" s="29" t="str">
        <f>IFERROR(VLOOKUP(A233,'[1]JL EXE ACTIVE FTE List'!$G:$N,8,FALSE),IF(ISNA(VLOOKUP(A233,'[1]JL EXE LEAVER List'!$G:$I,3,FALSE)),"Query","Leaver"))</f>
        <v>ATV</v>
      </c>
      <c r="C233" s="29" t="str">
        <f>IFERROR(VLOOKUP(A233,'[1]JL EXE ACTIVE FTE List'!$G:$R,12,FALSE),IF(ISNA(VLOOKUP(A233,'[1]JL EXE LEAVER List'!$G:$I,3,FALSE)),"?QUERY?","Leaver"))</f>
        <v>ACTIVE</v>
      </c>
      <c r="D233" s="39" t="str">
        <f>IFERROR(IFERROR(VLOOKUP(A233,'[1]JL EXE ACTIVE FTE List'!$G:$H,2,FALSE),VLOOKUP(A233,'[1]JL EXE LEAVER List'!$G:$H,2,FALSE)),"?QUERY?")</f>
        <v>Michael Ennals</v>
      </c>
      <c r="E233" s="40">
        <f>IFERROR(IFERROR(VLOOKUP(A233,'[1]JL EXE ACTIVE FTE List'!$G:$O,9,FALSE),VLOOKUP(A233,'[1]JL EXE LEAVER List'!$G:$O,9,FALSE)),"?QUERY?")</f>
        <v>42689</v>
      </c>
      <c r="F233" s="21" t="s">
        <v>338</v>
      </c>
      <c r="G233" s="21" t="s">
        <v>338</v>
      </c>
      <c r="H233" s="21" t="s">
        <v>335</v>
      </c>
      <c r="I233" s="21" t="s">
        <v>313</v>
      </c>
      <c r="J233" s="21" t="s">
        <v>313</v>
      </c>
      <c r="K233" s="21" t="s">
        <v>313</v>
      </c>
      <c r="L233" s="21" t="s">
        <v>313</v>
      </c>
      <c r="M233" s="21" t="s">
        <v>313</v>
      </c>
      <c r="N233" s="21" t="s">
        <v>313</v>
      </c>
      <c r="O233" s="21" t="s">
        <v>313</v>
      </c>
      <c r="P233" s="21" t="s">
        <v>313</v>
      </c>
      <c r="Q233" s="21" t="s">
        <v>313</v>
      </c>
      <c r="R233" s="21" t="s">
        <v>313</v>
      </c>
      <c r="S233" s="21" t="s">
        <v>313</v>
      </c>
      <c r="T233" s="21" t="s">
        <v>313</v>
      </c>
      <c r="U233" s="21" t="s">
        <v>313</v>
      </c>
      <c r="V233" s="21" t="s">
        <v>313</v>
      </c>
      <c r="W233" s="21" t="s">
        <v>313</v>
      </c>
      <c r="X233" s="21" t="s">
        <v>313</v>
      </c>
      <c r="Y233" s="21" t="s">
        <v>313</v>
      </c>
      <c r="Z233" s="21" t="s">
        <v>313</v>
      </c>
      <c r="AA233" s="21" t="s">
        <v>313</v>
      </c>
      <c r="AB233" s="21" t="s">
        <v>313</v>
      </c>
      <c r="AC233" s="21" t="s">
        <v>313</v>
      </c>
      <c r="AD233" s="21" t="s">
        <v>313</v>
      </c>
      <c r="AE233" s="21" t="s">
        <v>313</v>
      </c>
      <c r="AF233" s="21" t="s">
        <v>313</v>
      </c>
      <c r="AG233" s="21" t="s">
        <v>313</v>
      </c>
      <c r="AH233" s="21" t="s">
        <v>313</v>
      </c>
      <c r="AI233" s="21" t="s">
        <v>313</v>
      </c>
      <c r="AJ233" s="21" t="s">
        <v>313</v>
      </c>
      <c r="AK233" s="21" t="s">
        <v>313</v>
      </c>
      <c r="AL233" s="21" t="s">
        <v>313</v>
      </c>
      <c r="AM233" s="21" t="s">
        <v>313</v>
      </c>
      <c r="AN233" s="21" t="s">
        <v>313</v>
      </c>
      <c r="AO233" s="21" t="s">
        <v>313</v>
      </c>
      <c r="AP233" s="21" t="s">
        <v>313</v>
      </c>
      <c r="AQ233" s="21" t="s">
        <v>313</v>
      </c>
      <c r="AR233" s="21" t="s">
        <v>313</v>
      </c>
      <c r="AS233" s="21" t="s">
        <v>313</v>
      </c>
      <c r="AT233" s="21" t="s">
        <v>313</v>
      </c>
      <c r="AU233" s="21" t="s">
        <v>313</v>
      </c>
      <c r="AV233" s="21" t="s">
        <v>313</v>
      </c>
      <c r="AW233" s="21" t="s">
        <v>313</v>
      </c>
      <c r="AX233" s="21" t="s">
        <v>313</v>
      </c>
    </row>
    <row r="234" spans="1:50" x14ac:dyDescent="0.3">
      <c r="A234" s="30" t="s">
        <v>164</v>
      </c>
      <c r="B234" s="29" t="str">
        <f>IFERROR(VLOOKUP(A234,'[1]JL EXE ACTIVE FTE List'!$G:$N,8,FALSE),IF(ISNA(VLOOKUP(A234,'[1]JL EXE LEAVER List'!$G:$I,3,FALSE)),"Query","Leaver"))</f>
        <v>ATV</v>
      </c>
      <c r="C234" s="29" t="str">
        <f>IFERROR(VLOOKUP(A234,'[1]JL EXE ACTIVE FTE List'!$G:$R,12,FALSE),IF(ISNA(VLOOKUP(A234,'[1]JL EXE LEAVER List'!$G:$I,3,FALSE)),"?QUERY?","Leaver"))</f>
        <v>ACTIVE</v>
      </c>
      <c r="D234" s="39" t="str">
        <f>IFERROR(IFERROR(VLOOKUP(A234,'[1]JL EXE ACTIVE FTE List'!$G:$H,2,FALSE),VLOOKUP(A234,'[1]JL EXE LEAVER List'!$G:$H,2,FALSE)),"?QUERY?")</f>
        <v>Michael Ennals</v>
      </c>
      <c r="E234" s="40">
        <f>IFERROR(IFERROR(VLOOKUP(A234,'[1]JL EXE ACTIVE FTE List'!$G:$O,9,FALSE),VLOOKUP(A234,'[1]JL EXE LEAVER List'!$G:$O,9,FALSE)),"?QUERY?")</f>
        <v>41526</v>
      </c>
      <c r="F234" s="21" t="s">
        <v>338</v>
      </c>
      <c r="G234" s="21" t="s">
        <v>338</v>
      </c>
      <c r="H234" s="21" t="s">
        <v>335</v>
      </c>
      <c r="I234" s="21" t="s">
        <v>313</v>
      </c>
      <c r="J234" s="21" t="s">
        <v>313</v>
      </c>
      <c r="K234" s="21" t="s">
        <v>313</v>
      </c>
      <c r="L234" s="21" t="s">
        <v>313</v>
      </c>
      <c r="M234" s="21" t="s">
        <v>313</v>
      </c>
      <c r="N234" s="21" t="s">
        <v>313</v>
      </c>
      <c r="O234" s="21" t="s">
        <v>313</v>
      </c>
      <c r="P234" s="21" t="s">
        <v>313</v>
      </c>
      <c r="Q234" s="21" t="s">
        <v>313</v>
      </c>
      <c r="R234" s="21" t="s">
        <v>313</v>
      </c>
      <c r="S234" s="21" t="s">
        <v>313</v>
      </c>
      <c r="T234" s="21" t="s">
        <v>313</v>
      </c>
      <c r="U234" s="21" t="s">
        <v>313</v>
      </c>
      <c r="V234" s="21" t="s">
        <v>313</v>
      </c>
      <c r="W234" s="21" t="s">
        <v>313</v>
      </c>
      <c r="X234" s="21" t="s">
        <v>313</v>
      </c>
      <c r="Y234" s="21" t="s">
        <v>313</v>
      </c>
      <c r="Z234" s="21" t="s">
        <v>313</v>
      </c>
      <c r="AA234" s="21" t="s">
        <v>313</v>
      </c>
      <c r="AB234" s="21" t="s">
        <v>313</v>
      </c>
      <c r="AC234" s="21" t="s">
        <v>313</v>
      </c>
      <c r="AD234" s="21" t="s">
        <v>313</v>
      </c>
      <c r="AE234" s="21" t="s">
        <v>313</v>
      </c>
      <c r="AF234" s="21" t="s">
        <v>313</v>
      </c>
      <c r="AG234" s="21" t="s">
        <v>313</v>
      </c>
      <c r="AH234" s="21" t="s">
        <v>313</v>
      </c>
      <c r="AI234" s="21" t="s">
        <v>313</v>
      </c>
      <c r="AJ234" s="21" t="s">
        <v>313</v>
      </c>
      <c r="AK234" s="21" t="s">
        <v>313</v>
      </c>
      <c r="AL234" s="21" t="s">
        <v>313</v>
      </c>
      <c r="AM234" s="21" t="s">
        <v>313</v>
      </c>
      <c r="AN234" s="21" t="s">
        <v>313</v>
      </c>
      <c r="AO234" s="21" t="s">
        <v>313</v>
      </c>
      <c r="AP234" s="21" t="s">
        <v>313</v>
      </c>
      <c r="AQ234" s="21" t="s">
        <v>313</v>
      </c>
      <c r="AR234" s="21" t="s">
        <v>313</v>
      </c>
      <c r="AS234" s="21" t="s">
        <v>313</v>
      </c>
      <c r="AT234" s="21" t="s">
        <v>313</v>
      </c>
      <c r="AU234" s="21" t="s">
        <v>313</v>
      </c>
      <c r="AV234" s="21" t="s">
        <v>313</v>
      </c>
      <c r="AW234" s="21" t="s">
        <v>313</v>
      </c>
      <c r="AX234" s="21" t="s">
        <v>313</v>
      </c>
    </row>
    <row r="235" spans="1:50" ht="15" customHeight="1" x14ac:dyDescent="0.3">
      <c r="A235" s="30" t="s">
        <v>165</v>
      </c>
      <c r="B235" s="29" t="str">
        <f>IFERROR(VLOOKUP(A235,'[1]JL EXE ACTIVE FTE List'!$G:$N,8,FALSE),IF(ISNA(VLOOKUP(A235,'[1]JL EXE LEAVER List'!$G:$I,3,FALSE)),"Query","Leaver"))</f>
        <v>ATV</v>
      </c>
      <c r="C235" s="29" t="str">
        <f>IFERROR(VLOOKUP(A235,'[1]JL EXE ACTIVE FTE List'!$G:$R,12,FALSE),IF(ISNA(VLOOKUP(A235,'[1]JL EXE LEAVER List'!$G:$I,3,FALSE)),"?QUERY?","Leaver"))</f>
        <v>ACTIVE</v>
      </c>
      <c r="D235" s="39" t="str">
        <f>IFERROR(IFERROR(VLOOKUP(A235,'[1]JL EXE ACTIVE FTE List'!$G:$H,2,FALSE),VLOOKUP(A235,'[1]JL EXE LEAVER List'!$G:$H,2,FALSE)),"?QUERY?")</f>
        <v>Michael Ennals</v>
      </c>
      <c r="E235" s="40">
        <f>IFERROR(IFERROR(VLOOKUP(A235,'[1]JL EXE ACTIVE FTE List'!$G:$O,9,FALSE),VLOOKUP(A235,'[1]JL EXE LEAVER List'!$G:$O,9,FALSE)),"?QUERY?")</f>
        <v>42891</v>
      </c>
      <c r="F235" s="21" t="s">
        <v>338</v>
      </c>
      <c r="G235" s="21" t="s">
        <v>338</v>
      </c>
      <c r="H235" s="21" t="s">
        <v>335</v>
      </c>
      <c r="I235" s="21" t="s">
        <v>313</v>
      </c>
      <c r="J235" s="21" t="s">
        <v>313</v>
      </c>
      <c r="K235" s="21" t="s">
        <v>313</v>
      </c>
      <c r="L235" s="21" t="s">
        <v>313</v>
      </c>
      <c r="M235" s="21" t="s">
        <v>313</v>
      </c>
      <c r="N235" s="21" t="s">
        <v>313</v>
      </c>
      <c r="O235" s="21" t="s">
        <v>313</v>
      </c>
      <c r="P235" s="21" t="s">
        <v>313</v>
      </c>
      <c r="Q235" s="21" t="s">
        <v>313</v>
      </c>
      <c r="R235" s="21" t="s">
        <v>313</v>
      </c>
      <c r="S235" s="21" t="s">
        <v>313</v>
      </c>
      <c r="T235" s="21" t="s">
        <v>313</v>
      </c>
      <c r="U235" s="21" t="s">
        <v>313</v>
      </c>
      <c r="V235" s="21" t="s">
        <v>313</v>
      </c>
      <c r="W235" s="21" t="s">
        <v>313</v>
      </c>
      <c r="X235" s="21" t="s">
        <v>313</v>
      </c>
      <c r="Y235" s="21" t="s">
        <v>313</v>
      </c>
      <c r="Z235" s="21" t="s">
        <v>313</v>
      </c>
      <c r="AA235" s="21" t="s">
        <v>313</v>
      </c>
      <c r="AB235" s="21" t="s">
        <v>313</v>
      </c>
      <c r="AC235" s="21" t="s">
        <v>313</v>
      </c>
      <c r="AD235" s="21" t="s">
        <v>313</v>
      </c>
      <c r="AE235" s="21" t="s">
        <v>313</v>
      </c>
      <c r="AF235" s="21" t="s">
        <v>313</v>
      </c>
      <c r="AG235" s="21" t="s">
        <v>313</v>
      </c>
      <c r="AH235" s="21" t="s">
        <v>313</v>
      </c>
      <c r="AI235" s="21" t="s">
        <v>313</v>
      </c>
      <c r="AJ235" s="21" t="s">
        <v>313</v>
      </c>
      <c r="AK235" s="21" t="s">
        <v>313</v>
      </c>
      <c r="AL235" s="21" t="s">
        <v>313</v>
      </c>
      <c r="AM235" s="21" t="s">
        <v>313</v>
      </c>
      <c r="AN235" s="21" t="s">
        <v>313</v>
      </c>
      <c r="AO235" s="21" t="s">
        <v>313</v>
      </c>
      <c r="AP235" s="21" t="s">
        <v>313</v>
      </c>
      <c r="AQ235" s="21" t="s">
        <v>313</v>
      </c>
      <c r="AR235" s="21" t="s">
        <v>313</v>
      </c>
      <c r="AS235" s="21" t="s">
        <v>313</v>
      </c>
      <c r="AT235" s="21" t="s">
        <v>313</v>
      </c>
      <c r="AU235" s="21" t="s">
        <v>313</v>
      </c>
      <c r="AV235" s="21" t="s">
        <v>313</v>
      </c>
      <c r="AW235" s="21" t="s">
        <v>313</v>
      </c>
      <c r="AX235" s="21" t="s">
        <v>313</v>
      </c>
    </row>
    <row r="236" spans="1:50" ht="15" customHeight="1" x14ac:dyDescent="0.3">
      <c r="A236" s="30" t="s">
        <v>166</v>
      </c>
      <c r="B236" s="29" t="str">
        <f>IFERROR(VLOOKUP(A236,'[1]JL EXE ACTIVE FTE List'!$G:$N,8,FALSE),IF(ISNA(VLOOKUP(A236,'[1]JL EXE LEAVER List'!$G:$I,3,FALSE)),"Query","Leaver"))</f>
        <v>ATV</v>
      </c>
      <c r="C236" s="29" t="str">
        <f>IFERROR(VLOOKUP(A236,'[1]JL EXE ACTIVE FTE List'!$G:$R,12,FALSE),IF(ISNA(VLOOKUP(A236,'[1]JL EXE LEAVER List'!$G:$I,3,FALSE)),"?QUERY?","Leaver"))</f>
        <v>ACTIVE</v>
      </c>
      <c r="D236" s="39" t="str">
        <f>IFERROR(IFERROR(VLOOKUP(A236,'[1]JL EXE ACTIVE FTE List'!$G:$H,2,FALSE),VLOOKUP(A236,'[1]JL EXE LEAVER List'!$G:$H,2,FALSE)),"?QUERY?")</f>
        <v>Michael Ennals</v>
      </c>
      <c r="E236" s="40">
        <f>IFERROR(IFERROR(VLOOKUP(A236,'[1]JL EXE ACTIVE FTE List'!$G:$O,9,FALSE),VLOOKUP(A236,'[1]JL EXE LEAVER List'!$G:$O,9,FALSE)),"?QUERY?")</f>
        <v>42815</v>
      </c>
      <c r="F236" s="21" t="s">
        <v>338</v>
      </c>
      <c r="G236" s="21" t="s">
        <v>338</v>
      </c>
      <c r="H236" s="21" t="s">
        <v>335</v>
      </c>
      <c r="I236" s="21" t="s">
        <v>313</v>
      </c>
      <c r="J236" s="21" t="s">
        <v>313</v>
      </c>
      <c r="K236" s="21" t="s">
        <v>313</v>
      </c>
      <c r="L236" s="21" t="s">
        <v>313</v>
      </c>
      <c r="M236" s="21" t="s">
        <v>313</v>
      </c>
      <c r="N236" s="21" t="s">
        <v>313</v>
      </c>
      <c r="O236" s="21" t="s">
        <v>313</v>
      </c>
      <c r="P236" s="21" t="s">
        <v>313</v>
      </c>
      <c r="Q236" s="21" t="s">
        <v>313</v>
      </c>
      <c r="R236" s="21" t="s">
        <v>313</v>
      </c>
      <c r="S236" s="21" t="s">
        <v>313</v>
      </c>
      <c r="T236" s="21" t="s">
        <v>313</v>
      </c>
      <c r="U236" s="21" t="s">
        <v>313</v>
      </c>
      <c r="V236" s="21" t="s">
        <v>313</v>
      </c>
      <c r="W236" s="21" t="s">
        <v>313</v>
      </c>
      <c r="X236" s="21" t="s">
        <v>313</v>
      </c>
      <c r="Y236" s="21" t="s">
        <v>313</v>
      </c>
      <c r="Z236" s="21" t="s">
        <v>313</v>
      </c>
      <c r="AA236" s="21" t="s">
        <v>313</v>
      </c>
      <c r="AB236" s="21" t="s">
        <v>313</v>
      </c>
      <c r="AC236" s="21" t="s">
        <v>313</v>
      </c>
      <c r="AD236" s="21" t="s">
        <v>313</v>
      </c>
      <c r="AE236" s="21" t="s">
        <v>313</v>
      </c>
      <c r="AF236" s="21" t="s">
        <v>313</v>
      </c>
      <c r="AG236" s="21" t="s">
        <v>313</v>
      </c>
      <c r="AH236" s="21" t="s">
        <v>313</v>
      </c>
      <c r="AI236" s="21" t="s">
        <v>313</v>
      </c>
      <c r="AJ236" s="21" t="s">
        <v>313</v>
      </c>
      <c r="AK236" s="21" t="s">
        <v>313</v>
      </c>
      <c r="AL236" s="21" t="s">
        <v>313</v>
      </c>
      <c r="AM236" s="21" t="s">
        <v>313</v>
      </c>
      <c r="AN236" s="21" t="s">
        <v>313</v>
      </c>
      <c r="AO236" s="21" t="s">
        <v>313</v>
      </c>
      <c r="AP236" s="21" t="s">
        <v>313</v>
      </c>
      <c r="AQ236" s="21" t="s">
        <v>313</v>
      </c>
      <c r="AR236" s="21" t="s">
        <v>313</v>
      </c>
      <c r="AS236" s="21" t="s">
        <v>313</v>
      </c>
      <c r="AT236" s="21" t="s">
        <v>313</v>
      </c>
      <c r="AU236" s="21" t="s">
        <v>313</v>
      </c>
      <c r="AV236" s="21" t="s">
        <v>313</v>
      </c>
      <c r="AW236" s="21" t="s">
        <v>313</v>
      </c>
      <c r="AX236" s="21" t="s">
        <v>313</v>
      </c>
    </row>
    <row r="237" spans="1:50" x14ac:dyDescent="0.3">
      <c r="A237" s="30" t="s">
        <v>168</v>
      </c>
      <c r="B237" s="29" t="str">
        <f>IFERROR(VLOOKUP(A237,'[1]JL EXE ACTIVE FTE List'!$G:$N,8,FALSE),IF(ISNA(VLOOKUP(A237,'[1]JL EXE LEAVER List'!$G:$I,3,FALSE)),"Query","Leaver"))</f>
        <v>ATV</v>
      </c>
      <c r="C237" s="29" t="str">
        <f>IFERROR(VLOOKUP(A237,'[1]JL EXE ACTIVE FTE List'!$G:$R,12,FALSE),IF(ISNA(VLOOKUP(A237,'[1]JL EXE LEAVER List'!$G:$I,3,FALSE)),"?QUERY?","Leaver"))</f>
        <v>ACTIVE</v>
      </c>
      <c r="D237" s="39" t="str">
        <f>IFERROR(IFERROR(VLOOKUP(A237,'[1]JL EXE ACTIVE FTE List'!$G:$H,2,FALSE),VLOOKUP(A237,'[1]JL EXE LEAVER List'!$G:$H,2,FALSE)),"?QUERY?")</f>
        <v>Michael Ennals</v>
      </c>
      <c r="E237" s="40">
        <f>IFERROR(IFERROR(VLOOKUP(A237,'[1]JL EXE ACTIVE FTE List'!$G:$O,9,FALSE),VLOOKUP(A237,'[1]JL EXE LEAVER List'!$G:$O,9,FALSE)),"?QUERY?")</f>
        <v>42793</v>
      </c>
      <c r="F237" s="21" t="s">
        <v>338</v>
      </c>
      <c r="G237" s="21" t="s">
        <v>338</v>
      </c>
      <c r="H237" s="21" t="s">
        <v>338</v>
      </c>
      <c r="I237" s="21" t="s">
        <v>313</v>
      </c>
      <c r="J237" s="21" t="s">
        <v>313</v>
      </c>
      <c r="K237" s="21" t="s">
        <v>313</v>
      </c>
      <c r="L237" s="21" t="s">
        <v>313</v>
      </c>
      <c r="M237" s="21" t="s">
        <v>313</v>
      </c>
      <c r="N237" s="21" t="s">
        <v>313</v>
      </c>
      <c r="O237" s="21" t="s">
        <v>313</v>
      </c>
      <c r="P237" s="21" t="s">
        <v>313</v>
      </c>
      <c r="Q237" s="21" t="s">
        <v>313</v>
      </c>
      <c r="R237" s="21" t="s">
        <v>313</v>
      </c>
      <c r="S237" s="21" t="s">
        <v>313</v>
      </c>
      <c r="T237" s="21" t="s">
        <v>313</v>
      </c>
      <c r="U237" s="21" t="s">
        <v>313</v>
      </c>
      <c r="V237" s="21" t="s">
        <v>313</v>
      </c>
      <c r="W237" s="21" t="s">
        <v>313</v>
      </c>
      <c r="X237" s="21" t="s">
        <v>313</v>
      </c>
      <c r="Y237" s="21" t="s">
        <v>313</v>
      </c>
      <c r="Z237" s="21" t="s">
        <v>313</v>
      </c>
      <c r="AA237" s="21" t="s">
        <v>313</v>
      </c>
      <c r="AB237" s="21" t="s">
        <v>313</v>
      </c>
      <c r="AC237" s="21" t="s">
        <v>313</v>
      </c>
      <c r="AD237" s="21" t="s">
        <v>313</v>
      </c>
      <c r="AE237" s="21" t="s">
        <v>313</v>
      </c>
      <c r="AF237" s="21" t="s">
        <v>313</v>
      </c>
      <c r="AG237" s="21" t="s">
        <v>313</v>
      </c>
      <c r="AH237" s="21" t="s">
        <v>313</v>
      </c>
      <c r="AI237" s="21" t="s">
        <v>313</v>
      </c>
      <c r="AJ237" s="21" t="s">
        <v>313</v>
      </c>
      <c r="AK237" s="21" t="s">
        <v>313</v>
      </c>
      <c r="AL237" s="21" t="s">
        <v>313</v>
      </c>
      <c r="AM237" s="21" t="s">
        <v>313</v>
      </c>
      <c r="AN237" s="21" t="s">
        <v>313</v>
      </c>
      <c r="AO237" s="21" t="s">
        <v>313</v>
      </c>
      <c r="AP237" s="21" t="s">
        <v>313</v>
      </c>
      <c r="AQ237" s="21" t="s">
        <v>313</v>
      </c>
      <c r="AR237" s="21" t="s">
        <v>313</v>
      </c>
      <c r="AS237" s="21" t="s">
        <v>313</v>
      </c>
      <c r="AT237" s="21" t="s">
        <v>313</v>
      </c>
      <c r="AU237" s="21" t="s">
        <v>313</v>
      </c>
      <c r="AV237" s="21" t="s">
        <v>313</v>
      </c>
      <c r="AW237" s="21" t="s">
        <v>313</v>
      </c>
      <c r="AX237" s="21" t="s">
        <v>313</v>
      </c>
    </row>
    <row r="238" spans="1:50" ht="15" customHeight="1" x14ac:dyDescent="0.3">
      <c r="A238" s="30" t="s">
        <v>170</v>
      </c>
      <c r="B238" s="29" t="str">
        <f>IFERROR(VLOOKUP(A238,'[1]JL EXE ACTIVE FTE List'!$G:$N,8,FALSE),IF(ISNA(VLOOKUP(A238,'[1]JL EXE LEAVER List'!$G:$I,3,FALSE)),"Query","Leaver"))</f>
        <v>ATV</v>
      </c>
      <c r="C238" s="29" t="str">
        <f>IFERROR(VLOOKUP(A238,'[1]JL EXE ACTIVE FTE List'!$G:$R,12,FALSE),IF(ISNA(VLOOKUP(A238,'[1]JL EXE LEAVER List'!$G:$I,3,FALSE)),"?QUERY?","Leaver"))</f>
        <v>ACTIVE</v>
      </c>
      <c r="D238" s="39" t="str">
        <f>IFERROR(IFERROR(VLOOKUP(A238,'[1]JL EXE ACTIVE FTE List'!$G:$H,2,FALSE),VLOOKUP(A238,'[1]JL EXE LEAVER List'!$G:$H,2,FALSE)),"?QUERY?")</f>
        <v>Michael Ennals</v>
      </c>
      <c r="E238" s="40">
        <f>IFERROR(IFERROR(VLOOKUP(A238,'[1]JL EXE ACTIVE FTE List'!$G:$O,9,FALSE),VLOOKUP(A238,'[1]JL EXE LEAVER List'!$G:$O,9,FALSE)),"?QUERY?")</f>
        <v>42310</v>
      </c>
      <c r="F238" s="21" t="s">
        <v>338</v>
      </c>
      <c r="G238" s="21" t="s">
        <v>338</v>
      </c>
      <c r="H238" s="21" t="s">
        <v>338</v>
      </c>
      <c r="I238" s="21" t="s">
        <v>313</v>
      </c>
      <c r="J238" s="21" t="s">
        <v>313</v>
      </c>
      <c r="K238" s="21" t="s">
        <v>313</v>
      </c>
      <c r="L238" s="21" t="s">
        <v>313</v>
      </c>
      <c r="M238" s="21" t="s">
        <v>313</v>
      </c>
      <c r="N238" s="21" t="s">
        <v>313</v>
      </c>
      <c r="O238" s="21" t="s">
        <v>313</v>
      </c>
      <c r="P238" s="21" t="s">
        <v>313</v>
      </c>
      <c r="Q238" s="21" t="s">
        <v>313</v>
      </c>
      <c r="R238" s="21" t="s">
        <v>313</v>
      </c>
      <c r="S238" s="21" t="s">
        <v>313</v>
      </c>
      <c r="T238" s="21" t="s">
        <v>313</v>
      </c>
      <c r="U238" s="21" t="s">
        <v>313</v>
      </c>
      <c r="V238" s="21" t="s">
        <v>313</v>
      </c>
      <c r="W238" s="21" t="s">
        <v>313</v>
      </c>
      <c r="X238" s="21" t="s">
        <v>313</v>
      </c>
      <c r="Y238" s="21" t="s">
        <v>313</v>
      </c>
      <c r="Z238" s="21" t="s">
        <v>313</v>
      </c>
      <c r="AA238" s="21" t="s">
        <v>313</v>
      </c>
      <c r="AB238" s="21" t="s">
        <v>313</v>
      </c>
      <c r="AC238" s="21" t="s">
        <v>313</v>
      </c>
      <c r="AD238" s="21" t="s">
        <v>313</v>
      </c>
      <c r="AE238" s="21" t="s">
        <v>313</v>
      </c>
      <c r="AF238" s="21" t="s">
        <v>313</v>
      </c>
      <c r="AG238" s="21" t="s">
        <v>313</v>
      </c>
      <c r="AH238" s="21" t="s">
        <v>313</v>
      </c>
      <c r="AI238" s="21" t="s">
        <v>313</v>
      </c>
      <c r="AJ238" s="21" t="s">
        <v>313</v>
      </c>
      <c r="AK238" s="21" t="s">
        <v>313</v>
      </c>
      <c r="AL238" s="21" t="s">
        <v>313</v>
      </c>
      <c r="AM238" s="21" t="s">
        <v>313</v>
      </c>
      <c r="AN238" s="21" t="s">
        <v>313</v>
      </c>
      <c r="AO238" s="21" t="s">
        <v>313</v>
      </c>
      <c r="AP238" s="21" t="s">
        <v>313</v>
      </c>
      <c r="AQ238" s="21" t="s">
        <v>313</v>
      </c>
      <c r="AR238" s="21" t="s">
        <v>313</v>
      </c>
      <c r="AS238" s="21" t="s">
        <v>313</v>
      </c>
      <c r="AT238" s="21" t="s">
        <v>313</v>
      </c>
      <c r="AU238" s="21" t="s">
        <v>313</v>
      </c>
      <c r="AV238" s="21" t="s">
        <v>313</v>
      </c>
      <c r="AW238" s="21" t="s">
        <v>313</v>
      </c>
      <c r="AX238" s="21" t="s">
        <v>313</v>
      </c>
    </row>
    <row r="239" spans="1:50" ht="15" hidden="1" customHeight="1" x14ac:dyDescent="0.3">
      <c r="A239" s="30" t="s">
        <v>171</v>
      </c>
      <c r="B239" s="29" t="str">
        <f>IFERROR(VLOOKUP(A239,'[1]JL EXE ACTIVE FTE List'!$G:$N,8,FALSE),IF(ISNA(VLOOKUP(A239,'[1]JL EXE LEAVER List'!$G:$I,3,FALSE)),"Query","Leaver"))</f>
        <v>ATV</v>
      </c>
      <c r="C239" s="29" t="str">
        <f>IFERROR(VLOOKUP(A239,'[1]JL EXE ACTIVE FTE List'!$G:$R,12,FALSE),IF(ISNA(VLOOKUP(A239,'[1]JL EXE LEAVER List'!$G:$I,3,FALSE)),"?QUERY?","Leaver"))</f>
        <v>ACTIVE</v>
      </c>
      <c r="D239" s="39" t="str">
        <f>IFERROR(IFERROR(VLOOKUP(A239,'[1]JL EXE ACTIVE FTE List'!$G:$H,2,FALSE),VLOOKUP(A239,'[1]JL EXE LEAVER List'!$G:$H,2,FALSE)),"?QUERY?")</f>
        <v>Michael Ennals</v>
      </c>
      <c r="E239" s="40">
        <f>IFERROR(IFERROR(VLOOKUP(A239,'[1]JL EXE ACTIVE FTE List'!$G:$O,9,FALSE),VLOOKUP(A239,'[1]JL EXE LEAVER List'!$G:$O,9,FALSE)),"?QUERY?")</f>
        <v>42618</v>
      </c>
      <c r="F239" s="21" t="s">
        <v>366</v>
      </c>
      <c r="G239" s="21" t="s">
        <v>366</v>
      </c>
      <c r="H239" s="21" t="s">
        <v>366</v>
      </c>
      <c r="I239" s="21" t="s">
        <v>313</v>
      </c>
      <c r="J239" s="21" t="s">
        <v>313</v>
      </c>
      <c r="K239" s="21" t="s">
        <v>313</v>
      </c>
      <c r="L239" s="21" t="s">
        <v>313</v>
      </c>
      <c r="M239" s="21" t="s">
        <v>313</v>
      </c>
      <c r="N239" s="21" t="s">
        <v>313</v>
      </c>
      <c r="O239" s="21" t="s">
        <v>313</v>
      </c>
      <c r="P239" s="21" t="s">
        <v>313</v>
      </c>
      <c r="Q239" s="21" t="s">
        <v>313</v>
      </c>
      <c r="R239" s="21" t="s">
        <v>313</v>
      </c>
      <c r="S239" s="21" t="s">
        <v>313</v>
      </c>
      <c r="T239" s="21" t="s">
        <v>313</v>
      </c>
      <c r="U239" s="21" t="s">
        <v>313</v>
      </c>
      <c r="V239" s="21" t="s">
        <v>313</v>
      </c>
      <c r="W239" s="21" t="s">
        <v>313</v>
      </c>
      <c r="X239" s="21" t="s">
        <v>313</v>
      </c>
      <c r="Y239" s="21" t="s">
        <v>313</v>
      </c>
      <c r="Z239" s="21" t="s">
        <v>313</v>
      </c>
      <c r="AA239" s="21" t="s">
        <v>313</v>
      </c>
      <c r="AB239" s="21" t="s">
        <v>313</v>
      </c>
      <c r="AC239" s="21" t="s">
        <v>313</v>
      </c>
      <c r="AD239" s="21" t="s">
        <v>313</v>
      </c>
      <c r="AE239" s="21" t="s">
        <v>313</v>
      </c>
      <c r="AF239" s="21" t="s">
        <v>313</v>
      </c>
      <c r="AG239" s="21" t="s">
        <v>313</v>
      </c>
      <c r="AH239" s="21" t="s">
        <v>313</v>
      </c>
      <c r="AI239" s="21" t="s">
        <v>313</v>
      </c>
      <c r="AJ239" s="21" t="s">
        <v>313</v>
      </c>
      <c r="AK239" s="21" t="s">
        <v>313</v>
      </c>
      <c r="AL239" s="21" t="s">
        <v>313</v>
      </c>
      <c r="AM239" s="21" t="s">
        <v>313</v>
      </c>
      <c r="AN239" s="21" t="s">
        <v>313</v>
      </c>
      <c r="AO239" s="21" t="s">
        <v>313</v>
      </c>
      <c r="AP239" s="21" t="s">
        <v>313</v>
      </c>
      <c r="AQ239" s="21" t="s">
        <v>313</v>
      </c>
      <c r="AR239" s="21" t="s">
        <v>313</v>
      </c>
      <c r="AS239" s="21" t="s">
        <v>313</v>
      </c>
      <c r="AT239" s="21" t="s">
        <v>313</v>
      </c>
      <c r="AU239" s="21" t="s">
        <v>313</v>
      </c>
      <c r="AV239" s="21" t="s">
        <v>313</v>
      </c>
      <c r="AW239" s="21" t="s">
        <v>313</v>
      </c>
      <c r="AX239" s="21" t="s">
        <v>313</v>
      </c>
    </row>
    <row r="240" spans="1:50" ht="15" customHeight="1" x14ac:dyDescent="0.3">
      <c r="A240" s="30" t="s">
        <v>174</v>
      </c>
      <c r="B240" s="29" t="str">
        <f>IFERROR(VLOOKUP(A240,'[1]JL EXE ACTIVE FTE List'!$G:$N,8,FALSE),IF(ISNA(VLOOKUP(A240,'[1]JL EXE LEAVER List'!$G:$I,3,FALSE)),"Query","Leaver"))</f>
        <v>ATV</v>
      </c>
      <c r="C240" s="29" t="str">
        <f>IFERROR(VLOOKUP(A240,'[1]JL EXE ACTIVE FTE List'!$G:$R,12,FALSE),IF(ISNA(VLOOKUP(A240,'[1]JL EXE LEAVER List'!$G:$I,3,FALSE)),"?QUERY?","Leaver"))</f>
        <v>ACTIVE</v>
      </c>
      <c r="D240" s="39" t="str">
        <f>IFERROR(IFERROR(VLOOKUP(A240,'[1]JL EXE ACTIVE FTE List'!$G:$H,2,FALSE),VLOOKUP(A240,'[1]JL EXE LEAVER List'!$G:$H,2,FALSE)),"?QUERY?")</f>
        <v>Michael Ennals</v>
      </c>
      <c r="E240" s="40">
        <f>IFERROR(IFERROR(VLOOKUP(A240,'[1]JL EXE ACTIVE FTE List'!$G:$O,9,FALSE),VLOOKUP(A240,'[1]JL EXE LEAVER List'!$G:$O,9,FALSE)),"?QUERY?")</f>
        <v>41037</v>
      </c>
      <c r="F240" s="21" t="s">
        <v>338</v>
      </c>
      <c r="G240" s="21" t="s">
        <v>338</v>
      </c>
      <c r="H240" s="21" t="s">
        <v>335</v>
      </c>
      <c r="I240" s="21" t="s">
        <v>313</v>
      </c>
      <c r="J240" s="21" t="s">
        <v>313</v>
      </c>
      <c r="K240" s="21" t="s">
        <v>313</v>
      </c>
      <c r="L240" s="21" t="s">
        <v>313</v>
      </c>
      <c r="M240" s="21" t="s">
        <v>313</v>
      </c>
      <c r="N240" s="21" t="s">
        <v>313</v>
      </c>
      <c r="O240" s="21" t="s">
        <v>313</v>
      </c>
      <c r="P240" s="21" t="s">
        <v>313</v>
      </c>
      <c r="Q240" s="21" t="s">
        <v>313</v>
      </c>
      <c r="R240" s="21" t="s">
        <v>313</v>
      </c>
      <c r="S240" s="21" t="s">
        <v>313</v>
      </c>
      <c r="T240" s="21" t="s">
        <v>313</v>
      </c>
      <c r="U240" s="21" t="s">
        <v>313</v>
      </c>
      <c r="V240" s="21" t="s">
        <v>313</v>
      </c>
      <c r="W240" s="21" t="s">
        <v>313</v>
      </c>
      <c r="X240" s="21" t="s">
        <v>313</v>
      </c>
      <c r="Y240" s="21" t="s">
        <v>313</v>
      </c>
      <c r="Z240" s="21" t="s">
        <v>313</v>
      </c>
      <c r="AA240" s="21" t="s">
        <v>313</v>
      </c>
      <c r="AB240" s="21" t="s">
        <v>313</v>
      </c>
      <c r="AC240" s="21" t="s">
        <v>313</v>
      </c>
      <c r="AD240" s="21" t="s">
        <v>313</v>
      </c>
      <c r="AE240" s="21" t="s">
        <v>313</v>
      </c>
      <c r="AF240" s="21" t="s">
        <v>313</v>
      </c>
      <c r="AG240" s="21" t="s">
        <v>313</v>
      </c>
      <c r="AH240" s="21" t="s">
        <v>313</v>
      </c>
      <c r="AI240" s="21" t="s">
        <v>313</v>
      </c>
      <c r="AJ240" s="21" t="s">
        <v>313</v>
      </c>
      <c r="AK240" s="21" t="s">
        <v>313</v>
      </c>
      <c r="AL240" s="21" t="s">
        <v>313</v>
      </c>
      <c r="AM240" s="21" t="s">
        <v>313</v>
      </c>
      <c r="AN240" s="21" t="s">
        <v>313</v>
      </c>
      <c r="AO240" s="21" t="s">
        <v>313</v>
      </c>
      <c r="AP240" s="21" t="s">
        <v>313</v>
      </c>
      <c r="AQ240" s="21" t="s">
        <v>313</v>
      </c>
      <c r="AR240" s="21" t="s">
        <v>313</v>
      </c>
      <c r="AS240" s="21" t="s">
        <v>313</v>
      </c>
      <c r="AT240" s="21" t="s">
        <v>313</v>
      </c>
      <c r="AU240" s="21" t="s">
        <v>313</v>
      </c>
      <c r="AV240" s="21" t="s">
        <v>313</v>
      </c>
      <c r="AW240" s="21" t="s">
        <v>313</v>
      </c>
      <c r="AX240" s="21" t="s">
        <v>313</v>
      </c>
    </row>
    <row r="241" spans="1:50" ht="15.75" customHeight="1" x14ac:dyDescent="0.3">
      <c r="A241" s="30" t="s">
        <v>175</v>
      </c>
      <c r="B241" s="29" t="str">
        <f>IFERROR(VLOOKUP(A241,'[1]JL EXE ACTIVE FTE List'!$G:$N,8,FALSE),IF(ISNA(VLOOKUP(A241,'[1]JL EXE LEAVER List'!$G:$I,3,FALSE)),"Query","Leaver"))</f>
        <v>ATV</v>
      </c>
      <c r="C241" s="29" t="str">
        <f>IFERROR(VLOOKUP(A241,'[1]JL EXE ACTIVE FTE List'!$G:$R,12,FALSE),IF(ISNA(VLOOKUP(A241,'[1]JL EXE LEAVER List'!$G:$I,3,FALSE)),"?QUERY?","Leaver"))</f>
        <v>ACTIVE</v>
      </c>
      <c r="D241" s="39" t="str">
        <f>IFERROR(IFERROR(VLOOKUP(A241,'[1]JL EXE ACTIVE FTE List'!$G:$H,2,FALSE),VLOOKUP(A241,'[1]JL EXE LEAVER List'!$G:$H,2,FALSE)),"?QUERY?")</f>
        <v>Michael Ennals</v>
      </c>
      <c r="E241" s="40">
        <f>IFERROR(IFERROR(VLOOKUP(A241,'[1]JL EXE ACTIVE FTE List'!$G:$O,9,FALSE),VLOOKUP(A241,'[1]JL EXE LEAVER List'!$G:$O,9,FALSE)),"?QUERY?")</f>
        <v>42955</v>
      </c>
      <c r="F241" s="21" t="s">
        <v>338</v>
      </c>
      <c r="G241" s="21" t="s">
        <v>338</v>
      </c>
      <c r="H241" s="21" t="s">
        <v>335</v>
      </c>
      <c r="I241" s="21" t="s">
        <v>313</v>
      </c>
      <c r="J241" s="21" t="s">
        <v>313</v>
      </c>
      <c r="K241" s="21" t="s">
        <v>313</v>
      </c>
      <c r="L241" s="21" t="s">
        <v>313</v>
      </c>
      <c r="M241" s="21" t="s">
        <v>313</v>
      </c>
      <c r="N241" s="21" t="s">
        <v>313</v>
      </c>
      <c r="O241" s="21" t="s">
        <v>313</v>
      </c>
      <c r="P241" s="21" t="s">
        <v>313</v>
      </c>
      <c r="Q241" s="21" t="s">
        <v>313</v>
      </c>
      <c r="R241" s="21" t="s">
        <v>313</v>
      </c>
      <c r="S241" s="21" t="s">
        <v>313</v>
      </c>
      <c r="T241" s="21" t="s">
        <v>313</v>
      </c>
      <c r="U241" s="21" t="s">
        <v>313</v>
      </c>
      <c r="V241" s="21" t="s">
        <v>313</v>
      </c>
      <c r="W241" s="21" t="s">
        <v>313</v>
      </c>
      <c r="X241" s="21" t="s">
        <v>313</v>
      </c>
      <c r="Y241" s="21" t="s">
        <v>313</v>
      </c>
      <c r="Z241" s="21" t="s">
        <v>313</v>
      </c>
      <c r="AA241" s="21" t="s">
        <v>313</v>
      </c>
      <c r="AB241" s="21" t="s">
        <v>313</v>
      </c>
      <c r="AC241" s="21" t="s">
        <v>313</v>
      </c>
      <c r="AD241" s="21" t="s">
        <v>313</v>
      </c>
      <c r="AE241" s="21" t="s">
        <v>313</v>
      </c>
      <c r="AF241" s="21" t="s">
        <v>313</v>
      </c>
      <c r="AG241" s="21" t="s">
        <v>313</v>
      </c>
      <c r="AH241" s="21" t="s">
        <v>313</v>
      </c>
      <c r="AI241" s="21" t="s">
        <v>313</v>
      </c>
      <c r="AJ241" s="21" t="s">
        <v>313</v>
      </c>
      <c r="AK241" s="21" t="s">
        <v>313</v>
      </c>
      <c r="AL241" s="21" t="s">
        <v>313</v>
      </c>
      <c r="AM241" s="21" t="s">
        <v>313</v>
      </c>
      <c r="AN241" s="21" t="s">
        <v>313</v>
      </c>
      <c r="AO241" s="21" t="s">
        <v>313</v>
      </c>
      <c r="AP241" s="21" t="s">
        <v>313</v>
      </c>
      <c r="AQ241" s="21" t="s">
        <v>313</v>
      </c>
      <c r="AR241" s="21" t="s">
        <v>313</v>
      </c>
      <c r="AS241" s="21" t="s">
        <v>313</v>
      </c>
      <c r="AT241" s="21" t="s">
        <v>313</v>
      </c>
      <c r="AU241" s="21" t="s">
        <v>313</v>
      </c>
      <c r="AV241" s="21" t="s">
        <v>313</v>
      </c>
      <c r="AW241" s="21" t="s">
        <v>313</v>
      </c>
      <c r="AX241" s="21" t="s">
        <v>313</v>
      </c>
    </row>
    <row r="242" spans="1:50" ht="15" customHeight="1" x14ac:dyDescent="0.3">
      <c r="A242" s="30" t="s">
        <v>176</v>
      </c>
      <c r="B242" s="29" t="str">
        <f>IFERROR(VLOOKUP(A242,'[1]JL EXE ACTIVE FTE List'!$G:$N,8,FALSE),IF(ISNA(VLOOKUP(A242,'[1]JL EXE LEAVER List'!$G:$I,3,FALSE)),"Query","Leaver"))</f>
        <v>ATV</v>
      </c>
      <c r="C242" s="29" t="str">
        <f>IFERROR(VLOOKUP(A242,'[1]JL EXE ACTIVE FTE List'!$G:$R,12,FALSE),IF(ISNA(VLOOKUP(A242,'[1]JL EXE LEAVER List'!$G:$I,3,FALSE)),"?QUERY?","Leaver"))</f>
        <v>ACTIVE</v>
      </c>
      <c r="D242" s="39" t="str">
        <f>IFERROR(IFERROR(VLOOKUP(A242,'[1]JL EXE ACTIVE FTE List'!$G:$H,2,FALSE),VLOOKUP(A242,'[1]JL EXE LEAVER List'!$G:$H,2,FALSE)),"?QUERY?")</f>
        <v>Michael Ennals</v>
      </c>
      <c r="E242" s="40">
        <f>IFERROR(IFERROR(VLOOKUP(A242,'[1]JL EXE ACTIVE FTE List'!$G:$O,9,FALSE),VLOOKUP(A242,'[1]JL EXE LEAVER List'!$G:$O,9,FALSE)),"?QUERY?")</f>
        <v>42863</v>
      </c>
      <c r="F242" s="21" t="s">
        <v>338</v>
      </c>
      <c r="G242" s="21" t="s">
        <v>338</v>
      </c>
      <c r="H242" s="21" t="s">
        <v>338</v>
      </c>
      <c r="I242" s="21" t="s">
        <v>313</v>
      </c>
      <c r="J242" s="21" t="s">
        <v>313</v>
      </c>
      <c r="K242" s="21" t="s">
        <v>313</v>
      </c>
      <c r="L242" s="21" t="s">
        <v>313</v>
      </c>
      <c r="M242" s="21" t="s">
        <v>313</v>
      </c>
      <c r="N242" s="21" t="s">
        <v>313</v>
      </c>
      <c r="O242" s="21" t="s">
        <v>313</v>
      </c>
      <c r="P242" s="21" t="s">
        <v>313</v>
      </c>
      <c r="Q242" s="21" t="s">
        <v>313</v>
      </c>
      <c r="R242" s="21" t="s">
        <v>313</v>
      </c>
      <c r="S242" s="21" t="s">
        <v>313</v>
      </c>
      <c r="T242" s="21" t="s">
        <v>313</v>
      </c>
      <c r="U242" s="21" t="s">
        <v>313</v>
      </c>
      <c r="V242" s="21" t="s">
        <v>313</v>
      </c>
      <c r="W242" s="21" t="s">
        <v>313</v>
      </c>
      <c r="X242" s="21" t="s">
        <v>313</v>
      </c>
      <c r="Y242" s="21" t="s">
        <v>313</v>
      </c>
      <c r="Z242" s="21" t="s">
        <v>313</v>
      </c>
      <c r="AA242" s="21" t="s">
        <v>313</v>
      </c>
      <c r="AB242" s="21" t="s">
        <v>313</v>
      </c>
      <c r="AC242" s="21" t="s">
        <v>313</v>
      </c>
      <c r="AD242" s="21" t="s">
        <v>313</v>
      </c>
      <c r="AE242" s="21" t="s">
        <v>313</v>
      </c>
      <c r="AF242" s="21" t="s">
        <v>313</v>
      </c>
      <c r="AG242" s="21" t="s">
        <v>313</v>
      </c>
      <c r="AH242" s="21" t="s">
        <v>313</v>
      </c>
      <c r="AI242" s="21" t="s">
        <v>313</v>
      </c>
      <c r="AJ242" s="21" t="s">
        <v>313</v>
      </c>
      <c r="AK242" s="21" t="s">
        <v>313</v>
      </c>
      <c r="AL242" s="21" t="s">
        <v>313</v>
      </c>
      <c r="AM242" s="21" t="s">
        <v>313</v>
      </c>
      <c r="AN242" s="21" t="s">
        <v>313</v>
      </c>
      <c r="AO242" s="21" t="s">
        <v>313</v>
      </c>
      <c r="AP242" s="21" t="s">
        <v>313</v>
      </c>
      <c r="AQ242" s="21" t="s">
        <v>313</v>
      </c>
      <c r="AR242" s="21" t="s">
        <v>313</v>
      </c>
      <c r="AS242" s="21" t="s">
        <v>313</v>
      </c>
      <c r="AT242" s="21" t="s">
        <v>313</v>
      </c>
      <c r="AU242" s="21" t="s">
        <v>313</v>
      </c>
      <c r="AV242" s="21" t="s">
        <v>313</v>
      </c>
      <c r="AW242" s="21" t="s">
        <v>313</v>
      </c>
      <c r="AX242" s="21" t="s">
        <v>313</v>
      </c>
    </row>
    <row r="243" spans="1:50" ht="15" customHeight="1" x14ac:dyDescent="0.3">
      <c r="A243" s="30" t="s">
        <v>177</v>
      </c>
      <c r="B243" s="29" t="str">
        <f>IFERROR(VLOOKUP(A243,'[1]JL EXE ACTIVE FTE List'!$G:$N,8,FALSE),IF(ISNA(VLOOKUP(A243,'[1]JL EXE LEAVER List'!$G:$I,3,FALSE)),"Query","Leaver"))</f>
        <v>ATV</v>
      </c>
      <c r="C243" s="29" t="str">
        <f>IFERROR(VLOOKUP(A243,'[1]JL EXE ACTIVE FTE List'!$G:$R,12,FALSE),IF(ISNA(VLOOKUP(A243,'[1]JL EXE LEAVER List'!$G:$I,3,FALSE)),"?QUERY?","Leaver"))</f>
        <v>ACTIVE</v>
      </c>
      <c r="D243" s="39" t="str">
        <f>IFERROR(IFERROR(VLOOKUP(A243,'[1]JL EXE ACTIVE FTE List'!$G:$H,2,FALSE),VLOOKUP(A243,'[1]JL EXE LEAVER List'!$G:$H,2,FALSE)),"?QUERY?")</f>
        <v>Michael Ennals</v>
      </c>
      <c r="E243" s="40">
        <f>IFERROR(IFERROR(VLOOKUP(A243,'[1]JL EXE ACTIVE FTE List'!$G:$O,9,FALSE),VLOOKUP(A243,'[1]JL EXE LEAVER List'!$G:$O,9,FALSE)),"?QUERY?")</f>
        <v>42562</v>
      </c>
      <c r="F243" s="21" t="s">
        <v>338</v>
      </c>
      <c r="G243" s="21" t="s">
        <v>338</v>
      </c>
      <c r="H243" s="21" t="s">
        <v>338</v>
      </c>
      <c r="I243" s="21" t="s">
        <v>313</v>
      </c>
      <c r="J243" s="21" t="s">
        <v>313</v>
      </c>
      <c r="K243" s="21" t="s">
        <v>313</v>
      </c>
      <c r="L243" s="21" t="s">
        <v>313</v>
      </c>
      <c r="M243" s="21" t="s">
        <v>313</v>
      </c>
      <c r="N243" s="21" t="s">
        <v>313</v>
      </c>
      <c r="O243" s="21" t="s">
        <v>313</v>
      </c>
      <c r="P243" s="21" t="s">
        <v>313</v>
      </c>
      <c r="Q243" s="21" t="s">
        <v>313</v>
      </c>
      <c r="R243" s="21" t="s">
        <v>313</v>
      </c>
      <c r="S243" s="21" t="s">
        <v>313</v>
      </c>
      <c r="T243" s="21" t="s">
        <v>313</v>
      </c>
      <c r="U243" s="21" t="s">
        <v>313</v>
      </c>
      <c r="V243" s="21" t="s">
        <v>313</v>
      </c>
      <c r="W243" s="21" t="s">
        <v>313</v>
      </c>
      <c r="X243" s="21" t="s">
        <v>313</v>
      </c>
      <c r="Y243" s="21" t="s">
        <v>313</v>
      </c>
      <c r="Z243" s="21" t="s">
        <v>313</v>
      </c>
      <c r="AA243" s="21" t="s">
        <v>313</v>
      </c>
      <c r="AB243" s="21" t="s">
        <v>313</v>
      </c>
      <c r="AC243" s="21" t="s">
        <v>313</v>
      </c>
      <c r="AD243" s="21" t="s">
        <v>313</v>
      </c>
      <c r="AE243" s="21" t="s">
        <v>313</v>
      </c>
      <c r="AF243" s="21" t="s">
        <v>313</v>
      </c>
      <c r="AG243" s="21" t="s">
        <v>313</v>
      </c>
      <c r="AH243" s="21" t="s">
        <v>313</v>
      </c>
      <c r="AI243" s="21" t="s">
        <v>313</v>
      </c>
      <c r="AJ243" s="21" t="s">
        <v>313</v>
      </c>
      <c r="AK243" s="21" t="s">
        <v>313</v>
      </c>
      <c r="AL243" s="21" t="s">
        <v>313</v>
      </c>
      <c r="AM243" s="21" t="s">
        <v>313</v>
      </c>
      <c r="AN243" s="21" t="s">
        <v>313</v>
      </c>
      <c r="AO243" s="21" t="s">
        <v>313</v>
      </c>
      <c r="AP243" s="21" t="s">
        <v>313</v>
      </c>
      <c r="AQ243" s="21" t="s">
        <v>313</v>
      </c>
      <c r="AR243" s="21" t="s">
        <v>313</v>
      </c>
      <c r="AS243" s="21" t="s">
        <v>313</v>
      </c>
      <c r="AT243" s="21" t="s">
        <v>313</v>
      </c>
      <c r="AU243" s="21" t="s">
        <v>313</v>
      </c>
      <c r="AV243" s="21" t="s">
        <v>313</v>
      </c>
      <c r="AW243" s="21" t="s">
        <v>313</v>
      </c>
      <c r="AX243" s="21" t="s">
        <v>313</v>
      </c>
    </row>
    <row r="244" spans="1:50" ht="15" customHeight="1" x14ac:dyDescent="0.3">
      <c r="A244" s="30" t="s">
        <v>261</v>
      </c>
      <c r="B244" s="29" t="str">
        <f>IFERROR(VLOOKUP(A244,'[1]JL EXE ACTIVE FTE List'!$G:$N,8,FALSE),IF(ISNA(VLOOKUP(A244,'[1]JL EXE LEAVER List'!$G:$I,3,FALSE)),"Query","Leaver"))</f>
        <v>ATV</v>
      </c>
      <c r="C244" s="29" t="str">
        <f>IFERROR(VLOOKUP(A244,'[1]JL EXE ACTIVE FTE List'!$G:$R,12,FALSE),IF(ISNA(VLOOKUP(A244,'[1]JL EXE LEAVER List'!$G:$I,3,FALSE)),"?QUERY?","Leaver"))</f>
        <v>ACTIVE</v>
      </c>
      <c r="D244" s="39" t="str">
        <f>IFERROR(IFERROR(VLOOKUP(A244,'[1]JL EXE ACTIVE FTE List'!$G:$H,2,FALSE),VLOOKUP(A244,'[1]JL EXE LEAVER List'!$G:$H,2,FALSE)),"?QUERY?")</f>
        <v>Michael Ennals</v>
      </c>
      <c r="E244" s="40">
        <f>IFERROR(IFERROR(VLOOKUP(A244,'[1]JL EXE ACTIVE FTE List'!$G:$O,9,FALSE),VLOOKUP(A244,'[1]JL EXE LEAVER List'!$G:$O,9,FALSE)),"?QUERY?")</f>
        <v>41722</v>
      </c>
      <c r="F244" s="21" t="s">
        <v>338</v>
      </c>
      <c r="G244" s="21" t="s">
        <v>338</v>
      </c>
      <c r="H244" s="21" t="s">
        <v>335</v>
      </c>
      <c r="I244" s="21" t="s">
        <v>313</v>
      </c>
      <c r="J244" s="21" t="s">
        <v>313</v>
      </c>
      <c r="K244" s="21" t="s">
        <v>313</v>
      </c>
      <c r="L244" s="21" t="s">
        <v>313</v>
      </c>
      <c r="M244" s="21" t="s">
        <v>313</v>
      </c>
      <c r="N244" s="21" t="s">
        <v>313</v>
      </c>
      <c r="O244" s="21" t="s">
        <v>313</v>
      </c>
      <c r="P244" s="21" t="s">
        <v>313</v>
      </c>
      <c r="Q244" s="21" t="s">
        <v>313</v>
      </c>
      <c r="R244" s="21" t="s">
        <v>313</v>
      </c>
      <c r="S244" s="21" t="s">
        <v>313</v>
      </c>
      <c r="T244" s="21" t="s">
        <v>313</v>
      </c>
      <c r="U244" s="21" t="s">
        <v>313</v>
      </c>
      <c r="V244" s="21" t="s">
        <v>313</v>
      </c>
      <c r="W244" s="21" t="s">
        <v>313</v>
      </c>
      <c r="X244" s="21" t="s">
        <v>313</v>
      </c>
      <c r="Y244" s="21" t="s">
        <v>313</v>
      </c>
      <c r="Z244" s="21" t="s">
        <v>313</v>
      </c>
      <c r="AA244" s="21" t="s">
        <v>313</v>
      </c>
      <c r="AB244" s="21" t="s">
        <v>313</v>
      </c>
      <c r="AC244" s="21" t="s">
        <v>313</v>
      </c>
      <c r="AD244" s="21" t="s">
        <v>313</v>
      </c>
      <c r="AE244" s="21" t="s">
        <v>313</v>
      </c>
      <c r="AF244" s="21" t="s">
        <v>313</v>
      </c>
      <c r="AG244" s="21" t="s">
        <v>313</v>
      </c>
      <c r="AH244" s="21" t="s">
        <v>313</v>
      </c>
      <c r="AI244" s="21" t="s">
        <v>313</v>
      </c>
      <c r="AJ244" s="21" t="s">
        <v>313</v>
      </c>
      <c r="AK244" s="21" t="s">
        <v>313</v>
      </c>
      <c r="AL244" s="21" t="s">
        <v>313</v>
      </c>
      <c r="AM244" s="21" t="s">
        <v>313</v>
      </c>
      <c r="AN244" s="21" t="s">
        <v>313</v>
      </c>
      <c r="AO244" s="21" t="s">
        <v>313</v>
      </c>
      <c r="AP244" s="21" t="s">
        <v>313</v>
      </c>
      <c r="AQ244" s="21" t="s">
        <v>313</v>
      </c>
      <c r="AR244" s="21" t="s">
        <v>313</v>
      </c>
      <c r="AS244" s="21" t="s">
        <v>313</v>
      </c>
      <c r="AT244" s="21" t="s">
        <v>313</v>
      </c>
      <c r="AU244" s="21" t="s">
        <v>313</v>
      </c>
      <c r="AV244" s="21" t="s">
        <v>313</v>
      </c>
      <c r="AW244" s="21" t="s">
        <v>313</v>
      </c>
      <c r="AX244" s="21" t="s">
        <v>313</v>
      </c>
    </row>
    <row r="245" spans="1:50" ht="15" customHeight="1" x14ac:dyDescent="0.3">
      <c r="A245" s="30" t="s">
        <v>181</v>
      </c>
      <c r="B245" s="29" t="str">
        <f>IFERROR(VLOOKUP(A245,'[1]JL EXE ACTIVE FTE List'!$G:$N,8,FALSE),IF(ISNA(VLOOKUP(A245,'[1]JL EXE LEAVER List'!$G:$I,3,FALSE)),"Query","Leaver"))</f>
        <v>ATV</v>
      </c>
      <c r="C245" s="29" t="str">
        <f>IFERROR(VLOOKUP(A245,'[1]JL EXE ACTIVE FTE List'!$G:$R,12,FALSE),IF(ISNA(VLOOKUP(A245,'[1]JL EXE LEAVER List'!$G:$I,3,FALSE)),"?QUERY?","Leaver"))</f>
        <v>ACTIVE</v>
      </c>
      <c r="D245" s="39" t="str">
        <f>IFERROR(IFERROR(VLOOKUP(A245,'[1]JL EXE ACTIVE FTE List'!$G:$H,2,FALSE),VLOOKUP(A245,'[1]JL EXE LEAVER List'!$G:$H,2,FALSE)),"?QUERY?")</f>
        <v>Michael Ennals</v>
      </c>
      <c r="E245" s="40">
        <f>IFERROR(IFERROR(VLOOKUP(A245,'[1]JL EXE ACTIVE FTE List'!$G:$O,9,FALSE),VLOOKUP(A245,'[1]JL EXE LEAVER List'!$G:$O,9,FALSE)),"?QUERY?")</f>
        <v>42891</v>
      </c>
      <c r="F245" s="21" t="s">
        <v>338</v>
      </c>
      <c r="G245" s="21" t="s">
        <v>338</v>
      </c>
      <c r="H245" s="21" t="s">
        <v>335</v>
      </c>
      <c r="I245" s="21" t="s">
        <v>313</v>
      </c>
      <c r="J245" s="21" t="s">
        <v>313</v>
      </c>
      <c r="K245" s="21" t="s">
        <v>313</v>
      </c>
      <c r="L245" s="21" t="s">
        <v>313</v>
      </c>
      <c r="M245" s="21" t="s">
        <v>313</v>
      </c>
      <c r="N245" s="21" t="s">
        <v>313</v>
      </c>
      <c r="O245" s="21" t="s">
        <v>313</v>
      </c>
      <c r="P245" s="21" t="s">
        <v>313</v>
      </c>
      <c r="Q245" s="21" t="s">
        <v>313</v>
      </c>
      <c r="R245" s="21" t="s">
        <v>313</v>
      </c>
      <c r="S245" s="21" t="s">
        <v>313</v>
      </c>
      <c r="T245" s="21" t="s">
        <v>313</v>
      </c>
      <c r="U245" s="21" t="s">
        <v>313</v>
      </c>
      <c r="V245" s="21" t="s">
        <v>313</v>
      </c>
      <c r="W245" s="21" t="s">
        <v>313</v>
      </c>
      <c r="X245" s="21" t="s">
        <v>313</v>
      </c>
      <c r="Y245" s="21" t="s">
        <v>313</v>
      </c>
      <c r="Z245" s="21" t="s">
        <v>313</v>
      </c>
      <c r="AA245" s="21" t="s">
        <v>313</v>
      </c>
      <c r="AB245" s="21" t="s">
        <v>313</v>
      </c>
      <c r="AC245" s="21" t="s">
        <v>313</v>
      </c>
      <c r="AD245" s="21" t="s">
        <v>313</v>
      </c>
      <c r="AE245" s="21" t="s">
        <v>313</v>
      </c>
      <c r="AF245" s="21" t="s">
        <v>313</v>
      </c>
      <c r="AG245" s="21" t="s">
        <v>313</v>
      </c>
      <c r="AH245" s="21" t="s">
        <v>313</v>
      </c>
      <c r="AI245" s="21" t="s">
        <v>313</v>
      </c>
      <c r="AJ245" s="21" t="s">
        <v>313</v>
      </c>
      <c r="AK245" s="21" t="s">
        <v>313</v>
      </c>
      <c r="AL245" s="21" t="s">
        <v>313</v>
      </c>
      <c r="AM245" s="21" t="s">
        <v>313</v>
      </c>
      <c r="AN245" s="21" t="s">
        <v>313</v>
      </c>
      <c r="AO245" s="21" t="s">
        <v>313</v>
      </c>
      <c r="AP245" s="21" t="s">
        <v>313</v>
      </c>
      <c r="AQ245" s="21" t="s">
        <v>313</v>
      </c>
      <c r="AR245" s="21" t="s">
        <v>313</v>
      </c>
      <c r="AS245" s="21" t="s">
        <v>313</v>
      </c>
      <c r="AT245" s="21" t="s">
        <v>313</v>
      </c>
      <c r="AU245" s="21" t="s">
        <v>313</v>
      </c>
      <c r="AV245" s="21" t="s">
        <v>313</v>
      </c>
      <c r="AW245" s="21" t="s">
        <v>313</v>
      </c>
      <c r="AX245" s="21" t="s">
        <v>313</v>
      </c>
    </row>
    <row r="246" spans="1:50" ht="15" customHeight="1" x14ac:dyDescent="0.3">
      <c r="A246" s="30" t="s">
        <v>98</v>
      </c>
      <c r="B246" s="29" t="str">
        <f>IFERROR(VLOOKUP(A246,'[1]JL EXE ACTIVE FTE List'!$G:$N,8,FALSE),IF(ISNA(VLOOKUP(A246,'[1]JL EXE LEAVER List'!$G:$I,3,FALSE)),"Query","Leaver"))</f>
        <v>CSA</v>
      </c>
      <c r="C246" s="29" t="str">
        <f>IFERROR(VLOOKUP(A246,'[1]JL EXE ACTIVE FTE List'!$G:$R,12,FALSE),IF(ISNA(VLOOKUP(A246,'[1]JL EXE LEAVER List'!$G:$I,3,FALSE)),"?QUERY?","Leaver"))</f>
        <v>ACTIVE</v>
      </c>
      <c r="D246" s="39" t="str">
        <f>IFERROR(IFERROR(VLOOKUP(A246,'[1]JL EXE ACTIVE FTE List'!$G:$H,2,FALSE),VLOOKUP(A246,'[1]JL EXE LEAVER List'!$G:$H,2,FALSE)),"?QUERY?")</f>
        <v>Natalie Lubienski</v>
      </c>
      <c r="E246" s="40">
        <f>IFERROR(IFERROR(VLOOKUP(A246,'[1]JL EXE ACTIVE FTE List'!$G:$O,9,FALSE),VLOOKUP(A246,'[1]JL EXE LEAVER List'!$G:$O,9,FALSE)),"?QUERY?")</f>
        <v>42779</v>
      </c>
      <c r="F246" s="21" t="s">
        <v>338</v>
      </c>
      <c r="G246" s="21" t="s">
        <v>338</v>
      </c>
      <c r="H246" s="21" t="s">
        <v>338</v>
      </c>
      <c r="I246" s="21" t="s">
        <v>313</v>
      </c>
      <c r="J246" s="21" t="s">
        <v>313</v>
      </c>
      <c r="K246" s="21" t="s">
        <v>313</v>
      </c>
      <c r="L246" s="21" t="s">
        <v>313</v>
      </c>
      <c r="M246" s="21" t="s">
        <v>313</v>
      </c>
      <c r="N246" s="21" t="s">
        <v>313</v>
      </c>
      <c r="O246" s="21" t="s">
        <v>313</v>
      </c>
      <c r="P246" s="21" t="s">
        <v>313</v>
      </c>
      <c r="Q246" s="21" t="s">
        <v>313</v>
      </c>
      <c r="R246" s="21" t="s">
        <v>313</v>
      </c>
      <c r="S246" s="21" t="s">
        <v>313</v>
      </c>
      <c r="T246" s="21" t="s">
        <v>313</v>
      </c>
      <c r="U246" s="21" t="s">
        <v>313</v>
      </c>
      <c r="V246" s="21" t="s">
        <v>313</v>
      </c>
      <c r="W246" s="21" t="s">
        <v>313</v>
      </c>
      <c r="X246" s="21" t="s">
        <v>313</v>
      </c>
      <c r="Y246" s="21" t="s">
        <v>313</v>
      </c>
      <c r="Z246" s="21" t="s">
        <v>313</v>
      </c>
      <c r="AA246" s="21" t="s">
        <v>313</v>
      </c>
      <c r="AB246" s="21" t="s">
        <v>313</v>
      </c>
      <c r="AC246" s="21" t="s">
        <v>313</v>
      </c>
      <c r="AD246" s="21" t="s">
        <v>313</v>
      </c>
      <c r="AE246" s="21" t="s">
        <v>313</v>
      </c>
      <c r="AF246" s="21" t="s">
        <v>313</v>
      </c>
      <c r="AG246" s="21" t="s">
        <v>313</v>
      </c>
      <c r="AH246" s="21" t="s">
        <v>313</v>
      </c>
      <c r="AI246" s="21" t="s">
        <v>313</v>
      </c>
      <c r="AJ246" s="21" t="s">
        <v>313</v>
      </c>
      <c r="AK246" s="21" t="s">
        <v>313</v>
      </c>
      <c r="AL246" s="21" t="s">
        <v>313</v>
      </c>
      <c r="AM246" s="21" t="s">
        <v>313</v>
      </c>
      <c r="AN246" s="21" t="s">
        <v>313</v>
      </c>
      <c r="AO246" s="21" t="s">
        <v>313</v>
      </c>
      <c r="AP246" s="21" t="s">
        <v>313</v>
      </c>
      <c r="AQ246" s="21" t="s">
        <v>313</v>
      </c>
      <c r="AR246" s="21" t="s">
        <v>313</v>
      </c>
      <c r="AS246" s="21" t="s">
        <v>313</v>
      </c>
      <c r="AT246" s="21" t="s">
        <v>313</v>
      </c>
      <c r="AU246" s="21" t="s">
        <v>313</v>
      </c>
      <c r="AV246" s="21" t="s">
        <v>313</v>
      </c>
      <c r="AW246" s="21" t="s">
        <v>313</v>
      </c>
      <c r="AX246" s="21" t="s">
        <v>313</v>
      </c>
    </row>
    <row r="247" spans="1:50" ht="15" customHeight="1" x14ac:dyDescent="0.3">
      <c r="A247" s="30" t="s">
        <v>142</v>
      </c>
      <c r="B247" s="29" t="str">
        <f>IFERROR(VLOOKUP(A247,'[1]JL EXE ACTIVE FTE List'!$G:$N,8,FALSE),IF(ISNA(VLOOKUP(A247,'[1]JL EXE LEAVER List'!$G:$I,3,FALSE)),"Query","Leaver"))</f>
        <v>CSA</v>
      </c>
      <c r="C247" s="29" t="str">
        <f>IFERROR(VLOOKUP(A247,'[1]JL EXE ACTIVE FTE List'!$G:$R,12,FALSE),IF(ISNA(VLOOKUP(A247,'[1]JL EXE LEAVER List'!$G:$I,3,FALSE)),"?QUERY?","Leaver"))</f>
        <v>ACTIVE</v>
      </c>
      <c r="D247" s="39" t="str">
        <f>IFERROR(IFERROR(VLOOKUP(A247,'[1]JL EXE ACTIVE FTE List'!$G:$H,2,FALSE),VLOOKUP(A247,'[1]JL EXE LEAVER List'!$G:$H,2,FALSE)),"?QUERY?")</f>
        <v>Natalie Lubienski</v>
      </c>
      <c r="E247" s="40">
        <f>IFERROR(IFERROR(VLOOKUP(A247,'[1]JL EXE ACTIVE FTE List'!$G:$O,9,FALSE),VLOOKUP(A247,'[1]JL EXE LEAVER List'!$G:$O,9,FALSE)),"?QUERY?")</f>
        <v>42695</v>
      </c>
      <c r="F247" s="21" t="s">
        <v>338</v>
      </c>
      <c r="G247" s="21" t="s">
        <v>338</v>
      </c>
      <c r="H247" s="21" t="s">
        <v>338</v>
      </c>
      <c r="I247" s="21" t="s">
        <v>313</v>
      </c>
      <c r="J247" s="21" t="s">
        <v>313</v>
      </c>
      <c r="K247" s="21" t="s">
        <v>313</v>
      </c>
      <c r="L247" s="21" t="s">
        <v>313</v>
      </c>
      <c r="M247" s="21" t="s">
        <v>313</v>
      </c>
      <c r="N247" s="21" t="s">
        <v>313</v>
      </c>
      <c r="O247" s="21" t="s">
        <v>313</v>
      </c>
      <c r="P247" s="21" t="s">
        <v>313</v>
      </c>
      <c r="Q247" s="21" t="s">
        <v>313</v>
      </c>
      <c r="R247" s="21" t="s">
        <v>313</v>
      </c>
      <c r="S247" s="21" t="s">
        <v>313</v>
      </c>
      <c r="T247" s="21" t="s">
        <v>313</v>
      </c>
      <c r="U247" s="21" t="s">
        <v>313</v>
      </c>
      <c r="V247" s="21" t="s">
        <v>313</v>
      </c>
      <c r="W247" s="21" t="s">
        <v>313</v>
      </c>
      <c r="X247" s="21" t="s">
        <v>313</v>
      </c>
      <c r="Y247" s="21" t="s">
        <v>313</v>
      </c>
      <c r="Z247" s="21" t="s">
        <v>313</v>
      </c>
      <c r="AA247" s="21" t="s">
        <v>313</v>
      </c>
      <c r="AB247" s="21" t="s">
        <v>313</v>
      </c>
      <c r="AC247" s="21" t="s">
        <v>313</v>
      </c>
      <c r="AD247" s="21" t="s">
        <v>313</v>
      </c>
      <c r="AE247" s="21" t="s">
        <v>313</v>
      </c>
      <c r="AF247" s="21" t="s">
        <v>313</v>
      </c>
      <c r="AG247" s="21" t="s">
        <v>313</v>
      </c>
      <c r="AH247" s="21" t="s">
        <v>313</v>
      </c>
      <c r="AI247" s="21" t="s">
        <v>313</v>
      </c>
      <c r="AJ247" s="21" t="s">
        <v>313</v>
      </c>
      <c r="AK247" s="21" t="s">
        <v>313</v>
      </c>
      <c r="AL247" s="21" t="s">
        <v>313</v>
      </c>
      <c r="AM247" s="21" t="s">
        <v>313</v>
      </c>
      <c r="AN247" s="21" t="s">
        <v>313</v>
      </c>
      <c r="AO247" s="21" t="s">
        <v>313</v>
      </c>
      <c r="AP247" s="21" t="s">
        <v>313</v>
      </c>
      <c r="AQ247" s="21" t="s">
        <v>313</v>
      </c>
      <c r="AR247" s="21" t="s">
        <v>313</v>
      </c>
      <c r="AS247" s="21" t="s">
        <v>313</v>
      </c>
      <c r="AT247" s="21" t="s">
        <v>313</v>
      </c>
      <c r="AU247" s="21" t="s">
        <v>313</v>
      </c>
      <c r="AV247" s="21" t="s">
        <v>313</v>
      </c>
      <c r="AW247" s="21" t="s">
        <v>313</v>
      </c>
      <c r="AX247" s="21" t="s">
        <v>313</v>
      </c>
    </row>
    <row r="248" spans="1:50" ht="15" customHeight="1" x14ac:dyDescent="0.3">
      <c r="A248" s="30" t="s">
        <v>173</v>
      </c>
      <c r="B248" s="29" t="str">
        <f>IFERROR(VLOOKUP(A248,'[1]JL EXE ACTIVE FTE List'!$G:$N,8,FALSE),IF(ISNA(VLOOKUP(A248,'[1]JL EXE LEAVER List'!$G:$I,3,FALSE)),"Query","Leaver"))</f>
        <v>CSA</v>
      </c>
      <c r="C248" s="29" t="str">
        <f>IFERROR(VLOOKUP(A248,'[1]JL EXE ACTIVE FTE List'!$G:$R,12,FALSE),IF(ISNA(VLOOKUP(A248,'[1]JL EXE LEAVER List'!$G:$I,3,FALSE)),"?QUERY?","Leaver"))</f>
        <v>ACTIVE</v>
      </c>
      <c r="D248" s="39" t="str">
        <f>IFERROR(IFERROR(VLOOKUP(A248,'[1]JL EXE ACTIVE FTE List'!$G:$H,2,FALSE),VLOOKUP(A248,'[1]JL EXE LEAVER List'!$G:$H,2,FALSE)),"?QUERY?")</f>
        <v>Natalie Lubienski</v>
      </c>
      <c r="E248" s="40">
        <f>IFERROR(IFERROR(VLOOKUP(A248,'[1]JL EXE ACTIVE FTE List'!$G:$O,9,FALSE),VLOOKUP(A248,'[1]JL EXE LEAVER List'!$G:$O,9,FALSE)),"?QUERY?")</f>
        <v>42660</v>
      </c>
      <c r="F248" s="21" t="s">
        <v>338</v>
      </c>
      <c r="G248" s="21" t="s">
        <v>338</v>
      </c>
      <c r="H248" s="21" t="s">
        <v>338</v>
      </c>
      <c r="I248" s="21" t="s">
        <v>313</v>
      </c>
      <c r="J248" s="21" t="s">
        <v>313</v>
      </c>
      <c r="K248" s="21" t="s">
        <v>313</v>
      </c>
      <c r="L248" s="21" t="s">
        <v>313</v>
      </c>
      <c r="M248" s="21" t="s">
        <v>313</v>
      </c>
      <c r="N248" s="21" t="s">
        <v>313</v>
      </c>
      <c r="O248" s="21" t="s">
        <v>313</v>
      </c>
      <c r="P248" s="21" t="s">
        <v>313</v>
      </c>
      <c r="Q248" s="21" t="s">
        <v>313</v>
      </c>
      <c r="R248" s="21" t="s">
        <v>313</v>
      </c>
      <c r="S248" s="21" t="s">
        <v>313</v>
      </c>
      <c r="T248" s="21" t="s">
        <v>313</v>
      </c>
      <c r="U248" s="21" t="s">
        <v>313</v>
      </c>
      <c r="V248" s="21" t="s">
        <v>313</v>
      </c>
      <c r="W248" s="21" t="s">
        <v>313</v>
      </c>
      <c r="X248" s="21" t="s">
        <v>313</v>
      </c>
      <c r="Y248" s="21" t="s">
        <v>313</v>
      </c>
      <c r="Z248" s="21" t="s">
        <v>313</v>
      </c>
      <c r="AA248" s="21" t="s">
        <v>313</v>
      </c>
      <c r="AB248" s="21" t="s">
        <v>313</v>
      </c>
      <c r="AC248" s="21" t="s">
        <v>313</v>
      </c>
      <c r="AD248" s="21" t="s">
        <v>313</v>
      </c>
      <c r="AE248" s="21" t="s">
        <v>313</v>
      </c>
      <c r="AF248" s="21" t="s">
        <v>313</v>
      </c>
      <c r="AG248" s="21" t="s">
        <v>313</v>
      </c>
      <c r="AH248" s="21" t="s">
        <v>313</v>
      </c>
      <c r="AI248" s="21" t="s">
        <v>313</v>
      </c>
      <c r="AJ248" s="21" t="s">
        <v>313</v>
      </c>
      <c r="AK248" s="21" t="s">
        <v>313</v>
      </c>
      <c r="AL248" s="21" t="s">
        <v>313</v>
      </c>
      <c r="AM248" s="21" t="s">
        <v>313</v>
      </c>
      <c r="AN248" s="21" t="s">
        <v>313</v>
      </c>
      <c r="AO248" s="21" t="s">
        <v>313</v>
      </c>
      <c r="AP248" s="21" t="s">
        <v>313</v>
      </c>
      <c r="AQ248" s="21" t="s">
        <v>313</v>
      </c>
      <c r="AR248" s="21" t="s">
        <v>313</v>
      </c>
      <c r="AS248" s="21" t="s">
        <v>313</v>
      </c>
      <c r="AT248" s="21" t="s">
        <v>313</v>
      </c>
      <c r="AU248" s="21" t="s">
        <v>313</v>
      </c>
      <c r="AV248" s="21" t="s">
        <v>313</v>
      </c>
      <c r="AW248" s="21" t="s">
        <v>313</v>
      </c>
      <c r="AX248" s="21" t="s">
        <v>313</v>
      </c>
    </row>
    <row r="249" spans="1:50" ht="15" customHeight="1" x14ac:dyDescent="0.3">
      <c r="A249" s="30" t="s">
        <v>184</v>
      </c>
      <c r="B249" s="29" t="str">
        <f>IFERROR(VLOOKUP(A249,'[1]JL EXE ACTIVE FTE List'!$G:$N,8,FALSE),IF(ISNA(VLOOKUP(A249,'[1]JL EXE LEAVER List'!$G:$I,3,FALSE)),"Query","Leaver"))</f>
        <v>CSA</v>
      </c>
      <c r="C249" s="29" t="str">
        <f>IFERROR(VLOOKUP(A249,'[1]JL EXE ACTIVE FTE List'!$G:$R,12,FALSE),IF(ISNA(VLOOKUP(A249,'[1]JL EXE LEAVER List'!$G:$I,3,FALSE)),"?QUERY?","Leaver"))</f>
        <v>ACTIVE</v>
      </c>
      <c r="D249" s="39" t="str">
        <f>IFERROR(IFERROR(VLOOKUP(A249,'[1]JL EXE ACTIVE FTE List'!$G:$H,2,FALSE),VLOOKUP(A249,'[1]JL EXE LEAVER List'!$G:$H,2,FALSE)),"?QUERY?")</f>
        <v>Natalie Lubienski</v>
      </c>
      <c r="E249" s="40">
        <f>IFERROR(IFERROR(VLOOKUP(A249,'[1]JL EXE ACTIVE FTE List'!$G:$O,9,FALSE),VLOOKUP(A249,'[1]JL EXE LEAVER List'!$G:$O,9,FALSE)),"?QUERY?")</f>
        <v>40785</v>
      </c>
      <c r="F249" s="21" t="s">
        <v>338</v>
      </c>
      <c r="G249" s="21" t="s">
        <v>338</v>
      </c>
      <c r="H249" s="21" t="s">
        <v>335</v>
      </c>
      <c r="I249" s="21" t="s">
        <v>313</v>
      </c>
      <c r="J249" s="21" t="s">
        <v>313</v>
      </c>
      <c r="K249" s="21" t="s">
        <v>313</v>
      </c>
      <c r="L249" s="21" t="s">
        <v>313</v>
      </c>
      <c r="M249" s="21" t="s">
        <v>313</v>
      </c>
      <c r="N249" s="21" t="s">
        <v>313</v>
      </c>
      <c r="O249" s="21" t="s">
        <v>313</v>
      </c>
      <c r="P249" s="21" t="s">
        <v>313</v>
      </c>
      <c r="Q249" s="21" t="s">
        <v>313</v>
      </c>
      <c r="R249" s="21" t="s">
        <v>313</v>
      </c>
      <c r="S249" s="21" t="s">
        <v>313</v>
      </c>
      <c r="T249" s="21" t="s">
        <v>313</v>
      </c>
      <c r="U249" s="21" t="s">
        <v>313</v>
      </c>
      <c r="V249" s="21" t="s">
        <v>313</v>
      </c>
      <c r="W249" s="21" t="s">
        <v>313</v>
      </c>
      <c r="X249" s="21" t="s">
        <v>313</v>
      </c>
      <c r="Y249" s="21" t="s">
        <v>313</v>
      </c>
      <c r="Z249" s="21" t="s">
        <v>313</v>
      </c>
      <c r="AA249" s="21" t="s">
        <v>313</v>
      </c>
      <c r="AB249" s="21" t="s">
        <v>313</v>
      </c>
      <c r="AC249" s="21" t="s">
        <v>313</v>
      </c>
      <c r="AD249" s="21" t="s">
        <v>313</v>
      </c>
      <c r="AE249" s="21" t="s">
        <v>313</v>
      </c>
      <c r="AF249" s="21" t="s">
        <v>313</v>
      </c>
      <c r="AG249" s="21" t="s">
        <v>313</v>
      </c>
      <c r="AH249" s="21" t="s">
        <v>313</v>
      </c>
      <c r="AI249" s="21" t="s">
        <v>313</v>
      </c>
      <c r="AJ249" s="21" t="s">
        <v>313</v>
      </c>
      <c r="AK249" s="21" t="s">
        <v>313</v>
      </c>
      <c r="AL249" s="21" t="s">
        <v>313</v>
      </c>
      <c r="AM249" s="21" t="s">
        <v>313</v>
      </c>
      <c r="AN249" s="21" t="s">
        <v>313</v>
      </c>
      <c r="AO249" s="21" t="s">
        <v>313</v>
      </c>
      <c r="AP249" s="21" t="s">
        <v>313</v>
      </c>
      <c r="AQ249" s="21" t="s">
        <v>313</v>
      </c>
      <c r="AR249" s="21" t="s">
        <v>313</v>
      </c>
      <c r="AS249" s="21" t="s">
        <v>313</v>
      </c>
      <c r="AT249" s="21" t="s">
        <v>313</v>
      </c>
      <c r="AU249" s="21" t="s">
        <v>313</v>
      </c>
      <c r="AV249" s="21" t="s">
        <v>313</v>
      </c>
      <c r="AW249" s="21" t="s">
        <v>313</v>
      </c>
      <c r="AX249" s="21" t="s">
        <v>313</v>
      </c>
    </row>
    <row r="250" spans="1:50" ht="15" customHeight="1" x14ac:dyDescent="0.3">
      <c r="A250" s="30" t="s">
        <v>262</v>
      </c>
      <c r="B250" s="29" t="str">
        <f>IFERROR(VLOOKUP(A250,'[1]JL EXE ACTIVE FTE List'!$G:$N,8,FALSE),IF(ISNA(VLOOKUP(A250,'[1]JL EXE LEAVER List'!$G:$I,3,FALSE)),"Query","Leaver"))</f>
        <v>CSA</v>
      </c>
      <c r="C250" s="29" t="str">
        <f>IFERROR(VLOOKUP(A250,'[1]JL EXE ACTIVE FTE List'!$G:$R,12,FALSE),IF(ISNA(VLOOKUP(A250,'[1]JL EXE LEAVER List'!$G:$I,3,FALSE)),"?QUERY?","Leaver"))</f>
        <v>ACTIVE</v>
      </c>
      <c r="D250" s="39" t="str">
        <f>IFERROR(IFERROR(VLOOKUP(A250,'[1]JL EXE ACTIVE FTE List'!$G:$H,2,FALSE),VLOOKUP(A250,'[1]JL EXE LEAVER List'!$G:$H,2,FALSE)),"?QUERY?")</f>
        <v>Natalie Lubienski</v>
      </c>
      <c r="E250" s="40">
        <f>IFERROR(IFERROR(VLOOKUP(A250,'[1]JL EXE ACTIVE FTE List'!$G:$O,9,FALSE),VLOOKUP(A250,'[1]JL EXE LEAVER List'!$G:$O,9,FALSE)),"?QUERY?")</f>
        <v>42541</v>
      </c>
      <c r="F250" s="21" t="s">
        <v>338</v>
      </c>
      <c r="G250" s="21" t="s">
        <v>338</v>
      </c>
      <c r="H250" s="21" t="s">
        <v>338</v>
      </c>
      <c r="I250" s="21" t="s">
        <v>313</v>
      </c>
      <c r="J250" s="21" t="s">
        <v>313</v>
      </c>
      <c r="K250" s="21" t="s">
        <v>313</v>
      </c>
      <c r="L250" s="21" t="s">
        <v>313</v>
      </c>
      <c r="M250" s="21" t="s">
        <v>313</v>
      </c>
      <c r="N250" s="21" t="s">
        <v>313</v>
      </c>
      <c r="O250" s="21" t="s">
        <v>313</v>
      </c>
      <c r="P250" s="21" t="s">
        <v>313</v>
      </c>
      <c r="Q250" s="21" t="s">
        <v>313</v>
      </c>
      <c r="R250" s="21" t="s">
        <v>313</v>
      </c>
      <c r="S250" s="21" t="s">
        <v>313</v>
      </c>
      <c r="T250" s="21" t="s">
        <v>313</v>
      </c>
      <c r="U250" s="21" t="s">
        <v>313</v>
      </c>
      <c r="V250" s="21" t="s">
        <v>313</v>
      </c>
      <c r="W250" s="21" t="s">
        <v>313</v>
      </c>
      <c r="X250" s="21" t="s">
        <v>313</v>
      </c>
      <c r="Y250" s="21" t="s">
        <v>313</v>
      </c>
      <c r="Z250" s="21" t="s">
        <v>313</v>
      </c>
      <c r="AA250" s="21" t="s">
        <v>313</v>
      </c>
      <c r="AB250" s="21" t="s">
        <v>313</v>
      </c>
      <c r="AC250" s="21" t="s">
        <v>313</v>
      </c>
      <c r="AD250" s="21" t="s">
        <v>313</v>
      </c>
      <c r="AE250" s="21" t="s">
        <v>313</v>
      </c>
      <c r="AF250" s="21" t="s">
        <v>313</v>
      </c>
      <c r="AG250" s="21" t="s">
        <v>313</v>
      </c>
      <c r="AH250" s="21" t="s">
        <v>313</v>
      </c>
      <c r="AI250" s="21" t="s">
        <v>313</v>
      </c>
      <c r="AJ250" s="21" t="s">
        <v>313</v>
      </c>
      <c r="AK250" s="21" t="s">
        <v>313</v>
      </c>
      <c r="AL250" s="21" t="s">
        <v>313</v>
      </c>
      <c r="AM250" s="21" t="s">
        <v>313</v>
      </c>
      <c r="AN250" s="21" t="s">
        <v>313</v>
      </c>
      <c r="AO250" s="21" t="s">
        <v>313</v>
      </c>
      <c r="AP250" s="21" t="s">
        <v>313</v>
      </c>
      <c r="AQ250" s="21" t="s">
        <v>313</v>
      </c>
      <c r="AR250" s="21" t="s">
        <v>313</v>
      </c>
      <c r="AS250" s="21" t="s">
        <v>313</v>
      </c>
      <c r="AT250" s="21" t="s">
        <v>313</v>
      </c>
      <c r="AU250" s="21" t="s">
        <v>313</v>
      </c>
      <c r="AV250" s="21" t="s">
        <v>313</v>
      </c>
      <c r="AW250" s="21" t="s">
        <v>313</v>
      </c>
      <c r="AX250" s="21" t="s">
        <v>313</v>
      </c>
    </row>
    <row r="251" spans="1:50" ht="15" customHeight="1" x14ac:dyDescent="0.3">
      <c r="A251" s="30" t="s">
        <v>180</v>
      </c>
      <c r="B251" s="29" t="str">
        <f>IFERROR(VLOOKUP(A251,'[1]JL EXE ACTIVE FTE List'!$G:$N,8,FALSE),IF(ISNA(VLOOKUP(A251,'[1]JL EXE LEAVER List'!$G:$I,3,FALSE)),"Query","Leaver"))</f>
        <v>CSA</v>
      </c>
      <c r="C251" s="29" t="str">
        <f>IFERROR(VLOOKUP(A251,'[1]JL EXE ACTIVE FTE List'!$G:$R,12,FALSE),IF(ISNA(VLOOKUP(A251,'[1]JL EXE LEAVER List'!$G:$I,3,FALSE)),"?QUERY?","Leaver"))</f>
        <v>ACTIVE</v>
      </c>
      <c r="D251" s="39" t="str">
        <f>IFERROR(IFERROR(VLOOKUP(A251,'[1]JL EXE ACTIVE FTE List'!$G:$H,2,FALSE),VLOOKUP(A251,'[1]JL EXE LEAVER List'!$G:$H,2,FALSE)),"?QUERY?")</f>
        <v>Natalie Lubienski</v>
      </c>
      <c r="E251" s="40">
        <f>IFERROR(IFERROR(VLOOKUP(A251,'[1]JL EXE ACTIVE FTE List'!$G:$O,9,FALSE),VLOOKUP(A251,'[1]JL EXE LEAVER List'!$G:$O,9,FALSE)),"?QUERY?")</f>
        <v>41792</v>
      </c>
      <c r="F251" s="21" t="s">
        <v>338</v>
      </c>
      <c r="G251" s="21" t="s">
        <v>338</v>
      </c>
      <c r="H251" s="21" t="s">
        <v>338</v>
      </c>
      <c r="I251" s="21" t="s">
        <v>313</v>
      </c>
      <c r="J251" s="21" t="s">
        <v>313</v>
      </c>
      <c r="K251" s="21" t="s">
        <v>313</v>
      </c>
      <c r="L251" s="21" t="s">
        <v>313</v>
      </c>
      <c r="M251" s="21" t="s">
        <v>313</v>
      </c>
      <c r="N251" s="21" t="s">
        <v>313</v>
      </c>
      <c r="O251" s="21" t="s">
        <v>313</v>
      </c>
      <c r="P251" s="21" t="s">
        <v>313</v>
      </c>
      <c r="Q251" s="21" t="s">
        <v>313</v>
      </c>
      <c r="R251" s="21" t="s">
        <v>313</v>
      </c>
      <c r="S251" s="21" t="s">
        <v>313</v>
      </c>
      <c r="T251" s="21" t="s">
        <v>313</v>
      </c>
      <c r="U251" s="21" t="s">
        <v>313</v>
      </c>
      <c r="V251" s="21" t="s">
        <v>313</v>
      </c>
      <c r="W251" s="21" t="s">
        <v>313</v>
      </c>
      <c r="X251" s="21" t="s">
        <v>313</v>
      </c>
      <c r="Y251" s="21" t="s">
        <v>313</v>
      </c>
      <c r="Z251" s="21" t="s">
        <v>313</v>
      </c>
      <c r="AA251" s="21" t="s">
        <v>313</v>
      </c>
      <c r="AB251" s="21" t="s">
        <v>313</v>
      </c>
      <c r="AC251" s="21" t="s">
        <v>313</v>
      </c>
      <c r="AD251" s="21" t="s">
        <v>313</v>
      </c>
      <c r="AE251" s="21" t="s">
        <v>313</v>
      </c>
      <c r="AF251" s="21" t="s">
        <v>313</v>
      </c>
      <c r="AG251" s="21" t="s">
        <v>313</v>
      </c>
      <c r="AH251" s="21" t="s">
        <v>313</v>
      </c>
      <c r="AI251" s="21" t="s">
        <v>313</v>
      </c>
      <c r="AJ251" s="21" t="s">
        <v>313</v>
      </c>
      <c r="AK251" s="21" t="s">
        <v>313</v>
      </c>
      <c r="AL251" s="21" t="s">
        <v>313</v>
      </c>
      <c r="AM251" s="21" t="s">
        <v>313</v>
      </c>
      <c r="AN251" s="21" t="s">
        <v>313</v>
      </c>
      <c r="AO251" s="21" t="s">
        <v>313</v>
      </c>
      <c r="AP251" s="21" t="s">
        <v>313</v>
      </c>
      <c r="AQ251" s="21" t="s">
        <v>313</v>
      </c>
      <c r="AR251" s="21" t="s">
        <v>313</v>
      </c>
      <c r="AS251" s="21" t="s">
        <v>313</v>
      </c>
      <c r="AT251" s="21" t="s">
        <v>313</v>
      </c>
      <c r="AU251" s="21" t="s">
        <v>313</v>
      </c>
      <c r="AV251" s="21" t="s">
        <v>313</v>
      </c>
      <c r="AW251" s="21" t="s">
        <v>313</v>
      </c>
      <c r="AX251" s="21" t="s">
        <v>313</v>
      </c>
    </row>
    <row r="252" spans="1:50" ht="15" customHeight="1" x14ac:dyDescent="0.3">
      <c r="A252" s="30" t="s">
        <v>182</v>
      </c>
      <c r="B252" s="29" t="str">
        <f>IFERROR(VLOOKUP(A252,'[1]JL EXE ACTIVE FTE List'!$G:$N,8,FALSE),IF(ISNA(VLOOKUP(A252,'[1]JL EXE LEAVER List'!$G:$I,3,FALSE)),"Query","Leaver"))</f>
        <v>CSA</v>
      </c>
      <c r="C252" s="29" t="str">
        <f>IFERROR(VLOOKUP(A252,'[1]JL EXE ACTIVE FTE List'!$G:$R,12,FALSE),IF(ISNA(VLOOKUP(A252,'[1]JL EXE LEAVER List'!$G:$I,3,FALSE)),"?QUERY?","Leaver"))</f>
        <v>ACTIVE</v>
      </c>
      <c r="D252" s="39" t="str">
        <f>IFERROR(IFERROR(VLOOKUP(A252,'[1]JL EXE ACTIVE FTE List'!$G:$H,2,FALSE),VLOOKUP(A252,'[1]JL EXE LEAVER List'!$G:$H,2,FALSE)),"?QUERY?")</f>
        <v>Natalie Lubienski</v>
      </c>
      <c r="E252" s="40">
        <f>IFERROR(IFERROR(VLOOKUP(A252,'[1]JL EXE ACTIVE FTE List'!$G:$O,9,FALSE),VLOOKUP(A252,'[1]JL EXE LEAVER List'!$G:$O,9,FALSE)),"?QUERY?")</f>
        <v>42499</v>
      </c>
      <c r="F252" s="21" t="s">
        <v>338</v>
      </c>
      <c r="G252" s="21" t="s">
        <v>338</v>
      </c>
      <c r="H252" s="21" t="s">
        <v>338</v>
      </c>
      <c r="I252" s="21" t="s">
        <v>313</v>
      </c>
      <c r="J252" s="21" t="s">
        <v>313</v>
      </c>
      <c r="K252" s="21" t="s">
        <v>313</v>
      </c>
      <c r="L252" s="21" t="s">
        <v>313</v>
      </c>
      <c r="M252" s="21" t="s">
        <v>313</v>
      </c>
      <c r="N252" s="21" t="s">
        <v>313</v>
      </c>
      <c r="O252" s="21" t="s">
        <v>313</v>
      </c>
      <c r="P252" s="21" t="s">
        <v>313</v>
      </c>
      <c r="Q252" s="21" t="s">
        <v>313</v>
      </c>
      <c r="R252" s="21" t="s">
        <v>313</v>
      </c>
      <c r="S252" s="21" t="s">
        <v>313</v>
      </c>
      <c r="T252" s="21" t="s">
        <v>313</v>
      </c>
      <c r="U252" s="21" t="s">
        <v>313</v>
      </c>
      <c r="V252" s="21" t="s">
        <v>313</v>
      </c>
      <c r="W252" s="21" t="s">
        <v>313</v>
      </c>
      <c r="X252" s="21" t="s">
        <v>313</v>
      </c>
      <c r="Y252" s="21" t="s">
        <v>313</v>
      </c>
      <c r="Z252" s="21" t="s">
        <v>313</v>
      </c>
      <c r="AA252" s="21" t="s">
        <v>313</v>
      </c>
      <c r="AB252" s="21" t="s">
        <v>313</v>
      </c>
      <c r="AC252" s="21" t="s">
        <v>313</v>
      </c>
      <c r="AD252" s="21" t="s">
        <v>313</v>
      </c>
      <c r="AE252" s="21" t="s">
        <v>313</v>
      </c>
      <c r="AF252" s="21" t="s">
        <v>313</v>
      </c>
      <c r="AG252" s="21" t="s">
        <v>313</v>
      </c>
      <c r="AH252" s="21" t="s">
        <v>313</v>
      </c>
      <c r="AI252" s="21" t="s">
        <v>313</v>
      </c>
      <c r="AJ252" s="21" t="s">
        <v>313</v>
      </c>
      <c r="AK252" s="21" t="s">
        <v>313</v>
      </c>
      <c r="AL252" s="21" t="s">
        <v>313</v>
      </c>
      <c r="AM252" s="21" t="s">
        <v>313</v>
      </c>
      <c r="AN252" s="21" t="s">
        <v>313</v>
      </c>
      <c r="AO252" s="21" t="s">
        <v>313</v>
      </c>
      <c r="AP252" s="21" t="s">
        <v>313</v>
      </c>
      <c r="AQ252" s="21" t="s">
        <v>313</v>
      </c>
      <c r="AR252" s="21" t="s">
        <v>313</v>
      </c>
      <c r="AS252" s="21" t="s">
        <v>313</v>
      </c>
      <c r="AT252" s="21" t="s">
        <v>313</v>
      </c>
      <c r="AU252" s="21" t="s">
        <v>313</v>
      </c>
      <c r="AV252" s="21" t="s">
        <v>313</v>
      </c>
      <c r="AW252" s="21" t="s">
        <v>313</v>
      </c>
      <c r="AX252" s="21" t="s">
        <v>313</v>
      </c>
    </row>
    <row r="253" spans="1:50" x14ac:dyDescent="0.3">
      <c r="A253" s="30" t="s">
        <v>183</v>
      </c>
      <c r="B253" s="29" t="str">
        <f>IFERROR(VLOOKUP(A253,'[1]JL EXE ACTIVE FTE List'!$G:$N,8,FALSE),IF(ISNA(VLOOKUP(A253,'[1]JL EXE LEAVER List'!$G:$I,3,FALSE)),"Query","Leaver"))</f>
        <v>COM</v>
      </c>
      <c r="C253" s="29" t="str">
        <f>IFERROR(VLOOKUP(A253,'[1]JL EXE ACTIVE FTE List'!$G:$R,12,FALSE),IF(ISNA(VLOOKUP(A253,'[1]JL EXE LEAVER List'!$G:$I,3,FALSE)),"?QUERY?","Leaver"))</f>
        <v>ACTIVE</v>
      </c>
      <c r="D253" s="39" t="str">
        <f>IFERROR(IFERROR(VLOOKUP(A253,'[1]JL EXE ACTIVE FTE List'!$G:$H,2,FALSE),VLOOKUP(A253,'[1]JL EXE LEAVER List'!$G:$H,2,FALSE)),"?QUERY?")</f>
        <v>Natalie Lubienski</v>
      </c>
      <c r="E253" s="40">
        <f>IFERROR(IFERROR(VLOOKUP(A253,'[1]JL EXE ACTIVE FTE List'!$G:$O,9,FALSE),VLOOKUP(A253,'[1]JL EXE LEAVER List'!$G:$O,9,FALSE)),"?QUERY?")</f>
        <v>42310</v>
      </c>
      <c r="F253" s="21" t="s">
        <v>338</v>
      </c>
      <c r="G253" s="21" t="s">
        <v>338</v>
      </c>
      <c r="H253" s="21" t="s">
        <v>338</v>
      </c>
      <c r="I253" s="21" t="s">
        <v>313</v>
      </c>
      <c r="J253" s="21" t="s">
        <v>313</v>
      </c>
      <c r="K253" s="21" t="s">
        <v>313</v>
      </c>
      <c r="L253" s="21" t="s">
        <v>313</v>
      </c>
      <c r="M253" s="21" t="s">
        <v>313</v>
      </c>
      <c r="N253" s="21" t="s">
        <v>313</v>
      </c>
      <c r="O253" s="21" t="s">
        <v>313</v>
      </c>
      <c r="P253" s="21" t="s">
        <v>313</v>
      </c>
      <c r="Q253" s="21" t="s">
        <v>313</v>
      </c>
      <c r="R253" s="21" t="s">
        <v>313</v>
      </c>
      <c r="S253" s="21" t="s">
        <v>313</v>
      </c>
      <c r="T253" s="21" t="s">
        <v>313</v>
      </c>
      <c r="U253" s="21" t="s">
        <v>313</v>
      </c>
      <c r="V253" s="21" t="s">
        <v>313</v>
      </c>
      <c r="W253" s="21" t="s">
        <v>313</v>
      </c>
      <c r="X253" s="21" t="s">
        <v>313</v>
      </c>
      <c r="Y253" s="21" t="s">
        <v>313</v>
      </c>
      <c r="Z253" s="21" t="s">
        <v>313</v>
      </c>
      <c r="AA253" s="21" t="s">
        <v>313</v>
      </c>
      <c r="AB253" s="21" t="s">
        <v>313</v>
      </c>
      <c r="AC253" s="21" t="s">
        <v>313</v>
      </c>
      <c r="AD253" s="21" t="s">
        <v>313</v>
      </c>
      <c r="AE253" s="21" t="s">
        <v>313</v>
      </c>
      <c r="AF253" s="21" t="s">
        <v>313</v>
      </c>
      <c r="AG253" s="21" t="s">
        <v>313</v>
      </c>
      <c r="AH253" s="21" t="s">
        <v>313</v>
      </c>
      <c r="AI253" s="21" t="s">
        <v>313</v>
      </c>
      <c r="AJ253" s="21" t="s">
        <v>313</v>
      </c>
      <c r="AK253" s="21" t="s">
        <v>313</v>
      </c>
      <c r="AL253" s="21" t="s">
        <v>313</v>
      </c>
      <c r="AM253" s="21" t="s">
        <v>313</v>
      </c>
      <c r="AN253" s="21" t="s">
        <v>313</v>
      </c>
      <c r="AO253" s="21" t="s">
        <v>313</v>
      </c>
      <c r="AP253" s="21" t="s">
        <v>313</v>
      </c>
      <c r="AQ253" s="21" t="s">
        <v>313</v>
      </c>
      <c r="AR253" s="21" t="s">
        <v>313</v>
      </c>
      <c r="AS253" s="21" t="s">
        <v>313</v>
      </c>
      <c r="AT253" s="21" t="s">
        <v>313</v>
      </c>
      <c r="AU253" s="21" t="s">
        <v>313</v>
      </c>
      <c r="AV253" s="21" t="s">
        <v>313</v>
      </c>
      <c r="AW253" s="21" t="s">
        <v>313</v>
      </c>
      <c r="AX253" s="21" t="s">
        <v>313</v>
      </c>
    </row>
    <row r="254" spans="1:50" ht="15" customHeight="1" x14ac:dyDescent="0.3">
      <c r="A254" s="30" t="s">
        <v>185</v>
      </c>
      <c r="B254" s="29" t="str">
        <f>IFERROR(VLOOKUP(A254,'[1]JL EXE ACTIVE FTE List'!$G:$N,8,FALSE),IF(ISNA(VLOOKUP(A254,'[1]JL EXE LEAVER List'!$G:$I,3,FALSE)),"Query","Leaver"))</f>
        <v>CSA</v>
      </c>
      <c r="C254" s="29" t="str">
        <f>IFERROR(VLOOKUP(A254,'[1]JL EXE ACTIVE FTE List'!$G:$R,12,FALSE),IF(ISNA(VLOOKUP(A254,'[1]JL EXE LEAVER List'!$G:$I,3,FALSE)),"?QUERY?","Leaver"))</f>
        <v>ACTIVE</v>
      </c>
      <c r="D254" s="39" t="str">
        <f>IFERROR(IFERROR(VLOOKUP(A254,'[1]JL EXE ACTIVE FTE List'!$G:$H,2,FALSE),VLOOKUP(A254,'[1]JL EXE LEAVER List'!$G:$H,2,FALSE)),"?QUERY?")</f>
        <v>Natalie Lubienski</v>
      </c>
      <c r="E254" s="40">
        <f>IFERROR(IFERROR(VLOOKUP(A254,'[1]JL EXE ACTIVE FTE List'!$G:$O,9,FALSE),VLOOKUP(A254,'[1]JL EXE LEAVER List'!$G:$O,9,FALSE)),"?QUERY?")</f>
        <v>41792</v>
      </c>
      <c r="F254" s="21" t="s">
        <v>338</v>
      </c>
      <c r="G254" s="21" t="s">
        <v>338</v>
      </c>
      <c r="H254" s="21" t="s">
        <v>338</v>
      </c>
      <c r="I254" s="21" t="s">
        <v>313</v>
      </c>
      <c r="J254" s="21" t="s">
        <v>313</v>
      </c>
      <c r="K254" s="21" t="s">
        <v>313</v>
      </c>
      <c r="L254" s="21" t="s">
        <v>313</v>
      </c>
      <c r="M254" s="21" t="s">
        <v>313</v>
      </c>
      <c r="N254" s="21" t="s">
        <v>313</v>
      </c>
      <c r="O254" s="21" t="s">
        <v>313</v>
      </c>
      <c r="P254" s="21" t="s">
        <v>313</v>
      </c>
      <c r="Q254" s="21" t="s">
        <v>313</v>
      </c>
      <c r="R254" s="21" t="s">
        <v>313</v>
      </c>
      <c r="S254" s="21" t="s">
        <v>313</v>
      </c>
      <c r="T254" s="21" t="s">
        <v>313</v>
      </c>
      <c r="U254" s="21" t="s">
        <v>313</v>
      </c>
      <c r="V254" s="21" t="s">
        <v>313</v>
      </c>
      <c r="W254" s="21" t="s">
        <v>313</v>
      </c>
      <c r="X254" s="21" t="s">
        <v>313</v>
      </c>
      <c r="Y254" s="21" t="s">
        <v>313</v>
      </c>
      <c r="Z254" s="21" t="s">
        <v>313</v>
      </c>
      <c r="AA254" s="21" t="s">
        <v>313</v>
      </c>
      <c r="AB254" s="21" t="s">
        <v>313</v>
      </c>
      <c r="AC254" s="21" t="s">
        <v>313</v>
      </c>
      <c r="AD254" s="21" t="s">
        <v>313</v>
      </c>
      <c r="AE254" s="21" t="s">
        <v>313</v>
      </c>
      <c r="AF254" s="21" t="s">
        <v>313</v>
      </c>
      <c r="AG254" s="21" t="s">
        <v>313</v>
      </c>
      <c r="AH254" s="21" t="s">
        <v>313</v>
      </c>
      <c r="AI254" s="21" t="s">
        <v>313</v>
      </c>
      <c r="AJ254" s="21" t="s">
        <v>313</v>
      </c>
      <c r="AK254" s="21" t="s">
        <v>313</v>
      </c>
      <c r="AL254" s="21" t="s">
        <v>313</v>
      </c>
      <c r="AM254" s="21" t="s">
        <v>313</v>
      </c>
      <c r="AN254" s="21" t="s">
        <v>313</v>
      </c>
      <c r="AO254" s="21" t="s">
        <v>313</v>
      </c>
      <c r="AP254" s="21" t="s">
        <v>313</v>
      </c>
      <c r="AQ254" s="21" t="s">
        <v>313</v>
      </c>
      <c r="AR254" s="21" t="s">
        <v>313</v>
      </c>
      <c r="AS254" s="21" t="s">
        <v>313</v>
      </c>
      <c r="AT254" s="21" t="s">
        <v>313</v>
      </c>
      <c r="AU254" s="21" t="s">
        <v>313</v>
      </c>
      <c r="AV254" s="21" t="s">
        <v>313</v>
      </c>
      <c r="AW254" s="21" t="s">
        <v>313</v>
      </c>
      <c r="AX254" s="21" t="s">
        <v>313</v>
      </c>
    </row>
    <row r="255" spans="1:50" x14ac:dyDescent="0.3">
      <c r="A255" s="30" t="s">
        <v>235</v>
      </c>
      <c r="B255" s="29" t="str">
        <f>IFERROR(VLOOKUP(A255,'[1]JL EXE ACTIVE FTE List'!$G:$N,8,FALSE),IF(ISNA(VLOOKUP(A255,'[1]JL EXE LEAVER List'!$G:$I,3,FALSE)),"Query","Leaver"))</f>
        <v>CSA</v>
      </c>
      <c r="C255" s="29" t="str">
        <f>IFERROR(VLOOKUP(A255,'[1]JL EXE ACTIVE FTE List'!$G:$R,12,FALSE),IF(ISNA(VLOOKUP(A255,'[1]JL EXE LEAVER List'!$G:$I,3,FALSE)),"?QUERY?","Leaver"))</f>
        <v>ACTIVE</v>
      </c>
      <c r="D255" s="39" t="str">
        <f>IFERROR(IFERROR(VLOOKUP(A255,'[1]JL EXE ACTIVE FTE List'!$G:$H,2,FALSE),VLOOKUP(A255,'[1]JL EXE LEAVER List'!$G:$H,2,FALSE)),"?QUERY?")</f>
        <v>Natalie Lubienski</v>
      </c>
      <c r="E255" s="40">
        <f>IFERROR(IFERROR(VLOOKUP(A255,'[1]JL EXE ACTIVE FTE List'!$G:$O,9,FALSE),VLOOKUP(A255,'[1]JL EXE LEAVER List'!$G:$O,9,FALSE)),"?QUERY?")</f>
        <v>42212</v>
      </c>
      <c r="F255" s="21" t="s">
        <v>338</v>
      </c>
      <c r="G255" s="21" t="s">
        <v>338</v>
      </c>
      <c r="H255" s="21" t="s">
        <v>338</v>
      </c>
      <c r="I255" s="21" t="s">
        <v>313</v>
      </c>
      <c r="J255" s="21" t="s">
        <v>313</v>
      </c>
      <c r="K255" s="21" t="s">
        <v>313</v>
      </c>
      <c r="L255" s="21" t="s">
        <v>313</v>
      </c>
      <c r="M255" s="21" t="s">
        <v>313</v>
      </c>
      <c r="N255" s="21" t="s">
        <v>313</v>
      </c>
      <c r="O255" s="21" t="s">
        <v>313</v>
      </c>
      <c r="P255" s="21" t="s">
        <v>313</v>
      </c>
      <c r="Q255" s="21" t="s">
        <v>313</v>
      </c>
      <c r="R255" s="21" t="s">
        <v>313</v>
      </c>
      <c r="S255" s="21" t="s">
        <v>313</v>
      </c>
      <c r="T255" s="21" t="s">
        <v>313</v>
      </c>
      <c r="U255" s="21" t="s">
        <v>313</v>
      </c>
      <c r="V255" s="21" t="s">
        <v>313</v>
      </c>
      <c r="W255" s="21" t="s">
        <v>313</v>
      </c>
      <c r="X255" s="21" t="s">
        <v>313</v>
      </c>
      <c r="Y255" s="21" t="s">
        <v>313</v>
      </c>
      <c r="Z255" s="21" t="s">
        <v>313</v>
      </c>
      <c r="AA255" s="21" t="s">
        <v>313</v>
      </c>
      <c r="AB255" s="21" t="s">
        <v>313</v>
      </c>
      <c r="AC255" s="21" t="s">
        <v>313</v>
      </c>
      <c r="AD255" s="21" t="s">
        <v>313</v>
      </c>
      <c r="AE255" s="21" t="s">
        <v>313</v>
      </c>
      <c r="AF255" s="21" t="s">
        <v>313</v>
      </c>
      <c r="AG255" s="21" t="s">
        <v>313</v>
      </c>
      <c r="AH255" s="21" t="s">
        <v>313</v>
      </c>
      <c r="AI255" s="21" t="s">
        <v>313</v>
      </c>
      <c r="AJ255" s="21" t="s">
        <v>313</v>
      </c>
      <c r="AK255" s="21" t="s">
        <v>313</v>
      </c>
      <c r="AL255" s="21" t="s">
        <v>313</v>
      </c>
      <c r="AM255" s="21" t="s">
        <v>313</v>
      </c>
      <c r="AN255" s="21" t="s">
        <v>313</v>
      </c>
      <c r="AO255" s="21" t="s">
        <v>313</v>
      </c>
      <c r="AP255" s="21" t="s">
        <v>313</v>
      </c>
      <c r="AQ255" s="21" t="s">
        <v>313</v>
      </c>
      <c r="AR255" s="21" t="s">
        <v>313</v>
      </c>
      <c r="AS255" s="21" t="s">
        <v>313</v>
      </c>
      <c r="AT255" s="21" t="s">
        <v>313</v>
      </c>
      <c r="AU255" s="21" t="s">
        <v>313</v>
      </c>
      <c r="AV255" s="21" t="s">
        <v>313</v>
      </c>
      <c r="AW255" s="21" t="s">
        <v>313</v>
      </c>
      <c r="AX255" s="21" t="s">
        <v>313</v>
      </c>
    </row>
    <row r="256" spans="1:50" ht="15" customHeight="1" x14ac:dyDescent="0.3">
      <c r="A256" s="30" t="s">
        <v>186</v>
      </c>
      <c r="B256" s="29" t="str">
        <f>IFERROR(VLOOKUP(A256,'[1]JL EXE ACTIVE FTE List'!$G:$N,8,FALSE),IF(ISNA(VLOOKUP(A256,'[1]JL EXE LEAVER List'!$G:$I,3,FALSE)),"Query","Leaver"))</f>
        <v>CSA</v>
      </c>
      <c r="C256" s="29" t="str">
        <f>IFERROR(VLOOKUP(A256,'[1]JL EXE ACTIVE FTE List'!$G:$R,12,FALSE),IF(ISNA(VLOOKUP(A256,'[1]JL EXE LEAVER List'!$G:$I,3,FALSE)),"?QUERY?","Leaver"))</f>
        <v>ACTIVE</v>
      </c>
      <c r="D256" s="39" t="str">
        <f>IFERROR(IFERROR(VLOOKUP(A256,'[1]JL EXE ACTIVE FTE List'!$G:$H,2,FALSE),VLOOKUP(A256,'[1]JL EXE LEAVER List'!$G:$H,2,FALSE)),"?QUERY?")</f>
        <v>Natalie Lubienski</v>
      </c>
      <c r="E256" s="40">
        <f>IFERROR(IFERROR(VLOOKUP(A256,'[1]JL EXE ACTIVE FTE List'!$G:$O,9,FALSE),VLOOKUP(A256,'[1]JL EXE LEAVER List'!$G:$O,9,FALSE)),"?QUERY?")</f>
        <v>41666</v>
      </c>
      <c r="F256" s="21" t="s">
        <v>338</v>
      </c>
      <c r="G256" s="21" t="s">
        <v>338</v>
      </c>
      <c r="H256" s="21" t="s">
        <v>338</v>
      </c>
      <c r="I256" s="21" t="s">
        <v>313</v>
      </c>
      <c r="J256" s="21" t="s">
        <v>313</v>
      </c>
      <c r="K256" s="21" t="s">
        <v>313</v>
      </c>
      <c r="L256" s="21" t="s">
        <v>313</v>
      </c>
      <c r="M256" s="21" t="s">
        <v>313</v>
      </c>
      <c r="N256" s="21" t="s">
        <v>313</v>
      </c>
      <c r="O256" s="21" t="s">
        <v>313</v>
      </c>
      <c r="P256" s="21" t="s">
        <v>313</v>
      </c>
      <c r="Q256" s="21" t="s">
        <v>313</v>
      </c>
      <c r="R256" s="21" t="s">
        <v>313</v>
      </c>
      <c r="S256" s="21" t="s">
        <v>313</v>
      </c>
      <c r="T256" s="21" t="s">
        <v>313</v>
      </c>
      <c r="U256" s="21" t="s">
        <v>313</v>
      </c>
      <c r="V256" s="21" t="s">
        <v>313</v>
      </c>
      <c r="W256" s="21" t="s">
        <v>313</v>
      </c>
      <c r="X256" s="21" t="s">
        <v>313</v>
      </c>
      <c r="Y256" s="21" t="s">
        <v>313</v>
      </c>
      <c r="Z256" s="21" t="s">
        <v>313</v>
      </c>
      <c r="AA256" s="21" t="s">
        <v>313</v>
      </c>
      <c r="AB256" s="21" t="s">
        <v>313</v>
      </c>
      <c r="AC256" s="21" t="s">
        <v>313</v>
      </c>
      <c r="AD256" s="21" t="s">
        <v>313</v>
      </c>
      <c r="AE256" s="21" t="s">
        <v>313</v>
      </c>
      <c r="AF256" s="21" t="s">
        <v>313</v>
      </c>
      <c r="AG256" s="21" t="s">
        <v>313</v>
      </c>
      <c r="AH256" s="21" t="s">
        <v>313</v>
      </c>
      <c r="AI256" s="21" t="s">
        <v>313</v>
      </c>
      <c r="AJ256" s="21" t="s">
        <v>313</v>
      </c>
      <c r="AK256" s="21" t="s">
        <v>313</v>
      </c>
      <c r="AL256" s="21" t="s">
        <v>313</v>
      </c>
      <c r="AM256" s="21" t="s">
        <v>313</v>
      </c>
      <c r="AN256" s="21" t="s">
        <v>313</v>
      </c>
      <c r="AO256" s="21" t="s">
        <v>313</v>
      </c>
      <c r="AP256" s="21" t="s">
        <v>313</v>
      </c>
      <c r="AQ256" s="21" t="s">
        <v>313</v>
      </c>
      <c r="AR256" s="21" t="s">
        <v>313</v>
      </c>
      <c r="AS256" s="21" t="s">
        <v>313</v>
      </c>
      <c r="AT256" s="21" t="s">
        <v>313</v>
      </c>
      <c r="AU256" s="21" t="s">
        <v>313</v>
      </c>
      <c r="AV256" s="21" t="s">
        <v>313</v>
      </c>
      <c r="AW256" s="21" t="s">
        <v>313</v>
      </c>
      <c r="AX256" s="21" t="s">
        <v>313</v>
      </c>
    </row>
    <row r="257" spans="1:50" x14ac:dyDescent="0.3">
      <c r="A257" s="30" t="s">
        <v>187</v>
      </c>
      <c r="B257" s="29" t="str">
        <f>IFERROR(VLOOKUP(A257,'[1]JL EXE ACTIVE FTE List'!$G:$N,8,FALSE),IF(ISNA(VLOOKUP(A257,'[1]JL EXE LEAVER List'!$G:$I,3,FALSE)),"Query","Leaver"))</f>
        <v>CSA</v>
      </c>
      <c r="C257" s="29" t="str">
        <f>IFERROR(VLOOKUP(A257,'[1]JL EXE ACTIVE FTE List'!$G:$R,12,FALSE),IF(ISNA(VLOOKUP(A257,'[1]JL EXE LEAVER List'!$G:$I,3,FALSE)),"?QUERY?","Leaver"))</f>
        <v>ACTIVE</v>
      </c>
      <c r="D257" s="39" t="str">
        <f>IFERROR(IFERROR(VLOOKUP(A257,'[1]JL EXE ACTIVE FTE List'!$G:$H,2,FALSE),VLOOKUP(A257,'[1]JL EXE LEAVER List'!$G:$H,2,FALSE)),"?QUERY?")</f>
        <v>Natalie Lubienski</v>
      </c>
      <c r="E257" s="40">
        <f>IFERROR(IFERROR(VLOOKUP(A257,'[1]JL EXE ACTIVE FTE List'!$G:$O,9,FALSE),VLOOKUP(A257,'[1]JL EXE LEAVER List'!$G:$O,9,FALSE)),"?QUERY?")</f>
        <v>42107</v>
      </c>
      <c r="F257" s="21" t="s">
        <v>338</v>
      </c>
      <c r="G257" s="21" t="s">
        <v>338</v>
      </c>
      <c r="H257" s="21" t="s">
        <v>366</v>
      </c>
      <c r="I257" s="21" t="s">
        <v>313</v>
      </c>
      <c r="J257" s="21" t="s">
        <v>313</v>
      </c>
      <c r="K257" s="21" t="s">
        <v>313</v>
      </c>
      <c r="L257" s="21" t="s">
        <v>313</v>
      </c>
      <c r="M257" s="21" t="s">
        <v>313</v>
      </c>
      <c r="N257" s="21" t="s">
        <v>313</v>
      </c>
      <c r="O257" s="21" t="s">
        <v>313</v>
      </c>
      <c r="P257" s="21" t="s">
        <v>313</v>
      </c>
      <c r="Q257" s="21" t="s">
        <v>313</v>
      </c>
      <c r="R257" s="21" t="s">
        <v>313</v>
      </c>
      <c r="S257" s="21" t="s">
        <v>313</v>
      </c>
      <c r="T257" s="21" t="s">
        <v>313</v>
      </c>
      <c r="U257" s="21" t="s">
        <v>313</v>
      </c>
      <c r="V257" s="21" t="s">
        <v>313</v>
      </c>
      <c r="W257" s="21" t="s">
        <v>313</v>
      </c>
      <c r="X257" s="21" t="s">
        <v>313</v>
      </c>
      <c r="Y257" s="21" t="s">
        <v>313</v>
      </c>
      <c r="Z257" s="21" t="s">
        <v>313</v>
      </c>
      <c r="AA257" s="21" t="s">
        <v>313</v>
      </c>
      <c r="AB257" s="21" t="s">
        <v>313</v>
      </c>
      <c r="AC257" s="21" t="s">
        <v>313</v>
      </c>
      <c r="AD257" s="21" t="s">
        <v>313</v>
      </c>
      <c r="AE257" s="21" t="s">
        <v>313</v>
      </c>
      <c r="AF257" s="21" t="s">
        <v>313</v>
      </c>
      <c r="AG257" s="21" t="s">
        <v>313</v>
      </c>
      <c r="AH257" s="21" t="s">
        <v>313</v>
      </c>
      <c r="AI257" s="21" t="s">
        <v>313</v>
      </c>
      <c r="AJ257" s="21" t="s">
        <v>313</v>
      </c>
      <c r="AK257" s="21" t="s">
        <v>313</v>
      </c>
      <c r="AL257" s="21" t="s">
        <v>313</v>
      </c>
      <c r="AM257" s="21" t="s">
        <v>313</v>
      </c>
      <c r="AN257" s="21" t="s">
        <v>313</v>
      </c>
      <c r="AO257" s="21" t="s">
        <v>313</v>
      </c>
      <c r="AP257" s="21" t="s">
        <v>313</v>
      </c>
      <c r="AQ257" s="21" t="s">
        <v>313</v>
      </c>
      <c r="AR257" s="21" t="s">
        <v>313</v>
      </c>
      <c r="AS257" s="21" t="s">
        <v>313</v>
      </c>
      <c r="AT257" s="21" t="s">
        <v>313</v>
      </c>
      <c r="AU257" s="21" t="s">
        <v>313</v>
      </c>
      <c r="AV257" s="21" t="s">
        <v>313</v>
      </c>
      <c r="AW257" s="21" t="s">
        <v>313</v>
      </c>
      <c r="AX257" s="21" t="s">
        <v>313</v>
      </c>
    </row>
    <row r="258" spans="1:50" ht="15" customHeight="1" x14ac:dyDescent="0.3">
      <c r="A258" s="30" t="s">
        <v>188</v>
      </c>
      <c r="B258" s="29" t="str">
        <f>IFERROR(VLOOKUP(A258,'[1]JL EXE ACTIVE FTE List'!$G:$N,8,FALSE),IF(ISNA(VLOOKUP(A258,'[1]JL EXE LEAVER List'!$G:$I,3,FALSE)),"Query","Leaver"))</f>
        <v>CSA</v>
      </c>
      <c r="C258" s="29" t="str">
        <f>IFERROR(VLOOKUP(A258,'[1]JL EXE ACTIVE FTE List'!$G:$R,12,FALSE),IF(ISNA(VLOOKUP(A258,'[1]JL EXE LEAVER List'!$G:$I,3,FALSE)),"?QUERY?","Leaver"))</f>
        <v>ACTIVE</v>
      </c>
      <c r="D258" s="39" t="str">
        <f>IFERROR(IFERROR(VLOOKUP(A258,'[1]JL EXE ACTIVE FTE List'!$G:$H,2,FALSE),VLOOKUP(A258,'[1]JL EXE LEAVER List'!$G:$H,2,FALSE)),"?QUERY?")</f>
        <v>Natalie Lubienski</v>
      </c>
      <c r="E258" s="40">
        <f>IFERROR(IFERROR(VLOOKUP(A258,'[1]JL EXE ACTIVE FTE List'!$G:$O,9,FALSE),VLOOKUP(A258,'[1]JL EXE LEAVER List'!$G:$O,9,FALSE)),"?QUERY?")</f>
        <v>42765</v>
      </c>
      <c r="F258" s="21" t="s">
        <v>338</v>
      </c>
      <c r="G258" s="21" t="s">
        <v>338</v>
      </c>
      <c r="H258" s="21" t="s">
        <v>338</v>
      </c>
      <c r="I258" s="21" t="s">
        <v>313</v>
      </c>
      <c r="J258" s="21" t="s">
        <v>313</v>
      </c>
      <c r="K258" s="21" t="s">
        <v>313</v>
      </c>
      <c r="L258" s="21" t="s">
        <v>313</v>
      </c>
      <c r="M258" s="21" t="s">
        <v>313</v>
      </c>
      <c r="N258" s="21" t="s">
        <v>313</v>
      </c>
      <c r="O258" s="21" t="s">
        <v>313</v>
      </c>
      <c r="P258" s="21" t="s">
        <v>313</v>
      </c>
      <c r="Q258" s="21" t="s">
        <v>313</v>
      </c>
      <c r="R258" s="21" t="s">
        <v>313</v>
      </c>
      <c r="S258" s="21" t="s">
        <v>313</v>
      </c>
      <c r="T258" s="21" t="s">
        <v>313</v>
      </c>
      <c r="U258" s="21" t="s">
        <v>313</v>
      </c>
      <c r="V258" s="21" t="s">
        <v>313</v>
      </c>
      <c r="W258" s="21" t="s">
        <v>313</v>
      </c>
      <c r="X258" s="21" t="s">
        <v>313</v>
      </c>
      <c r="Y258" s="21" t="s">
        <v>313</v>
      </c>
      <c r="Z258" s="21" t="s">
        <v>313</v>
      </c>
      <c r="AA258" s="21" t="s">
        <v>313</v>
      </c>
      <c r="AB258" s="21" t="s">
        <v>313</v>
      </c>
      <c r="AC258" s="21" t="s">
        <v>313</v>
      </c>
      <c r="AD258" s="21" t="s">
        <v>313</v>
      </c>
      <c r="AE258" s="21" t="s">
        <v>313</v>
      </c>
      <c r="AF258" s="21" t="s">
        <v>313</v>
      </c>
      <c r="AG258" s="21" t="s">
        <v>313</v>
      </c>
      <c r="AH258" s="21" t="s">
        <v>313</v>
      </c>
      <c r="AI258" s="21" t="s">
        <v>313</v>
      </c>
      <c r="AJ258" s="21" t="s">
        <v>313</v>
      </c>
      <c r="AK258" s="21" t="s">
        <v>313</v>
      </c>
      <c r="AL258" s="21" t="s">
        <v>313</v>
      </c>
      <c r="AM258" s="21" t="s">
        <v>313</v>
      </c>
      <c r="AN258" s="21" t="s">
        <v>313</v>
      </c>
      <c r="AO258" s="21" t="s">
        <v>313</v>
      </c>
      <c r="AP258" s="21" t="s">
        <v>313</v>
      </c>
      <c r="AQ258" s="21" t="s">
        <v>313</v>
      </c>
      <c r="AR258" s="21" t="s">
        <v>313</v>
      </c>
      <c r="AS258" s="21" t="s">
        <v>313</v>
      </c>
      <c r="AT258" s="21" t="s">
        <v>313</v>
      </c>
      <c r="AU258" s="21" t="s">
        <v>313</v>
      </c>
      <c r="AV258" s="21" t="s">
        <v>313</v>
      </c>
      <c r="AW258" s="21" t="s">
        <v>313</v>
      </c>
      <c r="AX258" s="21" t="s">
        <v>313</v>
      </c>
    </row>
    <row r="259" spans="1:50" ht="15" customHeight="1" x14ac:dyDescent="0.3">
      <c r="A259" s="30" t="s">
        <v>236</v>
      </c>
      <c r="B259" s="29" t="str">
        <f>IFERROR(VLOOKUP(A259,'[1]JL EXE ACTIVE FTE List'!$G:$N,8,FALSE),IF(ISNA(VLOOKUP(A259,'[1]JL EXE LEAVER List'!$G:$I,3,FALSE)),"Query","Leaver"))</f>
        <v>COM</v>
      </c>
      <c r="C259" s="29" t="str">
        <f>IFERROR(VLOOKUP(A259,'[1]JL EXE ACTIVE FTE List'!$G:$R,12,FALSE),IF(ISNA(VLOOKUP(A259,'[1]JL EXE LEAVER List'!$G:$I,3,FALSE)),"?QUERY?","Leaver"))</f>
        <v>ACTIVE</v>
      </c>
      <c r="D259" s="39" t="str">
        <f>IFERROR(IFERROR(VLOOKUP(A259,'[1]JL EXE ACTIVE FTE List'!$G:$H,2,FALSE),VLOOKUP(A259,'[1]JL EXE LEAVER List'!$G:$H,2,FALSE)),"?QUERY?")</f>
        <v>Natalie Lubienski</v>
      </c>
      <c r="E259" s="40">
        <f>IFERROR(IFERROR(VLOOKUP(A259,'[1]JL EXE ACTIVE FTE List'!$G:$O,9,FALSE),VLOOKUP(A259,'[1]JL EXE LEAVER List'!$G:$O,9,FALSE)),"?QUERY?")</f>
        <v>42472</v>
      </c>
      <c r="F259" s="21" t="s">
        <v>338</v>
      </c>
      <c r="G259" s="21" t="s">
        <v>338</v>
      </c>
      <c r="H259" s="21" t="s">
        <v>338</v>
      </c>
      <c r="I259" s="21" t="s">
        <v>313</v>
      </c>
      <c r="J259" s="21" t="s">
        <v>313</v>
      </c>
      <c r="K259" s="21" t="s">
        <v>313</v>
      </c>
      <c r="L259" s="21" t="s">
        <v>313</v>
      </c>
      <c r="M259" s="21" t="s">
        <v>313</v>
      </c>
      <c r="N259" s="21" t="s">
        <v>313</v>
      </c>
      <c r="O259" s="21" t="s">
        <v>313</v>
      </c>
      <c r="P259" s="21" t="s">
        <v>313</v>
      </c>
      <c r="Q259" s="21" t="s">
        <v>313</v>
      </c>
      <c r="R259" s="21" t="s">
        <v>313</v>
      </c>
      <c r="S259" s="21" t="s">
        <v>313</v>
      </c>
      <c r="T259" s="21" t="s">
        <v>313</v>
      </c>
      <c r="U259" s="21" t="s">
        <v>313</v>
      </c>
      <c r="V259" s="21" t="s">
        <v>313</v>
      </c>
      <c r="W259" s="21" t="s">
        <v>313</v>
      </c>
      <c r="X259" s="21" t="s">
        <v>313</v>
      </c>
      <c r="Y259" s="21" t="s">
        <v>313</v>
      </c>
      <c r="Z259" s="21" t="s">
        <v>313</v>
      </c>
      <c r="AA259" s="21" t="s">
        <v>313</v>
      </c>
      <c r="AB259" s="21" t="s">
        <v>313</v>
      </c>
      <c r="AC259" s="21" t="s">
        <v>313</v>
      </c>
      <c r="AD259" s="21" t="s">
        <v>313</v>
      </c>
      <c r="AE259" s="21" t="s">
        <v>313</v>
      </c>
      <c r="AF259" s="21" t="s">
        <v>313</v>
      </c>
      <c r="AG259" s="21" t="s">
        <v>313</v>
      </c>
      <c r="AH259" s="21" t="s">
        <v>313</v>
      </c>
      <c r="AI259" s="21" t="s">
        <v>313</v>
      </c>
      <c r="AJ259" s="21" t="s">
        <v>313</v>
      </c>
      <c r="AK259" s="21" t="s">
        <v>313</v>
      </c>
      <c r="AL259" s="21" t="s">
        <v>313</v>
      </c>
      <c r="AM259" s="21" t="s">
        <v>313</v>
      </c>
      <c r="AN259" s="21" t="s">
        <v>313</v>
      </c>
      <c r="AO259" s="21" t="s">
        <v>313</v>
      </c>
      <c r="AP259" s="21" t="s">
        <v>313</v>
      </c>
      <c r="AQ259" s="21" t="s">
        <v>313</v>
      </c>
      <c r="AR259" s="21" t="s">
        <v>313</v>
      </c>
      <c r="AS259" s="21" t="s">
        <v>313</v>
      </c>
      <c r="AT259" s="21" t="s">
        <v>313</v>
      </c>
      <c r="AU259" s="21" t="s">
        <v>313</v>
      </c>
      <c r="AV259" s="21" t="s">
        <v>313</v>
      </c>
      <c r="AW259" s="21" t="s">
        <v>313</v>
      </c>
      <c r="AX259" s="21" t="s">
        <v>313</v>
      </c>
    </row>
    <row r="260" spans="1:50" ht="15" customHeight="1" x14ac:dyDescent="0.3">
      <c r="A260" s="30" t="s">
        <v>189</v>
      </c>
      <c r="B260" s="29" t="str">
        <f>IFERROR(VLOOKUP(A260,'[1]JL EXE ACTIVE FTE List'!$G:$N,8,FALSE),IF(ISNA(VLOOKUP(A260,'[1]JL EXE LEAVER List'!$G:$I,3,FALSE)),"Query","Leaver"))</f>
        <v>CSA</v>
      </c>
      <c r="C260" s="29" t="str">
        <f>IFERROR(VLOOKUP(A260,'[1]JL EXE ACTIVE FTE List'!$G:$R,12,FALSE),IF(ISNA(VLOOKUP(A260,'[1]JL EXE LEAVER List'!$G:$I,3,FALSE)),"?QUERY?","Leaver"))</f>
        <v>ACTIVE</v>
      </c>
      <c r="D260" s="39" t="str">
        <f>IFERROR(IFERROR(VLOOKUP(A260,'[1]JL EXE ACTIVE FTE List'!$G:$H,2,FALSE),VLOOKUP(A260,'[1]JL EXE LEAVER List'!$G:$H,2,FALSE)),"?QUERY?")</f>
        <v>Natalie Lubienski</v>
      </c>
      <c r="E260" s="40">
        <f>IFERROR(IFERROR(VLOOKUP(A260,'[1]JL EXE ACTIVE FTE List'!$G:$O,9,FALSE),VLOOKUP(A260,'[1]JL EXE LEAVER List'!$G:$O,9,FALSE)),"?QUERY?")</f>
        <v>41617</v>
      </c>
      <c r="F260" s="21" t="s">
        <v>338</v>
      </c>
      <c r="G260" s="21" t="s">
        <v>338</v>
      </c>
      <c r="H260" s="21" t="s">
        <v>338</v>
      </c>
      <c r="I260" s="21" t="s">
        <v>313</v>
      </c>
      <c r="J260" s="21" t="s">
        <v>313</v>
      </c>
      <c r="K260" s="21" t="s">
        <v>313</v>
      </c>
      <c r="L260" s="21" t="s">
        <v>313</v>
      </c>
      <c r="M260" s="21" t="s">
        <v>313</v>
      </c>
      <c r="N260" s="21" t="s">
        <v>313</v>
      </c>
      <c r="O260" s="21" t="s">
        <v>313</v>
      </c>
      <c r="P260" s="21" t="s">
        <v>313</v>
      </c>
      <c r="Q260" s="21" t="s">
        <v>313</v>
      </c>
      <c r="R260" s="21" t="s">
        <v>313</v>
      </c>
      <c r="S260" s="21" t="s">
        <v>313</v>
      </c>
      <c r="T260" s="21" t="s">
        <v>313</v>
      </c>
      <c r="U260" s="21" t="s">
        <v>313</v>
      </c>
      <c r="V260" s="21" t="s">
        <v>313</v>
      </c>
      <c r="W260" s="21" t="s">
        <v>313</v>
      </c>
      <c r="X260" s="21" t="s">
        <v>313</v>
      </c>
      <c r="Y260" s="21" t="s">
        <v>313</v>
      </c>
      <c r="Z260" s="21" t="s">
        <v>313</v>
      </c>
      <c r="AA260" s="21" t="s">
        <v>313</v>
      </c>
      <c r="AB260" s="21" t="s">
        <v>313</v>
      </c>
      <c r="AC260" s="21" t="s">
        <v>313</v>
      </c>
      <c r="AD260" s="21" t="s">
        <v>313</v>
      </c>
      <c r="AE260" s="21" t="s">
        <v>313</v>
      </c>
      <c r="AF260" s="21" t="s">
        <v>313</v>
      </c>
      <c r="AG260" s="21" t="s">
        <v>313</v>
      </c>
      <c r="AH260" s="21" t="s">
        <v>313</v>
      </c>
      <c r="AI260" s="21" t="s">
        <v>313</v>
      </c>
      <c r="AJ260" s="21" t="s">
        <v>313</v>
      </c>
      <c r="AK260" s="21" t="s">
        <v>313</v>
      </c>
      <c r="AL260" s="21" t="s">
        <v>313</v>
      </c>
      <c r="AM260" s="21" t="s">
        <v>313</v>
      </c>
      <c r="AN260" s="21" t="s">
        <v>313</v>
      </c>
      <c r="AO260" s="21" t="s">
        <v>313</v>
      </c>
      <c r="AP260" s="21" t="s">
        <v>313</v>
      </c>
      <c r="AQ260" s="21" t="s">
        <v>313</v>
      </c>
      <c r="AR260" s="21" t="s">
        <v>313</v>
      </c>
      <c r="AS260" s="21" t="s">
        <v>313</v>
      </c>
      <c r="AT260" s="21" t="s">
        <v>313</v>
      </c>
      <c r="AU260" s="21" t="s">
        <v>313</v>
      </c>
      <c r="AV260" s="21" t="s">
        <v>313</v>
      </c>
      <c r="AW260" s="21" t="s">
        <v>313</v>
      </c>
      <c r="AX260" s="21" t="s">
        <v>313</v>
      </c>
    </row>
    <row r="261" spans="1:50" x14ac:dyDescent="0.3">
      <c r="A261" s="30" t="s">
        <v>190</v>
      </c>
      <c r="B261" s="29" t="str">
        <f>IFERROR(VLOOKUP(A261,'[1]JL EXE ACTIVE FTE List'!$G:$N,8,FALSE),IF(ISNA(VLOOKUP(A261,'[1]JL EXE LEAVER List'!$G:$I,3,FALSE)),"Query","Leaver"))</f>
        <v>CSA</v>
      </c>
      <c r="C261" s="29" t="str">
        <f>IFERROR(VLOOKUP(A261,'[1]JL EXE ACTIVE FTE List'!$G:$R,12,FALSE),IF(ISNA(VLOOKUP(A261,'[1]JL EXE LEAVER List'!$G:$I,3,FALSE)),"?QUERY?","Leaver"))</f>
        <v>ACTIVE</v>
      </c>
      <c r="D261" s="39" t="str">
        <f>IFERROR(IFERROR(VLOOKUP(A261,'[1]JL EXE ACTIVE FTE List'!$G:$H,2,FALSE),VLOOKUP(A261,'[1]JL EXE LEAVER List'!$G:$H,2,FALSE)),"?QUERY?")</f>
        <v>Natalie Lubienski</v>
      </c>
      <c r="E261" s="40">
        <f>IFERROR(IFERROR(VLOOKUP(A261,'[1]JL EXE ACTIVE FTE List'!$G:$O,9,FALSE),VLOOKUP(A261,'[1]JL EXE LEAVER List'!$G:$O,9,FALSE)),"?QUERY?")</f>
        <v>40455</v>
      </c>
      <c r="F261" s="21" t="s">
        <v>338</v>
      </c>
      <c r="G261" s="21" t="s">
        <v>338</v>
      </c>
      <c r="H261" s="21" t="s">
        <v>338</v>
      </c>
      <c r="I261" s="21" t="s">
        <v>313</v>
      </c>
      <c r="J261" s="21" t="s">
        <v>313</v>
      </c>
      <c r="K261" s="21" t="s">
        <v>313</v>
      </c>
      <c r="L261" s="21" t="s">
        <v>313</v>
      </c>
      <c r="M261" s="21" t="s">
        <v>313</v>
      </c>
      <c r="N261" s="21" t="s">
        <v>313</v>
      </c>
      <c r="O261" s="21" t="s">
        <v>313</v>
      </c>
      <c r="P261" s="21" t="s">
        <v>313</v>
      </c>
      <c r="Q261" s="21" t="s">
        <v>313</v>
      </c>
      <c r="R261" s="21" t="s">
        <v>313</v>
      </c>
      <c r="S261" s="21" t="s">
        <v>313</v>
      </c>
      <c r="T261" s="21" t="s">
        <v>313</v>
      </c>
      <c r="U261" s="21" t="s">
        <v>313</v>
      </c>
      <c r="V261" s="21" t="s">
        <v>313</v>
      </c>
      <c r="W261" s="21" t="s">
        <v>313</v>
      </c>
      <c r="X261" s="21" t="s">
        <v>313</v>
      </c>
      <c r="Y261" s="21" t="s">
        <v>313</v>
      </c>
      <c r="Z261" s="21" t="s">
        <v>313</v>
      </c>
      <c r="AA261" s="21" t="s">
        <v>313</v>
      </c>
      <c r="AB261" s="21" t="s">
        <v>313</v>
      </c>
      <c r="AC261" s="21" t="s">
        <v>313</v>
      </c>
      <c r="AD261" s="21" t="s">
        <v>313</v>
      </c>
      <c r="AE261" s="21" t="s">
        <v>313</v>
      </c>
      <c r="AF261" s="21" t="s">
        <v>313</v>
      </c>
      <c r="AG261" s="21" t="s">
        <v>313</v>
      </c>
      <c r="AH261" s="21" t="s">
        <v>313</v>
      </c>
      <c r="AI261" s="21" t="s">
        <v>313</v>
      </c>
      <c r="AJ261" s="21" t="s">
        <v>313</v>
      </c>
      <c r="AK261" s="21" t="s">
        <v>313</v>
      </c>
      <c r="AL261" s="21" t="s">
        <v>313</v>
      </c>
      <c r="AM261" s="21" t="s">
        <v>313</v>
      </c>
      <c r="AN261" s="21" t="s">
        <v>313</v>
      </c>
      <c r="AO261" s="21" t="s">
        <v>313</v>
      </c>
      <c r="AP261" s="21" t="s">
        <v>313</v>
      </c>
      <c r="AQ261" s="21" t="s">
        <v>313</v>
      </c>
      <c r="AR261" s="21" t="s">
        <v>313</v>
      </c>
      <c r="AS261" s="21" t="s">
        <v>313</v>
      </c>
      <c r="AT261" s="21" t="s">
        <v>313</v>
      </c>
      <c r="AU261" s="21" t="s">
        <v>313</v>
      </c>
      <c r="AV261" s="21" t="s">
        <v>313</v>
      </c>
      <c r="AW261" s="21" t="s">
        <v>313</v>
      </c>
      <c r="AX261" s="21" t="s">
        <v>313</v>
      </c>
    </row>
    <row r="262" spans="1:50" x14ac:dyDescent="0.3">
      <c r="A262" s="30" t="s">
        <v>191</v>
      </c>
      <c r="B262" s="29" t="str">
        <f>IFERROR(VLOOKUP(A262,'[1]JL EXE ACTIVE FTE List'!$G:$N,8,FALSE),IF(ISNA(VLOOKUP(A262,'[1]JL EXE LEAVER List'!$G:$I,3,FALSE)),"Query","Leaver"))</f>
        <v>CSA</v>
      </c>
      <c r="C262" s="29" t="str">
        <f>IFERROR(VLOOKUP(A262,'[1]JL EXE ACTIVE FTE List'!$G:$R,12,FALSE),IF(ISNA(VLOOKUP(A262,'[1]JL EXE LEAVER List'!$G:$I,3,FALSE)),"?QUERY?","Leaver"))</f>
        <v>ACTIVE</v>
      </c>
      <c r="D262" s="39" t="str">
        <f>IFERROR(IFERROR(VLOOKUP(A262,'[1]JL EXE ACTIVE FTE List'!$G:$H,2,FALSE),VLOOKUP(A262,'[1]JL EXE LEAVER List'!$G:$H,2,FALSE)),"?QUERY?")</f>
        <v>Natalie Lubienski</v>
      </c>
      <c r="E262" s="40">
        <f>IFERROR(IFERROR(VLOOKUP(A262,'[1]JL EXE ACTIVE FTE List'!$G:$O,9,FALSE),VLOOKUP(A262,'[1]JL EXE LEAVER List'!$G:$O,9,FALSE)),"?QUERY?")</f>
        <v>42009</v>
      </c>
      <c r="F262" s="21" t="s">
        <v>338</v>
      </c>
      <c r="G262" s="21" t="s">
        <v>338</v>
      </c>
      <c r="H262" s="21" t="s">
        <v>338</v>
      </c>
      <c r="I262" s="21" t="s">
        <v>313</v>
      </c>
      <c r="J262" s="21" t="s">
        <v>313</v>
      </c>
      <c r="K262" s="21" t="s">
        <v>313</v>
      </c>
      <c r="L262" s="21" t="s">
        <v>313</v>
      </c>
      <c r="M262" s="21" t="s">
        <v>313</v>
      </c>
      <c r="N262" s="21" t="s">
        <v>313</v>
      </c>
      <c r="O262" s="21" t="s">
        <v>313</v>
      </c>
      <c r="P262" s="21" t="s">
        <v>313</v>
      </c>
      <c r="Q262" s="21" t="s">
        <v>313</v>
      </c>
      <c r="R262" s="21" t="s">
        <v>313</v>
      </c>
      <c r="S262" s="21" t="s">
        <v>313</v>
      </c>
      <c r="T262" s="21" t="s">
        <v>313</v>
      </c>
      <c r="U262" s="21" t="s">
        <v>313</v>
      </c>
      <c r="V262" s="21" t="s">
        <v>313</v>
      </c>
      <c r="W262" s="21" t="s">
        <v>313</v>
      </c>
      <c r="X262" s="21" t="s">
        <v>313</v>
      </c>
      <c r="Y262" s="21" t="s">
        <v>313</v>
      </c>
      <c r="Z262" s="21" t="s">
        <v>313</v>
      </c>
      <c r="AA262" s="21" t="s">
        <v>313</v>
      </c>
      <c r="AB262" s="21" t="s">
        <v>313</v>
      </c>
      <c r="AC262" s="21" t="s">
        <v>313</v>
      </c>
      <c r="AD262" s="21" t="s">
        <v>313</v>
      </c>
      <c r="AE262" s="21" t="s">
        <v>313</v>
      </c>
      <c r="AF262" s="21" t="s">
        <v>313</v>
      </c>
      <c r="AG262" s="21" t="s">
        <v>313</v>
      </c>
      <c r="AH262" s="21" t="s">
        <v>313</v>
      </c>
      <c r="AI262" s="21" t="s">
        <v>313</v>
      </c>
      <c r="AJ262" s="21" t="s">
        <v>313</v>
      </c>
      <c r="AK262" s="21" t="s">
        <v>313</v>
      </c>
      <c r="AL262" s="21" t="s">
        <v>313</v>
      </c>
      <c r="AM262" s="21" t="s">
        <v>313</v>
      </c>
      <c r="AN262" s="21" t="s">
        <v>313</v>
      </c>
      <c r="AO262" s="21" t="s">
        <v>313</v>
      </c>
      <c r="AP262" s="21" t="s">
        <v>313</v>
      </c>
      <c r="AQ262" s="21" t="s">
        <v>313</v>
      </c>
      <c r="AR262" s="21" t="s">
        <v>313</v>
      </c>
      <c r="AS262" s="21" t="s">
        <v>313</v>
      </c>
      <c r="AT262" s="21" t="s">
        <v>313</v>
      </c>
      <c r="AU262" s="21" t="s">
        <v>313</v>
      </c>
      <c r="AV262" s="21" t="s">
        <v>313</v>
      </c>
      <c r="AW262" s="21" t="s">
        <v>313</v>
      </c>
      <c r="AX262" s="21" t="s">
        <v>313</v>
      </c>
    </row>
    <row r="263" spans="1:50" x14ac:dyDescent="0.3">
      <c r="A263" s="30" t="s">
        <v>192</v>
      </c>
      <c r="B263" s="29" t="str">
        <f>IFERROR(VLOOKUP(A263,'[1]JL EXE ACTIVE FTE List'!$G:$N,8,FALSE),IF(ISNA(VLOOKUP(A263,'[1]JL EXE LEAVER List'!$G:$I,3,FALSE)),"Query","Leaver"))</f>
        <v>CSA</v>
      </c>
      <c r="C263" s="29" t="str">
        <f>IFERROR(VLOOKUP(A263,'[1]JL EXE ACTIVE FTE List'!$G:$R,12,FALSE),IF(ISNA(VLOOKUP(A263,'[1]JL EXE LEAVER List'!$G:$I,3,FALSE)),"?QUERY?","Leaver"))</f>
        <v>ACTIVE</v>
      </c>
      <c r="D263" s="39" t="str">
        <f>IFERROR(IFERROR(VLOOKUP(A263,'[1]JL EXE ACTIVE FTE List'!$G:$H,2,FALSE),VLOOKUP(A263,'[1]JL EXE LEAVER List'!$G:$H,2,FALSE)),"?QUERY?")</f>
        <v>Natalie Lubienski</v>
      </c>
      <c r="E263" s="40">
        <f>IFERROR(IFERROR(VLOOKUP(A263,'[1]JL EXE ACTIVE FTE List'!$G:$O,9,FALSE),VLOOKUP(A263,'[1]JL EXE LEAVER List'!$G:$O,9,FALSE)),"?QUERY?")</f>
        <v>42324</v>
      </c>
      <c r="F263" s="21" t="s">
        <v>338</v>
      </c>
      <c r="G263" s="21" t="s">
        <v>338</v>
      </c>
      <c r="H263" s="21" t="s">
        <v>338</v>
      </c>
      <c r="I263" s="21" t="s">
        <v>313</v>
      </c>
      <c r="J263" s="21" t="s">
        <v>313</v>
      </c>
      <c r="K263" s="21" t="s">
        <v>313</v>
      </c>
      <c r="L263" s="21" t="s">
        <v>313</v>
      </c>
      <c r="M263" s="21" t="s">
        <v>313</v>
      </c>
      <c r="N263" s="21" t="s">
        <v>313</v>
      </c>
      <c r="O263" s="21" t="s">
        <v>313</v>
      </c>
      <c r="P263" s="21" t="s">
        <v>313</v>
      </c>
      <c r="Q263" s="21" t="s">
        <v>313</v>
      </c>
      <c r="R263" s="21" t="s">
        <v>313</v>
      </c>
      <c r="S263" s="21" t="s">
        <v>313</v>
      </c>
      <c r="T263" s="21" t="s">
        <v>313</v>
      </c>
      <c r="U263" s="21" t="s">
        <v>313</v>
      </c>
      <c r="V263" s="21" t="s">
        <v>313</v>
      </c>
      <c r="W263" s="21" t="s">
        <v>313</v>
      </c>
      <c r="X263" s="21" t="s">
        <v>313</v>
      </c>
      <c r="Y263" s="21" t="s">
        <v>313</v>
      </c>
      <c r="Z263" s="21" t="s">
        <v>313</v>
      </c>
      <c r="AA263" s="21" t="s">
        <v>313</v>
      </c>
      <c r="AB263" s="21" t="s">
        <v>313</v>
      </c>
      <c r="AC263" s="21" t="s">
        <v>313</v>
      </c>
      <c r="AD263" s="21" t="s">
        <v>313</v>
      </c>
      <c r="AE263" s="21" t="s">
        <v>313</v>
      </c>
      <c r="AF263" s="21" t="s">
        <v>313</v>
      </c>
      <c r="AG263" s="21" t="s">
        <v>313</v>
      </c>
      <c r="AH263" s="21" t="s">
        <v>313</v>
      </c>
      <c r="AI263" s="21" t="s">
        <v>313</v>
      </c>
      <c r="AJ263" s="21" t="s">
        <v>313</v>
      </c>
      <c r="AK263" s="21" t="s">
        <v>313</v>
      </c>
      <c r="AL263" s="21" t="s">
        <v>313</v>
      </c>
      <c r="AM263" s="21" t="s">
        <v>313</v>
      </c>
      <c r="AN263" s="21" t="s">
        <v>313</v>
      </c>
      <c r="AO263" s="21" t="s">
        <v>313</v>
      </c>
      <c r="AP263" s="21" t="s">
        <v>313</v>
      </c>
      <c r="AQ263" s="21" t="s">
        <v>313</v>
      </c>
      <c r="AR263" s="21" t="s">
        <v>313</v>
      </c>
      <c r="AS263" s="21" t="s">
        <v>313</v>
      </c>
      <c r="AT263" s="21" t="s">
        <v>313</v>
      </c>
      <c r="AU263" s="21" t="s">
        <v>313</v>
      </c>
      <c r="AV263" s="21" t="s">
        <v>313</v>
      </c>
      <c r="AW263" s="21" t="s">
        <v>313</v>
      </c>
      <c r="AX263" s="21" t="s">
        <v>313</v>
      </c>
    </row>
    <row r="264" spans="1:50" x14ac:dyDescent="0.3">
      <c r="A264" s="30" t="s">
        <v>193</v>
      </c>
      <c r="B264" s="29" t="str">
        <f>IFERROR(VLOOKUP(A264,'[1]JL EXE ACTIVE FTE List'!$G:$N,8,FALSE),IF(ISNA(VLOOKUP(A264,'[1]JL EXE LEAVER List'!$G:$I,3,FALSE)),"Query","Leaver"))</f>
        <v>CSA</v>
      </c>
      <c r="C264" s="29" t="str">
        <f>IFERROR(VLOOKUP(A264,'[1]JL EXE ACTIVE FTE List'!$G:$R,12,FALSE),IF(ISNA(VLOOKUP(A264,'[1]JL EXE LEAVER List'!$G:$I,3,FALSE)),"?QUERY?","Leaver"))</f>
        <v>ACTIVE</v>
      </c>
      <c r="D264" s="39" t="str">
        <f>IFERROR(IFERROR(VLOOKUP(A264,'[1]JL EXE ACTIVE FTE List'!$G:$H,2,FALSE),VLOOKUP(A264,'[1]JL EXE LEAVER List'!$G:$H,2,FALSE)),"?QUERY?")</f>
        <v>Natalie Lubienski</v>
      </c>
      <c r="E264" s="40">
        <f>IFERROR(IFERROR(VLOOKUP(A264,'[1]JL EXE ACTIVE FTE List'!$G:$O,9,FALSE),VLOOKUP(A264,'[1]JL EXE LEAVER List'!$G:$O,9,FALSE)),"?QUERY?")</f>
        <v>40805</v>
      </c>
      <c r="F264" s="21" t="s">
        <v>338</v>
      </c>
      <c r="G264" s="21" t="s">
        <v>338</v>
      </c>
      <c r="H264" s="21" t="s">
        <v>338</v>
      </c>
      <c r="I264" s="21" t="s">
        <v>313</v>
      </c>
      <c r="J264" s="21" t="s">
        <v>313</v>
      </c>
      <c r="K264" s="21" t="s">
        <v>313</v>
      </c>
      <c r="L264" s="21" t="s">
        <v>313</v>
      </c>
      <c r="M264" s="21" t="s">
        <v>313</v>
      </c>
      <c r="N264" s="21" t="s">
        <v>313</v>
      </c>
      <c r="O264" s="21" t="s">
        <v>313</v>
      </c>
      <c r="P264" s="21" t="s">
        <v>313</v>
      </c>
      <c r="Q264" s="21" t="s">
        <v>313</v>
      </c>
      <c r="R264" s="21" t="s">
        <v>313</v>
      </c>
      <c r="S264" s="21" t="s">
        <v>313</v>
      </c>
      <c r="T264" s="21" t="s">
        <v>313</v>
      </c>
      <c r="U264" s="21" t="s">
        <v>313</v>
      </c>
      <c r="V264" s="21" t="s">
        <v>313</v>
      </c>
      <c r="W264" s="21" t="s">
        <v>313</v>
      </c>
      <c r="X264" s="21" t="s">
        <v>313</v>
      </c>
      <c r="Y264" s="21" t="s">
        <v>313</v>
      </c>
      <c r="Z264" s="21" t="s">
        <v>313</v>
      </c>
      <c r="AA264" s="21" t="s">
        <v>313</v>
      </c>
      <c r="AB264" s="21" t="s">
        <v>313</v>
      </c>
      <c r="AC264" s="21" t="s">
        <v>313</v>
      </c>
      <c r="AD264" s="21" t="s">
        <v>313</v>
      </c>
      <c r="AE264" s="21" t="s">
        <v>313</v>
      </c>
      <c r="AF264" s="21" t="s">
        <v>313</v>
      </c>
      <c r="AG264" s="21" t="s">
        <v>313</v>
      </c>
      <c r="AH264" s="21" t="s">
        <v>313</v>
      </c>
      <c r="AI264" s="21" t="s">
        <v>313</v>
      </c>
      <c r="AJ264" s="21" t="s">
        <v>313</v>
      </c>
      <c r="AK264" s="21" t="s">
        <v>313</v>
      </c>
      <c r="AL264" s="21" t="s">
        <v>313</v>
      </c>
      <c r="AM264" s="21" t="s">
        <v>313</v>
      </c>
      <c r="AN264" s="21" t="s">
        <v>313</v>
      </c>
      <c r="AO264" s="21" t="s">
        <v>313</v>
      </c>
      <c r="AP264" s="21" t="s">
        <v>313</v>
      </c>
      <c r="AQ264" s="21" t="s">
        <v>313</v>
      </c>
      <c r="AR264" s="21" t="s">
        <v>313</v>
      </c>
      <c r="AS264" s="21" t="s">
        <v>313</v>
      </c>
      <c r="AT264" s="21" t="s">
        <v>313</v>
      </c>
      <c r="AU264" s="21" t="s">
        <v>313</v>
      </c>
      <c r="AV264" s="21" t="s">
        <v>313</v>
      </c>
      <c r="AW264" s="21" t="s">
        <v>313</v>
      </c>
      <c r="AX264" s="21" t="s">
        <v>313</v>
      </c>
    </row>
    <row r="265" spans="1:50" ht="15" customHeight="1" x14ac:dyDescent="0.3">
      <c r="A265" s="30" t="s">
        <v>194</v>
      </c>
      <c r="B265" s="29" t="str">
        <f>IFERROR(VLOOKUP(A265,'[1]JL EXE ACTIVE FTE List'!$G:$N,8,FALSE),IF(ISNA(VLOOKUP(A265,'[1]JL EXE LEAVER List'!$G:$I,3,FALSE)),"Query","Leaver"))</f>
        <v>CSA</v>
      </c>
      <c r="C265" s="29" t="str">
        <f>IFERROR(VLOOKUP(A265,'[1]JL EXE ACTIVE FTE List'!$G:$R,12,FALSE),IF(ISNA(VLOOKUP(A265,'[1]JL EXE LEAVER List'!$G:$I,3,FALSE)),"?QUERY?","Leaver"))</f>
        <v>ACTIVE</v>
      </c>
      <c r="D265" s="39" t="str">
        <f>IFERROR(IFERROR(VLOOKUP(A265,'[1]JL EXE ACTIVE FTE List'!$G:$H,2,FALSE),VLOOKUP(A265,'[1]JL EXE LEAVER List'!$G:$H,2,FALSE)),"?QUERY?")</f>
        <v>Natalie Lubienski</v>
      </c>
      <c r="E265" s="40">
        <f>IFERROR(IFERROR(VLOOKUP(A265,'[1]JL EXE ACTIVE FTE List'!$G:$O,9,FALSE),VLOOKUP(A265,'[1]JL EXE LEAVER List'!$G:$O,9,FALSE)),"?QUERY?")</f>
        <v>42562</v>
      </c>
      <c r="F265" s="21" t="s">
        <v>338</v>
      </c>
      <c r="G265" s="21" t="s">
        <v>338</v>
      </c>
      <c r="H265" s="21" t="s">
        <v>352</v>
      </c>
      <c r="I265" s="21" t="s">
        <v>313</v>
      </c>
      <c r="J265" s="21" t="s">
        <v>313</v>
      </c>
      <c r="K265" s="21" t="s">
        <v>313</v>
      </c>
      <c r="L265" s="21" t="s">
        <v>313</v>
      </c>
      <c r="M265" s="21" t="s">
        <v>313</v>
      </c>
      <c r="N265" s="21" t="s">
        <v>313</v>
      </c>
      <c r="O265" s="21" t="s">
        <v>313</v>
      </c>
      <c r="P265" s="21" t="s">
        <v>313</v>
      </c>
      <c r="Q265" s="21" t="s">
        <v>313</v>
      </c>
      <c r="R265" s="21" t="s">
        <v>313</v>
      </c>
      <c r="S265" s="21" t="s">
        <v>313</v>
      </c>
      <c r="T265" s="21" t="s">
        <v>313</v>
      </c>
      <c r="U265" s="21" t="s">
        <v>313</v>
      </c>
      <c r="V265" s="21" t="s">
        <v>313</v>
      </c>
      <c r="W265" s="21" t="s">
        <v>313</v>
      </c>
      <c r="X265" s="21" t="s">
        <v>313</v>
      </c>
      <c r="Y265" s="21" t="s">
        <v>313</v>
      </c>
      <c r="Z265" s="21" t="s">
        <v>313</v>
      </c>
      <c r="AA265" s="21" t="s">
        <v>313</v>
      </c>
      <c r="AB265" s="21" t="s">
        <v>313</v>
      </c>
      <c r="AC265" s="21" t="s">
        <v>313</v>
      </c>
      <c r="AD265" s="21" t="s">
        <v>313</v>
      </c>
      <c r="AE265" s="21" t="s">
        <v>313</v>
      </c>
      <c r="AF265" s="21" t="s">
        <v>313</v>
      </c>
      <c r="AG265" s="21" t="s">
        <v>313</v>
      </c>
      <c r="AH265" s="21" t="s">
        <v>313</v>
      </c>
      <c r="AI265" s="21" t="s">
        <v>313</v>
      </c>
      <c r="AJ265" s="21" t="s">
        <v>313</v>
      </c>
      <c r="AK265" s="21" t="s">
        <v>313</v>
      </c>
      <c r="AL265" s="21" t="s">
        <v>313</v>
      </c>
      <c r="AM265" s="21" t="s">
        <v>313</v>
      </c>
      <c r="AN265" s="21" t="s">
        <v>313</v>
      </c>
      <c r="AO265" s="21" t="s">
        <v>313</v>
      </c>
      <c r="AP265" s="21" t="s">
        <v>313</v>
      </c>
      <c r="AQ265" s="21" t="s">
        <v>313</v>
      </c>
      <c r="AR265" s="21" t="s">
        <v>313</v>
      </c>
      <c r="AS265" s="21" t="s">
        <v>313</v>
      </c>
      <c r="AT265" s="21" t="s">
        <v>313</v>
      </c>
      <c r="AU265" s="21" t="s">
        <v>313</v>
      </c>
      <c r="AV265" s="21" t="s">
        <v>313</v>
      </c>
      <c r="AW265" s="21" t="s">
        <v>313</v>
      </c>
      <c r="AX265" s="21" t="s">
        <v>313</v>
      </c>
    </row>
    <row r="266" spans="1:50" x14ac:dyDescent="0.3">
      <c r="A266" s="30" t="s">
        <v>200</v>
      </c>
      <c r="B266" s="29" t="str">
        <f>IFERROR(VLOOKUP(A266,'[1]JL EXE ACTIVE FTE List'!$G:$N,8,FALSE),IF(ISNA(VLOOKUP(A266,'[1]JL EXE LEAVER List'!$G:$I,3,FALSE)),"Query","Leaver"))</f>
        <v>CSA</v>
      </c>
      <c r="C266" s="29" t="str">
        <f>IFERROR(VLOOKUP(A266,'[1]JL EXE ACTIVE FTE List'!$G:$R,12,FALSE),IF(ISNA(VLOOKUP(A266,'[1]JL EXE LEAVER List'!$G:$I,3,FALSE)),"?QUERY?","Leaver"))</f>
        <v>ACTIVE</v>
      </c>
      <c r="D266" s="39" t="str">
        <f>IFERROR(IFERROR(VLOOKUP(A266,'[1]JL EXE ACTIVE FTE List'!$G:$H,2,FALSE),VLOOKUP(A266,'[1]JL EXE LEAVER List'!$G:$H,2,FALSE)),"?QUERY?")</f>
        <v>Natalie Lubienski</v>
      </c>
      <c r="E266" s="40">
        <f>IFERROR(IFERROR(VLOOKUP(A266,'[1]JL EXE ACTIVE FTE List'!$G:$O,9,FALSE),VLOOKUP(A266,'[1]JL EXE LEAVER List'!$G:$O,9,FALSE)),"?QUERY?")</f>
        <v>42079</v>
      </c>
      <c r="F266" s="21" t="s">
        <v>338</v>
      </c>
      <c r="G266" s="21" t="s">
        <v>338</v>
      </c>
      <c r="H266" s="21" t="s">
        <v>335</v>
      </c>
      <c r="I266" s="21" t="s">
        <v>313</v>
      </c>
      <c r="J266" s="21" t="s">
        <v>313</v>
      </c>
      <c r="K266" s="21" t="s">
        <v>313</v>
      </c>
      <c r="L266" s="21" t="s">
        <v>313</v>
      </c>
      <c r="M266" s="21" t="s">
        <v>313</v>
      </c>
      <c r="N266" s="21" t="s">
        <v>313</v>
      </c>
      <c r="O266" s="21" t="s">
        <v>313</v>
      </c>
      <c r="P266" s="21" t="s">
        <v>313</v>
      </c>
      <c r="Q266" s="21" t="s">
        <v>313</v>
      </c>
      <c r="R266" s="21" t="s">
        <v>313</v>
      </c>
      <c r="S266" s="21" t="s">
        <v>313</v>
      </c>
      <c r="T266" s="21" t="s">
        <v>313</v>
      </c>
      <c r="U266" s="21" t="s">
        <v>313</v>
      </c>
      <c r="V266" s="21" t="s">
        <v>313</v>
      </c>
      <c r="W266" s="21" t="s">
        <v>313</v>
      </c>
      <c r="X266" s="21" t="s">
        <v>313</v>
      </c>
      <c r="Y266" s="21" t="s">
        <v>313</v>
      </c>
      <c r="Z266" s="21" t="s">
        <v>313</v>
      </c>
      <c r="AA266" s="21" t="s">
        <v>313</v>
      </c>
      <c r="AB266" s="21" t="s">
        <v>313</v>
      </c>
      <c r="AC266" s="21" t="s">
        <v>313</v>
      </c>
      <c r="AD266" s="21" t="s">
        <v>313</v>
      </c>
      <c r="AE266" s="21" t="s">
        <v>313</v>
      </c>
      <c r="AF266" s="21" t="s">
        <v>313</v>
      </c>
      <c r="AG266" s="21" t="s">
        <v>313</v>
      </c>
      <c r="AH266" s="21" t="s">
        <v>313</v>
      </c>
      <c r="AI266" s="21" t="s">
        <v>313</v>
      </c>
      <c r="AJ266" s="21" t="s">
        <v>313</v>
      </c>
      <c r="AK266" s="21" t="s">
        <v>313</v>
      </c>
      <c r="AL266" s="21" t="s">
        <v>313</v>
      </c>
      <c r="AM266" s="21" t="s">
        <v>313</v>
      </c>
      <c r="AN266" s="21" t="s">
        <v>313</v>
      </c>
      <c r="AO266" s="21" t="s">
        <v>313</v>
      </c>
      <c r="AP266" s="21" t="s">
        <v>313</v>
      </c>
      <c r="AQ266" s="21" t="s">
        <v>313</v>
      </c>
      <c r="AR266" s="21" t="s">
        <v>313</v>
      </c>
      <c r="AS266" s="21" t="s">
        <v>313</v>
      </c>
      <c r="AT266" s="21" t="s">
        <v>313</v>
      </c>
      <c r="AU266" s="21" t="s">
        <v>313</v>
      </c>
      <c r="AV266" s="21" t="s">
        <v>313</v>
      </c>
      <c r="AW266" s="21" t="s">
        <v>313</v>
      </c>
      <c r="AX266" s="21" t="s">
        <v>313</v>
      </c>
    </row>
    <row r="267" spans="1:50" x14ac:dyDescent="0.3">
      <c r="A267" s="30" t="s">
        <v>201</v>
      </c>
      <c r="B267" s="29" t="str">
        <f>IFERROR(VLOOKUP(A267,'[1]JL EXE ACTIVE FTE List'!$G:$N,8,FALSE),IF(ISNA(VLOOKUP(A267,'[1]JL EXE LEAVER List'!$G:$I,3,FALSE)),"Query","Leaver"))</f>
        <v>CSA</v>
      </c>
      <c r="C267" s="29" t="str">
        <f>IFERROR(VLOOKUP(A267,'[1]JL EXE ACTIVE FTE List'!$G:$R,12,FALSE),IF(ISNA(VLOOKUP(A267,'[1]JL EXE LEAVER List'!$G:$I,3,FALSE)),"?QUERY?","Leaver"))</f>
        <v>ACTIVE</v>
      </c>
      <c r="D267" s="39" t="str">
        <f>IFERROR(IFERROR(VLOOKUP(A267,'[1]JL EXE ACTIVE FTE List'!$G:$H,2,FALSE),VLOOKUP(A267,'[1]JL EXE LEAVER List'!$G:$H,2,FALSE)),"?QUERY?")</f>
        <v>Natalie Lubienski</v>
      </c>
      <c r="E267" s="40">
        <f>IFERROR(IFERROR(VLOOKUP(A267,'[1]JL EXE ACTIVE FTE List'!$G:$O,9,FALSE),VLOOKUP(A267,'[1]JL EXE LEAVER List'!$G:$O,9,FALSE)),"?QUERY?")</f>
        <v>43003</v>
      </c>
      <c r="F267" s="21" t="s">
        <v>338</v>
      </c>
      <c r="G267" s="21" t="s">
        <v>338</v>
      </c>
      <c r="H267" s="21" t="s">
        <v>338</v>
      </c>
      <c r="I267" s="21" t="s">
        <v>313</v>
      </c>
      <c r="J267" s="21" t="s">
        <v>313</v>
      </c>
      <c r="K267" s="21" t="s">
        <v>313</v>
      </c>
      <c r="L267" s="21" t="s">
        <v>313</v>
      </c>
      <c r="M267" s="21" t="s">
        <v>313</v>
      </c>
      <c r="N267" s="21" t="s">
        <v>313</v>
      </c>
      <c r="O267" s="21" t="s">
        <v>313</v>
      </c>
      <c r="P267" s="21" t="s">
        <v>313</v>
      </c>
      <c r="Q267" s="21" t="s">
        <v>313</v>
      </c>
      <c r="R267" s="21" t="s">
        <v>313</v>
      </c>
      <c r="S267" s="21" t="s">
        <v>313</v>
      </c>
      <c r="T267" s="21" t="s">
        <v>313</v>
      </c>
      <c r="U267" s="21" t="s">
        <v>313</v>
      </c>
      <c r="V267" s="21" t="s">
        <v>313</v>
      </c>
      <c r="W267" s="21" t="s">
        <v>313</v>
      </c>
      <c r="X267" s="21" t="s">
        <v>313</v>
      </c>
      <c r="Y267" s="21" t="s">
        <v>313</v>
      </c>
      <c r="Z267" s="21" t="s">
        <v>313</v>
      </c>
      <c r="AA267" s="21" t="s">
        <v>313</v>
      </c>
      <c r="AB267" s="21" t="s">
        <v>313</v>
      </c>
      <c r="AC267" s="21" t="s">
        <v>313</v>
      </c>
      <c r="AD267" s="21" t="s">
        <v>313</v>
      </c>
      <c r="AE267" s="21" t="s">
        <v>313</v>
      </c>
      <c r="AF267" s="21" t="s">
        <v>313</v>
      </c>
      <c r="AG267" s="21" t="s">
        <v>313</v>
      </c>
      <c r="AH267" s="21" t="s">
        <v>313</v>
      </c>
      <c r="AI267" s="21" t="s">
        <v>313</v>
      </c>
      <c r="AJ267" s="21" t="s">
        <v>313</v>
      </c>
      <c r="AK267" s="21" t="s">
        <v>313</v>
      </c>
      <c r="AL267" s="21" t="s">
        <v>313</v>
      </c>
      <c r="AM267" s="21" t="s">
        <v>313</v>
      </c>
      <c r="AN267" s="21" t="s">
        <v>313</v>
      </c>
      <c r="AO267" s="21" t="s">
        <v>313</v>
      </c>
      <c r="AP267" s="21" t="s">
        <v>313</v>
      </c>
      <c r="AQ267" s="21" t="s">
        <v>313</v>
      </c>
      <c r="AR267" s="21" t="s">
        <v>313</v>
      </c>
      <c r="AS267" s="21" t="s">
        <v>313</v>
      </c>
      <c r="AT267" s="21" t="s">
        <v>313</v>
      </c>
      <c r="AU267" s="21" t="s">
        <v>313</v>
      </c>
      <c r="AV267" s="21" t="s">
        <v>313</v>
      </c>
      <c r="AW267" s="21" t="s">
        <v>313</v>
      </c>
      <c r="AX267" s="21" t="s">
        <v>313</v>
      </c>
    </row>
    <row r="268" spans="1:50" x14ac:dyDescent="0.3">
      <c r="A268" s="30" t="s">
        <v>12</v>
      </c>
      <c r="B268" s="29" t="str">
        <f>IFERROR(VLOOKUP(A268,'[1]JL EXE ACTIVE FTE List'!$G:$N,8,FALSE),IF(ISNA(VLOOKUP(A268,'[1]JL EXE LEAVER List'!$G:$I,3,FALSE)),"Query","Leaver"))</f>
        <v>COM</v>
      </c>
      <c r="C268" s="29" t="str">
        <f>IFERROR(VLOOKUP(A268,'[1]JL EXE ACTIVE FTE List'!$G:$R,12,FALSE),IF(ISNA(VLOOKUP(A268,'[1]JL EXE LEAVER List'!$G:$I,3,FALSE)),"?QUERY?","Leaver"))</f>
        <v>ACTIVE</v>
      </c>
      <c r="D268" s="39" t="str">
        <f>IFERROR(IFERROR(VLOOKUP(A268,'[1]JL EXE ACTIVE FTE List'!$G:$H,2,FALSE),VLOOKUP(A268,'[1]JL EXE LEAVER List'!$G:$H,2,FALSE)),"?QUERY?")</f>
        <v>Richard Crellin</v>
      </c>
      <c r="E268" s="40">
        <f>IFERROR(IFERROR(VLOOKUP(A268,'[1]JL EXE ACTIVE FTE List'!$G:$O,9,FALSE),VLOOKUP(A268,'[1]JL EXE LEAVER List'!$G:$O,9,FALSE)),"?QUERY?")</f>
        <v>43038</v>
      </c>
      <c r="F268" s="21" t="s">
        <v>338</v>
      </c>
      <c r="G268" s="21" t="s">
        <v>338</v>
      </c>
      <c r="H268" s="21" t="s">
        <v>335</v>
      </c>
      <c r="I268" s="21" t="s">
        <v>313</v>
      </c>
      <c r="J268" s="21" t="s">
        <v>313</v>
      </c>
      <c r="K268" s="21" t="s">
        <v>313</v>
      </c>
      <c r="L268" s="21" t="s">
        <v>313</v>
      </c>
      <c r="M268" s="21" t="s">
        <v>313</v>
      </c>
      <c r="N268" s="21" t="s">
        <v>313</v>
      </c>
      <c r="O268" s="21" t="s">
        <v>313</v>
      </c>
      <c r="P268" s="21" t="s">
        <v>313</v>
      </c>
      <c r="Q268" s="21" t="s">
        <v>313</v>
      </c>
      <c r="R268" s="21" t="s">
        <v>313</v>
      </c>
      <c r="S268" s="21" t="s">
        <v>313</v>
      </c>
      <c r="T268" s="21" t="s">
        <v>313</v>
      </c>
      <c r="U268" s="21" t="s">
        <v>313</v>
      </c>
      <c r="V268" s="21" t="s">
        <v>313</v>
      </c>
      <c r="W268" s="21" t="s">
        <v>313</v>
      </c>
      <c r="X268" s="21" t="s">
        <v>313</v>
      </c>
      <c r="Y268" s="21" t="s">
        <v>313</v>
      </c>
      <c r="Z268" s="21" t="s">
        <v>313</v>
      </c>
      <c r="AA268" s="21" t="s">
        <v>313</v>
      </c>
      <c r="AB268" s="21" t="s">
        <v>313</v>
      </c>
      <c r="AC268" s="21" t="s">
        <v>313</v>
      </c>
      <c r="AD268" s="21" t="s">
        <v>313</v>
      </c>
      <c r="AE268" s="21" t="s">
        <v>313</v>
      </c>
      <c r="AF268" s="21" t="s">
        <v>313</v>
      </c>
      <c r="AG268" s="21" t="s">
        <v>313</v>
      </c>
      <c r="AH268" s="21" t="s">
        <v>313</v>
      </c>
      <c r="AI268" s="21" t="s">
        <v>313</v>
      </c>
      <c r="AJ268" s="21" t="s">
        <v>313</v>
      </c>
      <c r="AK268" s="21" t="s">
        <v>313</v>
      </c>
      <c r="AL268" s="21" t="s">
        <v>313</v>
      </c>
      <c r="AM268" s="21" t="s">
        <v>313</v>
      </c>
      <c r="AN268" s="21" t="s">
        <v>313</v>
      </c>
      <c r="AO268" s="21" t="s">
        <v>313</v>
      </c>
      <c r="AP268" s="21" t="s">
        <v>313</v>
      </c>
      <c r="AQ268" s="21" t="s">
        <v>313</v>
      </c>
      <c r="AR268" s="21" t="s">
        <v>313</v>
      </c>
      <c r="AS268" s="21" t="s">
        <v>313</v>
      </c>
      <c r="AT268" s="21" t="s">
        <v>313</v>
      </c>
      <c r="AU268" s="21" t="s">
        <v>313</v>
      </c>
      <c r="AV268" s="21" t="s">
        <v>313</v>
      </c>
      <c r="AW268" s="21" t="s">
        <v>313</v>
      </c>
      <c r="AX268" s="21" t="s">
        <v>313</v>
      </c>
    </row>
    <row r="269" spans="1:50" x14ac:dyDescent="0.3">
      <c r="A269" s="30" t="s">
        <v>13</v>
      </c>
      <c r="B269" s="29" t="str">
        <f>IFERROR(VLOOKUP(A269,'[1]JL EXE ACTIVE FTE List'!$G:$N,8,FALSE),IF(ISNA(VLOOKUP(A269,'[1]JL EXE LEAVER List'!$G:$I,3,FALSE)),"Query","Leaver"))</f>
        <v>COM</v>
      </c>
      <c r="C269" s="29" t="str">
        <f>IFERROR(VLOOKUP(A269,'[1]JL EXE ACTIVE FTE List'!$G:$R,12,FALSE),IF(ISNA(VLOOKUP(A269,'[1]JL EXE LEAVER List'!$G:$I,3,FALSE)),"?QUERY?","Leaver"))</f>
        <v>ACTIVE</v>
      </c>
      <c r="D269" s="39" t="str">
        <f>IFERROR(IFERROR(VLOOKUP(A269,'[1]JL EXE ACTIVE FTE List'!$G:$H,2,FALSE),VLOOKUP(A269,'[1]JL EXE LEAVER List'!$G:$H,2,FALSE)),"?QUERY?")</f>
        <v>Richard Crellin</v>
      </c>
      <c r="E269" s="40">
        <f>IFERROR(IFERROR(VLOOKUP(A269,'[1]JL EXE ACTIVE FTE List'!$G:$O,9,FALSE),VLOOKUP(A269,'[1]JL EXE LEAVER List'!$G:$O,9,FALSE)),"?QUERY?")</f>
        <v>43038</v>
      </c>
      <c r="F269" s="21" t="s">
        <v>338</v>
      </c>
      <c r="G269" s="21" t="s">
        <v>338</v>
      </c>
      <c r="H269" s="21" t="s">
        <v>335</v>
      </c>
      <c r="I269" s="21" t="s">
        <v>313</v>
      </c>
      <c r="J269" s="21" t="s">
        <v>313</v>
      </c>
      <c r="K269" s="21" t="s">
        <v>313</v>
      </c>
      <c r="L269" s="21" t="s">
        <v>313</v>
      </c>
      <c r="M269" s="21" t="s">
        <v>313</v>
      </c>
      <c r="N269" s="21" t="s">
        <v>313</v>
      </c>
      <c r="O269" s="21" t="s">
        <v>313</v>
      </c>
      <c r="P269" s="21" t="s">
        <v>313</v>
      </c>
      <c r="Q269" s="21" t="s">
        <v>313</v>
      </c>
      <c r="R269" s="21" t="s">
        <v>313</v>
      </c>
      <c r="S269" s="21" t="s">
        <v>313</v>
      </c>
      <c r="T269" s="21" t="s">
        <v>313</v>
      </c>
      <c r="U269" s="21" t="s">
        <v>313</v>
      </c>
      <c r="V269" s="21" t="s">
        <v>313</v>
      </c>
      <c r="W269" s="21" t="s">
        <v>313</v>
      </c>
      <c r="X269" s="21" t="s">
        <v>313</v>
      </c>
      <c r="Y269" s="21" t="s">
        <v>313</v>
      </c>
      <c r="Z269" s="21" t="s">
        <v>313</v>
      </c>
      <c r="AA269" s="21" t="s">
        <v>313</v>
      </c>
      <c r="AB269" s="21" t="s">
        <v>313</v>
      </c>
      <c r="AC269" s="21" t="s">
        <v>313</v>
      </c>
      <c r="AD269" s="21" t="s">
        <v>313</v>
      </c>
      <c r="AE269" s="21" t="s">
        <v>313</v>
      </c>
      <c r="AF269" s="21" t="s">
        <v>313</v>
      </c>
      <c r="AG269" s="21" t="s">
        <v>313</v>
      </c>
      <c r="AH269" s="21" t="s">
        <v>313</v>
      </c>
      <c r="AI269" s="21" t="s">
        <v>313</v>
      </c>
      <c r="AJ269" s="21" t="s">
        <v>313</v>
      </c>
      <c r="AK269" s="21" t="s">
        <v>313</v>
      </c>
      <c r="AL269" s="21" t="s">
        <v>313</v>
      </c>
      <c r="AM269" s="21" t="s">
        <v>313</v>
      </c>
      <c r="AN269" s="21" t="s">
        <v>313</v>
      </c>
      <c r="AO269" s="21" t="s">
        <v>313</v>
      </c>
      <c r="AP269" s="21" t="s">
        <v>313</v>
      </c>
      <c r="AQ269" s="21" t="s">
        <v>313</v>
      </c>
      <c r="AR269" s="21" t="s">
        <v>313</v>
      </c>
      <c r="AS269" s="21" t="s">
        <v>313</v>
      </c>
      <c r="AT269" s="21" t="s">
        <v>313</v>
      </c>
      <c r="AU269" s="21" t="s">
        <v>313</v>
      </c>
      <c r="AV269" s="21" t="s">
        <v>313</v>
      </c>
      <c r="AW269" s="21" t="s">
        <v>313</v>
      </c>
      <c r="AX269" s="21" t="s">
        <v>313</v>
      </c>
    </row>
    <row r="270" spans="1:50" ht="15" hidden="1" customHeight="1" x14ac:dyDescent="0.3">
      <c r="A270" s="30" t="s">
        <v>34</v>
      </c>
      <c r="B270" s="29" t="str">
        <f>IFERROR(VLOOKUP(A270,'[1]JL EXE ACTIVE FTE List'!$G:$N,8,FALSE),IF(ISNA(VLOOKUP(A270,'[1]JL EXE LEAVER List'!$G:$I,3,FALSE)),"Query","Leaver"))</f>
        <v>COM</v>
      </c>
      <c r="C270" s="29" t="str">
        <f>IFERROR(VLOOKUP(A270,'[1]JL EXE ACTIVE FTE List'!$G:$R,12,FALSE),IF(ISNA(VLOOKUP(A270,'[1]JL EXE LEAVER List'!$G:$I,3,FALSE)),"?QUERY?","Leaver"))</f>
        <v>ACTIVE</v>
      </c>
      <c r="D270" s="39" t="str">
        <f>IFERROR(IFERROR(VLOOKUP(A270,'[1]JL EXE ACTIVE FTE List'!$G:$H,2,FALSE),VLOOKUP(A270,'[1]JL EXE LEAVER List'!$G:$H,2,FALSE)),"?QUERY?")</f>
        <v>Richard Crellin</v>
      </c>
      <c r="E270" s="40">
        <f>IFERROR(IFERROR(VLOOKUP(A270,'[1]JL EXE ACTIVE FTE List'!$G:$O,9,FALSE),VLOOKUP(A270,'[1]JL EXE LEAVER List'!$G:$O,9,FALSE)),"?QUERY?")</f>
        <v>42866</v>
      </c>
      <c r="F270" s="21" t="s">
        <v>338</v>
      </c>
      <c r="G270" s="21" t="s">
        <v>335</v>
      </c>
      <c r="H270" s="21" t="s">
        <v>335</v>
      </c>
      <c r="I270" s="21" t="s">
        <v>313</v>
      </c>
      <c r="J270" s="21" t="s">
        <v>313</v>
      </c>
      <c r="K270" s="21" t="s">
        <v>313</v>
      </c>
      <c r="L270" s="21" t="s">
        <v>313</v>
      </c>
      <c r="M270" s="21" t="s">
        <v>313</v>
      </c>
      <c r="N270" s="21" t="s">
        <v>313</v>
      </c>
      <c r="O270" s="21" t="s">
        <v>313</v>
      </c>
      <c r="P270" s="21" t="s">
        <v>313</v>
      </c>
      <c r="Q270" s="21" t="s">
        <v>313</v>
      </c>
      <c r="R270" s="21" t="s">
        <v>313</v>
      </c>
      <c r="S270" s="21" t="s">
        <v>313</v>
      </c>
      <c r="T270" s="21" t="s">
        <v>313</v>
      </c>
      <c r="U270" s="21" t="s">
        <v>313</v>
      </c>
      <c r="V270" s="21" t="s">
        <v>313</v>
      </c>
      <c r="W270" s="21" t="s">
        <v>313</v>
      </c>
      <c r="X270" s="21" t="s">
        <v>313</v>
      </c>
      <c r="Y270" s="21" t="s">
        <v>313</v>
      </c>
      <c r="Z270" s="21" t="s">
        <v>313</v>
      </c>
      <c r="AA270" s="21" t="s">
        <v>313</v>
      </c>
      <c r="AB270" s="21" t="s">
        <v>313</v>
      </c>
      <c r="AC270" s="21" t="s">
        <v>313</v>
      </c>
      <c r="AD270" s="21" t="s">
        <v>313</v>
      </c>
      <c r="AE270" s="21" t="s">
        <v>313</v>
      </c>
      <c r="AF270" s="21" t="s">
        <v>313</v>
      </c>
      <c r="AG270" s="21" t="s">
        <v>313</v>
      </c>
      <c r="AH270" s="21" t="s">
        <v>313</v>
      </c>
      <c r="AI270" s="21" t="s">
        <v>313</v>
      </c>
      <c r="AJ270" s="21" t="s">
        <v>313</v>
      </c>
      <c r="AK270" s="21" t="s">
        <v>313</v>
      </c>
      <c r="AL270" s="21" t="s">
        <v>313</v>
      </c>
      <c r="AM270" s="21" t="s">
        <v>313</v>
      </c>
      <c r="AN270" s="21" t="s">
        <v>313</v>
      </c>
      <c r="AO270" s="21" t="s">
        <v>313</v>
      </c>
      <c r="AP270" s="21" t="s">
        <v>313</v>
      </c>
      <c r="AQ270" s="21" t="s">
        <v>313</v>
      </c>
      <c r="AR270" s="21" t="s">
        <v>313</v>
      </c>
      <c r="AS270" s="21" t="s">
        <v>313</v>
      </c>
      <c r="AT270" s="21" t="s">
        <v>313</v>
      </c>
      <c r="AU270" s="21" t="s">
        <v>313</v>
      </c>
      <c r="AV270" s="21" t="s">
        <v>313</v>
      </c>
      <c r="AW270" s="21" t="s">
        <v>313</v>
      </c>
      <c r="AX270" s="21" t="s">
        <v>313</v>
      </c>
    </row>
    <row r="271" spans="1:50" ht="15" customHeight="1" x14ac:dyDescent="0.3">
      <c r="A271" s="30" t="s">
        <v>197</v>
      </c>
      <c r="B271" s="29" t="str">
        <f>IFERROR(VLOOKUP(A271,'[1]JL EXE ACTIVE FTE List'!$G:$N,8,FALSE),IF(ISNA(VLOOKUP(A271,'[1]JL EXE LEAVER List'!$G:$I,3,FALSE)),"Query","Leaver"))</f>
        <v>COM</v>
      </c>
      <c r="C271" s="29" t="str">
        <f>IFERROR(VLOOKUP(A271,'[1]JL EXE ACTIVE FTE List'!$G:$R,12,FALSE),IF(ISNA(VLOOKUP(A271,'[1]JL EXE LEAVER List'!$G:$I,3,FALSE)),"?QUERY?","Leaver"))</f>
        <v>ACTIVE</v>
      </c>
      <c r="D271" s="39" t="str">
        <f>IFERROR(IFERROR(VLOOKUP(A271,'[1]JL EXE ACTIVE FTE List'!$G:$H,2,FALSE),VLOOKUP(A271,'[1]JL EXE LEAVER List'!$G:$H,2,FALSE)),"?QUERY?")</f>
        <v>Richard Crellin</v>
      </c>
      <c r="E271" s="40">
        <f>IFERROR(IFERROR(VLOOKUP(A271,'[1]JL EXE ACTIVE FTE List'!$G:$O,9,FALSE),VLOOKUP(A271,'[1]JL EXE LEAVER List'!$G:$O,9,FALSE)),"?QUERY?")</f>
        <v>42968</v>
      </c>
      <c r="F271" s="21" t="s">
        <v>338</v>
      </c>
      <c r="G271" s="21" t="s">
        <v>338</v>
      </c>
      <c r="H271" s="21" t="s">
        <v>335</v>
      </c>
      <c r="I271" s="21" t="s">
        <v>313</v>
      </c>
      <c r="J271" s="21" t="s">
        <v>313</v>
      </c>
      <c r="K271" s="21" t="s">
        <v>313</v>
      </c>
      <c r="L271" s="21" t="s">
        <v>313</v>
      </c>
      <c r="M271" s="21" t="s">
        <v>313</v>
      </c>
      <c r="N271" s="21" t="s">
        <v>313</v>
      </c>
      <c r="O271" s="21" t="s">
        <v>313</v>
      </c>
      <c r="P271" s="21" t="s">
        <v>313</v>
      </c>
      <c r="Q271" s="21" t="s">
        <v>313</v>
      </c>
      <c r="R271" s="21" t="s">
        <v>313</v>
      </c>
      <c r="S271" s="21" t="s">
        <v>313</v>
      </c>
      <c r="T271" s="21" t="s">
        <v>313</v>
      </c>
      <c r="U271" s="21" t="s">
        <v>313</v>
      </c>
      <c r="V271" s="21" t="s">
        <v>313</v>
      </c>
      <c r="W271" s="21" t="s">
        <v>313</v>
      </c>
      <c r="X271" s="21" t="s">
        <v>313</v>
      </c>
      <c r="Y271" s="21" t="s">
        <v>313</v>
      </c>
      <c r="Z271" s="21" t="s">
        <v>313</v>
      </c>
      <c r="AA271" s="21" t="s">
        <v>313</v>
      </c>
      <c r="AB271" s="21" t="s">
        <v>313</v>
      </c>
      <c r="AC271" s="21" t="s">
        <v>313</v>
      </c>
      <c r="AD271" s="21" t="s">
        <v>313</v>
      </c>
      <c r="AE271" s="21" t="s">
        <v>313</v>
      </c>
      <c r="AF271" s="21" t="s">
        <v>313</v>
      </c>
      <c r="AG271" s="21" t="s">
        <v>313</v>
      </c>
      <c r="AH271" s="21" t="s">
        <v>313</v>
      </c>
      <c r="AI271" s="21" t="s">
        <v>313</v>
      </c>
      <c r="AJ271" s="21" t="s">
        <v>313</v>
      </c>
      <c r="AK271" s="21" t="s">
        <v>313</v>
      </c>
      <c r="AL271" s="21" t="s">
        <v>313</v>
      </c>
      <c r="AM271" s="21" t="s">
        <v>313</v>
      </c>
      <c r="AN271" s="21" t="s">
        <v>313</v>
      </c>
      <c r="AO271" s="21" t="s">
        <v>313</v>
      </c>
      <c r="AP271" s="21" t="s">
        <v>313</v>
      </c>
      <c r="AQ271" s="21" t="s">
        <v>313</v>
      </c>
      <c r="AR271" s="21" t="s">
        <v>313</v>
      </c>
      <c r="AS271" s="21" t="s">
        <v>313</v>
      </c>
      <c r="AT271" s="21" t="s">
        <v>313</v>
      </c>
      <c r="AU271" s="21" t="s">
        <v>313</v>
      </c>
      <c r="AV271" s="21" t="s">
        <v>313</v>
      </c>
      <c r="AW271" s="21" t="s">
        <v>313</v>
      </c>
      <c r="AX271" s="21" t="s">
        <v>313</v>
      </c>
    </row>
    <row r="272" spans="1:50" ht="15" customHeight="1" x14ac:dyDescent="0.3">
      <c r="A272" s="30" t="s">
        <v>33</v>
      </c>
      <c r="B272" s="29" t="str">
        <f>IFERROR(VLOOKUP(A272,'[1]JL EXE ACTIVE FTE List'!$G:$N,8,FALSE),IF(ISNA(VLOOKUP(A272,'[1]JL EXE LEAVER List'!$G:$I,3,FALSE)),"Query","Leaver"))</f>
        <v>COM</v>
      </c>
      <c r="C272" s="29" t="str">
        <f>IFERROR(VLOOKUP(A272,'[1]JL EXE ACTIVE FTE List'!$G:$R,12,FALSE),IF(ISNA(VLOOKUP(A272,'[1]JL EXE LEAVER List'!$G:$I,3,FALSE)),"?QUERY?","Leaver"))</f>
        <v>ACTIVE</v>
      </c>
      <c r="D272" s="39" t="str">
        <f>IFERROR(IFERROR(VLOOKUP(A272,'[1]JL EXE ACTIVE FTE List'!$G:$H,2,FALSE),VLOOKUP(A272,'[1]JL EXE LEAVER List'!$G:$H,2,FALSE)),"?QUERY?")</f>
        <v>Richard Crellin</v>
      </c>
      <c r="E272" s="40">
        <f>IFERROR(IFERROR(VLOOKUP(A272,'[1]JL EXE ACTIVE FTE List'!$G:$O,9,FALSE),VLOOKUP(A272,'[1]JL EXE LEAVER List'!$G:$O,9,FALSE)),"?QUERY?")</f>
        <v>42968</v>
      </c>
      <c r="F272" s="21" t="s">
        <v>338</v>
      </c>
      <c r="G272" s="21" t="s">
        <v>338</v>
      </c>
      <c r="H272" s="21" t="s">
        <v>335</v>
      </c>
      <c r="I272" s="21" t="s">
        <v>313</v>
      </c>
      <c r="J272" s="21" t="s">
        <v>313</v>
      </c>
      <c r="K272" s="21" t="s">
        <v>313</v>
      </c>
      <c r="L272" s="21" t="s">
        <v>313</v>
      </c>
      <c r="M272" s="21" t="s">
        <v>313</v>
      </c>
      <c r="N272" s="21" t="s">
        <v>313</v>
      </c>
      <c r="O272" s="21" t="s">
        <v>313</v>
      </c>
      <c r="P272" s="21" t="s">
        <v>313</v>
      </c>
      <c r="Q272" s="21" t="s">
        <v>313</v>
      </c>
      <c r="R272" s="21" t="s">
        <v>313</v>
      </c>
      <c r="S272" s="21" t="s">
        <v>313</v>
      </c>
      <c r="T272" s="21" t="s">
        <v>313</v>
      </c>
      <c r="U272" s="21" t="s">
        <v>313</v>
      </c>
      <c r="V272" s="21" t="s">
        <v>313</v>
      </c>
      <c r="W272" s="21" t="s">
        <v>313</v>
      </c>
      <c r="X272" s="21" t="s">
        <v>313</v>
      </c>
      <c r="Y272" s="21" t="s">
        <v>313</v>
      </c>
      <c r="Z272" s="21" t="s">
        <v>313</v>
      </c>
      <c r="AA272" s="21" t="s">
        <v>313</v>
      </c>
      <c r="AB272" s="21" t="s">
        <v>313</v>
      </c>
      <c r="AC272" s="21" t="s">
        <v>313</v>
      </c>
      <c r="AD272" s="21" t="s">
        <v>313</v>
      </c>
      <c r="AE272" s="21" t="s">
        <v>313</v>
      </c>
      <c r="AF272" s="21" t="s">
        <v>313</v>
      </c>
      <c r="AG272" s="21" t="s">
        <v>313</v>
      </c>
      <c r="AH272" s="21" t="s">
        <v>313</v>
      </c>
      <c r="AI272" s="21" t="s">
        <v>313</v>
      </c>
      <c r="AJ272" s="21" t="s">
        <v>313</v>
      </c>
      <c r="AK272" s="21" t="s">
        <v>313</v>
      </c>
      <c r="AL272" s="21" t="s">
        <v>313</v>
      </c>
      <c r="AM272" s="21" t="s">
        <v>313</v>
      </c>
      <c r="AN272" s="21" t="s">
        <v>313</v>
      </c>
      <c r="AO272" s="21" t="s">
        <v>313</v>
      </c>
      <c r="AP272" s="21" t="s">
        <v>313</v>
      </c>
      <c r="AQ272" s="21" t="s">
        <v>313</v>
      </c>
      <c r="AR272" s="21" t="s">
        <v>313</v>
      </c>
      <c r="AS272" s="21" t="s">
        <v>313</v>
      </c>
      <c r="AT272" s="21" t="s">
        <v>313</v>
      </c>
      <c r="AU272" s="21" t="s">
        <v>313</v>
      </c>
      <c r="AV272" s="21" t="s">
        <v>313</v>
      </c>
      <c r="AW272" s="21" t="s">
        <v>313</v>
      </c>
      <c r="AX272" s="21" t="s">
        <v>313</v>
      </c>
    </row>
    <row r="273" spans="1:50" x14ac:dyDescent="0.3">
      <c r="A273" s="30" t="s">
        <v>202</v>
      </c>
      <c r="B273" s="29" t="str">
        <f>IFERROR(VLOOKUP(A273,'[1]JL EXE ACTIVE FTE List'!$G:$N,8,FALSE),IF(ISNA(VLOOKUP(A273,'[1]JL EXE LEAVER List'!$G:$I,3,FALSE)),"Query","Leaver"))</f>
        <v>COM</v>
      </c>
      <c r="C273" s="29" t="str">
        <f>IFERROR(VLOOKUP(A273,'[1]JL EXE ACTIVE FTE List'!$G:$R,12,FALSE),IF(ISNA(VLOOKUP(A273,'[1]JL EXE LEAVER List'!$G:$I,3,FALSE)),"?QUERY?","Leaver"))</f>
        <v>ACTIVE</v>
      </c>
      <c r="D273" s="39" t="str">
        <f>IFERROR(IFERROR(VLOOKUP(A273,'[1]JL EXE ACTIVE FTE List'!$G:$H,2,FALSE),VLOOKUP(A273,'[1]JL EXE LEAVER List'!$G:$H,2,FALSE)),"?QUERY?")</f>
        <v>Richard Crellin</v>
      </c>
      <c r="E273" s="40">
        <f>IFERROR(IFERROR(VLOOKUP(A273,'[1]JL EXE ACTIVE FTE List'!$G:$O,9,FALSE),VLOOKUP(A273,'[1]JL EXE LEAVER List'!$G:$O,9,FALSE)),"?QUERY?")</f>
        <v>42912</v>
      </c>
      <c r="F273" s="21" t="s">
        <v>338</v>
      </c>
      <c r="G273" s="21" t="s">
        <v>338</v>
      </c>
      <c r="H273" s="21" t="s">
        <v>335</v>
      </c>
      <c r="I273" s="21" t="s">
        <v>313</v>
      </c>
      <c r="J273" s="21" t="s">
        <v>313</v>
      </c>
      <c r="K273" s="21" t="s">
        <v>313</v>
      </c>
      <c r="L273" s="21" t="s">
        <v>313</v>
      </c>
      <c r="M273" s="21" t="s">
        <v>313</v>
      </c>
      <c r="N273" s="21" t="s">
        <v>313</v>
      </c>
      <c r="O273" s="21" t="s">
        <v>313</v>
      </c>
      <c r="P273" s="21" t="s">
        <v>313</v>
      </c>
      <c r="Q273" s="21" t="s">
        <v>313</v>
      </c>
      <c r="R273" s="21" t="s">
        <v>313</v>
      </c>
      <c r="S273" s="21" t="s">
        <v>313</v>
      </c>
      <c r="T273" s="21" t="s">
        <v>313</v>
      </c>
      <c r="U273" s="21" t="s">
        <v>313</v>
      </c>
      <c r="V273" s="21" t="s">
        <v>313</v>
      </c>
      <c r="W273" s="21" t="s">
        <v>313</v>
      </c>
      <c r="X273" s="21" t="s">
        <v>313</v>
      </c>
      <c r="Y273" s="21" t="s">
        <v>313</v>
      </c>
      <c r="Z273" s="21" t="s">
        <v>313</v>
      </c>
      <c r="AA273" s="21" t="s">
        <v>313</v>
      </c>
      <c r="AB273" s="21" t="s">
        <v>313</v>
      </c>
      <c r="AC273" s="21" t="s">
        <v>313</v>
      </c>
      <c r="AD273" s="21" t="s">
        <v>313</v>
      </c>
      <c r="AE273" s="21" t="s">
        <v>313</v>
      </c>
      <c r="AF273" s="21" t="s">
        <v>313</v>
      </c>
      <c r="AG273" s="21" t="s">
        <v>313</v>
      </c>
      <c r="AH273" s="21" t="s">
        <v>313</v>
      </c>
      <c r="AI273" s="21" t="s">
        <v>313</v>
      </c>
      <c r="AJ273" s="21" t="s">
        <v>313</v>
      </c>
      <c r="AK273" s="21" t="s">
        <v>313</v>
      </c>
      <c r="AL273" s="21" t="s">
        <v>313</v>
      </c>
      <c r="AM273" s="21" t="s">
        <v>313</v>
      </c>
      <c r="AN273" s="21" t="s">
        <v>313</v>
      </c>
      <c r="AO273" s="21" t="s">
        <v>313</v>
      </c>
      <c r="AP273" s="21" t="s">
        <v>313</v>
      </c>
      <c r="AQ273" s="21" t="s">
        <v>313</v>
      </c>
      <c r="AR273" s="21" t="s">
        <v>313</v>
      </c>
      <c r="AS273" s="21" t="s">
        <v>313</v>
      </c>
      <c r="AT273" s="21" t="s">
        <v>313</v>
      </c>
      <c r="AU273" s="21" t="s">
        <v>313</v>
      </c>
      <c r="AV273" s="21" t="s">
        <v>313</v>
      </c>
      <c r="AW273" s="21" t="s">
        <v>313</v>
      </c>
      <c r="AX273" s="21" t="s">
        <v>313</v>
      </c>
    </row>
    <row r="274" spans="1:50" ht="15" customHeight="1" x14ac:dyDescent="0.3">
      <c r="A274" s="30" t="s">
        <v>35</v>
      </c>
      <c r="B274" s="29" t="str">
        <f>IFERROR(VLOOKUP(A274,'[1]JL EXE ACTIVE FTE List'!$G:$N,8,FALSE),IF(ISNA(VLOOKUP(A274,'[1]JL EXE LEAVER List'!$G:$I,3,FALSE)),"Query","Leaver"))</f>
        <v>COM</v>
      </c>
      <c r="C274" s="29" t="str">
        <f>IFERROR(VLOOKUP(A274,'[1]JL EXE ACTIVE FTE List'!$G:$R,12,FALSE),IF(ISNA(VLOOKUP(A274,'[1]JL EXE LEAVER List'!$G:$I,3,FALSE)),"?QUERY?","Leaver"))</f>
        <v>ACTIVE</v>
      </c>
      <c r="D274" s="39" t="str">
        <f>IFERROR(IFERROR(VLOOKUP(A274,'[1]JL EXE ACTIVE FTE List'!$G:$H,2,FALSE),VLOOKUP(A274,'[1]JL EXE LEAVER List'!$G:$H,2,FALSE)),"?QUERY?")</f>
        <v>Richard Crellin</v>
      </c>
      <c r="E274" s="40">
        <f>IFERROR(IFERROR(VLOOKUP(A274,'[1]JL EXE ACTIVE FTE List'!$G:$O,9,FALSE),VLOOKUP(A274,'[1]JL EXE LEAVER List'!$G:$O,9,FALSE)),"?QUERY?")</f>
        <v>42625</v>
      </c>
      <c r="F274" s="21" t="s">
        <v>338</v>
      </c>
      <c r="G274" s="21" t="s">
        <v>338</v>
      </c>
      <c r="H274" s="21" t="s">
        <v>335</v>
      </c>
      <c r="I274" s="21" t="s">
        <v>313</v>
      </c>
      <c r="J274" s="21" t="s">
        <v>313</v>
      </c>
      <c r="K274" s="21" t="s">
        <v>313</v>
      </c>
      <c r="L274" s="21" t="s">
        <v>313</v>
      </c>
      <c r="M274" s="21" t="s">
        <v>313</v>
      </c>
      <c r="N274" s="21" t="s">
        <v>313</v>
      </c>
      <c r="O274" s="21" t="s">
        <v>313</v>
      </c>
      <c r="P274" s="21" t="s">
        <v>313</v>
      </c>
      <c r="Q274" s="21" t="s">
        <v>313</v>
      </c>
      <c r="R274" s="21" t="s">
        <v>313</v>
      </c>
      <c r="S274" s="21" t="s">
        <v>313</v>
      </c>
      <c r="T274" s="21" t="s">
        <v>313</v>
      </c>
      <c r="U274" s="21" t="s">
        <v>313</v>
      </c>
      <c r="V274" s="21" t="s">
        <v>313</v>
      </c>
      <c r="W274" s="21" t="s">
        <v>313</v>
      </c>
      <c r="X274" s="21" t="s">
        <v>313</v>
      </c>
      <c r="Y274" s="21" t="s">
        <v>313</v>
      </c>
      <c r="Z274" s="21" t="s">
        <v>313</v>
      </c>
      <c r="AA274" s="21" t="s">
        <v>313</v>
      </c>
      <c r="AB274" s="21" t="s">
        <v>313</v>
      </c>
      <c r="AC274" s="21" t="s">
        <v>313</v>
      </c>
      <c r="AD274" s="21" t="s">
        <v>313</v>
      </c>
      <c r="AE274" s="21" t="s">
        <v>313</v>
      </c>
      <c r="AF274" s="21" t="s">
        <v>313</v>
      </c>
      <c r="AG274" s="21" t="s">
        <v>313</v>
      </c>
      <c r="AH274" s="21" t="s">
        <v>313</v>
      </c>
      <c r="AI274" s="21" t="s">
        <v>313</v>
      </c>
      <c r="AJ274" s="21" t="s">
        <v>313</v>
      </c>
      <c r="AK274" s="21" t="s">
        <v>313</v>
      </c>
      <c r="AL274" s="21" t="s">
        <v>313</v>
      </c>
      <c r="AM274" s="21" t="s">
        <v>313</v>
      </c>
      <c r="AN274" s="21" t="s">
        <v>313</v>
      </c>
      <c r="AO274" s="21" t="s">
        <v>313</v>
      </c>
      <c r="AP274" s="21" t="s">
        <v>313</v>
      </c>
      <c r="AQ274" s="21" t="s">
        <v>313</v>
      </c>
      <c r="AR274" s="21" t="s">
        <v>313</v>
      </c>
      <c r="AS274" s="21" t="s">
        <v>313</v>
      </c>
      <c r="AT274" s="21" t="s">
        <v>313</v>
      </c>
      <c r="AU274" s="21" t="s">
        <v>313</v>
      </c>
      <c r="AV274" s="21" t="s">
        <v>313</v>
      </c>
      <c r="AW274" s="21" t="s">
        <v>313</v>
      </c>
      <c r="AX274" s="21" t="s">
        <v>313</v>
      </c>
    </row>
    <row r="275" spans="1:50" ht="15" customHeight="1" x14ac:dyDescent="0.3">
      <c r="A275" s="30" t="s">
        <v>204</v>
      </c>
      <c r="B275" s="29" t="str">
        <f>IFERROR(VLOOKUP(A275,'[1]JL EXE ACTIVE FTE List'!$G:$N,8,FALSE),IF(ISNA(VLOOKUP(A275,'[1]JL EXE LEAVER List'!$G:$I,3,FALSE)),"Query","Leaver"))</f>
        <v>COM</v>
      </c>
      <c r="C275" s="29" t="str">
        <f>IFERROR(VLOOKUP(A275,'[1]JL EXE ACTIVE FTE List'!$G:$R,12,FALSE),IF(ISNA(VLOOKUP(A275,'[1]JL EXE LEAVER List'!$G:$I,3,FALSE)),"?QUERY?","Leaver"))</f>
        <v>ACTIVE</v>
      </c>
      <c r="D275" s="39" t="str">
        <f>IFERROR(IFERROR(VLOOKUP(A275,'[1]JL EXE ACTIVE FTE List'!$G:$H,2,FALSE),VLOOKUP(A275,'[1]JL EXE LEAVER List'!$G:$H,2,FALSE)),"?QUERY?")</f>
        <v>Richard Crellin</v>
      </c>
      <c r="E275" s="40">
        <f>IFERROR(IFERROR(VLOOKUP(A275,'[1]JL EXE ACTIVE FTE List'!$G:$O,9,FALSE),VLOOKUP(A275,'[1]JL EXE LEAVER List'!$G:$O,9,FALSE)),"?QUERY?")</f>
        <v>42997</v>
      </c>
      <c r="F275" s="21" t="s">
        <v>338</v>
      </c>
      <c r="G275" s="21" t="s">
        <v>338</v>
      </c>
      <c r="H275" s="21" t="s">
        <v>335</v>
      </c>
      <c r="I275" s="21" t="s">
        <v>313</v>
      </c>
      <c r="J275" s="21" t="s">
        <v>313</v>
      </c>
      <c r="K275" s="21" t="s">
        <v>313</v>
      </c>
      <c r="L275" s="21" t="s">
        <v>313</v>
      </c>
      <c r="M275" s="21" t="s">
        <v>313</v>
      </c>
      <c r="N275" s="21" t="s">
        <v>313</v>
      </c>
      <c r="O275" s="21" t="s">
        <v>313</v>
      </c>
      <c r="P275" s="21" t="s">
        <v>313</v>
      </c>
      <c r="Q275" s="21" t="s">
        <v>313</v>
      </c>
      <c r="R275" s="21" t="s">
        <v>313</v>
      </c>
      <c r="S275" s="21" t="s">
        <v>313</v>
      </c>
      <c r="T275" s="21" t="s">
        <v>313</v>
      </c>
      <c r="U275" s="21" t="s">
        <v>313</v>
      </c>
      <c r="V275" s="21" t="s">
        <v>313</v>
      </c>
      <c r="W275" s="21" t="s">
        <v>313</v>
      </c>
      <c r="X275" s="21" t="s">
        <v>313</v>
      </c>
      <c r="Y275" s="21" t="s">
        <v>313</v>
      </c>
      <c r="Z275" s="21" t="s">
        <v>313</v>
      </c>
      <c r="AA275" s="21" t="s">
        <v>313</v>
      </c>
      <c r="AB275" s="21" t="s">
        <v>313</v>
      </c>
      <c r="AC275" s="21" t="s">
        <v>313</v>
      </c>
      <c r="AD275" s="21" t="s">
        <v>313</v>
      </c>
      <c r="AE275" s="21" t="s">
        <v>313</v>
      </c>
      <c r="AF275" s="21" t="s">
        <v>313</v>
      </c>
      <c r="AG275" s="21" t="s">
        <v>313</v>
      </c>
      <c r="AH275" s="21" t="s">
        <v>313</v>
      </c>
      <c r="AI275" s="21" t="s">
        <v>313</v>
      </c>
      <c r="AJ275" s="21" t="s">
        <v>313</v>
      </c>
      <c r="AK275" s="21" t="s">
        <v>313</v>
      </c>
      <c r="AL275" s="21" t="s">
        <v>313</v>
      </c>
      <c r="AM275" s="21" t="s">
        <v>313</v>
      </c>
      <c r="AN275" s="21" t="s">
        <v>313</v>
      </c>
      <c r="AO275" s="21" t="s">
        <v>313</v>
      </c>
      <c r="AP275" s="21" t="s">
        <v>313</v>
      </c>
      <c r="AQ275" s="21" t="s">
        <v>313</v>
      </c>
      <c r="AR275" s="21" t="s">
        <v>313</v>
      </c>
      <c r="AS275" s="21" t="s">
        <v>313</v>
      </c>
      <c r="AT275" s="21" t="s">
        <v>313</v>
      </c>
      <c r="AU275" s="21" t="s">
        <v>313</v>
      </c>
      <c r="AV275" s="21" t="s">
        <v>313</v>
      </c>
      <c r="AW275" s="21" t="s">
        <v>313</v>
      </c>
      <c r="AX275" s="21" t="s">
        <v>313</v>
      </c>
    </row>
    <row r="276" spans="1:50" ht="15" customHeight="1" x14ac:dyDescent="0.3">
      <c r="A276" s="30" t="s">
        <v>36</v>
      </c>
      <c r="B276" s="29" t="str">
        <f>IFERROR(VLOOKUP(A276,'[1]JL EXE ACTIVE FTE List'!$G:$N,8,FALSE),IF(ISNA(VLOOKUP(A276,'[1]JL EXE LEAVER List'!$G:$I,3,FALSE)),"Query","Leaver"))</f>
        <v>COM</v>
      </c>
      <c r="C276" s="29" t="str">
        <f>IFERROR(VLOOKUP(A276,'[1]JL EXE ACTIVE FTE List'!$G:$R,12,FALSE),IF(ISNA(VLOOKUP(A276,'[1]JL EXE LEAVER List'!$G:$I,3,FALSE)),"?QUERY?","Leaver"))</f>
        <v>ACTIVE</v>
      </c>
      <c r="D276" s="39" t="str">
        <f>IFERROR(IFERROR(VLOOKUP(A276,'[1]JL EXE ACTIVE FTE List'!$G:$H,2,FALSE),VLOOKUP(A276,'[1]JL EXE LEAVER List'!$G:$H,2,FALSE)),"?QUERY?")</f>
        <v>Richard Crellin</v>
      </c>
      <c r="E276" s="40">
        <f>IFERROR(IFERROR(VLOOKUP(A276,'[1]JL EXE ACTIVE FTE List'!$G:$O,9,FALSE),VLOOKUP(A276,'[1]JL EXE LEAVER List'!$G:$O,9,FALSE)),"?QUERY?")</f>
        <v>42674</v>
      </c>
      <c r="F276" s="21" t="s">
        <v>338</v>
      </c>
      <c r="G276" s="21" t="s">
        <v>338</v>
      </c>
      <c r="H276" s="21" t="s">
        <v>335</v>
      </c>
      <c r="I276" s="21" t="s">
        <v>313</v>
      </c>
      <c r="J276" s="21" t="s">
        <v>313</v>
      </c>
      <c r="K276" s="21" t="s">
        <v>313</v>
      </c>
      <c r="L276" s="21" t="s">
        <v>313</v>
      </c>
      <c r="M276" s="21" t="s">
        <v>313</v>
      </c>
      <c r="N276" s="21" t="s">
        <v>313</v>
      </c>
      <c r="O276" s="21" t="s">
        <v>313</v>
      </c>
      <c r="P276" s="21" t="s">
        <v>313</v>
      </c>
      <c r="Q276" s="21" t="s">
        <v>313</v>
      </c>
      <c r="R276" s="21" t="s">
        <v>313</v>
      </c>
      <c r="S276" s="21" t="s">
        <v>313</v>
      </c>
      <c r="T276" s="21" t="s">
        <v>313</v>
      </c>
      <c r="U276" s="21" t="s">
        <v>313</v>
      </c>
      <c r="V276" s="21" t="s">
        <v>313</v>
      </c>
      <c r="W276" s="21" t="s">
        <v>313</v>
      </c>
      <c r="X276" s="21" t="s">
        <v>313</v>
      </c>
      <c r="Y276" s="21" t="s">
        <v>313</v>
      </c>
      <c r="Z276" s="21" t="s">
        <v>313</v>
      </c>
      <c r="AA276" s="21" t="s">
        <v>313</v>
      </c>
      <c r="AB276" s="21" t="s">
        <v>313</v>
      </c>
      <c r="AC276" s="21" t="s">
        <v>313</v>
      </c>
      <c r="AD276" s="21" t="s">
        <v>313</v>
      </c>
      <c r="AE276" s="21" t="s">
        <v>313</v>
      </c>
      <c r="AF276" s="21" t="s">
        <v>313</v>
      </c>
      <c r="AG276" s="21" t="s">
        <v>313</v>
      </c>
      <c r="AH276" s="21" t="s">
        <v>313</v>
      </c>
      <c r="AI276" s="21" t="s">
        <v>313</v>
      </c>
      <c r="AJ276" s="21" t="s">
        <v>313</v>
      </c>
      <c r="AK276" s="21" t="s">
        <v>313</v>
      </c>
      <c r="AL276" s="21" t="s">
        <v>313</v>
      </c>
      <c r="AM276" s="21" t="s">
        <v>313</v>
      </c>
      <c r="AN276" s="21" t="s">
        <v>313</v>
      </c>
      <c r="AO276" s="21" t="s">
        <v>313</v>
      </c>
      <c r="AP276" s="21" t="s">
        <v>313</v>
      </c>
      <c r="AQ276" s="21" t="s">
        <v>313</v>
      </c>
      <c r="AR276" s="21" t="s">
        <v>313</v>
      </c>
      <c r="AS276" s="21" t="s">
        <v>313</v>
      </c>
      <c r="AT276" s="21" t="s">
        <v>313</v>
      </c>
      <c r="AU276" s="21" t="s">
        <v>313</v>
      </c>
      <c r="AV276" s="21" t="s">
        <v>313</v>
      </c>
      <c r="AW276" s="21" t="s">
        <v>313</v>
      </c>
      <c r="AX276" s="21" t="s">
        <v>313</v>
      </c>
    </row>
    <row r="277" spans="1:50" ht="15" customHeight="1" x14ac:dyDescent="0.3">
      <c r="A277" s="30" t="s">
        <v>206</v>
      </c>
      <c r="B277" s="29" t="str">
        <f>IFERROR(VLOOKUP(A277,'[1]JL EXE ACTIVE FTE List'!$G:$N,8,FALSE),IF(ISNA(VLOOKUP(A277,'[1]JL EXE LEAVER List'!$G:$I,3,FALSE)),"Query","Leaver"))</f>
        <v>COM</v>
      </c>
      <c r="C277" s="29" t="str">
        <f>IFERROR(VLOOKUP(A277,'[1]JL EXE ACTIVE FTE List'!$G:$R,12,FALSE),IF(ISNA(VLOOKUP(A277,'[1]JL EXE LEAVER List'!$G:$I,3,FALSE)),"?QUERY?","Leaver"))</f>
        <v>ACTIVE</v>
      </c>
      <c r="D277" s="39" t="str">
        <f>IFERROR(IFERROR(VLOOKUP(A277,'[1]JL EXE ACTIVE FTE List'!$G:$H,2,FALSE),VLOOKUP(A277,'[1]JL EXE LEAVER List'!$G:$H,2,FALSE)),"?QUERY?")</f>
        <v>Richard Crellin</v>
      </c>
      <c r="E277" s="40">
        <f>IFERROR(IFERROR(VLOOKUP(A277,'[1]JL EXE ACTIVE FTE List'!$G:$O,9,FALSE),VLOOKUP(A277,'[1]JL EXE LEAVER List'!$G:$O,9,FALSE)),"?QUERY?")</f>
        <v>42823</v>
      </c>
      <c r="F277" s="21" t="s">
        <v>338</v>
      </c>
      <c r="G277" s="21" t="s">
        <v>338</v>
      </c>
      <c r="H277" s="21" t="s">
        <v>335</v>
      </c>
      <c r="I277" s="21" t="s">
        <v>313</v>
      </c>
      <c r="J277" s="21" t="s">
        <v>313</v>
      </c>
      <c r="K277" s="21" t="s">
        <v>313</v>
      </c>
      <c r="L277" s="21" t="s">
        <v>313</v>
      </c>
      <c r="M277" s="21" t="s">
        <v>313</v>
      </c>
      <c r="N277" s="21" t="s">
        <v>313</v>
      </c>
      <c r="O277" s="21" t="s">
        <v>313</v>
      </c>
      <c r="P277" s="21" t="s">
        <v>313</v>
      </c>
      <c r="Q277" s="21" t="s">
        <v>313</v>
      </c>
      <c r="R277" s="21" t="s">
        <v>313</v>
      </c>
      <c r="S277" s="21" t="s">
        <v>313</v>
      </c>
      <c r="T277" s="21" t="s">
        <v>313</v>
      </c>
      <c r="U277" s="21" t="s">
        <v>313</v>
      </c>
      <c r="V277" s="21" t="s">
        <v>313</v>
      </c>
      <c r="W277" s="21" t="s">
        <v>313</v>
      </c>
      <c r="X277" s="21" t="s">
        <v>313</v>
      </c>
      <c r="Y277" s="21" t="s">
        <v>313</v>
      </c>
      <c r="Z277" s="21" t="s">
        <v>313</v>
      </c>
      <c r="AA277" s="21" t="s">
        <v>313</v>
      </c>
      <c r="AB277" s="21" t="s">
        <v>313</v>
      </c>
      <c r="AC277" s="21" t="s">
        <v>313</v>
      </c>
      <c r="AD277" s="21" t="s">
        <v>313</v>
      </c>
      <c r="AE277" s="21" t="s">
        <v>313</v>
      </c>
      <c r="AF277" s="21" t="s">
        <v>313</v>
      </c>
      <c r="AG277" s="21" t="s">
        <v>313</v>
      </c>
      <c r="AH277" s="21" t="s">
        <v>313</v>
      </c>
      <c r="AI277" s="21" t="s">
        <v>313</v>
      </c>
      <c r="AJ277" s="21" t="s">
        <v>313</v>
      </c>
      <c r="AK277" s="21" t="s">
        <v>313</v>
      </c>
      <c r="AL277" s="21" t="s">
        <v>313</v>
      </c>
      <c r="AM277" s="21" t="s">
        <v>313</v>
      </c>
      <c r="AN277" s="21" t="s">
        <v>313</v>
      </c>
      <c r="AO277" s="21" t="s">
        <v>313</v>
      </c>
      <c r="AP277" s="21" t="s">
        <v>313</v>
      </c>
      <c r="AQ277" s="21" t="s">
        <v>313</v>
      </c>
      <c r="AR277" s="21" t="s">
        <v>313</v>
      </c>
      <c r="AS277" s="21" t="s">
        <v>313</v>
      </c>
      <c r="AT277" s="21" t="s">
        <v>313</v>
      </c>
      <c r="AU277" s="21" t="s">
        <v>313</v>
      </c>
      <c r="AV277" s="21" t="s">
        <v>313</v>
      </c>
      <c r="AW277" s="21" t="s">
        <v>313</v>
      </c>
      <c r="AX277" s="21" t="s">
        <v>313</v>
      </c>
    </row>
    <row r="278" spans="1:50" ht="15" customHeight="1" x14ac:dyDescent="0.3">
      <c r="A278" s="30" t="s">
        <v>37</v>
      </c>
      <c r="B278" s="29" t="str">
        <f>IFERROR(VLOOKUP(A278,'[1]JL EXE ACTIVE FTE List'!$G:$N,8,FALSE),IF(ISNA(VLOOKUP(A278,'[1]JL EXE LEAVER List'!$G:$I,3,FALSE)),"Query","Leaver"))</f>
        <v>COM</v>
      </c>
      <c r="C278" s="29" t="str">
        <f>IFERROR(VLOOKUP(A278,'[1]JL EXE ACTIVE FTE List'!$G:$R,12,FALSE),IF(ISNA(VLOOKUP(A278,'[1]JL EXE LEAVER List'!$G:$I,3,FALSE)),"?QUERY?","Leaver"))</f>
        <v>ACTIVE</v>
      </c>
      <c r="D278" s="39" t="str">
        <f>IFERROR(IFERROR(VLOOKUP(A278,'[1]JL EXE ACTIVE FTE List'!$G:$H,2,FALSE),VLOOKUP(A278,'[1]JL EXE LEAVER List'!$G:$H,2,FALSE)),"?QUERY?")</f>
        <v>Richard Crellin</v>
      </c>
      <c r="E278" s="40">
        <f>IFERROR(IFERROR(VLOOKUP(A278,'[1]JL EXE ACTIVE FTE List'!$G:$O,9,FALSE),VLOOKUP(A278,'[1]JL EXE LEAVER List'!$G:$O,9,FALSE)),"?QUERY?")</f>
        <v>41071</v>
      </c>
      <c r="F278" s="21" t="s">
        <v>338</v>
      </c>
      <c r="G278" s="21" t="s">
        <v>338</v>
      </c>
      <c r="H278" s="21" t="s">
        <v>335</v>
      </c>
      <c r="I278" s="21" t="s">
        <v>313</v>
      </c>
      <c r="J278" s="21" t="s">
        <v>313</v>
      </c>
      <c r="K278" s="21" t="s">
        <v>313</v>
      </c>
      <c r="L278" s="21" t="s">
        <v>313</v>
      </c>
      <c r="M278" s="21" t="s">
        <v>313</v>
      </c>
      <c r="N278" s="21" t="s">
        <v>313</v>
      </c>
      <c r="O278" s="21" t="s">
        <v>313</v>
      </c>
      <c r="P278" s="21" t="s">
        <v>313</v>
      </c>
      <c r="Q278" s="21" t="s">
        <v>313</v>
      </c>
      <c r="R278" s="21" t="s">
        <v>313</v>
      </c>
      <c r="S278" s="21" t="s">
        <v>313</v>
      </c>
      <c r="T278" s="21" t="s">
        <v>313</v>
      </c>
      <c r="U278" s="21" t="s">
        <v>313</v>
      </c>
      <c r="V278" s="21" t="s">
        <v>313</v>
      </c>
      <c r="W278" s="21" t="s">
        <v>313</v>
      </c>
      <c r="X278" s="21" t="s">
        <v>313</v>
      </c>
      <c r="Y278" s="21" t="s">
        <v>313</v>
      </c>
      <c r="Z278" s="21" t="s">
        <v>313</v>
      </c>
      <c r="AA278" s="21" t="s">
        <v>313</v>
      </c>
      <c r="AB278" s="21" t="s">
        <v>313</v>
      </c>
      <c r="AC278" s="21" t="s">
        <v>313</v>
      </c>
      <c r="AD278" s="21" t="s">
        <v>313</v>
      </c>
      <c r="AE278" s="21" t="s">
        <v>313</v>
      </c>
      <c r="AF278" s="21" t="s">
        <v>313</v>
      </c>
      <c r="AG278" s="21" t="s">
        <v>313</v>
      </c>
      <c r="AH278" s="21" t="s">
        <v>313</v>
      </c>
      <c r="AI278" s="21" t="s">
        <v>313</v>
      </c>
      <c r="AJ278" s="21" t="s">
        <v>313</v>
      </c>
      <c r="AK278" s="21" t="s">
        <v>313</v>
      </c>
      <c r="AL278" s="21" t="s">
        <v>313</v>
      </c>
      <c r="AM278" s="21" t="s">
        <v>313</v>
      </c>
      <c r="AN278" s="21" t="s">
        <v>313</v>
      </c>
      <c r="AO278" s="21" t="s">
        <v>313</v>
      </c>
      <c r="AP278" s="21" t="s">
        <v>313</v>
      </c>
      <c r="AQ278" s="21" t="s">
        <v>313</v>
      </c>
      <c r="AR278" s="21" t="s">
        <v>313</v>
      </c>
      <c r="AS278" s="21" t="s">
        <v>313</v>
      </c>
      <c r="AT278" s="21" t="s">
        <v>313</v>
      </c>
      <c r="AU278" s="21" t="s">
        <v>313</v>
      </c>
      <c r="AV278" s="21" t="s">
        <v>313</v>
      </c>
      <c r="AW278" s="21" t="s">
        <v>313</v>
      </c>
      <c r="AX278" s="21" t="s">
        <v>313</v>
      </c>
    </row>
    <row r="279" spans="1:50" ht="15" customHeight="1" x14ac:dyDescent="0.3">
      <c r="A279" s="30" t="s">
        <v>195</v>
      </c>
      <c r="B279" s="29" t="str">
        <f>IFERROR(VLOOKUP(A279,'[1]JL EXE ACTIVE FTE List'!$G:$N,8,FALSE),IF(ISNA(VLOOKUP(A279,'[1]JL EXE LEAVER List'!$G:$I,3,FALSE)),"Query","Leaver"))</f>
        <v>COM</v>
      </c>
      <c r="C279" s="29" t="str">
        <f>IFERROR(VLOOKUP(A279,'[1]JL EXE ACTIVE FTE List'!$G:$R,12,FALSE),IF(ISNA(VLOOKUP(A279,'[1]JL EXE LEAVER List'!$G:$I,3,FALSE)),"?QUERY?","Leaver"))</f>
        <v>ACTIVE</v>
      </c>
      <c r="D279" s="39" t="str">
        <f>IFERROR(IFERROR(VLOOKUP(A279,'[1]JL EXE ACTIVE FTE List'!$G:$H,2,FALSE),VLOOKUP(A279,'[1]JL EXE LEAVER List'!$G:$H,2,FALSE)),"?QUERY?")</f>
        <v>Richard Crellin</v>
      </c>
      <c r="E279" s="40">
        <f>IFERROR(IFERROR(VLOOKUP(A279,'[1]JL EXE ACTIVE FTE List'!$G:$O,9,FALSE),VLOOKUP(A279,'[1]JL EXE LEAVER List'!$G:$O,9,FALSE)),"?QUERY?")</f>
        <v>42977</v>
      </c>
      <c r="F279" s="21" t="s">
        <v>338</v>
      </c>
      <c r="G279" s="21" t="s">
        <v>338</v>
      </c>
      <c r="H279" s="21" t="s">
        <v>338</v>
      </c>
      <c r="I279" s="21" t="s">
        <v>313</v>
      </c>
      <c r="J279" s="21" t="s">
        <v>313</v>
      </c>
      <c r="K279" s="21" t="s">
        <v>313</v>
      </c>
      <c r="L279" s="21" t="s">
        <v>313</v>
      </c>
      <c r="M279" s="21" t="s">
        <v>313</v>
      </c>
      <c r="N279" s="21" t="s">
        <v>313</v>
      </c>
      <c r="O279" s="21" t="s">
        <v>313</v>
      </c>
      <c r="P279" s="21" t="s">
        <v>313</v>
      </c>
      <c r="Q279" s="21" t="s">
        <v>313</v>
      </c>
      <c r="R279" s="21" t="s">
        <v>313</v>
      </c>
      <c r="S279" s="21" t="s">
        <v>313</v>
      </c>
      <c r="T279" s="21" t="s">
        <v>313</v>
      </c>
      <c r="U279" s="21" t="s">
        <v>313</v>
      </c>
      <c r="V279" s="21" t="s">
        <v>313</v>
      </c>
      <c r="W279" s="21" t="s">
        <v>313</v>
      </c>
      <c r="X279" s="21" t="s">
        <v>313</v>
      </c>
      <c r="Y279" s="21" t="s">
        <v>313</v>
      </c>
      <c r="Z279" s="21" t="s">
        <v>313</v>
      </c>
      <c r="AA279" s="21" t="s">
        <v>313</v>
      </c>
      <c r="AB279" s="21" t="s">
        <v>313</v>
      </c>
      <c r="AC279" s="21" t="s">
        <v>313</v>
      </c>
      <c r="AD279" s="21" t="s">
        <v>313</v>
      </c>
      <c r="AE279" s="21" t="s">
        <v>313</v>
      </c>
      <c r="AF279" s="21" t="s">
        <v>313</v>
      </c>
      <c r="AG279" s="21" t="s">
        <v>313</v>
      </c>
      <c r="AH279" s="21" t="s">
        <v>313</v>
      </c>
      <c r="AI279" s="21" t="s">
        <v>313</v>
      </c>
      <c r="AJ279" s="21" t="s">
        <v>313</v>
      </c>
      <c r="AK279" s="21" t="s">
        <v>313</v>
      </c>
      <c r="AL279" s="21" t="s">
        <v>313</v>
      </c>
      <c r="AM279" s="21" t="s">
        <v>313</v>
      </c>
      <c r="AN279" s="21" t="s">
        <v>313</v>
      </c>
      <c r="AO279" s="21" t="s">
        <v>313</v>
      </c>
      <c r="AP279" s="21" t="s">
        <v>313</v>
      </c>
      <c r="AQ279" s="21" t="s">
        <v>313</v>
      </c>
      <c r="AR279" s="21" t="s">
        <v>313</v>
      </c>
      <c r="AS279" s="21" t="s">
        <v>313</v>
      </c>
      <c r="AT279" s="21" t="s">
        <v>313</v>
      </c>
      <c r="AU279" s="21" t="s">
        <v>313</v>
      </c>
      <c r="AV279" s="21" t="s">
        <v>313</v>
      </c>
      <c r="AW279" s="21" t="s">
        <v>313</v>
      </c>
      <c r="AX279" s="21" t="s">
        <v>313</v>
      </c>
    </row>
    <row r="280" spans="1:50" ht="15" customHeight="1" x14ac:dyDescent="0.3">
      <c r="A280" s="30" t="s">
        <v>203</v>
      </c>
      <c r="B280" s="29" t="str">
        <f>IFERROR(VLOOKUP(A280,'[1]JL EXE ACTIVE FTE List'!$G:$N,8,FALSE),IF(ISNA(VLOOKUP(A280,'[1]JL EXE LEAVER List'!$G:$I,3,FALSE)),"Query","Leaver"))</f>
        <v>COM</v>
      </c>
      <c r="C280" s="29" t="str">
        <f>IFERROR(VLOOKUP(A280,'[1]JL EXE ACTIVE FTE List'!$G:$R,12,FALSE),IF(ISNA(VLOOKUP(A280,'[1]JL EXE LEAVER List'!$G:$I,3,FALSE)),"?QUERY?","Leaver"))</f>
        <v>ACTIVE</v>
      </c>
      <c r="D280" s="39" t="str">
        <f>IFERROR(IFERROR(VLOOKUP(A280,'[1]JL EXE ACTIVE FTE List'!$G:$H,2,FALSE),VLOOKUP(A280,'[1]JL EXE LEAVER List'!$G:$H,2,FALSE)),"?QUERY?")</f>
        <v>Richard Crellin</v>
      </c>
      <c r="E280" s="40">
        <f>IFERROR(IFERROR(VLOOKUP(A280,'[1]JL EXE ACTIVE FTE List'!$G:$O,9,FALSE),VLOOKUP(A280,'[1]JL EXE LEAVER List'!$G:$O,9,FALSE)),"?QUERY?")</f>
        <v>42997</v>
      </c>
      <c r="F280" s="21" t="s">
        <v>338</v>
      </c>
      <c r="G280" s="21" t="s">
        <v>338</v>
      </c>
      <c r="H280" s="21" t="s">
        <v>338</v>
      </c>
      <c r="I280" s="21" t="s">
        <v>313</v>
      </c>
      <c r="J280" s="21" t="s">
        <v>313</v>
      </c>
      <c r="K280" s="21" t="s">
        <v>313</v>
      </c>
      <c r="L280" s="21" t="s">
        <v>313</v>
      </c>
      <c r="M280" s="21" t="s">
        <v>313</v>
      </c>
      <c r="N280" s="21" t="s">
        <v>313</v>
      </c>
      <c r="O280" s="21" t="s">
        <v>313</v>
      </c>
      <c r="P280" s="21" t="s">
        <v>313</v>
      </c>
      <c r="Q280" s="21" t="s">
        <v>313</v>
      </c>
      <c r="R280" s="21" t="s">
        <v>313</v>
      </c>
      <c r="S280" s="21" t="s">
        <v>313</v>
      </c>
      <c r="T280" s="21" t="s">
        <v>313</v>
      </c>
      <c r="U280" s="21" t="s">
        <v>313</v>
      </c>
      <c r="V280" s="21" t="s">
        <v>313</v>
      </c>
      <c r="W280" s="21" t="s">
        <v>313</v>
      </c>
      <c r="X280" s="21" t="s">
        <v>313</v>
      </c>
      <c r="Y280" s="21" t="s">
        <v>313</v>
      </c>
      <c r="Z280" s="21" t="s">
        <v>313</v>
      </c>
      <c r="AA280" s="21" t="s">
        <v>313</v>
      </c>
      <c r="AB280" s="21" t="s">
        <v>313</v>
      </c>
      <c r="AC280" s="21" t="s">
        <v>313</v>
      </c>
      <c r="AD280" s="21" t="s">
        <v>313</v>
      </c>
      <c r="AE280" s="21" t="s">
        <v>313</v>
      </c>
      <c r="AF280" s="21" t="s">
        <v>313</v>
      </c>
      <c r="AG280" s="21" t="s">
        <v>313</v>
      </c>
      <c r="AH280" s="21" t="s">
        <v>313</v>
      </c>
      <c r="AI280" s="21" t="s">
        <v>313</v>
      </c>
      <c r="AJ280" s="21" t="s">
        <v>313</v>
      </c>
      <c r="AK280" s="21" t="s">
        <v>313</v>
      </c>
      <c r="AL280" s="21" t="s">
        <v>313</v>
      </c>
      <c r="AM280" s="21" t="s">
        <v>313</v>
      </c>
      <c r="AN280" s="21" t="s">
        <v>313</v>
      </c>
      <c r="AO280" s="21" t="s">
        <v>313</v>
      </c>
      <c r="AP280" s="21" t="s">
        <v>313</v>
      </c>
      <c r="AQ280" s="21" t="s">
        <v>313</v>
      </c>
      <c r="AR280" s="21" t="s">
        <v>313</v>
      </c>
      <c r="AS280" s="21" t="s">
        <v>313</v>
      </c>
      <c r="AT280" s="21" t="s">
        <v>313</v>
      </c>
      <c r="AU280" s="21" t="s">
        <v>313</v>
      </c>
      <c r="AV280" s="21" t="s">
        <v>313</v>
      </c>
      <c r="AW280" s="21" t="s">
        <v>313</v>
      </c>
      <c r="AX280" s="21" t="s">
        <v>313</v>
      </c>
    </row>
    <row r="281" spans="1:50" ht="15" customHeight="1" x14ac:dyDescent="0.3">
      <c r="A281" s="30" t="s">
        <v>240</v>
      </c>
      <c r="B281" s="29" t="str">
        <f>IFERROR(VLOOKUP(A281,'[1]JL EXE ACTIVE FTE List'!$G:$N,8,FALSE),IF(ISNA(VLOOKUP(A281,'[1]JL EXE LEAVER List'!$G:$I,3,FALSE)),"Query","Leaver"))</f>
        <v>COM</v>
      </c>
      <c r="C281" s="29" t="str">
        <f>IFERROR(VLOOKUP(A281,'[1]JL EXE ACTIVE FTE List'!$G:$R,12,FALSE),IF(ISNA(VLOOKUP(A281,'[1]JL EXE LEAVER List'!$G:$I,3,FALSE)),"?QUERY?","Leaver"))</f>
        <v>ACTIVE</v>
      </c>
      <c r="D281" s="39" t="str">
        <f>IFERROR(IFERROR(VLOOKUP(A281,'[1]JL EXE ACTIVE FTE List'!$G:$H,2,FALSE),VLOOKUP(A281,'[1]JL EXE LEAVER List'!$G:$H,2,FALSE)),"?QUERY?")</f>
        <v>Richard Crellin</v>
      </c>
      <c r="E281" s="40">
        <f>IFERROR(IFERROR(VLOOKUP(A281,'[1]JL EXE ACTIVE FTE List'!$G:$O,9,FALSE),VLOOKUP(A281,'[1]JL EXE LEAVER List'!$G:$O,9,FALSE)),"?QUERY?")</f>
        <v>42835</v>
      </c>
      <c r="F281" s="21" t="s">
        <v>338</v>
      </c>
      <c r="G281" s="21" t="s">
        <v>338</v>
      </c>
      <c r="H281" s="21" t="s">
        <v>335</v>
      </c>
      <c r="I281" s="21" t="s">
        <v>313</v>
      </c>
      <c r="J281" s="21" t="s">
        <v>313</v>
      </c>
      <c r="K281" s="21" t="s">
        <v>313</v>
      </c>
      <c r="L281" s="21" t="s">
        <v>313</v>
      </c>
      <c r="M281" s="21" t="s">
        <v>313</v>
      </c>
      <c r="N281" s="21" t="s">
        <v>313</v>
      </c>
      <c r="O281" s="21" t="s">
        <v>313</v>
      </c>
      <c r="P281" s="21" t="s">
        <v>313</v>
      </c>
      <c r="Q281" s="21" t="s">
        <v>313</v>
      </c>
      <c r="R281" s="21" t="s">
        <v>313</v>
      </c>
      <c r="S281" s="21" t="s">
        <v>313</v>
      </c>
      <c r="T281" s="21" t="s">
        <v>313</v>
      </c>
      <c r="U281" s="21" t="s">
        <v>313</v>
      </c>
      <c r="V281" s="21" t="s">
        <v>313</v>
      </c>
      <c r="W281" s="21" t="s">
        <v>313</v>
      </c>
      <c r="X281" s="21" t="s">
        <v>313</v>
      </c>
      <c r="Y281" s="21" t="s">
        <v>313</v>
      </c>
      <c r="Z281" s="21" t="s">
        <v>313</v>
      </c>
      <c r="AA281" s="21" t="s">
        <v>313</v>
      </c>
      <c r="AB281" s="21" t="s">
        <v>313</v>
      </c>
      <c r="AC281" s="21" t="s">
        <v>313</v>
      </c>
      <c r="AD281" s="21" t="s">
        <v>313</v>
      </c>
      <c r="AE281" s="21" t="s">
        <v>313</v>
      </c>
      <c r="AF281" s="21" t="s">
        <v>313</v>
      </c>
      <c r="AG281" s="21" t="s">
        <v>313</v>
      </c>
      <c r="AH281" s="21" t="s">
        <v>313</v>
      </c>
      <c r="AI281" s="21" t="s">
        <v>313</v>
      </c>
      <c r="AJ281" s="21" t="s">
        <v>313</v>
      </c>
      <c r="AK281" s="21" t="s">
        <v>313</v>
      </c>
      <c r="AL281" s="21" t="s">
        <v>313</v>
      </c>
      <c r="AM281" s="21" t="s">
        <v>313</v>
      </c>
      <c r="AN281" s="21" t="s">
        <v>313</v>
      </c>
      <c r="AO281" s="21" t="s">
        <v>313</v>
      </c>
      <c r="AP281" s="21" t="s">
        <v>313</v>
      </c>
      <c r="AQ281" s="21" t="s">
        <v>313</v>
      </c>
      <c r="AR281" s="21" t="s">
        <v>313</v>
      </c>
      <c r="AS281" s="21" t="s">
        <v>313</v>
      </c>
      <c r="AT281" s="21" t="s">
        <v>313</v>
      </c>
      <c r="AU281" s="21" t="s">
        <v>313</v>
      </c>
      <c r="AV281" s="21" t="s">
        <v>313</v>
      </c>
      <c r="AW281" s="21" t="s">
        <v>313</v>
      </c>
      <c r="AX281" s="21" t="s">
        <v>313</v>
      </c>
    </row>
    <row r="282" spans="1:50" ht="18" hidden="1" customHeight="1" x14ac:dyDescent="0.3">
      <c r="A282" s="30" t="s">
        <v>196</v>
      </c>
      <c r="B282" s="29" t="str">
        <f>IFERROR(VLOOKUP(A282,'[1]JL EXE ACTIVE FTE List'!$G:$N,8,FALSE),IF(ISNA(VLOOKUP(A282,'[1]JL EXE LEAVER List'!$G:$I,3,FALSE)),"Query","Leaver"))</f>
        <v>COM</v>
      </c>
      <c r="C282" s="29" t="str">
        <f>IFERROR(VLOOKUP(A282,'[1]JL EXE ACTIVE FTE List'!$G:$R,12,FALSE),IF(ISNA(VLOOKUP(A282,'[1]JL EXE LEAVER List'!$G:$I,3,FALSE)),"?QUERY?","Leaver"))</f>
        <v>ACTIVE</v>
      </c>
      <c r="D282" s="39" t="str">
        <f>IFERROR(IFERROR(VLOOKUP(A282,'[1]JL EXE ACTIVE FTE List'!$G:$H,2,FALSE),VLOOKUP(A282,'[1]JL EXE LEAVER List'!$G:$H,2,FALSE)),"?QUERY?")</f>
        <v>Richard Crellin</v>
      </c>
      <c r="E282" s="40">
        <f>IFERROR(IFERROR(VLOOKUP(A282,'[1]JL EXE ACTIVE FTE List'!$G:$O,9,FALSE),VLOOKUP(A282,'[1]JL EXE LEAVER List'!$G:$O,9,FALSE)),"?QUERY?")</f>
        <v>42926</v>
      </c>
      <c r="F282" s="21" t="s">
        <v>338</v>
      </c>
      <c r="G282" s="21" t="s">
        <v>352</v>
      </c>
      <c r="H282" s="21" t="s">
        <v>335</v>
      </c>
      <c r="I282" s="21" t="s">
        <v>313</v>
      </c>
      <c r="J282" s="21" t="s">
        <v>313</v>
      </c>
      <c r="K282" s="21" t="s">
        <v>313</v>
      </c>
      <c r="L282" s="21" t="s">
        <v>313</v>
      </c>
      <c r="M282" s="21" t="s">
        <v>313</v>
      </c>
      <c r="N282" s="21" t="s">
        <v>313</v>
      </c>
      <c r="O282" s="21" t="s">
        <v>313</v>
      </c>
      <c r="P282" s="21" t="s">
        <v>313</v>
      </c>
      <c r="Q282" s="21" t="s">
        <v>313</v>
      </c>
      <c r="R282" s="21" t="s">
        <v>313</v>
      </c>
      <c r="S282" s="21" t="s">
        <v>313</v>
      </c>
      <c r="T282" s="21" t="s">
        <v>313</v>
      </c>
      <c r="U282" s="21" t="s">
        <v>313</v>
      </c>
      <c r="V282" s="21" t="s">
        <v>313</v>
      </c>
      <c r="W282" s="21" t="s">
        <v>313</v>
      </c>
      <c r="X282" s="21" t="s">
        <v>313</v>
      </c>
      <c r="Y282" s="21" t="s">
        <v>313</v>
      </c>
      <c r="Z282" s="21" t="s">
        <v>313</v>
      </c>
      <c r="AA282" s="21" t="s">
        <v>313</v>
      </c>
      <c r="AB282" s="21" t="s">
        <v>313</v>
      </c>
      <c r="AC282" s="21" t="s">
        <v>313</v>
      </c>
      <c r="AD282" s="21" t="s">
        <v>313</v>
      </c>
      <c r="AE282" s="21" t="s">
        <v>313</v>
      </c>
      <c r="AF282" s="21" t="s">
        <v>313</v>
      </c>
      <c r="AG282" s="21" t="s">
        <v>313</v>
      </c>
      <c r="AH282" s="21" t="s">
        <v>313</v>
      </c>
      <c r="AI282" s="21" t="s">
        <v>313</v>
      </c>
      <c r="AJ282" s="21" t="s">
        <v>313</v>
      </c>
      <c r="AK282" s="21" t="s">
        <v>313</v>
      </c>
      <c r="AL282" s="21" t="s">
        <v>313</v>
      </c>
      <c r="AM282" s="21" t="s">
        <v>313</v>
      </c>
      <c r="AN282" s="21" t="s">
        <v>313</v>
      </c>
      <c r="AO282" s="21" t="s">
        <v>313</v>
      </c>
      <c r="AP282" s="21" t="s">
        <v>313</v>
      </c>
      <c r="AQ282" s="21" t="s">
        <v>313</v>
      </c>
      <c r="AR282" s="21" t="s">
        <v>313</v>
      </c>
      <c r="AS282" s="21" t="s">
        <v>313</v>
      </c>
      <c r="AT282" s="21" t="s">
        <v>313</v>
      </c>
      <c r="AU282" s="21" t="s">
        <v>313</v>
      </c>
      <c r="AV282" s="21" t="s">
        <v>313</v>
      </c>
      <c r="AW282" s="21" t="s">
        <v>313</v>
      </c>
      <c r="AX282" s="21" t="s">
        <v>313</v>
      </c>
    </row>
    <row r="283" spans="1:50" ht="18" customHeight="1" x14ac:dyDescent="0.3">
      <c r="A283" s="30" t="s">
        <v>207</v>
      </c>
      <c r="B283" s="29" t="str">
        <f>IFERROR(VLOOKUP(A283,'[1]JL EXE ACTIVE FTE List'!$G:$N,8,FALSE),IF(ISNA(VLOOKUP(A283,'[1]JL EXE LEAVER List'!$G:$I,3,FALSE)),"Query","Leaver"))</f>
        <v>COM</v>
      </c>
      <c r="C283" s="29" t="str">
        <f>IFERROR(VLOOKUP(A283,'[1]JL EXE ACTIVE FTE List'!$G:$R,12,FALSE),IF(ISNA(VLOOKUP(A283,'[1]JL EXE LEAVER List'!$G:$I,3,FALSE)),"?QUERY?","Leaver"))</f>
        <v>ACTIVE</v>
      </c>
      <c r="D283" s="39" t="str">
        <f>IFERROR(IFERROR(VLOOKUP(A283,'[1]JL EXE ACTIVE FTE List'!$G:$H,2,FALSE),VLOOKUP(A283,'[1]JL EXE LEAVER List'!$G:$H,2,FALSE)),"?QUERY?")</f>
        <v>Richard Crellin</v>
      </c>
      <c r="E283" s="40">
        <f>IFERROR(IFERROR(VLOOKUP(A283,'[1]JL EXE ACTIVE FTE List'!$G:$O,9,FALSE),VLOOKUP(A283,'[1]JL EXE LEAVER List'!$G:$O,9,FALSE)),"?QUERY?")</f>
        <v>42716</v>
      </c>
      <c r="F283" s="21" t="s">
        <v>338</v>
      </c>
      <c r="G283" s="21" t="s">
        <v>338</v>
      </c>
      <c r="H283" s="21" t="s">
        <v>335</v>
      </c>
      <c r="I283" s="21" t="s">
        <v>313</v>
      </c>
      <c r="J283" s="21" t="s">
        <v>313</v>
      </c>
      <c r="K283" s="21" t="s">
        <v>313</v>
      </c>
      <c r="L283" s="21" t="s">
        <v>313</v>
      </c>
      <c r="M283" s="21" t="s">
        <v>313</v>
      </c>
      <c r="N283" s="21" t="s">
        <v>313</v>
      </c>
      <c r="O283" s="21" t="s">
        <v>313</v>
      </c>
      <c r="P283" s="21" t="s">
        <v>313</v>
      </c>
      <c r="Q283" s="21" t="s">
        <v>313</v>
      </c>
      <c r="R283" s="21" t="s">
        <v>313</v>
      </c>
      <c r="S283" s="21" t="s">
        <v>313</v>
      </c>
      <c r="T283" s="21" t="s">
        <v>313</v>
      </c>
      <c r="U283" s="21" t="s">
        <v>313</v>
      </c>
      <c r="V283" s="21" t="s">
        <v>313</v>
      </c>
      <c r="W283" s="21" t="s">
        <v>313</v>
      </c>
      <c r="X283" s="21" t="s">
        <v>313</v>
      </c>
      <c r="Y283" s="21" t="s">
        <v>313</v>
      </c>
      <c r="Z283" s="21" t="s">
        <v>313</v>
      </c>
      <c r="AA283" s="21" t="s">
        <v>313</v>
      </c>
      <c r="AB283" s="21" t="s">
        <v>313</v>
      </c>
      <c r="AC283" s="21" t="s">
        <v>313</v>
      </c>
      <c r="AD283" s="21" t="s">
        <v>313</v>
      </c>
      <c r="AE283" s="21" t="s">
        <v>313</v>
      </c>
      <c r="AF283" s="21" t="s">
        <v>313</v>
      </c>
      <c r="AG283" s="21" t="s">
        <v>313</v>
      </c>
      <c r="AH283" s="21" t="s">
        <v>313</v>
      </c>
      <c r="AI283" s="21" t="s">
        <v>313</v>
      </c>
      <c r="AJ283" s="21" t="s">
        <v>313</v>
      </c>
      <c r="AK283" s="21" t="s">
        <v>313</v>
      </c>
      <c r="AL283" s="21" t="s">
        <v>313</v>
      </c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</row>
    <row r="284" spans="1:50" ht="18" customHeight="1" x14ac:dyDescent="0.3">
      <c r="A284" s="30" t="s">
        <v>198</v>
      </c>
      <c r="B284" s="29" t="str">
        <f>IFERROR(VLOOKUP(A284,'[1]JL EXE ACTIVE FTE List'!$G:$N,8,FALSE),IF(ISNA(VLOOKUP(A284,'[1]JL EXE LEAVER List'!$G:$I,3,FALSE)),"Query","Leaver"))</f>
        <v>COM</v>
      </c>
      <c r="C284" s="29" t="str">
        <f>IFERROR(VLOOKUP(A284,'[1]JL EXE ACTIVE FTE List'!$G:$R,12,FALSE),IF(ISNA(VLOOKUP(A284,'[1]JL EXE LEAVER List'!$G:$I,3,FALSE)),"?QUERY?","Leaver"))</f>
        <v>ACTIVE</v>
      </c>
      <c r="D284" s="39" t="str">
        <f>IFERROR(IFERROR(VLOOKUP(A284,'[1]JL EXE ACTIVE FTE List'!$G:$H,2,FALSE),VLOOKUP(A284,'[1]JL EXE LEAVER List'!$G:$H,2,FALSE)),"?QUERY?")</f>
        <v>Richard Crellin</v>
      </c>
      <c r="E284" s="40">
        <f>IFERROR(IFERROR(VLOOKUP(A284,'[1]JL EXE ACTIVE FTE List'!$G:$O,9,FALSE),VLOOKUP(A284,'[1]JL EXE LEAVER List'!$G:$O,9,FALSE)),"?QUERY?")</f>
        <v>42926</v>
      </c>
      <c r="F284" s="21" t="s">
        <v>338</v>
      </c>
      <c r="G284" s="21" t="s">
        <v>338</v>
      </c>
      <c r="H284" s="21" t="s">
        <v>335</v>
      </c>
      <c r="I284" s="21" t="s">
        <v>313</v>
      </c>
      <c r="J284" s="21" t="s">
        <v>313</v>
      </c>
      <c r="K284" s="21" t="s">
        <v>313</v>
      </c>
      <c r="L284" s="21" t="s">
        <v>313</v>
      </c>
      <c r="M284" s="21" t="s">
        <v>313</v>
      </c>
      <c r="N284" s="21" t="s">
        <v>313</v>
      </c>
      <c r="O284" s="21" t="s">
        <v>313</v>
      </c>
      <c r="P284" s="21" t="s">
        <v>313</v>
      </c>
      <c r="Q284" s="21" t="s">
        <v>313</v>
      </c>
      <c r="R284" s="21" t="s">
        <v>313</v>
      </c>
      <c r="S284" s="21" t="s">
        <v>313</v>
      </c>
      <c r="T284" s="21" t="s">
        <v>313</v>
      </c>
      <c r="U284" s="21" t="s">
        <v>313</v>
      </c>
      <c r="V284" s="21" t="s">
        <v>313</v>
      </c>
      <c r="W284" s="21" t="s">
        <v>313</v>
      </c>
      <c r="X284" s="21" t="s">
        <v>313</v>
      </c>
      <c r="Y284" s="21" t="s">
        <v>313</v>
      </c>
      <c r="Z284" s="21" t="s">
        <v>313</v>
      </c>
      <c r="AA284" s="21" t="s">
        <v>313</v>
      </c>
      <c r="AB284" s="21" t="s">
        <v>313</v>
      </c>
      <c r="AC284" s="21" t="s">
        <v>313</v>
      </c>
      <c r="AD284" s="21" t="s">
        <v>313</v>
      </c>
      <c r="AE284" s="21" t="s">
        <v>313</v>
      </c>
      <c r="AF284" s="21" t="s">
        <v>313</v>
      </c>
      <c r="AG284" s="21" t="s">
        <v>313</v>
      </c>
      <c r="AH284" s="21" t="s">
        <v>313</v>
      </c>
      <c r="AI284" s="21" t="s">
        <v>313</v>
      </c>
      <c r="AJ284" s="21" t="s">
        <v>313</v>
      </c>
      <c r="AK284" s="21" t="s">
        <v>313</v>
      </c>
      <c r="AL284" s="21" t="s">
        <v>313</v>
      </c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</row>
    <row r="285" spans="1:50" ht="18" customHeight="1" x14ac:dyDescent="0.3">
      <c r="A285" s="30" t="s">
        <v>205</v>
      </c>
      <c r="B285" s="29" t="str">
        <f>IFERROR(VLOOKUP(A285,'[1]JL EXE ACTIVE FTE List'!$G:$N,8,FALSE),IF(ISNA(VLOOKUP(A285,'[1]JL EXE LEAVER List'!$G:$I,3,FALSE)),"Query","Leaver"))</f>
        <v>COM</v>
      </c>
      <c r="C285" s="29" t="str">
        <f>IFERROR(VLOOKUP(A285,'[1]JL EXE ACTIVE FTE List'!$G:$R,12,FALSE),IF(ISNA(VLOOKUP(A285,'[1]JL EXE LEAVER List'!$G:$I,3,FALSE)),"?QUERY?","Leaver"))</f>
        <v>ACTIVE</v>
      </c>
      <c r="D285" s="39" t="str">
        <f>IFERROR(IFERROR(VLOOKUP(A285,'[1]JL EXE ACTIVE FTE List'!$G:$H,2,FALSE),VLOOKUP(A285,'[1]JL EXE LEAVER List'!$G:$H,2,FALSE)),"?QUERY?")</f>
        <v>Richard Crellin</v>
      </c>
      <c r="E285" s="40">
        <f>IFERROR(IFERROR(VLOOKUP(A285,'[1]JL EXE ACTIVE FTE List'!$G:$O,9,FALSE),VLOOKUP(A285,'[1]JL EXE LEAVER List'!$G:$O,9,FALSE)),"?QUERY?")</f>
        <v>42926</v>
      </c>
      <c r="F285" s="21" t="s">
        <v>338</v>
      </c>
      <c r="G285" s="21" t="s">
        <v>338</v>
      </c>
      <c r="H285" s="21" t="s">
        <v>335</v>
      </c>
      <c r="I285" s="21" t="s">
        <v>313</v>
      </c>
      <c r="J285" s="21" t="s">
        <v>313</v>
      </c>
      <c r="K285" s="21" t="s">
        <v>313</v>
      </c>
      <c r="L285" s="21" t="s">
        <v>313</v>
      </c>
      <c r="M285" s="21" t="s">
        <v>313</v>
      </c>
      <c r="N285" s="21" t="s">
        <v>313</v>
      </c>
      <c r="O285" s="21" t="s">
        <v>313</v>
      </c>
      <c r="P285" s="21" t="s">
        <v>313</v>
      </c>
      <c r="Q285" s="21" t="s">
        <v>313</v>
      </c>
      <c r="R285" s="21" t="s">
        <v>313</v>
      </c>
      <c r="S285" s="21" t="s">
        <v>313</v>
      </c>
      <c r="T285" s="21" t="s">
        <v>313</v>
      </c>
      <c r="U285" s="21" t="s">
        <v>313</v>
      </c>
      <c r="V285" s="21" t="s">
        <v>313</v>
      </c>
      <c r="W285" s="21" t="s">
        <v>313</v>
      </c>
      <c r="X285" s="21" t="s">
        <v>313</v>
      </c>
      <c r="Y285" s="21" t="s">
        <v>313</v>
      </c>
      <c r="Z285" s="21" t="s">
        <v>313</v>
      </c>
      <c r="AA285" s="21" t="s">
        <v>313</v>
      </c>
      <c r="AB285" s="21" t="s">
        <v>313</v>
      </c>
      <c r="AC285" s="21" t="s">
        <v>313</v>
      </c>
      <c r="AD285" s="21" t="s">
        <v>313</v>
      </c>
      <c r="AE285" s="21" t="s">
        <v>313</v>
      </c>
      <c r="AF285" s="21" t="s">
        <v>313</v>
      </c>
      <c r="AG285" s="21" t="s">
        <v>313</v>
      </c>
      <c r="AH285" s="21" t="s">
        <v>313</v>
      </c>
      <c r="AI285" s="21" t="s">
        <v>313</v>
      </c>
      <c r="AJ285" s="21" t="s">
        <v>313</v>
      </c>
      <c r="AK285" s="21" t="s">
        <v>313</v>
      </c>
      <c r="AL285" s="21" t="s">
        <v>313</v>
      </c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</row>
    <row r="286" spans="1:50" ht="18" customHeight="1" x14ac:dyDescent="0.3">
      <c r="A286" s="30" t="s">
        <v>263</v>
      </c>
      <c r="B286" s="29" t="str">
        <f>IFERROR(VLOOKUP(A286,'[1]JL EXE ACTIVE FTE List'!$G:$N,8,FALSE),IF(ISNA(VLOOKUP(A286,'[1]JL EXE LEAVER List'!$G:$I,3,FALSE)),"Query","Leaver"))</f>
        <v>COM</v>
      </c>
      <c r="C286" s="29" t="str">
        <f>IFERROR(VLOOKUP(A286,'[1]JL EXE ACTIVE FTE List'!$G:$R,12,FALSE),IF(ISNA(VLOOKUP(A286,'[1]JL EXE LEAVER List'!$G:$I,3,FALSE)),"?QUERY?","Leaver"))</f>
        <v>ACTIVE</v>
      </c>
      <c r="D286" s="39" t="str">
        <f>IFERROR(IFERROR(VLOOKUP(A286,'[1]JL EXE ACTIVE FTE List'!$G:$H,2,FALSE),VLOOKUP(A286,'[1]JL EXE LEAVER List'!$G:$H,2,FALSE)),"?QUERY?")</f>
        <v>Richard Crellin</v>
      </c>
      <c r="E286" s="40">
        <f>IFERROR(IFERROR(VLOOKUP(A286,'[1]JL EXE ACTIVE FTE List'!$G:$O,9,FALSE),VLOOKUP(A286,'[1]JL EXE LEAVER List'!$G:$O,9,FALSE)),"?QUERY?")</f>
        <v>42982</v>
      </c>
      <c r="F286" s="21" t="s">
        <v>338</v>
      </c>
      <c r="G286" s="21" t="s">
        <v>338</v>
      </c>
      <c r="H286" s="21" t="s">
        <v>335</v>
      </c>
      <c r="I286" s="21" t="s">
        <v>313</v>
      </c>
      <c r="J286" s="21" t="s">
        <v>313</v>
      </c>
      <c r="K286" s="21" t="s">
        <v>313</v>
      </c>
      <c r="L286" s="21" t="s">
        <v>313</v>
      </c>
      <c r="M286" s="21" t="s">
        <v>313</v>
      </c>
      <c r="N286" s="21" t="s">
        <v>313</v>
      </c>
      <c r="O286" s="21" t="s">
        <v>313</v>
      </c>
      <c r="P286" s="21" t="s">
        <v>313</v>
      </c>
      <c r="Q286" s="21" t="s">
        <v>313</v>
      </c>
      <c r="R286" s="21" t="s">
        <v>313</v>
      </c>
      <c r="S286" s="21" t="s">
        <v>313</v>
      </c>
      <c r="T286" s="21" t="s">
        <v>313</v>
      </c>
      <c r="U286" s="21" t="s">
        <v>313</v>
      </c>
      <c r="V286" s="21" t="s">
        <v>313</v>
      </c>
      <c r="W286" s="21" t="s">
        <v>313</v>
      </c>
      <c r="X286" s="21" t="s">
        <v>313</v>
      </c>
      <c r="Y286" s="21" t="s">
        <v>313</v>
      </c>
      <c r="Z286" s="21" t="s">
        <v>313</v>
      </c>
      <c r="AA286" s="21" t="s">
        <v>313</v>
      </c>
      <c r="AB286" s="21" t="s">
        <v>313</v>
      </c>
      <c r="AC286" s="21" t="s">
        <v>313</v>
      </c>
      <c r="AD286" s="21" t="s">
        <v>313</v>
      </c>
      <c r="AE286" s="21" t="s">
        <v>313</v>
      </c>
      <c r="AF286" s="21" t="s">
        <v>313</v>
      </c>
      <c r="AG286" s="21" t="s">
        <v>313</v>
      </c>
      <c r="AH286" s="21" t="s">
        <v>313</v>
      </c>
      <c r="AI286" s="21" t="s">
        <v>313</v>
      </c>
      <c r="AJ286" s="21" t="s">
        <v>313</v>
      </c>
      <c r="AK286" s="21" t="s">
        <v>313</v>
      </c>
      <c r="AL286" s="21" t="s">
        <v>313</v>
      </c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</row>
    <row r="287" spans="1:50" ht="18" customHeight="1" x14ac:dyDescent="0.3">
      <c r="A287" s="30" t="s">
        <v>208</v>
      </c>
      <c r="B287" s="29" t="str">
        <f>IFERROR(VLOOKUP(A287,'[1]JL EXE ACTIVE FTE List'!$G:$N,8,FALSE),IF(ISNA(VLOOKUP(A287,'[1]JL EXE LEAVER List'!$G:$I,3,FALSE)),"Query","Leaver"))</f>
        <v>Manufacturer Liaison</v>
      </c>
      <c r="C287" s="29" t="str">
        <f>IFERROR(VLOOKUP(A287,'[1]JL EXE ACTIVE FTE List'!$G:$R,12,FALSE),IF(ISNA(VLOOKUP(A287,'[1]JL EXE LEAVER List'!$G:$I,3,FALSE)),"?QUERY?","Leaver"))</f>
        <v>ACTIVE</v>
      </c>
      <c r="D287" s="39" t="str">
        <f>IFERROR(IFERROR(VLOOKUP(A287,'[1]JL EXE ACTIVE FTE List'!$G:$H,2,FALSE),VLOOKUP(A287,'[1]JL EXE LEAVER List'!$G:$H,2,FALSE)),"?QUERY?")</f>
        <v>Richard Goodchild</v>
      </c>
      <c r="E287" s="40">
        <f>IFERROR(IFERROR(VLOOKUP(A287,'[1]JL EXE ACTIVE FTE List'!$G:$O,9,FALSE),VLOOKUP(A287,'[1]JL EXE LEAVER List'!$G:$O,9,FALSE)),"?QUERY?")</f>
        <v>41974</v>
      </c>
      <c r="F287" s="21" t="s">
        <v>338</v>
      </c>
      <c r="G287" s="21" t="s">
        <v>338</v>
      </c>
      <c r="H287" s="21" t="s">
        <v>338</v>
      </c>
      <c r="I287" s="21" t="s">
        <v>313</v>
      </c>
      <c r="J287" s="21" t="s">
        <v>313</v>
      </c>
      <c r="K287" s="21" t="s">
        <v>313</v>
      </c>
      <c r="L287" s="21" t="s">
        <v>313</v>
      </c>
      <c r="M287" s="21" t="s">
        <v>313</v>
      </c>
      <c r="N287" s="21" t="s">
        <v>313</v>
      </c>
      <c r="O287" s="21" t="s">
        <v>313</v>
      </c>
      <c r="P287" s="21" t="s">
        <v>313</v>
      </c>
      <c r="Q287" s="21" t="s">
        <v>313</v>
      </c>
      <c r="R287" s="21" t="s">
        <v>313</v>
      </c>
      <c r="S287" s="21" t="s">
        <v>313</v>
      </c>
      <c r="T287" s="21" t="s">
        <v>313</v>
      </c>
      <c r="U287" s="21" t="s">
        <v>313</v>
      </c>
      <c r="V287" s="21" t="s">
        <v>313</v>
      </c>
      <c r="W287" s="21" t="s">
        <v>313</v>
      </c>
      <c r="X287" s="21" t="s">
        <v>313</v>
      </c>
      <c r="Y287" s="21" t="s">
        <v>313</v>
      </c>
      <c r="Z287" s="21" t="s">
        <v>313</v>
      </c>
      <c r="AA287" s="21" t="s">
        <v>313</v>
      </c>
      <c r="AB287" s="21" t="s">
        <v>313</v>
      </c>
      <c r="AC287" s="21" t="s">
        <v>313</v>
      </c>
      <c r="AD287" s="21" t="s">
        <v>313</v>
      </c>
      <c r="AE287" s="21" t="s">
        <v>313</v>
      </c>
      <c r="AF287" s="21" t="s">
        <v>313</v>
      </c>
      <c r="AG287" s="21" t="s">
        <v>313</v>
      </c>
      <c r="AH287" s="21" t="s">
        <v>313</v>
      </c>
      <c r="AI287" s="21" t="s">
        <v>313</v>
      </c>
      <c r="AJ287" s="21" t="s">
        <v>313</v>
      </c>
      <c r="AK287" s="21" t="s">
        <v>313</v>
      </c>
      <c r="AL287" s="21" t="s">
        <v>313</v>
      </c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</row>
    <row r="288" spans="1:50" ht="18" customHeight="1" x14ac:dyDescent="0.3">
      <c r="A288" s="30" t="s">
        <v>209</v>
      </c>
      <c r="B288" s="29" t="str">
        <f>IFERROR(VLOOKUP(A288,'[1]JL EXE ACTIVE FTE List'!$G:$N,8,FALSE),IF(ISNA(VLOOKUP(A288,'[1]JL EXE LEAVER List'!$G:$I,3,FALSE)),"Query","Leaver"))</f>
        <v>RTA</v>
      </c>
      <c r="C288" s="29" t="str">
        <f>IFERROR(VLOOKUP(A288,'[1]JL EXE ACTIVE FTE List'!$G:$R,12,FALSE),IF(ISNA(VLOOKUP(A288,'[1]JL EXE LEAVER List'!$G:$I,3,FALSE)),"?QUERY?","Leaver"))</f>
        <v>ACTIVE</v>
      </c>
      <c r="D288" s="39" t="str">
        <f>IFERROR(IFERROR(VLOOKUP(A288,'[1]JL EXE ACTIVE FTE List'!$G:$H,2,FALSE),VLOOKUP(A288,'[1]JL EXE LEAVER List'!$G:$H,2,FALSE)),"?QUERY?")</f>
        <v>Rowan Marshall</v>
      </c>
      <c r="E288" s="40">
        <f>IFERROR(IFERROR(VLOOKUP(A288,'[1]JL EXE ACTIVE FTE List'!$G:$O,9,FALSE),VLOOKUP(A288,'[1]JL EXE LEAVER List'!$G:$O,9,FALSE)),"?QUERY?")</f>
        <v>41218</v>
      </c>
      <c r="F288" s="21" t="s">
        <v>335</v>
      </c>
      <c r="G288" s="21" t="s">
        <v>338</v>
      </c>
      <c r="H288" s="21" t="s">
        <v>338</v>
      </c>
      <c r="I288" s="21" t="s">
        <v>313</v>
      </c>
      <c r="J288" s="21" t="s">
        <v>313</v>
      </c>
      <c r="K288" s="21" t="s">
        <v>313</v>
      </c>
      <c r="L288" s="21" t="s">
        <v>313</v>
      </c>
      <c r="M288" s="21" t="s">
        <v>313</v>
      </c>
      <c r="N288" s="21" t="s">
        <v>313</v>
      </c>
      <c r="O288" s="21" t="s">
        <v>313</v>
      </c>
      <c r="P288" s="21" t="s">
        <v>313</v>
      </c>
      <c r="Q288" s="21" t="s">
        <v>313</v>
      </c>
      <c r="R288" s="21" t="s">
        <v>313</v>
      </c>
      <c r="S288" s="21" t="s">
        <v>313</v>
      </c>
      <c r="T288" s="21" t="s">
        <v>313</v>
      </c>
      <c r="U288" s="21" t="s">
        <v>313</v>
      </c>
      <c r="V288" s="21" t="s">
        <v>313</v>
      </c>
      <c r="W288" s="21" t="s">
        <v>313</v>
      </c>
      <c r="X288" s="21" t="s">
        <v>313</v>
      </c>
      <c r="Y288" s="21" t="s">
        <v>313</v>
      </c>
      <c r="Z288" s="21" t="s">
        <v>313</v>
      </c>
      <c r="AA288" s="21" t="s">
        <v>313</v>
      </c>
      <c r="AB288" s="21" t="s">
        <v>313</v>
      </c>
      <c r="AC288" s="21" t="s">
        <v>313</v>
      </c>
      <c r="AD288" s="21" t="s">
        <v>313</v>
      </c>
      <c r="AE288" s="21" t="s">
        <v>313</v>
      </c>
      <c r="AF288" s="21" t="s">
        <v>313</v>
      </c>
      <c r="AG288" s="21" t="s">
        <v>313</v>
      </c>
      <c r="AH288" s="21" t="s">
        <v>313</v>
      </c>
      <c r="AI288" s="21" t="s">
        <v>313</v>
      </c>
      <c r="AJ288" s="21" t="s">
        <v>313</v>
      </c>
      <c r="AK288" s="21" t="s">
        <v>313</v>
      </c>
      <c r="AL288" s="21" t="s">
        <v>313</v>
      </c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</row>
    <row r="289" spans="1:50" ht="18" customHeight="1" x14ac:dyDescent="0.3">
      <c r="A289" s="30" t="s">
        <v>110</v>
      </c>
      <c r="B289" s="29" t="str">
        <f>IFERROR(VLOOKUP(A289,'[1]JL EXE ACTIVE FTE List'!$G:$N,8,FALSE),IF(ISNA(VLOOKUP(A289,'[1]JL EXE LEAVER List'!$G:$I,3,FALSE)),"Query","Leaver"))</f>
        <v>OTH</v>
      </c>
      <c r="C289" s="29" t="str">
        <f>IFERROR(VLOOKUP(A289,'[1]JL EXE ACTIVE FTE List'!$G:$R,12,FALSE),IF(ISNA(VLOOKUP(A289,'[1]JL EXE LEAVER List'!$G:$I,3,FALSE)),"?QUERY?","Leaver"))</f>
        <v>ACTIVE</v>
      </c>
      <c r="D289" s="39" t="str">
        <f>IFERROR(IFERROR(VLOOKUP(A289,'[1]JL EXE ACTIVE FTE List'!$G:$H,2,FALSE),VLOOKUP(A289,'[1]JL EXE LEAVER List'!$G:$H,2,FALSE)),"?QUERY?")</f>
        <v>Sean Rowe</v>
      </c>
      <c r="E289" s="40">
        <f>IFERROR(IFERROR(VLOOKUP(A289,'[1]JL EXE ACTIVE FTE List'!$G:$O,9,FALSE),VLOOKUP(A289,'[1]JL EXE LEAVER List'!$G:$O,9,FALSE)),"?QUERY?")</f>
        <v>42989</v>
      </c>
      <c r="F289" s="21" t="s">
        <v>338</v>
      </c>
      <c r="G289" s="21" t="s">
        <v>338</v>
      </c>
      <c r="H289" s="21" t="s">
        <v>338</v>
      </c>
      <c r="I289" s="21" t="s">
        <v>313</v>
      </c>
      <c r="J289" s="21" t="s">
        <v>313</v>
      </c>
      <c r="K289" s="21" t="s">
        <v>313</v>
      </c>
      <c r="L289" s="21" t="s">
        <v>313</v>
      </c>
      <c r="M289" s="21" t="s">
        <v>313</v>
      </c>
      <c r="N289" s="21" t="s">
        <v>313</v>
      </c>
      <c r="O289" s="21" t="s">
        <v>313</v>
      </c>
      <c r="P289" s="21" t="s">
        <v>313</v>
      </c>
      <c r="Q289" s="21" t="s">
        <v>313</v>
      </c>
      <c r="R289" s="21" t="s">
        <v>313</v>
      </c>
      <c r="S289" s="21" t="s">
        <v>313</v>
      </c>
      <c r="T289" s="21" t="s">
        <v>313</v>
      </c>
      <c r="U289" s="21" t="s">
        <v>313</v>
      </c>
      <c r="V289" s="21" t="s">
        <v>313</v>
      </c>
      <c r="W289" s="21" t="s">
        <v>313</v>
      </c>
      <c r="X289" s="21" t="s">
        <v>313</v>
      </c>
      <c r="Y289" s="21" t="s">
        <v>313</v>
      </c>
      <c r="Z289" s="21" t="s">
        <v>313</v>
      </c>
      <c r="AA289" s="21" t="s">
        <v>313</v>
      </c>
      <c r="AB289" s="21" t="s">
        <v>313</v>
      </c>
      <c r="AC289" s="21" t="s">
        <v>313</v>
      </c>
      <c r="AD289" s="21" t="s">
        <v>313</v>
      </c>
      <c r="AE289" s="21" t="s">
        <v>313</v>
      </c>
      <c r="AF289" s="21" t="s">
        <v>313</v>
      </c>
      <c r="AG289" s="21" t="s">
        <v>313</v>
      </c>
      <c r="AH289" s="21" t="s">
        <v>313</v>
      </c>
      <c r="AI289" s="21" t="s">
        <v>313</v>
      </c>
      <c r="AJ289" s="21" t="s">
        <v>313</v>
      </c>
      <c r="AK289" s="21" t="s">
        <v>313</v>
      </c>
      <c r="AL289" s="21" t="s">
        <v>313</v>
      </c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</row>
    <row r="290" spans="1:50" ht="18" customHeight="1" x14ac:dyDescent="0.3">
      <c r="A290" s="30" t="s">
        <v>111</v>
      </c>
      <c r="B290" s="29" t="str">
        <f>IFERROR(VLOOKUP(A290,'[1]JL EXE ACTIVE FTE List'!$G:$N,8,FALSE),IF(ISNA(VLOOKUP(A290,'[1]JL EXE LEAVER List'!$G:$I,3,FALSE)),"Query","Leaver"))</f>
        <v>OTH</v>
      </c>
      <c r="C290" s="29" t="str">
        <f>IFERROR(VLOOKUP(A290,'[1]JL EXE ACTIVE FTE List'!$G:$R,12,FALSE),IF(ISNA(VLOOKUP(A290,'[1]JL EXE LEAVER List'!$G:$I,3,FALSE)),"?QUERY?","Leaver"))</f>
        <v>ACTIVE</v>
      </c>
      <c r="D290" s="39" t="str">
        <f>IFERROR(IFERROR(VLOOKUP(A290,'[1]JL EXE ACTIVE FTE List'!$G:$H,2,FALSE),VLOOKUP(A290,'[1]JL EXE LEAVER List'!$G:$H,2,FALSE)),"?QUERY?")</f>
        <v>Sean Rowe</v>
      </c>
      <c r="E290" s="40">
        <f>IFERROR(IFERROR(VLOOKUP(A290,'[1]JL EXE ACTIVE FTE List'!$G:$O,9,FALSE),VLOOKUP(A290,'[1]JL EXE LEAVER List'!$G:$O,9,FALSE)),"?QUERY?")</f>
        <v>42989</v>
      </c>
      <c r="F290" s="21" t="s">
        <v>338</v>
      </c>
      <c r="G290" s="21" t="s">
        <v>338</v>
      </c>
      <c r="H290" s="21" t="s">
        <v>338</v>
      </c>
      <c r="I290" s="21" t="s">
        <v>313</v>
      </c>
      <c r="J290" s="21" t="s">
        <v>313</v>
      </c>
      <c r="K290" s="21" t="s">
        <v>313</v>
      </c>
      <c r="L290" s="21" t="s">
        <v>313</v>
      </c>
      <c r="M290" s="21" t="s">
        <v>313</v>
      </c>
      <c r="N290" s="21" t="s">
        <v>313</v>
      </c>
      <c r="O290" s="21" t="s">
        <v>313</v>
      </c>
      <c r="P290" s="21" t="s">
        <v>313</v>
      </c>
      <c r="Q290" s="21" t="s">
        <v>313</v>
      </c>
      <c r="R290" s="21" t="s">
        <v>313</v>
      </c>
      <c r="S290" s="21" t="s">
        <v>313</v>
      </c>
      <c r="T290" s="21" t="s">
        <v>313</v>
      </c>
      <c r="U290" s="21" t="s">
        <v>313</v>
      </c>
      <c r="V290" s="21" t="s">
        <v>313</v>
      </c>
      <c r="W290" s="21" t="s">
        <v>313</v>
      </c>
      <c r="X290" s="21" t="s">
        <v>313</v>
      </c>
      <c r="Y290" s="21" t="s">
        <v>313</v>
      </c>
      <c r="Z290" s="21" t="s">
        <v>313</v>
      </c>
      <c r="AA290" s="21" t="s">
        <v>313</v>
      </c>
      <c r="AB290" s="21" t="s">
        <v>313</v>
      </c>
      <c r="AC290" s="21" t="s">
        <v>313</v>
      </c>
      <c r="AD290" s="21" t="s">
        <v>313</v>
      </c>
      <c r="AE290" s="21" t="s">
        <v>313</v>
      </c>
      <c r="AF290" s="21" t="s">
        <v>313</v>
      </c>
      <c r="AG290" s="21" t="s">
        <v>313</v>
      </c>
      <c r="AH290" s="21" t="s">
        <v>313</v>
      </c>
      <c r="AI290" s="21" t="s">
        <v>313</v>
      </c>
      <c r="AJ290" s="21" t="s">
        <v>313</v>
      </c>
      <c r="AK290" s="21" t="s">
        <v>313</v>
      </c>
      <c r="AL290" s="21" t="s">
        <v>313</v>
      </c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</row>
    <row r="291" spans="1:50" ht="18" customHeight="1" x14ac:dyDescent="0.3">
      <c r="A291" s="30" t="s">
        <v>112</v>
      </c>
      <c r="B291" s="29" t="str">
        <f>IFERROR(VLOOKUP(A291,'[1]JL EXE ACTIVE FTE List'!$G:$N,8,FALSE),IF(ISNA(VLOOKUP(A291,'[1]JL EXE LEAVER List'!$G:$I,3,FALSE)),"Query","Leaver"))</f>
        <v>OTH</v>
      </c>
      <c r="C291" s="29" t="str">
        <f>IFERROR(VLOOKUP(A291,'[1]JL EXE ACTIVE FTE List'!$G:$R,12,FALSE),IF(ISNA(VLOOKUP(A291,'[1]JL EXE LEAVER List'!$G:$I,3,FALSE)),"?QUERY?","Leaver"))</f>
        <v>ACTIVE</v>
      </c>
      <c r="D291" s="39" t="str">
        <f>IFERROR(IFERROR(VLOOKUP(A291,'[1]JL EXE ACTIVE FTE List'!$G:$H,2,FALSE),VLOOKUP(A291,'[1]JL EXE LEAVER List'!$G:$H,2,FALSE)),"?QUERY?")</f>
        <v>Sean Rowe</v>
      </c>
      <c r="E291" s="40">
        <f>IFERROR(IFERROR(VLOOKUP(A291,'[1]JL EXE ACTIVE FTE List'!$G:$O,9,FALSE),VLOOKUP(A291,'[1]JL EXE LEAVER List'!$G:$O,9,FALSE)),"?QUERY?")</f>
        <v>42989</v>
      </c>
      <c r="F291" s="21" t="s">
        <v>338</v>
      </c>
      <c r="G291" s="21" t="s">
        <v>338</v>
      </c>
      <c r="H291" s="21" t="s">
        <v>338</v>
      </c>
      <c r="I291" s="21" t="s">
        <v>313</v>
      </c>
      <c r="J291" s="21" t="s">
        <v>313</v>
      </c>
      <c r="K291" s="21" t="s">
        <v>313</v>
      </c>
      <c r="L291" s="21" t="s">
        <v>313</v>
      </c>
      <c r="M291" s="21" t="s">
        <v>313</v>
      </c>
      <c r="N291" s="21" t="s">
        <v>313</v>
      </c>
      <c r="O291" s="21" t="s">
        <v>313</v>
      </c>
      <c r="P291" s="21" t="s">
        <v>313</v>
      </c>
      <c r="Q291" s="21" t="s">
        <v>313</v>
      </c>
      <c r="R291" s="21" t="s">
        <v>313</v>
      </c>
      <c r="S291" s="21" t="s">
        <v>313</v>
      </c>
      <c r="T291" s="21" t="s">
        <v>313</v>
      </c>
      <c r="U291" s="21" t="s">
        <v>313</v>
      </c>
      <c r="V291" s="21" t="s">
        <v>313</v>
      </c>
      <c r="W291" s="21" t="s">
        <v>313</v>
      </c>
      <c r="X291" s="21" t="s">
        <v>313</v>
      </c>
      <c r="Y291" s="21" t="s">
        <v>313</v>
      </c>
      <c r="Z291" s="21" t="s">
        <v>313</v>
      </c>
      <c r="AA291" s="21" t="s">
        <v>313</v>
      </c>
      <c r="AB291" s="21" t="s">
        <v>313</v>
      </c>
      <c r="AC291" s="21" t="s">
        <v>313</v>
      </c>
      <c r="AD291" s="21" t="s">
        <v>313</v>
      </c>
      <c r="AE291" s="21" t="s">
        <v>313</v>
      </c>
      <c r="AF291" s="21" t="s">
        <v>313</v>
      </c>
      <c r="AG291" s="21" t="s">
        <v>313</v>
      </c>
      <c r="AH291" s="21" t="s">
        <v>313</v>
      </c>
      <c r="AI291" s="21" t="s">
        <v>313</v>
      </c>
      <c r="AJ291" s="21" t="s">
        <v>313</v>
      </c>
      <c r="AK291" s="21" t="s">
        <v>313</v>
      </c>
      <c r="AL291" s="21" t="s">
        <v>313</v>
      </c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</row>
    <row r="292" spans="1:50" ht="18" customHeight="1" x14ac:dyDescent="0.3">
      <c r="A292" s="30" t="s">
        <v>113</v>
      </c>
      <c r="B292" s="29" t="str">
        <f>IFERROR(VLOOKUP(A292,'[1]JL EXE ACTIVE FTE List'!$G:$N,8,FALSE),IF(ISNA(VLOOKUP(A292,'[1]JL EXE LEAVER List'!$G:$I,3,FALSE)),"Query","Leaver"))</f>
        <v>OTH</v>
      </c>
      <c r="C292" s="29" t="str">
        <f>IFERROR(VLOOKUP(A292,'[1]JL EXE ACTIVE FTE List'!$G:$R,12,FALSE),IF(ISNA(VLOOKUP(A292,'[1]JL EXE LEAVER List'!$G:$I,3,FALSE)),"?QUERY?","Leaver"))</f>
        <v>ACTIVE</v>
      </c>
      <c r="D292" s="39" t="str">
        <f>IFERROR(IFERROR(VLOOKUP(A292,'[1]JL EXE ACTIVE FTE List'!$G:$H,2,FALSE),VLOOKUP(A292,'[1]JL EXE LEAVER List'!$G:$H,2,FALSE)),"?QUERY?")</f>
        <v>Sean Rowe</v>
      </c>
      <c r="E292" s="40">
        <f>IFERROR(IFERROR(VLOOKUP(A292,'[1]JL EXE ACTIVE FTE List'!$G:$O,9,FALSE),VLOOKUP(A292,'[1]JL EXE LEAVER List'!$G:$O,9,FALSE)),"?QUERY?")</f>
        <v>42989</v>
      </c>
      <c r="F292" s="21" t="s">
        <v>338</v>
      </c>
      <c r="G292" s="21" t="s">
        <v>338</v>
      </c>
      <c r="H292" s="21" t="s">
        <v>338</v>
      </c>
      <c r="I292" s="21" t="s">
        <v>313</v>
      </c>
      <c r="J292" s="21" t="s">
        <v>313</v>
      </c>
      <c r="K292" s="21" t="s">
        <v>313</v>
      </c>
      <c r="L292" s="21" t="s">
        <v>313</v>
      </c>
      <c r="M292" s="21" t="s">
        <v>313</v>
      </c>
      <c r="N292" s="21" t="s">
        <v>313</v>
      </c>
      <c r="O292" s="21" t="s">
        <v>313</v>
      </c>
      <c r="P292" s="21" t="s">
        <v>313</v>
      </c>
      <c r="Q292" s="21" t="s">
        <v>313</v>
      </c>
      <c r="R292" s="21" t="s">
        <v>313</v>
      </c>
      <c r="S292" s="21" t="s">
        <v>313</v>
      </c>
      <c r="T292" s="21" t="s">
        <v>313</v>
      </c>
      <c r="U292" s="21" t="s">
        <v>313</v>
      </c>
      <c r="V292" s="21" t="s">
        <v>313</v>
      </c>
      <c r="W292" s="21" t="s">
        <v>313</v>
      </c>
      <c r="X292" s="21" t="s">
        <v>313</v>
      </c>
      <c r="Y292" s="21" t="s">
        <v>313</v>
      </c>
      <c r="Z292" s="21" t="s">
        <v>313</v>
      </c>
      <c r="AA292" s="21" t="s">
        <v>313</v>
      </c>
      <c r="AB292" s="21" t="s">
        <v>313</v>
      </c>
      <c r="AC292" s="21" t="s">
        <v>313</v>
      </c>
      <c r="AD292" s="21" t="s">
        <v>313</v>
      </c>
      <c r="AE292" s="21" t="s">
        <v>313</v>
      </c>
      <c r="AF292" s="21" t="s">
        <v>313</v>
      </c>
      <c r="AG292" s="21" t="s">
        <v>313</v>
      </c>
      <c r="AH292" s="21" t="s">
        <v>313</v>
      </c>
      <c r="AI292" s="21" t="s">
        <v>313</v>
      </c>
      <c r="AJ292" s="21" t="s">
        <v>313</v>
      </c>
      <c r="AK292" s="21" t="s">
        <v>313</v>
      </c>
      <c r="AL292" s="21" t="s">
        <v>313</v>
      </c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</row>
    <row r="293" spans="1:50" ht="18" customHeight="1" x14ac:dyDescent="0.3">
      <c r="A293" s="30" t="s">
        <v>114</v>
      </c>
      <c r="B293" s="29" t="str">
        <f>IFERROR(VLOOKUP(A293,'[1]JL EXE ACTIVE FTE List'!$G:$N,8,FALSE),IF(ISNA(VLOOKUP(A293,'[1]JL EXE LEAVER List'!$G:$I,3,FALSE)),"Query","Leaver"))</f>
        <v>OTH</v>
      </c>
      <c r="C293" s="29" t="str">
        <f>IFERROR(VLOOKUP(A293,'[1]JL EXE ACTIVE FTE List'!$G:$R,12,FALSE),IF(ISNA(VLOOKUP(A293,'[1]JL EXE LEAVER List'!$G:$I,3,FALSE)),"?QUERY?","Leaver"))</f>
        <v>ACTIVE</v>
      </c>
      <c r="D293" s="39" t="str">
        <f>IFERROR(IFERROR(VLOOKUP(A293,'[1]JL EXE ACTIVE FTE List'!$G:$H,2,FALSE),VLOOKUP(A293,'[1]JL EXE LEAVER List'!$G:$H,2,FALSE)),"?QUERY?")</f>
        <v>Sean Rowe</v>
      </c>
      <c r="E293" s="40">
        <f>IFERROR(IFERROR(VLOOKUP(A293,'[1]JL EXE ACTIVE FTE List'!$G:$O,9,FALSE),VLOOKUP(A293,'[1]JL EXE LEAVER List'!$G:$O,9,FALSE)),"?QUERY?")</f>
        <v>42989</v>
      </c>
      <c r="F293" s="21" t="s">
        <v>338</v>
      </c>
      <c r="G293" s="21" t="s">
        <v>338</v>
      </c>
      <c r="H293" s="21" t="s">
        <v>338</v>
      </c>
      <c r="I293" s="21" t="s">
        <v>313</v>
      </c>
      <c r="J293" s="21" t="s">
        <v>313</v>
      </c>
      <c r="K293" s="21" t="s">
        <v>313</v>
      </c>
      <c r="L293" s="21" t="s">
        <v>313</v>
      </c>
      <c r="M293" s="21" t="s">
        <v>313</v>
      </c>
      <c r="N293" s="21" t="s">
        <v>313</v>
      </c>
      <c r="O293" s="21" t="s">
        <v>313</v>
      </c>
      <c r="P293" s="21" t="s">
        <v>313</v>
      </c>
      <c r="Q293" s="21" t="s">
        <v>313</v>
      </c>
      <c r="R293" s="21" t="s">
        <v>313</v>
      </c>
      <c r="S293" s="21" t="s">
        <v>313</v>
      </c>
      <c r="T293" s="21" t="s">
        <v>313</v>
      </c>
      <c r="U293" s="21" t="s">
        <v>313</v>
      </c>
      <c r="V293" s="21" t="s">
        <v>313</v>
      </c>
      <c r="W293" s="21" t="s">
        <v>313</v>
      </c>
      <c r="X293" s="21" t="s">
        <v>313</v>
      </c>
      <c r="Y293" s="21" t="s">
        <v>313</v>
      </c>
      <c r="Z293" s="21" t="s">
        <v>313</v>
      </c>
      <c r="AA293" s="21" t="s">
        <v>313</v>
      </c>
      <c r="AB293" s="21" t="s">
        <v>313</v>
      </c>
      <c r="AC293" s="21" t="s">
        <v>313</v>
      </c>
      <c r="AD293" s="21" t="s">
        <v>313</v>
      </c>
      <c r="AE293" s="21" t="s">
        <v>313</v>
      </c>
      <c r="AF293" s="21" t="s">
        <v>313</v>
      </c>
      <c r="AG293" s="21" t="s">
        <v>313</v>
      </c>
      <c r="AH293" s="21" t="s">
        <v>313</v>
      </c>
      <c r="AI293" s="21" t="s">
        <v>313</v>
      </c>
      <c r="AJ293" s="21" t="s">
        <v>313</v>
      </c>
      <c r="AK293" s="21" t="s">
        <v>313</v>
      </c>
      <c r="AL293" s="21" t="s">
        <v>313</v>
      </c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</row>
    <row r="294" spans="1:50" ht="18" customHeight="1" x14ac:dyDescent="0.3">
      <c r="A294" s="30" t="s">
        <v>115</v>
      </c>
      <c r="B294" s="29" t="str">
        <f>IFERROR(VLOOKUP(A294,'[1]JL EXE ACTIVE FTE List'!$G:$N,8,FALSE),IF(ISNA(VLOOKUP(A294,'[1]JL EXE LEAVER List'!$G:$I,3,FALSE)),"Query","Leaver"))</f>
        <v>OTH</v>
      </c>
      <c r="C294" s="29" t="str">
        <f>IFERROR(VLOOKUP(A294,'[1]JL EXE ACTIVE FTE List'!$G:$R,12,FALSE),IF(ISNA(VLOOKUP(A294,'[1]JL EXE LEAVER List'!$G:$I,3,FALSE)),"?QUERY?","Leaver"))</f>
        <v>ACTIVE</v>
      </c>
      <c r="D294" s="39" t="str">
        <f>IFERROR(IFERROR(VLOOKUP(A294,'[1]JL EXE ACTIVE FTE List'!$G:$H,2,FALSE),VLOOKUP(A294,'[1]JL EXE LEAVER List'!$G:$H,2,FALSE)),"?QUERY?")</f>
        <v>Sean Rowe</v>
      </c>
      <c r="E294" s="40">
        <f>IFERROR(IFERROR(VLOOKUP(A294,'[1]JL EXE ACTIVE FTE List'!$G:$O,9,FALSE),VLOOKUP(A294,'[1]JL EXE LEAVER List'!$G:$O,9,FALSE)),"?QUERY?")</f>
        <v>42989</v>
      </c>
      <c r="F294" s="21" t="s">
        <v>335</v>
      </c>
      <c r="G294" s="21" t="s">
        <v>338</v>
      </c>
      <c r="H294" s="21" t="s">
        <v>338</v>
      </c>
      <c r="I294" s="21" t="s">
        <v>313</v>
      </c>
      <c r="J294" s="21" t="s">
        <v>313</v>
      </c>
      <c r="K294" s="21" t="s">
        <v>313</v>
      </c>
      <c r="L294" s="21" t="s">
        <v>313</v>
      </c>
      <c r="M294" s="21" t="s">
        <v>313</v>
      </c>
      <c r="N294" s="21" t="s">
        <v>313</v>
      </c>
      <c r="O294" s="21" t="s">
        <v>313</v>
      </c>
      <c r="P294" s="21" t="s">
        <v>313</v>
      </c>
      <c r="Q294" s="21" t="s">
        <v>313</v>
      </c>
      <c r="R294" s="21" t="s">
        <v>313</v>
      </c>
      <c r="S294" s="21" t="s">
        <v>313</v>
      </c>
      <c r="T294" s="21" t="s">
        <v>313</v>
      </c>
      <c r="U294" s="21" t="s">
        <v>313</v>
      </c>
      <c r="V294" s="21" t="s">
        <v>313</v>
      </c>
      <c r="W294" s="21" t="s">
        <v>313</v>
      </c>
      <c r="X294" s="21" t="s">
        <v>313</v>
      </c>
      <c r="Y294" s="21" t="s">
        <v>313</v>
      </c>
      <c r="Z294" s="21" t="s">
        <v>313</v>
      </c>
      <c r="AA294" s="21" t="s">
        <v>313</v>
      </c>
      <c r="AB294" s="21" t="s">
        <v>313</v>
      </c>
      <c r="AC294" s="21" t="s">
        <v>313</v>
      </c>
      <c r="AD294" s="21" t="s">
        <v>313</v>
      </c>
      <c r="AE294" s="21" t="s">
        <v>313</v>
      </c>
      <c r="AF294" s="21" t="s">
        <v>313</v>
      </c>
      <c r="AG294" s="21" t="s">
        <v>313</v>
      </c>
      <c r="AH294" s="21" t="s">
        <v>313</v>
      </c>
      <c r="AI294" s="21" t="s">
        <v>313</v>
      </c>
      <c r="AJ294" s="21" t="s">
        <v>313</v>
      </c>
      <c r="AK294" s="21" t="s">
        <v>313</v>
      </c>
      <c r="AL294" s="21" t="s">
        <v>313</v>
      </c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</row>
    <row r="295" spans="1:50" ht="18" customHeight="1" x14ac:dyDescent="0.3">
      <c r="A295" s="30" t="s">
        <v>233</v>
      </c>
      <c r="B295" s="29" t="str">
        <f>IFERROR(VLOOKUP(A295,'[1]JL EXE ACTIVE FTE List'!$G:$N,8,FALSE),IF(ISNA(VLOOKUP(A295,'[1]JL EXE LEAVER List'!$G:$I,3,FALSE)),"Query","Leaver"))</f>
        <v>OTH</v>
      </c>
      <c r="C295" s="29" t="str">
        <f>IFERROR(VLOOKUP(A295,'[1]JL EXE ACTIVE FTE List'!$G:$R,12,FALSE),IF(ISNA(VLOOKUP(A295,'[1]JL EXE LEAVER List'!$G:$I,3,FALSE)),"?QUERY?","Leaver"))</f>
        <v>ACTIVE</v>
      </c>
      <c r="D295" s="39" t="str">
        <f>IFERROR(IFERROR(VLOOKUP(A295,'[1]JL EXE ACTIVE FTE List'!$G:$H,2,FALSE),VLOOKUP(A295,'[1]JL EXE LEAVER List'!$G:$H,2,FALSE)),"?QUERY?")</f>
        <v>Sean Rowe</v>
      </c>
      <c r="E295" s="40">
        <f>IFERROR(IFERROR(VLOOKUP(A295,'[1]JL EXE ACTIVE FTE List'!$G:$O,9,FALSE),VLOOKUP(A295,'[1]JL EXE LEAVER List'!$G:$O,9,FALSE)),"?QUERY?")</f>
        <v>42989</v>
      </c>
      <c r="F295" s="21" t="s">
        <v>338</v>
      </c>
      <c r="G295" s="21" t="s">
        <v>338</v>
      </c>
      <c r="H295" s="21" t="s">
        <v>338</v>
      </c>
      <c r="I295" s="21" t="s">
        <v>313</v>
      </c>
      <c r="J295" s="21" t="s">
        <v>313</v>
      </c>
      <c r="K295" s="21" t="s">
        <v>313</v>
      </c>
      <c r="L295" s="21" t="s">
        <v>313</v>
      </c>
      <c r="M295" s="21" t="s">
        <v>313</v>
      </c>
      <c r="N295" s="21" t="s">
        <v>313</v>
      </c>
      <c r="O295" s="21" t="s">
        <v>313</v>
      </c>
      <c r="P295" s="21" t="s">
        <v>313</v>
      </c>
      <c r="Q295" s="21" t="s">
        <v>313</v>
      </c>
      <c r="R295" s="21" t="s">
        <v>313</v>
      </c>
      <c r="S295" s="21" t="s">
        <v>313</v>
      </c>
      <c r="T295" s="21" t="s">
        <v>313</v>
      </c>
      <c r="U295" s="21" t="s">
        <v>313</v>
      </c>
      <c r="V295" s="21" t="s">
        <v>313</v>
      </c>
      <c r="W295" s="21" t="s">
        <v>313</v>
      </c>
      <c r="X295" s="21" t="s">
        <v>313</v>
      </c>
      <c r="Y295" s="21" t="s">
        <v>313</v>
      </c>
      <c r="Z295" s="21" t="s">
        <v>313</v>
      </c>
      <c r="AA295" s="21" t="s">
        <v>313</v>
      </c>
      <c r="AB295" s="21" t="s">
        <v>313</v>
      </c>
      <c r="AC295" s="21" t="s">
        <v>313</v>
      </c>
      <c r="AD295" s="21" t="s">
        <v>313</v>
      </c>
      <c r="AE295" s="21" t="s">
        <v>313</v>
      </c>
      <c r="AF295" s="21" t="s">
        <v>313</v>
      </c>
      <c r="AG295" s="21" t="s">
        <v>313</v>
      </c>
      <c r="AH295" s="21" t="s">
        <v>313</v>
      </c>
      <c r="AI295" s="21" t="s">
        <v>313</v>
      </c>
      <c r="AJ295" s="21" t="s">
        <v>313</v>
      </c>
      <c r="AK295" s="21" t="s">
        <v>313</v>
      </c>
      <c r="AL295" s="21" t="s">
        <v>313</v>
      </c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</row>
    <row r="296" spans="1:50" ht="18" customHeight="1" x14ac:dyDescent="0.3">
      <c r="A296" s="30" t="s">
        <v>116</v>
      </c>
      <c r="B296" s="29" t="str">
        <f>IFERROR(VLOOKUP(A296,'[1]JL EXE ACTIVE FTE List'!$G:$N,8,FALSE),IF(ISNA(VLOOKUP(A296,'[1]JL EXE LEAVER List'!$G:$I,3,FALSE)),"Query","Leaver"))</f>
        <v>OTH</v>
      </c>
      <c r="C296" s="29" t="str">
        <f>IFERROR(VLOOKUP(A296,'[1]JL EXE ACTIVE FTE List'!$G:$R,12,FALSE),IF(ISNA(VLOOKUP(A296,'[1]JL EXE LEAVER List'!$G:$I,3,FALSE)),"?QUERY?","Leaver"))</f>
        <v>ACTIVE</v>
      </c>
      <c r="D296" s="39" t="str">
        <f>IFERROR(IFERROR(VLOOKUP(A296,'[1]JL EXE ACTIVE FTE List'!$G:$H,2,FALSE),VLOOKUP(A296,'[1]JL EXE LEAVER List'!$G:$H,2,FALSE)),"?QUERY?")</f>
        <v>Sean Rowe</v>
      </c>
      <c r="E296" s="40">
        <f>IFERROR(IFERROR(VLOOKUP(A296,'[1]JL EXE ACTIVE FTE List'!$G:$O,9,FALSE),VLOOKUP(A296,'[1]JL EXE LEAVER List'!$G:$O,9,FALSE)),"?QUERY?")</f>
        <v>42989</v>
      </c>
      <c r="F296" s="21" t="s">
        <v>335</v>
      </c>
      <c r="G296" s="21" t="s">
        <v>338</v>
      </c>
      <c r="H296" s="21" t="s">
        <v>338</v>
      </c>
      <c r="I296" s="21" t="s">
        <v>313</v>
      </c>
      <c r="J296" s="21" t="s">
        <v>313</v>
      </c>
      <c r="K296" s="21" t="s">
        <v>313</v>
      </c>
      <c r="L296" s="21" t="s">
        <v>313</v>
      </c>
      <c r="M296" s="21" t="s">
        <v>313</v>
      </c>
      <c r="N296" s="21" t="s">
        <v>313</v>
      </c>
      <c r="O296" s="21" t="s">
        <v>313</v>
      </c>
      <c r="P296" s="21" t="s">
        <v>313</v>
      </c>
      <c r="Q296" s="21" t="s">
        <v>313</v>
      </c>
      <c r="R296" s="21" t="s">
        <v>313</v>
      </c>
      <c r="S296" s="21" t="s">
        <v>313</v>
      </c>
      <c r="T296" s="21" t="s">
        <v>313</v>
      </c>
      <c r="U296" s="21" t="s">
        <v>313</v>
      </c>
      <c r="V296" s="21" t="s">
        <v>313</v>
      </c>
      <c r="W296" s="21" t="s">
        <v>313</v>
      </c>
      <c r="X296" s="21" t="s">
        <v>313</v>
      </c>
      <c r="Y296" s="21" t="s">
        <v>313</v>
      </c>
      <c r="Z296" s="21" t="s">
        <v>313</v>
      </c>
      <c r="AA296" s="21" t="s">
        <v>313</v>
      </c>
      <c r="AB296" s="21" t="s">
        <v>313</v>
      </c>
      <c r="AC296" s="21" t="s">
        <v>313</v>
      </c>
      <c r="AD296" s="21" t="s">
        <v>313</v>
      </c>
      <c r="AE296" s="21" t="s">
        <v>313</v>
      </c>
      <c r="AF296" s="21" t="s">
        <v>313</v>
      </c>
      <c r="AG296" s="21" t="s">
        <v>313</v>
      </c>
      <c r="AH296" s="21" t="s">
        <v>313</v>
      </c>
      <c r="AI296" s="21" t="s">
        <v>313</v>
      </c>
      <c r="AJ296" s="21" t="s">
        <v>313</v>
      </c>
      <c r="AK296" s="21" t="s">
        <v>313</v>
      </c>
      <c r="AL296" s="21" t="s">
        <v>313</v>
      </c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</row>
    <row r="297" spans="1:50" ht="18" customHeight="1" x14ac:dyDescent="0.3">
      <c r="A297" s="30" t="s">
        <v>264</v>
      </c>
      <c r="B297" s="29" t="str">
        <f>IFERROR(VLOOKUP(A297,'[1]JL EXE ACTIVE FTE List'!$G:$N,8,FALSE),IF(ISNA(VLOOKUP(A297,'[1]JL EXE LEAVER List'!$G:$I,3,FALSE)),"Query","Leaver"))</f>
        <v>OTH</v>
      </c>
      <c r="C297" s="29" t="str">
        <f>IFERROR(VLOOKUP(A297,'[1]JL EXE ACTIVE FTE List'!$G:$R,12,FALSE),IF(ISNA(VLOOKUP(A297,'[1]JL EXE LEAVER List'!$G:$I,3,FALSE)),"?QUERY?","Leaver"))</f>
        <v>ACTIVE</v>
      </c>
      <c r="D297" s="39" t="str">
        <f>IFERROR(IFERROR(VLOOKUP(A297,'[1]JL EXE ACTIVE FTE List'!$G:$H,2,FALSE),VLOOKUP(A297,'[1]JL EXE LEAVER List'!$G:$H,2,FALSE)),"?QUERY?")</f>
        <v>Sean Rowe</v>
      </c>
      <c r="E297" s="40">
        <f>IFERROR(IFERROR(VLOOKUP(A297,'[1]JL EXE ACTIVE FTE List'!$G:$O,9,FALSE),VLOOKUP(A297,'[1]JL EXE LEAVER List'!$G:$O,9,FALSE)),"?QUERY?")</f>
        <v>42989</v>
      </c>
      <c r="F297" s="21" t="s">
        <v>338</v>
      </c>
      <c r="G297" s="21" t="s">
        <v>338</v>
      </c>
      <c r="H297" s="21" t="s">
        <v>338</v>
      </c>
      <c r="I297" s="21" t="s">
        <v>313</v>
      </c>
      <c r="J297" s="21" t="s">
        <v>313</v>
      </c>
      <c r="K297" s="21" t="s">
        <v>313</v>
      </c>
      <c r="L297" s="21" t="s">
        <v>313</v>
      </c>
      <c r="M297" s="21" t="s">
        <v>313</v>
      </c>
      <c r="N297" s="21" t="s">
        <v>313</v>
      </c>
      <c r="O297" s="21" t="s">
        <v>313</v>
      </c>
      <c r="P297" s="21" t="s">
        <v>313</v>
      </c>
      <c r="Q297" s="21" t="s">
        <v>313</v>
      </c>
      <c r="R297" s="21" t="s">
        <v>313</v>
      </c>
      <c r="S297" s="21" t="s">
        <v>313</v>
      </c>
      <c r="T297" s="21" t="s">
        <v>313</v>
      </c>
      <c r="U297" s="21" t="s">
        <v>313</v>
      </c>
      <c r="V297" s="21" t="s">
        <v>313</v>
      </c>
      <c r="W297" s="21" t="s">
        <v>313</v>
      </c>
      <c r="X297" s="21" t="s">
        <v>313</v>
      </c>
      <c r="Y297" s="21" t="s">
        <v>313</v>
      </c>
      <c r="Z297" s="21" t="s">
        <v>313</v>
      </c>
      <c r="AA297" s="21" t="s">
        <v>313</v>
      </c>
      <c r="AB297" s="21" t="s">
        <v>313</v>
      </c>
      <c r="AC297" s="21" t="s">
        <v>313</v>
      </c>
      <c r="AD297" s="21" t="s">
        <v>313</v>
      </c>
      <c r="AE297" s="21" t="s">
        <v>313</v>
      </c>
      <c r="AF297" s="21" t="s">
        <v>313</v>
      </c>
      <c r="AG297" s="21" t="s">
        <v>313</v>
      </c>
      <c r="AH297" s="21" t="s">
        <v>313</v>
      </c>
      <c r="AI297" s="21" t="s">
        <v>313</v>
      </c>
      <c r="AJ297" s="21" t="s">
        <v>313</v>
      </c>
      <c r="AK297" s="21" t="s">
        <v>313</v>
      </c>
      <c r="AL297" s="21" t="s">
        <v>313</v>
      </c>
      <c r="AM297" s="21"/>
      <c r="AN297" s="21"/>
      <c r="AO297" s="21"/>
      <c r="AP297" s="21"/>
      <c r="AQ297" s="21"/>
      <c r="AR297" s="21"/>
      <c r="AS297" s="21"/>
      <c r="AT297" s="21"/>
      <c r="AU297" s="21"/>
      <c r="AV297" s="21"/>
      <c r="AW297" s="21"/>
      <c r="AX297" s="21"/>
    </row>
    <row r="298" spans="1:50" ht="18" customHeight="1" x14ac:dyDescent="0.3">
      <c r="A298" s="30" t="s">
        <v>117</v>
      </c>
      <c r="B298" s="29" t="str">
        <f>IFERROR(VLOOKUP(A298,'[1]JL EXE ACTIVE FTE List'!$G:$N,8,FALSE),IF(ISNA(VLOOKUP(A298,'[1]JL EXE LEAVER List'!$G:$I,3,FALSE)),"Query","Leaver"))</f>
        <v>OTH</v>
      </c>
      <c r="C298" s="29" t="str">
        <f>IFERROR(VLOOKUP(A298,'[1]JL EXE ACTIVE FTE List'!$G:$R,12,FALSE),IF(ISNA(VLOOKUP(A298,'[1]JL EXE LEAVER List'!$G:$I,3,FALSE)),"?QUERY?","Leaver"))</f>
        <v>ACTIVE</v>
      </c>
      <c r="D298" s="39" t="str">
        <f>IFERROR(IFERROR(VLOOKUP(A298,'[1]JL EXE ACTIVE FTE List'!$G:$H,2,FALSE),VLOOKUP(A298,'[1]JL EXE LEAVER List'!$G:$H,2,FALSE)),"?QUERY?")</f>
        <v>Sean Rowe</v>
      </c>
      <c r="E298" s="40">
        <f>IFERROR(IFERROR(VLOOKUP(A298,'[1]JL EXE ACTIVE FTE List'!$G:$O,9,FALSE),VLOOKUP(A298,'[1]JL EXE LEAVER List'!$G:$O,9,FALSE)),"?QUERY?")</f>
        <v>42989</v>
      </c>
      <c r="F298" s="21" t="s">
        <v>335</v>
      </c>
      <c r="G298" s="21" t="s">
        <v>338</v>
      </c>
      <c r="H298" s="21" t="s">
        <v>338</v>
      </c>
      <c r="I298" s="21" t="s">
        <v>313</v>
      </c>
      <c r="J298" s="21" t="s">
        <v>313</v>
      </c>
      <c r="K298" s="21" t="s">
        <v>313</v>
      </c>
      <c r="L298" s="21" t="s">
        <v>313</v>
      </c>
      <c r="M298" s="21" t="s">
        <v>313</v>
      </c>
      <c r="N298" s="21" t="s">
        <v>313</v>
      </c>
      <c r="O298" s="21" t="s">
        <v>313</v>
      </c>
      <c r="P298" s="21" t="s">
        <v>313</v>
      </c>
      <c r="Q298" s="21" t="s">
        <v>313</v>
      </c>
      <c r="R298" s="21" t="s">
        <v>313</v>
      </c>
      <c r="S298" s="21" t="s">
        <v>313</v>
      </c>
      <c r="T298" s="21" t="s">
        <v>313</v>
      </c>
      <c r="U298" s="21" t="s">
        <v>313</v>
      </c>
      <c r="V298" s="21" t="s">
        <v>313</v>
      </c>
      <c r="W298" s="21" t="s">
        <v>313</v>
      </c>
      <c r="X298" s="21" t="s">
        <v>313</v>
      </c>
      <c r="Y298" s="21" t="s">
        <v>313</v>
      </c>
      <c r="Z298" s="21" t="s">
        <v>313</v>
      </c>
      <c r="AA298" s="21" t="s">
        <v>313</v>
      </c>
      <c r="AB298" s="21" t="s">
        <v>313</v>
      </c>
      <c r="AC298" s="21" t="s">
        <v>313</v>
      </c>
      <c r="AD298" s="21" t="s">
        <v>313</v>
      </c>
      <c r="AE298" s="21" t="s">
        <v>313</v>
      </c>
      <c r="AF298" s="21" t="s">
        <v>313</v>
      </c>
      <c r="AG298" s="21" t="s">
        <v>313</v>
      </c>
      <c r="AH298" s="21" t="s">
        <v>313</v>
      </c>
      <c r="AI298" s="21" t="s">
        <v>313</v>
      </c>
      <c r="AJ298" s="21" t="s">
        <v>313</v>
      </c>
      <c r="AK298" s="21" t="s">
        <v>313</v>
      </c>
      <c r="AL298" s="21" t="s">
        <v>313</v>
      </c>
      <c r="AM298" s="21"/>
      <c r="AN298" s="21"/>
      <c r="AO298" s="21"/>
      <c r="AP298" s="21"/>
      <c r="AQ298" s="21"/>
      <c r="AR298" s="21"/>
      <c r="AS298" s="21"/>
      <c r="AT298" s="21"/>
      <c r="AU298" s="21"/>
      <c r="AV298" s="21"/>
      <c r="AW298" s="21"/>
      <c r="AX298" s="21"/>
    </row>
    <row r="299" spans="1:50" ht="18" customHeight="1" x14ac:dyDescent="0.3">
      <c r="A299" s="30" t="s">
        <v>255</v>
      </c>
      <c r="B299" s="29" t="str">
        <f>IFERROR(VLOOKUP(A299,'[1]JL EXE ACTIVE FTE List'!$G:$N,8,FALSE),IF(ISNA(VLOOKUP(A299,'[1]JL EXE LEAVER List'!$G:$I,3,FALSE)),"Query","Leaver"))</f>
        <v>OTH</v>
      </c>
      <c r="C299" s="29" t="str">
        <f>IFERROR(VLOOKUP(A299,'[1]JL EXE ACTIVE FTE List'!$G:$R,12,FALSE),IF(ISNA(VLOOKUP(A299,'[1]JL EXE LEAVER List'!$G:$I,3,FALSE)),"?QUERY?","Leaver"))</f>
        <v>ACTIVE</v>
      </c>
      <c r="D299" s="39" t="str">
        <f>IFERROR(IFERROR(VLOOKUP(A299,'[1]JL EXE ACTIVE FTE List'!$G:$H,2,FALSE),VLOOKUP(A299,'[1]JL EXE LEAVER List'!$G:$H,2,FALSE)),"?QUERY?")</f>
        <v>Sean Rowe</v>
      </c>
      <c r="E299" s="40">
        <f>IFERROR(IFERROR(VLOOKUP(A299,'[1]JL EXE ACTIVE FTE List'!$G:$O,9,FALSE),VLOOKUP(A299,'[1]JL EXE LEAVER List'!$G:$O,9,FALSE)),"?QUERY?")</f>
        <v>42989</v>
      </c>
      <c r="F299" s="21" t="s">
        <v>338</v>
      </c>
      <c r="G299" s="21" t="s">
        <v>338</v>
      </c>
      <c r="H299" s="21" t="s">
        <v>338</v>
      </c>
      <c r="I299" s="21" t="s">
        <v>313</v>
      </c>
      <c r="J299" s="21" t="s">
        <v>313</v>
      </c>
      <c r="K299" s="21" t="s">
        <v>313</v>
      </c>
      <c r="L299" s="21" t="s">
        <v>313</v>
      </c>
      <c r="M299" s="21" t="s">
        <v>313</v>
      </c>
      <c r="N299" s="21" t="s">
        <v>313</v>
      </c>
      <c r="O299" s="21" t="s">
        <v>313</v>
      </c>
      <c r="P299" s="21" t="s">
        <v>313</v>
      </c>
      <c r="Q299" s="21" t="s">
        <v>313</v>
      </c>
      <c r="R299" s="21" t="s">
        <v>313</v>
      </c>
      <c r="S299" s="21" t="s">
        <v>313</v>
      </c>
      <c r="T299" s="21" t="s">
        <v>313</v>
      </c>
      <c r="U299" s="21" t="s">
        <v>313</v>
      </c>
      <c r="V299" s="21" t="s">
        <v>313</v>
      </c>
      <c r="W299" s="21" t="s">
        <v>313</v>
      </c>
      <c r="X299" s="21" t="s">
        <v>313</v>
      </c>
      <c r="Y299" s="21" t="s">
        <v>313</v>
      </c>
      <c r="Z299" s="21" t="s">
        <v>313</v>
      </c>
      <c r="AA299" s="21" t="s">
        <v>313</v>
      </c>
      <c r="AB299" s="21" t="s">
        <v>313</v>
      </c>
      <c r="AC299" s="21" t="s">
        <v>313</v>
      </c>
      <c r="AD299" s="21" t="s">
        <v>313</v>
      </c>
      <c r="AE299" s="21" t="s">
        <v>313</v>
      </c>
      <c r="AF299" s="21" t="s">
        <v>313</v>
      </c>
      <c r="AG299" s="21" t="s">
        <v>313</v>
      </c>
      <c r="AH299" s="21" t="s">
        <v>313</v>
      </c>
      <c r="AI299" s="21" t="s">
        <v>313</v>
      </c>
      <c r="AJ299" s="21" t="s">
        <v>313</v>
      </c>
      <c r="AK299" s="21" t="s">
        <v>313</v>
      </c>
      <c r="AL299" s="21" t="s">
        <v>313</v>
      </c>
      <c r="AM299" s="21"/>
      <c r="AN299" s="21"/>
      <c r="AO299" s="21"/>
      <c r="AP299" s="21"/>
      <c r="AQ299" s="21"/>
      <c r="AR299" s="21"/>
      <c r="AS299" s="21"/>
      <c r="AT299" s="21"/>
      <c r="AU299" s="21"/>
      <c r="AV299" s="21"/>
      <c r="AW299" s="21"/>
      <c r="AX299" s="21"/>
    </row>
    <row r="300" spans="1:50" ht="18" customHeight="1" x14ac:dyDescent="0.3">
      <c r="A300" s="30" t="s">
        <v>94</v>
      </c>
      <c r="B300" s="29" t="str">
        <f>IFERROR(VLOOKUP(A300,'[1]JL EXE ACTIVE FTE List'!$G:$N,8,FALSE),IF(ISNA(VLOOKUP(A300,'[1]JL EXE LEAVER List'!$G:$I,3,FALSE)),"Query","Leaver"))</f>
        <v>CST</v>
      </c>
      <c r="C300" s="29" t="str">
        <f>IFERROR(VLOOKUP(A300,'[1]JL EXE ACTIVE FTE List'!$G:$R,12,FALSE),IF(ISNA(VLOOKUP(A300,'[1]JL EXE LEAVER List'!$G:$I,3,FALSE)),"?QUERY?","Leaver"))</f>
        <v>ACTIVE</v>
      </c>
      <c r="D300" s="39" t="str">
        <f>IFERROR(IFERROR(VLOOKUP(A300,'[1]JL EXE ACTIVE FTE List'!$G:$H,2,FALSE),VLOOKUP(A300,'[1]JL EXE LEAVER List'!$G:$H,2,FALSE)),"?QUERY?")</f>
        <v>Troy Barnaschone</v>
      </c>
      <c r="E300" s="40">
        <f>IFERROR(IFERROR(VLOOKUP(A300,'[1]JL EXE ACTIVE FTE List'!$G:$O,9,FALSE),VLOOKUP(A300,'[1]JL EXE LEAVER List'!$G:$O,9,FALSE)),"?QUERY?")</f>
        <v>42835</v>
      </c>
      <c r="F300" s="21" t="s">
        <v>338</v>
      </c>
      <c r="G300" s="21" t="s">
        <v>338</v>
      </c>
      <c r="H300" s="21" t="s">
        <v>338</v>
      </c>
      <c r="I300" s="21" t="s">
        <v>313</v>
      </c>
      <c r="J300" s="21" t="s">
        <v>313</v>
      </c>
      <c r="K300" s="21" t="s">
        <v>313</v>
      </c>
      <c r="L300" s="21" t="s">
        <v>313</v>
      </c>
      <c r="M300" s="21" t="s">
        <v>313</v>
      </c>
      <c r="N300" s="21" t="s">
        <v>313</v>
      </c>
      <c r="O300" s="21" t="s">
        <v>313</v>
      </c>
      <c r="P300" s="21" t="s">
        <v>313</v>
      </c>
      <c r="Q300" s="21" t="s">
        <v>313</v>
      </c>
      <c r="R300" s="21" t="s">
        <v>313</v>
      </c>
      <c r="S300" s="21" t="s">
        <v>313</v>
      </c>
      <c r="T300" s="21" t="s">
        <v>313</v>
      </c>
      <c r="U300" s="21" t="s">
        <v>313</v>
      </c>
      <c r="V300" s="21" t="s">
        <v>313</v>
      </c>
      <c r="W300" s="21" t="s">
        <v>313</v>
      </c>
      <c r="X300" s="21" t="s">
        <v>313</v>
      </c>
      <c r="Y300" s="21" t="s">
        <v>313</v>
      </c>
      <c r="Z300" s="21" t="s">
        <v>313</v>
      </c>
      <c r="AA300" s="21" t="s">
        <v>313</v>
      </c>
      <c r="AB300" s="21" t="s">
        <v>313</v>
      </c>
      <c r="AC300" s="21" t="s">
        <v>313</v>
      </c>
      <c r="AD300" s="21" t="s">
        <v>313</v>
      </c>
      <c r="AE300" s="21" t="s">
        <v>313</v>
      </c>
      <c r="AF300" s="21" t="s">
        <v>313</v>
      </c>
      <c r="AG300" s="21" t="s">
        <v>313</v>
      </c>
      <c r="AH300" s="21" t="s">
        <v>313</v>
      </c>
      <c r="AI300" s="21" t="s">
        <v>313</v>
      </c>
      <c r="AJ300" s="21" t="s">
        <v>313</v>
      </c>
      <c r="AK300" s="21" t="s">
        <v>313</v>
      </c>
      <c r="AL300" s="21" t="s">
        <v>313</v>
      </c>
      <c r="AM300" s="21"/>
      <c r="AN300" s="21"/>
      <c r="AO300" s="21"/>
      <c r="AP300" s="21"/>
      <c r="AQ300" s="21"/>
      <c r="AR300" s="21"/>
      <c r="AS300" s="21"/>
      <c r="AT300" s="21"/>
      <c r="AU300" s="21"/>
      <c r="AV300" s="21"/>
      <c r="AW300" s="21"/>
      <c r="AX300" s="21"/>
    </row>
    <row r="301" spans="1:50" ht="18" customHeight="1" x14ac:dyDescent="0.3">
      <c r="A301" s="30" t="s">
        <v>96</v>
      </c>
      <c r="B301" s="29" t="str">
        <f>IFERROR(VLOOKUP(A301,'[1]JL EXE ACTIVE FTE List'!$G:$N,8,FALSE),IF(ISNA(VLOOKUP(A301,'[1]JL EXE LEAVER List'!$G:$I,3,FALSE)),"Query","Leaver"))</f>
        <v>CST</v>
      </c>
      <c r="C301" s="29" t="str">
        <f>IFERROR(VLOOKUP(A301,'[1]JL EXE ACTIVE FTE List'!$G:$R,12,FALSE),IF(ISNA(VLOOKUP(A301,'[1]JL EXE LEAVER List'!$G:$I,3,FALSE)),"?QUERY?","Leaver"))</f>
        <v>ACTIVE</v>
      </c>
      <c r="D301" s="39" t="str">
        <f>IFERROR(IFERROR(VLOOKUP(A301,'[1]JL EXE ACTIVE FTE List'!$G:$H,2,FALSE),VLOOKUP(A301,'[1]JL EXE LEAVER List'!$G:$H,2,FALSE)),"?QUERY?")</f>
        <v>Troy Barnaschone</v>
      </c>
      <c r="E301" s="40">
        <f>IFERROR(IFERROR(VLOOKUP(A301,'[1]JL EXE ACTIVE FTE List'!$G:$O,9,FALSE),VLOOKUP(A301,'[1]JL EXE LEAVER List'!$G:$O,9,FALSE)),"?QUERY?")</f>
        <v>42794</v>
      </c>
      <c r="F301" s="21" t="s">
        <v>338</v>
      </c>
      <c r="G301" s="21" t="s">
        <v>338</v>
      </c>
      <c r="H301" s="21" t="s">
        <v>338</v>
      </c>
      <c r="I301" s="21" t="s">
        <v>313</v>
      </c>
      <c r="J301" s="21" t="s">
        <v>313</v>
      </c>
      <c r="K301" s="21" t="s">
        <v>313</v>
      </c>
      <c r="L301" s="21" t="s">
        <v>313</v>
      </c>
      <c r="M301" s="21" t="s">
        <v>313</v>
      </c>
      <c r="N301" s="21" t="s">
        <v>313</v>
      </c>
      <c r="O301" s="21" t="s">
        <v>313</v>
      </c>
      <c r="P301" s="21" t="s">
        <v>313</v>
      </c>
      <c r="Q301" s="21" t="s">
        <v>313</v>
      </c>
      <c r="R301" s="21" t="s">
        <v>313</v>
      </c>
      <c r="S301" s="21" t="s">
        <v>313</v>
      </c>
      <c r="T301" s="21" t="s">
        <v>313</v>
      </c>
      <c r="U301" s="21" t="s">
        <v>313</v>
      </c>
      <c r="V301" s="21" t="s">
        <v>313</v>
      </c>
      <c r="W301" s="21" t="s">
        <v>313</v>
      </c>
      <c r="X301" s="21" t="s">
        <v>313</v>
      </c>
      <c r="Y301" s="21" t="s">
        <v>313</v>
      </c>
      <c r="Z301" s="21" t="s">
        <v>313</v>
      </c>
      <c r="AA301" s="21" t="s">
        <v>313</v>
      </c>
      <c r="AB301" s="21" t="s">
        <v>313</v>
      </c>
      <c r="AC301" s="21" t="s">
        <v>313</v>
      </c>
      <c r="AD301" s="21" t="s">
        <v>313</v>
      </c>
      <c r="AE301" s="21" t="s">
        <v>313</v>
      </c>
      <c r="AF301" s="21" t="s">
        <v>313</v>
      </c>
      <c r="AG301" s="21" t="s">
        <v>313</v>
      </c>
      <c r="AH301" s="21" t="s">
        <v>313</v>
      </c>
      <c r="AI301" s="21" t="s">
        <v>313</v>
      </c>
      <c r="AJ301" s="21" t="s">
        <v>313</v>
      </c>
      <c r="AK301" s="21" t="s">
        <v>313</v>
      </c>
      <c r="AL301" s="21" t="s">
        <v>313</v>
      </c>
      <c r="AM301" s="21"/>
      <c r="AN301" s="21"/>
      <c r="AO301" s="21"/>
      <c r="AP301" s="21"/>
      <c r="AQ301" s="21"/>
      <c r="AR301" s="21"/>
      <c r="AS301" s="21"/>
      <c r="AT301" s="21"/>
      <c r="AU301" s="21"/>
      <c r="AV301" s="21"/>
      <c r="AW301" s="21"/>
      <c r="AX301" s="21"/>
    </row>
    <row r="302" spans="1:50" ht="18" customHeight="1" x14ac:dyDescent="0.3">
      <c r="A302" s="30" t="s">
        <v>62</v>
      </c>
      <c r="B302" s="29" t="str">
        <f>IFERROR(VLOOKUP(A302,'[1]JL EXE ACTIVE FTE List'!$G:$N,8,FALSE),IF(ISNA(VLOOKUP(A302,'[1]JL EXE LEAVER List'!$G:$I,3,FALSE)),"Query","Leaver"))</f>
        <v>CST</v>
      </c>
      <c r="C302" s="29" t="str">
        <f>IFERROR(VLOOKUP(A302,'[1]JL EXE ACTIVE FTE List'!$G:$R,12,FALSE),IF(ISNA(VLOOKUP(A302,'[1]JL EXE LEAVER List'!$G:$I,3,FALSE)),"?QUERY?","Leaver"))</f>
        <v>ACTIVE</v>
      </c>
      <c r="D302" s="39" t="s">
        <v>368</v>
      </c>
      <c r="E302" s="40">
        <f>IFERROR(IFERROR(VLOOKUP(A302,'[1]JL EXE ACTIVE FTE List'!$G:$O,9,FALSE),VLOOKUP(A302,'[1]JL EXE LEAVER List'!$G:$O,9,FALSE)),"?QUERY?")</f>
        <v>42835</v>
      </c>
      <c r="F302" s="21" t="s">
        <v>338</v>
      </c>
      <c r="G302" s="21" t="s">
        <v>338</v>
      </c>
      <c r="H302" s="21" t="s">
        <v>335</v>
      </c>
      <c r="I302" s="21" t="s">
        <v>313</v>
      </c>
      <c r="J302" s="21" t="s">
        <v>313</v>
      </c>
      <c r="K302" s="21" t="s">
        <v>313</v>
      </c>
      <c r="L302" s="21" t="s">
        <v>313</v>
      </c>
      <c r="M302" s="21" t="s">
        <v>313</v>
      </c>
      <c r="N302" s="21" t="s">
        <v>313</v>
      </c>
      <c r="O302" s="21" t="s">
        <v>313</v>
      </c>
      <c r="P302" s="21" t="s">
        <v>313</v>
      </c>
      <c r="Q302" s="21" t="s">
        <v>313</v>
      </c>
      <c r="R302" s="21" t="s">
        <v>313</v>
      </c>
      <c r="S302" s="21" t="s">
        <v>313</v>
      </c>
      <c r="T302" s="21" t="s">
        <v>313</v>
      </c>
      <c r="U302" s="21" t="s">
        <v>313</v>
      </c>
      <c r="V302" s="21" t="s">
        <v>313</v>
      </c>
      <c r="W302" s="21" t="s">
        <v>313</v>
      </c>
      <c r="X302" s="21" t="s">
        <v>313</v>
      </c>
      <c r="Y302" s="21" t="s">
        <v>313</v>
      </c>
      <c r="Z302" s="21" t="s">
        <v>313</v>
      </c>
      <c r="AA302" s="21" t="s">
        <v>313</v>
      </c>
      <c r="AB302" s="21" t="s">
        <v>313</v>
      </c>
      <c r="AC302" s="21" t="s">
        <v>313</v>
      </c>
      <c r="AD302" s="21" t="s">
        <v>313</v>
      </c>
      <c r="AE302" s="21" t="s">
        <v>313</v>
      </c>
      <c r="AF302" s="21" t="s">
        <v>313</v>
      </c>
      <c r="AG302" s="21" t="s">
        <v>313</v>
      </c>
      <c r="AH302" s="21" t="s">
        <v>313</v>
      </c>
      <c r="AI302" s="21" t="s">
        <v>313</v>
      </c>
      <c r="AJ302" s="21" t="s">
        <v>313</v>
      </c>
      <c r="AK302" s="21" t="s">
        <v>313</v>
      </c>
      <c r="AL302" s="21" t="s">
        <v>313</v>
      </c>
      <c r="AM302" s="21"/>
      <c r="AN302" s="21"/>
      <c r="AO302" s="21"/>
      <c r="AP302" s="21"/>
      <c r="AQ302" s="21"/>
      <c r="AR302" s="21"/>
      <c r="AS302" s="21"/>
      <c r="AT302" s="21"/>
      <c r="AU302" s="21"/>
      <c r="AV302" s="21"/>
      <c r="AW302" s="21"/>
      <c r="AX302" s="21"/>
    </row>
    <row r="303" spans="1:50" x14ac:dyDescent="0.3">
      <c r="A303" s="30" t="s">
        <v>99</v>
      </c>
      <c r="B303" s="29" t="str">
        <f>IFERROR(VLOOKUP(A303,'[1]JL EXE ACTIVE FTE List'!$G:$N,8,FALSE),IF(ISNA(VLOOKUP(A303,'[1]JL EXE LEAVER List'!$G:$I,3,FALSE)),"Query","Leaver"))</f>
        <v>CST</v>
      </c>
      <c r="C303" s="29" t="str">
        <f>IFERROR(VLOOKUP(A303,'[1]JL EXE ACTIVE FTE List'!$G:$R,12,FALSE),IF(ISNA(VLOOKUP(A303,'[1]JL EXE LEAVER List'!$G:$I,3,FALSE)),"?QUERY?","Leaver"))</f>
        <v>ACTIVE</v>
      </c>
      <c r="D303" s="39" t="str">
        <f>IFERROR(IFERROR(VLOOKUP(A303,'[1]JL EXE ACTIVE FTE List'!$G:$H,2,FALSE),VLOOKUP(A303,'[1]JL EXE LEAVER List'!$G:$H,2,FALSE)),"?QUERY?")</f>
        <v>Troy Barnaschone</v>
      </c>
      <c r="E303" s="40">
        <f>IFERROR(IFERROR(VLOOKUP(A303,'[1]JL EXE ACTIVE FTE List'!$G:$O,9,FALSE),VLOOKUP(A303,'[1]JL EXE LEAVER List'!$G:$O,9,FALSE)),"?QUERY?")</f>
        <v>42372</v>
      </c>
      <c r="F303" s="21" t="s">
        <v>338</v>
      </c>
      <c r="G303" s="21" t="s">
        <v>338</v>
      </c>
      <c r="H303" s="21" t="s">
        <v>335</v>
      </c>
      <c r="I303" s="21" t="s">
        <v>313</v>
      </c>
      <c r="J303" s="21" t="s">
        <v>313</v>
      </c>
      <c r="K303" s="21" t="s">
        <v>313</v>
      </c>
      <c r="L303" s="21" t="s">
        <v>313</v>
      </c>
      <c r="M303" s="21" t="s">
        <v>313</v>
      </c>
      <c r="N303" s="21" t="s">
        <v>313</v>
      </c>
      <c r="O303" s="21" t="s">
        <v>313</v>
      </c>
      <c r="P303" s="21" t="s">
        <v>313</v>
      </c>
      <c r="Q303" s="21" t="s">
        <v>313</v>
      </c>
      <c r="R303" s="21" t="s">
        <v>313</v>
      </c>
      <c r="S303" s="21" t="s">
        <v>313</v>
      </c>
      <c r="T303" s="21" t="s">
        <v>313</v>
      </c>
      <c r="U303" s="21" t="s">
        <v>313</v>
      </c>
      <c r="V303" s="21" t="s">
        <v>313</v>
      </c>
      <c r="W303" s="21" t="s">
        <v>313</v>
      </c>
      <c r="X303" s="21" t="s">
        <v>313</v>
      </c>
      <c r="Y303" s="21" t="s">
        <v>313</v>
      </c>
      <c r="Z303" s="21" t="s">
        <v>313</v>
      </c>
      <c r="AA303" s="21" t="s">
        <v>313</v>
      </c>
      <c r="AB303" s="21" t="s">
        <v>313</v>
      </c>
      <c r="AC303" s="21" t="s">
        <v>313</v>
      </c>
      <c r="AD303" s="21" t="s">
        <v>313</v>
      </c>
      <c r="AE303" s="21" t="s">
        <v>313</v>
      </c>
      <c r="AF303" s="21" t="s">
        <v>313</v>
      </c>
      <c r="AG303" s="21" t="s">
        <v>313</v>
      </c>
      <c r="AH303" s="21" t="s">
        <v>313</v>
      </c>
      <c r="AI303" s="21" t="s">
        <v>313</v>
      </c>
      <c r="AJ303" s="21" t="s">
        <v>313</v>
      </c>
      <c r="AK303" s="21" t="s">
        <v>313</v>
      </c>
      <c r="AL303" s="21" t="s">
        <v>313</v>
      </c>
      <c r="AM303" s="21" t="s">
        <v>313</v>
      </c>
      <c r="AN303" s="21" t="s">
        <v>313</v>
      </c>
      <c r="AO303" s="21" t="s">
        <v>313</v>
      </c>
      <c r="AP303" s="21" t="s">
        <v>313</v>
      </c>
      <c r="AQ303" s="21" t="s">
        <v>313</v>
      </c>
      <c r="AR303" s="21" t="s">
        <v>313</v>
      </c>
      <c r="AS303" s="21" t="s">
        <v>313</v>
      </c>
      <c r="AT303" s="21" t="s">
        <v>313</v>
      </c>
      <c r="AU303" s="21" t="s">
        <v>313</v>
      </c>
      <c r="AV303" s="21" t="s">
        <v>313</v>
      </c>
      <c r="AW303" s="21" t="s">
        <v>313</v>
      </c>
      <c r="AX303" s="21" t="s">
        <v>313</v>
      </c>
    </row>
    <row r="304" spans="1:50" ht="18.75" hidden="1" customHeight="1" x14ac:dyDescent="0.3">
      <c r="A304" s="30" t="s">
        <v>118</v>
      </c>
      <c r="B304" s="29" t="str">
        <f>IFERROR(VLOOKUP(A304,'[1]JL EXE ACTIVE FTE List'!$G:$N,8,FALSE),IF(ISNA(VLOOKUP(A304,'[1]JL EXE LEAVER List'!$G:$I,3,FALSE)),"Query","Leaver"))</f>
        <v>Leaver</v>
      </c>
      <c r="C304" s="29" t="str">
        <f>IFERROR(VLOOKUP(A304,'[1]JL EXE ACTIVE FTE List'!$G:$R,12,FALSE),IF(ISNA(VLOOKUP(A304,'[1]JL EXE LEAVER List'!$G:$I,3,FALSE)),"?QUERY?","Leaver"))</f>
        <v>Leaver</v>
      </c>
      <c r="D304" s="39" t="str">
        <f>IFERROR(IFERROR(VLOOKUP(A304,'[1]JL EXE ACTIVE FTE List'!$G:$H,2,FALSE),VLOOKUP(A304,'[1]JL EXE LEAVER List'!$G:$H,2,FALSE)),"?QUERY?")</f>
        <v>Sean Rowe</v>
      </c>
      <c r="E304" s="40">
        <f>IFERROR(IFERROR(VLOOKUP(A304,'[1]JL EXE ACTIVE FTE List'!$G:$O,9,FALSE),VLOOKUP(A304,'[1]JL EXE LEAVER List'!$G:$O,9,FALSE)),"?QUERY?")</f>
        <v>42989</v>
      </c>
      <c r="F304" s="21" t="s">
        <v>335</v>
      </c>
      <c r="G304" s="21" t="s">
        <v>313</v>
      </c>
      <c r="H304" s="21" t="s">
        <v>313</v>
      </c>
      <c r="I304" s="21" t="s">
        <v>313</v>
      </c>
      <c r="J304" s="21" t="s">
        <v>313</v>
      </c>
      <c r="K304" s="21" t="s">
        <v>313</v>
      </c>
      <c r="L304" s="21" t="s">
        <v>313</v>
      </c>
      <c r="M304" s="21" t="s">
        <v>313</v>
      </c>
      <c r="N304" s="21" t="s">
        <v>313</v>
      </c>
      <c r="O304" s="21" t="s">
        <v>313</v>
      </c>
      <c r="P304" s="21" t="s">
        <v>313</v>
      </c>
      <c r="Q304" s="21" t="s">
        <v>313</v>
      </c>
      <c r="R304" s="21" t="s">
        <v>313</v>
      </c>
      <c r="S304" s="21" t="s">
        <v>313</v>
      </c>
      <c r="T304" s="21" t="s">
        <v>313</v>
      </c>
      <c r="U304" s="21" t="s">
        <v>313</v>
      </c>
      <c r="V304" s="21" t="s">
        <v>313</v>
      </c>
      <c r="W304" s="21" t="s">
        <v>313</v>
      </c>
      <c r="X304" s="21" t="s">
        <v>313</v>
      </c>
      <c r="Y304" s="21" t="s">
        <v>313</v>
      </c>
      <c r="Z304" s="21" t="s">
        <v>313</v>
      </c>
      <c r="AA304" s="21" t="s">
        <v>313</v>
      </c>
      <c r="AB304" s="21" t="s">
        <v>313</v>
      </c>
      <c r="AC304" s="21" t="s">
        <v>313</v>
      </c>
      <c r="AD304" s="21" t="s">
        <v>313</v>
      </c>
      <c r="AE304" s="21" t="s">
        <v>313</v>
      </c>
      <c r="AF304" s="21" t="s">
        <v>313</v>
      </c>
      <c r="AG304" s="21" t="s">
        <v>313</v>
      </c>
      <c r="AH304" s="21" t="s">
        <v>313</v>
      </c>
      <c r="AI304" s="21" t="s">
        <v>313</v>
      </c>
      <c r="AJ304" s="21" t="s">
        <v>313</v>
      </c>
      <c r="AK304" s="21" t="s">
        <v>313</v>
      </c>
      <c r="AL304" s="21" t="s">
        <v>313</v>
      </c>
      <c r="AM304" s="21" t="s">
        <v>313</v>
      </c>
      <c r="AN304" s="21" t="s">
        <v>313</v>
      </c>
      <c r="AO304" s="21" t="s">
        <v>313</v>
      </c>
      <c r="AP304" s="21" t="s">
        <v>313</v>
      </c>
      <c r="AQ304" s="21" t="s">
        <v>313</v>
      </c>
      <c r="AR304" s="21" t="s">
        <v>313</v>
      </c>
      <c r="AS304" s="21" t="s">
        <v>313</v>
      </c>
      <c r="AT304" s="21" t="s">
        <v>313</v>
      </c>
      <c r="AU304" s="21" t="s">
        <v>313</v>
      </c>
      <c r="AV304" s="21" t="s">
        <v>313</v>
      </c>
      <c r="AW304" s="21" t="s">
        <v>313</v>
      </c>
      <c r="AX304" s="21" t="s">
        <v>313</v>
      </c>
    </row>
    <row r="305" spans="1:50" ht="18" hidden="1" customHeight="1" x14ac:dyDescent="0.3">
      <c r="A305" s="30" t="s">
        <v>119</v>
      </c>
      <c r="B305" s="29" t="str">
        <f>IFERROR(VLOOKUP(A305,'[1]JL EXE ACTIVE FTE List'!$G:$N,8,FALSE),IF(ISNA(VLOOKUP(A305,'[1]JL EXE LEAVER List'!$G:$I,3,FALSE)),"Query","Leaver"))</f>
        <v>Leaver</v>
      </c>
      <c r="C305" s="29" t="str">
        <f>IFERROR(VLOOKUP(A305,'[1]JL EXE ACTIVE FTE List'!$G:$R,12,FALSE),IF(ISNA(VLOOKUP(A305,'[1]JL EXE LEAVER List'!$G:$I,3,FALSE)),"?QUERY?","Leaver"))</f>
        <v>Leaver</v>
      </c>
      <c r="D305" s="39" t="str">
        <f>IFERROR(IFERROR(VLOOKUP(A305,'[1]JL EXE ACTIVE FTE List'!$G:$H,2,FALSE),VLOOKUP(A305,'[1]JL EXE LEAVER List'!$G:$H,2,FALSE)),"?QUERY?")</f>
        <v>Sean Rowe</v>
      </c>
      <c r="E305" s="40">
        <f>IFERROR(IFERROR(VLOOKUP(A305,'[1]JL EXE ACTIVE FTE List'!$G:$O,9,FALSE),VLOOKUP(A305,'[1]JL EXE LEAVER List'!$G:$O,9,FALSE)),"?QUERY?")</f>
        <v>42989</v>
      </c>
      <c r="F305" s="21" t="s">
        <v>335</v>
      </c>
      <c r="G305" s="21" t="s">
        <v>313</v>
      </c>
      <c r="H305" s="21" t="s">
        <v>313</v>
      </c>
      <c r="I305" s="21" t="s">
        <v>313</v>
      </c>
      <c r="J305" s="21" t="s">
        <v>313</v>
      </c>
      <c r="K305" s="21" t="s">
        <v>313</v>
      </c>
      <c r="L305" s="21" t="s">
        <v>313</v>
      </c>
      <c r="M305" s="21" t="s">
        <v>313</v>
      </c>
      <c r="N305" s="21" t="s">
        <v>313</v>
      </c>
      <c r="O305" s="21" t="s">
        <v>313</v>
      </c>
      <c r="P305" s="21" t="s">
        <v>313</v>
      </c>
      <c r="Q305" s="21" t="s">
        <v>313</v>
      </c>
      <c r="R305" s="21" t="s">
        <v>313</v>
      </c>
      <c r="S305" s="21" t="s">
        <v>313</v>
      </c>
      <c r="T305" s="21" t="s">
        <v>313</v>
      </c>
      <c r="U305" s="21" t="s">
        <v>313</v>
      </c>
      <c r="V305" s="21" t="s">
        <v>313</v>
      </c>
      <c r="W305" s="21" t="s">
        <v>313</v>
      </c>
      <c r="X305" s="21" t="s">
        <v>313</v>
      </c>
      <c r="Y305" s="21" t="s">
        <v>313</v>
      </c>
      <c r="Z305" s="21" t="s">
        <v>313</v>
      </c>
      <c r="AA305" s="21" t="s">
        <v>313</v>
      </c>
      <c r="AB305" s="21" t="s">
        <v>313</v>
      </c>
      <c r="AC305" s="21" t="s">
        <v>313</v>
      </c>
      <c r="AD305" s="21" t="s">
        <v>313</v>
      </c>
      <c r="AE305" s="21" t="s">
        <v>313</v>
      </c>
      <c r="AF305" s="21" t="s">
        <v>313</v>
      </c>
      <c r="AG305" s="21" t="s">
        <v>313</v>
      </c>
      <c r="AH305" s="21" t="s">
        <v>313</v>
      </c>
      <c r="AI305" s="21" t="s">
        <v>313</v>
      </c>
      <c r="AJ305" s="21" t="s">
        <v>313</v>
      </c>
      <c r="AK305" s="21" t="s">
        <v>313</v>
      </c>
      <c r="AL305" s="21" t="s">
        <v>313</v>
      </c>
      <c r="AM305" s="21" t="s">
        <v>313</v>
      </c>
      <c r="AN305" s="21" t="s">
        <v>313</v>
      </c>
      <c r="AO305" s="21" t="s">
        <v>313</v>
      </c>
      <c r="AP305" s="21" t="s">
        <v>313</v>
      </c>
      <c r="AQ305" s="21" t="s">
        <v>313</v>
      </c>
      <c r="AR305" s="21" t="s">
        <v>313</v>
      </c>
      <c r="AS305" s="21" t="s">
        <v>313</v>
      </c>
      <c r="AT305" s="21" t="s">
        <v>313</v>
      </c>
      <c r="AU305" s="21" t="s">
        <v>313</v>
      </c>
      <c r="AV305" s="21" t="s">
        <v>313</v>
      </c>
      <c r="AW305" s="21" t="s">
        <v>313</v>
      </c>
      <c r="AX305" s="21" t="s">
        <v>313</v>
      </c>
    </row>
    <row r="306" spans="1:50" ht="18" customHeight="1" x14ac:dyDescent="0.3">
      <c r="A306" s="30" t="s">
        <v>172</v>
      </c>
      <c r="B306" s="29" t="str">
        <f>IFERROR(VLOOKUP(A306,'[1]JL EXE ACTIVE FTE List'!$G:$N,8,FALSE),IF(ISNA(VLOOKUP(A306,'[1]JL EXE LEAVER List'!$G:$I,3,FALSE)),"Query","Leaver"))</f>
        <v>CST</v>
      </c>
      <c r="C306" s="29" t="str">
        <f>IFERROR(VLOOKUP(A306,'[1]JL EXE ACTIVE FTE List'!$G:$R,12,FALSE),IF(ISNA(VLOOKUP(A306,'[1]JL EXE LEAVER List'!$G:$I,3,FALSE)),"?QUERY?","Leaver"))</f>
        <v>ACTIVE</v>
      </c>
      <c r="D306" s="39" t="str">
        <f>IFERROR(IFERROR(VLOOKUP(A306,'[1]JL EXE ACTIVE FTE List'!$G:$H,2,FALSE),VLOOKUP(A306,'[1]JL EXE LEAVER List'!$G:$H,2,FALSE)),"?QUERY?")</f>
        <v>Troy Barnaschone</v>
      </c>
      <c r="E306" s="40">
        <f>IFERROR(IFERROR(VLOOKUP(A306,'[1]JL EXE ACTIVE FTE List'!$G:$O,9,FALSE),VLOOKUP(A306,'[1]JL EXE LEAVER List'!$G:$O,9,FALSE)),"?QUERY?")</f>
        <v>42590</v>
      </c>
      <c r="F306" s="21" t="s">
        <v>338</v>
      </c>
      <c r="G306" s="21" t="s">
        <v>338</v>
      </c>
      <c r="H306" s="21" t="s">
        <v>338</v>
      </c>
      <c r="I306" s="21" t="s">
        <v>313</v>
      </c>
      <c r="J306" s="21" t="s">
        <v>313</v>
      </c>
      <c r="K306" s="21" t="s">
        <v>313</v>
      </c>
      <c r="L306" s="21" t="s">
        <v>313</v>
      </c>
      <c r="M306" s="21" t="s">
        <v>313</v>
      </c>
      <c r="N306" s="21" t="s">
        <v>313</v>
      </c>
      <c r="O306" s="21" t="s">
        <v>313</v>
      </c>
      <c r="P306" s="21" t="s">
        <v>313</v>
      </c>
      <c r="Q306" s="21" t="s">
        <v>313</v>
      </c>
      <c r="R306" s="21" t="s">
        <v>313</v>
      </c>
      <c r="S306" s="21" t="s">
        <v>313</v>
      </c>
      <c r="T306" s="21" t="s">
        <v>313</v>
      </c>
      <c r="U306" s="21" t="s">
        <v>313</v>
      </c>
      <c r="V306" s="21" t="s">
        <v>313</v>
      </c>
      <c r="W306" s="21" t="s">
        <v>313</v>
      </c>
      <c r="X306" s="21" t="s">
        <v>313</v>
      </c>
      <c r="Y306" s="21" t="s">
        <v>313</v>
      </c>
      <c r="Z306" s="21" t="s">
        <v>313</v>
      </c>
      <c r="AA306" s="21" t="s">
        <v>313</v>
      </c>
      <c r="AB306" s="21" t="s">
        <v>313</v>
      </c>
      <c r="AC306" s="21" t="s">
        <v>313</v>
      </c>
      <c r="AD306" s="21" t="s">
        <v>313</v>
      </c>
      <c r="AE306" s="21" t="s">
        <v>313</v>
      </c>
      <c r="AF306" s="21" t="s">
        <v>313</v>
      </c>
      <c r="AG306" s="21" t="s">
        <v>313</v>
      </c>
      <c r="AH306" s="21" t="s">
        <v>313</v>
      </c>
      <c r="AI306" s="21" t="s">
        <v>313</v>
      </c>
      <c r="AJ306" s="21" t="s">
        <v>313</v>
      </c>
      <c r="AK306" s="21" t="s">
        <v>313</v>
      </c>
      <c r="AL306" s="21" t="s">
        <v>313</v>
      </c>
      <c r="AM306" s="21" t="s">
        <v>313</v>
      </c>
      <c r="AN306" s="21" t="s">
        <v>313</v>
      </c>
      <c r="AO306" s="21" t="s">
        <v>313</v>
      </c>
      <c r="AP306" s="21" t="s">
        <v>313</v>
      </c>
      <c r="AQ306" s="21" t="s">
        <v>313</v>
      </c>
      <c r="AR306" s="21" t="s">
        <v>313</v>
      </c>
      <c r="AS306" s="21" t="s">
        <v>313</v>
      </c>
      <c r="AT306" s="21" t="s">
        <v>313</v>
      </c>
      <c r="AU306" s="21" t="s">
        <v>313</v>
      </c>
      <c r="AV306" s="21" t="s">
        <v>313</v>
      </c>
      <c r="AW306" s="21" t="s">
        <v>313</v>
      </c>
      <c r="AX306" s="21" t="s">
        <v>313</v>
      </c>
    </row>
    <row r="307" spans="1:50" ht="18" customHeight="1" x14ac:dyDescent="0.3">
      <c r="A307" s="30" t="s">
        <v>210</v>
      </c>
      <c r="B307" s="29" t="str">
        <f>IFERROR(VLOOKUP(A307,'[1]JL EXE ACTIVE FTE List'!$G:$N,8,FALSE),IF(ISNA(VLOOKUP(A307,'[1]JL EXE LEAVER List'!$G:$I,3,FALSE)),"Query","Leaver"))</f>
        <v>CST</v>
      </c>
      <c r="C307" s="29" t="str">
        <f>IFERROR(VLOOKUP(A307,'[1]JL EXE ACTIVE FTE List'!$G:$R,12,FALSE),IF(ISNA(VLOOKUP(A307,'[1]JL EXE LEAVER List'!$G:$I,3,FALSE)),"?QUERY?","Leaver"))</f>
        <v>ACTIVE</v>
      </c>
      <c r="D307" s="39" t="str">
        <f>IFERROR(IFERROR(VLOOKUP(A307,'[1]JL EXE ACTIVE FTE List'!$G:$H,2,FALSE),VLOOKUP(A307,'[1]JL EXE LEAVER List'!$G:$H,2,FALSE)),"?QUERY?")</f>
        <v>Troy Barnaschone</v>
      </c>
      <c r="E307" s="40">
        <f>IFERROR(IFERROR(VLOOKUP(A307,'[1]JL EXE ACTIVE FTE List'!$G:$O,9,FALSE),VLOOKUP(A307,'[1]JL EXE LEAVER List'!$G:$O,9,FALSE)),"?QUERY?")</f>
        <v>41617</v>
      </c>
      <c r="F307" s="21" t="s">
        <v>338</v>
      </c>
      <c r="G307" s="21" t="s">
        <v>338</v>
      </c>
      <c r="H307" s="21" t="s">
        <v>338</v>
      </c>
      <c r="I307" s="21" t="s">
        <v>313</v>
      </c>
      <c r="J307" s="21" t="s">
        <v>313</v>
      </c>
      <c r="K307" s="21" t="s">
        <v>313</v>
      </c>
      <c r="L307" s="21" t="s">
        <v>313</v>
      </c>
      <c r="M307" s="21" t="s">
        <v>313</v>
      </c>
      <c r="N307" s="21" t="s">
        <v>313</v>
      </c>
      <c r="O307" s="21" t="s">
        <v>313</v>
      </c>
      <c r="P307" s="21" t="s">
        <v>313</v>
      </c>
      <c r="Q307" s="21" t="s">
        <v>313</v>
      </c>
      <c r="R307" s="21" t="s">
        <v>313</v>
      </c>
      <c r="S307" s="21" t="s">
        <v>313</v>
      </c>
      <c r="T307" s="21" t="s">
        <v>313</v>
      </c>
      <c r="U307" s="21" t="s">
        <v>313</v>
      </c>
      <c r="V307" s="21" t="s">
        <v>313</v>
      </c>
      <c r="W307" s="21" t="s">
        <v>313</v>
      </c>
      <c r="X307" s="21" t="s">
        <v>313</v>
      </c>
      <c r="Y307" s="21" t="s">
        <v>313</v>
      </c>
      <c r="Z307" s="21" t="s">
        <v>313</v>
      </c>
      <c r="AA307" s="21" t="s">
        <v>313</v>
      </c>
      <c r="AB307" s="21" t="s">
        <v>313</v>
      </c>
      <c r="AC307" s="21" t="s">
        <v>313</v>
      </c>
      <c r="AD307" s="21" t="s">
        <v>313</v>
      </c>
      <c r="AE307" s="21" t="s">
        <v>313</v>
      </c>
      <c r="AF307" s="21" t="s">
        <v>313</v>
      </c>
      <c r="AG307" s="21" t="s">
        <v>313</v>
      </c>
      <c r="AH307" s="21" t="s">
        <v>313</v>
      </c>
      <c r="AI307" s="21" t="s">
        <v>313</v>
      </c>
      <c r="AJ307" s="21" t="s">
        <v>313</v>
      </c>
      <c r="AK307" s="21" t="s">
        <v>313</v>
      </c>
      <c r="AL307" s="21" t="s">
        <v>313</v>
      </c>
      <c r="AM307" s="21" t="s">
        <v>313</v>
      </c>
      <c r="AN307" s="21" t="s">
        <v>313</v>
      </c>
      <c r="AO307" s="21" t="s">
        <v>313</v>
      </c>
      <c r="AP307" s="21" t="s">
        <v>313</v>
      </c>
      <c r="AQ307" s="21" t="s">
        <v>313</v>
      </c>
      <c r="AR307" s="21" t="s">
        <v>313</v>
      </c>
      <c r="AS307" s="21" t="s">
        <v>313</v>
      </c>
      <c r="AT307" s="21" t="s">
        <v>313</v>
      </c>
      <c r="AU307" s="21" t="s">
        <v>313</v>
      </c>
      <c r="AV307" s="21" t="s">
        <v>313</v>
      </c>
      <c r="AW307" s="21" t="s">
        <v>313</v>
      </c>
      <c r="AX307" s="21" t="s">
        <v>313</v>
      </c>
    </row>
    <row r="308" spans="1:50" ht="18" customHeight="1" x14ac:dyDescent="0.3">
      <c r="A308" s="30" t="s">
        <v>237</v>
      </c>
      <c r="B308" s="29" t="str">
        <f>IFERROR(VLOOKUP(A308,'[1]JL EXE ACTIVE FTE List'!$G:$N,8,FALSE),IF(ISNA(VLOOKUP(A308,'[1]JL EXE LEAVER List'!$G:$I,3,FALSE)),"Query","Leaver"))</f>
        <v>CST</v>
      </c>
      <c r="C308" s="29" t="str">
        <f>IFERROR(VLOOKUP(A308,'[1]JL EXE ACTIVE FTE List'!$G:$R,12,FALSE),IF(ISNA(VLOOKUP(A308,'[1]JL EXE LEAVER List'!$G:$I,3,FALSE)),"?QUERY?","Leaver"))</f>
        <v>ACTIVE</v>
      </c>
      <c r="D308" s="39" t="str">
        <f>IFERROR(IFERROR(VLOOKUP(A308,'[1]JL EXE ACTIVE FTE List'!$G:$H,2,FALSE),VLOOKUP(A308,'[1]JL EXE LEAVER List'!$G:$H,2,FALSE)),"?QUERY?")</f>
        <v>Troy Barnaschone</v>
      </c>
      <c r="E308" s="40">
        <f>IFERROR(IFERROR(VLOOKUP(A308,'[1]JL EXE ACTIVE FTE List'!$G:$O,9,FALSE),VLOOKUP(A308,'[1]JL EXE LEAVER List'!$G:$O,9,FALSE)),"?QUERY?")</f>
        <v>42677</v>
      </c>
      <c r="F308" s="21" t="s">
        <v>338</v>
      </c>
      <c r="G308" s="21" t="s">
        <v>338</v>
      </c>
      <c r="H308" s="21" t="s">
        <v>338</v>
      </c>
      <c r="I308" s="21" t="s">
        <v>313</v>
      </c>
      <c r="J308" s="21" t="s">
        <v>313</v>
      </c>
      <c r="K308" s="21" t="s">
        <v>313</v>
      </c>
      <c r="L308" s="21" t="s">
        <v>313</v>
      </c>
      <c r="M308" s="21" t="s">
        <v>313</v>
      </c>
      <c r="N308" s="21" t="s">
        <v>313</v>
      </c>
      <c r="O308" s="21" t="s">
        <v>313</v>
      </c>
      <c r="P308" s="21" t="s">
        <v>313</v>
      </c>
      <c r="Q308" s="21" t="s">
        <v>313</v>
      </c>
      <c r="R308" s="21" t="s">
        <v>313</v>
      </c>
      <c r="S308" s="21" t="s">
        <v>313</v>
      </c>
      <c r="T308" s="21" t="s">
        <v>313</v>
      </c>
      <c r="U308" s="21" t="s">
        <v>313</v>
      </c>
      <c r="V308" s="21" t="s">
        <v>313</v>
      </c>
      <c r="W308" s="21" t="s">
        <v>313</v>
      </c>
      <c r="X308" s="21" t="s">
        <v>313</v>
      </c>
      <c r="Y308" s="21" t="s">
        <v>313</v>
      </c>
      <c r="Z308" s="21" t="s">
        <v>313</v>
      </c>
      <c r="AA308" s="21" t="s">
        <v>313</v>
      </c>
      <c r="AB308" s="21" t="s">
        <v>313</v>
      </c>
      <c r="AC308" s="21" t="s">
        <v>313</v>
      </c>
      <c r="AD308" s="21" t="s">
        <v>313</v>
      </c>
      <c r="AE308" s="21" t="s">
        <v>313</v>
      </c>
      <c r="AF308" s="21" t="s">
        <v>313</v>
      </c>
      <c r="AG308" s="21" t="s">
        <v>313</v>
      </c>
      <c r="AH308" s="21" t="s">
        <v>313</v>
      </c>
      <c r="AI308" s="21" t="s">
        <v>313</v>
      </c>
      <c r="AJ308" s="21" t="s">
        <v>313</v>
      </c>
      <c r="AK308" s="21" t="s">
        <v>313</v>
      </c>
      <c r="AL308" s="21" t="s">
        <v>313</v>
      </c>
      <c r="AM308" s="21" t="s">
        <v>313</v>
      </c>
      <c r="AN308" s="21" t="s">
        <v>313</v>
      </c>
      <c r="AO308" s="21" t="s">
        <v>313</v>
      </c>
      <c r="AP308" s="21" t="s">
        <v>313</v>
      </c>
      <c r="AQ308" s="21" t="s">
        <v>313</v>
      </c>
      <c r="AR308" s="21" t="s">
        <v>313</v>
      </c>
      <c r="AS308" s="21" t="s">
        <v>313</v>
      </c>
      <c r="AT308" s="21" t="s">
        <v>313</v>
      </c>
      <c r="AU308" s="21" t="s">
        <v>313</v>
      </c>
      <c r="AV308" s="21" t="s">
        <v>313</v>
      </c>
      <c r="AW308" s="21" t="s">
        <v>313</v>
      </c>
      <c r="AX308" s="21" t="s">
        <v>313</v>
      </c>
    </row>
    <row r="309" spans="1:50" ht="18" customHeight="1" x14ac:dyDescent="0.3">
      <c r="A309" s="30" t="s">
        <v>211</v>
      </c>
      <c r="B309" s="29" t="str">
        <f>IFERROR(VLOOKUP(A309,'[1]JL EXE ACTIVE FTE List'!$G:$N,8,FALSE),IF(ISNA(VLOOKUP(A309,'[1]JL EXE LEAVER List'!$G:$I,3,FALSE)),"Query","Leaver"))</f>
        <v>CST</v>
      </c>
      <c r="C309" s="29" t="str">
        <f>IFERROR(VLOOKUP(A309,'[1]JL EXE ACTIVE FTE List'!$G:$R,12,FALSE),IF(ISNA(VLOOKUP(A309,'[1]JL EXE LEAVER List'!$G:$I,3,FALSE)),"?QUERY?","Leaver"))</f>
        <v>ACTIVE</v>
      </c>
      <c r="D309" s="39" t="str">
        <f>IFERROR(IFERROR(VLOOKUP(A309,'[1]JL EXE ACTIVE FTE List'!$G:$H,2,FALSE),VLOOKUP(A309,'[1]JL EXE LEAVER List'!$G:$H,2,FALSE)),"?QUERY?")</f>
        <v>Troy Barnaschone</v>
      </c>
      <c r="E309" s="40">
        <f>IFERROR(IFERROR(VLOOKUP(A309,'[1]JL EXE ACTIVE FTE List'!$G:$O,9,FALSE),VLOOKUP(A309,'[1]JL EXE LEAVER List'!$G:$O,9,FALSE)),"?QUERY?")</f>
        <v>42653</v>
      </c>
      <c r="F309" s="21" t="s">
        <v>338</v>
      </c>
      <c r="G309" s="21" t="s">
        <v>338</v>
      </c>
      <c r="H309" s="21" t="s">
        <v>338</v>
      </c>
      <c r="I309" s="21" t="s">
        <v>313</v>
      </c>
      <c r="J309" s="21" t="s">
        <v>313</v>
      </c>
      <c r="K309" s="21" t="s">
        <v>313</v>
      </c>
      <c r="L309" s="21" t="s">
        <v>313</v>
      </c>
      <c r="M309" s="21" t="s">
        <v>313</v>
      </c>
      <c r="N309" s="21" t="s">
        <v>313</v>
      </c>
      <c r="O309" s="21" t="s">
        <v>313</v>
      </c>
      <c r="P309" s="21" t="s">
        <v>313</v>
      </c>
      <c r="Q309" s="21" t="s">
        <v>313</v>
      </c>
      <c r="R309" s="21" t="s">
        <v>313</v>
      </c>
      <c r="S309" s="21" t="s">
        <v>313</v>
      </c>
      <c r="T309" s="21" t="s">
        <v>313</v>
      </c>
      <c r="U309" s="21" t="s">
        <v>313</v>
      </c>
      <c r="V309" s="21" t="s">
        <v>313</v>
      </c>
      <c r="W309" s="21" t="s">
        <v>313</v>
      </c>
      <c r="X309" s="21" t="s">
        <v>313</v>
      </c>
      <c r="Y309" s="21" t="s">
        <v>313</v>
      </c>
      <c r="Z309" s="21" t="s">
        <v>313</v>
      </c>
      <c r="AA309" s="21" t="s">
        <v>313</v>
      </c>
      <c r="AB309" s="21" t="s">
        <v>313</v>
      </c>
      <c r="AC309" s="21" t="s">
        <v>313</v>
      </c>
      <c r="AD309" s="21" t="s">
        <v>313</v>
      </c>
      <c r="AE309" s="21" t="s">
        <v>313</v>
      </c>
      <c r="AF309" s="21" t="s">
        <v>313</v>
      </c>
      <c r="AG309" s="21" t="s">
        <v>313</v>
      </c>
      <c r="AH309" s="21" t="s">
        <v>313</v>
      </c>
      <c r="AI309" s="21" t="s">
        <v>313</v>
      </c>
      <c r="AJ309" s="21" t="s">
        <v>313</v>
      </c>
      <c r="AK309" s="21" t="s">
        <v>313</v>
      </c>
      <c r="AL309" s="21" t="s">
        <v>313</v>
      </c>
      <c r="AM309" s="21" t="s">
        <v>313</v>
      </c>
      <c r="AN309" s="21" t="s">
        <v>313</v>
      </c>
      <c r="AO309" s="21" t="s">
        <v>313</v>
      </c>
      <c r="AP309" s="21" t="s">
        <v>313</v>
      </c>
      <c r="AQ309" s="21" t="s">
        <v>313</v>
      </c>
      <c r="AR309" s="21" t="s">
        <v>313</v>
      </c>
      <c r="AS309" s="21" t="s">
        <v>313</v>
      </c>
      <c r="AT309" s="21" t="s">
        <v>313</v>
      </c>
      <c r="AU309" s="21" t="s">
        <v>313</v>
      </c>
      <c r="AV309" s="21" t="s">
        <v>313</v>
      </c>
      <c r="AW309" s="21" t="s">
        <v>313</v>
      </c>
      <c r="AX309" s="21" t="s">
        <v>313</v>
      </c>
    </row>
    <row r="310" spans="1:50" ht="18" customHeight="1" x14ac:dyDescent="0.3">
      <c r="A310" s="30" t="s">
        <v>213</v>
      </c>
      <c r="B310" s="29" t="str">
        <f>IFERROR(VLOOKUP(A310,'[1]JL EXE ACTIVE FTE List'!$G:$N,8,FALSE),IF(ISNA(VLOOKUP(A310,'[1]JL EXE LEAVER List'!$G:$I,3,FALSE)),"Query","Leaver"))</f>
        <v>CST</v>
      </c>
      <c r="C310" s="29" t="str">
        <f>IFERROR(VLOOKUP(A310,'[1]JL EXE ACTIVE FTE List'!$G:$R,12,FALSE),IF(ISNA(VLOOKUP(A310,'[1]JL EXE LEAVER List'!$G:$I,3,FALSE)),"?QUERY?","Leaver"))</f>
        <v>ACTIVE</v>
      </c>
      <c r="D310" s="39" t="str">
        <f>IFERROR(IFERROR(VLOOKUP(A310,'[1]JL EXE ACTIVE FTE List'!$G:$H,2,FALSE),VLOOKUP(A310,'[1]JL EXE LEAVER List'!$G:$H,2,FALSE)),"?QUERY?")</f>
        <v>Troy Barnaschone</v>
      </c>
      <c r="E310" s="40">
        <f>IFERROR(IFERROR(VLOOKUP(A310,'[1]JL EXE ACTIVE FTE List'!$G:$O,9,FALSE),VLOOKUP(A310,'[1]JL EXE LEAVER List'!$G:$O,9,FALSE)),"?QUERY?")</f>
        <v>42625</v>
      </c>
      <c r="F310" s="21" t="s">
        <v>338</v>
      </c>
      <c r="G310" s="21" t="s">
        <v>338</v>
      </c>
      <c r="H310" s="21" t="s">
        <v>338</v>
      </c>
      <c r="I310" s="21" t="s">
        <v>313</v>
      </c>
      <c r="J310" s="21" t="s">
        <v>313</v>
      </c>
      <c r="K310" s="21" t="s">
        <v>313</v>
      </c>
      <c r="L310" s="21" t="s">
        <v>313</v>
      </c>
      <c r="M310" s="21" t="s">
        <v>313</v>
      </c>
      <c r="N310" s="21" t="s">
        <v>313</v>
      </c>
      <c r="O310" s="21" t="s">
        <v>313</v>
      </c>
      <c r="P310" s="21" t="s">
        <v>313</v>
      </c>
      <c r="Q310" s="21" t="s">
        <v>313</v>
      </c>
      <c r="R310" s="21" t="s">
        <v>313</v>
      </c>
      <c r="S310" s="21" t="s">
        <v>313</v>
      </c>
      <c r="T310" s="21" t="s">
        <v>313</v>
      </c>
      <c r="U310" s="21" t="s">
        <v>313</v>
      </c>
      <c r="V310" s="21" t="s">
        <v>313</v>
      </c>
      <c r="W310" s="21" t="s">
        <v>313</v>
      </c>
      <c r="X310" s="21" t="s">
        <v>313</v>
      </c>
      <c r="Y310" s="21" t="s">
        <v>313</v>
      </c>
      <c r="Z310" s="21" t="s">
        <v>313</v>
      </c>
      <c r="AA310" s="21" t="s">
        <v>313</v>
      </c>
      <c r="AB310" s="21" t="s">
        <v>313</v>
      </c>
      <c r="AC310" s="21" t="s">
        <v>313</v>
      </c>
      <c r="AD310" s="21" t="s">
        <v>313</v>
      </c>
      <c r="AE310" s="21" t="s">
        <v>313</v>
      </c>
      <c r="AF310" s="21" t="s">
        <v>313</v>
      </c>
      <c r="AG310" s="21" t="s">
        <v>313</v>
      </c>
      <c r="AH310" s="21" t="s">
        <v>313</v>
      </c>
      <c r="AI310" s="21" t="s">
        <v>313</v>
      </c>
      <c r="AJ310" s="21" t="s">
        <v>313</v>
      </c>
      <c r="AK310" s="21" t="s">
        <v>313</v>
      </c>
      <c r="AL310" s="21" t="s">
        <v>313</v>
      </c>
      <c r="AM310" s="21" t="s">
        <v>313</v>
      </c>
      <c r="AN310" s="21" t="s">
        <v>313</v>
      </c>
      <c r="AO310" s="21" t="s">
        <v>313</v>
      </c>
      <c r="AP310" s="21" t="s">
        <v>313</v>
      </c>
      <c r="AQ310" s="21" t="s">
        <v>313</v>
      </c>
      <c r="AR310" s="21" t="s">
        <v>313</v>
      </c>
      <c r="AS310" s="21" t="s">
        <v>313</v>
      </c>
      <c r="AT310" s="21" t="s">
        <v>313</v>
      </c>
      <c r="AU310" s="21" t="s">
        <v>313</v>
      </c>
      <c r="AV310" s="21" t="s">
        <v>313</v>
      </c>
      <c r="AW310" s="21" t="s">
        <v>313</v>
      </c>
      <c r="AX310" s="21" t="s">
        <v>313</v>
      </c>
    </row>
    <row r="311" spans="1:50" ht="18" customHeight="1" x14ac:dyDescent="0.3">
      <c r="A311" s="30" t="s">
        <v>238</v>
      </c>
      <c r="B311" s="29" t="str">
        <f>IFERROR(VLOOKUP(A311,'[1]JL EXE ACTIVE FTE List'!$G:$N,8,FALSE),IF(ISNA(VLOOKUP(A311,'[1]JL EXE LEAVER List'!$G:$I,3,FALSE)),"Query","Leaver"))</f>
        <v>CST</v>
      </c>
      <c r="C311" s="29" t="str">
        <f>IFERROR(VLOOKUP(A311,'[1]JL EXE ACTIVE FTE List'!$G:$R,12,FALSE),IF(ISNA(VLOOKUP(A311,'[1]JL EXE LEAVER List'!$G:$I,3,FALSE)),"?QUERY?","Leaver"))</f>
        <v>ACTIVE</v>
      </c>
      <c r="D311" s="39" t="str">
        <f>IFERROR(IFERROR(VLOOKUP(A311,'[1]JL EXE ACTIVE FTE List'!$G:$H,2,FALSE),VLOOKUP(A311,'[1]JL EXE LEAVER List'!$G:$H,2,FALSE)),"?QUERY?")</f>
        <v>Troy Barnaschone</v>
      </c>
      <c r="E311" s="40">
        <f>IFERROR(IFERROR(VLOOKUP(A311,'[1]JL EXE ACTIVE FTE List'!$G:$O,9,FALSE),VLOOKUP(A311,'[1]JL EXE LEAVER List'!$G:$O,9,FALSE)),"?QUERY?")</f>
        <v>42156</v>
      </c>
      <c r="F311" s="21" t="s">
        <v>338</v>
      </c>
      <c r="G311" s="21" t="s">
        <v>338</v>
      </c>
      <c r="H311" s="21" t="s">
        <v>338</v>
      </c>
      <c r="I311" s="21" t="s">
        <v>313</v>
      </c>
      <c r="J311" s="21" t="s">
        <v>313</v>
      </c>
      <c r="K311" s="21" t="s">
        <v>313</v>
      </c>
      <c r="L311" s="21" t="s">
        <v>313</v>
      </c>
      <c r="M311" s="21" t="s">
        <v>313</v>
      </c>
      <c r="N311" s="21" t="s">
        <v>313</v>
      </c>
      <c r="O311" s="21" t="s">
        <v>313</v>
      </c>
      <c r="P311" s="21" t="s">
        <v>313</v>
      </c>
      <c r="Q311" s="21" t="s">
        <v>313</v>
      </c>
      <c r="R311" s="21" t="s">
        <v>313</v>
      </c>
      <c r="S311" s="21" t="s">
        <v>313</v>
      </c>
      <c r="T311" s="21" t="s">
        <v>313</v>
      </c>
      <c r="U311" s="21" t="s">
        <v>313</v>
      </c>
      <c r="V311" s="21" t="s">
        <v>313</v>
      </c>
      <c r="W311" s="21" t="s">
        <v>313</v>
      </c>
      <c r="X311" s="21" t="s">
        <v>313</v>
      </c>
      <c r="Y311" s="21" t="s">
        <v>313</v>
      </c>
      <c r="Z311" s="21" t="s">
        <v>313</v>
      </c>
      <c r="AA311" s="21" t="s">
        <v>313</v>
      </c>
      <c r="AB311" s="21" t="s">
        <v>313</v>
      </c>
      <c r="AC311" s="21" t="s">
        <v>313</v>
      </c>
      <c r="AD311" s="21" t="s">
        <v>313</v>
      </c>
      <c r="AE311" s="21" t="s">
        <v>313</v>
      </c>
      <c r="AF311" s="21" t="s">
        <v>313</v>
      </c>
      <c r="AG311" s="21" t="s">
        <v>313</v>
      </c>
      <c r="AH311" s="21" t="s">
        <v>313</v>
      </c>
      <c r="AI311" s="21" t="s">
        <v>313</v>
      </c>
      <c r="AJ311" s="21" t="s">
        <v>313</v>
      </c>
      <c r="AK311" s="21" t="s">
        <v>313</v>
      </c>
      <c r="AL311" s="21" t="s">
        <v>313</v>
      </c>
      <c r="AM311" s="21" t="s">
        <v>313</v>
      </c>
      <c r="AN311" s="21" t="s">
        <v>313</v>
      </c>
      <c r="AO311" s="21" t="s">
        <v>313</v>
      </c>
      <c r="AP311" s="21" t="s">
        <v>313</v>
      </c>
      <c r="AQ311" s="21" t="s">
        <v>313</v>
      </c>
      <c r="AR311" s="21" t="s">
        <v>313</v>
      </c>
      <c r="AS311" s="21" t="s">
        <v>313</v>
      </c>
      <c r="AT311" s="21" t="s">
        <v>313</v>
      </c>
      <c r="AU311" s="21" t="s">
        <v>313</v>
      </c>
      <c r="AV311" s="21" t="s">
        <v>313</v>
      </c>
      <c r="AW311" s="21" t="s">
        <v>313</v>
      </c>
      <c r="AX311" s="21" t="s">
        <v>313</v>
      </c>
    </row>
    <row r="312" spans="1:50" ht="18" hidden="1" customHeight="1" x14ac:dyDescent="0.3">
      <c r="A312" s="30" t="s">
        <v>224</v>
      </c>
      <c r="B312" s="29" t="str">
        <f>IFERROR(VLOOKUP(A312,'[1]JL EXE ACTIVE FTE List'!$G:$N,8,FALSE),IF(ISNA(VLOOKUP(A312,'[1]JL EXE LEAVER List'!$G:$I,3,FALSE)),"Query","Leaver"))</f>
        <v>Leaver</v>
      </c>
      <c r="C312" s="29" t="str">
        <f>IFERROR(VLOOKUP(A312,'[1]JL EXE ACTIVE FTE List'!$G:$R,12,FALSE),IF(ISNA(VLOOKUP(A312,'[1]JL EXE LEAVER List'!$G:$I,3,FALSE)),"?QUERY?","Leaver"))</f>
        <v>Leaver</v>
      </c>
      <c r="D312" s="39" t="str">
        <f>IFERROR(IFERROR(VLOOKUP(A312,'[1]JL EXE ACTIVE FTE List'!$G:$H,2,FALSE),VLOOKUP(A312,'[1]JL EXE LEAVER List'!$G:$H,2,FALSE)),"?QUERY?")</f>
        <v>Troy Barnaschone</v>
      </c>
      <c r="E312" s="40">
        <f>IFERROR(IFERROR(VLOOKUP(A312,'[1]JL EXE ACTIVE FTE List'!$G:$O,9,FALSE),VLOOKUP(A312,'[1]JL EXE LEAVER List'!$G:$O,9,FALSE)),"?QUERY?")</f>
        <v>42457</v>
      </c>
      <c r="F312" s="21" t="s">
        <v>338</v>
      </c>
      <c r="G312" s="21" t="s">
        <v>338</v>
      </c>
      <c r="H312" s="21" t="s">
        <v>313</v>
      </c>
      <c r="I312" s="21" t="s">
        <v>313</v>
      </c>
      <c r="J312" s="21" t="s">
        <v>313</v>
      </c>
      <c r="K312" s="21" t="s">
        <v>313</v>
      </c>
      <c r="L312" s="21" t="s">
        <v>313</v>
      </c>
      <c r="M312" s="21" t="s">
        <v>313</v>
      </c>
      <c r="N312" s="21" t="s">
        <v>313</v>
      </c>
      <c r="O312" s="21" t="s">
        <v>313</v>
      </c>
      <c r="P312" s="21" t="s">
        <v>313</v>
      </c>
      <c r="Q312" s="21" t="s">
        <v>313</v>
      </c>
      <c r="R312" s="21" t="s">
        <v>313</v>
      </c>
      <c r="S312" s="21" t="s">
        <v>313</v>
      </c>
      <c r="T312" s="21" t="s">
        <v>313</v>
      </c>
      <c r="U312" s="21" t="s">
        <v>313</v>
      </c>
      <c r="V312" s="21" t="s">
        <v>313</v>
      </c>
      <c r="W312" s="21" t="s">
        <v>313</v>
      </c>
      <c r="X312" s="21" t="s">
        <v>313</v>
      </c>
      <c r="Y312" s="21" t="s">
        <v>313</v>
      </c>
      <c r="Z312" s="21" t="s">
        <v>313</v>
      </c>
      <c r="AA312" s="21" t="s">
        <v>313</v>
      </c>
      <c r="AB312" s="21" t="s">
        <v>313</v>
      </c>
      <c r="AC312" s="21" t="s">
        <v>313</v>
      </c>
      <c r="AD312" s="21" t="s">
        <v>313</v>
      </c>
      <c r="AE312" s="21" t="s">
        <v>313</v>
      </c>
      <c r="AF312" s="21" t="s">
        <v>313</v>
      </c>
      <c r="AG312" s="21" t="s">
        <v>313</v>
      </c>
      <c r="AH312" s="21" t="s">
        <v>313</v>
      </c>
      <c r="AI312" s="21" t="s">
        <v>313</v>
      </c>
      <c r="AJ312" s="21" t="s">
        <v>313</v>
      </c>
      <c r="AK312" s="21" t="s">
        <v>313</v>
      </c>
      <c r="AL312" s="21" t="s">
        <v>313</v>
      </c>
      <c r="AM312" s="21" t="s">
        <v>313</v>
      </c>
      <c r="AN312" s="21" t="s">
        <v>313</v>
      </c>
      <c r="AO312" s="21" t="s">
        <v>313</v>
      </c>
      <c r="AP312" s="21" t="s">
        <v>313</v>
      </c>
      <c r="AQ312" s="21" t="s">
        <v>313</v>
      </c>
      <c r="AR312" s="21" t="s">
        <v>313</v>
      </c>
      <c r="AS312" s="21" t="s">
        <v>313</v>
      </c>
      <c r="AT312" s="21" t="s">
        <v>313</v>
      </c>
      <c r="AU312" s="21" t="s">
        <v>313</v>
      </c>
      <c r="AV312" s="21" t="s">
        <v>313</v>
      </c>
      <c r="AW312" s="21" t="s">
        <v>313</v>
      </c>
      <c r="AX312" s="21" t="s">
        <v>313</v>
      </c>
    </row>
    <row r="313" spans="1:50" ht="18" hidden="1" customHeight="1" x14ac:dyDescent="0.3">
      <c r="A313" s="30" t="s">
        <v>225</v>
      </c>
      <c r="B313" s="29" t="str">
        <f>IFERROR(VLOOKUP(A313,'[1]JL EXE ACTIVE FTE List'!$G:$N,8,FALSE),IF(ISNA(VLOOKUP(A313,'[1]JL EXE LEAVER List'!$G:$I,3,FALSE)),"Query","Leaver"))</f>
        <v>Leaver</v>
      </c>
      <c r="C313" s="29" t="str">
        <f>IFERROR(VLOOKUP(A313,'[1]JL EXE ACTIVE FTE List'!$G:$R,12,FALSE),IF(ISNA(VLOOKUP(A313,'[1]JL EXE LEAVER List'!$G:$I,3,FALSE)),"?QUERY?","Leaver"))</f>
        <v>Leaver</v>
      </c>
      <c r="D313" s="39" t="str">
        <f>IFERROR(IFERROR(VLOOKUP(A313,'[1]JL EXE ACTIVE FTE List'!$G:$H,2,FALSE),VLOOKUP(A313,'[1]JL EXE LEAVER List'!$G:$H,2,FALSE)),"?QUERY?")</f>
        <v>Troy Barnaschone</v>
      </c>
      <c r="E313" s="40">
        <f>IFERROR(IFERROR(VLOOKUP(A313,'[1]JL EXE ACTIVE FTE List'!$G:$O,9,FALSE),VLOOKUP(A313,'[1]JL EXE LEAVER List'!$G:$O,9,FALSE)),"?QUERY?")</f>
        <v>42752</v>
      </c>
      <c r="F313" s="21" t="s">
        <v>338</v>
      </c>
      <c r="G313" s="21" t="s">
        <v>338</v>
      </c>
      <c r="H313" s="21" t="s">
        <v>313</v>
      </c>
      <c r="I313" s="21" t="s">
        <v>313</v>
      </c>
      <c r="J313" s="21" t="s">
        <v>313</v>
      </c>
      <c r="K313" s="21" t="s">
        <v>313</v>
      </c>
      <c r="L313" s="21" t="s">
        <v>313</v>
      </c>
      <c r="M313" s="21" t="s">
        <v>313</v>
      </c>
      <c r="N313" s="21" t="s">
        <v>313</v>
      </c>
      <c r="O313" s="21" t="s">
        <v>313</v>
      </c>
      <c r="P313" s="21" t="s">
        <v>313</v>
      </c>
      <c r="Q313" s="21" t="s">
        <v>313</v>
      </c>
      <c r="R313" s="21" t="s">
        <v>313</v>
      </c>
      <c r="S313" s="21" t="s">
        <v>313</v>
      </c>
      <c r="T313" s="21" t="s">
        <v>313</v>
      </c>
      <c r="U313" s="21" t="s">
        <v>313</v>
      </c>
      <c r="V313" s="21" t="s">
        <v>313</v>
      </c>
      <c r="W313" s="21" t="s">
        <v>313</v>
      </c>
      <c r="X313" s="21" t="s">
        <v>313</v>
      </c>
      <c r="Y313" s="21" t="s">
        <v>313</v>
      </c>
      <c r="Z313" s="21" t="s">
        <v>313</v>
      </c>
      <c r="AA313" s="21" t="s">
        <v>313</v>
      </c>
      <c r="AB313" s="21" t="s">
        <v>313</v>
      </c>
      <c r="AC313" s="21" t="s">
        <v>313</v>
      </c>
      <c r="AD313" s="21" t="s">
        <v>313</v>
      </c>
      <c r="AE313" s="21" t="s">
        <v>313</v>
      </c>
      <c r="AF313" s="21" t="s">
        <v>313</v>
      </c>
      <c r="AG313" s="21" t="s">
        <v>313</v>
      </c>
      <c r="AH313" s="21" t="s">
        <v>313</v>
      </c>
      <c r="AI313" s="21" t="s">
        <v>313</v>
      </c>
      <c r="AJ313" s="21" t="s">
        <v>313</v>
      </c>
      <c r="AK313" s="21" t="s">
        <v>313</v>
      </c>
      <c r="AL313" s="21" t="s">
        <v>313</v>
      </c>
      <c r="AM313" s="21" t="s">
        <v>313</v>
      </c>
      <c r="AN313" s="21" t="s">
        <v>313</v>
      </c>
      <c r="AO313" s="21" t="s">
        <v>313</v>
      </c>
      <c r="AP313" s="21" t="s">
        <v>313</v>
      </c>
      <c r="AQ313" s="21" t="s">
        <v>313</v>
      </c>
      <c r="AR313" s="21" t="s">
        <v>313</v>
      </c>
      <c r="AS313" s="21" t="s">
        <v>313</v>
      </c>
      <c r="AT313" s="21" t="s">
        <v>313</v>
      </c>
      <c r="AU313" s="21" t="s">
        <v>313</v>
      </c>
      <c r="AV313" s="21" t="s">
        <v>313</v>
      </c>
      <c r="AW313" s="21" t="s">
        <v>313</v>
      </c>
      <c r="AX313" s="21" t="s">
        <v>313</v>
      </c>
    </row>
    <row r="314" spans="1:50" ht="18" customHeight="1" x14ac:dyDescent="0.3">
      <c r="A314" s="30" t="s">
        <v>241</v>
      </c>
      <c r="B314" s="29" t="str">
        <f>IFERROR(VLOOKUP(A314,'[1]JL EXE ACTIVE FTE List'!$G:$N,8,FALSE),IF(ISNA(VLOOKUP(A314,'[1]JL EXE LEAVER List'!$G:$I,3,FALSE)),"Query","Leaver"))</f>
        <v>CST</v>
      </c>
      <c r="C314" s="29" t="str">
        <f>IFERROR(VLOOKUP(A314,'[1]JL EXE ACTIVE FTE List'!$G:$R,12,FALSE),IF(ISNA(VLOOKUP(A314,'[1]JL EXE LEAVER List'!$G:$I,3,FALSE)),"?QUERY?","Leaver"))</f>
        <v>ACTIVE</v>
      </c>
      <c r="D314" s="39" t="str">
        <f>IFERROR(IFERROR(VLOOKUP(A314,'[1]JL EXE ACTIVE FTE List'!$G:$H,2,FALSE),VLOOKUP(A314,'[1]JL EXE LEAVER List'!$G:$H,2,FALSE)),"?QUERY?")</f>
        <v>Troy Barnaschone</v>
      </c>
      <c r="E314" s="40">
        <f>IFERROR(IFERROR(VLOOKUP(A314,'[1]JL EXE ACTIVE FTE List'!$G:$O,9,FALSE),VLOOKUP(A314,'[1]JL EXE LEAVER List'!$G:$O,9,FALSE)),"?QUERY?")</f>
        <v>41071</v>
      </c>
      <c r="F314" s="21" t="s">
        <v>338</v>
      </c>
      <c r="G314" s="21" t="s">
        <v>338</v>
      </c>
      <c r="H314" s="21" t="s">
        <v>338</v>
      </c>
      <c r="I314" s="21" t="s">
        <v>313</v>
      </c>
      <c r="J314" s="21" t="s">
        <v>313</v>
      </c>
      <c r="K314" s="21" t="s">
        <v>313</v>
      </c>
      <c r="L314" s="21" t="s">
        <v>313</v>
      </c>
      <c r="M314" s="21" t="s">
        <v>313</v>
      </c>
      <c r="N314" s="21" t="s">
        <v>313</v>
      </c>
      <c r="O314" s="21" t="s">
        <v>313</v>
      </c>
      <c r="P314" s="21" t="s">
        <v>313</v>
      </c>
      <c r="Q314" s="21" t="s">
        <v>313</v>
      </c>
      <c r="R314" s="21" t="s">
        <v>313</v>
      </c>
      <c r="S314" s="21" t="s">
        <v>313</v>
      </c>
      <c r="T314" s="21" t="s">
        <v>313</v>
      </c>
      <c r="U314" s="21" t="s">
        <v>313</v>
      </c>
      <c r="V314" s="21" t="s">
        <v>313</v>
      </c>
      <c r="W314" s="21" t="s">
        <v>313</v>
      </c>
      <c r="X314" s="21" t="s">
        <v>313</v>
      </c>
      <c r="Y314" s="21" t="s">
        <v>313</v>
      </c>
      <c r="Z314" s="21" t="s">
        <v>313</v>
      </c>
      <c r="AA314" s="21" t="s">
        <v>313</v>
      </c>
      <c r="AB314" s="21" t="s">
        <v>313</v>
      </c>
      <c r="AC314" s="21" t="s">
        <v>313</v>
      </c>
      <c r="AD314" s="21" t="s">
        <v>313</v>
      </c>
      <c r="AE314" s="21" t="s">
        <v>313</v>
      </c>
      <c r="AF314" s="21" t="s">
        <v>313</v>
      </c>
      <c r="AG314" s="21" t="s">
        <v>313</v>
      </c>
      <c r="AH314" s="21" t="s">
        <v>313</v>
      </c>
      <c r="AI314" s="21" t="s">
        <v>313</v>
      </c>
      <c r="AJ314" s="21" t="s">
        <v>313</v>
      </c>
      <c r="AK314" s="21" t="s">
        <v>313</v>
      </c>
      <c r="AL314" s="21" t="s">
        <v>313</v>
      </c>
      <c r="AM314" s="21" t="s">
        <v>313</v>
      </c>
      <c r="AN314" s="21" t="s">
        <v>313</v>
      </c>
      <c r="AO314" s="21" t="s">
        <v>313</v>
      </c>
      <c r="AP314" s="21" t="s">
        <v>313</v>
      </c>
      <c r="AQ314" s="21" t="s">
        <v>313</v>
      </c>
      <c r="AR314" s="21" t="s">
        <v>313</v>
      </c>
      <c r="AS314" s="21" t="s">
        <v>313</v>
      </c>
      <c r="AT314" s="21" t="s">
        <v>313</v>
      </c>
      <c r="AU314" s="21" t="s">
        <v>313</v>
      </c>
      <c r="AV314" s="21" t="s">
        <v>313</v>
      </c>
      <c r="AW314" s="21" t="s">
        <v>313</v>
      </c>
      <c r="AX314" s="21" t="s">
        <v>313</v>
      </c>
    </row>
    <row r="315" spans="1:50" ht="18" customHeight="1" x14ac:dyDescent="0.3">
      <c r="A315" s="30" t="s">
        <v>242</v>
      </c>
      <c r="B315" s="29" t="str">
        <f>IFERROR(VLOOKUP(A315,'[1]JL EXE ACTIVE FTE List'!$G:$N,8,FALSE),IF(ISNA(VLOOKUP(A315,'[1]JL EXE LEAVER List'!$G:$I,3,FALSE)),"Query","Leaver"))</f>
        <v>CST</v>
      </c>
      <c r="C315" s="29" t="str">
        <f>IFERROR(VLOOKUP(A315,'[1]JL EXE ACTIVE FTE List'!$G:$R,12,FALSE),IF(ISNA(VLOOKUP(A315,'[1]JL EXE LEAVER List'!$G:$I,3,FALSE)),"?QUERY?","Leaver"))</f>
        <v>ACTIVE</v>
      </c>
      <c r="D315" s="39" t="str">
        <f>IFERROR(IFERROR(VLOOKUP(A315,'[1]JL EXE ACTIVE FTE List'!$G:$H,2,FALSE),VLOOKUP(A315,'[1]JL EXE LEAVER List'!$G:$H,2,FALSE)),"?QUERY?")</f>
        <v>Troy Barnaschone</v>
      </c>
      <c r="E315" s="40">
        <f>IFERROR(IFERROR(VLOOKUP(A315,'[1]JL EXE ACTIVE FTE List'!$G:$O,9,FALSE),VLOOKUP(A315,'[1]JL EXE LEAVER List'!$G:$O,9,FALSE)),"?QUERY?")</f>
        <v>42688</v>
      </c>
      <c r="F315" s="21" t="s">
        <v>338</v>
      </c>
      <c r="G315" s="21" t="s">
        <v>338</v>
      </c>
      <c r="H315" s="21" t="s">
        <v>338</v>
      </c>
      <c r="I315" s="21" t="s">
        <v>313</v>
      </c>
      <c r="J315" s="21" t="s">
        <v>313</v>
      </c>
      <c r="K315" s="21" t="s">
        <v>313</v>
      </c>
      <c r="L315" s="21" t="s">
        <v>313</v>
      </c>
      <c r="M315" s="21" t="s">
        <v>313</v>
      </c>
      <c r="N315" s="21" t="s">
        <v>313</v>
      </c>
      <c r="O315" s="21" t="s">
        <v>313</v>
      </c>
      <c r="P315" s="21" t="s">
        <v>313</v>
      </c>
      <c r="Q315" s="21" t="s">
        <v>313</v>
      </c>
      <c r="R315" s="21" t="s">
        <v>313</v>
      </c>
      <c r="S315" s="21" t="s">
        <v>313</v>
      </c>
      <c r="T315" s="21" t="s">
        <v>313</v>
      </c>
      <c r="U315" s="21" t="s">
        <v>313</v>
      </c>
      <c r="V315" s="21" t="s">
        <v>313</v>
      </c>
      <c r="W315" s="21" t="s">
        <v>313</v>
      </c>
      <c r="X315" s="21" t="s">
        <v>313</v>
      </c>
      <c r="Y315" s="21" t="s">
        <v>313</v>
      </c>
      <c r="Z315" s="21" t="s">
        <v>313</v>
      </c>
      <c r="AA315" s="21" t="s">
        <v>313</v>
      </c>
      <c r="AB315" s="21" t="s">
        <v>313</v>
      </c>
      <c r="AC315" s="21" t="s">
        <v>313</v>
      </c>
      <c r="AD315" s="21" t="s">
        <v>313</v>
      </c>
      <c r="AE315" s="21" t="s">
        <v>313</v>
      </c>
      <c r="AF315" s="21" t="s">
        <v>313</v>
      </c>
      <c r="AG315" s="21" t="s">
        <v>313</v>
      </c>
      <c r="AH315" s="21" t="s">
        <v>313</v>
      </c>
      <c r="AI315" s="21" t="s">
        <v>313</v>
      </c>
      <c r="AJ315" s="21" t="s">
        <v>313</v>
      </c>
      <c r="AK315" s="21" t="s">
        <v>313</v>
      </c>
      <c r="AL315" s="21" t="s">
        <v>313</v>
      </c>
      <c r="AM315" s="21" t="s">
        <v>313</v>
      </c>
      <c r="AN315" s="21" t="s">
        <v>313</v>
      </c>
      <c r="AO315" s="21" t="s">
        <v>313</v>
      </c>
      <c r="AP315" s="21" t="s">
        <v>313</v>
      </c>
      <c r="AQ315" s="21" t="s">
        <v>313</v>
      </c>
      <c r="AR315" s="21" t="s">
        <v>313</v>
      </c>
      <c r="AS315" s="21" t="s">
        <v>313</v>
      </c>
      <c r="AT315" s="21" t="s">
        <v>313</v>
      </c>
      <c r="AU315" s="21" t="s">
        <v>313</v>
      </c>
      <c r="AV315" s="21" t="s">
        <v>313</v>
      </c>
      <c r="AW315" s="21" t="s">
        <v>313</v>
      </c>
      <c r="AX315" s="21" t="s">
        <v>313</v>
      </c>
    </row>
    <row r="316" spans="1:50" ht="18" customHeight="1" x14ac:dyDescent="0.3">
      <c r="A316" s="30" t="s">
        <v>214</v>
      </c>
      <c r="B316" s="29" t="str">
        <f>IFERROR(VLOOKUP(A316,'[1]JL EXE ACTIVE FTE List'!$G:$N,8,FALSE),IF(ISNA(VLOOKUP(A316,'[1]JL EXE LEAVER List'!$G:$I,3,FALSE)),"Query","Leaver"))</f>
        <v>3RD</v>
      </c>
      <c r="C316" s="29" t="str">
        <f>IFERROR(VLOOKUP(A316,'[1]JL EXE ACTIVE FTE List'!$G:$R,12,FALSE),IF(ISNA(VLOOKUP(A316,'[1]JL EXE LEAVER List'!$G:$I,3,FALSE)),"?QUERY?","Leaver"))</f>
        <v>ACTIVE</v>
      </c>
      <c r="D316" s="39" t="str">
        <f>IFERROR(IFERROR(VLOOKUP(A316,'[1]JL EXE ACTIVE FTE List'!$G:$H,2,FALSE),VLOOKUP(A316,'[1]JL EXE LEAVER List'!$G:$H,2,FALSE)),"?QUERY?")</f>
        <v>Troy Barnaschone</v>
      </c>
      <c r="E316" s="40">
        <f>IFERROR(IFERROR(VLOOKUP(A316,'[1]JL EXE ACTIVE FTE List'!$G:$O,9,FALSE),VLOOKUP(A316,'[1]JL EXE LEAVER List'!$G:$O,9,FALSE)),"?QUERY?")</f>
        <v>40707</v>
      </c>
      <c r="F316" s="21" t="s">
        <v>338</v>
      </c>
      <c r="G316" s="21" t="s">
        <v>338</v>
      </c>
      <c r="H316" s="21" t="s">
        <v>338</v>
      </c>
      <c r="I316" s="21" t="s">
        <v>313</v>
      </c>
      <c r="J316" s="21" t="s">
        <v>313</v>
      </c>
      <c r="K316" s="21" t="s">
        <v>313</v>
      </c>
      <c r="L316" s="21" t="s">
        <v>313</v>
      </c>
      <c r="M316" s="21" t="s">
        <v>313</v>
      </c>
      <c r="N316" s="21" t="s">
        <v>313</v>
      </c>
      <c r="O316" s="21" t="s">
        <v>313</v>
      </c>
      <c r="P316" s="21" t="s">
        <v>313</v>
      </c>
      <c r="Q316" s="21" t="s">
        <v>313</v>
      </c>
      <c r="R316" s="21" t="s">
        <v>313</v>
      </c>
      <c r="S316" s="21" t="s">
        <v>313</v>
      </c>
      <c r="T316" s="21" t="s">
        <v>313</v>
      </c>
      <c r="U316" s="21" t="s">
        <v>313</v>
      </c>
      <c r="V316" s="21" t="s">
        <v>313</v>
      </c>
      <c r="W316" s="21" t="s">
        <v>313</v>
      </c>
      <c r="X316" s="21" t="s">
        <v>313</v>
      </c>
      <c r="Y316" s="21" t="s">
        <v>313</v>
      </c>
      <c r="Z316" s="21" t="s">
        <v>313</v>
      </c>
      <c r="AA316" s="21" t="s">
        <v>313</v>
      </c>
      <c r="AB316" s="21" t="s">
        <v>313</v>
      </c>
      <c r="AC316" s="21" t="s">
        <v>313</v>
      </c>
      <c r="AD316" s="21" t="s">
        <v>313</v>
      </c>
      <c r="AE316" s="21" t="s">
        <v>313</v>
      </c>
      <c r="AF316" s="21" t="s">
        <v>313</v>
      </c>
      <c r="AG316" s="21" t="s">
        <v>313</v>
      </c>
      <c r="AH316" s="21" t="s">
        <v>313</v>
      </c>
      <c r="AI316" s="21" t="s">
        <v>313</v>
      </c>
      <c r="AJ316" s="21" t="s">
        <v>313</v>
      </c>
      <c r="AK316" s="21" t="s">
        <v>313</v>
      </c>
      <c r="AL316" s="21" t="s">
        <v>313</v>
      </c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</row>
    <row r="317" spans="1:50" ht="18" customHeight="1" x14ac:dyDescent="0.3">
      <c r="A317" s="30" t="s">
        <v>215</v>
      </c>
      <c r="B317" s="29" t="str">
        <f>IFERROR(VLOOKUP(A317,'[1]JL EXE ACTIVE FTE List'!$G:$N,8,FALSE),IF(ISNA(VLOOKUP(A317,'[1]JL EXE LEAVER List'!$G:$I,3,FALSE)),"Query","Leaver"))</f>
        <v>3RD</v>
      </c>
      <c r="C317" s="29" t="str">
        <f>IFERROR(VLOOKUP(A317,'[1]JL EXE ACTIVE FTE List'!$G:$R,12,FALSE),IF(ISNA(VLOOKUP(A317,'[1]JL EXE LEAVER List'!$G:$I,3,FALSE)),"?QUERY?","Leaver"))</f>
        <v>ACTIVE</v>
      </c>
      <c r="D317" s="39" t="str">
        <f>IFERROR(IFERROR(VLOOKUP(A317,'[1]JL EXE ACTIVE FTE List'!$G:$H,2,FALSE),VLOOKUP(A317,'[1]JL EXE LEAVER List'!$G:$H,2,FALSE)),"?QUERY?")</f>
        <v>Troy Barnaschone</v>
      </c>
      <c r="E317" s="40">
        <f>IFERROR(IFERROR(VLOOKUP(A317,'[1]JL EXE ACTIVE FTE List'!$G:$O,9,FALSE),VLOOKUP(A317,'[1]JL EXE LEAVER List'!$G:$O,9,FALSE)),"?QUERY?")</f>
        <v>42695</v>
      </c>
      <c r="F317" s="21" t="s">
        <v>338</v>
      </c>
      <c r="G317" s="21" t="s">
        <v>338</v>
      </c>
      <c r="H317" s="21" t="s">
        <v>338</v>
      </c>
      <c r="I317" s="21" t="s">
        <v>313</v>
      </c>
      <c r="J317" s="21" t="s">
        <v>313</v>
      </c>
      <c r="K317" s="21" t="s">
        <v>313</v>
      </c>
      <c r="L317" s="21" t="s">
        <v>313</v>
      </c>
      <c r="M317" s="21" t="s">
        <v>313</v>
      </c>
      <c r="N317" s="21" t="s">
        <v>313</v>
      </c>
      <c r="O317" s="21" t="s">
        <v>313</v>
      </c>
      <c r="P317" s="21" t="s">
        <v>313</v>
      </c>
      <c r="Q317" s="21" t="s">
        <v>313</v>
      </c>
      <c r="R317" s="21" t="s">
        <v>313</v>
      </c>
      <c r="S317" s="21" t="s">
        <v>313</v>
      </c>
      <c r="T317" s="21" t="s">
        <v>313</v>
      </c>
      <c r="U317" s="21" t="s">
        <v>313</v>
      </c>
      <c r="V317" s="21" t="s">
        <v>313</v>
      </c>
      <c r="W317" s="21" t="s">
        <v>313</v>
      </c>
      <c r="X317" s="21" t="s">
        <v>313</v>
      </c>
      <c r="Y317" s="21" t="s">
        <v>313</v>
      </c>
      <c r="Z317" s="21" t="s">
        <v>313</v>
      </c>
      <c r="AA317" s="21" t="s">
        <v>313</v>
      </c>
      <c r="AB317" s="21" t="s">
        <v>313</v>
      </c>
      <c r="AC317" s="21" t="s">
        <v>313</v>
      </c>
      <c r="AD317" s="21" t="s">
        <v>313</v>
      </c>
      <c r="AE317" s="21" t="s">
        <v>313</v>
      </c>
      <c r="AF317" s="21" t="s">
        <v>313</v>
      </c>
      <c r="AG317" s="21" t="s">
        <v>313</v>
      </c>
      <c r="AH317" s="21" t="s">
        <v>313</v>
      </c>
      <c r="AI317" s="21" t="s">
        <v>313</v>
      </c>
      <c r="AJ317" s="21" t="s">
        <v>313</v>
      </c>
      <c r="AK317" s="21" t="s">
        <v>313</v>
      </c>
      <c r="AL317" s="21" t="s">
        <v>313</v>
      </c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</row>
    <row r="318" spans="1:50" ht="18" customHeight="1" x14ac:dyDescent="0.3">
      <c r="A318" s="30" t="s">
        <v>216</v>
      </c>
      <c r="B318" s="29" t="str">
        <f>IFERROR(VLOOKUP(A318,'[1]JL EXE ACTIVE FTE List'!$G:$N,8,FALSE),IF(ISNA(VLOOKUP(A318,'[1]JL EXE LEAVER List'!$G:$I,3,FALSE)),"Query","Leaver"))</f>
        <v>3RD</v>
      </c>
      <c r="C318" s="29" t="str">
        <f>IFERROR(VLOOKUP(A318,'[1]JL EXE ACTIVE FTE List'!$G:$R,12,FALSE),IF(ISNA(VLOOKUP(A318,'[1]JL EXE LEAVER List'!$G:$I,3,FALSE)),"?QUERY?","Leaver"))</f>
        <v>ACTIVE</v>
      </c>
      <c r="D318" s="39" t="str">
        <f>IFERROR(IFERROR(VLOOKUP(A318,'[1]JL EXE ACTIVE FTE List'!$G:$H,2,FALSE),VLOOKUP(A318,'[1]JL EXE LEAVER List'!$G:$H,2,FALSE)),"?QUERY?")</f>
        <v>Troy Barnaschone</v>
      </c>
      <c r="E318" s="40">
        <f>IFERROR(IFERROR(VLOOKUP(A318,'[1]JL EXE ACTIVE FTE List'!$G:$O,9,FALSE),VLOOKUP(A318,'[1]JL EXE LEAVER List'!$G:$O,9,FALSE)),"?QUERY?")</f>
        <v>42079</v>
      </c>
      <c r="F318" s="21" t="s">
        <v>338</v>
      </c>
      <c r="G318" s="21" t="s">
        <v>338</v>
      </c>
      <c r="H318" s="21" t="s">
        <v>338</v>
      </c>
      <c r="I318" s="21" t="s">
        <v>313</v>
      </c>
      <c r="J318" s="21" t="s">
        <v>313</v>
      </c>
      <c r="K318" s="21" t="s">
        <v>313</v>
      </c>
      <c r="L318" s="21" t="s">
        <v>313</v>
      </c>
      <c r="M318" s="21" t="s">
        <v>313</v>
      </c>
      <c r="N318" s="21" t="s">
        <v>313</v>
      </c>
      <c r="O318" s="21" t="s">
        <v>313</v>
      </c>
      <c r="P318" s="21" t="s">
        <v>313</v>
      </c>
      <c r="Q318" s="21" t="s">
        <v>313</v>
      </c>
      <c r="R318" s="21" t="s">
        <v>313</v>
      </c>
      <c r="S318" s="21" t="s">
        <v>313</v>
      </c>
      <c r="T318" s="21" t="s">
        <v>313</v>
      </c>
      <c r="U318" s="21" t="s">
        <v>313</v>
      </c>
      <c r="V318" s="21" t="s">
        <v>313</v>
      </c>
      <c r="W318" s="21" t="s">
        <v>313</v>
      </c>
      <c r="X318" s="21" t="s">
        <v>313</v>
      </c>
      <c r="Y318" s="21" t="s">
        <v>313</v>
      </c>
      <c r="Z318" s="21" t="s">
        <v>313</v>
      </c>
      <c r="AA318" s="21" t="s">
        <v>313</v>
      </c>
      <c r="AB318" s="21" t="s">
        <v>313</v>
      </c>
      <c r="AC318" s="21" t="s">
        <v>313</v>
      </c>
      <c r="AD318" s="21" t="s">
        <v>313</v>
      </c>
      <c r="AE318" s="21" t="s">
        <v>313</v>
      </c>
      <c r="AF318" s="21" t="s">
        <v>313</v>
      </c>
      <c r="AG318" s="21" t="s">
        <v>313</v>
      </c>
      <c r="AH318" s="21" t="s">
        <v>313</v>
      </c>
      <c r="AI318" s="21" t="s">
        <v>313</v>
      </c>
      <c r="AJ318" s="21" t="s">
        <v>313</v>
      </c>
      <c r="AK318" s="21" t="s">
        <v>313</v>
      </c>
      <c r="AL318" s="21" t="s">
        <v>313</v>
      </c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</row>
    <row r="319" spans="1:50" ht="18" customHeight="1" x14ac:dyDescent="0.3">
      <c r="A319" s="30" t="s">
        <v>217</v>
      </c>
      <c r="B319" s="29" t="str">
        <f>IFERROR(VLOOKUP(A319,'[1]JL EXE ACTIVE FTE List'!$G:$N,8,FALSE),IF(ISNA(VLOOKUP(A319,'[1]JL EXE LEAVER List'!$G:$I,3,FALSE)),"Query","Leaver"))</f>
        <v>3RD</v>
      </c>
      <c r="C319" s="29" t="str">
        <f>IFERROR(VLOOKUP(A319,'[1]JL EXE ACTIVE FTE List'!$G:$R,12,FALSE),IF(ISNA(VLOOKUP(A319,'[1]JL EXE LEAVER List'!$G:$I,3,FALSE)),"?QUERY?","Leaver"))</f>
        <v>ACTIVE</v>
      </c>
      <c r="D319" s="39" t="str">
        <f>IFERROR(IFERROR(VLOOKUP(A319,'[1]JL EXE ACTIVE FTE List'!$G:$H,2,FALSE),VLOOKUP(A319,'[1]JL EXE LEAVER List'!$G:$H,2,FALSE)),"?QUERY?")</f>
        <v>Troy Barnaschone</v>
      </c>
      <c r="E319" s="40">
        <f>IFERROR(IFERROR(VLOOKUP(A319,'[1]JL EXE ACTIVE FTE List'!$G:$O,9,FALSE),VLOOKUP(A319,'[1]JL EXE LEAVER List'!$G:$O,9,FALSE)),"?QUERY?")</f>
        <v>41827</v>
      </c>
      <c r="F319" s="21" t="s">
        <v>338</v>
      </c>
      <c r="G319" s="21" t="s">
        <v>338</v>
      </c>
      <c r="H319" s="21" t="s">
        <v>338</v>
      </c>
      <c r="I319" s="21" t="s">
        <v>313</v>
      </c>
      <c r="J319" s="21" t="s">
        <v>313</v>
      </c>
      <c r="K319" s="21" t="s">
        <v>313</v>
      </c>
      <c r="L319" s="21" t="s">
        <v>313</v>
      </c>
      <c r="M319" s="21" t="s">
        <v>313</v>
      </c>
      <c r="N319" s="21" t="s">
        <v>313</v>
      </c>
      <c r="O319" s="21" t="s">
        <v>313</v>
      </c>
      <c r="P319" s="21" t="s">
        <v>313</v>
      </c>
      <c r="Q319" s="21" t="s">
        <v>313</v>
      </c>
      <c r="R319" s="21" t="s">
        <v>313</v>
      </c>
      <c r="S319" s="21" t="s">
        <v>313</v>
      </c>
      <c r="T319" s="21" t="s">
        <v>313</v>
      </c>
      <c r="U319" s="21" t="s">
        <v>313</v>
      </c>
      <c r="V319" s="21" t="s">
        <v>313</v>
      </c>
      <c r="W319" s="21" t="s">
        <v>313</v>
      </c>
      <c r="X319" s="21" t="s">
        <v>313</v>
      </c>
      <c r="Y319" s="21" t="s">
        <v>313</v>
      </c>
      <c r="Z319" s="21" t="s">
        <v>313</v>
      </c>
      <c r="AA319" s="21" t="s">
        <v>313</v>
      </c>
      <c r="AB319" s="21" t="s">
        <v>313</v>
      </c>
      <c r="AC319" s="21" t="s">
        <v>313</v>
      </c>
      <c r="AD319" s="21" t="s">
        <v>313</v>
      </c>
      <c r="AE319" s="21" t="s">
        <v>313</v>
      </c>
      <c r="AF319" s="21" t="s">
        <v>313</v>
      </c>
      <c r="AG319" s="21" t="s">
        <v>313</v>
      </c>
      <c r="AH319" s="21" t="s">
        <v>313</v>
      </c>
      <c r="AI319" s="21" t="s">
        <v>313</v>
      </c>
      <c r="AJ319" s="21" t="s">
        <v>313</v>
      </c>
      <c r="AK319" s="21" t="s">
        <v>313</v>
      </c>
      <c r="AL319" s="21" t="s">
        <v>313</v>
      </c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</row>
    <row r="320" spans="1:50" ht="18" customHeight="1" x14ac:dyDescent="0.3">
      <c r="A320" s="30" t="s">
        <v>218</v>
      </c>
      <c r="B320" s="29" t="str">
        <f>IFERROR(VLOOKUP(A320,'[1]JL EXE ACTIVE FTE List'!$G:$N,8,FALSE),IF(ISNA(VLOOKUP(A320,'[1]JL EXE LEAVER List'!$G:$I,3,FALSE)),"Query","Leaver"))</f>
        <v>3RD</v>
      </c>
      <c r="C320" s="29" t="str">
        <f>IFERROR(VLOOKUP(A320,'[1]JL EXE ACTIVE FTE List'!$G:$R,12,FALSE),IF(ISNA(VLOOKUP(A320,'[1]JL EXE LEAVER List'!$G:$I,3,FALSE)),"?QUERY?","Leaver"))</f>
        <v>ACTIVE</v>
      </c>
      <c r="D320" s="39" t="str">
        <f>IFERROR(IFERROR(VLOOKUP(A320,'[1]JL EXE ACTIVE FTE List'!$G:$H,2,FALSE),VLOOKUP(A320,'[1]JL EXE LEAVER List'!$G:$H,2,FALSE)),"?QUERY?")</f>
        <v>Troy Barnaschone</v>
      </c>
      <c r="E320" s="40">
        <f>IFERROR(IFERROR(VLOOKUP(A320,'[1]JL EXE ACTIVE FTE List'!$G:$O,9,FALSE),VLOOKUP(A320,'[1]JL EXE LEAVER List'!$G:$O,9,FALSE)),"?QUERY?")</f>
        <v>42324</v>
      </c>
      <c r="F320" s="21" t="s">
        <v>338</v>
      </c>
      <c r="G320" s="21" t="s">
        <v>338</v>
      </c>
      <c r="H320" s="21" t="s">
        <v>338</v>
      </c>
      <c r="I320" s="21" t="s">
        <v>313</v>
      </c>
      <c r="J320" s="21" t="s">
        <v>313</v>
      </c>
      <c r="K320" s="21" t="s">
        <v>313</v>
      </c>
      <c r="L320" s="21" t="s">
        <v>313</v>
      </c>
      <c r="M320" s="21" t="s">
        <v>313</v>
      </c>
      <c r="N320" s="21" t="s">
        <v>313</v>
      </c>
      <c r="O320" s="21" t="s">
        <v>313</v>
      </c>
      <c r="P320" s="21" t="s">
        <v>313</v>
      </c>
      <c r="Q320" s="21" t="s">
        <v>313</v>
      </c>
      <c r="R320" s="21" t="s">
        <v>313</v>
      </c>
      <c r="S320" s="21" t="s">
        <v>313</v>
      </c>
      <c r="T320" s="21" t="s">
        <v>313</v>
      </c>
      <c r="U320" s="21" t="s">
        <v>313</v>
      </c>
      <c r="V320" s="21" t="s">
        <v>313</v>
      </c>
      <c r="W320" s="21" t="s">
        <v>313</v>
      </c>
      <c r="X320" s="21" t="s">
        <v>313</v>
      </c>
      <c r="Y320" s="21" t="s">
        <v>313</v>
      </c>
      <c r="Z320" s="21" t="s">
        <v>313</v>
      </c>
      <c r="AA320" s="21" t="s">
        <v>313</v>
      </c>
      <c r="AB320" s="21" t="s">
        <v>313</v>
      </c>
      <c r="AC320" s="21" t="s">
        <v>313</v>
      </c>
      <c r="AD320" s="21" t="s">
        <v>313</v>
      </c>
      <c r="AE320" s="21" t="s">
        <v>313</v>
      </c>
      <c r="AF320" s="21" t="s">
        <v>313</v>
      </c>
      <c r="AG320" s="21" t="s">
        <v>313</v>
      </c>
      <c r="AH320" s="21" t="s">
        <v>313</v>
      </c>
      <c r="AI320" s="21" t="s">
        <v>313</v>
      </c>
      <c r="AJ320" s="21" t="s">
        <v>313</v>
      </c>
      <c r="AK320" s="21" t="s">
        <v>313</v>
      </c>
      <c r="AL320" s="21" t="s">
        <v>313</v>
      </c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</row>
    <row r="321" spans="1:50" ht="18" customHeight="1" x14ac:dyDescent="0.3">
      <c r="A321" s="30" t="s">
        <v>147</v>
      </c>
      <c r="B321" s="29" t="str">
        <f>IFERROR(VLOOKUP(A321,'[1]JL EXE ACTIVE FTE List'!$G:$N,8,FALSE),IF(ISNA(VLOOKUP(A321,'[1]JL EXE LEAVER List'!$G:$I,3,FALSE)),"Query","Leaver"))</f>
        <v>CST</v>
      </c>
      <c r="C321" s="29" t="str">
        <f>IFERROR(VLOOKUP(A321,'[1]JL EXE ACTIVE FTE List'!$G:$R,12,FALSE),IF(ISNA(VLOOKUP(A321,'[1]JL EXE LEAVER List'!$G:$I,3,FALSE)),"?QUERY?","Leaver"))</f>
        <v>ACTIVE</v>
      </c>
      <c r="D321" s="39" t="str">
        <f>IFERROR(IFERROR(VLOOKUP(A321,'[1]JL EXE ACTIVE FTE List'!$G:$H,2,FALSE),VLOOKUP(A321,'[1]JL EXE LEAVER List'!$G:$H,2,FALSE)),"?QUERY?")</f>
        <v>Troy Barnaschone</v>
      </c>
      <c r="E321" s="40">
        <f>IFERROR(IFERROR(VLOOKUP(A321,'[1]JL EXE ACTIVE FTE List'!$G:$O,9,FALSE),VLOOKUP(A321,'[1]JL EXE LEAVER List'!$G:$O,9,FALSE)),"?QUERY?")</f>
        <v>42948</v>
      </c>
      <c r="F321" s="21" t="s">
        <v>338</v>
      </c>
      <c r="G321" s="21" t="s">
        <v>338</v>
      </c>
      <c r="H321" s="21" t="s">
        <v>338</v>
      </c>
      <c r="I321" s="21" t="s">
        <v>313</v>
      </c>
      <c r="J321" s="21" t="s">
        <v>313</v>
      </c>
      <c r="K321" s="21" t="s">
        <v>313</v>
      </c>
      <c r="L321" s="21" t="s">
        <v>313</v>
      </c>
      <c r="M321" s="21" t="s">
        <v>313</v>
      </c>
      <c r="N321" s="21" t="s">
        <v>313</v>
      </c>
      <c r="O321" s="21" t="s">
        <v>313</v>
      </c>
      <c r="P321" s="21" t="s">
        <v>313</v>
      </c>
      <c r="Q321" s="21" t="s">
        <v>313</v>
      </c>
      <c r="R321" s="21" t="s">
        <v>313</v>
      </c>
      <c r="S321" s="21" t="s">
        <v>313</v>
      </c>
      <c r="T321" s="21" t="s">
        <v>313</v>
      </c>
      <c r="U321" s="21" t="s">
        <v>313</v>
      </c>
      <c r="V321" s="21" t="s">
        <v>313</v>
      </c>
      <c r="W321" s="21" t="s">
        <v>313</v>
      </c>
      <c r="X321" s="21" t="s">
        <v>313</v>
      </c>
      <c r="Y321" s="21" t="s">
        <v>313</v>
      </c>
      <c r="Z321" s="21" t="s">
        <v>313</v>
      </c>
      <c r="AA321" s="21" t="s">
        <v>313</v>
      </c>
      <c r="AB321" s="21" t="s">
        <v>313</v>
      </c>
      <c r="AC321" s="21" t="s">
        <v>313</v>
      </c>
      <c r="AD321" s="21" t="s">
        <v>313</v>
      </c>
      <c r="AE321" s="21" t="s">
        <v>313</v>
      </c>
      <c r="AF321" s="21" t="s">
        <v>313</v>
      </c>
      <c r="AG321" s="21" t="s">
        <v>313</v>
      </c>
      <c r="AH321" s="21" t="s">
        <v>313</v>
      </c>
      <c r="AI321" s="21" t="s">
        <v>313</v>
      </c>
      <c r="AJ321" s="21" t="s">
        <v>313</v>
      </c>
      <c r="AK321" s="21" t="s">
        <v>313</v>
      </c>
      <c r="AL321" s="21" t="s">
        <v>313</v>
      </c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</row>
    <row r="322" spans="1:50" ht="18" customHeight="1" x14ac:dyDescent="0.3">
      <c r="A322" s="30" t="s">
        <v>145</v>
      </c>
      <c r="B322" s="29" t="str">
        <f>IFERROR(VLOOKUP(A322,'[1]JL EXE ACTIVE FTE List'!$G:$N,8,FALSE),IF(ISNA(VLOOKUP(A322,'[1]JL EXE LEAVER List'!$G:$I,3,FALSE)),"Query","Leaver"))</f>
        <v>3RD</v>
      </c>
      <c r="C322" s="29" t="str">
        <f>IFERROR(VLOOKUP(A322,'[1]JL EXE ACTIVE FTE List'!$G:$R,12,FALSE),IF(ISNA(VLOOKUP(A322,'[1]JL EXE LEAVER List'!$G:$I,3,FALSE)),"?QUERY?","Leaver"))</f>
        <v>ACTIVE</v>
      </c>
      <c r="D322" s="39" t="str">
        <f>IFERROR(IFERROR(VLOOKUP(A322,'[1]JL EXE ACTIVE FTE List'!$G:$H,2,FALSE),VLOOKUP(A322,'[1]JL EXE LEAVER List'!$G:$H,2,FALSE)),"?QUERY?")</f>
        <v>Troy Barnaschone</v>
      </c>
      <c r="E322" s="40">
        <f>IFERROR(IFERROR(VLOOKUP(A322,'[1]JL EXE ACTIVE FTE List'!$G:$O,9,FALSE),VLOOKUP(A322,'[1]JL EXE LEAVER List'!$G:$O,9,FALSE)),"?QUERY?")</f>
        <v>42499</v>
      </c>
      <c r="F322" s="21" t="s">
        <v>338</v>
      </c>
      <c r="G322" s="21" t="s">
        <v>338</v>
      </c>
      <c r="H322" s="21" t="s">
        <v>338</v>
      </c>
      <c r="I322" s="21" t="s">
        <v>313</v>
      </c>
      <c r="J322" s="21" t="s">
        <v>313</v>
      </c>
      <c r="K322" s="21" t="s">
        <v>313</v>
      </c>
      <c r="L322" s="21" t="s">
        <v>313</v>
      </c>
      <c r="M322" s="21" t="s">
        <v>313</v>
      </c>
      <c r="N322" s="21" t="s">
        <v>313</v>
      </c>
      <c r="O322" s="21" t="s">
        <v>313</v>
      </c>
      <c r="P322" s="21" t="s">
        <v>313</v>
      </c>
      <c r="Q322" s="21" t="s">
        <v>313</v>
      </c>
      <c r="R322" s="21" t="s">
        <v>313</v>
      </c>
      <c r="S322" s="21" t="s">
        <v>313</v>
      </c>
      <c r="T322" s="21" t="s">
        <v>313</v>
      </c>
      <c r="U322" s="21" t="s">
        <v>313</v>
      </c>
      <c r="V322" s="21" t="s">
        <v>313</v>
      </c>
      <c r="W322" s="21" t="s">
        <v>313</v>
      </c>
      <c r="X322" s="21" t="s">
        <v>313</v>
      </c>
      <c r="Y322" s="21" t="s">
        <v>313</v>
      </c>
      <c r="Z322" s="21" t="s">
        <v>313</v>
      </c>
      <c r="AA322" s="21" t="s">
        <v>313</v>
      </c>
      <c r="AB322" s="21" t="s">
        <v>313</v>
      </c>
      <c r="AC322" s="21" t="s">
        <v>313</v>
      </c>
      <c r="AD322" s="21" t="s">
        <v>313</v>
      </c>
      <c r="AE322" s="21" t="s">
        <v>313</v>
      </c>
      <c r="AF322" s="21" t="s">
        <v>313</v>
      </c>
      <c r="AG322" s="21" t="s">
        <v>313</v>
      </c>
      <c r="AH322" s="21" t="s">
        <v>313</v>
      </c>
      <c r="AI322" s="21" t="s">
        <v>313</v>
      </c>
      <c r="AJ322" s="21" t="s">
        <v>313</v>
      </c>
      <c r="AK322" s="21" t="s">
        <v>313</v>
      </c>
      <c r="AL322" s="21" t="s">
        <v>313</v>
      </c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</row>
    <row r="323" spans="1:50" ht="18" hidden="1" customHeight="1" x14ac:dyDescent="0.3">
      <c r="A323" s="30" t="s">
        <v>389</v>
      </c>
      <c r="B323" s="29" t="str">
        <f>IFERROR(VLOOKUP(A323,'[1]JL EXE ACTIVE FTE List'!$G:$N,8,FALSE),IF(ISNA(VLOOKUP(A323,'[1]JL EXE LEAVER List'!$G:$I,3,FALSE)),"Query","Leaver"))</f>
        <v>Leaver</v>
      </c>
      <c r="C323" s="29" t="str">
        <f>IFERROR(VLOOKUP(A323,'[1]JL EXE ACTIVE FTE List'!$G:$R,12,FALSE),IF(ISNA(VLOOKUP(A323,'[1]JL EXE LEAVER List'!$G:$I,3,FALSE)),"?QUERY?","Leaver"))</f>
        <v>Leaver</v>
      </c>
      <c r="D323" s="39" t="str">
        <f>IFERROR(IFERROR(VLOOKUP(A323,'[1]JL EXE ACTIVE FTE List'!$G:$H,2,FALSE),VLOOKUP(A323,'[1]JL EXE LEAVER List'!$G:$H,2,FALSE)),"?QUERY?")</f>
        <v>Andrew Warren</v>
      </c>
      <c r="E323" s="40">
        <f>IFERROR(IFERROR(VLOOKUP(A323,'[1]JL EXE ACTIVE FTE List'!$G:$O,9,FALSE),VLOOKUP(A323,'[1]JL EXE LEAVER List'!$G:$O,9,FALSE)),"?QUERY?")</f>
        <v>43122</v>
      </c>
      <c r="F323" s="21" t="s">
        <v>341</v>
      </c>
      <c r="G323" s="21" t="s">
        <v>341</v>
      </c>
      <c r="H323" s="21" t="s">
        <v>341</v>
      </c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</row>
    <row r="324" spans="1:50" ht="18" hidden="1" customHeight="1" x14ac:dyDescent="0.3">
      <c r="A324" s="30" t="s">
        <v>379</v>
      </c>
      <c r="B324" s="29" t="str">
        <f>IFERROR(VLOOKUP(A324,'[1]JL EXE ACTIVE FTE List'!$G:$N,8,FALSE),IF(ISNA(VLOOKUP(A324,'[1]JL EXE LEAVER List'!$G:$I,3,FALSE)),"Query","Leaver"))</f>
        <v>Leaver</v>
      </c>
      <c r="C324" s="29" t="str">
        <f>IFERROR(VLOOKUP(A324,'[1]JL EXE ACTIVE FTE List'!$G:$R,12,FALSE),IF(ISNA(VLOOKUP(A324,'[1]JL EXE LEAVER List'!$G:$I,3,FALSE)),"?QUERY?","Leaver"))</f>
        <v>Leaver</v>
      </c>
      <c r="D324" s="39" t="str">
        <f>IFERROR(IFERROR(VLOOKUP(A324,'[1]JL EXE ACTIVE FTE List'!$G:$H,2,FALSE),VLOOKUP(A324,'[1]JL EXE LEAVER List'!$G:$H,2,FALSE)),"?QUERY?")</f>
        <v>Andrew Warren</v>
      </c>
      <c r="E324" s="40">
        <f>IFERROR(IFERROR(VLOOKUP(A324,'[1]JL EXE ACTIVE FTE List'!$G:$O,9,FALSE),VLOOKUP(A324,'[1]JL EXE LEAVER List'!$G:$O,9,FALSE)),"?QUERY?")</f>
        <v>43122</v>
      </c>
      <c r="F324" s="21" t="s">
        <v>341</v>
      </c>
      <c r="G324" s="21" t="s">
        <v>341</v>
      </c>
      <c r="H324" s="21" t="s">
        <v>341</v>
      </c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</row>
    <row r="325" spans="1:50" ht="18" customHeight="1" x14ac:dyDescent="0.3">
      <c r="A325" s="30" t="s">
        <v>222</v>
      </c>
      <c r="B325" s="29" t="str">
        <f>IFERROR(VLOOKUP(A325,'[1]JL EXE ACTIVE FTE List'!$G:$N,8,FALSE),IF(ISNA(VLOOKUP(A325,'[1]JL EXE LEAVER List'!$G:$I,3,FALSE)),"Query","Leaver"))</f>
        <v>3RD</v>
      </c>
      <c r="C325" s="29" t="str">
        <f>IFERROR(VLOOKUP(A325,'[1]JL EXE ACTIVE FTE List'!$G:$R,12,FALSE),IF(ISNA(VLOOKUP(A325,'[1]JL EXE LEAVER List'!$G:$I,3,FALSE)),"?QUERY?","Leaver"))</f>
        <v>ACTIVE</v>
      </c>
      <c r="D325" s="39" t="str">
        <f>IFERROR(IFERROR(VLOOKUP(A325,'[1]JL EXE ACTIVE FTE List'!$G:$H,2,FALSE),VLOOKUP(A325,'[1]JL EXE LEAVER List'!$G:$H,2,FALSE)),"?QUERY?")</f>
        <v>Troy Barnaschone</v>
      </c>
      <c r="E325" s="40">
        <f>IFERROR(IFERROR(VLOOKUP(A325,'[1]JL EXE ACTIVE FTE List'!$G:$O,9,FALSE),VLOOKUP(A325,'[1]JL EXE LEAVER List'!$G:$O,9,FALSE)),"?QUERY?")</f>
        <v>42324</v>
      </c>
      <c r="F325" s="21" t="s">
        <v>338</v>
      </c>
      <c r="G325" s="21" t="s">
        <v>338</v>
      </c>
      <c r="H325" s="21" t="s">
        <v>335</v>
      </c>
      <c r="I325" s="21" t="s">
        <v>313</v>
      </c>
      <c r="J325" s="21" t="s">
        <v>313</v>
      </c>
      <c r="K325" s="21" t="s">
        <v>313</v>
      </c>
      <c r="L325" s="21" t="s">
        <v>313</v>
      </c>
      <c r="M325" s="21" t="s">
        <v>313</v>
      </c>
      <c r="N325" s="21" t="s">
        <v>313</v>
      </c>
      <c r="O325" s="21" t="s">
        <v>313</v>
      </c>
      <c r="P325" s="21" t="s">
        <v>313</v>
      </c>
      <c r="Q325" s="21" t="s">
        <v>313</v>
      </c>
      <c r="R325" s="21" t="s">
        <v>313</v>
      </c>
      <c r="S325" s="21" t="s">
        <v>313</v>
      </c>
      <c r="T325" s="21" t="s">
        <v>313</v>
      </c>
      <c r="U325" s="21" t="s">
        <v>313</v>
      </c>
      <c r="V325" s="21" t="s">
        <v>313</v>
      </c>
      <c r="W325" s="21" t="s">
        <v>313</v>
      </c>
      <c r="X325" s="21" t="s">
        <v>313</v>
      </c>
      <c r="Y325" s="21" t="s">
        <v>313</v>
      </c>
      <c r="Z325" s="21" t="s">
        <v>313</v>
      </c>
      <c r="AA325" s="21" t="s">
        <v>313</v>
      </c>
      <c r="AB325" s="21" t="s">
        <v>313</v>
      </c>
      <c r="AC325" s="21" t="s">
        <v>313</v>
      </c>
      <c r="AD325" s="21" t="s">
        <v>313</v>
      </c>
      <c r="AE325" s="21" t="s">
        <v>313</v>
      </c>
      <c r="AF325" s="21" t="s">
        <v>313</v>
      </c>
      <c r="AG325" s="21" t="s">
        <v>313</v>
      </c>
      <c r="AH325" s="21" t="s">
        <v>313</v>
      </c>
      <c r="AI325" s="21" t="s">
        <v>313</v>
      </c>
      <c r="AJ325" s="21" t="s">
        <v>313</v>
      </c>
      <c r="AK325" s="21" t="s">
        <v>313</v>
      </c>
      <c r="AL325" s="21" t="s">
        <v>313</v>
      </c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</row>
    <row r="326" spans="1:50" ht="18" customHeight="1" x14ac:dyDescent="0.3">
      <c r="A326" s="30" t="s">
        <v>239</v>
      </c>
      <c r="B326" s="29" t="str">
        <f>IFERROR(VLOOKUP(A326,'[1]JL EXE ACTIVE FTE List'!$G:$N,8,FALSE),IF(ISNA(VLOOKUP(A326,'[1]JL EXE LEAVER List'!$G:$I,3,FALSE)),"Query","Leaver"))</f>
        <v>3RD</v>
      </c>
      <c r="C326" s="29" t="str">
        <f>IFERROR(VLOOKUP(A326,'[1]JL EXE ACTIVE FTE List'!$G:$R,12,FALSE),IF(ISNA(VLOOKUP(A326,'[1]JL EXE LEAVER List'!$G:$I,3,FALSE)),"?QUERY?","Leaver"))</f>
        <v>ACTIVE</v>
      </c>
      <c r="D326" s="39" t="str">
        <f>IFERROR(IFERROR(VLOOKUP(A326,'[1]JL EXE ACTIVE FTE List'!$G:$H,2,FALSE),VLOOKUP(A326,'[1]JL EXE LEAVER List'!$G:$H,2,FALSE)),"?QUERY?")</f>
        <v>Troy Barnaschone</v>
      </c>
      <c r="E326" s="40">
        <f>IFERROR(IFERROR(VLOOKUP(A326,'[1]JL EXE ACTIVE FTE List'!$G:$O,9,FALSE),VLOOKUP(A326,'[1]JL EXE LEAVER List'!$G:$O,9,FALSE)),"?QUERY?")</f>
        <v>40511</v>
      </c>
      <c r="F326" s="21" t="s">
        <v>338</v>
      </c>
      <c r="G326" s="21" t="s">
        <v>338</v>
      </c>
      <c r="H326" s="21" t="s">
        <v>338</v>
      </c>
      <c r="I326" s="21" t="s">
        <v>313</v>
      </c>
      <c r="J326" s="21" t="s">
        <v>313</v>
      </c>
      <c r="K326" s="21" t="s">
        <v>313</v>
      </c>
      <c r="L326" s="21" t="s">
        <v>313</v>
      </c>
      <c r="M326" s="21" t="s">
        <v>313</v>
      </c>
      <c r="N326" s="21" t="s">
        <v>313</v>
      </c>
      <c r="O326" s="21" t="s">
        <v>313</v>
      </c>
      <c r="P326" s="21" t="s">
        <v>313</v>
      </c>
      <c r="Q326" s="21" t="s">
        <v>313</v>
      </c>
      <c r="R326" s="21" t="s">
        <v>313</v>
      </c>
      <c r="S326" s="21" t="s">
        <v>313</v>
      </c>
      <c r="T326" s="21" t="s">
        <v>313</v>
      </c>
      <c r="U326" s="21" t="s">
        <v>313</v>
      </c>
      <c r="V326" s="21" t="s">
        <v>313</v>
      </c>
      <c r="W326" s="21" t="s">
        <v>313</v>
      </c>
      <c r="X326" s="21" t="s">
        <v>313</v>
      </c>
      <c r="Y326" s="21" t="s">
        <v>313</v>
      </c>
      <c r="Z326" s="21" t="s">
        <v>313</v>
      </c>
      <c r="AA326" s="21" t="s">
        <v>313</v>
      </c>
      <c r="AB326" s="21" t="s">
        <v>313</v>
      </c>
      <c r="AC326" s="21" t="s">
        <v>313</v>
      </c>
      <c r="AD326" s="21" t="s">
        <v>313</v>
      </c>
      <c r="AE326" s="21" t="s">
        <v>313</v>
      </c>
      <c r="AF326" s="21" t="s">
        <v>313</v>
      </c>
      <c r="AG326" s="21" t="s">
        <v>313</v>
      </c>
      <c r="AH326" s="21" t="s">
        <v>313</v>
      </c>
      <c r="AI326" s="21" t="s">
        <v>313</v>
      </c>
      <c r="AJ326" s="21" t="s">
        <v>313</v>
      </c>
      <c r="AK326" s="21" t="s">
        <v>313</v>
      </c>
      <c r="AL326" s="21" t="s">
        <v>313</v>
      </c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</row>
    <row r="327" spans="1:50" ht="18" hidden="1" customHeight="1" x14ac:dyDescent="0.3">
      <c r="A327" s="30" t="s">
        <v>382</v>
      </c>
      <c r="B327" s="29" t="str">
        <f>IFERROR(VLOOKUP(A327,'[1]JL EXE ACTIVE FTE List'!$G:$N,8,FALSE),IF(ISNA(VLOOKUP(A327,'[1]JL EXE LEAVER List'!$G:$I,3,FALSE)),"Query","Leaver"))</f>
        <v>Query</v>
      </c>
      <c r="C327" s="29" t="str">
        <f>IFERROR(VLOOKUP(A327,'[1]JL EXE ACTIVE FTE List'!$G:$R,12,FALSE),IF(ISNA(VLOOKUP(A327,'[1]JL EXE LEAVER List'!$G:$I,3,FALSE)),"?QUERY?","Leaver"))</f>
        <v>?QUERY?</v>
      </c>
      <c r="D327" s="39" t="str">
        <f>IFERROR(IFERROR(VLOOKUP(A327,'[1]JL EXE ACTIVE FTE List'!$G:$H,2,FALSE),VLOOKUP(A327,'[1]JL EXE LEAVER List'!$G:$H,2,FALSE)),"?QUERY?")</f>
        <v>?QUERY?</v>
      </c>
      <c r="E327" s="40" t="str">
        <f>IFERROR(IFERROR(VLOOKUP(A327,'[1]JL EXE ACTIVE FTE List'!$G:$O,9,FALSE),VLOOKUP(A327,'[1]JL EXE LEAVER List'!$G:$O,9,FALSE)),"?QUERY?")</f>
        <v>?QUERY?</v>
      </c>
      <c r="F327" s="21" t="s">
        <v>341</v>
      </c>
      <c r="G327" s="21" t="s">
        <v>341</v>
      </c>
      <c r="H327" s="21" t="s">
        <v>341</v>
      </c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</row>
    <row r="328" spans="1:50" ht="18" customHeight="1" x14ac:dyDescent="0.3">
      <c r="A328" s="30" t="s">
        <v>223</v>
      </c>
      <c r="B328" s="29" t="str">
        <f>IFERROR(VLOOKUP(A328,'[1]JL EXE ACTIVE FTE List'!$G:$N,8,FALSE),IF(ISNA(VLOOKUP(A328,'[1]JL EXE LEAVER List'!$G:$I,3,FALSE)),"Query","Leaver"))</f>
        <v>3RD</v>
      </c>
      <c r="C328" s="29" t="str">
        <f>IFERROR(VLOOKUP(A328,'[1]JL EXE ACTIVE FTE List'!$G:$R,12,FALSE),IF(ISNA(VLOOKUP(A328,'[1]JL EXE LEAVER List'!$G:$I,3,FALSE)),"?QUERY?","Leaver"))</f>
        <v>ACTIVE</v>
      </c>
      <c r="D328" s="39" t="str">
        <f>IFERROR(IFERROR(VLOOKUP(A328,'[1]JL EXE ACTIVE FTE List'!$G:$H,2,FALSE),VLOOKUP(A328,'[1]JL EXE LEAVER List'!$G:$H,2,FALSE)),"?QUERY?")</f>
        <v>Troy Barnaschone</v>
      </c>
      <c r="E328" s="40">
        <f>IFERROR(IFERROR(VLOOKUP(A328,'[1]JL EXE ACTIVE FTE List'!$G:$O,9,FALSE),VLOOKUP(A328,'[1]JL EXE LEAVER List'!$G:$O,9,FALSE)),"?QUERY?")</f>
        <v>39322</v>
      </c>
      <c r="F328" s="21" t="s">
        <v>338</v>
      </c>
      <c r="G328" s="21" t="s">
        <v>338</v>
      </c>
      <c r="H328" s="21" t="s">
        <v>338</v>
      </c>
      <c r="I328" s="21" t="s">
        <v>313</v>
      </c>
      <c r="J328" s="21" t="s">
        <v>313</v>
      </c>
      <c r="K328" s="21" t="s">
        <v>313</v>
      </c>
      <c r="L328" s="21" t="s">
        <v>313</v>
      </c>
      <c r="M328" s="21" t="s">
        <v>313</v>
      </c>
      <c r="N328" s="21" t="s">
        <v>313</v>
      </c>
      <c r="O328" s="21" t="s">
        <v>313</v>
      </c>
      <c r="P328" s="21" t="s">
        <v>313</v>
      </c>
      <c r="Q328" s="21" t="s">
        <v>313</v>
      </c>
      <c r="R328" s="21" t="s">
        <v>313</v>
      </c>
      <c r="S328" s="21" t="s">
        <v>313</v>
      </c>
      <c r="T328" s="21" t="s">
        <v>313</v>
      </c>
      <c r="U328" s="21" t="s">
        <v>313</v>
      </c>
      <c r="V328" s="21" t="s">
        <v>313</v>
      </c>
      <c r="W328" s="21" t="s">
        <v>313</v>
      </c>
      <c r="X328" s="21" t="s">
        <v>313</v>
      </c>
      <c r="Y328" s="21" t="s">
        <v>313</v>
      </c>
      <c r="Z328" s="21" t="s">
        <v>313</v>
      </c>
      <c r="AA328" s="21" t="s">
        <v>313</v>
      </c>
      <c r="AB328" s="21" t="s">
        <v>313</v>
      </c>
      <c r="AC328" s="21" t="s">
        <v>313</v>
      </c>
      <c r="AD328" s="21" t="s">
        <v>313</v>
      </c>
      <c r="AE328" s="21" t="s">
        <v>313</v>
      </c>
      <c r="AF328" s="21" t="s">
        <v>313</v>
      </c>
      <c r="AG328" s="21" t="s">
        <v>313</v>
      </c>
      <c r="AH328" s="21" t="s">
        <v>313</v>
      </c>
      <c r="AI328" s="21" t="s">
        <v>313</v>
      </c>
      <c r="AJ328" s="21" t="s">
        <v>313</v>
      </c>
      <c r="AK328" s="21" t="s">
        <v>313</v>
      </c>
      <c r="AL328" s="21" t="s">
        <v>313</v>
      </c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</row>
    <row r="329" spans="1:50" ht="18" customHeight="1" x14ac:dyDescent="0.3">
      <c r="A329" s="30" t="s">
        <v>226</v>
      </c>
      <c r="B329" s="29" t="str">
        <f>IFERROR(VLOOKUP(A329,'[1]JL EXE ACTIVE FTE List'!$G:$N,8,FALSE),IF(ISNA(VLOOKUP(A329,'[1]JL EXE LEAVER List'!$G:$I,3,FALSE)),"Query","Leaver"))</f>
        <v>3RD</v>
      </c>
      <c r="C329" s="29" t="str">
        <f>IFERROR(VLOOKUP(A329,'[1]JL EXE ACTIVE FTE List'!$G:$R,12,FALSE),IF(ISNA(VLOOKUP(A329,'[1]JL EXE LEAVER List'!$G:$I,3,FALSE)),"?QUERY?","Leaver"))</f>
        <v>ACTIVE</v>
      </c>
      <c r="D329" s="39" t="str">
        <f>IFERROR(IFERROR(VLOOKUP(A329,'[1]JL EXE ACTIVE FTE List'!$G:$H,2,FALSE),VLOOKUP(A329,'[1]JL EXE LEAVER List'!$G:$H,2,FALSE)),"?QUERY?")</f>
        <v>Troy Barnaschone</v>
      </c>
      <c r="E329" s="40">
        <f>IFERROR(IFERROR(VLOOKUP(A329,'[1]JL EXE ACTIVE FTE List'!$G:$O,9,FALSE),VLOOKUP(A329,'[1]JL EXE LEAVER List'!$G:$O,9,FALSE)),"?QUERY?")</f>
        <v>42372</v>
      </c>
      <c r="F329" s="21" t="s">
        <v>338</v>
      </c>
      <c r="G329" s="21" t="s">
        <v>338</v>
      </c>
      <c r="H329" s="21" t="s">
        <v>338</v>
      </c>
      <c r="I329" s="21" t="s">
        <v>313</v>
      </c>
      <c r="J329" s="21" t="s">
        <v>313</v>
      </c>
      <c r="K329" s="21" t="s">
        <v>313</v>
      </c>
      <c r="L329" s="21" t="s">
        <v>313</v>
      </c>
      <c r="M329" s="21" t="s">
        <v>313</v>
      </c>
      <c r="N329" s="21" t="s">
        <v>313</v>
      </c>
      <c r="O329" s="21" t="s">
        <v>313</v>
      </c>
      <c r="P329" s="21" t="s">
        <v>313</v>
      </c>
      <c r="Q329" s="21" t="s">
        <v>313</v>
      </c>
      <c r="R329" s="21" t="s">
        <v>313</v>
      </c>
      <c r="S329" s="21" t="s">
        <v>313</v>
      </c>
      <c r="T329" s="21" t="s">
        <v>313</v>
      </c>
      <c r="U329" s="21" t="s">
        <v>313</v>
      </c>
      <c r="V329" s="21" t="s">
        <v>313</v>
      </c>
      <c r="W329" s="21" t="s">
        <v>313</v>
      </c>
      <c r="X329" s="21" t="s">
        <v>313</v>
      </c>
      <c r="Y329" s="21" t="s">
        <v>313</v>
      </c>
      <c r="Z329" s="21" t="s">
        <v>313</v>
      </c>
      <c r="AA329" s="21" t="s">
        <v>313</v>
      </c>
      <c r="AB329" s="21" t="s">
        <v>313</v>
      </c>
      <c r="AC329" s="21" t="s">
        <v>313</v>
      </c>
      <c r="AD329" s="21" t="s">
        <v>313</v>
      </c>
      <c r="AE329" s="21" t="s">
        <v>313</v>
      </c>
      <c r="AF329" s="21" t="s">
        <v>313</v>
      </c>
      <c r="AG329" s="21" t="s">
        <v>313</v>
      </c>
      <c r="AH329" s="21" t="s">
        <v>313</v>
      </c>
      <c r="AI329" s="21" t="s">
        <v>313</v>
      </c>
      <c r="AJ329" s="21" t="s">
        <v>313</v>
      </c>
      <c r="AK329" s="21" t="s">
        <v>313</v>
      </c>
      <c r="AL329" s="21" t="s">
        <v>313</v>
      </c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</row>
    <row r="330" spans="1:50" ht="18" customHeight="1" x14ac:dyDescent="0.3">
      <c r="A330" s="30" t="s">
        <v>227</v>
      </c>
      <c r="B330" s="29" t="str">
        <f>IFERROR(VLOOKUP(A330,'[1]JL EXE ACTIVE FTE List'!$G:$N,8,FALSE),IF(ISNA(VLOOKUP(A330,'[1]JL EXE LEAVER List'!$G:$I,3,FALSE)),"Query","Leaver"))</f>
        <v>3RD</v>
      </c>
      <c r="C330" s="29" t="str">
        <f>IFERROR(VLOOKUP(A330,'[1]JL EXE ACTIVE FTE List'!$G:$R,12,FALSE),IF(ISNA(VLOOKUP(A330,'[1]JL EXE LEAVER List'!$G:$I,3,FALSE)),"?QUERY?","Leaver"))</f>
        <v>ACTIVE</v>
      </c>
      <c r="D330" s="39" t="str">
        <f>IFERROR(IFERROR(VLOOKUP(A330,'[1]JL EXE ACTIVE FTE List'!$G:$H,2,FALSE),VLOOKUP(A330,'[1]JL EXE LEAVER List'!$G:$H,2,FALSE)),"?QUERY?")</f>
        <v>Troy Barnaschone</v>
      </c>
      <c r="E330" s="40">
        <f>IFERROR(IFERROR(VLOOKUP(A330,'[1]JL EXE ACTIVE FTE List'!$G:$O,9,FALSE),VLOOKUP(A330,'[1]JL EXE LEAVER List'!$G:$O,9,FALSE)),"?QUERY?")</f>
        <v>42625</v>
      </c>
      <c r="F330" s="21" t="s">
        <v>338</v>
      </c>
      <c r="G330" s="21" t="s">
        <v>338</v>
      </c>
      <c r="H330" s="21" t="s">
        <v>338</v>
      </c>
      <c r="I330" s="21" t="s">
        <v>313</v>
      </c>
      <c r="J330" s="21" t="s">
        <v>313</v>
      </c>
      <c r="K330" s="21" t="s">
        <v>313</v>
      </c>
      <c r="L330" s="21" t="s">
        <v>313</v>
      </c>
      <c r="M330" s="21" t="s">
        <v>313</v>
      </c>
      <c r="N330" s="21" t="s">
        <v>313</v>
      </c>
      <c r="O330" s="21" t="s">
        <v>313</v>
      </c>
      <c r="P330" s="21" t="s">
        <v>313</v>
      </c>
      <c r="Q330" s="21" t="s">
        <v>313</v>
      </c>
      <c r="R330" s="21" t="s">
        <v>313</v>
      </c>
      <c r="S330" s="21" t="s">
        <v>313</v>
      </c>
      <c r="T330" s="21" t="s">
        <v>313</v>
      </c>
      <c r="U330" s="21" t="s">
        <v>313</v>
      </c>
      <c r="V330" s="21" t="s">
        <v>313</v>
      </c>
      <c r="W330" s="21" t="s">
        <v>313</v>
      </c>
      <c r="X330" s="21" t="s">
        <v>313</v>
      </c>
      <c r="Y330" s="21" t="s">
        <v>313</v>
      </c>
      <c r="Z330" s="21" t="s">
        <v>313</v>
      </c>
      <c r="AA330" s="21" t="s">
        <v>313</v>
      </c>
      <c r="AB330" s="21" t="s">
        <v>313</v>
      </c>
      <c r="AC330" s="21" t="s">
        <v>313</v>
      </c>
      <c r="AD330" s="21" t="s">
        <v>313</v>
      </c>
      <c r="AE330" s="21" t="s">
        <v>313</v>
      </c>
      <c r="AF330" s="21" t="s">
        <v>313</v>
      </c>
      <c r="AG330" s="21" t="s">
        <v>313</v>
      </c>
      <c r="AH330" s="21" t="s">
        <v>313</v>
      </c>
      <c r="AI330" s="21" t="s">
        <v>313</v>
      </c>
      <c r="AJ330" s="21" t="s">
        <v>313</v>
      </c>
      <c r="AK330" s="21" t="s">
        <v>313</v>
      </c>
      <c r="AL330" s="21" t="s">
        <v>313</v>
      </c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</row>
    <row r="331" spans="1:50" ht="15" hidden="1" customHeight="1" x14ac:dyDescent="0.3">
      <c r="A331" s="32" t="s">
        <v>392</v>
      </c>
      <c r="B331" s="29" t="str">
        <f>IFERROR(VLOOKUP(A331,'[1]JL EXE ACTIVE FTE List'!$G:$N,8,FALSE),IF(ISNA(VLOOKUP(A331,'[1]JL EXE LEAVER List'!$G:$I,3,FALSE)),"Query","Leaver"))</f>
        <v>OTH</v>
      </c>
      <c r="C331" s="29" t="str">
        <f>IFERROR(VLOOKUP(A331,'[1]JL EXE ACTIVE FTE List'!$G:$R,12,FALSE),IF(ISNA(VLOOKUP(A331,'[1]JL EXE LEAVER List'!$G:$I,3,FALSE)),"?QUERY?","Leaver"))</f>
        <v>Training</v>
      </c>
      <c r="D331" s="39" t="str">
        <f>IFERROR(IFERROR(VLOOKUP(A331,'[1]JL EXE ACTIVE FTE List'!$G:$H,2,FALSE),VLOOKUP(A331,'[1]JL EXE LEAVER List'!$G:$H,2,FALSE)),"?QUERY?")</f>
        <v>Sean Rowe</v>
      </c>
      <c r="E331" s="40">
        <f>IFERROR(IFERROR(VLOOKUP(A331,'[1]JL EXE ACTIVE FTE List'!$G:$O,9,FALSE),VLOOKUP(A331,'[1]JL EXE LEAVER List'!$G:$O,9,FALSE)),"?QUERY?")</f>
        <v>43129</v>
      </c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</row>
    <row r="332" spans="1:50" ht="15" hidden="1" customHeight="1" x14ac:dyDescent="0.3">
      <c r="A332" s="32" t="s">
        <v>393</v>
      </c>
      <c r="B332" s="29" t="str">
        <f>IFERROR(VLOOKUP(A332,'[1]JL EXE ACTIVE FTE List'!$G:$N,8,FALSE),IF(ISNA(VLOOKUP(A332,'[1]JL EXE LEAVER List'!$G:$I,3,FALSE)),"Query","Leaver"))</f>
        <v>OTH</v>
      </c>
      <c r="C332" s="29" t="str">
        <f>IFERROR(VLOOKUP(A332,'[1]JL EXE ACTIVE FTE List'!$G:$R,12,FALSE),IF(ISNA(VLOOKUP(A332,'[1]JL EXE LEAVER List'!$G:$I,3,FALSE)),"?QUERY?","Leaver"))</f>
        <v>Training</v>
      </c>
      <c r="D332" s="39" t="str">
        <f>IFERROR(IFERROR(VLOOKUP(A332,'[1]JL EXE ACTIVE FTE List'!$G:$H,2,FALSE),VLOOKUP(A332,'[1]JL EXE LEAVER List'!$G:$H,2,FALSE)),"?QUERY?")</f>
        <v>Sean Rowe</v>
      </c>
      <c r="E332" s="40">
        <f>IFERROR(IFERROR(VLOOKUP(A332,'[1]JL EXE ACTIVE FTE List'!$G:$O,9,FALSE),VLOOKUP(A332,'[1]JL EXE LEAVER List'!$G:$O,9,FALSE)),"?QUERY?")</f>
        <v>43129</v>
      </c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</row>
    <row r="333" spans="1:50" ht="15" hidden="1" customHeight="1" x14ac:dyDescent="0.3">
      <c r="A333" s="32" t="s">
        <v>394</v>
      </c>
      <c r="B333" s="29" t="str">
        <f>IFERROR(VLOOKUP(A333,'[1]JL EXE ACTIVE FTE List'!$G:$N,8,FALSE),IF(ISNA(VLOOKUP(A333,'[1]JL EXE LEAVER List'!$G:$I,3,FALSE)),"Query","Leaver"))</f>
        <v>OTH</v>
      </c>
      <c r="C333" s="29" t="str">
        <f>IFERROR(VLOOKUP(A333,'[1]JL EXE ACTIVE FTE List'!$G:$R,12,FALSE),IF(ISNA(VLOOKUP(A333,'[1]JL EXE LEAVER List'!$G:$I,3,FALSE)),"?QUERY?","Leaver"))</f>
        <v>Training</v>
      </c>
      <c r="D333" s="39" t="str">
        <f>IFERROR(IFERROR(VLOOKUP(A333,'[1]JL EXE ACTIVE FTE List'!$G:$H,2,FALSE),VLOOKUP(A333,'[1]JL EXE LEAVER List'!$G:$H,2,FALSE)),"?QUERY?")</f>
        <v>Sean Rowe</v>
      </c>
      <c r="E333" s="40">
        <f>IFERROR(IFERROR(VLOOKUP(A333,'[1]JL EXE ACTIVE FTE List'!$G:$O,9,FALSE),VLOOKUP(A333,'[1]JL EXE LEAVER List'!$G:$O,9,FALSE)),"?QUERY?")</f>
        <v>43129</v>
      </c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</row>
    <row r="334" spans="1:50" ht="15" hidden="1" customHeight="1" x14ac:dyDescent="0.3">
      <c r="A334" s="32" t="s">
        <v>395</v>
      </c>
      <c r="B334" s="29" t="str">
        <f>IFERROR(VLOOKUP(A334,'[1]JL EXE ACTIVE FTE List'!$G:$N,8,FALSE),IF(ISNA(VLOOKUP(A334,'[1]JL EXE LEAVER List'!$G:$I,3,FALSE)),"Query","Leaver"))</f>
        <v>OTH</v>
      </c>
      <c r="C334" s="29" t="str">
        <f>IFERROR(VLOOKUP(A334,'[1]JL EXE ACTIVE FTE List'!$G:$R,12,FALSE),IF(ISNA(VLOOKUP(A334,'[1]JL EXE LEAVER List'!$G:$I,3,FALSE)),"?QUERY?","Leaver"))</f>
        <v>Training</v>
      </c>
      <c r="D334" s="39" t="str">
        <f>IFERROR(IFERROR(VLOOKUP(A334,'[1]JL EXE ACTIVE FTE List'!$G:$H,2,FALSE),VLOOKUP(A334,'[1]JL EXE LEAVER List'!$G:$H,2,FALSE)),"?QUERY?")</f>
        <v>Sean Rowe</v>
      </c>
      <c r="E334" s="40">
        <f>IFERROR(IFERROR(VLOOKUP(A334,'[1]JL EXE ACTIVE FTE List'!$G:$O,9,FALSE),VLOOKUP(A334,'[1]JL EXE LEAVER List'!$G:$O,9,FALSE)),"?QUERY?")</f>
        <v>43129</v>
      </c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</row>
    <row r="335" spans="1:50" ht="15" hidden="1" customHeight="1" x14ac:dyDescent="0.3">
      <c r="A335" s="32" t="s">
        <v>396</v>
      </c>
      <c r="B335" s="29" t="str">
        <f>IFERROR(VLOOKUP(A335,'[1]JL EXE ACTIVE FTE List'!$G:$N,8,FALSE),IF(ISNA(VLOOKUP(A335,'[1]JL EXE LEAVER List'!$G:$I,3,FALSE)),"Query","Leaver"))</f>
        <v>OTH</v>
      </c>
      <c r="C335" s="29" t="str">
        <f>IFERROR(VLOOKUP(A335,'[1]JL EXE ACTIVE FTE List'!$G:$R,12,FALSE),IF(ISNA(VLOOKUP(A335,'[1]JL EXE LEAVER List'!$G:$I,3,FALSE)),"?QUERY?","Leaver"))</f>
        <v>Training</v>
      </c>
      <c r="D335" s="39" t="str">
        <f>IFERROR(IFERROR(VLOOKUP(A335,'[1]JL EXE ACTIVE FTE List'!$G:$H,2,FALSE),VLOOKUP(A335,'[1]JL EXE LEAVER List'!$G:$H,2,FALSE)),"?QUERY?")</f>
        <v>Sean Rowe</v>
      </c>
      <c r="E335" s="40">
        <f>IFERROR(IFERROR(VLOOKUP(A335,'[1]JL EXE ACTIVE FTE List'!$G:$O,9,FALSE),VLOOKUP(A335,'[1]JL EXE LEAVER List'!$G:$O,9,FALSE)),"?QUERY?")</f>
        <v>43129</v>
      </c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</row>
    <row r="336" spans="1:50" ht="15" hidden="1" customHeight="1" x14ac:dyDescent="0.3">
      <c r="A336" s="32" t="s">
        <v>397</v>
      </c>
      <c r="B336" s="29" t="str">
        <f>IFERROR(VLOOKUP(A336,'[1]JL EXE ACTIVE FTE List'!$G:$N,8,FALSE),IF(ISNA(VLOOKUP(A336,'[1]JL EXE LEAVER List'!$G:$I,3,FALSE)),"Query","Leaver"))</f>
        <v>OTH</v>
      </c>
      <c r="C336" s="29" t="str">
        <f>IFERROR(VLOOKUP(A336,'[1]JL EXE ACTIVE FTE List'!$G:$R,12,FALSE),IF(ISNA(VLOOKUP(A336,'[1]JL EXE LEAVER List'!$G:$I,3,FALSE)),"?QUERY?","Leaver"))</f>
        <v>Training</v>
      </c>
      <c r="D336" s="39" t="str">
        <f>IFERROR(IFERROR(VLOOKUP(A336,'[1]JL EXE ACTIVE FTE List'!$G:$H,2,FALSE),VLOOKUP(A336,'[1]JL EXE LEAVER List'!$G:$H,2,FALSE)),"?QUERY?")</f>
        <v>Sean Rowe</v>
      </c>
      <c r="E336" s="40">
        <f>IFERROR(IFERROR(VLOOKUP(A336,'[1]JL EXE ACTIVE FTE List'!$G:$O,9,FALSE),VLOOKUP(A336,'[1]JL EXE LEAVER List'!$G:$O,9,FALSE)),"?QUERY?")</f>
        <v>43129</v>
      </c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</row>
    <row r="337" spans="1:50" ht="15" hidden="1" customHeight="1" x14ac:dyDescent="0.3">
      <c r="A337" s="32" t="s">
        <v>398</v>
      </c>
      <c r="B337" s="29" t="str">
        <f>IFERROR(VLOOKUP(A337,'[1]JL EXE ACTIVE FTE List'!$G:$N,8,FALSE),IF(ISNA(VLOOKUP(A337,'[1]JL EXE LEAVER List'!$G:$I,3,FALSE)),"Query","Leaver"))</f>
        <v>OTH</v>
      </c>
      <c r="C337" s="29" t="str">
        <f>IFERROR(VLOOKUP(A337,'[1]JL EXE ACTIVE FTE List'!$G:$R,12,FALSE),IF(ISNA(VLOOKUP(A337,'[1]JL EXE LEAVER List'!$G:$I,3,FALSE)),"?QUERY?","Leaver"))</f>
        <v>Training</v>
      </c>
      <c r="D337" s="39" t="str">
        <f>IFERROR(IFERROR(VLOOKUP(A337,'[1]JL EXE ACTIVE FTE List'!$G:$H,2,FALSE),VLOOKUP(A337,'[1]JL EXE LEAVER List'!$G:$H,2,FALSE)),"?QUERY?")</f>
        <v>Sean Rowe</v>
      </c>
      <c r="E337" s="40">
        <f>IFERROR(IFERROR(VLOOKUP(A337,'[1]JL EXE ACTIVE FTE List'!$G:$O,9,FALSE),VLOOKUP(A337,'[1]JL EXE LEAVER List'!$G:$O,9,FALSE)),"?QUERY?")</f>
        <v>43129</v>
      </c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</row>
    <row r="338" spans="1:50" ht="15" hidden="1" customHeight="1" x14ac:dyDescent="0.3">
      <c r="A338" s="32" t="s">
        <v>399</v>
      </c>
      <c r="B338" s="29" t="str">
        <f>IFERROR(VLOOKUP(A338,'[1]JL EXE ACTIVE FTE List'!$G:$N,8,FALSE),IF(ISNA(VLOOKUP(A338,'[1]JL EXE LEAVER List'!$G:$I,3,FALSE)),"Query","Leaver"))</f>
        <v>OTH</v>
      </c>
      <c r="C338" s="29" t="str">
        <f>IFERROR(VLOOKUP(A338,'[1]JL EXE ACTIVE FTE List'!$G:$R,12,FALSE),IF(ISNA(VLOOKUP(A338,'[1]JL EXE LEAVER List'!$G:$I,3,FALSE)),"?QUERY?","Leaver"))</f>
        <v>Training</v>
      </c>
      <c r="D338" s="39" t="str">
        <f>IFERROR(IFERROR(VLOOKUP(A338,'[1]JL EXE ACTIVE FTE List'!$G:$H,2,FALSE),VLOOKUP(A338,'[1]JL EXE LEAVER List'!$G:$H,2,FALSE)),"?QUERY?")</f>
        <v>Sean Rowe</v>
      </c>
      <c r="E338" s="40">
        <f>IFERROR(IFERROR(VLOOKUP(A338,'[1]JL EXE ACTIVE FTE List'!$G:$O,9,FALSE),VLOOKUP(A338,'[1]JL EXE LEAVER List'!$G:$O,9,FALSE)),"?QUERY?")</f>
        <v>43129</v>
      </c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</row>
    <row r="339" spans="1:50" ht="15" hidden="1" customHeight="1" x14ac:dyDescent="0.3">
      <c r="A339" s="33" t="s">
        <v>400</v>
      </c>
      <c r="B339" s="29" t="str">
        <f>IFERROR(VLOOKUP(A339,'[1]JL EXE ACTIVE FTE List'!$G:$N,8,FALSE),IF(ISNA(VLOOKUP(A339,'[1]JL EXE LEAVER List'!$G:$I,3,FALSE)),"Query","Leaver"))</f>
        <v>OTH</v>
      </c>
      <c r="C339" s="29" t="str">
        <f>IFERROR(VLOOKUP(A339,'[1]JL EXE ACTIVE FTE List'!$G:$R,12,FALSE),IF(ISNA(VLOOKUP(A339,'[1]JL EXE LEAVER List'!$G:$I,3,FALSE)),"?QUERY?","Leaver"))</f>
        <v>Training</v>
      </c>
      <c r="D339" s="39" t="str">
        <f>IFERROR(IFERROR(VLOOKUP(A339,'[1]JL EXE ACTIVE FTE List'!$G:$H,2,FALSE),VLOOKUP(A339,'[1]JL EXE LEAVER List'!$G:$H,2,FALSE)),"?QUERY?")</f>
        <v>Sean Rowe</v>
      </c>
      <c r="E339" s="40">
        <f>IFERROR(IFERROR(VLOOKUP(A339,'[1]JL EXE ACTIVE FTE List'!$G:$O,9,FALSE),VLOOKUP(A339,'[1]JL EXE LEAVER List'!$G:$O,9,FALSE)),"?QUERY?")</f>
        <v>43129</v>
      </c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</row>
    <row r="340" spans="1:50" ht="15" hidden="1" customHeight="1" x14ac:dyDescent="0.3">
      <c r="A340" s="32" t="s">
        <v>401</v>
      </c>
      <c r="B340" s="29" t="str">
        <f>IFERROR(VLOOKUP(A340,'[1]JL EXE ACTIVE FTE List'!$G:$N,8,FALSE),IF(ISNA(VLOOKUP(A340,'[1]JL EXE LEAVER List'!$G:$I,3,FALSE)),"Query","Leaver"))</f>
        <v>OTH</v>
      </c>
      <c r="C340" s="29" t="str">
        <f>IFERROR(VLOOKUP(A340,'[1]JL EXE ACTIVE FTE List'!$G:$R,12,FALSE),IF(ISNA(VLOOKUP(A340,'[1]JL EXE LEAVER List'!$G:$I,3,FALSE)),"?QUERY?","Leaver"))</f>
        <v>Training</v>
      </c>
      <c r="D340" s="39" t="str">
        <f>IFERROR(IFERROR(VLOOKUP(A340,'[1]JL EXE ACTIVE FTE List'!$G:$H,2,FALSE),VLOOKUP(A340,'[1]JL EXE LEAVER List'!$G:$H,2,FALSE)),"?QUERY?")</f>
        <v>Sean Rowe</v>
      </c>
      <c r="E340" s="40">
        <f>IFERROR(IFERROR(VLOOKUP(A340,'[1]JL EXE ACTIVE FTE List'!$G:$O,9,FALSE),VLOOKUP(A340,'[1]JL EXE LEAVER List'!$G:$O,9,FALSE)),"?QUERY?")</f>
        <v>43129</v>
      </c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</row>
    <row r="341" spans="1:50" ht="15" hidden="1" customHeight="1" x14ac:dyDescent="0.3">
      <c r="A341" s="32" t="s">
        <v>402</v>
      </c>
      <c r="B341" s="29" t="str">
        <f>IFERROR(VLOOKUP(A341,'[1]JL EXE ACTIVE FTE List'!$G:$N,8,FALSE),IF(ISNA(VLOOKUP(A341,'[1]JL EXE LEAVER List'!$G:$I,3,FALSE)),"Query","Leaver"))</f>
        <v>OTH</v>
      </c>
      <c r="C341" s="29" t="str">
        <f>IFERROR(VLOOKUP(A341,'[1]JL EXE ACTIVE FTE List'!$G:$R,12,FALSE),IF(ISNA(VLOOKUP(A341,'[1]JL EXE LEAVER List'!$G:$I,3,FALSE)),"?QUERY?","Leaver"))</f>
        <v>Training</v>
      </c>
      <c r="D341" s="39" t="str">
        <f>IFERROR(IFERROR(VLOOKUP(A341,'[1]JL EXE ACTIVE FTE List'!$G:$H,2,FALSE),VLOOKUP(A341,'[1]JL EXE LEAVER List'!$G:$H,2,FALSE)),"?QUERY?")</f>
        <v>Sean Rowe</v>
      </c>
      <c r="E341" s="40">
        <f>IFERROR(IFERROR(VLOOKUP(A341,'[1]JL EXE ACTIVE FTE List'!$G:$O,9,FALSE),VLOOKUP(A341,'[1]JL EXE LEAVER List'!$G:$O,9,FALSE)),"?QUERY?")</f>
        <v>43129</v>
      </c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</row>
    <row r="342" spans="1:50" ht="15" hidden="1" customHeight="1" x14ac:dyDescent="0.3">
      <c r="A342" s="32"/>
      <c r="B342" s="31"/>
      <c r="C342" s="31"/>
      <c r="D342" s="25"/>
      <c r="E342" s="26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</row>
    <row r="343" spans="1:50" ht="15" hidden="1" customHeight="1" x14ac:dyDescent="0.3">
      <c r="A343" s="32"/>
      <c r="B343" s="31"/>
      <c r="C343" s="31"/>
      <c r="D343" s="25"/>
      <c r="E343" s="26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</row>
    <row r="344" spans="1:50" ht="15" hidden="1" customHeight="1" x14ac:dyDescent="0.3">
      <c r="A344" s="32"/>
      <c r="B344" s="31"/>
      <c r="C344" s="31"/>
      <c r="D344" s="25"/>
      <c r="E344" s="26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</row>
    <row r="345" spans="1:50" ht="15" hidden="1" customHeight="1" x14ac:dyDescent="0.3">
      <c r="A345" s="32"/>
      <c r="B345" s="31"/>
      <c r="C345" s="31"/>
      <c r="D345" s="25"/>
      <c r="E345" s="26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</row>
    <row r="346" spans="1:50" ht="15" hidden="1" customHeight="1" x14ac:dyDescent="0.3">
      <c r="A346" s="32"/>
      <c r="B346" s="31"/>
      <c r="C346" s="31"/>
      <c r="D346" s="25"/>
      <c r="E346" s="26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</row>
    <row r="347" spans="1:50" ht="15" hidden="1" customHeight="1" x14ac:dyDescent="0.3">
      <c r="A347" s="32"/>
      <c r="B347" s="31"/>
      <c r="C347" s="31"/>
      <c r="D347" s="25"/>
      <c r="E347" s="26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</row>
    <row r="348" spans="1:50" ht="15" hidden="1" customHeight="1" x14ac:dyDescent="0.3">
      <c r="A348" s="32"/>
      <c r="B348" s="31"/>
      <c r="C348" s="31"/>
      <c r="D348" s="25"/>
      <c r="E348" s="26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</row>
    <row r="349" spans="1:50" ht="15" hidden="1" customHeight="1" x14ac:dyDescent="0.3">
      <c r="A349" s="32"/>
      <c r="B349" s="31"/>
      <c r="C349" s="31"/>
      <c r="D349" s="25"/>
      <c r="E349" s="26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</row>
    <row r="350" spans="1:50" ht="15" hidden="1" customHeight="1" x14ac:dyDescent="0.3">
      <c r="A350" s="32"/>
      <c r="B350" s="31"/>
      <c r="C350" s="31"/>
      <c r="D350" s="25"/>
      <c r="E350" s="26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</row>
    <row r="351" spans="1:50" ht="15" hidden="1" customHeight="1" x14ac:dyDescent="0.3">
      <c r="A351" s="32"/>
      <c r="B351" s="31"/>
      <c r="C351" s="31"/>
      <c r="D351" s="25"/>
      <c r="E351" s="26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</row>
    <row r="352" spans="1:50" ht="15" hidden="1" customHeight="1" x14ac:dyDescent="0.3">
      <c r="A352" s="32"/>
      <c r="B352" s="31"/>
      <c r="C352" s="31"/>
      <c r="D352" s="25"/>
      <c r="E352" s="26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</row>
    <row r="353" spans="1:50" ht="15" hidden="1" customHeight="1" x14ac:dyDescent="0.3">
      <c r="A353" s="32"/>
      <c r="B353" s="31"/>
      <c r="C353" s="31"/>
      <c r="D353" s="25"/>
      <c r="E353" s="26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</row>
    <row r="354" spans="1:50" ht="15" hidden="1" customHeight="1" x14ac:dyDescent="0.3">
      <c r="A354" s="32"/>
      <c r="B354" s="31"/>
      <c r="C354" s="31"/>
      <c r="D354" s="25"/>
      <c r="E354" s="26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</row>
    <row r="355" spans="1:50" ht="15" hidden="1" customHeight="1" x14ac:dyDescent="0.3">
      <c r="A355" s="32"/>
      <c r="B355" s="31"/>
      <c r="C355" s="31"/>
      <c r="D355" s="25"/>
      <c r="E355" s="26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</row>
    <row r="356" spans="1:50" ht="15" hidden="1" customHeight="1" x14ac:dyDescent="0.3">
      <c r="A356" s="32"/>
      <c r="B356" s="31"/>
      <c r="C356" s="31"/>
      <c r="D356" s="25"/>
      <c r="E356" s="4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</row>
    <row r="357" spans="1:50" ht="15" hidden="1" customHeight="1" x14ac:dyDescent="0.3">
      <c r="A357" s="32"/>
      <c r="B357" s="31"/>
      <c r="C357" s="31"/>
      <c r="D357" s="25"/>
      <c r="E357" s="4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</row>
    <row r="358" spans="1:50" ht="15" hidden="1" customHeight="1" x14ac:dyDescent="0.3">
      <c r="A358" s="32"/>
      <c r="B358" s="31"/>
      <c r="C358" s="31"/>
      <c r="D358" s="25"/>
      <c r="E358" s="4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</row>
    <row r="359" spans="1:50" ht="15" hidden="1" customHeight="1" x14ac:dyDescent="0.3">
      <c r="A359" s="32"/>
      <c r="B359" s="31"/>
      <c r="C359" s="31"/>
      <c r="D359" s="25"/>
      <c r="E359" s="26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</row>
    <row r="360" spans="1:50" ht="15" hidden="1" customHeight="1" x14ac:dyDescent="0.3">
      <c r="A360" s="32"/>
      <c r="B360" s="31"/>
      <c r="C360" s="31"/>
      <c r="D360" s="24"/>
      <c r="E360" s="26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</row>
    <row r="361" spans="1:50" ht="15" hidden="1" customHeight="1" x14ac:dyDescent="0.3">
      <c r="A361" s="32"/>
      <c r="B361" s="31"/>
      <c r="C361" s="31"/>
      <c r="D361" s="25"/>
      <c r="E361" s="26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</row>
    <row r="362" spans="1:50" ht="15" hidden="1" customHeight="1" x14ac:dyDescent="0.3">
      <c r="A362" s="32"/>
      <c r="B362" s="31"/>
      <c r="C362" s="31"/>
      <c r="D362" s="25"/>
      <c r="E362" s="26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</row>
    <row r="363" spans="1:50" ht="15" hidden="1" customHeight="1" x14ac:dyDescent="0.3">
      <c r="A363" s="16"/>
      <c r="B363" s="31"/>
      <c r="C363" s="31"/>
      <c r="D363" s="25"/>
      <c r="E363" s="41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</row>
    <row r="364" spans="1:50" ht="15" hidden="1" customHeight="1" x14ac:dyDescent="0.3">
      <c r="A364" s="32"/>
      <c r="B364" s="31"/>
      <c r="C364" s="31"/>
      <c r="D364" s="25"/>
      <c r="E364" s="26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</row>
    <row r="365" spans="1:50" ht="15" hidden="1" customHeight="1" x14ac:dyDescent="0.3">
      <c r="A365" s="32"/>
      <c r="B365" s="31"/>
      <c r="C365" s="31"/>
      <c r="D365" s="24"/>
      <c r="E365" s="26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</row>
    <row r="366" spans="1:50" ht="15" hidden="1" customHeight="1" x14ac:dyDescent="0.3">
      <c r="A366" s="15"/>
      <c r="B366" s="31"/>
      <c r="C366" s="31"/>
      <c r="D366" s="24"/>
      <c r="E366" s="26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</row>
    <row r="367" spans="1:50" ht="15" hidden="1" customHeight="1" x14ac:dyDescent="0.3">
      <c r="A367" s="15"/>
      <c r="B367" s="31"/>
      <c r="C367" s="31"/>
      <c r="D367" s="24"/>
      <c r="E367" s="26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</row>
    <row r="368" spans="1:50" ht="15" hidden="1" customHeight="1" x14ac:dyDescent="0.3">
      <c r="A368" s="15"/>
      <c r="B368" s="31"/>
      <c r="C368" s="31"/>
      <c r="D368" s="24"/>
      <c r="E368" s="26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</row>
    <row r="369" spans="1:50" ht="15" hidden="1" customHeight="1" x14ac:dyDescent="0.3">
      <c r="A369" s="15"/>
      <c r="B369" s="31"/>
      <c r="C369" s="31"/>
      <c r="D369" s="24"/>
      <c r="E369" s="26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</row>
    <row r="370" spans="1:50" ht="15" hidden="1" customHeight="1" x14ac:dyDescent="0.3">
      <c r="A370" s="15"/>
      <c r="B370" s="31"/>
      <c r="C370" s="31"/>
      <c r="D370" s="24"/>
      <c r="E370" s="26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</row>
    <row r="371" spans="1:50" ht="15" hidden="1" customHeight="1" x14ac:dyDescent="0.3">
      <c r="A371" s="15"/>
      <c r="B371" s="31"/>
      <c r="C371" s="31"/>
      <c r="D371" s="24"/>
      <c r="E371" s="26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</row>
    <row r="372" spans="1:50" ht="15" hidden="1" customHeight="1" x14ac:dyDescent="0.3">
      <c r="A372" s="15"/>
      <c r="B372" s="31"/>
      <c r="C372" s="31"/>
      <c r="D372" s="24"/>
      <c r="E372" s="26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</row>
    <row r="373" spans="1:50" ht="15" hidden="1" customHeight="1" x14ac:dyDescent="0.3">
      <c r="A373" s="15"/>
      <c r="B373" s="31"/>
      <c r="C373" s="31"/>
      <c r="D373" s="24"/>
      <c r="E373" s="26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</row>
    <row r="374" spans="1:50" ht="15" hidden="1" customHeight="1" x14ac:dyDescent="0.3">
      <c r="A374" s="15"/>
      <c r="B374" s="31"/>
      <c r="C374" s="31"/>
      <c r="D374" s="24"/>
      <c r="E374" s="26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</row>
    <row r="375" spans="1:50" ht="15" hidden="1" customHeight="1" x14ac:dyDescent="0.3">
      <c r="A375" s="15"/>
      <c r="B375" s="31"/>
      <c r="C375" s="31"/>
      <c r="D375" s="24"/>
      <c r="E375" s="26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</row>
    <row r="376" spans="1:50" ht="15" hidden="1" customHeight="1" x14ac:dyDescent="0.3">
      <c r="A376" s="15"/>
      <c r="B376" s="31"/>
      <c r="C376" s="31"/>
      <c r="D376" s="24"/>
      <c r="E376" s="26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</row>
    <row r="377" spans="1:50" ht="15" hidden="1" customHeight="1" x14ac:dyDescent="0.3">
      <c r="A377" s="15"/>
      <c r="B377" s="31"/>
      <c r="C377" s="31"/>
      <c r="D377" s="24"/>
      <c r="E377" s="26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</row>
    <row r="378" spans="1:50" ht="15" hidden="1" customHeight="1" x14ac:dyDescent="0.3">
      <c r="A378" s="15"/>
      <c r="B378" s="31"/>
      <c r="C378" s="31"/>
      <c r="D378" s="24"/>
      <c r="E378" s="26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</row>
    <row r="379" spans="1:50" ht="15" hidden="1" customHeight="1" x14ac:dyDescent="0.3">
      <c r="A379" s="15"/>
      <c r="B379" s="31"/>
      <c r="C379" s="31"/>
      <c r="D379" s="24"/>
      <c r="E379" s="26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</row>
    <row r="380" spans="1:50" ht="15" hidden="1" customHeight="1" x14ac:dyDescent="0.3">
      <c r="A380" s="15"/>
      <c r="B380" s="31"/>
      <c r="C380" s="31"/>
      <c r="D380" s="24"/>
      <c r="E380" s="26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</row>
    <row r="381" spans="1:50" ht="15" hidden="1" customHeight="1" x14ac:dyDescent="0.3">
      <c r="A381" s="16"/>
      <c r="B381" s="31"/>
      <c r="C381" s="31"/>
      <c r="D381" s="25"/>
      <c r="E381" s="26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</row>
    <row r="382" spans="1:50" ht="15" hidden="1" customHeight="1" x14ac:dyDescent="0.3">
      <c r="A382" s="16"/>
      <c r="B382" s="31"/>
      <c r="C382" s="31"/>
      <c r="D382" s="25"/>
      <c r="E382" s="26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</row>
    <row r="383" spans="1:50" ht="15" hidden="1" customHeight="1" x14ac:dyDescent="0.3">
      <c r="A383" s="16"/>
      <c r="B383" s="31"/>
      <c r="C383" s="31"/>
      <c r="D383" s="25"/>
      <c r="E383" s="26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</row>
    <row r="384" spans="1:50" ht="15" hidden="1" customHeight="1" x14ac:dyDescent="0.3">
      <c r="A384" s="16"/>
      <c r="B384" s="31"/>
      <c r="C384" s="31"/>
      <c r="D384" s="24"/>
      <c r="E384" s="26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</row>
    <row r="385" spans="1:50" ht="15" hidden="1" customHeight="1" x14ac:dyDescent="0.3">
      <c r="A385" s="16"/>
      <c r="B385" s="31"/>
      <c r="C385" s="31"/>
      <c r="D385" s="24"/>
      <c r="E385" s="26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</row>
    <row r="386" spans="1:50" ht="15" hidden="1" customHeight="1" x14ac:dyDescent="0.3">
      <c r="A386" s="16"/>
      <c r="B386" s="31"/>
      <c r="C386" s="31"/>
      <c r="D386" s="25"/>
      <c r="E386" s="26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</row>
    <row r="387" spans="1:50" ht="15" hidden="1" customHeight="1" x14ac:dyDescent="0.3">
      <c r="A387" s="16"/>
      <c r="B387" s="31"/>
      <c r="C387" s="31"/>
      <c r="D387" s="25"/>
      <c r="E387" s="26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</row>
    <row r="388" spans="1:50" ht="15" hidden="1" customHeight="1" x14ac:dyDescent="0.3">
      <c r="A388" s="16"/>
      <c r="B388" s="31"/>
      <c r="C388" s="31"/>
      <c r="D388" s="24"/>
      <c r="E388" s="26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</row>
    <row r="389" spans="1:50" ht="15" hidden="1" customHeight="1" x14ac:dyDescent="0.3">
      <c r="A389" s="16"/>
      <c r="B389" s="31"/>
      <c r="C389" s="31"/>
      <c r="D389" s="25"/>
      <c r="E389" s="26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</row>
    <row r="390" spans="1:50" ht="15" hidden="1" customHeight="1" x14ac:dyDescent="0.3">
      <c r="A390" s="16"/>
      <c r="B390" s="31"/>
      <c r="C390" s="31"/>
      <c r="D390" s="25"/>
      <c r="E390" s="26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</row>
    <row r="391" spans="1:50" ht="15" hidden="1" customHeight="1" x14ac:dyDescent="0.3">
      <c r="A391" s="16"/>
      <c r="B391" s="31"/>
      <c r="C391" s="31"/>
      <c r="D391" s="25"/>
      <c r="E391" s="26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</row>
    <row r="392" spans="1:50" ht="15" hidden="1" customHeight="1" x14ac:dyDescent="0.3">
      <c r="A392" s="16"/>
      <c r="B392" s="31"/>
      <c r="C392" s="31"/>
      <c r="D392" s="25"/>
      <c r="E392" s="26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</row>
    <row r="393" spans="1:50" ht="15" hidden="1" customHeight="1" x14ac:dyDescent="0.3">
      <c r="A393" s="16"/>
      <c r="B393" s="31"/>
      <c r="C393" s="31"/>
      <c r="D393" s="24"/>
      <c r="E393" s="26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</row>
    <row r="394" spans="1:50" ht="15" hidden="1" customHeight="1" x14ac:dyDescent="0.3">
      <c r="A394" s="16"/>
      <c r="B394" s="31"/>
      <c r="C394" s="31"/>
      <c r="D394" s="25"/>
      <c r="E394" s="26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</row>
    <row r="395" spans="1:50" ht="15" hidden="1" customHeight="1" x14ac:dyDescent="0.3">
      <c r="A395" s="16"/>
      <c r="B395" s="31"/>
      <c r="C395" s="31"/>
      <c r="D395" s="25"/>
      <c r="E395" s="26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</row>
    <row r="396" spans="1:50" ht="15" hidden="1" customHeight="1" x14ac:dyDescent="0.3">
      <c r="A396" s="16"/>
      <c r="B396" s="31"/>
      <c r="C396" s="31"/>
      <c r="D396" s="24"/>
      <c r="E396" s="27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</row>
    <row r="397" spans="1:50" ht="15" hidden="1" customHeight="1" x14ac:dyDescent="0.3">
      <c r="A397" s="16"/>
      <c r="B397" s="31"/>
      <c r="C397" s="31"/>
      <c r="D397" s="24"/>
      <c r="E397" s="27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</row>
    <row r="398" spans="1:50" ht="15" hidden="1" customHeight="1" x14ac:dyDescent="0.3">
      <c r="A398" s="16"/>
      <c r="B398" s="31"/>
      <c r="C398" s="31"/>
      <c r="D398" s="24"/>
      <c r="E398" s="27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</row>
    <row r="399" spans="1:50" ht="15" hidden="1" customHeight="1" x14ac:dyDescent="0.3">
      <c r="A399" s="16"/>
      <c r="B399" s="31"/>
      <c r="C399" s="31"/>
      <c r="D399" s="24"/>
      <c r="E399" s="27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</row>
    <row r="400" spans="1:50" ht="15" hidden="1" customHeight="1" x14ac:dyDescent="0.3">
      <c r="A400" s="16"/>
      <c r="B400" s="31"/>
      <c r="C400" s="31"/>
      <c r="D400" s="24"/>
      <c r="E400" s="27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</row>
    <row r="401" spans="1:50" ht="15" hidden="1" customHeight="1" x14ac:dyDescent="0.3">
      <c r="A401" s="16"/>
      <c r="B401" s="31"/>
      <c r="C401" s="31"/>
      <c r="D401" s="24"/>
      <c r="E401" s="27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</row>
    <row r="402" spans="1:50" ht="15" hidden="1" customHeight="1" x14ac:dyDescent="0.3">
      <c r="A402" s="16"/>
      <c r="B402" s="31"/>
      <c r="C402" s="31"/>
      <c r="D402" s="24"/>
      <c r="E402" s="27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</row>
    <row r="403" spans="1:50" ht="15" hidden="1" customHeight="1" x14ac:dyDescent="0.3">
      <c r="A403" s="16"/>
      <c r="B403" s="31"/>
      <c r="C403" s="31"/>
      <c r="D403" s="24"/>
      <c r="E403" s="27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</row>
    <row r="404" spans="1:50" ht="15" hidden="1" customHeight="1" x14ac:dyDescent="0.3">
      <c r="A404" s="16"/>
      <c r="B404" s="31"/>
      <c r="C404" s="31"/>
      <c r="D404" s="24"/>
      <c r="E404" s="27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</row>
    <row r="405" spans="1:50" ht="15" hidden="1" customHeight="1" x14ac:dyDescent="0.3">
      <c r="A405" s="15"/>
      <c r="B405" s="31"/>
      <c r="C405" s="31"/>
      <c r="D405" s="24"/>
      <c r="E405" s="27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</row>
    <row r="406" spans="1:50" ht="15" hidden="1" customHeight="1" x14ac:dyDescent="0.3">
      <c r="A406" s="15"/>
      <c r="B406" s="31"/>
      <c r="C406" s="31"/>
      <c r="D406" s="24"/>
      <c r="E406" s="27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</row>
    <row r="407" spans="1:50" ht="15" hidden="1" customHeight="1" x14ac:dyDescent="0.3">
      <c r="A407" s="15"/>
      <c r="B407" s="31"/>
      <c r="C407" s="31"/>
      <c r="D407" s="24"/>
      <c r="E407" s="27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</row>
    <row r="408" spans="1:50" ht="15" hidden="1" customHeight="1" x14ac:dyDescent="0.3">
      <c r="A408" s="15"/>
      <c r="B408" s="31"/>
      <c r="C408" s="31"/>
      <c r="D408" s="24"/>
      <c r="E408" s="27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</row>
    <row r="409" spans="1:50" ht="15" hidden="1" customHeight="1" x14ac:dyDescent="0.3">
      <c r="A409" s="15"/>
      <c r="B409" s="31"/>
      <c r="C409" s="31"/>
      <c r="D409" s="24"/>
      <c r="E409" s="27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</row>
    <row r="410" spans="1:50" ht="15" hidden="1" customHeight="1" x14ac:dyDescent="0.3">
      <c r="A410" s="15"/>
      <c r="B410" s="31"/>
      <c r="C410" s="31"/>
      <c r="D410" s="24"/>
      <c r="E410" s="27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</row>
    <row r="411" spans="1:50" ht="15" hidden="1" customHeight="1" x14ac:dyDescent="0.3">
      <c r="A411" s="15"/>
      <c r="B411" s="31"/>
      <c r="C411" s="31"/>
      <c r="D411" s="24"/>
      <c r="E411" s="27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</row>
    <row r="412" spans="1:50" ht="15" hidden="1" customHeight="1" x14ac:dyDescent="0.3">
      <c r="A412" s="15"/>
      <c r="B412" s="31"/>
      <c r="C412" s="31"/>
      <c r="D412" s="24"/>
      <c r="E412" s="27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</row>
    <row r="413" spans="1:50" ht="15" hidden="1" customHeight="1" x14ac:dyDescent="0.3">
      <c r="A413" s="15"/>
      <c r="B413" s="31"/>
      <c r="C413" s="31"/>
      <c r="D413" s="24"/>
      <c r="E413" s="27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</row>
    <row r="414" spans="1:50" ht="15" hidden="1" customHeight="1" x14ac:dyDescent="0.3">
      <c r="A414" s="15"/>
      <c r="B414" s="31"/>
      <c r="C414" s="31"/>
      <c r="D414" s="24"/>
      <c r="E414" s="27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</row>
    <row r="415" spans="1:50" ht="15" hidden="1" customHeight="1" x14ac:dyDescent="0.3">
      <c r="A415" s="15"/>
      <c r="B415" s="31"/>
      <c r="C415" s="31"/>
      <c r="D415" s="24"/>
      <c r="E415" s="27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</row>
    <row r="416" spans="1:50" ht="15" hidden="1" customHeight="1" x14ac:dyDescent="0.3">
      <c r="A416" s="15"/>
      <c r="B416" s="31"/>
      <c r="C416" s="31"/>
      <c r="D416" s="24"/>
      <c r="E416" s="27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</row>
    <row r="417" spans="1:50" ht="15" hidden="1" customHeight="1" x14ac:dyDescent="0.3">
      <c r="A417" s="15"/>
      <c r="B417" s="31"/>
      <c r="C417" s="31"/>
      <c r="D417" s="24"/>
      <c r="E417" s="27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</row>
    <row r="418" spans="1:50" ht="15" hidden="1" customHeight="1" x14ac:dyDescent="0.3">
      <c r="A418" s="15"/>
      <c r="B418" s="31"/>
      <c r="C418" s="31"/>
      <c r="D418" s="24"/>
      <c r="E418" s="27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</row>
    <row r="419" spans="1:50" ht="15" hidden="1" customHeight="1" x14ac:dyDescent="0.3">
      <c r="A419" s="15"/>
      <c r="B419" s="31"/>
      <c r="C419" s="31"/>
      <c r="D419" s="24"/>
      <c r="E419" s="27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</row>
    <row r="420" spans="1:50" ht="15" hidden="1" customHeight="1" x14ac:dyDescent="0.3">
      <c r="A420" s="15"/>
      <c r="B420" s="31"/>
      <c r="C420" s="31"/>
      <c r="D420" s="24"/>
      <c r="E420" s="27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</row>
    <row r="421" spans="1:50" ht="15" hidden="1" customHeight="1" x14ac:dyDescent="0.3">
      <c r="A421" s="15"/>
      <c r="B421" s="31"/>
      <c r="C421" s="31"/>
      <c r="D421" s="24"/>
      <c r="E421" s="27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</row>
    <row r="422" spans="1:50" ht="15" hidden="1" customHeight="1" x14ac:dyDescent="0.3">
      <c r="A422" s="15"/>
      <c r="B422" s="31"/>
      <c r="C422" s="31"/>
      <c r="D422" s="24"/>
      <c r="E422" s="27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</row>
    <row r="423" spans="1:50" ht="15" hidden="1" customHeight="1" x14ac:dyDescent="0.3">
      <c r="A423" s="15"/>
      <c r="B423" s="31"/>
      <c r="C423" s="31"/>
      <c r="D423" s="24"/>
      <c r="E423" s="27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</row>
    <row r="424" spans="1:50" ht="15" hidden="1" customHeight="1" x14ac:dyDescent="0.3">
      <c r="A424" s="15"/>
      <c r="B424" s="31"/>
      <c r="C424" s="31"/>
      <c r="D424" s="24"/>
      <c r="E424" s="27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</row>
    <row r="425" spans="1:50" ht="15" hidden="1" customHeight="1" x14ac:dyDescent="0.3">
      <c r="A425" s="15"/>
      <c r="B425" s="31"/>
      <c r="C425" s="31"/>
      <c r="D425" s="24"/>
      <c r="E425" s="27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</row>
    <row r="426" spans="1:50" ht="15" hidden="1" customHeight="1" x14ac:dyDescent="0.3">
      <c r="A426" s="15"/>
      <c r="B426" s="31"/>
      <c r="C426" s="31"/>
      <c r="D426" s="24"/>
      <c r="E426" s="27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</row>
    <row r="427" spans="1:50" ht="15" hidden="1" customHeight="1" x14ac:dyDescent="0.3">
      <c r="A427" s="15"/>
      <c r="B427" s="31"/>
      <c r="C427" s="31"/>
      <c r="D427" s="24"/>
      <c r="E427" s="27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</row>
    <row r="428" spans="1:50" ht="15" hidden="1" customHeight="1" x14ac:dyDescent="0.3">
      <c r="A428" s="16"/>
      <c r="B428" s="31"/>
      <c r="C428" s="31"/>
      <c r="D428" s="24"/>
      <c r="E428" s="27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</row>
    <row r="429" spans="1:50" ht="15" hidden="1" customHeight="1" x14ac:dyDescent="0.3">
      <c r="A429" s="16"/>
      <c r="B429" s="31"/>
      <c r="C429" s="31"/>
      <c r="D429" s="24"/>
      <c r="E429" s="27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</row>
    <row r="430" spans="1:50" ht="18.75" hidden="1" customHeight="1" x14ac:dyDescent="0.3">
      <c r="A430" s="15"/>
      <c r="B430" s="31"/>
      <c r="C430" s="31"/>
      <c r="D430" s="24"/>
      <c r="E430" s="27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</row>
    <row r="431" spans="1:50" ht="18.75" hidden="1" customHeight="1" x14ac:dyDescent="0.3">
      <c r="A431" s="15"/>
      <c r="B431" s="31"/>
      <c r="C431" s="31"/>
      <c r="D431" s="4"/>
      <c r="E431" s="7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</row>
    <row r="432" spans="1:50" ht="18.75" hidden="1" customHeight="1" x14ac:dyDescent="0.3">
      <c r="A432" s="16"/>
      <c r="B432" s="31"/>
      <c r="C432" s="31"/>
      <c r="D432" s="4"/>
      <c r="E432" s="7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</row>
    <row r="433" spans="1:50" ht="18.75" hidden="1" customHeight="1" x14ac:dyDescent="0.3">
      <c r="A433" s="16"/>
      <c r="B433" s="31"/>
      <c r="C433" s="31"/>
      <c r="D433" s="4"/>
      <c r="E433" s="7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</row>
    <row r="434" spans="1:50" ht="18.75" hidden="1" customHeight="1" x14ac:dyDescent="0.3">
      <c r="A434" s="16"/>
      <c r="B434" s="31"/>
      <c r="C434" s="31"/>
      <c r="D434" s="4"/>
      <c r="E434" s="7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</row>
    <row r="435" spans="1:50" ht="18.75" hidden="1" customHeight="1" x14ac:dyDescent="0.3">
      <c r="A435" s="16"/>
      <c r="B435" s="31"/>
      <c r="C435" s="31"/>
      <c r="D435" s="4"/>
      <c r="E435" s="7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</row>
    <row r="436" spans="1:50" ht="18.75" hidden="1" customHeight="1" x14ac:dyDescent="0.3">
      <c r="A436" s="16"/>
      <c r="B436" s="31"/>
      <c r="C436" s="31"/>
      <c r="D436" s="4"/>
      <c r="E436" s="7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</row>
    <row r="437" spans="1:50" ht="18.75" hidden="1" customHeight="1" x14ac:dyDescent="0.3">
      <c r="A437" s="16"/>
      <c r="B437" s="31"/>
      <c r="C437" s="31"/>
      <c r="D437" s="4"/>
      <c r="E437" s="7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</row>
    <row r="438" spans="1:50" ht="18.75" hidden="1" customHeight="1" x14ac:dyDescent="0.3">
      <c r="A438" s="16"/>
      <c r="B438" s="31"/>
      <c r="C438" s="31"/>
      <c r="D438" s="4"/>
      <c r="E438" s="7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</row>
    <row r="439" spans="1:50" ht="18.75" hidden="1" customHeight="1" x14ac:dyDescent="0.3">
      <c r="A439" s="17"/>
      <c r="B439" s="31"/>
      <c r="C439" s="31"/>
      <c r="D439" s="4"/>
      <c r="E439" s="7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</row>
    <row r="440" spans="1:50" ht="18.75" hidden="1" customHeight="1" x14ac:dyDescent="0.3">
      <c r="A440" s="17"/>
      <c r="B440" s="31"/>
      <c r="C440" s="31"/>
      <c r="D440" s="4"/>
      <c r="E440" s="7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</row>
    <row r="441" spans="1:50" ht="18.75" hidden="1" customHeight="1" x14ac:dyDescent="0.3">
      <c r="A441" s="17"/>
      <c r="B441" s="31"/>
      <c r="C441" s="31"/>
      <c r="D441" s="4"/>
      <c r="E441" s="7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</row>
    <row r="442" spans="1:50" ht="18.75" hidden="1" customHeight="1" thickBot="1" x14ac:dyDescent="0.35">
      <c r="A442" s="18"/>
      <c r="B442" s="34"/>
      <c r="C442" s="31"/>
      <c r="D442" s="8"/>
      <c r="E442" s="9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</row>
    <row r="443" spans="1:50" ht="15" hidden="1" customHeight="1" x14ac:dyDescent="0.3">
      <c r="A443" s="17"/>
      <c r="B443" s="31"/>
      <c r="C443" s="31"/>
      <c r="D443" s="4"/>
      <c r="E443" s="7"/>
      <c r="F443" s="2"/>
      <c r="G443" s="2"/>
      <c r="H443" s="2"/>
      <c r="I443" s="2"/>
      <c r="J443" s="2"/>
      <c r="K443" s="2"/>
      <c r="L443" s="2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J443" s="10"/>
      <c r="AK443" s="10"/>
      <c r="AL443" s="10"/>
      <c r="AM443" s="22"/>
      <c r="AN443" s="22"/>
      <c r="AO443" s="22"/>
      <c r="AP443" s="22"/>
      <c r="AQ443" s="22"/>
      <c r="AR443" s="22"/>
      <c r="AS443" s="22"/>
      <c r="AT443" s="22"/>
      <c r="AU443" s="22"/>
      <c r="AV443" s="22"/>
      <c r="AW443" s="22"/>
      <c r="AX443" s="22"/>
    </row>
    <row r="444" spans="1:50" x14ac:dyDescent="0.3">
      <c r="A444" s="6"/>
      <c r="B444" s="19"/>
      <c r="C444" s="6"/>
      <c r="D444" s="6"/>
      <c r="E444" s="6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D444" s="22"/>
      <c r="AE444" s="22"/>
      <c r="AF444" s="22"/>
      <c r="AG444" s="22"/>
      <c r="AH444" s="22"/>
      <c r="AI444" s="22"/>
      <c r="AJ444" s="22"/>
      <c r="AK444" s="22"/>
      <c r="AL444" s="22"/>
      <c r="AM444" s="22"/>
      <c r="AN444" s="22"/>
      <c r="AO444" s="22"/>
      <c r="AP444" s="22"/>
      <c r="AQ444" s="22"/>
      <c r="AR444" s="22"/>
      <c r="AS444" s="22"/>
      <c r="AT444" s="22"/>
      <c r="AU444" s="22"/>
      <c r="AV444" s="22"/>
      <c r="AW444" s="22"/>
      <c r="AX444" s="22"/>
    </row>
    <row r="445" spans="1:50" x14ac:dyDescent="0.3">
      <c r="A445" s="6"/>
      <c r="B445" s="19"/>
      <c r="C445" s="6"/>
      <c r="D445" s="6"/>
      <c r="E445" s="6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  <c r="AD445" s="22"/>
      <c r="AE445" s="22"/>
      <c r="AF445" s="22"/>
      <c r="AG445" s="22"/>
      <c r="AH445" s="22"/>
      <c r="AI445" s="22"/>
      <c r="AJ445" s="22"/>
      <c r="AK445" s="22"/>
      <c r="AL445" s="22"/>
      <c r="AM445" s="22"/>
      <c r="AN445" s="22"/>
      <c r="AO445" s="22"/>
      <c r="AP445" s="22"/>
      <c r="AQ445" s="22"/>
      <c r="AR445" s="22"/>
      <c r="AS445" s="22"/>
      <c r="AT445" s="22"/>
      <c r="AU445" s="22"/>
      <c r="AV445" s="22"/>
      <c r="AW445" s="22"/>
      <c r="AX445" s="22"/>
    </row>
    <row r="446" spans="1:50" x14ac:dyDescent="0.3">
      <c r="A446" s="6"/>
      <c r="B446" s="19"/>
      <c r="C446" s="6"/>
      <c r="D446" s="6"/>
      <c r="E446" s="6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  <c r="AD446" s="22"/>
      <c r="AE446" s="22"/>
      <c r="AF446" s="22"/>
      <c r="AG446" s="22"/>
      <c r="AH446" s="22"/>
      <c r="AI446" s="22"/>
      <c r="AJ446" s="22"/>
      <c r="AK446" s="22"/>
      <c r="AL446" s="22"/>
      <c r="AM446" s="22"/>
      <c r="AN446" s="22"/>
      <c r="AO446" s="22"/>
      <c r="AP446" s="22"/>
      <c r="AQ446" s="22"/>
      <c r="AR446" s="22"/>
      <c r="AS446" s="22"/>
      <c r="AT446" s="22"/>
      <c r="AU446" s="22"/>
      <c r="AV446" s="22"/>
      <c r="AW446" s="22"/>
      <c r="AX446" s="22"/>
    </row>
    <row r="447" spans="1:50" x14ac:dyDescent="0.3">
      <c r="A447" s="6"/>
      <c r="B447" s="19"/>
      <c r="C447" s="6"/>
      <c r="D447" s="6"/>
      <c r="E447" s="6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  <c r="AD447" s="22"/>
      <c r="AE447" s="22"/>
      <c r="AF447" s="22"/>
      <c r="AG447" s="22"/>
      <c r="AH447" s="22"/>
      <c r="AI447" s="22"/>
      <c r="AJ447" s="22"/>
      <c r="AK447" s="22"/>
      <c r="AL447" s="22"/>
      <c r="AM447" s="22"/>
      <c r="AN447" s="22"/>
      <c r="AO447" s="22"/>
      <c r="AP447" s="22"/>
      <c r="AQ447" s="22"/>
      <c r="AR447" s="22"/>
      <c r="AS447" s="22"/>
      <c r="AT447" s="22"/>
      <c r="AU447" s="22"/>
      <c r="AV447" s="22"/>
      <c r="AW447" s="22"/>
      <c r="AX447" s="22"/>
    </row>
    <row r="448" spans="1:50" x14ac:dyDescent="0.3">
      <c r="A448" s="6"/>
      <c r="B448" s="19"/>
      <c r="C448" s="6"/>
      <c r="D448" s="6"/>
      <c r="E448" s="6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  <c r="AD448" s="22"/>
      <c r="AE448" s="22"/>
      <c r="AF448" s="22"/>
      <c r="AG448" s="22"/>
      <c r="AH448" s="22"/>
      <c r="AI448" s="22"/>
      <c r="AJ448" s="22"/>
      <c r="AK448" s="22"/>
      <c r="AL448" s="22"/>
      <c r="AM448" s="22"/>
      <c r="AN448" s="22"/>
      <c r="AO448" s="22"/>
      <c r="AP448" s="22"/>
      <c r="AQ448" s="22"/>
      <c r="AR448" s="22"/>
      <c r="AS448" s="22"/>
      <c r="AT448" s="22"/>
      <c r="AU448" s="22"/>
      <c r="AV448" s="22"/>
      <c r="AW448" s="22"/>
      <c r="AX448" s="22"/>
    </row>
    <row r="449" spans="1:50" x14ac:dyDescent="0.3">
      <c r="A449" s="6"/>
      <c r="B449" s="19"/>
      <c r="C449" s="6"/>
      <c r="D449" s="6"/>
      <c r="E449" s="6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  <c r="AD449" s="22"/>
      <c r="AE449" s="22"/>
      <c r="AF449" s="22"/>
      <c r="AG449" s="22"/>
      <c r="AH449" s="22"/>
      <c r="AI449" s="22"/>
      <c r="AJ449" s="22"/>
      <c r="AK449" s="22"/>
      <c r="AL449" s="22"/>
      <c r="AM449" s="22"/>
      <c r="AN449" s="22"/>
      <c r="AO449" s="22"/>
      <c r="AP449" s="22"/>
      <c r="AQ449" s="22"/>
      <c r="AR449" s="22"/>
      <c r="AS449" s="22"/>
      <c r="AT449" s="22"/>
      <c r="AU449" s="22"/>
      <c r="AV449" s="22"/>
      <c r="AW449" s="22"/>
      <c r="AX449" s="22"/>
    </row>
    <row r="450" spans="1:50" x14ac:dyDescent="0.3">
      <c r="A450" s="6"/>
      <c r="B450" s="19"/>
      <c r="C450" s="6"/>
      <c r="D450" s="6"/>
      <c r="E450" s="6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  <c r="AD450" s="22"/>
      <c r="AE450" s="22"/>
      <c r="AF450" s="22"/>
      <c r="AG450" s="22"/>
      <c r="AH450" s="22"/>
      <c r="AI450" s="22"/>
      <c r="AJ450" s="22"/>
      <c r="AK450" s="22"/>
      <c r="AL450" s="22"/>
      <c r="AM450" s="22"/>
      <c r="AN450" s="22"/>
      <c r="AO450" s="22"/>
      <c r="AP450" s="22"/>
      <c r="AQ450" s="22"/>
      <c r="AR450" s="22"/>
      <c r="AS450" s="22"/>
      <c r="AT450" s="22"/>
      <c r="AU450" s="22"/>
      <c r="AV450" s="22"/>
      <c r="AW450" s="22"/>
      <c r="AX450" s="22"/>
    </row>
    <row r="451" spans="1:50" x14ac:dyDescent="0.3">
      <c r="A451" s="6"/>
      <c r="B451" s="19"/>
      <c r="C451" s="6"/>
      <c r="D451" s="6"/>
      <c r="E451" s="6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  <c r="AD451" s="22"/>
      <c r="AE451" s="22"/>
      <c r="AF451" s="22"/>
      <c r="AG451" s="22"/>
      <c r="AH451" s="22"/>
      <c r="AI451" s="22"/>
      <c r="AJ451" s="22"/>
      <c r="AK451" s="22"/>
      <c r="AL451" s="22"/>
      <c r="AM451" s="22"/>
      <c r="AN451" s="22"/>
      <c r="AO451" s="22"/>
      <c r="AP451" s="22"/>
      <c r="AQ451" s="22"/>
      <c r="AR451" s="22"/>
      <c r="AS451" s="22"/>
      <c r="AT451" s="22"/>
      <c r="AU451" s="22"/>
      <c r="AV451" s="22"/>
      <c r="AW451" s="22"/>
      <c r="AX451" s="22"/>
    </row>
    <row r="452" spans="1:50" x14ac:dyDescent="0.3">
      <c r="A452" s="6"/>
      <c r="B452" s="19"/>
      <c r="C452" s="6"/>
      <c r="D452" s="6"/>
      <c r="E452" s="6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  <c r="AD452" s="22"/>
      <c r="AE452" s="22"/>
      <c r="AF452" s="22"/>
      <c r="AG452" s="22"/>
      <c r="AH452" s="22"/>
      <c r="AI452" s="22"/>
      <c r="AJ452" s="22"/>
      <c r="AK452" s="22"/>
      <c r="AL452" s="22"/>
      <c r="AM452" s="22"/>
      <c r="AN452" s="22"/>
      <c r="AO452" s="22"/>
      <c r="AP452" s="22"/>
      <c r="AQ452" s="22"/>
      <c r="AR452" s="22"/>
      <c r="AS452" s="22"/>
      <c r="AT452" s="22"/>
      <c r="AU452" s="22"/>
      <c r="AV452" s="22"/>
      <c r="AW452" s="22"/>
      <c r="AX452" s="22"/>
    </row>
    <row r="453" spans="1:50" x14ac:dyDescent="0.3">
      <c r="A453" s="6"/>
      <c r="B453" s="19"/>
      <c r="C453" s="6"/>
      <c r="D453" s="6"/>
      <c r="E453" s="6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  <c r="AD453" s="22"/>
      <c r="AE453" s="22"/>
      <c r="AF453" s="22"/>
      <c r="AG453" s="22"/>
      <c r="AH453" s="22"/>
      <c r="AI453" s="22"/>
      <c r="AJ453" s="22"/>
      <c r="AK453" s="22"/>
      <c r="AL453" s="22"/>
      <c r="AM453" s="22"/>
      <c r="AN453" s="22"/>
      <c r="AO453" s="22"/>
      <c r="AP453" s="22"/>
      <c r="AQ453" s="22"/>
      <c r="AR453" s="22"/>
      <c r="AS453" s="22"/>
      <c r="AT453" s="22"/>
      <c r="AU453" s="22"/>
      <c r="AV453" s="22"/>
      <c r="AW453" s="22"/>
      <c r="AX453" s="22"/>
    </row>
    <row r="454" spans="1:50" x14ac:dyDescent="0.3">
      <c r="A454" s="6"/>
      <c r="B454" s="19"/>
      <c r="C454" s="6"/>
      <c r="D454" s="6"/>
      <c r="E454" s="6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  <c r="AD454" s="22"/>
      <c r="AE454" s="22"/>
      <c r="AF454" s="22"/>
      <c r="AG454" s="22"/>
      <c r="AH454" s="22"/>
      <c r="AI454" s="22"/>
      <c r="AJ454" s="22"/>
      <c r="AK454" s="22"/>
      <c r="AL454" s="22"/>
      <c r="AM454" s="22"/>
      <c r="AN454" s="22"/>
      <c r="AO454" s="22"/>
      <c r="AP454" s="22"/>
      <c r="AQ454" s="22"/>
      <c r="AR454" s="22"/>
      <c r="AS454" s="22"/>
      <c r="AT454" s="22"/>
      <c r="AU454" s="22"/>
      <c r="AV454" s="22"/>
      <c r="AW454" s="22"/>
      <c r="AX454" s="22"/>
    </row>
    <row r="455" spans="1:50" x14ac:dyDescent="0.3">
      <c r="A455" s="6"/>
      <c r="B455" s="19"/>
      <c r="C455" s="6"/>
      <c r="D455" s="6"/>
      <c r="E455" s="6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  <c r="AD455" s="22"/>
      <c r="AE455" s="22"/>
      <c r="AF455" s="22"/>
      <c r="AG455" s="22"/>
      <c r="AH455" s="22"/>
      <c r="AI455" s="22"/>
      <c r="AJ455" s="22"/>
      <c r="AK455" s="22"/>
      <c r="AL455" s="22"/>
      <c r="AM455" s="22"/>
      <c r="AN455" s="22"/>
      <c r="AO455" s="22"/>
      <c r="AP455" s="22"/>
      <c r="AQ455" s="22"/>
      <c r="AR455" s="22"/>
      <c r="AS455" s="22"/>
      <c r="AT455" s="22"/>
      <c r="AU455" s="22"/>
      <c r="AV455" s="22"/>
      <c r="AW455" s="22"/>
      <c r="AX455" s="22"/>
    </row>
    <row r="456" spans="1:50" x14ac:dyDescent="0.3">
      <c r="A456" s="6"/>
      <c r="B456" s="19"/>
      <c r="C456" s="6"/>
      <c r="D456" s="6"/>
      <c r="E456" s="6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  <c r="AD456" s="22"/>
      <c r="AE456" s="22"/>
      <c r="AF456" s="22"/>
      <c r="AG456" s="22"/>
      <c r="AH456" s="22"/>
      <c r="AI456" s="22"/>
      <c r="AJ456" s="22"/>
      <c r="AK456" s="22"/>
      <c r="AL456" s="22"/>
      <c r="AM456" s="22"/>
      <c r="AN456" s="22"/>
      <c r="AO456" s="22"/>
      <c r="AP456" s="22"/>
      <c r="AQ456" s="22"/>
      <c r="AR456" s="22"/>
      <c r="AS456" s="22"/>
      <c r="AT456" s="22"/>
      <c r="AU456" s="22"/>
      <c r="AV456" s="22"/>
      <c r="AW456" s="22"/>
      <c r="AX456" s="22"/>
    </row>
    <row r="457" spans="1:50" x14ac:dyDescent="0.3">
      <c r="A457" s="6"/>
      <c r="B457" s="19"/>
      <c r="C457" s="6"/>
      <c r="D457" s="6"/>
      <c r="E457" s="6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  <c r="AD457" s="22"/>
      <c r="AE457" s="22"/>
      <c r="AF457" s="22"/>
      <c r="AG457" s="22"/>
      <c r="AH457" s="22"/>
      <c r="AI457" s="22"/>
      <c r="AJ457" s="22"/>
      <c r="AK457" s="22"/>
      <c r="AL457" s="22"/>
      <c r="AM457" s="22"/>
      <c r="AN457" s="22"/>
      <c r="AO457" s="22"/>
      <c r="AP457" s="22"/>
      <c r="AQ457" s="22"/>
      <c r="AR457" s="22"/>
      <c r="AS457" s="22"/>
      <c r="AT457" s="22"/>
      <c r="AU457" s="22"/>
      <c r="AV457" s="22"/>
      <c r="AW457" s="22"/>
      <c r="AX457" s="22"/>
    </row>
    <row r="458" spans="1:50" x14ac:dyDescent="0.3">
      <c r="A458" s="6"/>
      <c r="B458" s="19"/>
      <c r="C458" s="6"/>
      <c r="D458" s="6"/>
      <c r="E458" s="6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  <c r="AD458" s="22"/>
      <c r="AE458" s="22"/>
      <c r="AF458" s="22"/>
      <c r="AG458" s="22"/>
      <c r="AH458" s="22"/>
      <c r="AI458" s="22"/>
      <c r="AJ458" s="22"/>
      <c r="AK458" s="22"/>
      <c r="AL458" s="22"/>
      <c r="AM458" s="22"/>
      <c r="AN458" s="22"/>
      <c r="AO458" s="22"/>
      <c r="AP458" s="22"/>
      <c r="AQ458" s="22"/>
      <c r="AR458" s="22"/>
      <c r="AS458" s="22"/>
      <c r="AT458" s="22"/>
      <c r="AU458" s="22"/>
      <c r="AV458" s="22"/>
      <c r="AW458" s="22"/>
      <c r="AX458" s="22"/>
    </row>
    <row r="459" spans="1:50" x14ac:dyDescent="0.3">
      <c r="A459" s="6"/>
      <c r="B459" s="19"/>
      <c r="C459" s="6"/>
      <c r="D459" s="6"/>
      <c r="E459" s="6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  <c r="AD459" s="22"/>
      <c r="AE459" s="22"/>
      <c r="AF459" s="22"/>
      <c r="AG459" s="22"/>
      <c r="AH459" s="22"/>
      <c r="AI459" s="22"/>
      <c r="AJ459" s="22"/>
      <c r="AK459" s="22"/>
      <c r="AL459" s="22"/>
      <c r="AM459" s="22"/>
      <c r="AN459" s="22"/>
      <c r="AO459" s="22"/>
      <c r="AP459" s="22"/>
      <c r="AQ459" s="22"/>
      <c r="AR459" s="22"/>
      <c r="AS459" s="22"/>
      <c r="AT459" s="22"/>
      <c r="AU459" s="22"/>
      <c r="AV459" s="22"/>
      <c r="AW459" s="22"/>
      <c r="AX459" s="22"/>
    </row>
    <row r="460" spans="1:50" x14ac:dyDescent="0.3">
      <c r="A460" s="6"/>
      <c r="B460" s="19"/>
      <c r="C460" s="6"/>
      <c r="D460" s="6"/>
      <c r="E460" s="6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  <c r="AD460" s="22"/>
      <c r="AE460" s="22"/>
      <c r="AF460" s="22"/>
      <c r="AG460" s="22"/>
      <c r="AH460" s="22"/>
      <c r="AI460" s="22"/>
      <c r="AJ460" s="22"/>
      <c r="AK460" s="22"/>
      <c r="AL460" s="22"/>
      <c r="AM460" s="22"/>
      <c r="AN460" s="22"/>
      <c r="AO460" s="22"/>
      <c r="AP460" s="22"/>
      <c r="AQ460" s="22"/>
      <c r="AR460" s="22"/>
      <c r="AS460" s="22"/>
      <c r="AT460" s="22"/>
      <c r="AU460" s="22"/>
      <c r="AV460" s="22"/>
      <c r="AW460" s="22"/>
      <c r="AX460" s="22"/>
    </row>
    <row r="461" spans="1:50" x14ac:dyDescent="0.3">
      <c r="A461" s="6"/>
      <c r="B461" s="19"/>
      <c r="C461" s="6"/>
      <c r="D461" s="6"/>
      <c r="E461" s="6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  <c r="AD461" s="22"/>
      <c r="AE461" s="22"/>
      <c r="AF461" s="22"/>
      <c r="AG461" s="22"/>
      <c r="AH461" s="22"/>
      <c r="AI461" s="22"/>
      <c r="AJ461" s="22"/>
      <c r="AK461" s="22"/>
      <c r="AL461" s="22"/>
      <c r="AM461" s="22"/>
      <c r="AN461" s="22"/>
      <c r="AO461" s="22"/>
      <c r="AP461" s="22"/>
      <c r="AQ461" s="22"/>
      <c r="AR461" s="22"/>
      <c r="AS461" s="22"/>
      <c r="AT461" s="22"/>
      <c r="AU461" s="22"/>
      <c r="AV461" s="22"/>
      <c r="AW461" s="22"/>
      <c r="AX461" s="22"/>
    </row>
    <row r="462" spans="1:50" x14ac:dyDescent="0.3">
      <c r="A462" s="6"/>
      <c r="B462" s="19"/>
      <c r="C462" s="6"/>
      <c r="D462" s="6"/>
      <c r="E462" s="6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  <c r="AD462" s="22"/>
      <c r="AE462" s="22"/>
      <c r="AF462" s="22"/>
      <c r="AG462" s="22"/>
      <c r="AH462" s="22"/>
      <c r="AI462" s="22"/>
      <c r="AJ462" s="22"/>
      <c r="AK462" s="22"/>
      <c r="AL462" s="22"/>
      <c r="AM462" s="22"/>
      <c r="AN462" s="22"/>
      <c r="AO462" s="22"/>
      <c r="AP462" s="22"/>
      <c r="AQ462" s="22"/>
      <c r="AR462" s="22"/>
      <c r="AS462" s="22"/>
      <c r="AT462" s="22"/>
      <c r="AU462" s="22"/>
      <c r="AV462" s="22"/>
      <c r="AW462" s="22"/>
      <c r="AX462" s="22"/>
    </row>
    <row r="463" spans="1:50" x14ac:dyDescent="0.3">
      <c r="A463" s="6"/>
      <c r="B463" s="19"/>
      <c r="C463" s="6"/>
      <c r="D463" s="6"/>
      <c r="E463" s="6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22"/>
      <c r="AM463" s="22"/>
      <c r="AN463" s="22"/>
      <c r="AO463" s="22"/>
      <c r="AP463" s="22"/>
      <c r="AQ463" s="22"/>
      <c r="AR463" s="22"/>
      <c r="AS463" s="22"/>
      <c r="AT463" s="22"/>
      <c r="AU463" s="22"/>
      <c r="AV463" s="22"/>
      <c r="AW463" s="22"/>
      <c r="AX463" s="22"/>
    </row>
    <row r="464" spans="1:50" x14ac:dyDescent="0.3">
      <c r="A464" s="6"/>
      <c r="B464" s="19"/>
      <c r="C464" s="6"/>
      <c r="D464" s="6"/>
      <c r="E464" s="6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  <c r="AD464" s="22"/>
      <c r="AE464" s="22"/>
      <c r="AF464" s="22"/>
      <c r="AG464" s="22"/>
      <c r="AH464" s="22"/>
      <c r="AI464" s="22"/>
      <c r="AJ464" s="22"/>
      <c r="AK464" s="22"/>
      <c r="AL464" s="22"/>
      <c r="AM464" s="22"/>
      <c r="AN464" s="22"/>
      <c r="AO464" s="22"/>
      <c r="AP464" s="22"/>
      <c r="AQ464" s="22"/>
      <c r="AR464" s="22"/>
      <c r="AS464" s="22"/>
      <c r="AT464" s="22"/>
      <c r="AU464" s="22"/>
      <c r="AV464" s="22"/>
      <c r="AW464" s="22"/>
      <c r="AX464" s="22"/>
    </row>
    <row r="465" spans="1:50" x14ac:dyDescent="0.3">
      <c r="A465" s="6"/>
      <c r="B465" s="19"/>
      <c r="C465" s="6"/>
      <c r="D465" s="6"/>
      <c r="E465" s="6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  <c r="AD465" s="22"/>
      <c r="AE465" s="22"/>
      <c r="AF465" s="22"/>
      <c r="AG465" s="22"/>
      <c r="AH465" s="22"/>
      <c r="AI465" s="22"/>
      <c r="AJ465" s="22"/>
      <c r="AK465" s="22"/>
      <c r="AL465" s="22"/>
      <c r="AM465" s="22"/>
      <c r="AN465" s="22"/>
      <c r="AO465" s="22"/>
      <c r="AP465" s="22"/>
      <c r="AQ465" s="22"/>
      <c r="AR465" s="22"/>
      <c r="AS465" s="22"/>
      <c r="AT465" s="22"/>
      <c r="AU465" s="22"/>
      <c r="AV465" s="22"/>
      <c r="AW465" s="22"/>
      <c r="AX465" s="22"/>
    </row>
    <row r="466" spans="1:50" x14ac:dyDescent="0.3">
      <c r="A466" s="6"/>
      <c r="B466" s="19"/>
      <c r="C466" s="6"/>
      <c r="D466" s="6"/>
      <c r="E466" s="6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  <c r="AD466" s="22"/>
      <c r="AE466" s="22"/>
      <c r="AF466" s="22"/>
      <c r="AG466" s="22"/>
      <c r="AH466" s="22"/>
      <c r="AI466" s="22"/>
      <c r="AJ466" s="22"/>
      <c r="AK466" s="22"/>
      <c r="AL466" s="22"/>
      <c r="AM466" s="22"/>
      <c r="AN466" s="22"/>
      <c r="AO466" s="22"/>
      <c r="AP466" s="22"/>
      <c r="AQ466" s="22"/>
      <c r="AR466" s="22"/>
      <c r="AS466" s="22"/>
      <c r="AT466" s="22"/>
      <c r="AU466" s="22"/>
      <c r="AV466" s="22"/>
      <c r="AW466" s="22"/>
      <c r="AX466" s="22"/>
    </row>
    <row r="467" spans="1:50" x14ac:dyDescent="0.3">
      <c r="A467" s="6"/>
      <c r="B467" s="19"/>
      <c r="C467" s="6"/>
      <c r="D467" s="6"/>
      <c r="E467" s="6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  <c r="AD467" s="22"/>
      <c r="AE467" s="22"/>
      <c r="AF467" s="22"/>
      <c r="AG467" s="22"/>
      <c r="AH467" s="22"/>
      <c r="AI467" s="22"/>
      <c r="AJ467" s="22"/>
      <c r="AK467" s="22"/>
      <c r="AL467" s="22"/>
      <c r="AM467" s="22"/>
      <c r="AN467" s="22"/>
      <c r="AO467" s="22"/>
      <c r="AP467" s="22"/>
      <c r="AQ467" s="22"/>
      <c r="AR467" s="22"/>
      <c r="AS467" s="22"/>
      <c r="AT467" s="22"/>
      <c r="AU467" s="22"/>
      <c r="AV467" s="22"/>
      <c r="AW467" s="22"/>
      <c r="AX467" s="22"/>
    </row>
    <row r="468" spans="1:50" x14ac:dyDescent="0.3">
      <c r="A468" s="6"/>
      <c r="B468" s="19"/>
      <c r="C468" s="6"/>
      <c r="D468" s="6"/>
      <c r="E468" s="6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  <c r="AD468" s="22"/>
      <c r="AE468" s="22"/>
      <c r="AF468" s="22"/>
      <c r="AG468" s="22"/>
      <c r="AH468" s="22"/>
      <c r="AI468" s="22"/>
      <c r="AJ468" s="22"/>
      <c r="AK468" s="22"/>
      <c r="AL468" s="22"/>
      <c r="AM468" s="22"/>
      <c r="AN468" s="22"/>
      <c r="AO468" s="22"/>
      <c r="AP468" s="22"/>
      <c r="AQ468" s="22"/>
      <c r="AR468" s="22"/>
      <c r="AS468" s="22"/>
      <c r="AT468" s="22"/>
      <c r="AU468" s="22"/>
      <c r="AV468" s="22"/>
      <c r="AW468" s="22"/>
      <c r="AX468" s="22"/>
    </row>
    <row r="469" spans="1:50" x14ac:dyDescent="0.3">
      <c r="A469" s="6"/>
      <c r="B469" s="19"/>
      <c r="C469" s="6"/>
      <c r="D469" s="6"/>
      <c r="E469" s="6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  <c r="AD469" s="22"/>
      <c r="AE469" s="22"/>
      <c r="AF469" s="22"/>
      <c r="AG469" s="22"/>
      <c r="AH469" s="22"/>
      <c r="AI469" s="22"/>
      <c r="AJ469" s="22"/>
      <c r="AK469" s="22"/>
      <c r="AL469" s="22"/>
      <c r="AM469" s="22"/>
      <c r="AN469" s="22"/>
      <c r="AO469" s="22"/>
      <c r="AP469" s="22"/>
      <c r="AQ469" s="22"/>
      <c r="AR469" s="22"/>
      <c r="AS469" s="22"/>
      <c r="AT469" s="22"/>
      <c r="AU469" s="22"/>
      <c r="AV469" s="22"/>
      <c r="AW469" s="22"/>
      <c r="AX469" s="22"/>
    </row>
    <row r="470" spans="1:50" x14ac:dyDescent="0.3">
      <c r="A470" s="6"/>
      <c r="B470" s="19"/>
      <c r="C470" s="6"/>
      <c r="D470" s="6"/>
      <c r="E470" s="6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  <c r="AD470" s="22"/>
      <c r="AE470" s="22"/>
      <c r="AF470" s="22"/>
      <c r="AG470" s="22"/>
      <c r="AH470" s="22"/>
      <c r="AI470" s="22"/>
      <c r="AJ470" s="22"/>
      <c r="AK470" s="22"/>
      <c r="AL470" s="22"/>
      <c r="AM470" s="22"/>
      <c r="AN470" s="22"/>
      <c r="AO470" s="22"/>
      <c r="AP470" s="22"/>
      <c r="AQ470" s="22"/>
      <c r="AR470" s="22"/>
      <c r="AS470" s="22"/>
      <c r="AT470" s="22"/>
      <c r="AU470" s="22"/>
      <c r="AV470" s="22"/>
      <c r="AW470" s="22"/>
      <c r="AX470" s="22"/>
    </row>
    <row r="471" spans="1:50" x14ac:dyDescent="0.3">
      <c r="A471" s="6"/>
      <c r="B471" s="19"/>
      <c r="C471" s="6"/>
      <c r="D471" s="6"/>
      <c r="E471" s="6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  <c r="AD471" s="22"/>
      <c r="AE471" s="22"/>
      <c r="AF471" s="22"/>
      <c r="AG471" s="22"/>
      <c r="AH471" s="22"/>
      <c r="AI471" s="22"/>
      <c r="AJ471" s="22"/>
      <c r="AK471" s="22"/>
      <c r="AL471" s="22"/>
      <c r="AM471" s="22"/>
      <c r="AN471" s="22"/>
      <c r="AO471" s="22"/>
      <c r="AP471" s="22"/>
      <c r="AQ471" s="22"/>
      <c r="AR471" s="22"/>
      <c r="AS471" s="22"/>
      <c r="AT471" s="22"/>
      <c r="AU471" s="22"/>
      <c r="AV471" s="22"/>
      <c r="AW471" s="22"/>
      <c r="AX471" s="22"/>
    </row>
    <row r="472" spans="1:50" x14ac:dyDescent="0.3">
      <c r="A472" s="6"/>
      <c r="B472" s="19"/>
      <c r="C472" s="6"/>
      <c r="D472" s="6"/>
      <c r="E472" s="6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  <c r="AD472" s="22"/>
      <c r="AE472" s="22"/>
      <c r="AF472" s="22"/>
      <c r="AG472" s="22"/>
      <c r="AH472" s="22"/>
      <c r="AI472" s="22"/>
      <c r="AJ472" s="22"/>
      <c r="AK472" s="22"/>
      <c r="AL472" s="22"/>
      <c r="AM472" s="22"/>
      <c r="AN472" s="22"/>
      <c r="AO472" s="22"/>
      <c r="AP472" s="22"/>
      <c r="AQ472" s="22"/>
      <c r="AR472" s="22"/>
      <c r="AS472" s="22"/>
      <c r="AT472" s="22"/>
      <c r="AU472" s="22"/>
      <c r="AV472" s="22"/>
      <c r="AW472" s="22"/>
      <c r="AX472" s="22"/>
    </row>
    <row r="473" spans="1:50" x14ac:dyDescent="0.3">
      <c r="A473" s="6"/>
      <c r="B473" s="19"/>
      <c r="C473" s="6"/>
      <c r="D473" s="6"/>
      <c r="E473" s="6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  <c r="AD473" s="22"/>
      <c r="AE473" s="22"/>
      <c r="AF473" s="22"/>
      <c r="AG473" s="22"/>
      <c r="AH473" s="22"/>
      <c r="AI473" s="22"/>
      <c r="AJ473" s="22"/>
      <c r="AK473" s="22"/>
      <c r="AL473" s="22"/>
      <c r="AM473" s="22"/>
      <c r="AN473" s="22"/>
      <c r="AO473" s="22"/>
      <c r="AP473" s="22"/>
      <c r="AQ473" s="22"/>
      <c r="AR473" s="22"/>
      <c r="AS473" s="22"/>
      <c r="AT473" s="22"/>
      <c r="AU473" s="22"/>
      <c r="AV473" s="22"/>
      <c r="AW473" s="22"/>
      <c r="AX473" s="22"/>
    </row>
    <row r="474" spans="1:50" x14ac:dyDescent="0.3">
      <c r="A474" s="6"/>
      <c r="B474" s="19"/>
      <c r="C474" s="6"/>
      <c r="D474" s="6"/>
      <c r="E474" s="6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  <c r="AD474" s="22"/>
      <c r="AE474" s="22"/>
      <c r="AF474" s="22"/>
      <c r="AG474" s="22"/>
      <c r="AH474" s="22"/>
      <c r="AI474" s="22"/>
      <c r="AJ474" s="22"/>
      <c r="AK474" s="22"/>
      <c r="AL474" s="22"/>
      <c r="AM474" s="22"/>
      <c r="AN474" s="22"/>
      <c r="AO474" s="22"/>
      <c r="AP474" s="22"/>
      <c r="AQ474" s="22"/>
      <c r="AR474" s="22"/>
      <c r="AS474" s="22"/>
      <c r="AT474" s="22"/>
      <c r="AU474" s="22"/>
      <c r="AV474" s="22"/>
      <c r="AW474" s="22"/>
      <c r="AX474" s="22"/>
    </row>
    <row r="475" spans="1:50" x14ac:dyDescent="0.3">
      <c r="A475" s="6"/>
      <c r="B475" s="19"/>
      <c r="C475" s="6"/>
      <c r="D475" s="6"/>
      <c r="E475" s="6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  <c r="AD475" s="22"/>
      <c r="AE475" s="22"/>
      <c r="AF475" s="22"/>
      <c r="AG475" s="22"/>
      <c r="AH475" s="22"/>
      <c r="AI475" s="22"/>
      <c r="AJ475" s="22"/>
      <c r="AK475" s="22"/>
      <c r="AL475" s="22"/>
      <c r="AM475" s="22"/>
      <c r="AN475" s="22"/>
      <c r="AO475" s="22"/>
      <c r="AP475" s="22"/>
      <c r="AQ475" s="22"/>
      <c r="AR475" s="22"/>
      <c r="AS475" s="22"/>
      <c r="AT475" s="22"/>
      <c r="AU475" s="22"/>
      <c r="AV475" s="22"/>
      <c r="AW475" s="22"/>
      <c r="AX475" s="22"/>
    </row>
    <row r="476" spans="1:50" x14ac:dyDescent="0.3">
      <c r="A476" s="6"/>
      <c r="B476" s="19"/>
      <c r="C476" s="6"/>
      <c r="D476" s="6"/>
      <c r="E476" s="6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  <c r="AD476" s="22"/>
      <c r="AE476" s="22"/>
      <c r="AF476" s="22"/>
      <c r="AG476" s="22"/>
      <c r="AH476" s="22"/>
      <c r="AI476" s="22"/>
      <c r="AJ476" s="22"/>
      <c r="AK476" s="22"/>
      <c r="AL476" s="22"/>
      <c r="AM476" s="22"/>
      <c r="AN476" s="22"/>
      <c r="AO476" s="22"/>
      <c r="AP476" s="22"/>
      <c r="AQ476" s="22"/>
      <c r="AR476" s="22"/>
      <c r="AS476" s="22"/>
      <c r="AT476" s="22"/>
      <c r="AU476" s="22"/>
      <c r="AV476" s="22"/>
      <c r="AW476" s="22"/>
      <c r="AX476" s="22"/>
    </row>
    <row r="477" spans="1:50" x14ac:dyDescent="0.3">
      <c r="A477" s="6"/>
      <c r="B477" s="19"/>
      <c r="C477" s="6"/>
      <c r="D477" s="6"/>
      <c r="E477" s="6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22"/>
      <c r="AM477" s="22"/>
      <c r="AN477" s="22"/>
      <c r="AO477" s="22"/>
      <c r="AP477" s="22"/>
      <c r="AQ477" s="22"/>
      <c r="AR477" s="22"/>
      <c r="AS477" s="22"/>
      <c r="AT477" s="22"/>
      <c r="AU477" s="22"/>
      <c r="AV477" s="22"/>
      <c r="AW477" s="22"/>
      <c r="AX477" s="22"/>
    </row>
    <row r="478" spans="1:50" x14ac:dyDescent="0.3">
      <c r="A478" s="6"/>
      <c r="B478" s="19"/>
      <c r="C478" s="6"/>
      <c r="D478" s="6"/>
      <c r="E478" s="6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  <c r="AD478" s="22"/>
      <c r="AE478" s="22"/>
      <c r="AF478" s="22"/>
      <c r="AG478" s="22"/>
      <c r="AH478" s="22"/>
      <c r="AI478" s="22"/>
      <c r="AJ478" s="22"/>
      <c r="AK478" s="22"/>
      <c r="AL478" s="22"/>
      <c r="AM478" s="22"/>
      <c r="AN478" s="22"/>
      <c r="AO478" s="22"/>
      <c r="AP478" s="22"/>
      <c r="AQ478" s="22"/>
      <c r="AR478" s="22"/>
      <c r="AS478" s="22"/>
      <c r="AT478" s="22"/>
      <c r="AU478" s="22"/>
      <c r="AV478" s="22"/>
      <c r="AW478" s="22"/>
      <c r="AX478" s="22"/>
    </row>
    <row r="479" spans="1:50" x14ac:dyDescent="0.3">
      <c r="A479" s="6"/>
      <c r="B479" s="19"/>
      <c r="C479" s="6"/>
      <c r="D479" s="6"/>
      <c r="E479" s="6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  <c r="AD479" s="22"/>
      <c r="AE479" s="22"/>
      <c r="AF479" s="22"/>
      <c r="AG479" s="22"/>
      <c r="AH479" s="22"/>
      <c r="AI479" s="22"/>
      <c r="AJ479" s="22"/>
      <c r="AK479" s="22"/>
      <c r="AL479" s="22"/>
      <c r="AM479" s="22"/>
      <c r="AN479" s="22"/>
      <c r="AO479" s="22"/>
      <c r="AP479" s="22"/>
      <c r="AQ479" s="22"/>
      <c r="AR479" s="22"/>
      <c r="AS479" s="22"/>
      <c r="AT479" s="22"/>
      <c r="AU479" s="22"/>
      <c r="AV479" s="22"/>
      <c r="AW479" s="22"/>
      <c r="AX479" s="22"/>
    </row>
    <row r="480" spans="1:50" x14ac:dyDescent="0.3">
      <c r="A480" s="6"/>
      <c r="B480" s="19"/>
      <c r="C480" s="6"/>
      <c r="D480" s="6"/>
      <c r="E480" s="6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  <c r="AD480" s="22"/>
      <c r="AE480" s="22"/>
      <c r="AF480" s="22"/>
      <c r="AG480" s="22"/>
      <c r="AH480" s="22"/>
      <c r="AI480" s="22"/>
      <c r="AJ480" s="22"/>
      <c r="AK480" s="22"/>
      <c r="AL480" s="22"/>
      <c r="AM480" s="22"/>
      <c r="AN480" s="22"/>
      <c r="AO480" s="22"/>
      <c r="AP480" s="22"/>
      <c r="AQ480" s="22"/>
      <c r="AR480" s="22"/>
      <c r="AS480" s="22"/>
      <c r="AT480" s="22"/>
      <c r="AU480" s="22"/>
      <c r="AV480" s="22"/>
      <c r="AW480" s="22"/>
      <c r="AX480" s="22"/>
    </row>
    <row r="481" spans="1:50" x14ac:dyDescent="0.3">
      <c r="A481" s="6"/>
      <c r="B481" s="19"/>
      <c r="C481" s="6"/>
      <c r="D481" s="6"/>
      <c r="E481" s="6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  <c r="AD481" s="22"/>
      <c r="AE481" s="22"/>
      <c r="AF481" s="22"/>
      <c r="AG481" s="22"/>
      <c r="AH481" s="22"/>
      <c r="AI481" s="22"/>
      <c r="AJ481" s="22"/>
      <c r="AK481" s="22"/>
      <c r="AL481" s="22"/>
      <c r="AM481" s="22"/>
      <c r="AN481" s="22"/>
      <c r="AO481" s="22"/>
      <c r="AP481" s="22"/>
      <c r="AQ481" s="22"/>
      <c r="AR481" s="22"/>
      <c r="AS481" s="22"/>
      <c r="AT481" s="22"/>
      <c r="AU481" s="22"/>
      <c r="AV481" s="22"/>
      <c r="AW481" s="22"/>
      <c r="AX481" s="22"/>
    </row>
    <row r="482" spans="1:50" x14ac:dyDescent="0.3">
      <c r="A482" s="6"/>
      <c r="B482" s="19"/>
      <c r="C482" s="6"/>
      <c r="D482" s="6"/>
      <c r="E482" s="6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  <c r="AD482" s="22"/>
      <c r="AE482" s="22"/>
      <c r="AF482" s="22"/>
      <c r="AG482" s="22"/>
      <c r="AH482" s="22"/>
      <c r="AI482" s="22"/>
      <c r="AJ482" s="22"/>
      <c r="AK482" s="22"/>
      <c r="AL482" s="22"/>
      <c r="AM482" s="22"/>
      <c r="AN482" s="22"/>
      <c r="AO482" s="22"/>
      <c r="AP482" s="22"/>
      <c r="AQ482" s="22"/>
      <c r="AR482" s="22"/>
      <c r="AS482" s="22"/>
      <c r="AT482" s="22"/>
      <c r="AU482" s="22"/>
      <c r="AV482" s="22"/>
      <c r="AW482" s="22"/>
      <c r="AX482" s="22"/>
    </row>
    <row r="483" spans="1:50" x14ac:dyDescent="0.3">
      <c r="A483" s="6"/>
      <c r="B483" s="19"/>
      <c r="C483" s="6"/>
      <c r="D483" s="6"/>
      <c r="E483" s="6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  <c r="AD483" s="22"/>
      <c r="AE483" s="22"/>
      <c r="AF483" s="22"/>
      <c r="AG483" s="22"/>
      <c r="AH483" s="22"/>
      <c r="AI483" s="22"/>
      <c r="AJ483" s="22"/>
      <c r="AK483" s="22"/>
      <c r="AL483" s="22"/>
      <c r="AM483" s="22"/>
      <c r="AN483" s="22"/>
      <c r="AO483" s="22"/>
      <c r="AP483" s="22"/>
      <c r="AQ483" s="22"/>
      <c r="AR483" s="22"/>
      <c r="AS483" s="22"/>
      <c r="AT483" s="22"/>
      <c r="AU483" s="22"/>
      <c r="AV483" s="22"/>
      <c r="AW483" s="22"/>
      <c r="AX483" s="22"/>
    </row>
    <row r="484" spans="1:50" x14ac:dyDescent="0.3">
      <c r="A484" s="6"/>
      <c r="B484" s="19"/>
      <c r="C484" s="6"/>
      <c r="D484" s="6"/>
      <c r="E484" s="6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  <c r="AD484" s="22"/>
      <c r="AE484" s="22"/>
      <c r="AF484" s="22"/>
      <c r="AG484" s="22"/>
      <c r="AH484" s="22"/>
      <c r="AI484" s="22"/>
      <c r="AJ484" s="22"/>
      <c r="AK484" s="22"/>
      <c r="AL484" s="22"/>
      <c r="AM484" s="22"/>
      <c r="AN484" s="22"/>
      <c r="AO484" s="22"/>
      <c r="AP484" s="22"/>
      <c r="AQ484" s="22"/>
      <c r="AR484" s="22"/>
      <c r="AS484" s="22"/>
      <c r="AT484" s="22"/>
      <c r="AU484" s="22"/>
      <c r="AV484" s="22"/>
      <c r="AW484" s="22"/>
      <c r="AX484" s="22"/>
    </row>
    <row r="485" spans="1:50" x14ac:dyDescent="0.3">
      <c r="A485" s="6"/>
      <c r="B485" s="19"/>
      <c r="C485" s="6"/>
      <c r="D485" s="6"/>
      <c r="E485" s="6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  <c r="AD485" s="22"/>
      <c r="AE485" s="22"/>
      <c r="AF485" s="22"/>
      <c r="AG485" s="22"/>
      <c r="AH485" s="22"/>
      <c r="AI485" s="22"/>
      <c r="AJ485" s="22"/>
      <c r="AK485" s="22"/>
      <c r="AL485" s="22"/>
      <c r="AM485" s="22"/>
      <c r="AN485" s="22"/>
      <c r="AO485" s="22"/>
      <c r="AP485" s="22"/>
      <c r="AQ485" s="22"/>
      <c r="AR485" s="22"/>
      <c r="AS485" s="22"/>
      <c r="AT485" s="22"/>
      <c r="AU485" s="22"/>
      <c r="AV485" s="22"/>
      <c r="AW485" s="22"/>
      <c r="AX485" s="22"/>
    </row>
    <row r="486" spans="1:50" x14ac:dyDescent="0.3">
      <c r="A486" s="6"/>
      <c r="B486" s="19"/>
      <c r="C486" s="6"/>
      <c r="D486" s="6"/>
      <c r="E486" s="6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  <c r="AD486" s="22"/>
      <c r="AE486" s="22"/>
      <c r="AF486" s="22"/>
      <c r="AG486" s="22"/>
      <c r="AH486" s="22"/>
      <c r="AI486" s="22"/>
      <c r="AJ486" s="22"/>
      <c r="AK486" s="22"/>
      <c r="AL486" s="22"/>
      <c r="AM486" s="22"/>
      <c r="AN486" s="22"/>
      <c r="AO486" s="22"/>
      <c r="AP486" s="22"/>
      <c r="AQ486" s="22"/>
      <c r="AR486" s="22"/>
      <c r="AS486" s="22"/>
      <c r="AT486" s="22"/>
      <c r="AU486" s="22"/>
      <c r="AV486" s="22"/>
      <c r="AW486" s="22"/>
      <c r="AX486" s="22"/>
    </row>
    <row r="487" spans="1:50" x14ac:dyDescent="0.3">
      <c r="A487" s="6"/>
      <c r="B487" s="19"/>
      <c r="C487" s="6"/>
      <c r="D487" s="6"/>
      <c r="E487" s="6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  <c r="AD487" s="22"/>
      <c r="AE487" s="22"/>
      <c r="AF487" s="22"/>
      <c r="AG487" s="22"/>
      <c r="AH487" s="22"/>
      <c r="AI487" s="22"/>
      <c r="AJ487" s="22"/>
      <c r="AK487" s="22"/>
      <c r="AL487" s="22"/>
      <c r="AM487" s="22"/>
      <c r="AN487" s="22"/>
      <c r="AO487" s="22"/>
      <c r="AP487" s="22"/>
      <c r="AQ487" s="22"/>
      <c r="AR487" s="22"/>
      <c r="AS487" s="22"/>
      <c r="AT487" s="22"/>
      <c r="AU487" s="22"/>
      <c r="AV487" s="22"/>
      <c r="AW487" s="22"/>
      <c r="AX487" s="22"/>
    </row>
    <row r="488" spans="1:50" x14ac:dyDescent="0.3">
      <c r="A488" s="6"/>
      <c r="B488" s="19"/>
      <c r="C488" s="6"/>
      <c r="D488" s="6"/>
      <c r="E488" s="6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  <c r="AD488" s="22"/>
      <c r="AE488" s="22"/>
      <c r="AF488" s="22"/>
      <c r="AG488" s="22"/>
      <c r="AH488" s="22"/>
      <c r="AI488" s="22"/>
      <c r="AJ488" s="22"/>
      <c r="AK488" s="22"/>
      <c r="AL488" s="22"/>
      <c r="AM488" s="22"/>
      <c r="AN488" s="22"/>
      <c r="AO488" s="22"/>
      <c r="AP488" s="22"/>
      <c r="AQ488" s="22"/>
      <c r="AR488" s="22"/>
      <c r="AS488" s="22"/>
      <c r="AT488" s="22"/>
      <c r="AU488" s="22"/>
      <c r="AV488" s="22"/>
      <c r="AW488" s="22"/>
      <c r="AX488" s="22"/>
    </row>
    <row r="489" spans="1:50" x14ac:dyDescent="0.3">
      <c r="A489" s="6"/>
      <c r="B489" s="19"/>
      <c r="C489" s="6"/>
      <c r="D489" s="6"/>
      <c r="E489" s="6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  <c r="AD489" s="22"/>
      <c r="AE489" s="22"/>
      <c r="AF489" s="22"/>
      <c r="AG489" s="22"/>
      <c r="AH489" s="22"/>
      <c r="AI489" s="22"/>
      <c r="AJ489" s="22"/>
      <c r="AK489" s="22"/>
      <c r="AL489" s="22"/>
      <c r="AM489" s="22"/>
      <c r="AN489" s="22"/>
      <c r="AO489" s="22"/>
      <c r="AP489" s="22"/>
      <c r="AQ489" s="22"/>
      <c r="AR489" s="22"/>
      <c r="AS489" s="22"/>
      <c r="AT489" s="22"/>
      <c r="AU489" s="22"/>
      <c r="AV489" s="22"/>
      <c r="AW489" s="22"/>
      <c r="AX489" s="22"/>
    </row>
    <row r="490" spans="1:50" x14ac:dyDescent="0.3">
      <c r="A490" s="6"/>
      <c r="B490" s="19"/>
      <c r="C490" s="6"/>
      <c r="D490" s="6"/>
      <c r="E490" s="6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  <c r="AD490" s="22"/>
      <c r="AE490" s="22"/>
      <c r="AF490" s="22"/>
      <c r="AG490" s="22"/>
      <c r="AH490" s="22"/>
      <c r="AI490" s="22"/>
      <c r="AJ490" s="22"/>
      <c r="AK490" s="22"/>
      <c r="AL490" s="22"/>
      <c r="AM490" s="22"/>
      <c r="AN490" s="22"/>
      <c r="AO490" s="22"/>
      <c r="AP490" s="22"/>
      <c r="AQ490" s="22"/>
      <c r="AR490" s="22"/>
      <c r="AS490" s="22"/>
      <c r="AT490" s="22"/>
      <c r="AU490" s="22"/>
      <c r="AV490" s="22"/>
      <c r="AW490" s="22"/>
      <c r="AX490" s="22"/>
    </row>
    <row r="491" spans="1:50" x14ac:dyDescent="0.3">
      <c r="A491" s="6"/>
      <c r="B491" s="19"/>
      <c r="C491" s="6"/>
      <c r="D491" s="6"/>
      <c r="E491" s="6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  <c r="AD491" s="22"/>
      <c r="AE491" s="22"/>
      <c r="AF491" s="22"/>
      <c r="AG491" s="22"/>
      <c r="AH491" s="22"/>
      <c r="AI491" s="22"/>
      <c r="AJ491" s="22"/>
      <c r="AK491" s="22"/>
      <c r="AL491" s="22"/>
      <c r="AM491" s="22"/>
      <c r="AN491" s="22"/>
      <c r="AO491" s="22"/>
      <c r="AP491" s="22"/>
      <c r="AQ491" s="22"/>
      <c r="AR491" s="22"/>
      <c r="AS491" s="22"/>
      <c r="AT491" s="22"/>
      <c r="AU491" s="22"/>
      <c r="AV491" s="22"/>
      <c r="AW491" s="22"/>
      <c r="AX491" s="22"/>
    </row>
    <row r="492" spans="1:50" x14ac:dyDescent="0.3">
      <c r="A492" s="6"/>
      <c r="B492" s="19"/>
      <c r="C492" s="6"/>
      <c r="D492" s="6"/>
      <c r="E492" s="6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  <c r="AD492" s="22"/>
      <c r="AE492" s="22"/>
      <c r="AF492" s="22"/>
      <c r="AG492" s="22"/>
      <c r="AH492" s="22"/>
      <c r="AI492" s="22"/>
      <c r="AJ492" s="22"/>
      <c r="AK492" s="22"/>
      <c r="AL492" s="22"/>
      <c r="AM492" s="22"/>
      <c r="AN492" s="22"/>
      <c r="AO492" s="22"/>
      <c r="AP492" s="22"/>
      <c r="AQ492" s="22"/>
      <c r="AR492" s="22"/>
      <c r="AS492" s="22"/>
      <c r="AT492" s="22"/>
      <c r="AU492" s="22"/>
      <c r="AV492" s="22"/>
      <c r="AW492" s="22"/>
      <c r="AX492" s="22"/>
    </row>
    <row r="493" spans="1:50" x14ac:dyDescent="0.3">
      <c r="A493" s="6"/>
      <c r="B493" s="19"/>
      <c r="C493" s="6"/>
      <c r="D493" s="6"/>
      <c r="E493" s="6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  <c r="AD493" s="22"/>
      <c r="AE493" s="22"/>
      <c r="AF493" s="22"/>
      <c r="AG493" s="22"/>
      <c r="AH493" s="22"/>
      <c r="AI493" s="22"/>
      <c r="AJ493" s="22"/>
      <c r="AK493" s="22"/>
      <c r="AL493" s="22"/>
      <c r="AM493" s="22"/>
      <c r="AN493" s="22"/>
      <c r="AO493" s="22"/>
      <c r="AP493" s="22"/>
      <c r="AQ493" s="22"/>
      <c r="AR493" s="22"/>
      <c r="AS493" s="22"/>
      <c r="AT493" s="22"/>
      <c r="AU493" s="22"/>
      <c r="AV493" s="22"/>
      <c r="AW493" s="22"/>
      <c r="AX493" s="22"/>
    </row>
    <row r="494" spans="1:50" x14ac:dyDescent="0.3">
      <c r="A494" s="6"/>
      <c r="B494" s="19"/>
      <c r="C494" s="6"/>
      <c r="D494" s="6"/>
      <c r="E494" s="6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  <c r="AD494" s="22"/>
      <c r="AE494" s="22"/>
      <c r="AF494" s="22"/>
      <c r="AG494" s="22"/>
      <c r="AH494" s="22"/>
      <c r="AI494" s="22"/>
      <c r="AJ494" s="22"/>
      <c r="AK494" s="22"/>
      <c r="AL494" s="22"/>
      <c r="AM494" s="22"/>
      <c r="AN494" s="22"/>
      <c r="AO494" s="22"/>
      <c r="AP494" s="22"/>
      <c r="AQ494" s="22"/>
      <c r="AR494" s="22"/>
      <c r="AS494" s="22"/>
      <c r="AT494" s="22"/>
      <c r="AU494" s="22"/>
      <c r="AV494" s="22"/>
      <c r="AW494" s="22"/>
      <c r="AX494" s="22"/>
    </row>
    <row r="495" spans="1:50" x14ac:dyDescent="0.3">
      <c r="A495" s="6"/>
      <c r="B495" s="19"/>
      <c r="C495" s="6"/>
      <c r="D495" s="6"/>
      <c r="E495" s="6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  <c r="AD495" s="22"/>
      <c r="AE495" s="22"/>
      <c r="AF495" s="22"/>
      <c r="AG495" s="22"/>
      <c r="AH495" s="22"/>
      <c r="AI495" s="22"/>
      <c r="AJ495" s="22"/>
      <c r="AK495" s="22"/>
      <c r="AL495" s="22"/>
      <c r="AM495" s="22"/>
      <c r="AN495" s="22"/>
      <c r="AO495" s="22"/>
      <c r="AP495" s="22"/>
      <c r="AQ495" s="22"/>
      <c r="AR495" s="22"/>
      <c r="AS495" s="22"/>
      <c r="AT495" s="22"/>
      <c r="AU495" s="22"/>
      <c r="AV495" s="22"/>
      <c r="AW495" s="22"/>
      <c r="AX495" s="22"/>
    </row>
    <row r="496" spans="1:50" x14ac:dyDescent="0.3">
      <c r="A496" s="6"/>
      <c r="B496" s="19"/>
      <c r="C496" s="6"/>
      <c r="D496" s="6"/>
      <c r="E496" s="6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  <c r="AD496" s="22"/>
      <c r="AE496" s="22"/>
      <c r="AF496" s="22"/>
      <c r="AG496" s="22"/>
      <c r="AH496" s="22"/>
      <c r="AI496" s="22"/>
      <c r="AJ496" s="22"/>
      <c r="AK496" s="22"/>
      <c r="AL496" s="22"/>
      <c r="AM496" s="22"/>
      <c r="AN496" s="22"/>
      <c r="AO496" s="22"/>
      <c r="AP496" s="22"/>
      <c r="AQ496" s="22"/>
      <c r="AR496" s="22"/>
      <c r="AS496" s="22"/>
      <c r="AT496" s="22"/>
      <c r="AU496" s="22"/>
      <c r="AV496" s="22"/>
      <c r="AW496" s="22"/>
      <c r="AX496" s="22"/>
    </row>
    <row r="497" spans="1:50" x14ac:dyDescent="0.3">
      <c r="A497" s="6"/>
      <c r="B497" s="19"/>
      <c r="C497" s="6"/>
      <c r="D497" s="6"/>
      <c r="E497" s="6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  <c r="AD497" s="22"/>
      <c r="AE497" s="22"/>
      <c r="AF497" s="22"/>
      <c r="AG497" s="22"/>
      <c r="AH497" s="22"/>
      <c r="AI497" s="22"/>
      <c r="AJ497" s="22"/>
      <c r="AK497" s="22"/>
      <c r="AL497" s="22"/>
      <c r="AM497" s="22"/>
      <c r="AN497" s="22"/>
      <c r="AO497" s="22"/>
      <c r="AP497" s="22"/>
      <c r="AQ497" s="22"/>
      <c r="AR497" s="22"/>
      <c r="AS497" s="22"/>
      <c r="AT497" s="22"/>
      <c r="AU497" s="22"/>
      <c r="AV497" s="22"/>
      <c r="AW497" s="22"/>
      <c r="AX497" s="22"/>
    </row>
    <row r="498" spans="1:50" x14ac:dyDescent="0.3">
      <c r="A498" s="6"/>
      <c r="B498" s="19"/>
      <c r="C498" s="6"/>
      <c r="D498" s="6"/>
      <c r="E498" s="6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  <c r="AD498" s="22"/>
      <c r="AE498" s="22"/>
      <c r="AF498" s="22"/>
      <c r="AG498" s="22"/>
      <c r="AH498" s="22"/>
      <c r="AI498" s="22"/>
      <c r="AJ498" s="22"/>
      <c r="AK498" s="22"/>
      <c r="AL498" s="22"/>
      <c r="AM498" s="22"/>
      <c r="AN498" s="22"/>
      <c r="AO498" s="22"/>
      <c r="AP498" s="22"/>
      <c r="AQ498" s="22"/>
      <c r="AR498" s="22"/>
      <c r="AS498" s="22"/>
      <c r="AT498" s="22"/>
      <c r="AU498" s="22"/>
      <c r="AV498" s="22"/>
      <c r="AW498" s="22"/>
      <c r="AX498" s="22"/>
    </row>
    <row r="499" spans="1:50" x14ac:dyDescent="0.3">
      <c r="A499" s="6"/>
      <c r="B499" s="19"/>
      <c r="C499" s="6"/>
      <c r="D499" s="6"/>
      <c r="E499" s="6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  <c r="AD499" s="22"/>
      <c r="AE499" s="22"/>
      <c r="AF499" s="22"/>
      <c r="AG499" s="22"/>
      <c r="AH499" s="22"/>
      <c r="AI499" s="22"/>
      <c r="AJ499" s="22"/>
      <c r="AK499" s="22"/>
      <c r="AL499" s="22"/>
      <c r="AM499" s="22"/>
      <c r="AN499" s="22"/>
      <c r="AO499" s="22"/>
      <c r="AP499" s="22"/>
      <c r="AQ499" s="22"/>
      <c r="AR499" s="22"/>
      <c r="AS499" s="22"/>
      <c r="AT499" s="22"/>
      <c r="AU499" s="22"/>
      <c r="AV499" s="22"/>
      <c r="AW499" s="22"/>
      <c r="AX499" s="22"/>
    </row>
    <row r="500" spans="1:50" x14ac:dyDescent="0.3">
      <c r="A500" s="6"/>
      <c r="B500" s="19"/>
      <c r="C500" s="6"/>
      <c r="D500" s="6"/>
      <c r="E500" s="6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  <c r="AD500" s="22"/>
      <c r="AE500" s="22"/>
      <c r="AF500" s="22"/>
      <c r="AG500" s="22"/>
      <c r="AH500" s="22"/>
      <c r="AI500" s="22"/>
      <c r="AJ500" s="22"/>
      <c r="AK500" s="22"/>
      <c r="AL500" s="22"/>
      <c r="AM500" s="22"/>
      <c r="AN500" s="22"/>
      <c r="AO500" s="22"/>
      <c r="AP500" s="22"/>
      <c r="AQ500" s="22"/>
      <c r="AR500" s="22"/>
      <c r="AS500" s="22"/>
      <c r="AT500" s="22"/>
      <c r="AU500" s="22"/>
      <c r="AV500" s="22"/>
      <c r="AW500" s="22"/>
      <c r="AX500" s="22"/>
    </row>
    <row r="501" spans="1:50" x14ac:dyDescent="0.3">
      <c r="A501" s="6"/>
      <c r="B501" s="19"/>
      <c r="C501" s="6"/>
      <c r="D501" s="6"/>
      <c r="E501" s="6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  <c r="AD501" s="22"/>
      <c r="AE501" s="22"/>
      <c r="AF501" s="22"/>
      <c r="AG501" s="22"/>
      <c r="AH501" s="22"/>
      <c r="AI501" s="22"/>
      <c r="AJ501" s="22"/>
      <c r="AK501" s="22"/>
      <c r="AL501" s="22"/>
      <c r="AM501" s="22"/>
      <c r="AN501" s="22"/>
      <c r="AO501" s="22"/>
      <c r="AP501" s="22"/>
      <c r="AQ501" s="22"/>
      <c r="AR501" s="22"/>
      <c r="AS501" s="22"/>
      <c r="AT501" s="22"/>
      <c r="AU501" s="22"/>
      <c r="AV501" s="22"/>
      <c r="AW501" s="22"/>
      <c r="AX501" s="22"/>
    </row>
    <row r="502" spans="1:50" x14ac:dyDescent="0.3">
      <c r="A502" s="6"/>
      <c r="B502" s="19"/>
      <c r="C502" s="6"/>
      <c r="D502" s="6"/>
      <c r="E502" s="6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  <c r="AD502" s="22"/>
      <c r="AE502" s="22"/>
      <c r="AF502" s="22"/>
      <c r="AG502" s="22"/>
      <c r="AH502" s="22"/>
      <c r="AI502" s="22"/>
      <c r="AJ502" s="22"/>
      <c r="AK502" s="22"/>
      <c r="AL502" s="22"/>
      <c r="AM502" s="22"/>
      <c r="AN502" s="22"/>
      <c r="AO502" s="22"/>
      <c r="AP502" s="22"/>
      <c r="AQ502" s="22"/>
      <c r="AR502" s="22"/>
      <c r="AS502" s="22"/>
      <c r="AT502" s="22"/>
      <c r="AU502" s="22"/>
      <c r="AV502" s="22"/>
      <c r="AW502" s="22"/>
      <c r="AX502" s="22"/>
    </row>
    <row r="503" spans="1:50" x14ac:dyDescent="0.3">
      <c r="A503" s="6"/>
      <c r="B503" s="19"/>
      <c r="C503" s="6"/>
      <c r="D503" s="6"/>
      <c r="E503" s="6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  <c r="AD503" s="22"/>
      <c r="AE503" s="22"/>
      <c r="AF503" s="22"/>
      <c r="AG503" s="22"/>
      <c r="AH503" s="22"/>
      <c r="AI503" s="22"/>
      <c r="AJ503" s="22"/>
      <c r="AK503" s="22"/>
      <c r="AL503" s="22"/>
      <c r="AM503" s="22"/>
      <c r="AN503" s="22"/>
      <c r="AO503" s="22"/>
      <c r="AP503" s="22"/>
      <c r="AQ503" s="22"/>
      <c r="AR503" s="22"/>
      <c r="AS503" s="22"/>
      <c r="AT503" s="22"/>
      <c r="AU503" s="22"/>
      <c r="AV503" s="22"/>
      <c r="AW503" s="22"/>
      <c r="AX503" s="22"/>
    </row>
    <row r="504" spans="1:50" x14ac:dyDescent="0.3">
      <c r="A504" s="6"/>
      <c r="B504" s="19"/>
      <c r="C504" s="6"/>
      <c r="D504" s="6"/>
      <c r="E504" s="6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  <c r="AD504" s="22"/>
      <c r="AE504" s="22"/>
      <c r="AF504" s="22"/>
      <c r="AG504" s="22"/>
      <c r="AH504" s="22"/>
      <c r="AI504" s="22"/>
      <c r="AJ504" s="22"/>
      <c r="AK504" s="22"/>
      <c r="AL504" s="22"/>
      <c r="AM504" s="22"/>
      <c r="AN504" s="22"/>
      <c r="AO504" s="22"/>
      <c r="AP504" s="22"/>
      <c r="AQ504" s="22"/>
      <c r="AR504" s="22"/>
      <c r="AS504" s="22"/>
      <c r="AT504" s="22"/>
      <c r="AU504" s="22"/>
      <c r="AV504" s="22"/>
      <c r="AW504" s="22"/>
      <c r="AX504" s="22"/>
    </row>
    <row r="505" spans="1:50" x14ac:dyDescent="0.3">
      <c r="A505" s="6"/>
      <c r="B505" s="19"/>
      <c r="C505" s="6"/>
      <c r="D505" s="6"/>
      <c r="E505" s="6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  <c r="AD505" s="22"/>
      <c r="AE505" s="22"/>
      <c r="AF505" s="22"/>
      <c r="AG505" s="22"/>
      <c r="AH505" s="22"/>
      <c r="AI505" s="22"/>
      <c r="AJ505" s="22"/>
      <c r="AK505" s="22"/>
      <c r="AL505" s="22"/>
      <c r="AM505" s="22"/>
      <c r="AN505" s="22"/>
      <c r="AO505" s="22"/>
      <c r="AP505" s="22"/>
      <c r="AQ505" s="22"/>
      <c r="AR505" s="22"/>
      <c r="AS505" s="22"/>
      <c r="AT505" s="22"/>
      <c r="AU505" s="22"/>
      <c r="AV505" s="22"/>
      <c r="AW505" s="22"/>
      <c r="AX505" s="22"/>
    </row>
    <row r="506" spans="1:50" x14ac:dyDescent="0.3">
      <c r="A506" s="6"/>
      <c r="B506" s="19"/>
      <c r="C506" s="6"/>
      <c r="D506" s="6"/>
      <c r="E506" s="6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  <c r="AC506" s="22"/>
      <c r="AD506" s="22"/>
      <c r="AE506" s="22"/>
      <c r="AF506" s="22"/>
      <c r="AG506" s="22"/>
      <c r="AH506" s="22"/>
      <c r="AI506" s="22"/>
      <c r="AJ506" s="22"/>
      <c r="AK506" s="22"/>
      <c r="AL506" s="22"/>
      <c r="AM506" s="22"/>
      <c r="AN506" s="22"/>
      <c r="AO506" s="22"/>
      <c r="AP506" s="22"/>
      <c r="AQ506" s="22"/>
      <c r="AR506" s="22"/>
      <c r="AS506" s="22"/>
      <c r="AT506" s="22"/>
      <c r="AU506" s="22"/>
      <c r="AV506" s="22"/>
      <c r="AW506" s="22"/>
      <c r="AX506" s="22"/>
    </row>
    <row r="507" spans="1:50" x14ac:dyDescent="0.3">
      <c r="A507" s="6"/>
      <c r="B507" s="19"/>
      <c r="C507" s="6"/>
      <c r="D507" s="6"/>
      <c r="E507" s="6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  <c r="AD507" s="22"/>
      <c r="AE507" s="22"/>
      <c r="AF507" s="22"/>
      <c r="AG507" s="22"/>
      <c r="AH507" s="22"/>
      <c r="AI507" s="22"/>
      <c r="AJ507" s="22"/>
      <c r="AK507" s="22"/>
      <c r="AL507" s="22"/>
      <c r="AM507" s="22"/>
      <c r="AN507" s="22"/>
      <c r="AO507" s="22"/>
      <c r="AP507" s="22"/>
      <c r="AQ507" s="22"/>
      <c r="AR507" s="22"/>
      <c r="AS507" s="22"/>
      <c r="AT507" s="22"/>
      <c r="AU507" s="22"/>
      <c r="AV507" s="22"/>
      <c r="AW507" s="22"/>
      <c r="AX507" s="22"/>
    </row>
    <row r="508" spans="1:50" x14ac:dyDescent="0.3">
      <c r="A508" s="6"/>
      <c r="B508" s="19"/>
      <c r="C508" s="6"/>
      <c r="D508" s="6"/>
      <c r="E508" s="6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  <c r="AD508" s="22"/>
      <c r="AE508" s="22"/>
      <c r="AF508" s="22"/>
      <c r="AG508" s="22"/>
      <c r="AH508" s="22"/>
      <c r="AI508" s="22"/>
      <c r="AJ508" s="22"/>
      <c r="AK508" s="22"/>
      <c r="AL508" s="22"/>
      <c r="AM508" s="22"/>
      <c r="AN508" s="22"/>
      <c r="AO508" s="22"/>
      <c r="AP508" s="22"/>
      <c r="AQ508" s="22"/>
      <c r="AR508" s="22"/>
      <c r="AS508" s="22"/>
      <c r="AT508" s="22"/>
      <c r="AU508" s="22"/>
      <c r="AV508" s="22"/>
      <c r="AW508" s="22"/>
      <c r="AX508" s="22"/>
    </row>
    <row r="509" spans="1:50" x14ac:dyDescent="0.3">
      <c r="A509" s="6"/>
      <c r="B509" s="19"/>
      <c r="C509" s="6"/>
      <c r="D509" s="5"/>
      <c r="E509" s="6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  <c r="AD509" s="22"/>
      <c r="AE509" s="22"/>
      <c r="AF509" s="22"/>
      <c r="AG509" s="22"/>
      <c r="AH509" s="22"/>
      <c r="AI509" s="22"/>
      <c r="AJ509" s="22"/>
      <c r="AK509" s="22"/>
      <c r="AL509" s="22"/>
      <c r="AM509" s="22"/>
      <c r="AN509" s="22"/>
      <c r="AO509" s="22"/>
      <c r="AP509" s="22"/>
      <c r="AQ509" s="22"/>
      <c r="AR509" s="22"/>
      <c r="AS509" s="22"/>
      <c r="AT509" s="22"/>
      <c r="AU509" s="22"/>
      <c r="AV509" s="22"/>
      <c r="AW509" s="22"/>
      <c r="AX509" s="22"/>
    </row>
    <row r="510" spans="1:50" x14ac:dyDescent="0.3">
      <c r="A510" s="6"/>
      <c r="B510" s="19"/>
      <c r="C510" s="6"/>
      <c r="D510" s="5"/>
      <c r="E510" s="6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  <c r="AA510" s="22"/>
      <c r="AB510" s="22"/>
      <c r="AC510" s="22"/>
      <c r="AD510" s="22"/>
      <c r="AE510" s="22"/>
      <c r="AF510" s="22"/>
      <c r="AG510" s="22"/>
      <c r="AH510" s="22"/>
      <c r="AI510" s="22"/>
      <c r="AJ510" s="22"/>
      <c r="AK510" s="22"/>
      <c r="AL510" s="22"/>
      <c r="AM510" s="22"/>
      <c r="AN510" s="22"/>
      <c r="AO510" s="22"/>
      <c r="AP510" s="22"/>
      <c r="AQ510" s="22"/>
      <c r="AR510" s="22"/>
      <c r="AS510" s="22"/>
      <c r="AT510" s="22"/>
      <c r="AU510" s="22"/>
      <c r="AV510" s="22"/>
      <c r="AW510" s="22"/>
      <c r="AX510" s="22"/>
    </row>
    <row r="511" spans="1:50" x14ac:dyDescent="0.3">
      <c r="A511" s="6"/>
      <c r="B511" s="19"/>
      <c r="C511" s="6"/>
      <c r="D511" s="5"/>
      <c r="E511" s="6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  <c r="AA511" s="22"/>
      <c r="AB511" s="22"/>
      <c r="AC511" s="22"/>
      <c r="AD511" s="22"/>
      <c r="AE511" s="22"/>
      <c r="AF511" s="22"/>
      <c r="AG511" s="22"/>
      <c r="AH511" s="22"/>
      <c r="AI511" s="22"/>
      <c r="AJ511" s="22"/>
      <c r="AK511" s="22"/>
      <c r="AL511" s="22"/>
      <c r="AM511" s="22"/>
      <c r="AN511" s="22"/>
      <c r="AO511" s="22"/>
      <c r="AP511" s="22"/>
      <c r="AQ511" s="22"/>
      <c r="AR511" s="22"/>
      <c r="AS511" s="22"/>
      <c r="AT511" s="22"/>
      <c r="AU511" s="22"/>
      <c r="AV511" s="22"/>
      <c r="AW511" s="22"/>
      <c r="AX511" s="22"/>
    </row>
    <row r="512" spans="1:50" x14ac:dyDescent="0.3">
      <c r="A512" s="6"/>
      <c r="B512" s="19"/>
      <c r="C512" s="6"/>
      <c r="D512" s="5"/>
      <c r="E512" s="6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  <c r="AA512" s="22"/>
      <c r="AB512" s="22"/>
      <c r="AC512" s="22"/>
      <c r="AD512" s="22"/>
      <c r="AE512" s="22"/>
      <c r="AF512" s="22"/>
      <c r="AG512" s="22"/>
      <c r="AH512" s="22"/>
      <c r="AI512" s="22"/>
      <c r="AJ512" s="22"/>
      <c r="AK512" s="22"/>
      <c r="AL512" s="22"/>
      <c r="AM512" s="22"/>
      <c r="AN512" s="22"/>
      <c r="AO512" s="22"/>
      <c r="AP512" s="22"/>
      <c r="AQ512" s="22"/>
      <c r="AR512" s="22"/>
      <c r="AS512" s="22"/>
      <c r="AT512" s="22"/>
      <c r="AU512" s="22"/>
      <c r="AV512" s="22"/>
      <c r="AW512" s="22"/>
      <c r="AX512" s="22"/>
    </row>
    <row r="513" spans="1:50" x14ac:dyDescent="0.3">
      <c r="A513" s="6"/>
      <c r="B513" s="19"/>
      <c r="C513" s="6"/>
      <c r="D513" s="5"/>
      <c r="E513" s="6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  <c r="AA513" s="22"/>
      <c r="AB513" s="22"/>
      <c r="AC513" s="22"/>
      <c r="AD513" s="22"/>
      <c r="AE513" s="22"/>
      <c r="AF513" s="22"/>
      <c r="AG513" s="22"/>
      <c r="AH513" s="22"/>
      <c r="AI513" s="22"/>
      <c r="AJ513" s="22"/>
      <c r="AK513" s="22"/>
      <c r="AL513" s="22"/>
      <c r="AM513" s="22"/>
      <c r="AN513" s="22"/>
      <c r="AO513" s="22"/>
      <c r="AP513" s="22"/>
      <c r="AQ513" s="22"/>
      <c r="AR513" s="22"/>
      <c r="AS513" s="22"/>
      <c r="AT513" s="22"/>
      <c r="AU513" s="22"/>
      <c r="AV513" s="22"/>
      <c r="AW513" s="22"/>
      <c r="AX513" s="22"/>
    </row>
    <row r="514" spans="1:50" x14ac:dyDescent="0.3">
      <c r="A514" s="6"/>
      <c r="B514" s="19"/>
      <c r="C514" s="6"/>
      <c r="D514" s="5"/>
      <c r="E514" s="6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  <c r="AA514" s="22"/>
      <c r="AB514" s="22"/>
      <c r="AC514" s="22"/>
      <c r="AD514" s="22"/>
      <c r="AE514" s="22"/>
      <c r="AF514" s="22"/>
      <c r="AG514" s="22"/>
      <c r="AH514" s="22"/>
      <c r="AI514" s="22"/>
      <c r="AJ514" s="22"/>
      <c r="AK514" s="22"/>
      <c r="AL514" s="22"/>
      <c r="AM514" s="22"/>
      <c r="AN514" s="22"/>
      <c r="AO514" s="22"/>
      <c r="AP514" s="22"/>
      <c r="AQ514" s="22"/>
      <c r="AR514" s="22"/>
      <c r="AS514" s="22"/>
      <c r="AT514" s="22"/>
      <c r="AU514" s="22"/>
      <c r="AV514" s="22"/>
      <c r="AW514" s="22"/>
      <c r="AX514" s="22"/>
    </row>
    <row r="515" spans="1:50" x14ac:dyDescent="0.3">
      <c r="A515" s="6"/>
      <c r="B515" s="19"/>
      <c r="C515" s="6"/>
      <c r="D515" s="5"/>
      <c r="E515" s="6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  <c r="AA515" s="22"/>
      <c r="AB515" s="22"/>
      <c r="AC515" s="22"/>
      <c r="AD515" s="22"/>
      <c r="AE515" s="22"/>
      <c r="AF515" s="22"/>
      <c r="AG515" s="22"/>
      <c r="AH515" s="22"/>
      <c r="AI515" s="22"/>
      <c r="AJ515" s="22"/>
      <c r="AK515" s="22"/>
      <c r="AL515" s="22"/>
      <c r="AM515" s="22"/>
      <c r="AN515" s="22"/>
      <c r="AO515" s="22"/>
      <c r="AP515" s="22"/>
      <c r="AQ515" s="22"/>
      <c r="AR515" s="22"/>
      <c r="AS515" s="22"/>
      <c r="AT515" s="22"/>
      <c r="AU515" s="22"/>
      <c r="AV515" s="22"/>
      <c r="AW515" s="22"/>
      <c r="AX515" s="22"/>
    </row>
    <row r="516" spans="1:50" x14ac:dyDescent="0.3">
      <c r="A516" s="6"/>
      <c r="B516" s="19"/>
      <c r="C516" s="6"/>
      <c r="D516" s="5"/>
      <c r="E516" s="6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  <c r="AA516" s="22"/>
      <c r="AB516" s="22"/>
      <c r="AC516" s="22"/>
      <c r="AD516" s="22"/>
      <c r="AE516" s="22"/>
      <c r="AF516" s="22"/>
      <c r="AG516" s="22"/>
      <c r="AH516" s="22"/>
      <c r="AI516" s="22"/>
      <c r="AJ516" s="22"/>
      <c r="AK516" s="22"/>
      <c r="AL516" s="22"/>
      <c r="AM516" s="22"/>
      <c r="AN516" s="22"/>
      <c r="AO516" s="22"/>
      <c r="AP516" s="22"/>
      <c r="AQ516" s="22"/>
      <c r="AR516" s="22"/>
      <c r="AS516" s="22"/>
      <c r="AT516" s="22"/>
      <c r="AU516" s="22"/>
      <c r="AV516" s="22"/>
      <c r="AW516" s="22"/>
      <c r="AX516" s="22"/>
    </row>
    <row r="517" spans="1:50" x14ac:dyDescent="0.3">
      <c r="A517" s="6"/>
      <c r="B517" s="19"/>
      <c r="C517" s="6"/>
      <c r="D517" s="5"/>
      <c r="E517" s="6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  <c r="AA517" s="22"/>
      <c r="AB517" s="22"/>
      <c r="AC517" s="22"/>
      <c r="AD517" s="22"/>
      <c r="AE517" s="22"/>
      <c r="AF517" s="22"/>
      <c r="AG517" s="22"/>
      <c r="AH517" s="22"/>
      <c r="AI517" s="22"/>
      <c r="AJ517" s="22"/>
      <c r="AK517" s="22"/>
      <c r="AL517" s="22"/>
      <c r="AM517" s="22"/>
      <c r="AN517" s="22"/>
      <c r="AO517" s="22"/>
      <c r="AP517" s="22"/>
      <c r="AQ517" s="22"/>
      <c r="AR517" s="22"/>
      <c r="AS517" s="22"/>
      <c r="AT517" s="22"/>
      <c r="AU517" s="22"/>
      <c r="AV517" s="22"/>
      <c r="AW517" s="22"/>
      <c r="AX517" s="22"/>
    </row>
    <row r="518" spans="1:50" x14ac:dyDescent="0.3">
      <c r="A518" s="6"/>
      <c r="B518" s="19"/>
      <c r="C518" s="6"/>
      <c r="D518" s="5"/>
      <c r="E518" s="6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  <c r="AC518" s="22"/>
      <c r="AD518" s="22"/>
      <c r="AE518" s="22"/>
      <c r="AF518" s="22"/>
      <c r="AG518" s="22"/>
      <c r="AH518" s="22"/>
      <c r="AI518" s="22"/>
      <c r="AJ518" s="22"/>
      <c r="AK518" s="22"/>
      <c r="AL518" s="22"/>
      <c r="AM518" s="22"/>
      <c r="AN518" s="22"/>
      <c r="AO518" s="22"/>
      <c r="AP518" s="22"/>
      <c r="AQ518" s="22"/>
      <c r="AR518" s="22"/>
      <c r="AS518" s="22"/>
      <c r="AT518" s="22"/>
      <c r="AU518" s="22"/>
      <c r="AV518" s="22"/>
      <c r="AW518" s="22"/>
      <c r="AX518" s="22"/>
    </row>
    <row r="519" spans="1:50" x14ac:dyDescent="0.3">
      <c r="A519" s="6"/>
      <c r="B519" s="19"/>
      <c r="C519" s="6"/>
      <c r="D519" s="5"/>
      <c r="E519" s="6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  <c r="AD519" s="22"/>
      <c r="AE519" s="22"/>
      <c r="AF519" s="22"/>
      <c r="AG519" s="22"/>
      <c r="AH519" s="22"/>
      <c r="AI519" s="22"/>
      <c r="AJ519" s="22"/>
      <c r="AK519" s="22"/>
      <c r="AL519" s="22"/>
      <c r="AM519" s="22"/>
      <c r="AN519" s="22"/>
      <c r="AO519" s="22"/>
      <c r="AP519" s="22"/>
      <c r="AQ519" s="22"/>
      <c r="AR519" s="22"/>
      <c r="AS519" s="22"/>
      <c r="AT519" s="22"/>
      <c r="AU519" s="22"/>
      <c r="AV519" s="22"/>
      <c r="AW519" s="22"/>
      <c r="AX519" s="22"/>
    </row>
    <row r="520" spans="1:50" x14ac:dyDescent="0.3">
      <c r="A520" s="6"/>
      <c r="B520" s="19"/>
      <c r="C520" s="6"/>
      <c r="D520" s="5"/>
      <c r="E520" s="6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  <c r="AD520" s="22"/>
      <c r="AE520" s="22"/>
      <c r="AF520" s="22"/>
      <c r="AG520" s="22"/>
      <c r="AH520" s="22"/>
      <c r="AI520" s="22"/>
      <c r="AJ520" s="22"/>
      <c r="AK520" s="22"/>
      <c r="AL520" s="22"/>
      <c r="AM520" s="22"/>
      <c r="AN520" s="22"/>
      <c r="AO520" s="22"/>
      <c r="AP520" s="22"/>
      <c r="AQ520" s="22"/>
      <c r="AR520" s="22"/>
      <c r="AS520" s="22"/>
      <c r="AT520" s="22"/>
      <c r="AU520" s="22"/>
      <c r="AV520" s="22"/>
      <c r="AW520" s="22"/>
      <c r="AX520" s="22"/>
    </row>
    <row r="521" spans="1:50" x14ac:dyDescent="0.3">
      <c r="A521" s="6"/>
      <c r="B521" s="19"/>
      <c r="C521" s="6"/>
      <c r="D521" s="5"/>
      <c r="E521" s="6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  <c r="AD521" s="22"/>
      <c r="AE521" s="22"/>
      <c r="AF521" s="22"/>
      <c r="AG521" s="22"/>
      <c r="AH521" s="22"/>
      <c r="AI521" s="22"/>
      <c r="AJ521" s="22"/>
      <c r="AK521" s="22"/>
      <c r="AL521" s="22"/>
      <c r="AM521" s="22"/>
      <c r="AN521" s="22"/>
      <c r="AO521" s="22"/>
      <c r="AP521" s="22"/>
      <c r="AQ521" s="22"/>
      <c r="AR521" s="22"/>
      <c r="AS521" s="22"/>
      <c r="AT521" s="22"/>
      <c r="AU521" s="22"/>
      <c r="AV521" s="22"/>
      <c r="AW521" s="22"/>
      <c r="AX521" s="22"/>
    </row>
    <row r="522" spans="1:50" x14ac:dyDescent="0.3">
      <c r="A522" s="6"/>
      <c r="B522" s="19"/>
      <c r="C522" s="6"/>
      <c r="D522" s="5"/>
      <c r="E522" s="6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  <c r="AD522" s="22"/>
      <c r="AE522" s="22"/>
      <c r="AF522" s="22"/>
      <c r="AG522" s="22"/>
      <c r="AH522" s="22"/>
      <c r="AI522" s="22"/>
      <c r="AJ522" s="22"/>
      <c r="AK522" s="22"/>
      <c r="AL522" s="22"/>
      <c r="AM522" s="22"/>
      <c r="AN522" s="22"/>
      <c r="AO522" s="22"/>
      <c r="AP522" s="22"/>
      <c r="AQ522" s="22"/>
      <c r="AR522" s="22"/>
      <c r="AS522" s="22"/>
      <c r="AT522" s="22"/>
      <c r="AU522" s="22"/>
      <c r="AV522" s="22"/>
      <c r="AW522" s="22"/>
      <c r="AX522" s="22"/>
    </row>
    <row r="523" spans="1:50" x14ac:dyDescent="0.3">
      <c r="A523" s="6"/>
      <c r="B523" s="19"/>
      <c r="C523" s="6"/>
      <c r="D523" s="5"/>
      <c r="E523" s="6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  <c r="AD523" s="22"/>
      <c r="AE523" s="22"/>
      <c r="AF523" s="22"/>
      <c r="AG523" s="22"/>
      <c r="AH523" s="22"/>
      <c r="AI523" s="22"/>
      <c r="AJ523" s="22"/>
      <c r="AK523" s="22"/>
      <c r="AL523" s="22"/>
      <c r="AM523" s="22"/>
      <c r="AN523" s="22"/>
      <c r="AO523" s="22"/>
      <c r="AP523" s="22"/>
      <c r="AQ523" s="22"/>
      <c r="AR523" s="22"/>
      <c r="AS523" s="22"/>
      <c r="AT523" s="22"/>
      <c r="AU523" s="22"/>
      <c r="AV523" s="22"/>
      <c r="AW523" s="22"/>
      <c r="AX523" s="22"/>
    </row>
    <row r="524" spans="1:50" x14ac:dyDescent="0.3">
      <c r="A524" s="6"/>
      <c r="B524" s="19"/>
      <c r="C524" s="6"/>
      <c r="D524" s="5"/>
      <c r="E524" s="6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  <c r="AD524" s="22"/>
      <c r="AE524" s="22"/>
      <c r="AF524" s="22"/>
      <c r="AG524" s="22"/>
      <c r="AH524" s="22"/>
      <c r="AI524" s="22"/>
      <c r="AJ524" s="22"/>
      <c r="AK524" s="22"/>
      <c r="AL524" s="22"/>
      <c r="AM524" s="22"/>
      <c r="AN524" s="22"/>
      <c r="AO524" s="22"/>
      <c r="AP524" s="22"/>
      <c r="AQ524" s="22"/>
      <c r="AR524" s="22"/>
      <c r="AS524" s="22"/>
      <c r="AT524" s="22"/>
      <c r="AU524" s="22"/>
      <c r="AV524" s="22"/>
      <c r="AW524" s="22"/>
      <c r="AX524" s="22"/>
    </row>
    <row r="525" spans="1:50" x14ac:dyDescent="0.3">
      <c r="A525" s="6"/>
      <c r="B525" s="19"/>
      <c r="C525" s="6"/>
      <c r="D525" s="5"/>
      <c r="E525" s="6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  <c r="AD525" s="22"/>
      <c r="AE525" s="22"/>
      <c r="AF525" s="22"/>
      <c r="AG525" s="22"/>
      <c r="AH525" s="22"/>
      <c r="AI525" s="22"/>
      <c r="AJ525" s="22"/>
      <c r="AK525" s="22"/>
      <c r="AL525" s="22"/>
      <c r="AM525" s="22"/>
      <c r="AN525" s="22"/>
      <c r="AO525" s="22"/>
      <c r="AP525" s="22"/>
      <c r="AQ525" s="22"/>
      <c r="AR525" s="22"/>
      <c r="AS525" s="22"/>
      <c r="AT525" s="22"/>
      <c r="AU525" s="22"/>
      <c r="AV525" s="22"/>
      <c r="AW525" s="22"/>
      <c r="AX525" s="22"/>
    </row>
    <row r="526" spans="1:50" x14ac:dyDescent="0.3">
      <c r="A526" s="6"/>
      <c r="B526" s="19"/>
      <c r="C526" s="6"/>
      <c r="D526" s="5"/>
      <c r="E526" s="6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  <c r="AD526" s="22"/>
      <c r="AE526" s="22"/>
      <c r="AF526" s="22"/>
      <c r="AG526" s="22"/>
      <c r="AH526" s="22"/>
      <c r="AI526" s="22"/>
      <c r="AJ526" s="22"/>
      <c r="AK526" s="22"/>
      <c r="AL526" s="22"/>
      <c r="AM526" s="22"/>
      <c r="AN526" s="22"/>
      <c r="AO526" s="22"/>
      <c r="AP526" s="22"/>
      <c r="AQ526" s="22"/>
      <c r="AR526" s="22"/>
      <c r="AS526" s="22"/>
      <c r="AT526" s="22"/>
      <c r="AU526" s="22"/>
      <c r="AV526" s="22"/>
      <c r="AW526" s="22"/>
      <c r="AX526" s="22"/>
    </row>
    <row r="527" spans="1:50" x14ac:dyDescent="0.3">
      <c r="A527" s="6"/>
      <c r="B527" s="19"/>
      <c r="C527" s="6"/>
      <c r="D527" s="5"/>
      <c r="E527" s="6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  <c r="AD527" s="22"/>
      <c r="AE527" s="22"/>
      <c r="AF527" s="22"/>
      <c r="AG527" s="22"/>
      <c r="AH527" s="22"/>
      <c r="AI527" s="22"/>
      <c r="AJ527" s="22"/>
      <c r="AK527" s="22"/>
      <c r="AL527" s="22"/>
      <c r="AM527" s="22"/>
      <c r="AN527" s="22"/>
      <c r="AO527" s="22"/>
      <c r="AP527" s="22"/>
      <c r="AQ527" s="22"/>
      <c r="AR527" s="22"/>
      <c r="AS527" s="22"/>
      <c r="AT527" s="22"/>
      <c r="AU527" s="22"/>
      <c r="AV527" s="22"/>
      <c r="AW527" s="22"/>
      <c r="AX527" s="22"/>
    </row>
    <row r="528" spans="1:50" x14ac:dyDescent="0.3">
      <c r="A528" s="6"/>
      <c r="B528" s="19"/>
      <c r="C528" s="6"/>
      <c r="D528" s="5"/>
      <c r="E528" s="6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  <c r="AD528" s="22"/>
      <c r="AE528" s="22"/>
      <c r="AF528" s="22"/>
      <c r="AG528" s="22"/>
      <c r="AH528" s="22"/>
      <c r="AI528" s="22"/>
      <c r="AJ528" s="22"/>
      <c r="AK528" s="22"/>
      <c r="AL528" s="22"/>
      <c r="AM528" s="22"/>
      <c r="AN528" s="22"/>
      <c r="AO528" s="22"/>
      <c r="AP528" s="22"/>
      <c r="AQ528" s="22"/>
      <c r="AR528" s="22"/>
      <c r="AS528" s="22"/>
      <c r="AT528" s="22"/>
      <c r="AU528" s="22"/>
      <c r="AV528" s="22"/>
      <c r="AW528" s="22"/>
      <c r="AX528" s="22"/>
    </row>
    <row r="529" spans="1:50" x14ac:dyDescent="0.3">
      <c r="A529" s="6"/>
      <c r="B529" s="19"/>
      <c r="C529" s="6"/>
      <c r="D529" s="5"/>
      <c r="E529" s="6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  <c r="AC529" s="22"/>
      <c r="AD529" s="22"/>
      <c r="AE529" s="22"/>
      <c r="AF529" s="22"/>
      <c r="AG529" s="22"/>
      <c r="AH529" s="22"/>
      <c r="AI529" s="22"/>
      <c r="AJ529" s="22"/>
      <c r="AK529" s="22"/>
      <c r="AL529" s="22"/>
      <c r="AM529" s="22"/>
      <c r="AN529" s="22"/>
      <c r="AO529" s="22"/>
      <c r="AP529" s="22"/>
      <c r="AQ529" s="22"/>
      <c r="AR529" s="22"/>
      <c r="AS529" s="22"/>
      <c r="AT529" s="22"/>
      <c r="AU529" s="22"/>
      <c r="AV529" s="22"/>
      <c r="AW529" s="22"/>
      <c r="AX529" s="22"/>
    </row>
    <row r="530" spans="1:50" x14ac:dyDescent="0.3">
      <c r="A530" s="6"/>
      <c r="B530" s="19"/>
      <c r="C530" s="6"/>
      <c r="D530" s="5"/>
      <c r="E530" s="6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  <c r="AD530" s="22"/>
      <c r="AE530" s="22"/>
      <c r="AF530" s="22"/>
      <c r="AG530" s="22"/>
      <c r="AH530" s="22"/>
      <c r="AI530" s="22"/>
      <c r="AJ530" s="22"/>
      <c r="AK530" s="22"/>
      <c r="AL530" s="22"/>
      <c r="AM530" s="22"/>
      <c r="AN530" s="22"/>
      <c r="AO530" s="22"/>
      <c r="AP530" s="22"/>
      <c r="AQ530" s="22"/>
      <c r="AR530" s="22"/>
      <c r="AS530" s="22"/>
      <c r="AT530" s="22"/>
      <c r="AU530" s="22"/>
      <c r="AV530" s="22"/>
      <c r="AW530" s="22"/>
      <c r="AX530" s="22"/>
    </row>
    <row r="531" spans="1:50" x14ac:dyDescent="0.3">
      <c r="A531" s="6"/>
      <c r="B531" s="19"/>
      <c r="C531" s="6"/>
      <c r="D531" s="5"/>
      <c r="E531" s="6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  <c r="AD531" s="22"/>
      <c r="AE531" s="22"/>
      <c r="AF531" s="22"/>
      <c r="AG531" s="22"/>
      <c r="AH531" s="22"/>
      <c r="AI531" s="22"/>
      <c r="AJ531" s="22"/>
      <c r="AK531" s="22"/>
      <c r="AL531" s="22"/>
      <c r="AM531" s="22"/>
      <c r="AN531" s="22"/>
      <c r="AO531" s="22"/>
      <c r="AP531" s="22"/>
      <c r="AQ531" s="22"/>
      <c r="AR531" s="22"/>
      <c r="AS531" s="22"/>
      <c r="AT531" s="22"/>
      <c r="AU531" s="22"/>
      <c r="AV531" s="22"/>
      <c r="AW531" s="22"/>
      <c r="AX531" s="22"/>
    </row>
    <row r="532" spans="1:50" x14ac:dyDescent="0.3">
      <c r="A532" s="6"/>
      <c r="B532" s="19"/>
      <c r="C532" s="6"/>
      <c r="D532" s="5"/>
      <c r="E532" s="6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  <c r="AD532" s="22"/>
      <c r="AE532" s="22"/>
      <c r="AF532" s="22"/>
      <c r="AG532" s="22"/>
      <c r="AH532" s="22"/>
      <c r="AI532" s="22"/>
      <c r="AJ532" s="22"/>
      <c r="AK532" s="22"/>
      <c r="AL532" s="22"/>
      <c r="AM532" s="22"/>
      <c r="AN532" s="22"/>
      <c r="AO532" s="22"/>
      <c r="AP532" s="22"/>
      <c r="AQ532" s="22"/>
      <c r="AR532" s="22"/>
      <c r="AS532" s="22"/>
      <c r="AT532" s="22"/>
      <c r="AU532" s="22"/>
      <c r="AV532" s="22"/>
      <c r="AW532" s="22"/>
      <c r="AX532" s="22"/>
    </row>
    <row r="533" spans="1:50" x14ac:dyDescent="0.3">
      <c r="A533" s="6"/>
      <c r="B533" s="19"/>
      <c r="C533" s="6"/>
      <c r="D533" s="5"/>
      <c r="E533" s="6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  <c r="AD533" s="22"/>
      <c r="AE533" s="22"/>
      <c r="AF533" s="22"/>
      <c r="AG533" s="22"/>
      <c r="AH533" s="22"/>
      <c r="AI533" s="22"/>
      <c r="AJ533" s="22"/>
      <c r="AK533" s="22"/>
      <c r="AL533" s="22"/>
      <c r="AM533" s="22"/>
      <c r="AN533" s="22"/>
      <c r="AO533" s="22"/>
      <c r="AP533" s="22"/>
      <c r="AQ533" s="22"/>
      <c r="AR533" s="22"/>
      <c r="AS533" s="22"/>
      <c r="AT533" s="22"/>
      <c r="AU533" s="22"/>
      <c r="AV533" s="22"/>
      <c r="AW533" s="22"/>
      <c r="AX533" s="22"/>
    </row>
    <row r="534" spans="1:50" x14ac:dyDescent="0.3">
      <c r="A534" s="6"/>
      <c r="B534" s="19"/>
      <c r="C534" s="6"/>
      <c r="D534" s="5"/>
      <c r="E534" s="6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  <c r="AD534" s="22"/>
      <c r="AE534" s="22"/>
      <c r="AF534" s="22"/>
      <c r="AG534" s="22"/>
      <c r="AH534" s="22"/>
      <c r="AI534" s="22"/>
      <c r="AJ534" s="22"/>
      <c r="AK534" s="22"/>
      <c r="AL534" s="22"/>
      <c r="AM534" s="22"/>
      <c r="AN534" s="22"/>
      <c r="AO534" s="22"/>
      <c r="AP534" s="22"/>
      <c r="AQ534" s="22"/>
      <c r="AR534" s="22"/>
      <c r="AS534" s="22"/>
      <c r="AT534" s="22"/>
      <c r="AU534" s="22"/>
      <c r="AV534" s="22"/>
      <c r="AW534" s="22"/>
      <c r="AX534" s="22"/>
    </row>
    <row r="535" spans="1:50" x14ac:dyDescent="0.3">
      <c r="A535" s="6"/>
      <c r="B535" s="19"/>
      <c r="C535" s="6"/>
      <c r="D535" s="5"/>
      <c r="E535" s="6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  <c r="AC535" s="22"/>
      <c r="AD535" s="22"/>
      <c r="AE535" s="22"/>
      <c r="AF535" s="22"/>
      <c r="AG535" s="22"/>
      <c r="AH535" s="22"/>
      <c r="AI535" s="22"/>
      <c r="AJ535" s="22"/>
      <c r="AK535" s="22"/>
      <c r="AL535" s="22"/>
      <c r="AM535" s="22"/>
      <c r="AN535" s="22"/>
      <c r="AO535" s="22"/>
      <c r="AP535" s="22"/>
      <c r="AQ535" s="22"/>
      <c r="AR535" s="22"/>
      <c r="AS535" s="22"/>
      <c r="AT535" s="22"/>
      <c r="AU535" s="22"/>
      <c r="AV535" s="22"/>
      <c r="AW535" s="22"/>
      <c r="AX535" s="22"/>
    </row>
    <row r="536" spans="1:50" x14ac:dyDescent="0.3">
      <c r="A536" s="6"/>
      <c r="B536" s="19"/>
      <c r="C536" s="6"/>
      <c r="D536" s="5"/>
      <c r="E536" s="6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  <c r="AD536" s="22"/>
      <c r="AE536" s="22"/>
      <c r="AF536" s="22"/>
      <c r="AG536" s="22"/>
      <c r="AH536" s="22"/>
      <c r="AI536" s="22"/>
      <c r="AJ536" s="22"/>
      <c r="AK536" s="22"/>
      <c r="AL536" s="22"/>
      <c r="AM536" s="22"/>
      <c r="AN536" s="22"/>
      <c r="AO536" s="22"/>
      <c r="AP536" s="22"/>
      <c r="AQ536" s="22"/>
      <c r="AR536" s="22"/>
      <c r="AS536" s="22"/>
      <c r="AT536" s="22"/>
      <c r="AU536" s="22"/>
      <c r="AV536" s="22"/>
      <c r="AW536" s="22"/>
      <c r="AX536" s="22"/>
    </row>
    <row r="537" spans="1:50" x14ac:dyDescent="0.3">
      <c r="A537" s="6"/>
      <c r="B537" s="19"/>
      <c r="C537" s="6"/>
      <c r="D537" s="5"/>
      <c r="E537" s="6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  <c r="AC537" s="22"/>
      <c r="AD537" s="22"/>
      <c r="AE537" s="22"/>
      <c r="AF537" s="22"/>
      <c r="AG537" s="22"/>
      <c r="AH537" s="22"/>
      <c r="AI537" s="22"/>
      <c r="AJ537" s="22"/>
      <c r="AK537" s="22"/>
      <c r="AL537" s="22"/>
      <c r="AM537" s="22"/>
      <c r="AN537" s="22"/>
      <c r="AO537" s="22"/>
      <c r="AP537" s="22"/>
      <c r="AQ537" s="22"/>
      <c r="AR537" s="22"/>
      <c r="AS537" s="22"/>
      <c r="AT537" s="22"/>
      <c r="AU537" s="22"/>
      <c r="AV537" s="22"/>
      <c r="AW537" s="22"/>
      <c r="AX537" s="22"/>
    </row>
    <row r="538" spans="1:50" x14ac:dyDescent="0.3">
      <c r="A538" s="6"/>
      <c r="B538" s="19"/>
      <c r="C538" s="6"/>
      <c r="D538" s="5"/>
      <c r="E538" s="6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  <c r="AA538" s="22"/>
      <c r="AB538" s="22"/>
      <c r="AC538" s="22"/>
      <c r="AD538" s="22"/>
      <c r="AE538" s="22"/>
      <c r="AF538" s="22"/>
      <c r="AG538" s="22"/>
      <c r="AH538" s="22"/>
      <c r="AI538" s="22"/>
      <c r="AJ538" s="22"/>
      <c r="AK538" s="22"/>
      <c r="AL538" s="22"/>
      <c r="AM538" s="22"/>
      <c r="AN538" s="22"/>
      <c r="AO538" s="22"/>
      <c r="AP538" s="22"/>
      <c r="AQ538" s="22"/>
      <c r="AR538" s="22"/>
      <c r="AS538" s="22"/>
      <c r="AT538" s="22"/>
      <c r="AU538" s="22"/>
      <c r="AV538" s="22"/>
      <c r="AW538" s="22"/>
      <c r="AX538" s="22"/>
    </row>
    <row r="539" spans="1:50" x14ac:dyDescent="0.3">
      <c r="A539" s="6"/>
      <c r="B539" s="19"/>
      <c r="C539" s="6"/>
      <c r="D539" s="5"/>
      <c r="E539" s="6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  <c r="AA539" s="22"/>
      <c r="AB539" s="22"/>
      <c r="AC539" s="22"/>
      <c r="AD539" s="22"/>
      <c r="AE539" s="22"/>
      <c r="AF539" s="22"/>
      <c r="AG539" s="22"/>
      <c r="AH539" s="22"/>
      <c r="AI539" s="22"/>
      <c r="AJ539" s="22"/>
      <c r="AK539" s="22"/>
      <c r="AL539" s="22"/>
      <c r="AM539" s="22"/>
      <c r="AN539" s="22"/>
      <c r="AO539" s="22"/>
      <c r="AP539" s="22"/>
      <c r="AQ539" s="22"/>
      <c r="AR539" s="22"/>
      <c r="AS539" s="22"/>
      <c r="AT539" s="22"/>
      <c r="AU539" s="22"/>
      <c r="AV539" s="22"/>
      <c r="AW539" s="22"/>
      <c r="AX539" s="22"/>
    </row>
    <row r="540" spans="1:50" x14ac:dyDescent="0.3">
      <c r="A540" s="6"/>
      <c r="B540" s="19"/>
      <c r="C540" s="6"/>
      <c r="D540" s="5"/>
      <c r="E540" s="6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  <c r="AA540" s="22"/>
      <c r="AB540" s="22"/>
      <c r="AC540" s="22"/>
      <c r="AD540" s="22"/>
      <c r="AE540" s="22"/>
      <c r="AF540" s="22"/>
      <c r="AG540" s="22"/>
      <c r="AH540" s="22"/>
      <c r="AI540" s="22"/>
      <c r="AJ540" s="22"/>
      <c r="AK540" s="22"/>
      <c r="AL540" s="22"/>
      <c r="AM540" s="22"/>
      <c r="AN540" s="22"/>
      <c r="AO540" s="22"/>
      <c r="AP540" s="22"/>
      <c r="AQ540" s="22"/>
      <c r="AR540" s="22"/>
      <c r="AS540" s="22"/>
      <c r="AT540" s="22"/>
      <c r="AU540" s="22"/>
      <c r="AV540" s="22"/>
      <c r="AW540" s="22"/>
      <c r="AX540" s="22"/>
    </row>
    <row r="541" spans="1:50" x14ac:dyDescent="0.3">
      <c r="A541" s="6"/>
      <c r="B541" s="19"/>
      <c r="C541" s="6"/>
      <c r="D541" s="5"/>
      <c r="E541" s="6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  <c r="AA541" s="22"/>
      <c r="AB541" s="22"/>
      <c r="AC541" s="22"/>
      <c r="AD541" s="22"/>
      <c r="AE541" s="22"/>
      <c r="AF541" s="22"/>
      <c r="AG541" s="22"/>
      <c r="AH541" s="22"/>
      <c r="AI541" s="22"/>
      <c r="AJ541" s="22"/>
      <c r="AK541" s="22"/>
      <c r="AL541" s="22"/>
      <c r="AM541" s="22"/>
      <c r="AN541" s="22"/>
      <c r="AO541" s="22"/>
      <c r="AP541" s="22"/>
      <c r="AQ541" s="22"/>
      <c r="AR541" s="22"/>
      <c r="AS541" s="22"/>
      <c r="AT541" s="22"/>
      <c r="AU541" s="22"/>
      <c r="AV541" s="22"/>
      <c r="AW541" s="22"/>
      <c r="AX541" s="22"/>
    </row>
    <row r="542" spans="1:50" x14ac:dyDescent="0.3">
      <c r="A542" s="6"/>
      <c r="B542" s="19"/>
      <c r="C542" s="6"/>
      <c r="D542" s="5"/>
      <c r="E542" s="6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  <c r="AA542" s="22"/>
      <c r="AB542" s="22"/>
      <c r="AC542" s="22"/>
      <c r="AD542" s="22"/>
      <c r="AE542" s="22"/>
      <c r="AF542" s="22"/>
      <c r="AG542" s="22"/>
      <c r="AH542" s="22"/>
      <c r="AI542" s="22"/>
      <c r="AJ542" s="22"/>
      <c r="AK542" s="22"/>
      <c r="AL542" s="22"/>
      <c r="AM542" s="22"/>
      <c r="AN542" s="22"/>
      <c r="AO542" s="22"/>
      <c r="AP542" s="22"/>
      <c r="AQ542" s="22"/>
      <c r="AR542" s="22"/>
      <c r="AS542" s="22"/>
      <c r="AT542" s="22"/>
      <c r="AU542" s="22"/>
      <c r="AV542" s="22"/>
      <c r="AW542" s="22"/>
      <c r="AX542" s="22"/>
    </row>
    <row r="543" spans="1:50" x14ac:dyDescent="0.3">
      <c r="A543" s="6"/>
      <c r="B543" s="19"/>
      <c r="C543" s="6"/>
      <c r="D543" s="5"/>
      <c r="E543" s="6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  <c r="AA543" s="22"/>
      <c r="AB543" s="22"/>
      <c r="AC543" s="22"/>
      <c r="AD543" s="22"/>
      <c r="AE543" s="22"/>
      <c r="AF543" s="22"/>
      <c r="AG543" s="22"/>
      <c r="AH543" s="22"/>
      <c r="AI543" s="22"/>
      <c r="AJ543" s="22"/>
      <c r="AK543" s="22"/>
      <c r="AL543" s="22"/>
      <c r="AM543" s="22"/>
      <c r="AN543" s="22"/>
      <c r="AO543" s="22"/>
      <c r="AP543" s="22"/>
      <c r="AQ543" s="22"/>
      <c r="AR543" s="22"/>
      <c r="AS543" s="22"/>
      <c r="AT543" s="22"/>
      <c r="AU543" s="22"/>
      <c r="AV543" s="22"/>
      <c r="AW543" s="22"/>
      <c r="AX543" s="22"/>
    </row>
    <row r="544" spans="1:50" x14ac:dyDescent="0.3">
      <c r="A544" s="6"/>
      <c r="B544" s="19"/>
      <c r="C544" s="6"/>
      <c r="D544" s="5"/>
      <c r="E544" s="6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  <c r="AA544" s="22"/>
      <c r="AB544" s="22"/>
      <c r="AC544" s="22"/>
      <c r="AD544" s="22"/>
      <c r="AE544" s="22"/>
      <c r="AF544" s="22"/>
      <c r="AG544" s="22"/>
      <c r="AH544" s="22"/>
      <c r="AI544" s="22"/>
      <c r="AJ544" s="22"/>
      <c r="AK544" s="22"/>
      <c r="AL544" s="22"/>
      <c r="AM544" s="22"/>
      <c r="AN544" s="22"/>
      <c r="AO544" s="22"/>
      <c r="AP544" s="22"/>
      <c r="AQ544" s="22"/>
      <c r="AR544" s="22"/>
      <c r="AS544" s="22"/>
      <c r="AT544" s="22"/>
      <c r="AU544" s="22"/>
      <c r="AV544" s="22"/>
      <c r="AW544" s="22"/>
      <c r="AX544" s="22"/>
    </row>
    <row r="545" spans="1:50" x14ac:dyDescent="0.3">
      <c r="A545" s="6"/>
      <c r="B545" s="19"/>
      <c r="C545" s="6"/>
      <c r="D545" s="5"/>
      <c r="E545" s="6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  <c r="AA545" s="22"/>
      <c r="AB545" s="22"/>
      <c r="AC545" s="22"/>
      <c r="AD545" s="22"/>
      <c r="AE545" s="22"/>
      <c r="AF545" s="22"/>
      <c r="AG545" s="22"/>
      <c r="AH545" s="22"/>
      <c r="AI545" s="22"/>
      <c r="AJ545" s="22"/>
      <c r="AK545" s="22"/>
      <c r="AL545" s="22"/>
      <c r="AM545" s="22"/>
      <c r="AN545" s="22"/>
      <c r="AO545" s="22"/>
      <c r="AP545" s="22"/>
      <c r="AQ545" s="22"/>
      <c r="AR545" s="22"/>
      <c r="AS545" s="22"/>
      <c r="AT545" s="22"/>
      <c r="AU545" s="22"/>
      <c r="AV545" s="22"/>
      <c r="AW545" s="22"/>
      <c r="AX545" s="22"/>
    </row>
    <row r="546" spans="1:50" x14ac:dyDescent="0.3">
      <c r="A546" s="6"/>
      <c r="B546" s="19"/>
      <c r="C546" s="6"/>
      <c r="D546" s="5"/>
      <c r="E546" s="6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  <c r="AA546" s="22"/>
      <c r="AB546" s="22"/>
      <c r="AC546" s="22"/>
      <c r="AD546" s="22"/>
      <c r="AE546" s="22"/>
      <c r="AF546" s="22"/>
      <c r="AG546" s="22"/>
      <c r="AH546" s="22"/>
      <c r="AI546" s="22"/>
      <c r="AJ546" s="22"/>
      <c r="AK546" s="22"/>
      <c r="AL546" s="22"/>
      <c r="AM546" s="22"/>
      <c r="AN546" s="22"/>
      <c r="AO546" s="22"/>
      <c r="AP546" s="22"/>
      <c r="AQ546" s="22"/>
      <c r="AR546" s="22"/>
      <c r="AS546" s="22"/>
      <c r="AT546" s="22"/>
      <c r="AU546" s="22"/>
      <c r="AV546" s="22"/>
      <c r="AW546" s="22"/>
      <c r="AX546" s="22"/>
    </row>
    <row r="547" spans="1:50" x14ac:dyDescent="0.3">
      <c r="A547" s="6"/>
      <c r="B547" s="19"/>
      <c r="C547" s="6"/>
      <c r="D547" s="5"/>
      <c r="E547" s="6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  <c r="AA547" s="22"/>
      <c r="AB547" s="22"/>
      <c r="AC547" s="22"/>
      <c r="AD547" s="22"/>
      <c r="AE547" s="22"/>
      <c r="AF547" s="22"/>
      <c r="AG547" s="22"/>
      <c r="AH547" s="22"/>
      <c r="AI547" s="22"/>
      <c r="AJ547" s="22"/>
      <c r="AK547" s="22"/>
      <c r="AL547" s="22"/>
      <c r="AM547" s="22"/>
      <c r="AN547" s="22"/>
      <c r="AO547" s="22"/>
      <c r="AP547" s="22"/>
      <c r="AQ547" s="22"/>
      <c r="AR547" s="22"/>
      <c r="AS547" s="22"/>
      <c r="AT547" s="22"/>
      <c r="AU547" s="22"/>
      <c r="AV547" s="22"/>
      <c r="AW547" s="22"/>
      <c r="AX547" s="22"/>
    </row>
    <row r="548" spans="1:50" x14ac:dyDescent="0.3">
      <c r="A548" s="6"/>
      <c r="B548" s="19"/>
      <c r="C548" s="6"/>
      <c r="D548" s="5"/>
      <c r="E548" s="6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  <c r="AA548" s="22"/>
      <c r="AB548" s="22"/>
      <c r="AC548" s="22"/>
      <c r="AD548" s="22"/>
      <c r="AE548" s="22"/>
      <c r="AF548" s="22"/>
      <c r="AG548" s="22"/>
      <c r="AH548" s="22"/>
      <c r="AI548" s="22"/>
      <c r="AJ548" s="22"/>
      <c r="AK548" s="22"/>
      <c r="AL548" s="22"/>
      <c r="AM548" s="22"/>
      <c r="AN548" s="22"/>
      <c r="AO548" s="22"/>
      <c r="AP548" s="22"/>
      <c r="AQ548" s="22"/>
      <c r="AR548" s="22"/>
      <c r="AS548" s="22"/>
      <c r="AT548" s="22"/>
      <c r="AU548" s="22"/>
      <c r="AV548" s="22"/>
      <c r="AW548" s="22"/>
      <c r="AX548" s="22"/>
    </row>
    <row r="549" spans="1:50" x14ac:dyDescent="0.3">
      <c r="A549" s="6"/>
      <c r="B549" s="19"/>
      <c r="C549" s="6"/>
      <c r="D549" s="5"/>
      <c r="E549" s="6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  <c r="AA549" s="22"/>
      <c r="AB549" s="22"/>
      <c r="AC549" s="22"/>
      <c r="AD549" s="22"/>
      <c r="AE549" s="22"/>
      <c r="AF549" s="22"/>
      <c r="AG549" s="22"/>
      <c r="AH549" s="22"/>
      <c r="AI549" s="22"/>
      <c r="AJ549" s="22"/>
      <c r="AK549" s="22"/>
      <c r="AL549" s="22"/>
      <c r="AM549" s="22"/>
      <c r="AN549" s="22"/>
      <c r="AO549" s="22"/>
      <c r="AP549" s="22"/>
      <c r="AQ549" s="22"/>
      <c r="AR549" s="22"/>
      <c r="AS549" s="22"/>
      <c r="AT549" s="22"/>
      <c r="AU549" s="22"/>
      <c r="AV549" s="22"/>
      <c r="AW549" s="22"/>
      <c r="AX549" s="22"/>
    </row>
    <row r="550" spans="1:50" x14ac:dyDescent="0.3">
      <c r="A550" s="6"/>
      <c r="B550" s="19"/>
      <c r="C550" s="6"/>
      <c r="D550" s="5"/>
      <c r="E550" s="6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  <c r="AA550" s="22"/>
      <c r="AB550" s="22"/>
      <c r="AC550" s="22"/>
      <c r="AD550" s="22"/>
      <c r="AE550" s="22"/>
      <c r="AF550" s="22"/>
      <c r="AG550" s="22"/>
      <c r="AH550" s="22"/>
      <c r="AI550" s="22"/>
      <c r="AJ550" s="22"/>
      <c r="AK550" s="22"/>
      <c r="AL550" s="22"/>
      <c r="AM550" s="22"/>
      <c r="AN550" s="22"/>
      <c r="AO550" s="22"/>
      <c r="AP550" s="22"/>
      <c r="AQ550" s="22"/>
      <c r="AR550" s="22"/>
      <c r="AS550" s="22"/>
      <c r="AT550" s="22"/>
      <c r="AU550" s="22"/>
      <c r="AV550" s="22"/>
      <c r="AW550" s="22"/>
      <c r="AX550" s="22"/>
    </row>
    <row r="551" spans="1:50" x14ac:dyDescent="0.3">
      <c r="A551" s="6"/>
      <c r="B551" s="19"/>
      <c r="C551" s="6"/>
      <c r="D551" s="5"/>
      <c r="E551" s="6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  <c r="AA551" s="22"/>
      <c r="AB551" s="22"/>
      <c r="AC551" s="22"/>
      <c r="AD551" s="22"/>
      <c r="AE551" s="22"/>
      <c r="AF551" s="22"/>
      <c r="AG551" s="22"/>
      <c r="AH551" s="22"/>
      <c r="AI551" s="22"/>
      <c r="AJ551" s="22"/>
      <c r="AK551" s="22"/>
      <c r="AL551" s="22"/>
      <c r="AM551" s="22"/>
      <c r="AN551" s="22"/>
      <c r="AO551" s="22"/>
      <c r="AP551" s="22"/>
      <c r="AQ551" s="22"/>
      <c r="AR551" s="22"/>
      <c r="AS551" s="22"/>
      <c r="AT551" s="22"/>
      <c r="AU551" s="22"/>
      <c r="AV551" s="22"/>
      <c r="AW551" s="22"/>
      <c r="AX551" s="22"/>
    </row>
    <row r="552" spans="1:50" x14ac:dyDescent="0.3">
      <c r="A552" s="6"/>
      <c r="B552" s="19"/>
      <c r="C552" s="6"/>
      <c r="D552" s="5"/>
      <c r="E552" s="6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  <c r="AA552" s="22"/>
      <c r="AB552" s="22"/>
      <c r="AC552" s="22"/>
      <c r="AD552" s="22"/>
      <c r="AE552" s="22"/>
      <c r="AF552" s="22"/>
      <c r="AG552" s="22"/>
      <c r="AH552" s="22"/>
      <c r="AI552" s="22"/>
      <c r="AJ552" s="22"/>
      <c r="AK552" s="22"/>
      <c r="AL552" s="22"/>
      <c r="AM552" s="22"/>
      <c r="AN552" s="22"/>
      <c r="AO552" s="22"/>
      <c r="AP552" s="22"/>
      <c r="AQ552" s="22"/>
      <c r="AR552" s="22"/>
      <c r="AS552" s="22"/>
      <c r="AT552" s="22"/>
      <c r="AU552" s="22"/>
      <c r="AV552" s="22"/>
      <c r="AW552" s="22"/>
      <c r="AX552" s="22"/>
    </row>
    <row r="553" spans="1:50" x14ac:dyDescent="0.3">
      <c r="A553" s="6"/>
      <c r="B553" s="19"/>
      <c r="C553" s="6"/>
      <c r="D553" s="5"/>
      <c r="E553" s="6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  <c r="AA553" s="22"/>
      <c r="AB553" s="22"/>
      <c r="AC553" s="22"/>
      <c r="AD553" s="22"/>
      <c r="AE553" s="22"/>
      <c r="AF553" s="22"/>
      <c r="AG553" s="22"/>
      <c r="AH553" s="22"/>
      <c r="AI553" s="22"/>
      <c r="AJ553" s="22"/>
      <c r="AK553" s="22"/>
      <c r="AL553" s="22"/>
      <c r="AM553" s="22"/>
      <c r="AN553" s="22"/>
      <c r="AO553" s="22"/>
      <c r="AP553" s="22"/>
      <c r="AQ553" s="22"/>
      <c r="AR553" s="22"/>
      <c r="AS553" s="22"/>
      <c r="AT553" s="22"/>
      <c r="AU553" s="22"/>
      <c r="AV553" s="22"/>
      <c r="AW553" s="22"/>
      <c r="AX553" s="22"/>
    </row>
    <row r="554" spans="1:50" x14ac:dyDescent="0.3">
      <c r="A554" s="6"/>
      <c r="B554" s="19"/>
      <c r="C554" s="6"/>
      <c r="D554" s="5"/>
      <c r="E554" s="6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  <c r="AA554" s="22"/>
      <c r="AB554" s="22"/>
      <c r="AC554" s="22"/>
      <c r="AD554" s="22"/>
      <c r="AE554" s="22"/>
      <c r="AF554" s="22"/>
      <c r="AG554" s="22"/>
      <c r="AH554" s="22"/>
      <c r="AI554" s="22"/>
      <c r="AJ554" s="22"/>
      <c r="AK554" s="22"/>
      <c r="AL554" s="22"/>
      <c r="AM554" s="22"/>
      <c r="AN554" s="22"/>
      <c r="AO554" s="22"/>
      <c r="AP554" s="22"/>
      <c r="AQ554" s="22"/>
      <c r="AR554" s="22"/>
      <c r="AS554" s="22"/>
      <c r="AT554" s="22"/>
      <c r="AU554" s="22"/>
      <c r="AV554" s="22"/>
      <c r="AW554" s="22"/>
      <c r="AX554" s="22"/>
    </row>
    <row r="555" spans="1:50" x14ac:dyDescent="0.3">
      <c r="A555" s="6"/>
      <c r="B555" s="19"/>
      <c r="C555" s="6"/>
      <c r="D555" s="5"/>
      <c r="E555" s="6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  <c r="AA555" s="22"/>
      <c r="AB555" s="22"/>
      <c r="AC555" s="22"/>
      <c r="AD555" s="22"/>
      <c r="AE555" s="22"/>
      <c r="AF555" s="22"/>
      <c r="AG555" s="22"/>
      <c r="AH555" s="22"/>
      <c r="AI555" s="22"/>
      <c r="AJ555" s="22"/>
      <c r="AK555" s="22"/>
      <c r="AL555" s="22"/>
      <c r="AM555" s="22"/>
      <c r="AN555" s="22"/>
      <c r="AO555" s="22"/>
      <c r="AP555" s="22"/>
      <c r="AQ555" s="22"/>
      <c r="AR555" s="22"/>
      <c r="AS555" s="22"/>
      <c r="AT555" s="22"/>
      <c r="AU555" s="22"/>
      <c r="AV555" s="22"/>
      <c r="AW555" s="22"/>
      <c r="AX555" s="22"/>
    </row>
    <row r="556" spans="1:50" x14ac:dyDescent="0.3">
      <c r="A556" s="6"/>
      <c r="B556" s="19"/>
      <c r="C556" s="6"/>
      <c r="D556" s="5"/>
      <c r="E556" s="6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/>
      <c r="AD556" s="22"/>
      <c r="AE556" s="22"/>
      <c r="AF556" s="22"/>
      <c r="AG556" s="22"/>
      <c r="AH556" s="22"/>
      <c r="AI556" s="22"/>
      <c r="AJ556" s="22"/>
      <c r="AK556" s="22"/>
      <c r="AL556" s="22"/>
      <c r="AM556" s="22"/>
      <c r="AN556" s="22"/>
      <c r="AO556" s="22"/>
      <c r="AP556" s="22"/>
      <c r="AQ556" s="22"/>
      <c r="AR556" s="22"/>
      <c r="AS556" s="22"/>
      <c r="AT556" s="22"/>
      <c r="AU556" s="22"/>
      <c r="AV556" s="22"/>
      <c r="AW556" s="22"/>
      <c r="AX556" s="22"/>
    </row>
    <row r="557" spans="1:50" x14ac:dyDescent="0.3">
      <c r="A557" s="6"/>
      <c r="B557" s="19"/>
      <c r="C557" s="6"/>
      <c r="D557" s="5"/>
      <c r="E557" s="6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  <c r="AC557" s="22"/>
      <c r="AD557" s="22"/>
      <c r="AE557" s="22"/>
      <c r="AF557" s="22"/>
      <c r="AG557" s="22"/>
      <c r="AH557" s="22"/>
      <c r="AI557" s="22"/>
      <c r="AJ557" s="22"/>
      <c r="AK557" s="22"/>
      <c r="AL557" s="22"/>
      <c r="AM557" s="22"/>
      <c r="AN557" s="22"/>
      <c r="AO557" s="22"/>
      <c r="AP557" s="22"/>
      <c r="AQ557" s="22"/>
      <c r="AR557" s="22"/>
      <c r="AS557" s="22"/>
      <c r="AT557" s="22"/>
      <c r="AU557" s="22"/>
      <c r="AV557" s="22"/>
      <c r="AW557" s="22"/>
      <c r="AX557" s="22"/>
    </row>
    <row r="558" spans="1:50" x14ac:dyDescent="0.3">
      <c r="A558" s="6"/>
      <c r="B558" s="19"/>
      <c r="C558" s="6"/>
      <c r="D558" s="5"/>
      <c r="E558" s="6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  <c r="AC558" s="22"/>
      <c r="AD558" s="22"/>
      <c r="AE558" s="22"/>
      <c r="AF558" s="22"/>
      <c r="AG558" s="22"/>
      <c r="AH558" s="22"/>
      <c r="AI558" s="22"/>
      <c r="AJ558" s="22"/>
      <c r="AK558" s="22"/>
      <c r="AL558" s="22"/>
      <c r="AM558" s="22"/>
      <c r="AN558" s="22"/>
      <c r="AO558" s="22"/>
      <c r="AP558" s="22"/>
      <c r="AQ558" s="22"/>
      <c r="AR558" s="22"/>
      <c r="AS558" s="22"/>
      <c r="AT558" s="22"/>
      <c r="AU558" s="22"/>
      <c r="AV558" s="22"/>
      <c r="AW558" s="22"/>
      <c r="AX558" s="22"/>
    </row>
    <row r="559" spans="1:50" x14ac:dyDescent="0.3">
      <c r="A559" s="6"/>
      <c r="B559" s="19"/>
      <c r="C559" s="6"/>
      <c r="D559" s="5"/>
      <c r="E559" s="6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/>
      <c r="AD559" s="22"/>
      <c r="AE559" s="22"/>
      <c r="AF559" s="22"/>
      <c r="AG559" s="22"/>
      <c r="AH559" s="22"/>
      <c r="AI559" s="22"/>
      <c r="AJ559" s="22"/>
      <c r="AK559" s="22"/>
      <c r="AL559" s="22"/>
      <c r="AM559" s="22"/>
      <c r="AN559" s="22"/>
      <c r="AO559" s="22"/>
      <c r="AP559" s="22"/>
      <c r="AQ559" s="22"/>
      <c r="AR559" s="22"/>
      <c r="AS559" s="22"/>
      <c r="AT559" s="22"/>
      <c r="AU559" s="22"/>
      <c r="AV559" s="22"/>
      <c r="AW559" s="22"/>
      <c r="AX559" s="22"/>
    </row>
    <row r="560" spans="1:50" x14ac:dyDescent="0.3">
      <c r="A560" s="6"/>
      <c r="B560" s="19"/>
      <c r="C560" s="6"/>
      <c r="D560" s="5"/>
      <c r="E560" s="6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/>
      <c r="AD560" s="22"/>
      <c r="AE560" s="22"/>
      <c r="AF560" s="22"/>
      <c r="AG560" s="22"/>
      <c r="AH560" s="22"/>
      <c r="AI560" s="22"/>
      <c r="AJ560" s="22"/>
      <c r="AK560" s="22"/>
      <c r="AL560" s="22"/>
      <c r="AM560" s="22"/>
      <c r="AN560" s="22"/>
      <c r="AO560" s="22"/>
      <c r="AP560" s="22"/>
      <c r="AQ560" s="22"/>
      <c r="AR560" s="22"/>
      <c r="AS560" s="22"/>
      <c r="AT560" s="22"/>
      <c r="AU560" s="22"/>
      <c r="AV560" s="22"/>
      <c r="AW560" s="22"/>
      <c r="AX560" s="22"/>
    </row>
    <row r="561" spans="1:50" x14ac:dyDescent="0.3">
      <c r="A561" s="6"/>
      <c r="B561" s="19"/>
      <c r="C561" s="6"/>
      <c r="D561" s="5"/>
      <c r="E561" s="6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  <c r="AD561" s="22"/>
      <c r="AE561" s="22"/>
      <c r="AF561" s="22"/>
      <c r="AG561" s="22"/>
      <c r="AH561" s="22"/>
      <c r="AI561" s="22"/>
      <c r="AJ561" s="22"/>
      <c r="AK561" s="22"/>
      <c r="AL561" s="22"/>
      <c r="AM561" s="22"/>
      <c r="AN561" s="22"/>
      <c r="AO561" s="22"/>
      <c r="AP561" s="22"/>
      <c r="AQ561" s="22"/>
      <c r="AR561" s="22"/>
      <c r="AS561" s="22"/>
      <c r="AT561" s="22"/>
      <c r="AU561" s="22"/>
      <c r="AV561" s="22"/>
      <c r="AW561" s="22"/>
      <c r="AX561" s="22"/>
    </row>
    <row r="562" spans="1:50" x14ac:dyDescent="0.3">
      <c r="A562" s="6"/>
      <c r="B562" s="19"/>
      <c r="C562" s="6"/>
      <c r="D562" s="5"/>
      <c r="E562" s="6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  <c r="AA562" s="22"/>
      <c r="AB562" s="22"/>
      <c r="AC562" s="22"/>
      <c r="AD562" s="22"/>
      <c r="AE562" s="22"/>
      <c r="AF562" s="22"/>
      <c r="AG562" s="22"/>
      <c r="AH562" s="22"/>
      <c r="AI562" s="22"/>
      <c r="AJ562" s="22"/>
      <c r="AK562" s="22"/>
      <c r="AL562" s="22"/>
      <c r="AM562" s="22"/>
      <c r="AN562" s="22"/>
      <c r="AO562" s="22"/>
      <c r="AP562" s="22"/>
      <c r="AQ562" s="22"/>
      <c r="AR562" s="22"/>
      <c r="AS562" s="22"/>
      <c r="AT562" s="22"/>
      <c r="AU562" s="22"/>
      <c r="AV562" s="22"/>
      <c r="AW562" s="22"/>
      <c r="AX562" s="22"/>
    </row>
    <row r="563" spans="1:50" x14ac:dyDescent="0.3">
      <c r="A563" s="6"/>
      <c r="B563" s="19"/>
      <c r="C563" s="6"/>
      <c r="D563" s="5"/>
      <c r="E563" s="6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22"/>
      <c r="AB563" s="22"/>
      <c r="AC563" s="22"/>
      <c r="AD563" s="22"/>
      <c r="AE563" s="22"/>
      <c r="AF563" s="22"/>
      <c r="AG563" s="22"/>
      <c r="AH563" s="22"/>
      <c r="AI563" s="22"/>
      <c r="AJ563" s="22"/>
      <c r="AK563" s="22"/>
      <c r="AL563" s="22"/>
      <c r="AM563" s="22"/>
      <c r="AN563" s="22"/>
      <c r="AO563" s="22"/>
      <c r="AP563" s="22"/>
      <c r="AQ563" s="22"/>
      <c r="AR563" s="22"/>
      <c r="AS563" s="22"/>
      <c r="AT563" s="22"/>
      <c r="AU563" s="22"/>
      <c r="AV563" s="22"/>
      <c r="AW563" s="22"/>
      <c r="AX563" s="22"/>
    </row>
    <row r="564" spans="1:50" x14ac:dyDescent="0.3">
      <c r="A564" s="6"/>
      <c r="B564" s="19"/>
      <c r="C564" s="6"/>
      <c r="D564" s="5"/>
      <c r="E564" s="6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  <c r="AA564" s="22"/>
      <c r="AB564" s="22"/>
      <c r="AC564" s="22"/>
      <c r="AD564" s="22"/>
      <c r="AE564" s="22"/>
      <c r="AF564" s="22"/>
      <c r="AG564" s="22"/>
      <c r="AH564" s="22"/>
      <c r="AI564" s="22"/>
      <c r="AJ564" s="22"/>
      <c r="AK564" s="22"/>
      <c r="AL564" s="22"/>
      <c r="AM564" s="22"/>
      <c r="AN564" s="22"/>
      <c r="AO564" s="22"/>
      <c r="AP564" s="22"/>
      <c r="AQ564" s="22"/>
      <c r="AR564" s="22"/>
      <c r="AS564" s="22"/>
      <c r="AT564" s="22"/>
      <c r="AU564" s="22"/>
      <c r="AV564" s="22"/>
      <c r="AW564" s="22"/>
      <c r="AX564" s="22"/>
    </row>
    <row r="565" spans="1:50" x14ac:dyDescent="0.3">
      <c r="A565" s="6"/>
      <c r="B565" s="19"/>
      <c r="C565" s="6"/>
      <c r="D565" s="5"/>
      <c r="E565" s="6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22"/>
      <c r="AB565" s="22"/>
      <c r="AC565" s="22"/>
      <c r="AD565" s="22"/>
      <c r="AE565" s="22"/>
      <c r="AF565" s="22"/>
      <c r="AG565" s="22"/>
      <c r="AH565" s="22"/>
      <c r="AI565" s="22"/>
      <c r="AJ565" s="22"/>
      <c r="AK565" s="22"/>
      <c r="AL565" s="22"/>
      <c r="AM565" s="22"/>
      <c r="AN565" s="22"/>
      <c r="AO565" s="22"/>
      <c r="AP565" s="22"/>
      <c r="AQ565" s="22"/>
      <c r="AR565" s="22"/>
      <c r="AS565" s="22"/>
      <c r="AT565" s="22"/>
      <c r="AU565" s="22"/>
      <c r="AV565" s="22"/>
      <c r="AW565" s="22"/>
      <c r="AX565" s="22"/>
    </row>
    <row r="566" spans="1:50" x14ac:dyDescent="0.3">
      <c r="A566" s="6"/>
      <c r="B566" s="19"/>
      <c r="C566" s="6"/>
      <c r="D566" s="5"/>
      <c r="E566" s="6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  <c r="AD566" s="22"/>
      <c r="AE566" s="22"/>
      <c r="AF566" s="22"/>
      <c r="AG566" s="22"/>
      <c r="AH566" s="22"/>
      <c r="AI566" s="22"/>
      <c r="AJ566" s="22"/>
      <c r="AK566" s="22"/>
      <c r="AL566" s="22"/>
      <c r="AM566" s="22"/>
      <c r="AN566" s="22"/>
      <c r="AO566" s="22"/>
      <c r="AP566" s="22"/>
      <c r="AQ566" s="22"/>
      <c r="AR566" s="22"/>
      <c r="AS566" s="22"/>
      <c r="AT566" s="22"/>
      <c r="AU566" s="22"/>
      <c r="AV566" s="22"/>
      <c r="AW566" s="22"/>
      <c r="AX566" s="22"/>
    </row>
    <row r="567" spans="1:50" x14ac:dyDescent="0.3">
      <c r="A567" s="6"/>
      <c r="B567" s="19"/>
      <c r="C567" s="6"/>
      <c r="D567" s="5"/>
      <c r="E567" s="6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  <c r="AC567" s="22"/>
      <c r="AD567" s="22"/>
      <c r="AE567" s="22"/>
      <c r="AF567" s="22"/>
      <c r="AG567" s="22"/>
      <c r="AH567" s="22"/>
      <c r="AI567" s="22"/>
      <c r="AJ567" s="22"/>
      <c r="AK567" s="22"/>
      <c r="AL567" s="22"/>
      <c r="AM567" s="22"/>
      <c r="AN567" s="22"/>
      <c r="AO567" s="22"/>
      <c r="AP567" s="22"/>
      <c r="AQ567" s="22"/>
      <c r="AR567" s="22"/>
      <c r="AS567" s="22"/>
      <c r="AT567" s="22"/>
      <c r="AU567" s="22"/>
      <c r="AV567" s="22"/>
      <c r="AW567" s="22"/>
      <c r="AX567" s="22"/>
    </row>
    <row r="568" spans="1:50" x14ac:dyDescent="0.3">
      <c r="A568" s="6"/>
      <c r="B568" s="19"/>
      <c r="C568" s="6"/>
      <c r="D568" s="5"/>
      <c r="E568" s="6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  <c r="AD568" s="22"/>
      <c r="AE568" s="22"/>
      <c r="AF568" s="22"/>
      <c r="AG568" s="22"/>
      <c r="AH568" s="22"/>
      <c r="AI568" s="22"/>
      <c r="AJ568" s="22"/>
      <c r="AK568" s="22"/>
      <c r="AL568" s="22"/>
      <c r="AM568" s="22"/>
      <c r="AN568" s="22"/>
      <c r="AO568" s="22"/>
      <c r="AP568" s="22"/>
      <c r="AQ568" s="22"/>
      <c r="AR568" s="22"/>
      <c r="AS568" s="22"/>
      <c r="AT568" s="22"/>
      <c r="AU568" s="22"/>
      <c r="AV568" s="22"/>
      <c r="AW568" s="22"/>
      <c r="AX568" s="22"/>
    </row>
    <row r="569" spans="1:50" x14ac:dyDescent="0.3">
      <c r="A569" s="6"/>
      <c r="B569" s="19"/>
      <c r="C569" s="6"/>
      <c r="D569" s="5"/>
      <c r="E569" s="6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22"/>
      <c r="AB569" s="22"/>
      <c r="AC569" s="22"/>
      <c r="AD569" s="22"/>
      <c r="AE569" s="22"/>
      <c r="AF569" s="22"/>
      <c r="AG569" s="22"/>
      <c r="AH569" s="22"/>
      <c r="AI569" s="22"/>
      <c r="AJ569" s="22"/>
      <c r="AK569" s="22"/>
      <c r="AL569" s="22"/>
      <c r="AM569" s="22"/>
      <c r="AN569" s="22"/>
      <c r="AO569" s="22"/>
      <c r="AP569" s="22"/>
      <c r="AQ569" s="22"/>
      <c r="AR569" s="22"/>
      <c r="AS569" s="22"/>
      <c r="AT569" s="22"/>
      <c r="AU569" s="22"/>
      <c r="AV569" s="22"/>
      <c r="AW569" s="22"/>
      <c r="AX569" s="22"/>
    </row>
    <row r="570" spans="1:50" x14ac:dyDescent="0.3">
      <c r="A570" s="6"/>
      <c r="B570" s="19"/>
      <c r="C570" s="6"/>
      <c r="D570" s="5"/>
      <c r="E570" s="6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  <c r="AD570" s="22"/>
      <c r="AE570" s="22"/>
      <c r="AF570" s="22"/>
      <c r="AG570" s="22"/>
      <c r="AH570" s="22"/>
      <c r="AI570" s="22"/>
      <c r="AJ570" s="22"/>
      <c r="AK570" s="22"/>
      <c r="AL570" s="22"/>
      <c r="AM570" s="22"/>
      <c r="AN570" s="22"/>
      <c r="AO570" s="22"/>
      <c r="AP570" s="22"/>
      <c r="AQ570" s="22"/>
      <c r="AR570" s="22"/>
      <c r="AS570" s="22"/>
      <c r="AT570" s="22"/>
      <c r="AU570" s="22"/>
      <c r="AV570" s="22"/>
      <c r="AW570" s="22"/>
      <c r="AX570" s="22"/>
    </row>
    <row r="571" spans="1:50" x14ac:dyDescent="0.3">
      <c r="A571" s="6"/>
      <c r="B571" s="19"/>
      <c r="C571" s="6"/>
      <c r="D571" s="5"/>
      <c r="E571" s="6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22"/>
      <c r="AB571" s="22"/>
      <c r="AC571" s="22"/>
      <c r="AD571" s="22"/>
      <c r="AE571" s="22"/>
      <c r="AF571" s="22"/>
      <c r="AG571" s="22"/>
      <c r="AH571" s="22"/>
      <c r="AI571" s="22"/>
      <c r="AJ571" s="22"/>
      <c r="AK571" s="22"/>
      <c r="AL571" s="22"/>
      <c r="AM571" s="22"/>
      <c r="AN571" s="22"/>
      <c r="AO571" s="22"/>
      <c r="AP571" s="22"/>
      <c r="AQ571" s="22"/>
      <c r="AR571" s="22"/>
      <c r="AS571" s="22"/>
      <c r="AT571" s="22"/>
      <c r="AU571" s="22"/>
      <c r="AV571" s="22"/>
      <c r="AW571" s="22"/>
      <c r="AX571" s="22"/>
    </row>
    <row r="572" spans="1:50" x14ac:dyDescent="0.3">
      <c r="A572" s="6"/>
      <c r="B572" s="19"/>
      <c r="C572" s="6"/>
      <c r="D572" s="5"/>
      <c r="E572" s="6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  <c r="AC572" s="22"/>
      <c r="AD572" s="22"/>
      <c r="AE572" s="22"/>
      <c r="AF572" s="22"/>
      <c r="AG572" s="22"/>
      <c r="AH572" s="22"/>
      <c r="AI572" s="22"/>
      <c r="AJ572" s="22"/>
      <c r="AK572" s="22"/>
      <c r="AL572" s="22"/>
      <c r="AM572" s="22"/>
      <c r="AN572" s="22"/>
      <c r="AO572" s="22"/>
      <c r="AP572" s="22"/>
      <c r="AQ572" s="22"/>
      <c r="AR572" s="22"/>
      <c r="AS572" s="22"/>
      <c r="AT572" s="22"/>
      <c r="AU572" s="22"/>
      <c r="AV572" s="22"/>
      <c r="AW572" s="22"/>
      <c r="AX572" s="22"/>
    </row>
    <row r="573" spans="1:50" x14ac:dyDescent="0.3">
      <c r="A573" s="6"/>
      <c r="B573" s="19"/>
      <c r="C573" s="6"/>
      <c r="D573" s="5"/>
      <c r="E573" s="6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22"/>
      <c r="AB573" s="22"/>
      <c r="AC573" s="22"/>
      <c r="AD573" s="22"/>
      <c r="AE573" s="22"/>
      <c r="AF573" s="22"/>
      <c r="AG573" s="22"/>
      <c r="AH573" s="22"/>
      <c r="AI573" s="22"/>
      <c r="AJ573" s="22"/>
      <c r="AK573" s="22"/>
      <c r="AL573" s="22"/>
      <c r="AM573" s="22"/>
      <c r="AN573" s="22"/>
      <c r="AO573" s="22"/>
      <c r="AP573" s="22"/>
      <c r="AQ573" s="22"/>
      <c r="AR573" s="22"/>
      <c r="AS573" s="22"/>
      <c r="AT573" s="22"/>
      <c r="AU573" s="22"/>
      <c r="AV573" s="22"/>
      <c r="AW573" s="22"/>
      <c r="AX573" s="22"/>
    </row>
    <row r="574" spans="1:50" x14ac:dyDescent="0.3">
      <c r="A574" s="6"/>
      <c r="B574" s="19"/>
      <c r="C574" s="6"/>
      <c r="D574" s="5"/>
      <c r="E574" s="6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  <c r="AA574" s="22"/>
      <c r="AB574" s="22"/>
      <c r="AC574" s="22"/>
      <c r="AD574" s="22"/>
      <c r="AE574" s="22"/>
      <c r="AF574" s="22"/>
      <c r="AG574" s="22"/>
      <c r="AH574" s="22"/>
      <c r="AI574" s="22"/>
      <c r="AJ574" s="22"/>
      <c r="AK574" s="22"/>
      <c r="AL574" s="22"/>
      <c r="AM574" s="22"/>
      <c r="AN574" s="22"/>
      <c r="AO574" s="22"/>
      <c r="AP574" s="22"/>
      <c r="AQ574" s="22"/>
      <c r="AR574" s="22"/>
      <c r="AS574" s="22"/>
      <c r="AT574" s="22"/>
      <c r="AU574" s="22"/>
      <c r="AV574" s="22"/>
      <c r="AW574" s="22"/>
      <c r="AX574" s="22"/>
    </row>
    <row r="575" spans="1:50" x14ac:dyDescent="0.3">
      <c r="A575" s="6"/>
      <c r="B575" s="19"/>
      <c r="C575" s="6"/>
      <c r="D575" s="5"/>
      <c r="E575" s="6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  <c r="AD575" s="22"/>
      <c r="AE575" s="22"/>
      <c r="AF575" s="22"/>
      <c r="AG575" s="22"/>
      <c r="AH575" s="22"/>
      <c r="AI575" s="22"/>
      <c r="AJ575" s="22"/>
      <c r="AK575" s="22"/>
      <c r="AL575" s="22"/>
      <c r="AM575" s="22"/>
      <c r="AN575" s="22"/>
      <c r="AO575" s="22"/>
      <c r="AP575" s="22"/>
      <c r="AQ575" s="22"/>
      <c r="AR575" s="22"/>
      <c r="AS575" s="22"/>
      <c r="AT575" s="22"/>
      <c r="AU575" s="22"/>
      <c r="AV575" s="22"/>
      <c r="AW575" s="22"/>
      <c r="AX575" s="22"/>
    </row>
    <row r="576" spans="1:50" x14ac:dyDescent="0.3">
      <c r="A576" s="6"/>
      <c r="B576" s="19"/>
      <c r="C576" s="6"/>
      <c r="D576" s="5"/>
      <c r="E576" s="6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  <c r="AC576" s="22"/>
      <c r="AD576" s="22"/>
      <c r="AE576" s="22"/>
      <c r="AF576" s="22"/>
      <c r="AG576" s="22"/>
      <c r="AH576" s="22"/>
      <c r="AI576" s="22"/>
      <c r="AJ576" s="22"/>
      <c r="AK576" s="22"/>
      <c r="AL576" s="22"/>
      <c r="AM576" s="22"/>
      <c r="AN576" s="22"/>
      <c r="AO576" s="22"/>
      <c r="AP576" s="22"/>
      <c r="AQ576" s="22"/>
      <c r="AR576" s="22"/>
      <c r="AS576" s="22"/>
      <c r="AT576" s="22"/>
      <c r="AU576" s="22"/>
      <c r="AV576" s="22"/>
      <c r="AW576" s="22"/>
      <c r="AX576" s="22"/>
    </row>
    <row r="577" spans="1:50" x14ac:dyDescent="0.3">
      <c r="A577" s="6"/>
      <c r="B577" s="19"/>
      <c r="C577" s="6"/>
      <c r="D577" s="5"/>
      <c r="E577" s="6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22"/>
      <c r="AB577" s="22"/>
      <c r="AC577" s="22"/>
      <c r="AD577" s="22"/>
      <c r="AE577" s="22"/>
      <c r="AF577" s="22"/>
      <c r="AG577" s="22"/>
      <c r="AH577" s="22"/>
      <c r="AI577" s="22"/>
      <c r="AJ577" s="22"/>
      <c r="AK577" s="22"/>
      <c r="AL577" s="22"/>
      <c r="AM577" s="22"/>
      <c r="AN577" s="22"/>
      <c r="AO577" s="22"/>
      <c r="AP577" s="22"/>
      <c r="AQ577" s="22"/>
      <c r="AR577" s="22"/>
      <c r="AS577" s="22"/>
      <c r="AT577" s="22"/>
      <c r="AU577" s="22"/>
      <c r="AV577" s="22"/>
      <c r="AW577" s="22"/>
      <c r="AX577" s="22"/>
    </row>
    <row r="578" spans="1:50" x14ac:dyDescent="0.3">
      <c r="A578" s="6"/>
      <c r="B578" s="19"/>
      <c r="C578" s="6"/>
      <c r="D578" s="5"/>
      <c r="E578" s="6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  <c r="AA578" s="22"/>
      <c r="AB578" s="22"/>
      <c r="AC578" s="22"/>
      <c r="AD578" s="22"/>
      <c r="AE578" s="22"/>
      <c r="AF578" s="22"/>
      <c r="AG578" s="22"/>
      <c r="AH578" s="22"/>
      <c r="AI578" s="22"/>
      <c r="AJ578" s="22"/>
      <c r="AK578" s="22"/>
      <c r="AL578" s="22"/>
      <c r="AM578" s="22"/>
      <c r="AN578" s="22"/>
      <c r="AO578" s="22"/>
      <c r="AP578" s="22"/>
      <c r="AQ578" s="22"/>
      <c r="AR578" s="22"/>
      <c r="AS578" s="22"/>
      <c r="AT578" s="22"/>
      <c r="AU578" s="22"/>
      <c r="AV578" s="22"/>
      <c r="AW578" s="22"/>
      <c r="AX578" s="22"/>
    </row>
    <row r="579" spans="1:50" x14ac:dyDescent="0.3">
      <c r="A579" s="6"/>
      <c r="B579" s="19"/>
      <c r="C579" s="6"/>
      <c r="D579" s="5"/>
      <c r="E579" s="6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  <c r="AD579" s="22"/>
      <c r="AE579" s="22"/>
      <c r="AF579" s="22"/>
      <c r="AG579" s="22"/>
      <c r="AH579" s="22"/>
      <c r="AI579" s="22"/>
      <c r="AJ579" s="22"/>
      <c r="AK579" s="22"/>
      <c r="AL579" s="22"/>
      <c r="AM579" s="22"/>
      <c r="AN579" s="22"/>
      <c r="AO579" s="22"/>
      <c r="AP579" s="22"/>
      <c r="AQ579" s="22"/>
      <c r="AR579" s="22"/>
      <c r="AS579" s="22"/>
      <c r="AT579" s="22"/>
      <c r="AU579" s="22"/>
      <c r="AV579" s="22"/>
      <c r="AW579" s="22"/>
      <c r="AX579" s="22"/>
    </row>
    <row r="580" spans="1:50" x14ac:dyDescent="0.3">
      <c r="A580" s="6"/>
      <c r="B580" s="19"/>
      <c r="C580" s="6"/>
      <c r="D580" s="5"/>
      <c r="E580" s="6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  <c r="AD580" s="22"/>
      <c r="AE580" s="22"/>
      <c r="AF580" s="22"/>
      <c r="AG580" s="22"/>
      <c r="AH580" s="22"/>
      <c r="AI580" s="22"/>
      <c r="AJ580" s="22"/>
      <c r="AK580" s="22"/>
      <c r="AL580" s="22"/>
      <c r="AM580" s="22"/>
      <c r="AN580" s="22"/>
      <c r="AO580" s="22"/>
      <c r="AP580" s="22"/>
      <c r="AQ580" s="22"/>
      <c r="AR580" s="22"/>
      <c r="AS580" s="22"/>
      <c r="AT580" s="22"/>
      <c r="AU580" s="22"/>
      <c r="AV580" s="22"/>
      <c r="AW580" s="22"/>
      <c r="AX580" s="22"/>
    </row>
    <row r="581" spans="1:50" x14ac:dyDescent="0.3">
      <c r="A581" s="6"/>
      <c r="B581" s="19"/>
      <c r="C581" s="6"/>
      <c r="D581" s="5"/>
      <c r="E581" s="6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22"/>
      <c r="AB581" s="22"/>
      <c r="AC581" s="22"/>
      <c r="AD581" s="22"/>
      <c r="AE581" s="22"/>
      <c r="AF581" s="22"/>
      <c r="AG581" s="22"/>
      <c r="AH581" s="22"/>
      <c r="AI581" s="22"/>
      <c r="AJ581" s="22"/>
      <c r="AK581" s="22"/>
      <c r="AL581" s="22"/>
      <c r="AM581" s="22"/>
      <c r="AN581" s="22"/>
      <c r="AO581" s="22"/>
      <c r="AP581" s="22"/>
      <c r="AQ581" s="22"/>
      <c r="AR581" s="22"/>
      <c r="AS581" s="22"/>
      <c r="AT581" s="22"/>
      <c r="AU581" s="22"/>
      <c r="AV581" s="22"/>
      <c r="AW581" s="22"/>
      <c r="AX581" s="22"/>
    </row>
    <row r="582" spans="1:50" x14ac:dyDescent="0.3">
      <c r="A582" s="6"/>
      <c r="B582" s="19"/>
      <c r="C582" s="6"/>
      <c r="D582" s="5"/>
      <c r="E582" s="6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  <c r="AA582" s="22"/>
      <c r="AB582" s="22"/>
      <c r="AC582" s="22"/>
      <c r="AD582" s="22"/>
      <c r="AE582" s="22"/>
      <c r="AF582" s="22"/>
      <c r="AG582" s="22"/>
      <c r="AH582" s="22"/>
      <c r="AI582" s="22"/>
      <c r="AJ582" s="22"/>
      <c r="AK582" s="22"/>
      <c r="AL582" s="22"/>
      <c r="AM582" s="22"/>
      <c r="AN582" s="22"/>
      <c r="AO582" s="22"/>
      <c r="AP582" s="22"/>
      <c r="AQ582" s="22"/>
      <c r="AR582" s="22"/>
      <c r="AS582" s="22"/>
      <c r="AT582" s="22"/>
      <c r="AU582" s="22"/>
      <c r="AV582" s="22"/>
      <c r="AW582" s="22"/>
      <c r="AX582" s="22"/>
    </row>
    <row r="583" spans="1:50" x14ac:dyDescent="0.3">
      <c r="A583" s="6"/>
      <c r="B583" s="19"/>
      <c r="C583" s="6"/>
      <c r="D583" s="5"/>
      <c r="E583" s="6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22"/>
      <c r="AB583" s="22"/>
      <c r="AC583" s="22"/>
      <c r="AD583" s="22"/>
      <c r="AE583" s="22"/>
      <c r="AF583" s="22"/>
      <c r="AG583" s="22"/>
      <c r="AH583" s="22"/>
      <c r="AI583" s="22"/>
      <c r="AJ583" s="22"/>
      <c r="AK583" s="22"/>
      <c r="AL583" s="22"/>
      <c r="AM583" s="22"/>
      <c r="AN583" s="22"/>
      <c r="AO583" s="22"/>
      <c r="AP583" s="22"/>
      <c r="AQ583" s="22"/>
      <c r="AR583" s="22"/>
      <c r="AS583" s="22"/>
      <c r="AT583" s="22"/>
      <c r="AU583" s="22"/>
      <c r="AV583" s="22"/>
      <c r="AW583" s="22"/>
      <c r="AX583" s="22"/>
    </row>
    <row r="584" spans="1:50" x14ac:dyDescent="0.3">
      <c r="A584" s="6"/>
      <c r="B584" s="19"/>
      <c r="C584" s="6"/>
      <c r="D584" s="5"/>
      <c r="E584" s="6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  <c r="AA584" s="22"/>
      <c r="AB584" s="22"/>
      <c r="AC584" s="22"/>
      <c r="AD584" s="22"/>
      <c r="AE584" s="22"/>
      <c r="AF584" s="22"/>
      <c r="AG584" s="22"/>
      <c r="AH584" s="22"/>
      <c r="AI584" s="22"/>
      <c r="AJ584" s="22"/>
      <c r="AK584" s="22"/>
      <c r="AL584" s="22"/>
      <c r="AM584" s="22"/>
      <c r="AN584" s="22"/>
      <c r="AO584" s="22"/>
      <c r="AP584" s="22"/>
      <c r="AQ584" s="22"/>
      <c r="AR584" s="22"/>
      <c r="AS584" s="22"/>
      <c r="AT584" s="22"/>
      <c r="AU584" s="22"/>
      <c r="AV584" s="22"/>
      <c r="AW584" s="22"/>
      <c r="AX584" s="22"/>
    </row>
    <row r="585" spans="1:50" x14ac:dyDescent="0.3">
      <c r="A585" s="6"/>
      <c r="B585" s="19"/>
      <c r="C585" s="6"/>
      <c r="D585" s="5"/>
      <c r="E585" s="6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22"/>
      <c r="AB585" s="22"/>
      <c r="AC585" s="22"/>
      <c r="AD585" s="22"/>
      <c r="AE585" s="22"/>
      <c r="AF585" s="22"/>
      <c r="AG585" s="22"/>
      <c r="AH585" s="22"/>
      <c r="AI585" s="22"/>
      <c r="AJ585" s="22"/>
      <c r="AK585" s="22"/>
      <c r="AL585" s="22"/>
      <c r="AM585" s="22"/>
      <c r="AN585" s="22"/>
      <c r="AO585" s="22"/>
      <c r="AP585" s="22"/>
      <c r="AQ585" s="22"/>
      <c r="AR585" s="22"/>
      <c r="AS585" s="22"/>
      <c r="AT585" s="22"/>
      <c r="AU585" s="22"/>
      <c r="AV585" s="22"/>
      <c r="AW585" s="22"/>
      <c r="AX585" s="22"/>
    </row>
    <row r="586" spans="1:50" x14ac:dyDescent="0.3">
      <c r="A586" s="6"/>
      <c r="B586" s="19"/>
      <c r="C586" s="6"/>
      <c r="D586" s="5"/>
      <c r="E586" s="6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  <c r="AA586" s="22"/>
      <c r="AB586" s="22"/>
      <c r="AC586" s="22"/>
      <c r="AD586" s="22"/>
      <c r="AE586" s="22"/>
      <c r="AF586" s="22"/>
      <c r="AG586" s="22"/>
      <c r="AH586" s="22"/>
      <c r="AI586" s="22"/>
      <c r="AJ586" s="22"/>
      <c r="AK586" s="22"/>
      <c r="AL586" s="22"/>
      <c r="AM586" s="22"/>
      <c r="AN586" s="22"/>
      <c r="AO586" s="22"/>
      <c r="AP586" s="22"/>
      <c r="AQ586" s="22"/>
      <c r="AR586" s="22"/>
      <c r="AS586" s="22"/>
      <c r="AT586" s="22"/>
      <c r="AU586" s="22"/>
      <c r="AV586" s="22"/>
      <c r="AW586" s="22"/>
      <c r="AX586" s="22"/>
    </row>
    <row r="587" spans="1:50" x14ac:dyDescent="0.3">
      <c r="A587" s="6"/>
      <c r="B587" s="19"/>
      <c r="C587" s="6"/>
      <c r="D587" s="5"/>
      <c r="E587" s="6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22"/>
      <c r="AB587" s="22"/>
      <c r="AC587" s="22"/>
      <c r="AD587" s="22"/>
      <c r="AE587" s="22"/>
      <c r="AF587" s="22"/>
      <c r="AG587" s="22"/>
      <c r="AH587" s="22"/>
      <c r="AI587" s="22"/>
      <c r="AJ587" s="22"/>
      <c r="AK587" s="22"/>
      <c r="AL587" s="22"/>
      <c r="AM587" s="22"/>
      <c r="AN587" s="22"/>
      <c r="AO587" s="22"/>
      <c r="AP587" s="22"/>
      <c r="AQ587" s="22"/>
      <c r="AR587" s="22"/>
      <c r="AS587" s="22"/>
      <c r="AT587" s="22"/>
      <c r="AU587" s="22"/>
      <c r="AV587" s="22"/>
      <c r="AW587" s="22"/>
      <c r="AX587" s="22"/>
    </row>
    <row r="588" spans="1:50" x14ac:dyDescent="0.3">
      <c r="A588" s="6"/>
      <c r="B588" s="19"/>
      <c r="C588" s="6"/>
      <c r="D588" s="5"/>
      <c r="E588" s="6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  <c r="AD588" s="22"/>
      <c r="AE588" s="22"/>
      <c r="AF588" s="22"/>
      <c r="AG588" s="22"/>
      <c r="AH588" s="22"/>
      <c r="AI588" s="22"/>
      <c r="AJ588" s="22"/>
      <c r="AK588" s="22"/>
      <c r="AL588" s="22"/>
      <c r="AM588" s="22"/>
      <c r="AN588" s="22"/>
      <c r="AO588" s="22"/>
      <c r="AP588" s="22"/>
      <c r="AQ588" s="22"/>
      <c r="AR588" s="22"/>
      <c r="AS588" s="22"/>
      <c r="AT588" s="22"/>
      <c r="AU588" s="22"/>
      <c r="AV588" s="22"/>
      <c r="AW588" s="22"/>
      <c r="AX588" s="22"/>
    </row>
    <row r="589" spans="1:50" x14ac:dyDescent="0.3">
      <c r="A589" s="6"/>
      <c r="B589" s="19"/>
      <c r="C589" s="6"/>
      <c r="D589" s="5"/>
      <c r="E589" s="6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22"/>
      <c r="AB589" s="22"/>
      <c r="AC589" s="22"/>
      <c r="AD589" s="22"/>
      <c r="AE589" s="22"/>
      <c r="AF589" s="22"/>
      <c r="AG589" s="22"/>
      <c r="AH589" s="22"/>
      <c r="AI589" s="22"/>
      <c r="AJ589" s="22"/>
      <c r="AK589" s="22"/>
      <c r="AL589" s="22"/>
      <c r="AM589" s="22"/>
      <c r="AN589" s="22"/>
      <c r="AO589" s="22"/>
      <c r="AP589" s="22"/>
      <c r="AQ589" s="22"/>
      <c r="AR589" s="22"/>
      <c r="AS589" s="22"/>
      <c r="AT589" s="22"/>
      <c r="AU589" s="22"/>
      <c r="AV589" s="22"/>
      <c r="AW589" s="22"/>
      <c r="AX589" s="22"/>
    </row>
    <row r="590" spans="1:50" x14ac:dyDescent="0.3">
      <c r="A590" s="6"/>
      <c r="B590" s="19"/>
      <c r="C590" s="6"/>
      <c r="D590" s="5"/>
      <c r="E590" s="6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  <c r="AC590" s="22"/>
      <c r="AD590" s="22"/>
      <c r="AE590" s="22"/>
      <c r="AF590" s="22"/>
      <c r="AG590" s="22"/>
      <c r="AH590" s="22"/>
      <c r="AI590" s="22"/>
      <c r="AJ590" s="22"/>
      <c r="AK590" s="22"/>
      <c r="AL590" s="22"/>
      <c r="AM590" s="22"/>
      <c r="AN590" s="22"/>
      <c r="AO590" s="22"/>
      <c r="AP590" s="22"/>
      <c r="AQ590" s="22"/>
      <c r="AR590" s="22"/>
      <c r="AS590" s="22"/>
      <c r="AT590" s="22"/>
      <c r="AU590" s="22"/>
      <c r="AV590" s="22"/>
      <c r="AW590" s="22"/>
      <c r="AX590" s="22"/>
    </row>
    <row r="591" spans="1:50" x14ac:dyDescent="0.3">
      <c r="A591" s="6"/>
      <c r="B591" s="19"/>
      <c r="C591" s="6"/>
      <c r="D591" s="5"/>
      <c r="E591" s="6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  <c r="AC591" s="22"/>
      <c r="AD591" s="22"/>
      <c r="AE591" s="22"/>
      <c r="AF591" s="22"/>
      <c r="AG591" s="22"/>
      <c r="AH591" s="22"/>
      <c r="AI591" s="22"/>
      <c r="AJ591" s="22"/>
      <c r="AK591" s="22"/>
      <c r="AL591" s="22"/>
      <c r="AM591" s="22"/>
      <c r="AN591" s="22"/>
      <c r="AO591" s="22"/>
      <c r="AP591" s="22"/>
      <c r="AQ591" s="22"/>
      <c r="AR591" s="22"/>
      <c r="AS591" s="22"/>
      <c r="AT591" s="22"/>
      <c r="AU591" s="22"/>
      <c r="AV591" s="22"/>
      <c r="AW591" s="22"/>
      <c r="AX591" s="22"/>
    </row>
    <row r="592" spans="1:50" x14ac:dyDescent="0.3">
      <c r="A592" s="6"/>
      <c r="B592" s="19"/>
      <c r="C592" s="6"/>
      <c r="D592" s="5"/>
      <c r="E592" s="6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  <c r="AC592" s="22"/>
      <c r="AD592" s="22"/>
      <c r="AE592" s="22"/>
      <c r="AF592" s="22"/>
      <c r="AG592" s="22"/>
      <c r="AH592" s="22"/>
      <c r="AI592" s="22"/>
      <c r="AJ592" s="22"/>
      <c r="AK592" s="22"/>
      <c r="AL592" s="22"/>
      <c r="AM592" s="22"/>
      <c r="AN592" s="22"/>
      <c r="AO592" s="22"/>
      <c r="AP592" s="22"/>
      <c r="AQ592" s="22"/>
      <c r="AR592" s="22"/>
      <c r="AS592" s="22"/>
      <c r="AT592" s="22"/>
      <c r="AU592" s="22"/>
      <c r="AV592" s="22"/>
      <c r="AW592" s="22"/>
      <c r="AX592" s="22"/>
    </row>
    <row r="593" spans="1:50" x14ac:dyDescent="0.3">
      <c r="A593" s="6"/>
      <c r="B593" s="19"/>
      <c r="C593" s="6"/>
      <c r="D593" s="5"/>
      <c r="E593" s="6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22"/>
      <c r="AB593" s="22"/>
      <c r="AC593" s="22"/>
      <c r="AD593" s="22"/>
      <c r="AE593" s="22"/>
      <c r="AF593" s="22"/>
      <c r="AG593" s="22"/>
      <c r="AH593" s="22"/>
      <c r="AI593" s="22"/>
      <c r="AJ593" s="22"/>
      <c r="AK593" s="22"/>
      <c r="AL593" s="22"/>
      <c r="AM593" s="22"/>
      <c r="AN593" s="22"/>
      <c r="AO593" s="22"/>
      <c r="AP593" s="22"/>
      <c r="AQ593" s="22"/>
      <c r="AR593" s="22"/>
      <c r="AS593" s="22"/>
      <c r="AT593" s="22"/>
      <c r="AU593" s="22"/>
      <c r="AV593" s="22"/>
      <c r="AW593" s="22"/>
      <c r="AX593" s="22"/>
    </row>
    <row r="594" spans="1:50" x14ac:dyDescent="0.3">
      <c r="A594" s="6"/>
      <c r="B594" s="19"/>
      <c r="C594" s="6"/>
      <c r="D594" s="5"/>
      <c r="E594" s="6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  <c r="AA594" s="22"/>
      <c r="AB594" s="22"/>
      <c r="AC594" s="22"/>
      <c r="AD594" s="22"/>
      <c r="AE594" s="22"/>
      <c r="AF594" s="22"/>
      <c r="AG594" s="22"/>
      <c r="AH594" s="22"/>
      <c r="AI594" s="22"/>
      <c r="AJ594" s="22"/>
      <c r="AK594" s="22"/>
      <c r="AL594" s="22"/>
      <c r="AM594" s="22"/>
      <c r="AN594" s="22"/>
      <c r="AO594" s="22"/>
      <c r="AP594" s="22"/>
      <c r="AQ594" s="22"/>
      <c r="AR594" s="22"/>
      <c r="AS594" s="22"/>
      <c r="AT594" s="22"/>
      <c r="AU594" s="22"/>
      <c r="AV594" s="22"/>
      <c r="AW594" s="22"/>
      <c r="AX594" s="22"/>
    </row>
    <row r="595" spans="1:50" x14ac:dyDescent="0.3">
      <c r="A595" s="6"/>
      <c r="B595" s="19"/>
      <c r="C595" s="6"/>
      <c r="D595" s="5"/>
      <c r="E595" s="6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22"/>
      <c r="AB595" s="22"/>
      <c r="AC595" s="22"/>
      <c r="AD595" s="22"/>
      <c r="AE595" s="22"/>
      <c r="AF595" s="22"/>
      <c r="AG595" s="22"/>
      <c r="AH595" s="22"/>
      <c r="AI595" s="22"/>
      <c r="AJ595" s="22"/>
      <c r="AK595" s="22"/>
      <c r="AL595" s="22"/>
      <c r="AM595" s="22"/>
      <c r="AN595" s="22"/>
      <c r="AO595" s="22"/>
      <c r="AP595" s="22"/>
      <c r="AQ595" s="22"/>
      <c r="AR595" s="22"/>
      <c r="AS595" s="22"/>
      <c r="AT595" s="22"/>
      <c r="AU595" s="22"/>
      <c r="AV595" s="22"/>
      <c r="AW595" s="22"/>
      <c r="AX595" s="22"/>
    </row>
    <row r="596" spans="1:50" x14ac:dyDescent="0.3">
      <c r="A596" s="6"/>
      <c r="B596" s="19"/>
      <c r="C596" s="6"/>
      <c r="D596" s="5"/>
      <c r="E596" s="6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  <c r="AD596" s="22"/>
      <c r="AE596" s="22"/>
      <c r="AF596" s="22"/>
      <c r="AG596" s="22"/>
      <c r="AH596" s="22"/>
      <c r="AI596" s="22"/>
      <c r="AJ596" s="22"/>
      <c r="AK596" s="22"/>
      <c r="AL596" s="22"/>
      <c r="AM596" s="22"/>
      <c r="AN596" s="22"/>
      <c r="AO596" s="22"/>
      <c r="AP596" s="22"/>
      <c r="AQ596" s="22"/>
      <c r="AR596" s="22"/>
      <c r="AS596" s="22"/>
      <c r="AT596" s="22"/>
      <c r="AU596" s="22"/>
      <c r="AV596" s="22"/>
      <c r="AW596" s="22"/>
      <c r="AX596" s="22"/>
    </row>
    <row r="597" spans="1:50" x14ac:dyDescent="0.3">
      <c r="A597" s="6"/>
      <c r="B597" s="19"/>
      <c r="C597" s="6"/>
      <c r="D597" s="5"/>
      <c r="E597" s="6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22"/>
      <c r="AB597" s="22"/>
      <c r="AC597" s="22"/>
      <c r="AD597" s="22"/>
      <c r="AE597" s="22"/>
      <c r="AF597" s="22"/>
      <c r="AG597" s="22"/>
      <c r="AH597" s="22"/>
      <c r="AI597" s="22"/>
      <c r="AJ597" s="22"/>
      <c r="AK597" s="22"/>
      <c r="AL597" s="22"/>
      <c r="AM597" s="22"/>
      <c r="AN597" s="22"/>
      <c r="AO597" s="22"/>
      <c r="AP597" s="22"/>
      <c r="AQ597" s="22"/>
      <c r="AR597" s="22"/>
      <c r="AS597" s="22"/>
      <c r="AT597" s="22"/>
      <c r="AU597" s="22"/>
      <c r="AV597" s="22"/>
      <c r="AW597" s="22"/>
      <c r="AX597" s="22"/>
    </row>
    <row r="598" spans="1:50" x14ac:dyDescent="0.3">
      <c r="A598" s="6"/>
      <c r="B598" s="19"/>
      <c r="C598" s="6"/>
      <c r="D598" s="5"/>
      <c r="E598" s="6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  <c r="AA598" s="22"/>
      <c r="AB598" s="22"/>
      <c r="AC598" s="22"/>
      <c r="AD598" s="22"/>
      <c r="AE598" s="22"/>
      <c r="AF598" s="22"/>
      <c r="AG598" s="22"/>
      <c r="AH598" s="22"/>
      <c r="AI598" s="22"/>
      <c r="AJ598" s="22"/>
      <c r="AK598" s="22"/>
      <c r="AL598" s="22"/>
      <c r="AM598" s="22"/>
      <c r="AN598" s="22"/>
      <c r="AO598" s="22"/>
      <c r="AP598" s="22"/>
      <c r="AQ598" s="22"/>
      <c r="AR598" s="22"/>
      <c r="AS598" s="22"/>
      <c r="AT598" s="22"/>
      <c r="AU598" s="22"/>
      <c r="AV598" s="22"/>
      <c r="AW598" s="22"/>
      <c r="AX598" s="22"/>
    </row>
    <row r="599" spans="1:50" x14ac:dyDescent="0.3">
      <c r="A599" s="6"/>
      <c r="B599" s="19"/>
      <c r="C599" s="6"/>
      <c r="D599" s="5"/>
      <c r="E599" s="6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  <c r="AD599" s="22"/>
      <c r="AE599" s="22"/>
      <c r="AF599" s="22"/>
      <c r="AG599" s="22"/>
      <c r="AH599" s="22"/>
      <c r="AI599" s="22"/>
      <c r="AJ599" s="22"/>
      <c r="AK599" s="22"/>
      <c r="AL599" s="22"/>
      <c r="AM599" s="22"/>
      <c r="AN599" s="22"/>
      <c r="AO599" s="22"/>
      <c r="AP599" s="22"/>
      <c r="AQ599" s="22"/>
      <c r="AR599" s="22"/>
      <c r="AS599" s="22"/>
      <c r="AT599" s="22"/>
      <c r="AU599" s="22"/>
      <c r="AV599" s="22"/>
      <c r="AW599" s="22"/>
      <c r="AX599" s="22"/>
    </row>
    <row r="600" spans="1:50" x14ac:dyDescent="0.3">
      <c r="A600" s="6"/>
      <c r="B600" s="19"/>
      <c r="C600" s="6"/>
      <c r="D600" s="5"/>
      <c r="E600" s="6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  <c r="AC600" s="22"/>
      <c r="AD600" s="22"/>
      <c r="AE600" s="22"/>
      <c r="AF600" s="22"/>
      <c r="AG600" s="22"/>
      <c r="AH600" s="22"/>
      <c r="AI600" s="22"/>
      <c r="AJ600" s="22"/>
      <c r="AK600" s="22"/>
      <c r="AL600" s="22"/>
      <c r="AM600" s="22"/>
      <c r="AN600" s="22"/>
      <c r="AO600" s="22"/>
      <c r="AP600" s="22"/>
      <c r="AQ600" s="22"/>
      <c r="AR600" s="22"/>
      <c r="AS600" s="22"/>
      <c r="AT600" s="22"/>
      <c r="AU600" s="22"/>
      <c r="AV600" s="22"/>
      <c r="AW600" s="22"/>
      <c r="AX600" s="22"/>
    </row>
    <row r="601" spans="1:50" x14ac:dyDescent="0.3">
      <c r="A601" s="6"/>
      <c r="B601" s="19"/>
      <c r="C601" s="6"/>
      <c r="D601" s="5"/>
      <c r="E601" s="6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22"/>
      <c r="AB601" s="22"/>
      <c r="AC601" s="22"/>
      <c r="AD601" s="22"/>
      <c r="AE601" s="22"/>
      <c r="AF601" s="22"/>
      <c r="AG601" s="22"/>
      <c r="AH601" s="22"/>
      <c r="AI601" s="22"/>
      <c r="AJ601" s="22"/>
      <c r="AK601" s="22"/>
      <c r="AL601" s="22"/>
      <c r="AM601" s="22"/>
      <c r="AN601" s="22"/>
      <c r="AO601" s="22"/>
      <c r="AP601" s="22"/>
      <c r="AQ601" s="22"/>
      <c r="AR601" s="22"/>
      <c r="AS601" s="22"/>
      <c r="AT601" s="22"/>
      <c r="AU601" s="22"/>
      <c r="AV601" s="22"/>
      <c r="AW601" s="22"/>
      <c r="AX601" s="22"/>
    </row>
    <row r="602" spans="1:50" x14ac:dyDescent="0.3">
      <c r="A602" s="6"/>
      <c r="B602" s="19"/>
      <c r="C602" s="6"/>
      <c r="D602" s="5"/>
      <c r="E602" s="6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2"/>
      <c r="AA602" s="22"/>
      <c r="AB602" s="22"/>
      <c r="AC602" s="22"/>
      <c r="AD602" s="22"/>
      <c r="AE602" s="22"/>
      <c r="AF602" s="22"/>
      <c r="AG602" s="22"/>
      <c r="AH602" s="22"/>
      <c r="AI602" s="22"/>
      <c r="AJ602" s="22"/>
      <c r="AK602" s="22"/>
      <c r="AL602" s="22"/>
      <c r="AM602" s="22"/>
      <c r="AN602" s="22"/>
      <c r="AO602" s="22"/>
      <c r="AP602" s="22"/>
      <c r="AQ602" s="22"/>
      <c r="AR602" s="22"/>
      <c r="AS602" s="22"/>
      <c r="AT602" s="22"/>
      <c r="AU602" s="22"/>
      <c r="AV602" s="22"/>
      <c r="AW602" s="22"/>
      <c r="AX602" s="22"/>
    </row>
    <row r="603" spans="1:50" x14ac:dyDescent="0.3">
      <c r="A603" s="6"/>
      <c r="B603" s="19"/>
      <c r="C603" s="6"/>
      <c r="D603" s="5"/>
      <c r="E603" s="6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  <c r="AA603" s="22"/>
      <c r="AB603" s="22"/>
      <c r="AC603" s="22"/>
      <c r="AD603" s="22"/>
      <c r="AE603" s="22"/>
      <c r="AF603" s="22"/>
      <c r="AG603" s="22"/>
      <c r="AH603" s="22"/>
      <c r="AI603" s="22"/>
      <c r="AJ603" s="22"/>
      <c r="AK603" s="22"/>
      <c r="AL603" s="22"/>
      <c r="AM603" s="22"/>
      <c r="AN603" s="22"/>
      <c r="AO603" s="22"/>
      <c r="AP603" s="22"/>
      <c r="AQ603" s="22"/>
      <c r="AR603" s="22"/>
      <c r="AS603" s="22"/>
      <c r="AT603" s="22"/>
      <c r="AU603" s="22"/>
      <c r="AV603" s="22"/>
      <c r="AW603" s="22"/>
      <c r="AX603" s="22"/>
    </row>
    <row r="604" spans="1:50" x14ac:dyDescent="0.3">
      <c r="A604" s="6"/>
      <c r="B604" s="19"/>
      <c r="C604" s="6"/>
      <c r="D604" s="5"/>
      <c r="E604" s="6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2"/>
      <c r="AA604" s="22"/>
      <c r="AB604" s="22"/>
      <c r="AC604" s="22"/>
      <c r="AD604" s="22"/>
      <c r="AE604" s="22"/>
      <c r="AF604" s="22"/>
      <c r="AG604" s="22"/>
      <c r="AH604" s="22"/>
      <c r="AI604" s="22"/>
      <c r="AJ604" s="22"/>
      <c r="AK604" s="22"/>
      <c r="AL604" s="22"/>
      <c r="AM604" s="22"/>
      <c r="AN604" s="22"/>
      <c r="AO604" s="22"/>
      <c r="AP604" s="22"/>
      <c r="AQ604" s="22"/>
      <c r="AR604" s="22"/>
      <c r="AS604" s="22"/>
      <c r="AT604" s="22"/>
      <c r="AU604" s="22"/>
      <c r="AV604" s="22"/>
      <c r="AW604" s="22"/>
      <c r="AX604" s="22"/>
    </row>
    <row r="605" spans="1:50" x14ac:dyDescent="0.3">
      <c r="A605" s="6"/>
      <c r="B605" s="19"/>
      <c r="C605" s="6"/>
      <c r="D605" s="5"/>
      <c r="E605" s="6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  <c r="AA605" s="22"/>
      <c r="AB605" s="22"/>
      <c r="AC605" s="22"/>
      <c r="AD605" s="22"/>
      <c r="AE605" s="22"/>
      <c r="AF605" s="22"/>
      <c r="AG605" s="22"/>
      <c r="AH605" s="22"/>
      <c r="AI605" s="22"/>
      <c r="AJ605" s="22"/>
      <c r="AK605" s="22"/>
      <c r="AL605" s="22"/>
      <c r="AM605" s="22"/>
      <c r="AN605" s="22"/>
      <c r="AO605" s="22"/>
      <c r="AP605" s="22"/>
      <c r="AQ605" s="22"/>
      <c r="AR605" s="22"/>
      <c r="AS605" s="22"/>
      <c r="AT605" s="22"/>
      <c r="AU605" s="22"/>
      <c r="AV605" s="22"/>
      <c r="AW605" s="22"/>
      <c r="AX605" s="22"/>
    </row>
    <row r="606" spans="1:50" x14ac:dyDescent="0.3">
      <c r="A606" s="6"/>
      <c r="B606" s="19"/>
      <c r="C606" s="6"/>
      <c r="D606" s="5"/>
      <c r="E606" s="6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2"/>
      <c r="AA606" s="22"/>
      <c r="AB606" s="22"/>
      <c r="AC606" s="22"/>
      <c r="AD606" s="22"/>
      <c r="AE606" s="22"/>
      <c r="AF606" s="22"/>
      <c r="AG606" s="22"/>
      <c r="AH606" s="22"/>
      <c r="AI606" s="22"/>
      <c r="AJ606" s="22"/>
      <c r="AK606" s="22"/>
      <c r="AL606" s="22"/>
      <c r="AM606" s="22"/>
      <c r="AN606" s="22"/>
      <c r="AO606" s="22"/>
      <c r="AP606" s="22"/>
      <c r="AQ606" s="22"/>
      <c r="AR606" s="22"/>
      <c r="AS606" s="22"/>
      <c r="AT606" s="22"/>
      <c r="AU606" s="22"/>
      <c r="AV606" s="22"/>
      <c r="AW606" s="22"/>
      <c r="AX606" s="22"/>
    </row>
    <row r="607" spans="1:50" x14ac:dyDescent="0.3">
      <c r="A607" s="6"/>
      <c r="B607" s="19"/>
      <c r="C607" s="6"/>
      <c r="D607" s="5"/>
      <c r="E607" s="6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  <c r="AA607" s="22"/>
      <c r="AB607" s="22"/>
      <c r="AC607" s="22"/>
      <c r="AD607" s="22"/>
      <c r="AE607" s="22"/>
      <c r="AF607" s="22"/>
      <c r="AG607" s="22"/>
      <c r="AH607" s="22"/>
      <c r="AI607" s="22"/>
      <c r="AJ607" s="22"/>
      <c r="AK607" s="22"/>
      <c r="AL607" s="22"/>
      <c r="AM607" s="22"/>
      <c r="AN607" s="22"/>
      <c r="AO607" s="22"/>
      <c r="AP607" s="22"/>
      <c r="AQ607" s="22"/>
      <c r="AR607" s="22"/>
      <c r="AS607" s="22"/>
      <c r="AT607" s="22"/>
      <c r="AU607" s="22"/>
      <c r="AV607" s="22"/>
      <c r="AW607" s="22"/>
      <c r="AX607" s="22"/>
    </row>
    <row r="608" spans="1:50" x14ac:dyDescent="0.3">
      <c r="A608" s="6"/>
      <c r="B608" s="19"/>
      <c r="C608" s="6"/>
      <c r="D608" s="5"/>
      <c r="E608" s="6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2"/>
      <c r="AA608" s="22"/>
      <c r="AB608" s="22"/>
      <c r="AC608" s="22"/>
      <c r="AD608" s="22"/>
      <c r="AE608" s="22"/>
      <c r="AF608" s="22"/>
      <c r="AG608" s="22"/>
      <c r="AH608" s="22"/>
      <c r="AI608" s="22"/>
      <c r="AJ608" s="22"/>
      <c r="AK608" s="22"/>
      <c r="AL608" s="22"/>
      <c r="AM608" s="22"/>
      <c r="AN608" s="22"/>
      <c r="AO608" s="22"/>
      <c r="AP608" s="22"/>
      <c r="AQ608" s="22"/>
      <c r="AR608" s="22"/>
      <c r="AS608" s="22"/>
      <c r="AT608" s="22"/>
      <c r="AU608" s="22"/>
      <c r="AV608" s="22"/>
      <c r="AW608" s="22"/>
      <c r="AX608" s="22"/>
    </row>
    <row r="609" spans="1:50" x14ac:dyDescent="0.3">
      <c r="A609" s="6"/>
      <c r="B609" s="19"/>
      <c r="C609" s="6"/>
      <c r="D609" s="5"/>
      <c r="E609" s="6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  <c r="AA609" s="22"/>
      <c r="AB609" s="22"/>
      <c r="AC609" s="22"/>
      <c r="AD609" s="22"/>
      <c r="AE609" s="22"/>
      <c r="AF609" s="22"/>
      <c r="AG609" s="22"/>
      <c r="AH609" s="22"/>
      <c r="AI609" s="22"/>
      <c r="AJ609" s="22"/>
      <c r="AK609" s="22"/>
      <c r="AL609" s="22"/>
      <c r="AM609" s="22"/>
      <c r="AN609" s="22"/>
      <c r="AO609" s="22"/>
      <c r="AP609" s="22"/>
      <c r="AQ609" s="22"/>
      <c r="AR609" s="22"/>
      <c r="AS609" s="22"/>
      <c r="AT609" s="22"/>
      <c r="AU609" s="22"/>
      <c r="AV609" s="22"/>
      <c r="AW609" s="22"/>
      <c r="AX609" s="22"/>
    </row>
    <row r="610" spans="1:50" x14ac:dyDescent="0.3">
      <c r="A610" s="6"/>
      <c r="B610" s="19"/>
      <c r="C610" s="6"/>
      <c r="D610" s="5"/>
      <c r="E610" s="6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  <c r="AA610" s="22"/>
      <c r="AB610" s="22"/>
      <c r="AC610" s="22"/>
      <c r="AD610" s="22"/>
      <c r="AE610" s="22"/>
      <c r="AF610" s="22"/>
      <c r="AG610" s="22"/>
      <c r="AH610" s="22"/>
      <c r="AI610" s="22"/>
      <c r="AJ610" s="22"/>
      <c r="AK610" s="22"/>
      <c r="AL610" s="22"/>
      <c r="AM610" s="22"/>
      <c r="AN610" s="22"/>
      <c r="AO610" s="22"/>
      <c r="AP610" s="22"/>
      <c r="AQ610" s="22"/>
      <c r="AR610" s="22"/>
      <c r="AS610" s="22"/>
      <c r="AT610" s="22"/>
      <c r="AU610" s="22"/>
      <c r="AV610" s="22"/>
      <c r="AW610" s="22"/>
      <c r="AX610" s="22"/>
    </row>
    <row r="611" spans="1:50" x14ac:dyDescent="0.3">
      <c r="A611" s="6"/>
      <c r="B611" s="19"/>
      <c r="C611" s="6"/>
      <c r="D611" s="5"/>
      <c r="E611" s="6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  <c r="AA611" s="22"/>
      <c r="AB611" s="22"/>
      <c r="AC611" s="22"/>
      <c r="AD611" s="22"/>
      <c r="AE611" s="22"/>
      <c r="AF611" s="22"/>
      <c r="AG611" s="22"/>
      <c r="AH611" s="22"/>
      <c r="AI611" s="22"/>
      <c r="AJ611" s="22"/>
      <c r="AK611" s="22"/>
      <c r="AL611" s="22"/>
      <c r="AM611" s="22"/>
      <c r="AN611" s="22"/>
      <c r="AO611" s="22"/>
      <c r="AP611" s="22"/>
      <c r="AQ611" s="22"/>
      <c r="AR611" s="22"/>
      <c r="AS611" s="22"/>
      <c r="AT611" s="22"/>
      <c r="AU611" s="22"/>
      <c r="AV611" s="22"/>
      <c r="AW611" s="22"/>
      <c r="AX611" s="22"/>
    </row>
    <row r="612" spans="1:50" x14ac:dyDescent="0.3">
      <c r="A612" s="6"/>
      <c r="B612" s="19"/>
      <c r="C612" s="6"/>
      <c r="D612" s="5"/>
      <c r="E612" s="6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2"/>
      <c r="AA612" s="22"/>
      <c r="AB612" s="22"/>
      <c r="AC612" s="22"/>
      <c r="AD612" s="22"/>
      <c r="AE612" s="22"/>
      <c r="AF612" s="22"/>
      <c r="AG612" s="22"/>
      <c r="AH612" s="22"/>
      <c r="AI612" s="22"/>
      <c r="AJ612" s="22"/>
      <c r="AK612" s="22"/>
      <c r="AL612" s="22"/>
      <c r="AM612" s="22"/>
      <c r="AN612" s="22"/>
      <c r="AO612" s="22"/>
      <c r="AP612" s="22"/>
      <c r="AQ612" s="22"/>
      <c r="AR612" s="22"/>
      <c r="AS612" s="22"/>
      <c r="AT612" s="22"/>
      <c r="AU612" s="22"/>
      <c r="AV612" s="22"/>
      <c r="AW612" s="22"/>
      <c r="AX612" s="22"/>
    </row>
    <row r="613" spans="1:50" x14ac:dyDescent="0.3">
      <c r="A613" s="6"/>
      <c r="B613" s="19"/>
      <c r="C613" s="6"/>
      <c r="D613" s="5"/>
      <c r="E613" s="6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  <c r="AA613" s="22"/>
      <c r="AB613" s="22"/>
      <c r="AC613" s="22"/>
      <c r="AD613" s="22"/>
      <c r="AE613" s="22"/>
      <c r="AF613" s="22"/>
      <c r="AG613" s="22"/>
      <c r="AH613" s="22"/>
      <c r="AI613" s="22"/>
      <c r="AJ613" s="22"/>
      <c r="AK613" s="22"/>
      <c r="AL613" s="22"/>
      <c r="AM613" s="22"/>
      <c r="AN613" s="22"/>
      <c r="AO613" s="22"/>
      <c r="AP613" s="22"/>
      <c r="AQ613" s="22"/>
      <c r="AR613" s="22"/>
      <c r="AS613" s="22"/>
      <c r="AT613" s="22"/>
      <c r="AU613" s="22"/>
      <c r="AV613" s="22"/>
      <c r="AW613" s="22"/>
      <c r="AX613" s="22"/>
    </row>
    <row r="614" spans="1:50" x14ac:dyDescent="0.3">
      <c r="A614" s="6"/>
      <c r="B614" s="19"/>
      <c r="C614" s="6"/>
      <c r="D614" s="5"/>
      <c r="E614" s="6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2"/>
      <c r="AA614" s="22"/>
      <c r="AB614" s="22"/>
      <c r="AC614" s="22"/>
      <c r="AD614" s="22"/>
      <c r="AE614" s="22"/>
      <c r="AF614" s="22"/>
      <c r="AG614" s="22"/>
      <c r="AH614" s="22"/>
      <c r="AI614" s="22"/>
      <c r="AJ614" s="22"/>
      <c r="AK614" s="22"/>
      <c r="AL614" s="22"/>
      <c r="AM614" s="22"/>
      <c r="AN614" s="22"/>
      <c r="AO614" s="22"/>
      <c r="AP614" s="22"/>
      <c r="AQ614" s="22"/>
      <c r="AR614" s="22"/>
      <c r="AS614" s="22"/>
      <c r="AT614" s="22"/>
      <c r="AU614" s="22"/>
      <c r="AV614" s="22"/>
      <c r="AW614" s="22"/>
      <c r="AX614" s="22"/>
    </row>
    <row r="615" spans="1:50" x14ac:dyDescent="0.3">
      <c r="A615" s="6"/>
      <c r="B615" s="19"/>
      <c r="C615" s="6"/>
      <c r="D615" s="5"/>
      <c r="E615" s="6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  <c r="AA615" s="22"/>
      <c r="AB615" s="22"/>
      <c r="AC615" s="22"/>
      <c r="AD615" s="22"/>
      <c r="AE615" s="22"/>
      <c r="AF615" s="22"/>
      <c r="AG615" s="22"/>
      <c r="AH615" s="22"/>
      <c r="AI615" s="22"/>
      <c r="AJ615" s="22"/>
      <c r="AK615" s="22"/>
      <c r="AL615" s="22"/>
      <c r="AM615" s="22"/>
      <c r="AN615" s="22"/>
      <c r="AO615" s="22"/>
      <c r="AP615" s="22"/>
      <c r="AQ615" s="22"/>
      <c r="AR615" s="22"/>
      <c r="AS615" s="22"/>
      <c r="AT615" s="22"/>
      <c r="AU615" s="22"/>
      <c r="AV615" s="22"/>
      <c r="AW615" s="22"/>
      <c r="AX615" s="22"/>
    </row>
    <row r="616" spans="1:50" x14ac:dyDescent="0.3">
      <c r="A616" s="6"/>
      <c r="B616" s="19"/>
      <c r="C616" s="6"/>
      <c r="D616" s="5"/>
      <c r="E616" s="6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2"/>
      <c r="AA616" s="22"/>
      <c r="AB616" s="22"/>
      <c r="AC616" s="22"/>
      <c r="AD616" s="22"/>
      <c r="AE616" s="22"/>
      <c r="AF616" s="22"/>
      <c r="AG616" s="22"/>
      <c r="AH616" s="22"/>
      <c r="AI616" s="22"/>
      <c r="AJ616" s="22"/>
      <c r="AK616" s="22"/>
      <c r="AL616" s="22"/>
      <c r="AM616" s="22"/>
      <c r="AN616" s="22"/>
      <c r="AO616" s="22"/>
      <c r="AP616" s="22"/>
      <c r="AQ616" s="22"/>
      <c r="AR616" s="22"/>
      <c r="AS616" s="22"/>
      <c r="AT616" s="22"/>
      <c r="AU616" s="22"/>
      <c r="AV616" s="22"/>
      <c r="AW616" s="22"/>
      <c r="AX616" s="22"/>
    </row>
    <row r="617" spans="1:50" x14ac:dyDescent="0.3">
      <c r="A617" s="6"/>
      <c r="B617" s="19"/>
      <c r="C617" s="6"/>
      <c r="D617" s="5"/>
      <c r="E617" s="6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  <c r="AA617" s="22"/>
      <c r="AB617" s="22"/>
      <c r="AC617" s="22"/>
      <c r="AD617" s="22"/>
      <c r="AE617" s="22"/>
      <c r="AF617" s="22"/>
      <c r="AG617" s="22"/>
      <c r="AH617" s="22"/>
      <c r="AI617" s="22"/>
      <c r="AJ617" s="22"/>
      <c r="AK617" s="22"/>
      <c r="AL617" s="22"/>
      <c r="AM617" s="22"/>
      <c r="AN617" s="22"/>
      <c r="AO617" s="22"/>
      <c r="AP617" s="22"/>
      <c r="AQ617" s="22"/>
      <c r="AR617" s="22"/>
      <c r="AS617" s="22"/>
      <c r="AT617" s="22"/>
      <c r="AU617" s="22"/>
      <c r="AV617" s="22"/>
      <c r="AW617" s="22"/>
      <c r="AX617" s="22"/>
    </row>
    <row r="618" spans="1:50" x14ac:dyDescent="0.3">
      <c r="A618" s="6"/>
      <c r="B618" s="19"/>
      <c r="C618" s="6"/>
      <c r="D618" s="5"/>
      <c r="E618" s="6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2"/>
      <c r="AA618" s="22"/>
      <c r="AB618" s="22"/>
      <c r="AC618" s="22"/>
      <c r="AD618" s="22"/>
      <c r="AE618" s="22"/>
      <c r="AF618" s="22"/>
      <c r="AG618" s="22"/>
      <c r="AH618" s="22"/>
      <c r="AI618" s="22"/>
      <c r="AJ618" s="22"/>
      <c r="AK618" s="22"/>
      <c r="AL618" s="22"/>
      <c r="AM618" s="22"/>
      <c r="AN618" s="22"/>
      <c r="AO618" s="22"/>
      <c r="AP618" s="22"/>
      <c r="AQ618" s="22"/>
      <c r="AR618" s="22"/>
      <c r="AS618" s="22"/>
      <c r="AT618" s="22"/>
      <c r="AU618" s="22"/>
      <c r="AV618" s="22"/>
      <c r="AW618" s="22"/>
      <c r="AX618" s="22"/>
    </row>
    <row r="619" spans="1:50" x14ac:dyDescent="0.3">
      <c r="A619" s="6"/>
      <c r="B619" s="19"/>
      <c r="C619" s="6"/>
      <c r="D619" s="5"/>
      <c r="E619" s="6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  <c r="AA619" s="22"/>
      <c r="AB619" s="22"/>
      <c r="AC619" s="22"/>
      <c r="AD619" s="22"/>
      <c r="AE619" s="22"/>
      <c r="AF619" s="22"/>
      <c r="AG619" s="22"/>
      <c r="AH619" s="22"/>
      <c r="AI619" s="22"/>
      <c r="AJ619" s="22"/>
      <c r="AK619" s="22"/>
      <c r="AL619" s="22"/>
      <c r="AM619" s="22"/>
      <c r="AN619" s="22"/>
      <c r="AO619" s="22"/>
      <c r="AP619" s="22"/>
      <c r="AQ619" s="22"/>
      <c r="AR619" s="22"/>
      <c r="AS619" s="22"/>
      <c r="AT619" s="22"/>
      <c r="AU619" s="22"/>
      <c r="AV619" s="22"/>
      <c r="AW619" s="22"/>
      <c r="AX619" s="22"/>
    </row>
    <row r="620" spans="1:50" x14ac:dyDescent="0.3">
      <c r="A620" s="6"/>
      <c r="B620" s="19"/>
      <c r="C620" s="6"/>
      <c r="D620" s="5"/>
      <c r="E620" s="6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  <c r="AA620" s="22"/>
      <c r="AB620" s="22"/>
      <c r="AC620" s="22"/>
      <c r="AD620" s="22"/>
      <c r="AE620" s="22"/>
      <c r="AF620" s="22"/>
      <c r="AG620" s="22"/>
      <c r="AH620" s="22"/>
      <c r="AI620" s="22"/>
      <c r="AJ620" s="22"/>
      <c r="AK620" s="22"/>
      <c r="AL620" s="22"/>
      <c r="AM620" s="22"/>
      <c r="AN620" s="22"/>
      <c r="AO620" s="22"/>
      <c r="AP620" s="22"/>
      <c r="AQ620" s="22"/>
      <c r="AR620" s="22"/>
      <c r="AS620" s="22"/>
      <c r="AT620" s="22"/>
      <c r="AU620" s="22"/>
      <c r="AV620" s="22"/>
      <c r="AW620" s="22"/>
      <c r="AX620" s="22"/>
    </row>
    <row r="621" spans="1:50" x14ac:dyDescent="0.3">
      <c r="A621" s="6"/>
      <c r="B621" s="19"/>
      <c r="C621" s="6"/>
      <c r="D621" s="5"/>
      <c r="E621" s="6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  <c r="AA621" s="22"/>
      <c r="AB621" s="22"/>
      <c r="AC621" s="22"/>
      <c r="AD621" s="22"/>
      <c r="AE621" s="22"/>
      <c r="AF621" s="22"/>
      <c r="AG621" s="22"/>
      <c r="AH621" s="22"/>
      <c r="AI621" s="22"/>
      <c r="AJ621" s="22"/>
      <c r="AK621" s="22"/>
      <c r="AL621" s="22"/>
      <c r="AM621" s="22"/>
      <c r="AN621" s="22"/>
      <c r="AO621" s="22"/>
      <c r="AP621" s="22"/>
      <c r="AQ621" s="22"/>
      <c r="AR621" s="22"/>
      <c r="AS621" s="22"/>
      <c r="AT621" s="22"/>
      <c r="AU621" s="22"/>
      <c r="AV621" s="22"/>
      <c r="AW621" s="22"/>
      <c r="AX621" s="22"/>
    </row>
    <row r="622" spans="1:50" x14ac:dyDescent="0.3">
      <c r="A622" s="6"/>
      <c r="B622" s="19"/>
      <c r="C622" s="6"/>
      <c r="D622" s="5"/>
      <c r="E622" s="6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2"/>
      <c r="AA622" s="22"/>
      <c r="AB622" s="22"/>
      <c r="AC622" s="22"/>
      <c r="AD622" s="22"/>
      <c r="AE622" s="22"/>
      <c r="AF622" s="22"/>
      <c r="AG622" s="22"/>
      <c r="AH622" s="22"/>
      <c r="AI622" s="22"/>
      <c r="AJ622" s="22"/>
      <c r="AK622" s="22"/>
      <c r="AL622" s="22"/>
      <c r="AM622" s="22"/>
      <c r="AN622" s="22"/>
      <c r="AO622" s="22"/>
      <c r="AP622" s="22"/>
      <c r="AQ622" s="22"/>
      <c r="AR622" s="22"/>
      <c r="AS622" s="22"/>
      <c r="AT622" s="22"/>
      <c r="AU622" s="22"/>
      <c r="AV622" s="22"/>
      <c r="AW622" s="22"/>
      <c r="AX622" s="22"/>
    </row>
    <row r="623" spans="1:50" x14ac:dyDescent="0.3">
      <c r="A623" s="6"/>
      <c r="B623" s="19"/>
      <c r="C623" s="6"/>
      <c r="D623" s="5"/>
      <c r="E623" s="6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  <c r="AA623" s="22"/>
      <c r="AB623" s="22"/>
      <c r="AC623" s="22"/>
      <c r="AD623" s="22"/>
      <c r="AE623" s="22"/>
      <c r="AF623" s="22"/>
      <c r="AG623" s="22"/>
      <c r="AH623" s="22"/>
      <c r="AI623" s="22"/>
      <c r="AJ623" s="22"/>
      <c r="AK623" s="22"/>
      <c r="AL623" s="22"/>
      <c r="AM623" s="22"/>
      <c r="AN623" s="22"/>
      <c r="AO623" s="22"/>
      <c r="AP623" s="22"/>
      <c r="AQ623" s="22"/>
      <c r="AR623" s="22"/>
      <c r="AS623" s="22"/>
      <c r="AT623" s="22"/>
      <c r="AU623" s="22"/>
      <c r="AV623" s="22"/>
      <c r="AW623" s="22"/>
      <c r="AX623" s="22"/>
    </row>
    <row r="624" spans="1:50" x14ac:dyDescent="0.3">
      <c r="A624" s="6"/>
      <c r="B624" s="19"/>
      <c r="C624" s="6"/>
      <c r="D624" s="5"/>
      <c r="E624" s="6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2"/>
      <c r="AA624" s="22"/>
      <c r="AB624" s="22"/>
      <c r="AC624" s="22"/>
      <c r="AD624" s="22"/>
      <c r="AE624" s="22"/>
      <c r="AF624" s="22"/>
      <c r="AG624" s="22"/>
      <c r="AH624" s="22"/>
      <c r="AI624" s="22"/>
      <c r="AJ624" s="22"/>
      <c r="AK624" s="22"/>
      <c r="AL624" s="22"/>
      <c r="AM624" s="22"/>
      <c r="AN624" s="22"/>
      <c r="AO624" s="22"/>
      <c r="AP624" s="22"/>
      <c r="AQ624" s="22"/>
      <c r="AR624" s="22"/>
      <c r="AS624" s="22"/>
      <c r="AT624" s="22"/>
      <c r="AU624" s="22"/>
      <c r="AV624" s="22"/>
      <c r="AW624" s="22"/>
      <c r="AX624" s="22"/>
    </row>
    <row r="625" spans="1:50" x14ac:dyDescent="0.3">
      <c r="A625" s="6"/>
      <c r="B625" s="19"/>
      <c r="C625" s="6"/>
      <c r="D625" s="5"/>
      <c r="E625" s="6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  <c r="AA625" s="22"/>
      <c r="AB625" s="22"/>
      <c r="AC625" s="22"/>
      <c r="AD625" s="22"/>
      <c r="AE625" s="22"/>
      <c r="AF625" s="22"/>
      <c r="AG625" s="22"/>
      <c r="AH625" s="22"/>
      <c r="AI625" s="22"/>
      <c r="AJ625" s="22"/>
      <c r="AK625" s="22"/>
      <c r="AL625" s="22"/>
      <c r="AM625" s="22"/>
      <c r="AN625" s="22"/>
      <c r="AO625" s="22"/>
      <c r="AP625" s="22"/>
      <c r="AQ625" s="22"/>
      <c r="AR625" s="22"/>
      <c r="AS625" s="22"/>
      <c r="AT625" s="22"/>
      <c r="AU625" s="22"/>
      <c r="AV625" s="22"/>
      <c r="AW625" s="22"/>
      <c r="AX625" s="22"/>
    </row>
    <row r="626" spans="1:50" x14ac:dyDescent="0.3">
      <c r="A626" s="6"/>
      <c r="B626" s="19"/>
      <c r="C626" s="6"/>
      <c r="D626" s="5"/>
      <c r="E626" s="6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2"/>
      <c r="AA626" s="22"/>
      <c r="AB626" s="22"/>
      <c r="AC626" s="22"/>
      <c r="AD626" s="22"/>
      <c r="AE626" s="22"/>
      <c r="AF626" s="22"/>
      <c r="AG626" s="22"/>
      <c r="AH626" s="22"/>
      <c r="AI626" s="22"/>
      <c r="AJ626" s="22"/>
      <c r="AK626" s="22"/>
      <c r="AL626" s="22"/>
      <c r="AM626" s="22"/>
      <c r="AN626" s="22"/>
      <c r="AO626" s="22"/>
      <c r="AP626" s="22"/>
      <c r="AQ626" s="22"/>
      <c r="AR626" s="22"/>
      <c r="AS626" s="22"/>
      <c r="AT626" s="22"/>
      <c r="AU626" s="22"/>
      <c r="AV626" s="22"/>
      <c r="AW626" s="22"/>
      <c r="AX626" s="22"/>
    </row>
    <row r="627" spans="1:50" x14ac:dyDescent="0.3">
      <c r="A627" s="6"/>
      <c r="B627" s="19"/>
      <c r="C627" s="6"/>
      <c r="D627" s="5"/>
      <c r="E627" s="6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  <c r="AA627" s="22"/>
      <c r="AB627" s="22"/>
      <c r="AC627" s="22"/>
      <c r="AD627" s="22"/>
      <c r="AE627" s="22"/>
      <c r="AF627" s="22"/>
      <c r="AG627" s="22"/>
      <c r="AH627" s="22"/>
      <c r="AI627" s="22"/>
      <c r="AJ627" s="22"/>
      <c r="AK627" s="22"/>
      <c r="AL627" s="22"/>
      <c r="AM627" s="22"/>
      <c r="AN627" s="22"/>
      <c r="AO627" s="22"/>
      <c r="AP627" s="22"/>
      <c r="AQ627" s="22"/>
      <c r="AR627" s="22"/>
      <c r="AS627" s="22"/>
      <c r="AT627" s="22"/>
      <c r="AU627" s="22"/>
      <c r="AV627" s="22"/>
      <c r="AW627" s="22"/>
      <c r="AX627" s="22"/>
    </row>
    <row r="628" spans="1:50" x14ac:dyDescent="0.3">
      <c r="A628" s="6"/>
      <c r="B628" s="19"/>
      <c r="C628" s="6"/>
      <c r="D628" s="5"/>
      <c r="E628" s="6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2"/>
      <c r="AA628" s="22"/>
      <c r="AB628" s="22"/>
      <c r="AC628" s="22"/>
      <c r="AD628" s="22"/>
      <c r="AE628" s="22"/>
      <c r="AF628" s="22"/>
      <c r="AG628" s="22"/>
      <c r="AH628" s="22"/>
      <c r="AI628" s="22"/>
      <c r="AJ628" s="22"/>
      <c r="AK628" s="22"/>
      <c r="AL628" s="22"/>
      <c r="AM628" s="22"/>
      <c r="AN628" s="22"/>
      <c r="AO628" s="22"/>
      <c r="AP628" s="22"/>
      <c r="AQ628" s="22"/>
      <c r="AR628" s="22"/>
      <c r="AS628" s="22"/>
      <c r="AT628" s="22"/>
      <c r="AU628" s="22"/>
      <c r="AV628" s="22"/>
      <c r="AW628" s="22"/>
      <c r="AX628" s="22"/>
    </row>
    <row r="629" spans="1:50" x14ac:dyDescent="0.3">
      <c r="A629" s="6"/>
      <c r="B629" s="19"/>
      <c r="C629" s="6"/>
      <c r="D629" s="5"/>
      <c r="E629" s="6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  <c r="AA629" s="22"/>
      <c r="AB629" s="22"/>
      <c r="AC629" s="22"/>
      <c r="AD629" s="22"/>
      <c r="AE629" s="22"/>
      <c r="AF629" s="22"/>
      <c r="AG629" s="22"/>
      <c r="AH629" s="22"/>
      <c r="AI629" s="22"/>
      <c r="AJ629" s="22"/>
      <c r="AK629" s="22"/>
      <c r="AL629" s="22"/>
      <c r="AM629" s="22"/>
      <c r="AN629" s="22"/>
      <c r="AO629" s="22"/>
      <c r="AP629" s="22"/>
      <c r="AQ629" s="22"/>
      <c r="AR629" s="22"/>
      <c r="AS629" s="22"/>
      <c r="AT629" s="22"/>
      <c r="AU629" s="22"/>
      <c r="AV629" s="22"/>
      <c r="AW629" s="22"/>
      <c r="AX629" s="22"/>
    </row>
    <row r="630" spans="1:50" x14ac:dyDescent="0.3">
      <c r="A630" s="6"/>
      <c r="B630" s="19"/>
      <c r="C630" s="6"/>
      <c r="D630" s="5"/>
      <c r="E630" s="6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  <c r="AA630" s="22"/>
      <c r="AB630" s="22"/>
      <c r="AC630" s="22"/>
      <c r="AD630" s="22"/>
      <c r="AE630" s="22"/>
      <c r="AF630" s="22"/>
      <c r="AG630" s="22"/>
      <c r="AH630" s="22"/>
      <c r="AI630" s="22"/>
      <c r="AJ630" s="22"/>
      <c r="AK630" s="22"/>
      <c r="AL630" s="22"/>
      <c r="AM630" s="22"/>
      <c r="AN630" s="22"/>
      <c r="AO630" s="22"/>
      <c r="AP630" s="22"/>
      <c r="AQ630" s="22"/>
      <c r="AR630" s="22"/>
      <c r="AS630" s="22"/>
      <c r="AT630" s="22"/>
      <c r="AU630" s="22"/>
      <c r="AV630" s="22"/>
      <c r="AW630" s="22"/>
      <c r="AX630" s="22"/>
    </row>
    <row r="631" spans="1:50" x14ac:dyDescent="0.3">
      <c r="A631" s="6"/>
      <c r="B631" s="19"/>
      <c r="C631" s="6"/>
      <c r="D631" s="5"/>
      <c r="E631" s="6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  <c r="AA631" s="22"/>
      <c r="AB631" s="22"/>
      <c r="AC631" s="22"/>
      <c r="AD631" s="22"/>
      <c r="AE631" s="22"/>
      <c r="AF631" s="22"/>
      <c r="AG631" s="22"/>
      <c r="AH631" s="22"/>
      <c r="AI631" s="22"/>
      <c r="AJ631" s="22"/>
      <c r="AK631" s="22"/>
      <c r="AL631" s="22"/>
      <c r="AM631" s="22"/>
      <c r="AN631" s="22"/>
      <c r="AO631" s="22"/>
      <c r="AP631" s="22"/>
      <c r="AQ631" s="22"/>
      <c r="AR631" s="22"/>
      <c r="AS631" s="22"/>
      <c r="AT631" s="22"/>
      <c r="AU631" s="22"/>
      <c r="AV631" s="22"/>
      <c r="AW631" s="22"/>
      <c r="AX631" s="22"/>
    </row>
    <row r="632" spans="1:50" x14ac:dyDescent="0.3">
      <c r="A632" s="6"/>
      <c r="B632" s="19"/>
      <c r="C632" s="6"/>
      <c r="D632" s="5"/>
      <c r="E632" s="6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2"/>
      <c r="AA632" s="22"/>
      <c r="AB632" s="22"/>
      <c r="AC632" s="22"/>
      <c r="AD632" s="22"/>
      <c r="AE632" s="22"/>
      <c r="AF632" s="22"/>
      <c r="AG632" s="22"/>
      <c r="AH632" s="22"/>
      <c r="AI632" s="22"/>
      <c r="AJ632" s="22"/>
      <c r="AK632" s="22"/>
      <c r="AL632" s="22"/>
      <c r="AM632" s="22"/>
      <c r="AN632" s="22"/>
      <c r="AO632" s="22"/>
      <c r="AP632" s="22"/>
      <c r="AQ632" s="22"/>
      <c r="AR632" s="22"/>
      <c r="AS632" s="22"/>
      <c r="AT632" s="22"/>
      <c r="AU632" s="22"/>
      <c r="AV632" s="22"/>
      <c r="AW632" s="22"/>
      <c r="AX632" s="22"/>
    </row>
    <row r="633" spans="1:50" x14ac:dyDescent="0.3">
      <c r="A633" s="6"/>
      <c r="B633" s="19"/>
      <c r="C633" s="6"/>
      <c r="D633" s="5"/>
      <c r="E633" s="6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  <c r="AA633" s="22"/>
      <c r="AB633" s="22"/>
      <c r="AC633" s="22"/>
      <c r="AD633" s="22"/>
      <c r="AE633" s="22"/>
      <c r="AF633" s="22"/>
      <c r="AG633" s="22"/>
      <c r="AH633" s="22"/>
      <c r="AI633" s="22"/>
      <c r="AJ633" s="22"/>
      <c r="AK633" s="22"/>
      <c r="AL633" s="22"/>
      <c r="AM633" s="22"/>
      <c r="AN633" s="22"/>
      <c r="AO633" s="22"/>
      <c r="AP633" s="22"/>
      <c r="AQ633" s="22"/>
      <c r="AR633" s="22"/>
      <c r="AS633" s="22"/>
      <c r="AT633" s="22"/>
      <c r="AU633" s="22"/>
      <c r="AV633" s="22"/>
      <c r="AW633" s="22"/>
      <c r="AX633" s="22"/>
    </row>
    <row r="634" spans="1:50" x14ac:dyDescent="0.3">
      <c r="A634" s="6"/>
      <c r="B634" s="19"/>
      <c r="C634" s="6"/>
      <c r="D634" s="5"/>
      <c r="E634" s="6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22"/>
      <c r="Y634" s="22"/>
      <c r="Z634" s="22"/>
      <c r="AA634" s="22"/>
      <c r="AB634" s="22"/>
      <c r="AC634" s="22"/>
      <c r="AD634" s="22"/>
      <c r="AE634" s="22"/>
      <c r="AF634" s="22"/>
      <c r="AG634" s="22"/>
      <c r="AH634" s="22"/>
      <c r="AI634" s="22"/>
      <c r="AJ634" s="22"/>
      <c r="AK634" s="22"/>
      <c r="AL634" s="22"/>
      <c r="AM634" s="22"/>
      <c r="AN634" s="22"/>
      <c r="AO634" s="22"/>
      <c r="AP634" s="22"/>
      <c r="AQ634" s="22"/>
      <c r="AR634" s="22"/>
      <c r="AS634" s="22"/>
      <c r="AT634" s="22"/>
      <c r="AU634" s="22"/>
      <c r="AV634" s="22"/>
      <c r="AW634" s="22"/>
      <c r="AX634" s="22"/>
    </row>
    <row r="635" spans="1:50" x14ac:dyDescent="0.3">
      <c r="A635" s="6"/>
      <c r="B635" s="19"/>
      <c r="C635" s="6"/>
      <c r="D635" s="5"/>
      <c r="E635" s="6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2"/>
      <c r="T635" s="22"/>
      <c r="U635" s="22"/>
      <c r="V635" s="22"/>
      <c r="W635" s="22"/>
      <c r="X635" s="22"/>
      <c r="Y635" s="22"/>
      <c r="Z635" s="22"/>
      <c r="AA635" s="22"/>
      <c r="AB635" s="22"/>
      <c r="AC635" s="22"/>
      <c r="AD635" s="22"/>
      <c r="AE635" s="22"/>
      <c r="AF635" s="22"/>
      <c r="AG635" s="22"/>
      <c r="AH635" s="22"/>
      <c r="AI635" s="22"/>
      <c r="AJ635" s="22"/>
      <c r="AK635" s="22"/>
      <c r="AL635" s="22"/>
      <c r="AM635" s="22"/>
      <c r="AN635" s="22"/>
      <c r="AO635" s="22"/>
      <c r="AP635" s="22"/>
      <c r="AQ635" s="22"/>
      <c r="AR635" s="22"/>
      <c r="AS635" s="22"/>
      <c r="AT635" s="22"/>
      <c r="AU635" s="22"/>
      <c r="AV635" s="22"/>
      <c r="AW635" s="22"/>
      <c r="AX635" s="22"/>
    </row>
    <row r="636" spans="1:50" x14ac:dyDescent="0.3">
      <c r="A636" s="6"/>
      <c r="B636" s="19"/>
      <c r="C636" s="6"/>
      <c r="D636" s="5"/>
      <c r="E636" s="6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22"/>
      <c r="Y636" s="22"/>
      <c r="Z636" s="22"/>
      <c r="AA636" s="22"/>
      <c r="AB636" s="22"/>
      <c r="AC636" s="22"/>
      <c r="AD636" s="22"/>
      <c r="AE636" s="22"/>
      <c r="AF636" s="22"/>
      <c r="AG636" s="22"/>
      <c r="AH636" s="22"/>
      <c r="AI636" s="22"/>
      <c r="AJ636" s="22"/>
      <c r="AK636" s="22"/>
      <c r="AL636" s="22"/>
      <c r="AM636" s="22"/>
      <c r="AN636" s="22"/>
      <c r="AO636" s="22"/>
      <c r="AP636" s="22"/>
      <c r="AQ636" s="22"/>
      <c r="AR636" s="22"/>
      <c r="AS636" s="22"/>
      <c r="AT636" s="22"/>
      <c r="AU636" s="22"/>
      <c r="AV636" s="22"/>
      <c r="AW636" s="22"/>
      <c r="AX636" s="22"/>
    </row>
    <row r="637" spans="1:50" x14ac:dyDescent="0.3">
      <c r="A637" s="6"/>
      <c r="B637" s="19"/>
      <c r="C637" s="6"/>
      <c r="D637" s="5"/>
      <c r="E637" s="6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2"/>
      <c r="T637" s="22"/>
      <c r="U637" s="22"/>
      <c r="V637" s="22"/>
      <c r="W637" s="22"/>
      <c r="X637" s="22"/>
      <c r="Y637" s="22"/>
      <c r="Z637" s="22"/>
      <c r="AA637" s="22"/>
      <c r="AB637" s="22"/>
      <c r="AC637" s="22"/>
      <c r="AD637" s="22"/>
      <c r="AE637" s="22"/>
      <c r="AF637" s="22"/>
      <c r="AG637" s="22"/>
      <c r="AH637" s="22"/>
      <c r="AI637" s="22"/>
      <c r="AJ637" s="22"/>
      <c r="AK637" s="22"/>
      <c r="AL637" s="22"/>
      <c r="AM637" s="22"/>
      <c r="AN637" s="22"/>
      <c r="AO637" s="22"/>
      <c r="AP637" s="22"/>
      <c r="AQ637" s="22"/>
      <c r="AR637" s="22"/>
      <c r="AS637" s="22"/>
      <c r="AT637" s="22"/>
      <c r="AU637" s="22"/>
      <c r="AV637" s="22"/>
      <c r="AW637" s="22"/>
      <c r="AX637" s="22"/>
    </row>
    <row r="638" spans="1:50" x14ac:dyDescent="0.3">
      <c r="A638" s="6"/>
      <c r="B638" s="19"/>
      <c r="C638" s="6"/>
      <c r="D638" s="5"/>
      <c r="E638" s="6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22"/>
      <c r="Y638" s="22"/>
      <c r="Z638" s="22"/>
      <c r="AA638" s="22"/>
      <c r="AB638" s="22"/>
      <c r="AC638" s="22"/>
      <c r="AD638" s="22"/>
      <c r="AE638" s="22"/>
      <c r="AF638" s="22"/>
      <c r="AG638" s="22"/>
      <c r="AH638" s="22"/>
      <c r="AI638" s="22"/>
      <c r="AJ638" s="22"/>
      <c r="AK638" s="22"/>
      <c r="AL638" s="22"/>
      <c r="AM638" s="22"/>
      <c r="AN638" s="22"/>
      <c r="AO638" s="22"/>
      <c r="AP638" s="22"/>
      <c r="AQ638" s="22"/>
      <c r="AR638" s="22"/>
      <c r="AS638" s="22"/>
      <c r="AT638" s="22"/>
      <c r="AU638" s="22"/>
      <c r="AV638" s="22"/>
      <c r="AW638" s="22"/>
      <c r="AX638" s="22"/>
    </row>
    <row r="639" spans="1:50" x14ac:dyDescent="0.3">
      <c r="A639" s="6"/>
      <c r="B639" s="19"/>
      <c r="C639" s="6"/>
      <c r="D639" s="5"/>
      <c r="E639" s="6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2"/>
      <c r="T639" s="22"/>
      <c r="U639" s="22"/>
      <c r="V639" s="22"/>
      <c r="W639" s="22"/>
      <c r="X639" s="22"/>
      <c r="Y639" s="22"/>
      <c r="Z639" s="22"/>
      <c r="AA639" s="22"/>
      <c r="AB639" s="22"/>
      <c r="AC639" s="22"/>
      <c r="AD639" s="22"/>
      <c r="AE639" s="22"/>
      <c r="AF639" s="22"/>
      <c r="AG639" s="22"/>
      <c r="AH639" s="22"/>
      <c r="AI639" s="22"/>
      <c r="AJ639" s="22"/>
      <c r="AK639" s="22"/>
      <c r="AL639" s="22"/>
      <c r="AM639" s="22"/>
      <c r="AN639" s="22"/>
      <c r="AO639" s="22"/>
      <c r="AP639" s="22"/>
      <c r="AQ639" s="22"/>
      <c r="AR639" s="22"/>
      <c r="AS639" s="22"/>
      <c r="AT639" s="22"/>
      <c r="AU639" s="22"/>
      <c r="AV639" s="22"/>
      <c r="AW639" s="22"/>
      <c r="AX639" s="22"/>
    </row>
    <row r="640" spans="1:50" x14ac:dyDescent="0.3">
      <c r="A640" s="6"/>
      <c r="B640" s="19"/>
      <c r="C640" s="6"/>
      <c r="D640" s="5"/>
      <c r="E640" s="6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22"/>
      <c r="Y640" s="22"/>
      <c r="Z640" s="22"/>
      <c r="AA640" s="22"/>
      <c r="AB640" s="22"/>
      <c r="AC640" s="22"/>
      <c r="AD640" s="22"/>
      <c r="AE640" s="22"/>
      <c r="AF640" s="22"/>
      <c r="AG640" s="22"/>
      <c r="AH640" s="22"/>
      <c r="AI640" s="22"/>
      <c r="AJ640" s="22"/>
      <c r="AK640" s="22"/>
      <c r="AL640" s="22"/>
      <c r="AM640" s="22"/>
      <c r="AN640" s="22"/>
      <c r="AO640" s="22"/>
      <c r="AP640" s="22"/>
      <c r="AQ640" s="22"/>
      <c r="AR640" s="22"/>
      <c r="AS640" s="22"/>
      <c r="AT640" s="22"/>
      <c r="AU640" s="22"/>
      <c r="AV640" s="22"/>
      <c r="AW640" s="22"/>
      <c r="AX640" s="22"/>
    </row>
    <row r="641" spans="1:50" x14ac:dyDescent="0.3">
      <c r="A641" s="6"/>
      <c r="B641" s="19"/>
      <c r="C641" s="6"/>
      <c r="D641" s="5"/>
      <c r="E641" s="6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2"/>
      <c r="T641" s="22"/>
      <c r="U641" s="22"/>
      <c r="V641" s="22"/>
      <c r="W641" s="22"/>
      <c r="X641" s="22"/>
      <c r="Y641" s="22"/>
      <c r="Z641" s="22"/>
      <c r="AA641" s="22"/>
      <c r="AB641" s="22"/>
      <c r="AC641" s="22"/>
      <c r="AD641" s="22"/>
      <c r="AE641" s="22"/>
      <c r="AF641" s="22"/>
      <c r="AG641" s="22"/>
      <c r="AH641" s="22"/>
      <c r="AI641" s="22"/>
      <c r="AJ641" s="22"/>
      <c r="AK641" s="22"/>
      <c r="AL641" s="22"/>
      <c r="AM641" s="22"/>
      <c r="AN641" s="22"/>
      <c r="AO641" s="22"/>
      <c r="AP641" s="22"/>
      <c r="AQ641" s="22"/>
      <c r="AR641" s="22"/>
      <c r="AS641" s="22"/>
      <c r="AT641" s="22"/>
      <c r="AU641" s="22"/>
      <c r="AV641" s="22"/>
      <c r="AW641" s="22"/>
      <c r="AX641" s="22"/>
    </row>
    <row r="642" spans="1:50" x14ac:dyDescent="0.3">
      <c r="A642" s="6"/>
      <c r="B642" s="19"/>
      <c r="C642" s="6"/>
      <c r="D642" s="5"/>
      <c r="E642" s="6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22"/>
      <c r="Y642" s="22"/>
      <c r="Z642" s="22"/>
      <c r="AA642" s="22"/>
      <c r="AB642" s="22"/>
      <c r="AC642" s="22"/>
      <c r="AD642" s="22"/>
      <c r="AE642" s="22"/>
      <c r="AF642" s="22"/>
      <c r="AG642" s="22"/>
      <c r="AH642" s="22"/>
      <c r="AI642" s="22"/>
      <c r="AJ642" s="22"/>
      <c r="AK642" s="22"/>
      <c r="AL642" s="22"/>
      <c r="AM642" s="22"/>
      <c r="AN642" s="22"/>
      <c r="AO642" s="22"/>
      <c r="AP642" s="22"/>
      <c r="AQ642" s="22"/>
      <c r="AR642" s="22"/>
      <c r="AS642" s="22"/>
      <c r="AT642" s="22"/>
      <c r="AU642" s="22"/>
      <c r="AV642" s="22"/>
      <c r="AW642" s="22"/>
      <c r="AX642" s="22"/>
    </row>
    <row r="643" spans="1:50" x14ac:dyDescent="0.3">
      <c r="A643" s="6"/>
      <c r="B643" s="19"/>
      <c r="C643" s="6"/>
      <c r="D643" s="5"/>
      <c r="E643" s="6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2"/>
      <c r="T643" s="22"/>
      <c r="U643" s="22"/>
      <c r="V643" s="22"/>
      <c r="W643" s="22"/>
      <c r="X643" s="22"/>
      <c r="Y643" s="22"/>
      <c r="Z643" s="22"/>
      <c r="AA643" s="22"/>
      <c r="AB643" s="22"/>
      <c r="AC643" s="22"/>
      <c r="AD643" s="22"/>
      <c r="AE643" s="22"/>
      <c r="AF643" s="22"/>
      <c r="AG643" s="22"/>
      <c r="AH643" s="22"/>
      <c r="AI643" s="22"/>
      <c r="AJ643" s="22"/>
      <c r="AK643" s="22"/>
      <c r="AL643" s="22"/>
      <c r="AM643" s="22"/>
      <c r="AN643" s="22"/>
      <c r="AO643" s="22"/>
      <c r="AP643" s="22"/>
      <c r="AQ643" s="22"/>
      <c r="AR643" s="22"/>
      <c r="AS643" s="22"/>
      <c r="AT643" s="22"/>
      <c r="AU643" s="22"/>
      <c r="AV643" s="22"/>
      <c r="AW643" s="22"/>
      <c r="AX643" s="22"/>
    </row>
    <row r="644" spans="1:50" x14ac:dyDescent="0.3">
      <c r="A644" s="6"/>
      <c r="B644" s="19"/>
      <c r="C644" s="6"/>
      <c r="D644" s="5"/>
      <c r="E644" s="6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22"/>
      <c r="Y644" s="22"/>
      <c r="Z644" s="22"/>
      <c r="AA644" s="22"/>
      <c r="AB644" s="22"/>
      <c r="AC644" s="22"/>
      <c r="AD644" s="22"/>
      <c r="AE644" s="22"/>
      <c r="AF644" s="22"/>
      <c r="AG644" s="22"/>
      <c r="AH644" s="22"/>
      <c r="AI644" s="22"/>
      <c r="AJ644" s="22"/>
      <c r="AK644" s="22"/>
      <c r="AL644" s="22"/>
      <c r="AM644" s="22"/>
      <c r="AN644" s="22"/>
      <c r="AO644" s="22"/>
      <c r="AP644" s="22"/>
      <c r="AQ644" s="22"/>
      <c r="AR644" s="22"/>
      <c r="AS644" s="22"/>
      <c r="AT644" s="22"/>
      <c r="AU644" s="22"/>
      <c r="AV644" s="22"/>
      <c r="AW644" s="22"/>
      <c r="AX644" s="22"/>
    </row>
    <row r="645" spans="1:50" x14ac:dyDescent="0.3">
      <c r="A645" s="6"/>
      <c r="B645" s="19"/>
      <c r="C645" s="6"/>
      <c r="D645" s="5"/>
      <c r="E645" s="6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2"/>
      <c r="T645" s="22"/>
      <c r="U645" s="22"/>
      <c r="V645" s="22"/>
      <c r="W645" s="22"/>
      <c r="X645" s="22"/>
      <c r="Y645" s="22"/>
      <c r="Z645" s="22"/>
      <c r="AA645" s="22"/>
      <c r="AB645" s="22"/>
      <c r="AC645" s="22"/>
      <c r="AD645" s="22"/>
      <c r="AE645" s="22"/>
      <c r="AF645" s="22"/>
      <c r="AG645" s="22"/>
      <c r="AH645" s="22"/>
      <c r="AI645" s="22"/>
      <c r="AJ645" s="22"/>
      <c r="AK645" s="22"/>
      <c r="AL645" s="22"/>
      <c r="AM645" s="22"/>
      <c r="AN645" s="22"/>
      <c r="AO645" s="22"/>
      <c r="AP645" s="22"/>
      <c r="AQ645" s="22"/>
      <c r="AR645" s="22"/>
      <c r="AS645" s="22"/>
      <c r="AT645" s="22"/>
      <c r="AU645" s="22"/>
      <c r="AV645" s="22"/>
      <c r="AW645" s="22"/>
      <c r="AX645" s="22"/>
    </row>
    <row r="646" spans="1:50" x14ac:dyDescent="0.3">
      <c r="A646" s="6"/>
      <c r="B646" s="19"/>
      <c r="C646" s="6"/>
      <c r="D646" s="5"/>
      <c r="E646" s="6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22"/>
      <c r="Y646" s="22"/>
      <c r="Z646" s="22"/>
      <c r="AA646" s="22"/>
      <c r="AB646" s="22"/>
      <c r="AC646" s="22"/>
      <c r="AD646" s="22"/>
      <c r="AE646" s="22"/>
      <c r="AF646" s="22"/>
      <c r="AG646" s="22"/>
      <c r="AH646" s="22"/>
      <c r="AI646" s="22"/>
      <c r="AJ646" s="22"/>
      <c r="AK646" s="22"/>
      <c r="AL646" s="22"/>
      <c r="AM646" s="22"/>
      <c r="AN646" s="22"/>
      <c r="AO646" s="22"/>
      <c r="AP646" s="22"/>
      <c r="AQ646" s="22"/>
      <c r="AR646" s="22"/>
      <c r="AS646" s="22"/>
      <c r="AT646" s="22"/>
      <c r="AU646" s="22"/>
      <c r="AV646" s="22"/>
      <c r="AW646" s="22"/>
      <c r="AX646" s="22"/>
    </row>
    <row r="647" spans="1:50" x14ac:dyDescent="0.3">
      <c r="A647" s="6"/>
      <c r="B647" s="19"/>
      <c r="C647" s="6"/>
      <c r="D647" s="5"/>
      <c r="E647" s="6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2"/>
      <c r="T647" s="22"/>
      <c r="U647" s="22"/>
      <c r="V647" s="22"/>
      <c r="W647" s="22"/>
      <c r="X647" s="22"/>
      <c r="Y647" s="22"/>
      <c r="Z647" s="22"/>
      <c r="AA647" s="22"/>
      <c r="AB647" s="22"/>
      <c r="AC647" s="22"/>
      <c r="AD647" s="22"/>
      <c r="AE647" s="22"/>
      <c r="AF647" s="22"/>
      <c r="AG647" s="22"/>
      <c r="AH647" s="22"/>
      <c r="AI647" s="22"/>
      <c r="AJ647" s="22"/>
      <c r="AK647" s="22"/>
      <c r="AL647" s="22"/>
      <c r="AM647" s="22"/>
      <c r="AN647" s="22"/>
      <c r="AO647" s="22"/>
      <c r="AP647" s="22"/>
      <c r="AQ647" s="22"/>
      <c r="AR647" s="22"/>
      <c r="AS647" s="22"/>
      <c r="AT647" s="22"/>
      <c r="AU647" s="22"/>
      <c r="AV647" s="22"/>
      <c r="AW647" s="22"/>
      <c r="AX647" s="22"/>
    </row>
    <row r="648" spans="1:50" x14ac:dyDescent="0.3">
      <c r="A648" s="6"/>
      <c r="B648" s="19"/>
      <c r="C648" s="6"/>
      <c r="D648" s="5"/>
      <c r="E648" s="6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22"/>
      <c r="Y648" s="22"/>
      <c r="Z648" s="22"/>
      <c r="AA648" s="22"/>
      <c r="AB648" s="22"/>
      <c r="AC648" s="22"/>
      <c r="AD648" s="22"/>
      <c r="AE648" s="22"/>
      <c r="AF648" s="22"/>
      <c r="AG648" s="22"/>
      <c r="AH648" s="22"/>
      <c r="AI648" s="22"/>
      <c r="AJ648" s="22"/>
      <c r="AK648" s="22"/>
      <c r="AL648" s="22"/>
      <c r="AM648" s="22"/>
      <c r="AN648" s="22"/>
      <c r="AO648" s="22"/>
      <c r="AP648" s="22"/>
      <c r="AQ648" s="22"/>
      <c r="AR648" s="22"/>
      <c r="AS648" s="22"/>
      <c r="AT648" s="22"/>
      <c r="AU648" s="22"/>
      <c r="AV648" s="22"/>
      <c r="AW648" s="22"/>
      <c r="AX648" s="22"/>
    </row>
    <row r="649" spans="1:50" x14ac:dyDescent="0.3">
      <c r="A649" s="6"/>
      <c r="B649" s="19"/>
      <c r="C649" s="6"/>
      <c r="D649" s="5"/>
      <c r="E649" s="6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2"/>
      <c r="T649" s="22"/>
      <c r="U649" s="22"/>
      <c r="V649" s="22"/>
      <c r="W649" s="22"/>
      <c r="X649" s="22"/>
      <c r="Y649" s="22"/>
      <c r="Z649" s="22"/>
      <c r="AA649" s="22"/>
      <c r="AB649" s="22"/>
      <c r="AC649" s="22"/>
      <c r="AD649" s="22"/>
      <c r="AE649" s="22"/>
      <c r="AF649" s="22"/>
      <c r="AG649" s="22"/>
      <c r="AH649" s="22"/>
      <c r="AI649" s="22"/>
      <c r="AJ649" s="22"/>
      <c r="AK649" s="22"/>
      <c r="AL649" s="22"/>
      <c r="AM649" s="22"/>
      <c r="AN649" s="22"/>
      <c r="AO649" s="22"/>
      <c r="AP649" s="22"/>
      <c r="AQ649" s="22"/>
      <c r="AR649" s="22"/>
      <c r="AS649" s="22"/>
      <c r="AT649" s="22"/>
      <c r="AU649" s="22"/>
      <c r="AV649" s="22"/>
      <c r="AW649" s="22"/>
      <c r="AX649" s="22"/>
    </row>
    <row r="650" spans="1:50" x14ac:dyDescent="0.3">
      <c r="A650" s="6"/>
      <c r="B650" s="19"/>
      <c r="C650" s="6"/>
      <c r="D650" s="5"/>
      <c r="E650" s="6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22"/>
      <c r="Y650" s="22"/>
      <c r="Z650" s="22"/>
      <c r="AA650" s="22"/>
      <c r="AB650" s="22"/>
      <c r="AC650" s="22"/>
      <c r="AD650" s="22"/>
      <c r="AE650" s="22"/>
      <c r="AF650" s="22"/>
      <c r="AG650" s="22"/>
      <c r="AH650" s="22"/>
      <c r="AI650" s="22"/>
      <c r="AJ650" s="22"/>
      <c r="AK650" s="22"/>
      <c r="AL650" s="22"/>
      <c r="AM650" s="22"/>
      <c r="AN650" s="22"/>
      <c r="AO650" s="22"/>
      <c r="AP650" s="22"/>
      <c r="AQ650" s="22"/>
      <c r="AR650" s="22"/>
      <c r="AS650" s="22"/>
      <c r="AT650" s="22"/>
      <c r="AU650" s="22"/>
      <c r="AV650" s="22"/>
      <c r="AW650" s="22"/>
      <c r="AX650" s="22"/>
    </row>
    <row r="651" spans="1:50" x14ac:dyDescent="0.3">
      <c r="A651" s="6"/>
      <c r="B651" s="19"/>
      <c r="C651" s="6"/>
      <c r="D651" s="5"/>
      <c r="E651" s="6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2"/>
      <c r="T651" s="22"/>
      <c r="U651" s="22"/>
      <c r="V651" s="22"/>
      <c r="W651" s="22"/>
      <c r="X651" s="22"/>
      <c r="Y651" s="22"/>
      <c r="Z651" s="22"/>
      <c r="AA651" s="22"/>
      <c r="AB651" s="22"/>
      <c r="AC651" s="22"/>
      <c r="AD651" s="22"/>
      <c r="AE651" s="22"/>
      <c r="AF651" s="22"/>
      <c r="AG651" s="22"/>
      <c r="AH651" s="22"/>
      <c r="AI651" s="22"/>
      <c r="AJ651" s="22"/>
      <c r="AK651" s="22"/>
      <c r="AL651" s="22"/>
      <c r="AM651" s="22"/>
      <c r="AN651" s="22"/>
      <c r="AO651" s="22"/>
      <c r="AP651" s="22"/>
      <c r="AQ651" s="22"/>
      <c r="AR651" s="22"/>
      <c r="AS651" s="22"/>
      <c r="AT651" s="22"/>
      <c r="AU651" s="22"/>
      <c r="AV651" s="22"/>
      <c r="AW651" s="22"/>
      <c r="AX651" s="22"/>
    </row>
    <row r="652" spans="1:50" x14ac:dyDescent="0.3">
      <c r="A652" s="6"/>
      <c r="B652" s="19"/>
      <c r="C652" s="6"/>
      <c r="D652" s="5"/>
      <c r="E652" s="6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22"/>
      <c r="Y652" s="22"/>
      <c r="Z652" s="22"/>
      <c r="AA652" s="22"/>
      <c r="AB652" s="22"/>
      <c r="AC652" s="22"/>
      <c r="AD652" s="22"/>
      <c r="AE652" s="22"/>
      <c r="AF652" s="22"/>
      <c r="AG652" s="22"/>
      <c r="AH652" s="22"/>
      <c r="AI652" s="22"/>
      <c r="AJ652" s="22"/>
      <c r="AK652" s="22"/>
      <c r="AL652" s="22"/>
      <c r="AM652" s="22"/>
      <c r="AN652" s="22"/>
      <c r="AO652" s="22"/>
      <c r="AP652" s="22"/>
      <c r="AQ652" s="22"/>
      <c r="AR652" s="22"/>
      <c r="AS652" s="22"/>
      <c r="AT652" s="22"/>
      <c r="AU652" s="22"/>
      <c r="AV652" s="22"/>
      <c r="AW652" s="22"/>
      <c r="AX652" s="22"/>
    </row>
    <row r="653" spans="1:50" x14ac:dyDescent="0.3">
      <c r="A653" s="6"/>
      <c r="B653" s="19"/>
      <c r="C653" s="6"/>
      <c r="D653" s="5"/>
      <c r="E653" s="6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2"/>
      <c r="T653" s="22"/>
      <c r="U653" s="22"/>
      <c r="V653" s="22"/>
      <c r="W653" s="22"/>
      <c r="X653" s="22"/>
      <c r="Y653" s="22"/>
      <c r="Z653" s="22"/>
      <c r="AA653" s="22"/>
      <c r="AB653" s="22"/>
      <c r="AC653" s="22"/>
      <c r="AD653" s="22"/>
      <c r="AE653" s="22"/>
      <c r="AF653" s="22"/>
      <c r="AG653" s="22"/>
      <c r="AH653" s="22"/>
      <c r="AI653" s="22"/>
      <c r="AJ653" s="22"/>
      <c r="AK653" s="22"/>
      <c r="AL653" s="22"/>
      <c r="AM653" s="22"/>
      <c r="AN653" s="22"/>
      <c r="AO653" s="22"/>
      <c r="AP653" s="22"/>
      <c r="AQ653" s="22"/>
      <c r="AR653" s="22"/>
      <c r="AS653" s="22"/>
      <c r="AT653" s="22"/>
      <c r="AU653" s="22"/>
      <c r="AV653" s="22"/>
      <c r="AW653" s="22"/>
      <c r="AX653" s="22"/>
    </row>
    <row r="654" spans="1:50" x14ac:dyDescent="0.3">
      <c r="A654" s="6"/>
      <c r="B654" s="19"/>
      <c r="C654" s="6"/>
      <c r="D654" s="5"/>
      <c r="E654" s="6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22"/>
      <c r="Y654" s="22"/>
      <c r="Z654" s="22"/>
      <c r="AA654" s="22"/>
      <c r="AB654" s="22"/>
      <c r="AC654" s="22"/>
      <c r="AD654" s="22"/>
      <c r="AE654" s="22"/>
      <c r="AF654" s="22"/>
      <c r="AG654" s="22"/>
      <c r="AH654" s="22"/>
      <c r="AI654" s="22"/>
      <c r="AJ654" s="22"/>
      <c r="AK654" s="22"/>
      <c r="AL654" s="22"/>
      <c r="AM654" s="22"/>
      <c r="AN654" s="22"/>
      <c r="AO654" s="22"/>
      <c r="AP654" s="22"/>
      <c r="AQ654" s="22"/>
      <c r="AR654" s="22"/>
      <c r="AS654" s="22"/>
      <c r="AT654" s="22"/>
      <c r="AU654" s="22"/>
      <c r="AV654" s="22"/>
      <c r="AW654" s="22"/>
      <c r="AX654" s="22"/>
    </row>
    <row r="655" spans="1:50" x14ac:dyDescent="0.3">
      <c r="A655" s="6"/>
      <c r="B655" s="19"/>
      <c r="C655" s="6"/>
      <c r="D655" s="5"/>
      <c r="E655" s="6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22"/>
      <c r="Y655" s="22"/>
      <c r="Z655" s="22"/>
      <c r="AA655" s="22"/>
      <c r="AB655" s="22"/>
      <c r="AC655" s="22"/>
      <c r="AD655" s="22"/>
      <c r="AE655" s="22"/>
      <c r="AF655" s="22"/>
      <c r="AG655" s="22"/>
      <c r="AH655" s="22"/>
      <c r="AI655" s="22"/>
      <c r="AJ655" s="22"/>
      <c r="AK655" s="22"/>
      <c r="AL655" s="22"/>
      <c r="AM655" s="22"/>
      <c r="AN655" s="22"/>
      <c r="AO655" s="22"/>
      <c r="AP655" s="22"/>
      <c r="AQ655" s="22"/>
      <c r="AR655" s="22"/>
      <c r="AS655" s="22"/>
      <c r="AT655" s="22"/>
      <c r="AU655" s="22"/>
      <c r="AV655" s="22"/>
      <c r="AW655" s="22"/>
      <c r="AX655" s="22"/>
    </row>
    <row r="656" spans="1:50" x14ac:dyDescent="0.3">
      <c r="A656" s="6"/>
      <c r="B656" s="19"/>
      <c r="C656" s="6"/>
      <c r="D656" s="5"/>
      <c r="E656" s="6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  <c r="AA656" s="22"/>
      <c r="AB656" s="22"/>
      <c r="AC656" s="22"/>
      <c r="AD656" s="22"/>
      <c r="AE656" s="22"/>
      <c r="AF656" s="22"/>
      <c r="AG656" s="22"/>
      <c r="AH656" s="22"/>
      <c r="AI656" s="22"/>
      <c r="AJ656" s="22"/>
      <c r="AK656" s="22"/>
      <c r="AL656" s="22"/>
      <c r="AM656" s="22"/>
      <c r="AN656" s="22"/>
      <c r="AO656" s="22"/>
      <c r="AP656" s="22"/>
      <c r="AQ656" s="22"/>
      <c r="AR656" s="22"/>
      <c r="AS656" s="22"/>
      <c r="AT656" s="22"/>
      <c r="AU656" s="22"/>
      <c r="AV656" s="22"/>
      <c r="AW656" s="22"/>
      <c r="AX656" s="22"/>
    </row>
    <row r="657" spans="1:50" x14ac:dyDescent="0.3">
      <c r="A657" s="6"/>
      <c r="B657" s="19"/>
      <c r="C657" s="6"/>
      <c r="D657" s="5"/>
      <c r="E657" s="6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  <c r="AA657" s="22"/>
      <c r="AB657" s="22"/>
      <c r="AC657" s="22"/>
      <c r="AD657" s="22"/>
      <c r="AE657" s="22"/>
      <c r="AF657" s="22"/>
      <c r="AG657" s="22"/>
      <c r="AH657" s="22"/>
      <c r="AI657" s="22"/>
      <c r="AJ657" s="22"/>
      <c r="AK657" s="22"/>
      <c r="AL657" s="22"/>
      <c r="AM657" s="22"/>
      <c r="AN657" s="22"/>
      <c r="AO657" s="22"/>
      <c r="AP657" s="22"/>
      <c r="AQ657" s="22"/>
      <c r="AR657" s="22"/>
      <c r="AS657" s="22"/>
      <c r="AT657" s="22"/>
      <c r="AU657" s="22"/>
      <c r="AV657" s="22"/>
      <c r="AW657" s="22"/>
      <c r="AX657" s="22"/>
    </row>
    <row r="658" spans="1:50" x14ac:dyDescent="0.3">
      <c r="A658" s="6"/>
      <c r="B658" s="19"/>
      <c r="C658" s="6"/>
      <c r="D658" s="5"/>
      <c r="E658" s="6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2"/>
      <c r="AA658" s="22"/>
      <c r="AB658" s="22"/>
      <c r="AC658" s="22"/>
      <c r="AD658" s="22"/>
      <c r="AE658" s="22"/>
      <c r="AF658" s="22"/>
      <c r="AG658" s="22"/>
      <c r="AH658" s="22"/>
      <c r="AI658" s="22"/>
      <c r="AJ658" s="22"/>
      <c r="AK658" s="22"/>
      <c r="AL658" s="22"/>
      <c r="AM658" s="22"/>
      <c r="AN658" s="22"/>
      <c r="AO658" s="22"/>
      <c r="AP658" s="22"/>
      <c r="AQ658" s="22"/>
      <c r="AR658" s="22"/>
      <c r="AS658" s="22"/>
      <c r="AT658" s="22"/>
      <c r="AU658" s="22"/>
      <c r="AV658" s="22"/>
      <c r="AW658" s="22"/>
      <c r="AX658" s="22"/>
    </row>
    <row r="659" spans="1:50" x14ac:dyDescent="0.3">
      <c r="A659" s="6"/>
      <c r="B659" s="19"/>
      <c r="C659" s="6"/>
      <c r="D659" s="5"/>
      <c r="E659" s="6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  <c r="AA659" s="22"/>
      <c r="AB659" s="22"/>
      <c r="AC659" s="22"/>
      <c r="AD659" s="22"/>
      <c r="AE659" s="22"/>
      <c r="AF659" s="22"/>
      <c r="AG659" s="22"/>
      <c r="AH659" s="22"/>
      <c r="AI659" s="22"/>
      <c r="AJ659" s="22"/>
      <c r="AK659" s="22"/>
      <c r="AL659" s="22"/>
      <c r="AM659" s="22"/>
      <c r="AN659" s="22"/>
      <c r="AO659" s="22"/>
      <c r="AP659" s="22"/>
      <c r="AQ659" s="22"/>
      <c r="AR659" s="22"/>
      <c r="AS659" s="22"/>
      <c r="AT659" s="22"/>
      <c r="AU659" s="22"/>
      <c r="AV659" s="22"/>
      <c r="AW659" s="22"/>
      <c r="AX659" s="22"/>
    </row>
    <row r="660" spans="1:50" x14ac:dyDescent="0.3">
      <c r="A660" s="6"/>
      <c r="B660" s="19"/>
      <c r="C660" s="6"/>
      <c r="D660" s="5"/>
      <c r="E660" s="6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  <c r="AA660" s="22"/>
      <c r="AB660" s="22"/>
      <c r="AC660" s="22"/>
      <c r="AD660" s="22"/>
      <c r="AE660" s="22"/>
      <c r="AF660" s="22"/>
      <c r="AG660" s="22"/>
      <c r="AH660" s="22"/>
      <c r="AI660" s="22"/>
      <c r="AJ660" s="22"/>
      <c r="AK660" s="22"/>
      <c r="AL660" s="22"/>
      <c r="AM660" s="22"/>
      <c r="AN660" s="22"/>
      <c r="AO660" s="22"/>
      <c r="AP660" s="22"/>
      <c r="AQ660" s="22"/>
      <c r="AR660" s="22"/>
      <c r="AS660" s="22"/>
      <c r="AT660" s="22"/>
      <c r="AU660" s="22"/>
      <c r="AV660" s="22"/>
      <c r="AW660" s="22"/>
      <c r="AX660" s="22"/>
    </row>
    <row r="661" spans="1:50" x14ac:dyDescent="0.3">
      <c r="A661" s="6"/>
      <c r="B661" s="19"/>
      <c r="C661" s="6"/>
      <c r="D661" s="5"/>
      <c r="E661" s="6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  <c r="AA661" s="22"/>
      <c r="AB661" s="22"/>
      <c r="AC661" s="22"/>
      <c r="AD661" s="22"/>
      <c r="AE661" s="22"/>
      <c r="AF661" s="22"/>
      <c r="AG661" s="22"/>
      <c r="AH661" s="22"/>
      <c r="AI661" s="22"/>
      <c r="AJ661" s="22"/>
      <c r="AK661" s="22"/>
      <c r="AL661" s="22"/>
      <c r="AM661" s="22"/>
      <c r="AN661" s="22"/>
      <c r="AO661" s="22"/>
      <c r="AP661" s="22"/>
      <c r="AQ661" s="22"/>
      <c r="AR661" s="22"/>
      <c r="AS661" s="22"/>
      <c r="AT661" s="22"/>
      <c r="AU661" s="22"/>
      <c r="AV661" s="22"/>
      <c r="AW661" s="22"/>
      <c r="AX661" s="22"/>
    </row>
    <row r="662" spans="1:50" x14ac:dyDescent="0.3">
      <c r="A662" s="6"/>
      <c r="B662" s="19"/>
      <c r="C662" s="6"/>
      <c r="D662" s="5"/>
      <c r="E662" s="6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2"/>
      <c r="AA662" s="22"/>
      <c r="AB662" s="22"/>
      <c r="AC662" s="22"/>
      <c r="AD662" s="22"/>
      <c r="AE662" s="22"/>
      <c r="AF662" s="22"/>
      <c r="AG662" s="22"/>
      <c r="AH662" s="22"/>
      <c r="AI662" s="22"/>
      <c r="AJ662" s="22"/>
      <c r="AK662" s="22"/>
      <c r="AL662" s="22"/>
      <c r="AM662" s="22"/>
      <c r="AN662" s="22"/>
      <c r="AO662" s="22"/>
      <c r="AP662" s="22"/>
      <c r="AQ662" s="22"/>
      <c r="AR662" s="22"/>
      <c r="AS662" s="22"/>
      <c r="AT662" s="22"/>
      <c r="AU662" s="22"/>
      <c r="AV662" s="22"/>
      <c r="AW662" s="22"/>
      <c r="AX662" s="22"/>
    </row>
    <row r="663" spans="1:50" x14ac:dyDescent="0.3">
      <c r="A663" s="6"/>
      <c r="B663" s="19"/>
      <c r="C663" s="6"/>
      <c r="D663" s="5"/>
      <c r="E663" s="6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  <c r="AA663" s="22"/>
      <c r="AB663" s="22"/>
      <c r="AC663" s="22"/>
      <c r="AD663" s="22"/>
      <c r="AE663" s="22"/>
      <c r="AF663" s="22"/>
      <c r="AG663" s="22"/>
      <c r="AH663" s="22"/>
      <c r="AI663" s="22"/>
      <c r="AJ663" s="22"/>
      <c r="AK663" s="22"/>
      <c r="AL663" s="22"/>
      <c r="AM663" s="22"/>
      <c r="AN663" s="22"/>
      <c r="AO663" s="22"/>
      <c r="AP663" s="22"/>
      <c r="AQ663" s="22"/>
      <c r="AR663" s="22"/>
      <c r="AS663" s="22"/>
      <c r="AT663" s="22"/>
      <c r="AU663" s="22"/>
      <c r="AV663" s="22"/>
      <c r="AW663" s="22"/>
      <c r="AX663" s="22"/>
    </row>
    <row r="664" spans="1:50" x14ac:dyDescent="0.3">
      <c r="A664" s="6"/>
      <c r="B664" s="19"/>
      <c r="C664" s="6"/>
      <c r="D664" s="5"/>
      <c r="E664" s="6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2"/>
      <c r="AA664" s="22"/>
      <c r="AB664" s="22"/>
      <c r="AC664" s="22"/>
      <c r="AD664" s="22"/>
      <c r="AE664" s="22"/>
      <c r="AF664" s="22"/>
      <c r="AG664" s="22"/>
      <c r="AH664" s="22"/>
      <c r="AI664" s="22"/>
      <c r="AJ664" s="22"/>
      <c r="AK664" s="22"/>
      <c r="AL664" s="22"/>
      <c r="AM664" s="22"/>
      <c r="AN664" s="22"/>
      <c r="AO664" s="22"/>
      <c r="AP664" s="22"/>
      <c r="AQ664" s="22"/>
      <c r="AR664" s="22"/>
      <c r="AS664" s="22"/>
      <c r="AT664" s="22"/>
      <c r="AU664" s="22"/>
      <c r="AV664" s="22"/>
      <c r="AW664" s="22"/>
      <c r="AX664" s="22"/>
    </row>
    <row r="665" spans="1:50" x14ac:dyDescent="0.3">
      <c r="A665" s="6"/>
      <c r="B665" s="19"/>
      <c r="C665" s="6"/>
      <c r="D665" s="5"/>
      <c r="E665" s="6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  <c r="AA665" s="22"/>
      <c r="AB665" s="22"/>
      <c r="AC665" s="22"/>
      <c r="AD665" s="22"/>
      <c r="AE665" s="22"/>
      <c r="AF665" s="22"/>
      <c r="AG665" s="22"/>
      <c r="AH665" s="22"/>
      <c r="AI665" s="22"/>
      <c r="AJ665" s="22"/>
      <c r="AK665" s="22"/>
      <c r="AL665" s="22"/>
      <c r="AM665" s="22"/>
      <c r="AN665" s="22"/>
      <c r="AO665" s="22"/>
      <c r="AP665" s="22"/>
      <c r="AQ665" s="22"/>
      <c r="AR665" s="22"/>
      <c r="AS665" s="22"/>
      <c r="AT665" s="22"/>
      <c r="AU665" s="22"/>
      <c r="AV665" s="22"/>
      <c r="AW665" s="22"/>
      <c r="AX665" s="22"/>
    </row>
    <row r="666" spans="1:50" x14ac:dyDescent="0.3">
      <c r="A666" s="6"/>
      <c r="B666" s="19"/>
      <c r="C666" s="6"/>
      <c r="D666" s="5"/>
      <c r="E666" s="6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2"/>
      <c r="AA666" s="22"/>
      <c r="AB666" s="22"/>
      <c r="AC666" s="22"/>
      <c r="AD666" s="22"/>
      <c r="AE666" s="22"/>
      <c r="AF666" s="22"/>
      <c r="AG666" s="22"/>
      <c r="AH666" s="22"/>
      <c r="AI666" s="22"/>
      <c r="AJ666" s="22"/>
      <c r="AK666" s="22"/>
      <c r="AL666" s="22"/>
      <c r="AM666" s="22"/>
      <c r="AN666" s="22"/>
      <c r="AO666" s="22"/>
      <c r="AP666" s="22"/>
      <c r="AQ666" s="22"/>
      <c r="AR666" s="22"/>
      <c r="AS666" s="22"/>
      <c r="AT666" s="22"/>
      <c r="AU666" s="22"/>
      <c r="AV666" s="22"/>
      <c r="AW666" s="22"/>
      <c r="AX666" s="22"/>
    </row>
    <row r="667" spans="1:50" x14ac:dyDescent="0.3">
      <c r="A667" s="6"/>
      <c r="B667" s="19"/>
      <c r="C667" s="6"/>
      <c r="D667" s="5"/>
      <c r="E667" s="6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  <c r="AA667" s="22"/>
      <c r="AB667" s="22"/>
      <c r="AC667" s="22"/>
      <c r="AD667" s="22"/>
      <c r="AE667" s="22"/>
      <c r="AF667" s="22"/>
      <c r="AG667" s="22"/>
      <c r="AH667" s="22"/>
      <c r="AI667" s="22"/>
      <c r="AJ667" s="22"/>
      <c r="AK667" s="22"/>
      <c r="AL667" s="22"/>
      <c r="AM667" s="22"/>
      <c r="AN667" s="22"/>
      <c r="AO667" s="22"/>
      <c r="AP667" s="22"/>
      <c r="AQ667" s="22"/>
      <c r="AR667" s="22"/>
      <c r="AS667" s="22"/>
      <c r="AT667" s="22"/>
      <c r="AU667" s="22"/>
      <c r="AV667" s="22"/>
      <c r="AW667" s="22"/>
      <c r="AX667" s="22"/>
    </row>
    <row r="668" spans="1:50" x14ac:dyDescent="0.3">
      <c r="A668" s="6"/>
      <c r="B668" s="19"/>
      <c r="C668" s="6"/>
      <c r="D668" s="5"/>
      <c r="E668" s="6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2"/>
      <c r="AA668" s="22"/>
      <c r="AB668" s="22"/>
      <c r="AC668" s="22"/>
      <c r="AD668" s="22"/>
      <c r="AE668" s="22"/>
      <c r="AF668" s="22"/>
      <c r="AG668" s="22"/>
      <c r="AH668" s="22"/>
      <c r="AI668" s="22"/>
      <c r="AJ668" s="22"/>
      <c r="AK668" s="22"/>
      <c r="AL668" s="22"/>
      <c r="AM668" s="22"/>
      <c r="AN668" s="22"/>
      <c r="AO668" s="22"/>
      <c r="AP668" s="22"/>
      <c r="AQ668" s="22"/>
      <c r="AR668" s="22"/>
      <c r="AS668" s="22"/>
      <c r="AT668" s="22"/>
      <c r="AU668" s="22"/>
      <c r="AV668" s="22"/>
      <c r="AW668" s="22"/>
      <c r="AX668" s="22"/>
    </row>
    <row r="669" spans="1:50" x14ac:dyDescent="0.3">
      <c r="A669" s="6"/>
      <c r="B669" s="19"/>
      <c r="C669" s="6"/>
      <c r="D669" s="5"/>
      <c r="E669" s="6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  <c r="AA669" s="22"/>
      <c r="AB669" s="22"/>
      <c r="AC669" s="22"/>
      <c r="AD669" s="22"/>
      <c r="AE669" s="22"/>
      <c r="AF669" s="22"/>
      <c r="AG669" s="22"/>
      <c r="AH669" s="22"/>
      <c r="AI669" s="22"/>
      <c r="AJ669" s="22"/>
      <c r="AK669" s="22"/>
      <c r="AL669" s="22"/>
      <c r="AM669" s="22"/>
      <c r="AN669" s="22"/>
      <c r="AO669" s="22"/>
      <c r="AP669" s="22"/>
      <c r="AQ669" s="22"/>
      <c r="AR669" s="22"/>
      <c r="AS669" s="22"/>
      <c r="AT669" s="22"/>
      <c r="AU669" s="22"/>
      <c r="AV669" s="22"/>
      <c r="AW669" s="22"/>
      <c r="AX669" s="22"/>
    </row>
    <row r="670" spans="1:50" x14ac:dyDescent="0.3">
      <c r="A670" s="6"/>
      <c r="B670" s="19"/>
      <c r="C670" s="6"/>
      <c r="D670" s="5"/>
      <c r="E670" s="6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  <c r="AA670" s="22"/>
      <c r="AB670" s="22"/>
      <c r="AC670" s="22"/>
      <c r="AD670" s="22"/>
      <c r="AE670" s="22"/>
      <c r="AF670" s="22"/>
      <c r="AG670" s="22"/>
      <c r="AH670" s="22"/>
      <c r="AI670" s="22"/>
      <c r="AJ670" s="22"/>
      <c r="AK670" s="22"/>
      <c r="AL670" s="22"/>
      <c r="AM670" s="22"/>
      <c r="AN670" s="22"/>
      <c r="AO670" s="22"/>
      <c r="AP670" s="22"/>
      <c r="AQ670" s="22"/>
      <c r="AR670" s="22"/>
      <c r="AS670" s="22"/>
      <c r="AT670" s="22"/>
      <c r="AU670" s="22"/>
      <c r="AV670" s="22"/>
      <c r="AW670" s="22"/>
      <c r="AX670" s="22"/>
    </row>
    <row r="671" spans="1:50" x14ac:dyDescent="0.3">
      <c r="A671" s="6"/>
      <c r="B671" s="19"/>
      <c r="C671" s="6"/>
      <c r="D671" s="5"/>
      <c r="E671" s="6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  <c r="AA671" s="22"/>
      <c r="AB671" s="22"/>
      <c r="AC671" s="22"/>
      <c r="AD671" s="22"/>
      <c r="AE671" s="22"/>
      <c r="AF671" s="22"/>
      <c r="AG671" s="22"/>
      <c r="AH671" s="22"/>
      <c r="AI671" s="22"/>
      <c r="AJ671" s="22"/>
      <c r="AK671" s="22"/>
      <c r="AL671" s="22"/>
      <c r="AM671" s="22"/>
      <c r="AN671" s="22"/>
      <c r="AO671" s="22"/>
      <c r="AP671" s="22"/>
      <c r="AQ671" s="22"/>
      <c r="AR671" s="22"/>
      <c r="AS671" s="22"/>
      <c r="AT671" s="22"/>
      <c r="AU671" s="22"/>
      <c r="AV671" s="22"/>
      <c r="AW671" s="22"/>
      <c r="AX671" s="22"/>
    </row>
    <row r="672" spans="1:50" x14ac:dyDescent="0.3">
      <c r="A672" s="6"/>
      <c r="B672" s="19"/>
      <c r="C672" s="6"/>
      <c r="D672" s="5"/>
      <c r="E672" s="6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2"/>
      <c r="AA672" s="22"/>
      <c r="AB672" s="22"/>
      <c r="AC672" s="22"/>
      <c r="AD672" s="22"/>
      <c r="AE672" s="22"/>
      <c r="AF672" s="22"/>
      <c r="AG672" s="22"/>
      <c r="AH672" s="22"/>
      <c r="AI672" s="22"/>
      <c r="AJ672" s="22"/>
      <c r="AK672" s="22"/>
      <c r="AL672" s="22"/>
      <c r="AM672" s="22"/>
      <c r="AN672" s="22"/>
      <c r="AO672" s="22"/>
      <c r="AP672" s="22"/>
      <c r="AQ672" s="22"/>
      <c r="AR672" s="22"/>
      <c r="AS672" s="22"/>
      <c r="AT672" s="22"/>
      <c r="AU672" s="22"/>
      <c r="AV672" s="22"/>
      <c r="AW672" s="22"/>
      <c r="AX672" s="22"/>
    </row>
    <row r="673" spans="1:50" x14ac:dyDescent="0.3">
      <c r="A673" s="6"/>
      <c r="B673" s="19"/>
      <c r="C673" s="6"/>
      <c r="D673" s="5"/>
      <c r="E673" s="6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  <c r="AA673" s="22"/>
      <c r="AB673" s="22"/>
      <c r="AC673" s="22"/>
      <c r="AD673" s="22"/>
      <c r="AE673" s="22"/>
      <c r="AF673" s="22"/>
      <c r="AG673" s="22"/>
      <c r="AH673" s="22"/>
      <c r="AI673" s="22"/>
      <c r="AJ673" s="22"/>
      <c r="AK673" s="22"/>
      <c r="AL673" s="22"/>
      <c r="AM673" s="22"/>
      <c r="AN673" s="22"/>
      <c r="AO673" s="22"/>
      <c r="AP673" s="22"/>
      <c r="AQ673" s="22"/>
      <c r="AR673" s="22"/>
      <c r="AS673" s="22"/>
      <c r="AT673" s="22"/>
      <c r="AU673" s="22"/>
      <c r="AV673" s="22"/>
      <c r="AW673" s="22"/>
      <c r="AX673" s="22"/>
    </row>
    <row r="674" spans="1:50" x14ac:dyDescent="0.3">
      <c r="A674" s="6"/>
      <c r="B674" s="19"/>
      <c r="C674" s="6"/>
      <c r="D674" s="5"/>
      <c r="E674" s="6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2"/>
      <c r="AA674" s="22"/>
      <c r="AB674" s="22"/>
      <c r="AC674" s="22"/>
      <c r="AD674" s="22"/>
      <c r="AE674" s="22"/>
      <c r="AF674" s="22"/>
      <c r="AG674" s="22"/>
      <c r="AH674" s="22"/>
      <c r="AI674" s="22"/>
      <c r="AJ674" s="22"/>
      <c r="AK674" s="22"/>
      <c r="AL674" s="22"/>
      <c r="AM674" s="22"/>
      <c r="AN674" s="22"/>
      <c r="AO674" s="22"/>
      <c r="AP674" s="22"/>
      <c r="AQ674" s="22"/>
      <c r="AR674" s="22"/>
      <c r="AS674" s="22"/>
      <c r="AT674" s="22"/>
      <c r="AU674" s="22"/>
      <c r="AV674" s="22"/>
      <c r="AW674" s="22"/>
      <c r="AX674" s="22"/>
    </row>
    <row r="675" spans="1:50" x14ac:dyDescent="0.3">
      <c r="A675" s="6"/>
      <c r="B675" s="19"/>
      <c r="C675" s="6"/>
      <c r="D675" s="5"/>
      <c r="E675" s="6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  <c r="AA675" s="22"/>
      <c r="AB675" s="22"/>
      <c r="AC675" s="22"/>
      <c r="AD675" s="22"/>
      <c r="AE675" s="22"/>
      <c r="AF675" s="22"/>
      <c r="AG675" s="22"/>
      <c r="AH675" s="22"/>
      <c r="AI675" s="22"/>
      <c r="AJ675" s="22"/>
      <c r="AK675" s="22"/>
      <c r="AL675" s="22"/>
      <c r="AM675" s="22"/>
      <c r="AN675" s="22"/>
      <c r="AO675" s="22"/>
      <c r="AP675" s="22"/>
      <c r="AQ675" s="22"/>
      <c r="AR675" s="22"/>
      <c r="AS675" s="22"/>
      <c r="AT675" s="22"/>
      <c r="AU675" s="22"/>
      <c r="AV675" s="22"/>
      <c r="AW675" s="22"/>
      <c r="AX675" s="22"/>
    </row>
    <row r="676" spans="1:50" x14ac:dyDescent="0.3">
      <c r="A676" s="6"/>
      <c r="B676" s="19"/>
      <c r="C676" s="6"/>
      <c r="D676" s="5"/>
      <c r="E676" s="6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2"/>
      <c r="AA676" s="22"/>
      <c r="AB676" s="22"/>
      <c r="AC676" s="22"/>
      <c r="AD676" s="22"/>
      <c r="AE676" s="22"/>
      <c r="AF676" s="22"/>
      <c r="AG676" s="22"/>
      <c r="AH676" s="22"/>
      <c r="AI676" s="22"/>
      <c r="AJ676" s="22"/>
      <c r="AK676" s="22"/>
      <c r="AL676" s="22"/>
      <c r="AM676" s="22"/>
      <c r="AN676" s="22"/>
      <c r="AO676" s="22"/>
      <c r="AP676" s="22"/>
      <c r="AQ676" s="22"/>
      <c r="AR676" s="22"/>
      <c r="AS676" s="22"/>
      <c r="AT676" s="22"/>
      <c r="AU676" s="22"/>
      <c r="AV676" s="22"/>
      <c r="AW676" s="22"/>
      <c r="AX676" s="22"/>
    </row>
    <row r="677" spans="1:50" x14ac:dyDescent="0.3">
      <c r="A677" s="6"/>
      <c r="B677" s="19"/>
      <c r="C677" s="6"/>
      <c r="D677" s="5"/>
      <c r="E677" s="6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  <c r="AA677" s="22"/>
      <c r="AB677" s="22"/>
      <c r="AC677" s="22"/>
      <c r="AD677" s="22"/>
      <c r="AE677" s="22"/>
      <c r="AF677" s="22"/>
      <c r="AG677" s="22"/>
      <c r="AH677" s="22"/>
      <c r="AI677" s="22"/>
      <c r="AJ677" s="22"/>
      <c r="AK677" s="22"/>
      <c r="AL677" s="22"/>
      <c r="AM677" s="22"/>
      <c r="AN677" s="22"/>
      <c r="AO677" s="22"/>
      <c r="AP677" s="22"/>
      <c r="AQ677" s="22"/>
      <c r="AR677" s="22"/>
      <c r="AS677" s="22"/>
      <c r="AT677" s="22"/>
      <c r="AU677" s="22"/>
      <c r="AV677" s="22"/>
      <c r="AW677" s="22"/>
      <c r="AX677" s="22"/>
    </row>
    <row r="678" spans="1:50" x14ac:dyDescent="0.3">
      <c r="A678" s="6"/>
      <c r="B678" s="19"/>
      <c r="C678" s="6"/>
      <c r="D678" s="5"/>
      <c r="E678" s="6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2"/>
      <c r="AA678" s="22"/>
      <c r="AB678" s="22"/>
      <c r="AC678" s="22"/>
      <c r="AD678" s="22"/>
      <c r="AE678" s="22"/>
      <c r="AF678" s="22"/>
      <c r="AG678" s="22"/>
      <c r="AH678" s="22"/>
      <c r="AI678" s="22"/>
      <c r="AJ678" s="22"/>
      <c r="AK678" s="22"/>
      <c r="AL678" s="22"/>
      <c r="AM678" s="22"/>
      <c r="AN678" s="22"/>
      <c r="AO678" s="22"/>
      <c r="AP678" s="22"/>
      <c r="AQ678" s="22"/>
      <c r="AR678" s="22"/>
      <c r="AS678" s="22"/>
      <c r="AT678" s="22"/>
      <c r="AU678" s="22"/>
      <c r="AV678" s="22"/>
      <c r="AW678" s="22"/>
      <c r="AX678" s="22"/>
    </row>
    <row r="679" spans="1:50" x14ac:dyDescent="0.3">
      <c r="A679" s="6"/>
      <c r="B679" s="19"/>
      <c r="C679" s="6"/>
      <c r="D679" s="5"/>
      <c r="E679" s="6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  <c r="AA679" s="22"/>
      <c r="AB679" s="22"/>
      <c r="AC679" s="22"/>
      <c r="AD679" s="22"/>
      <c r="AE679" s="22"/>
      <c r="AF679" s="22"/>
      <c r="AG679" s="22"/>
      <c r="AH679" s="22"/>
      <c r="AI679" s="22"/>
      <c r="AJ679" s="22"/>
      <c r="AK679" s="22"/>
      <c r="AL679" s="22"/>
      <c r="AM679" s="22"/>
      <c r="AN679" s="22"/>
      <c r="AO679" s="22"/>
      <c r="AP679" s="22"/>
      <c r="AQ679" s="22"/>
      <c r="AR679" s="22"/>
      <c r="AS679" s="22"/>
      <c r="AT679" s="22"/>
      <c r="AU679" s="22"/>
      <c r="AV679" s="22"/>
      <c r="AW679" s="22"/>
      <c r="AX679" s="22"/>
    </row>
    <row r="680" spans="1:50" x14ac:dyDescent="0.3">
      <c r="A680" s="6"/>
      <c r="B680" s="19"/>
      <c r="C680" s="6"/>
      <c r="D680" s="5"/>
      <c r="E680" s="6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  <c r="AA680" s="22"/>
      <c r="AB680" s="22"/>
      <c r="AC680" s="22"/>
      <c r="AD680" s="22"/>
      <c r="AE680" s="22"/>
      <c r="AF680" s="22"/>
      <c r="AG680" s="22"/>
      <c r="AH680" s="22"/>
      <c r="AI680" s="22"/>
      <c r="AJ680" s="22"/>
      <c r="AK680" s="22"/>
      <c r="AL680" s="22"/>
      <c r="AM680" s="22"/>
      <c r="AN680" s="22"/>
      <c r="AO680" s="22"/>
      <c r="AP680" s="22"/>
      <c r="AQ680" s="22"/>
      <c r="AR680" s="22"/>
      <c r="AS680" s="22"/>
      <c r="AT680" s="22"/>
      <c r="AU680" s="22"/>
      <c r="AV680" s="22"/>
      <c r="AW680" s="22"/>
      <c r="AX680" s="22"/>
    </row>
    <row r="681" spans="1:50" x14ac:dyDescent="0.3">
      <c r="A681" s="6"/>
      <c r="B681" s="19"/>
      <c r="C681" s="6"/>
      <c r="D681" s="5"/>
      <c r="E681" s="6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  <c r="AA681" s="22"/>
      <c r="AB681" s="22"/>
      <c r="AC681" s="22"/>
      <c r="AD681" s="22"/>
      <c r="AE681" s="22"/>
      <c r="AF681" s="22"/>
      <c r="AG681" s="22"/>
      <c r="AH681" s="22"/>
      <c r="AI681" s="22"/>
      <c r="AJ681" s="22"/>
      <c r="AK681" s="22"/>
      <c r="AL681" s="22"/>
      <c r="AM681" s="22"/>
      <c r="AN681" s="22"/>
      <c r="AO681" s="22"/>
      <c r="AP681" s="22"/>
      <c r="AQ681" s="22"/>
      <c r="AR681" s="22"/>
      <c r="AS681" s="22"/>
      <c r="AT681" s="22"/>
      <c r="AU681" s="22"/>
      <c r="AV681" s="22"/>
      <c r="AW681" s="22"/>
      <c r="AX681" s="22"/>
    </row>
    <row r="682" spans="1:50" x14ac:dyDescent="0.3">
      <c r="A682" s="6"/>
      <c r="B682" s="19"/>
      <c r="C682" s="6"/>
      <c r="D682" s="5"/>
      <c r="E682" s="6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2"/>
      <c r="AA682" s="22"/>
      <c r="AB682" s="22"/>
      <c r="AC682" s="22"/>
      <c r="AD682" s="22"/>
      <c r="AE682" s="22"/>
      <c r="AF682" s="22"/>
      <c r="AG682" s="22"/>
      <c r="AH682" s="22"/>
      <c r="AI682" s="22"/>
      <c r="AJ682" s="22"/>
      <c r="AK682" s="22"/>
      <c r="AL682" s="22"/>
      <c r="AM682" s="22"/>
      <c r="AN682" s="22"/>
      <c r="AO682" s="22"/>
      <c r="AP682" s="22"/>
      <c r="AQ682" s="22"/>
      <c r="AR682" s="22"/>
      <c r="AS682" s="22"/>
      <c r="AT682" s="22"/>
      <c r="AU682" s="22"/>
      <c r="AV682" s="22"/>
      <c r="AW682" s="22"/>
      <c r="AX682" s="22"/>
    </row>
    <row r="683" spans="1:50" x14ac:dyDescent="0.3">
      <c r="A683" s="6"/>
      <c r="B683" s="19"/>
      <c r="C683" s="6"/>
      <c r="D683" s="5"/>
      <c r="E683" s="6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  <c r="AA683" s="22"/>
      <c r="AB683" s="22"/>
      <c r="AC683" s="22"/>
      <c r="AD683" s="22"/>
      <c r="AE683" s="22"/>
      <c r="AF683" s="22"/>
      <c r="AG683" s="22"/>
      <c r="AH683" s="22"/>
      <c r="AI683" s="22"/>
      <c r="AJ683" s="22"/>
      <c r="AK683" s="22"/>
      <c r="AL683" s="22"/>
      <c r="AM683" s="22"/>
      <c r="AN683" s="22"/>
      <c r="AO683" s="22"/>
      <c r="AP683" s="22"/>
      <c r="AQ683" s="22"/>
      <c r="AR683" s="22"/>
      <c r="AS683" s="22"/>
      <c r="AT683" s="22"/>
      <c r="AU683" s="22"/>
      <c r="AV683" s="22"/>
      <c r="AW683" s="22"/>
      <c r="AX683" s="22"/>
    </row>
    <row r="684" spans="1:50" x14ac:dyDescent="0.3">
      <c r="A684" s="6"/>
      <c r="B684" s="19"/>
      <c r="C684" s="6"/>
      <c r="D684" s="5"/>
      <c r="E684" s="6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  <c r="AA684" s="22"/>
      <c r="AB684" s="22"/>
      <c r="AC684" s="22"/>
      <c r="AD684" s="22"/>
      <c r="AE684" s="22"/>
      <c r="AF684" s="22"/>
      <c r="AG684" s="22"/>
      <c r="AH684" s="22"/>
      <c r="AI684" s="22"/>
      <c r="AJ684" s="22"/>
      <c r="AK684" s="22"/>
      <c r="AL684" s="22"/>
      <c r="AM684" s="22"/>
      <c r="AN684" s="22"/>
      <c r="AO684" s="22"/>
      <c r="AP684" s="22"/>
      <c r="AQ684" s="22"/>
      <c r="AR684" s="22"/>
      <c r="AS684" s="22"/>
      <c r="AT684" s="22"/>
      <c r="AU684" s="22"/>
      <c r="AV684" s="22"/>
      <c r="AW684" s="22"/>
      <c r="AX684" s="22"/>
    </row>
    <row r="685" spans="1:50" x14ac:dyDescent="0.3">
      <c r="A685" s="6"/>
      <c r="B685" s="19"/>
      <c r="C685" s="6"/>
      <c r="D685" s="5"/>
      <c r="E685" s="6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  <c r="AA685" s="22"/>
      <c r="AB685" s="22"/>
      <c r="AC685" s="22"/>
      <c r="AD685" s="22"/>
      <c r="AE685" s="22"/>
      <c r="AF685" s="22"/>
      <c r="AG685" s="22"/>
      <c r="AH685" s="22"/>
      <c r="AI685" s="22"/>
      <c r="AJ685" s="22"/>
      <c r="AK685" s="22"/>
      <c r="AL685" s="22"/>
      <c r="AM685" s="22"/>
      <c r="AN685" s="22"/>
      <c r="AO685" s="22"/>
      <c r="AP685" s="22"/>
      <c r="AQ685" s="22"/>
      <c r="AR685" s="22"/>
      <c r="AS685" s="22"/>
      <c r="AT685" s="22"/>
      <c r="AU685" s="22"/>
      <c r="AV685" s="22"/>
      <c r="AW685" s="22"/>
      <c r="AX685" s="22"/>
    </row>
    <row r="686" spans="1:50" x14ac:dyDescent="0.3">
      <c r="A686" s="6"/>
      <c r="B686" s="19"/>
      <c r="C686" s="6"/>
      <c r="D686" s="5"/>
      <c r="E686" s="6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2"/>
      <c r="AA686" s="22"/>
      <c r="AB686" s="22"/>
      <c r="AC686" s="22"/>
      <c r="AD686" s="22"/>
      <c r="AE686" s="22"/>
      <c r="AF686" s="22"/>
      <c r="AG686" s="22"/>
      <c r="AH686" s="22"/>
      <c r="AI686" s="22"/>
      <c r="AJ686" s="22"/>
      <c r="AK686" s="22"/>
      <c r="AL686" s="22"/>
      <c r="AM686" s="22"/>
      <c r="AN686" s="22"/>
      <c r="AO686" s="22"/>
      <c r="AP686" s="22"/>
      <c r="AQ686" s="22"/>
      <c r="AR686" s="22"/>
      <c r="AS686" s="22"/>
      <c r="AT686" s="22"/>
      <c r="AU686" s="22"/>
      <c r="AV686" s="22"/>
      <c r="AW686" s="22"/>
      <c r="AX686" s="22"/>
    </row>
    <row r="687" spans="1:50" x14ac:dyDescent="0.3">
      <c r="A687" s="6"/>
      <c r="B687" s="19"/>
      <c r="C687" s="6"/>
      <c r="D687" s="5"/>
      <c r="E687" s="6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  <c r="AA687" s="22"/>
      <c r="AB687" s="22"/>
      <c r="AC687" s="22"/>
      <c r="AD687" s="22"/>
      <c r="AE687" s="22"/>
      <c r="AF687" s="22"/>
      <c r="AG687" s="22"/>
      <c r="AH687" s="22"/>
      <c r="AI687" s="22"/>
      <c r="AJ687" s="22"/>
      <c r="AK687" s="22"/>
      <c r="AL687" s="22"/>
      <c r="AM687" s="22"/>
      <c r="AN687" s="22"/>
      <c r="AO687" s="22"/>
      <c r="AP687" s="22"/>
      <c r="AQ687" s="22"/>
      <c r="AR687" s="22"/>
      <c r="AS687" s="22"/>
      <c r="AT687" s="22"/>
      <c r="AU687" s="22"/>
      <c r="AV687" s="22"/>
      <c r="AW687" s="22"/>
      <c r="AX687" s="22"/>
    </row>
    <row r="688" spans="1:50" x14ac:dyDescent="0.3">
      <c r="A688" s="6"/>
      <c r="B688" s="19"/>
      <c r="C688" s="6"/>
      <c r="D688" s="5"/>
      <c r="E688" s="6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2"/>
      <c r="AA688" s="22"/>
      <c r="AB688" s="22"/>
      <c r="AC688" s="22"/>
      <c r="AD688" s="22"/>
      <c r="AE688" s="22"/>
      <c r="AF688" s="22"/>
      <c r="AG688" s="22"/>
      <c r="AH688" s="22"/>
      <c r="AI688" s="22"/>
      <c r="AJ688" s="22"/>
      <c r="AK688" s="22"/>
      <c r="AL688" s="22"/>
      <c r="AM688" s="22"/>
      <c r="AN688" s="22"/>
      <c r="AO688" s="22"/>
      <c r="AP688" s="22"/>
      <c r="AQ688" s="22"/>
      <c r="AR688" s="22"/>
      <c r="AS688" s="22"/>
      <c r="AT688" s="22"/>
      <c r="AU688" s="22"/>
      <c r="AV688" s="22"/>
      <c r="AW688" s="22"/>
      <c r="AX688" s="22"/>
    </row>
    <row r="689" spans="1:50" x14ac:dyDescent="0.3">
      <c r="A689" s="6"/>
      <c r="B689" s="19"/>
      <c r="C689" s="6"/>
      <c r="D689" s="5"/>
      <c r="E689" s="6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  <c r="AA689" s="22"/>
      <c r="AB689" s="22"/>
      <c r="AC689" s="22"/>
      <c r="AD689" s="22"/>
      <c r="AE689" s="22"/>
      <c r="AF689" s="22"/>
      <c r="AG689" s="22"/>
      <c r="AH689" s="22"/>
      <c r="AI689" s="22"/>
      <c r="AJ689" s="22"/>
      <c r="AK689" s="22"/>
      <c r="AL689" s="22"/>
      <c r="AM689" s="22"/>
      <c r="AN689" s="22"/>
      <c r="AO689" s="22"/>
      <c r="AP689" s="22"/>
      <c r="AQ689" s="22"/>
      <c r="AR689" s="22"/>
      <c r="AS689" s="22"/>
      <c r="AT689" s="22"/>
      <c r="AU689" s="22"/>
      <c r="AV689" s="22"/>
      <c r="AW689" s="22"/>
      <c r="AX689" s="22"/>
    </row>
    <row r="690" spans="1:50" x14ac:dyDescent="0.3">
      <c r="A690" s="6"/>
      <c r="B690" s="19"/>
      <c r="C690" s="6"/>
      <c r="D690" s="5"/>
      <c r="E690" s="6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  <c r="AA690" s="22"/>
      <c r="AB690" s="22"/>
      <c r="AC690" s="22"/>
      <c r="AD690" s="22"/>
      <c r="AE690" s="22"/>
      <c r="AF690" s="22"/>
      <c r="AG690" s="22"/>
      <c r="AH690" s="22"/>
      <c r="AI690" s="22"/>
      <c r="AJ690" s="22"/>
      <c r="AK690" s="22"/>
      <c r="AL690" s="22"/>
      <c r="AM690" s="22"/>
      <c r="AN690" s="22"/>
      <c r="AO690" s="22"/>
      <c r="AP690" s="22"/>
      <c r="AQ690" s="22"/>
      <c r="AR690" s="22"/>
      <c r="AS690" s="22"/>
      <c r="AT690" s="22"/>
      <c r="AU690" s="22"/>
      <c r="AV690" s="22"/>
      <c r="AW690" s="22"/>
      <c r="AX690" s="22"/>
    </row>
    <row r="691" spans="1:50" x14ac:dyDescent="0.3">
      <c r="A691" s="6"/>
      <c r="B691" s="19"/>
      <c r="C691" s="6"/>
      <c r="D691" s="5"/>
      <c r="E691" s="6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  <c r="AA691" s="22"/>
      <c r="AB691" s="22"/>
      <c r="AC691" s="22"/>
      <c r="AD691" s="22"/>
      <c r="AE691" s="22"/>
      <c r="AF691" s="22"/>
      <c r="AG691" s="22"/>
      <c r="AH691" s="22"/>
      <c r="AI691" s="22"/>
      <c r="AJ691" s="22"/>
      <c r="AK691" s="22"/>
      <c r="AL691" s="22"/>
      <c r="AM691" s="22"/>
      <c r="AN691" s="22"/>
      <c r="AO691" s="22"/>
      <c r="AP691" s="22"/>
      <c r="AQ691" s="22"/>
      <c r="AR691" s="22"/>
      <c r="AS691" s="22"/>
      <c r="AT691" s="22"/>
      <c r="AU691" s="22"/>
      <c r="AV691" s="22"/>
      <c r="AW691" s="22"/>
      <c r="AX691" s="22"/>
    </row>
    <row r="692" spans="1:50" x14ac:dyDescent="0.3">
      <c r="A692" s="6"/>
      <c r="B692" s="19"/>
      <c r="C692" s="6"/>
      <c r="D692" s="5"/>
      <c r="E692" s="6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2"/>
      <c r="AA692" s="22"/>
      <c r="AB692" s="22"/>
      <c r="AC692" s="22"/>
      <c r="AD692" s="22"/>
      <c r="AE692" s="22"/>
      <c r="AF692" s="22"/>
      <c r="AG692" s="22"/>
      <c r="AH692" s="22"/>
      <c r="AI692" s="22"/>
      <c r="AJ692" s="22"/>
      <c r="AK692" s="22"/>
      <c r="AL692" s="22"/>
      <c r="AM692" s="22"/>
      <c r="AN692" s="22"/>
      <c r="AO692" s="22"/>
      <c r="AP692" s="22"/>
      <c r="AQ692" s="22"/>
      <c r="AR692" s="22"/>
      <c r="AS692" s="22"/>
      <c r="AT692" s="22"/>
      <c r="AU692" s="22"/>
      <c r="AV692" s="22"/>
      <c r="AW692" s="22"/>
      <c r="AX692" s="22"/>
    </row>
    <row r="693" spans="1:50" x14ac:dyDescent="0.3">
      <c r="A693" s="6"/>
      <c r="B693" s="19"/>
      <c r="C693" s="6"/>
      <c r="D693" s="5"/>
      <c r="E693" s="6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  <c r="AA693" s="22"/>
      <c r="AB693" s="22"/>
      <c r="AC693" s="22"/>
      <c r="AD693" s="22"/>
      <c r="AE693" s="22"/>
      <c r="AF693" s="22"/>
      <c r="AG693" s="22"/>
      <c r="AH693" s="22"/>
      <c r="AI693" s="22"/>
      <c r="AJ693" s="22"/>
      <c r="AK693" s="22"/>
      <c r="AL693" s="22"/>
      <c r="AM693" s="22"/>
      <c r="AN693" s="22"/>
      <c r="AO693" s="22"/>
      <c r="AP693" s="22"/>
      <c r="AQ693" s="22"/>
      <c r="AR693" s="22"/>
      <c r="AS693" s="22"/>
      <c r="AT693" s="22"/>
      <c r="AU693" s="22"/>
      <c r="AV693" s="22"/>
      <c r="AW693" s="22"/>
      <c r="AX693" s="22"/>
    </row>
    <row r="694" spans="1:50" x14ac:dyDescent="0.3">
      <c r="A694" s="6"/>
      <c r="B694" s="19"/>
      <c r="C694" s="6"/>
      <c r="D694" s="5"/>
      <c r="E694" s="6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2"/>
      <c r="AA694" s="22"/>
      <c r="AB694" s="22"/>
      <c r="AC694" s="22"/>
      <c r="AD694" s="22"/>
      <c r="AE694" s="22"/>
      <c r="AF694" s="22"/>
      <c r="AG694" s="22"/>
      <c r="AH694" s="22"/>
      <c r="AI694" s="22"/>
      <c r="AJ694" s="22"/>
      <c r="AK694" s="22"/>
      <c r="AL694" s="22"/>
      <c r="AM694" s="22"/>
      <c r="AN694" s="22"/>
      <c r="AO694" s="22"/>
      <c r="AP694" s="22"/>
      <c r="AQ694" s="22"/>
      <c r="AR694" s="22"/>
      <c r="AS694" s="22"/>
      <c r="AT694" s="22"/>
      <c r="AU694" s="22"/>
      <c r="AV694" s="22"/>
      <c r="AW694" s="22"/>
      <c r="AX694" s="22"/>
    </row>
    <row r="695" spans="1:50" x14ac:dyDescent="0.3">
      <c r="A695" s="6"/>
      <c r="B695" s="19"/>
      <c r="C695" s="6"/>
      <c r="D695" s="5"/>
      <c r="E695" s="6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  <c r="AA695" s="22"/>
      <c r="AB695" s="22"/>
      <c r="AC695" s="22"/>
      <c r="AD695" s="22"/>
      <c r="AE695" s="22"/>
      <c r="AF695" s="22"/>
      <c r="AG695" s="22"/>
      <c r="AH695" s="22"/>
      <c r="AI695" s="22"/>
      <c r="AJ695" s="22"/>
      <c r="AK695" s="22"/>
      <c r="AL695" s="22"/>
      <c r="AM695" s="22"/>
      <c r="AN695" s="22"/>
      <c r="AO695" s="22"/>
      <c r="AP695" s="22"/>
      <c r="AQ695" s="22"/>
      <c r="AR695" s="22"/>
      <c r="AS695" s="22"/>
      <c r="AT695" s="22"/>
      <c r="AU695" s="22"/>
      <c r="AV695" s="22"/>
      <c r="AW695" s="22"/>
      <c r="AX695" s="22"/>
    </row>
    <row r="696" spans="1:50" x14ac:dyDescent="0.3">
      <c r="A696" s="6"/>
      <c r="B696" s="19"/>
      <c r="C696" s="6"/>
      <c r="D696" s="5"/>
      <c r="E696" s="6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2"/>
      <c r="AA696" s="22"/>
      <c r="AB696" s="22"/>
      <c r="AC696" s="22"/>
      <c r="AD696" s="22"/>
      <c r="AE696" s="22"/>
      <c r="AF696" s="22"/>
      <c r="AG696" s="22"/>
      <c r="AH696" s="22"/>
      <c r="AI696" s="22"/>
      <c r="AJ696" s="22"/>
      <c r="AK696" s="22"/>
      <c r="AL696" s="22"/>
      <c r="AM696" s="22"/>
      <c r="AN696" s="22"/>
      <c r="AO696" s="22"/>
      <c r="AP696" s="22"/>
      <c r="AQ696" s="22"/>
      <c r="AR696" s="22"/>
      <c r="AS696" s="22"/>
      <c r="AT696" s="22"/>
      <c r="AU696" s="22"/>
      <c r="AV696" s="22"/>
      <c r="AW696" s="22"/>
      <c r="AX696" s="22"/>
    </row>
    <row r="697" spans="1:50" x14ac:dyDescent="0.3">
      <c r="A697" s="6"/>
      <c r="B697" s="19"/>
      <c r="C697" s="6"/>
      <c r="D697" s="5"/>
      <c r="E697" s="6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  <c r="AA697" s="22"/>
      <c r="AB697" s="22"/>
      <c r="AC697" s="22"/>
      <c r="AD697" s="22"/>
      <c r="AE697" s="22"/>
      <c r="AF697" s="22"/>
      <c r="AG697" s="22"/>
      <c r="AH697" s="22"/>
      <c r="AI697" s="22"/>
      <c r="AJ697" s="22"/>
      <c r="AK697" s="22"/>
      <c r="AL697" s="22"/>
      <c r="AM697" s="22"/>
      <c r="AN697" s="22"/>
      <c r="AO697" s="22"/>
      <c r="AP697" s="22"/>
      <c r="AQ697" s="22"/>
      <c r="AR697" s="22"/>
      <c r="AS697" s="22"/>
      <c r="AT697" s="22"/>
      <c r="AU697" s="22"/>
      <c r="AV697" s="22"/>
      <c r="AW697" s="22"/>
      <c r="AX697" s="22"/>
    </row>
    <row r="698" spans="1:50" x14ac:dyDescent="0.3">
      <c r="A698" s="6"/>
      <c r="B698" s="19"/>
      <c r="C698" s="6"/>
      <c r="D698" s="5"/>
      <c r="E698" s="6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2"/>
      <c r="AA698" s="22"/>
      <c r="AB698" s="22"/>
      <c r="AC698" s="22"/>
      <c r="AD698" s="22"/>
      <c r="AE698" s="22"/>
      <c r="AF698" s="22"/>
      <c r="AG698" s="22"/>
      <c r="AH698" s="22"/>
      <c r="AI698" s="22"/>
      <c r="AJ698" s="22"/>
      <c r="AK698" s="22"/>
      <c r="AL698" s="22"/>
      <c r="AM698" s="22"/>
      <c r="AN698" s="22"/>
      <c r="AO698" s="22"/>
      <c r="AP698" s="22"/>
      <c r="AQ698" s="22"/>
      <c r="AR698" s="22"/>
      <c r="AS698" s="22"/>
      <c r="AT698" s="22"/>
      <c r="AU698" s="22"/>
      <c r="AV698" s="22"/>
      <c r="AW698" s="22"/>
      <c r="AX698" s="22"/>
    </row>
    <row r="699" spans="1:50" x14ac:dyDescent="0.3">
      <c r="A699" s="6"/>
      <c r="B699" s="19"/>
      <c r="C699" s="6"/>
      <c r="D699" s="5"/>
      <c r="E699" s="6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  <c r="AA699" s="22"/>
      <c r="AB699" s="22"/>
      <c r="AC699" s="22"/>
      <c r="AD699" s="22"/>
      <c r="AE699" s="22"/>
      <c r="AF699" s="22"/>
      <c r="AG699" s="22"/>
      <c r="AH699" s="22"/>
      <c r="AI699" s="22"/>
      <c r="AJ699" s="22"/>
      <c r="AK699" s="22"/>
      <c r="AL699" s="22"/>
      <c r="AM699" s="22"/>
      <c r="AN699" s="22"/>
      <c r="AO699" s="22"/>
      <c r="AP699" s="22"/>
      <c r="AQ699" s="22"/>
      <c r="AR699" s="22"/>
      <c r="AS699" s="22"/>
      <c r="AT699" s="22"/>
      <c r="AU699" s="22"/>
      <c r="AV699" s="22"/>
      <c r="AW699" s="22"/>
      <c r="AX699" s="22"/>
    </row>
    <row r="700" spans="1:50" x14ac:dyDescent="0.3">
      <c r="A700" s="6"/>
      <c r="B700" s="19"/>
      <c r="C700" s="6"/>
      <c r="D700" s="5"/>
      <c r="E700" s="6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  <c r="AA700" s="22"/>
      <c r="AB700" s="22"/>
      <c r="AC700" s="22"/>
      <c r="AD700" s="22"/>
      <c r="AE700" s="22"/>
      <c r="AF700" s="22"/>
      <c r="AG700" s="22"/>
      <c r="AH700" s="22"/>
      <c r="AI700" s="22"/>
      <c r="AJ700" s="22"/>
      <c r="AK700" s="22"/>
      <c r="AL700" s="22"/>
      <c r="AM700" s="22"/>
      <c r="AN700" s="22"/>
      <c r="AO700" s="22"/>
      <c r="AP700" s="22"/>
      <c r="AQ700" s="22"/>
      <c r="AR700" s="22"/>
      <c r="AS700" s="22"/>
      <c r="AT700" s="22"/>
      <c r="AU700" s="22"/>
      <c r="AV700" s="22"/>
      <c r="AW700" s="22"/>
      <c r="AX700" s="22"/>
    </row>
    <row r="701" spans="1:50" x14ac:dyDescent="0.3">
      <c r="A701" s="6"/>
      <c r="B701" s="19"/>
      <c r="C701" s="6"/>
      <c r="D701" s="5"/>
      <c r="E701" s="6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  <c r="AA701" s="22"/>
      <c r="AB701" s="22"/>
      <c r="AC701" s="22"/>
      <c r="AD701" s="22"/>
      <c r="AE701" s="22"/>
      <c r="AF701" s="22"/>
      <c r="AG701" s="22"/>
      <c r="AH701" s="22"/>
      <c r="AI701" s="22"/>
      <c r="AJ701" s="22"/>
      <c r="AK701" s="22"/>
      <c r="AL701" s="22"/>
      <c r="AM701" s="22"/>
      <c r="AN701" s="22"/>
      <c r="AO701" s="22"/>
      <c r="AP701" s="22"/>
      <c r="AQ701" s="22"/>
      <c r="AR701" s="22"/>
      <c r="AS701" s="22"/>
      <c r="AT701" s="22"/>
      <c r="AU701" s="22"/>
      <c r="AV701" s="22"/>
      <c r="AW701" s="22"/>
      <c r="AX701" s="22"/>
    </row>
    <row r="702" spans="1:50" x14ac:dyDescent="0.3">
      <c r="A702" s="6"/>
      <c r="B702" s="19"/>
      <c r="C702" s="6"/>
      <c r="D702" s="5"/>
      <c r="E702" s="6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2"/>
      <c r="AA702" s="22"/>
      <c r="AB702" s="22"/>
      <c r="AC702" s="22"/>
      <c r="AD702" s="22"/>
      <c r="AE702" s="22"/>
      <c r="AF702" s="22"/>
      <c r="AG702" s="22"/>
      <c r="AH702" s="22"/>
      <c r="AI702" s="22"/>
      <c r="AJ702" s="22"/>
      <c r="AK702" s="22"/>
      <c r="AL702" s="22"/>
      <c r="AM702" s="22"/>
      <c r="AN702" s="22"/>
      <c r="AO702" s="22"/>
      <c r="AP702" s="22"/>
      <c r="AQ702" s="22"/>
      <c r="AR702" s="22"/>
      <c r="AS702" s="22"/>
      <c r="AT702" s="22"/>
      <c r="AU702" s="22"/>
      <c r="AV702" s="22"/>
      <c r="AW702" s="22"/>
      <c r="AX702" s="22"/>
    </row>
    <row r="703" spans="1:50" x14ac:dyDescent="0.3">
      <c r="A703" s="6"/>
      <c r="B703" s="19"/>
      <c r="C703" s="6"/>
      <c r="D703" s="5"/>
      <c r="E703" s="6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  <c r="AA703" s="22"/>
      <c r="AB703" s="22"/>
      <c r="AC703" s="22"/>
      <c r="AD703" s="22"/>
      <c r="AE703" s="22"/>
      <c r="AF703" s="22"/>
      <c r="AG703" s="22"/>
      <c r="AH703" s="22"/>
      <c r="AI703" s="22"/>
      <c r="AJ703" s="22"/>
      <c r="AK703" s="22"/>
      <c r="AL703" s="22"/>
      <c r="AM703" s="22"/>
      <c r="AN703" s="22"/>
      <c r="AO703" s="22"/>
      <c r="AP703" s="22"/>
      <c r="AQ703" s="22"/>
      <c r="AR703" s="22"/>
      <c r="AS703" s="22"/>
      <c r="AT703" s="22"/>
      <c r="AU703" s="22"/>
      <c r="AV703" s="22"/>
      <c r="AW703" s="22"/>
      <c r="AX703" s="22"/>
    </row>
    <row r="704" spans="1:50" x14ac:dyDescent="0.3">
      <c r="A704" s="6"/>
      <c r="B704" s="19"/>
      <c r="C704" s="6"/>
      <c r="D704" s="5"/>
      <c r="E704" s="6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2"/>
      <c r="AA704" s="22"/>
      <c r="AB704" s="22"/>
      <c r="AC704" s="22"/>
      <c r="AD704" s="22"/>
      <c r="AE704" s="22"/>
      <c r="AF704" s="22"/>
      <c r="AG704" s="22"/>
      <c r="AH704" s="22"/>
      <c r="AI704" s="22"/>
      <c r="AJ704" s="22"/>
      <c r="AK704" s="22"/>
      <c r="AL704" s="22"/>
      <c r="AM704" s="22"/>
      <c r="AN704" s="22"/>
      <c r="AO704" s="22"/>
      <c r="AP704" s="22"/>
      <c r="AQ704" s="22"/>
      <c r="AR704" s="22"/>
      <c r="AS704" s="22"/>
      <c r="AT704" s="22"/>
      <c r="AU704" s="22"/>
      <c r="AV704" s="22"/>
      <c r="AW704" s="22"/>
      <c r="AX704" s="22"/>
    </row>
    <row r="705" spans="1:50" x14ac:dyDescent="0.3">
      <c r="A705" s="6"/>
      <c r="B705" s="19"/>
      <c r="C705" s="6"/>
      <c r="D705" s="5"/>
      <c r="E705" s="6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  <c r="AA705" s="22"/>
      <c r="AB705" s="22"/>
      <c r="AC705" s="22"/>
      <c r="AD705" s="22"/>
      <c r="AE705" s="22"/>
      <c r="AF705" s="22"/>
      <c r="AG705" s="22"/>
      <c r="AH705" s="22"/>
      <c r="AI705" s="22"/>
      <c r="AJ705" s="22"/>
      <c r="AK705" s="22"/>
      <c r="AL705" s="22"/>
      <c r="AM705" s="22"/>
      <c r="AN705" s="22"/>
      <c r="AO705" s="22"/>
      <c r="AP705" s="22"/>
      <c r="AQ705" s="22"/>
      <c r="AR705" s="22"/>
      <c r="AS705" s="22"/>
      <c r="AT705" s="22"/>
      <c r="AU705" s="22"/>
      <c r="AV705" s="22"/>
      <c r="AW705" s="22"/>
      <c r="AX705" s="22"/>
    </row>
    <row r="706" spans="1:50" x14ac:dyDescent="0.3">
      <c r="A706" s="6"/>
      <c r="B706" s="19"/>
      <c r="C706" s="6"/>
      <c r="D706" s="5"/>
      <c r="E706" s="6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2"/>
      <c r="AA706" s="22"/>
      <c r="AB706" s="22"/>
      <c r="AC706" s="22"/>
      <c r="AD706" s="22"/>
      <c r="AE706" s="22"/>
      <c r="AF706" s="22"/>
      <c r="AG706" s="22"/>
      <c r="AH706" s="22"/>
      <c r="AI706" s="22"/>
      <c r="AJ706" s="22"/>
      <c r="AK706" s="22"/>
      <c r="AL706" s="22"/>
      <c r="AM706" s="22"/>
      <c r="AN706" s="22"/>
      <c r="AO706" s="22"/>
      <c r="AP706" s="22"/>
      <c r="AQ706" s="22"/>
      <c r="AR706" s="22"/>
      <c r="AS706" s="22"/>
      <c r="AT706" s="22"/>
      <c r="AU706" s="22"/>
      <c r="AV706" s="22"/>
      <c r="AW706" s="22"/>
      <c r="AX706" s="22"/>
    </row>
    <row r="707" spans="1:50" x14ac:dyDescent="0.3">
      <c r="A707" s="6"/>
      <c r="B707" s="19"/>
      <c r="C707" s="6"/>
      <c r="D707" s="5"/>
      <c r="E707" s="6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  <c r="AA707" s="22"/>
      <c r="AB707" s="22"/>
      <c r="AC707" s="22"/>
      <c r="AD707" s="22"/>
      <c r="AE707" s="22"/>
      <c r="AF707" s="22"/>
      <c r="AG707" s="22"/>
      <c r="AH707" s="22"/>
      <c r="AI707" s="22"/>
      <c r="AJ707" s="22"/>
      <c r="AK707" s="22"/>
      <c r="AL707" s="22"/>
      <c r="AM707" s="22"/>
      <c r="AN707" s="22"/>
      <c r="AO707" s="22"/>
      <c r="AP707" s="22"/>
      <c r="AQ707" s="22"/>
      <c r="AR707" s="22"/>
      <c r="AS707" s="22"/>
      <c r="AT707" s="22"/>
      <c r="AU707" s="22"/>
      <c r="AV707" s="22"/>
      <c r="AW707" s="22"/>
      <c r="AX707" s="22"/>
    </row>
    <row r="708" spans="1:50" x14ac:dyDescent="0.3">
      <c r="A708" s="6"/>
      <c r="B708" s="19"/>
      <c r="C708" s="6"/>
      <c r="D708" s="5"/>
      <c r="E708" s="6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2"/>
      <c r="AA708" s="22"/>
      <c r="AB708" s="22"/>
      <c r="AC708" s="22"/>
      <c r="AD708" s="22"/>
      <c r="AE708" s="22"/>
      <c r="AF708" s="22"/>
      <c r="AG708" s="22"/>
      <c r="AH708" s="22"/>
      <c r="AI708" s="22"/>
      <c r="AJ708" s="22"/>
      <c r="AK708" s="22"/>
      <c r="AL708" s="22"/>
      <c r="AM708" s="22"/>
      <c r="AN708" s="22"/>
      <c r="AO708" s="22"/>
      <c r="AP708" s="22"/>
      <c r="AQ708" s="22"/>
      <c r="AR708" s="22"/>
      <c r="AS708" s="22"/>
      <c r="AT708" s="22"/>
      <c r="AU708" s="22"/>
      <c r="AV708" s="22"/>
      <c r="AW708" s="22"/>
      <c r="AX708" s="22"/>
    </row>
    <row r="709" spans="1:50" x14ac:dyDescent="0.3">
      <c r="A709" s="6"/>
      <c r="B709" s="19"/>
      <c r="C709" s="6"/>
      <c r="D709" s="5"/>
      <c r="E709" s="6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  <c r="AA709" s="22"/>
      <c r="AB709" s="22"/>
      <c r="AC709" s="22"/>
      <c r="AD709" s="22"/>
      <c r="AE709" s="22"/>
      <c r="AF709" s="22"/>
      <c r="AG709" s="22"/>
      <c r="AH709" s="22"/>
      <c r="AI709" s="22"/>
      <c r="AJ709" s="22"/>
      <c r="AK709" s="22"/>
      <c r="AL709" s="22"/>
      <c r="AM709" s="22"/>
      <c r="AN709" s="22"/>
      <c r="AO709" s="22"/>
      <c r="AP709" s="22"/>
      <c r="AQ709" s="22"/>
      <c r="AR709" s="22"/>
      <c r="AS709" s="22"/>
      <c r="AT709" s="22"/>
      <c r="AU709" s="22"/>
      <c r="AV709" s="22"/>
      <c r="AW709" s="22"/>
      <c r="AX709" s="22"/>
    </row>
    <row r="710" spans="1:50" x14ac:dyDescent="0.3">
      <c r="A710" s="6"/>
      <c r="B710" s="19"/>
      <c r="C710" s="6"/>
      <c r="D710" s="5"/>
      <c r="E710" s="6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  <c r="AA710" s="22"/>
      <c r="AB710" s="22"/>
      <c r="AC710" s="22"/>
      <c r="AD710" s="22"/>
      <c r="AE710" s="22"/>
      <c r="AF710" s="22"/>
      <c r="AG710" s="22"/>
      <c r="AH710" s="22"/>
      <c r="AI710" s="22"/>
      <c r="AJ710" s="22"/>
      <c r="AK710" s="22"/>
      <c r="AL710" s="22"/>
      <c r="AM710" s="22"/>
      <c r="AN710" s="22"/>
      <c r="AO710" s="22"/>
      <c r="AP710" s="22"/>
      <c r="AQ710" s="22"/>
      <c r="AR710" s="22"/>
      <c r="AS710" s="22"/>
      <c r="AT710" s="22"/>
      <c r="AU710" s="22"/>
      <c r="AV710" s="22"/>
      <c r="AW710" s="22"/>
      <c r="AX710" s="22"/>
    </row>
    <row r="711" spans="1:50" x14ac:dyDescent="0.3">
      <c r="A711" s="6"/>
      <c r="B711" s="19"/>
      <c r="C711" s="6"/>
      <c r="D711" s="5"/>
      <c r="E711" s="6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  <c r="AA711" s="22"/>
      <c r="AB711" s="22"/>
      <c r="AC711" s="22"/>
      <c r="AD711" s="22"/>
      <c r="AE711" s="22"/>
      <c r="AF711" s="22"/>
      <c r="AG711" s="22"/>
      <c r="AH711" s="22"/>
      <c r="AI711" s="22"/>
      <c r="AJ711" s="22"/>
      <c r="AK711" s="22"/>
      <c r="AL711" s="22"/>
      <c r="AM711" s="22"/>
      <c r="AN711" s="22"/>
      <c r="AO711" s="22"/>
      <c r="AP711" s="22"/>
      <c r="AQ711" s="22"/>
      <c r="AR711" s="22"/>
      <c r="AS711" s="22"/>
      <c r="AT711" s="22"/>
      <c r="AU711" s="22"/>
      <c r="AV711" s="22"/>
      <c r="AW711" s="22"/>
      <c r="AX711" s="22"/>
    </row>
    <row r="712" spans="1:50" x14ac:dyDescent="0.3">
      <c r="A712" s="6"/>
      <c r="B712" s="19"/>
      <c r="C712" s="6"/>
      <c r="D712" s="5"/>
      <c r="E712" s="6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  <c r="AA712" s="22"/>
      <c r="AB712" s="22"/>
      <c r="AC712" s="22"/>
      <c r="AD712" s="22"/>
      <c r="AE712" s="22"/>
      <c r="AF712" s="22"/>
      <c r="AG712" s="22"/>
      <c r="AH712" s="22"/>
      <c r="AI712" s="22"/>
      <c r="AJ712" s="22"/>
      <c r="AK712" s="22"/>
      <c r="AL712" s="22"/>
      <c r="AM712" s="22"/>
      <c r="AN712" s="22"/>
      <c r="AO712" s="22"/>
      <c r="AP712" s="22"/>
      <c r="AQ712" s="22"/>
      <c r="AR712" s="22"/>
      <c r="AS712" s="22"/>
      <c r="AT712" s="22"/>
      <c r="AU712" s="22"/>
      <c r="AV712" s="22"/>
      <c r="AW712" s="22"/>
      <c r="AX712" s="22"/>
    </row>
    <row r="713" spans="1:50" x14ac:dyDescent="0.3">
      <c r="A713" s="6"/>
      <c r="B713" s="19"/>
      <c r="C713" s="6"/>
      <c r="D713" s="5"/>
      <c r="E713" s="6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  <c r="AA713" s="22"/>
      <c r="AB713" s="22"/>
      <c r="AC713" s="22"/>
      <c r="AD713" s="22"/>
      <c r="AE713" s="22"/>
      <c r="AF713" s="22"/>
      <c r="AG713" s="22"/>
      <c r="AH713" s="22"/>
      <c r="AI713" s="22"/>
      <c r="AJ713" s="22"/>
      <c r="AK713" s="22"/>
      <c r="AL713" s="22"/>
      <c r="AM713" s="22"/>
      <c r="AN713" s="22"/>
      <c r="AO713" s="22"/>
      <c r="AP713" s="22"/>
      <c r="AQ713" s="22"/>
      <c r="AR713" s="22"/>
      <c r="AS713" s="22"/>
      <c r="AT713" s="22"/>
      <c r="AU713" s="22"/>
      <c r="AV713" s="22"/>
      <c r="AW713" s="22"/>
      <c r="AX713" s="22"/>
    </row>
    <row r="714" spans="1:50" x14ac:dyDescent="0.3">
      <c r="A714" s="6"/>
      <c r="B714" s="19"/>
      <c r="C714" s="6"/>
      <c r="D714" s="5"/>
      <c r="E714" s="6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2"/>
      <c r="AA714" s="22"/>
      <c r="AB714" s="22"/>
      <c r="AC714" s="22"/>
      <c r="AD714" s="22"/>
      <c r="AE714" s="22"/>
      <c r="AF714" s="22"/>
      <c r="AG714" s="22"/>
      <c r="AH714" s="22"/>
      <c r="AI714" s="22"/>
      <c r="AJ714" s="22"/>
      <c r="AK714" s="22"/>
      <c r="AL714" s="22"/>
      <c r="AM714" s="22"/>
      <c r="AN714" s="22"/>
      <c r="AO714" s="22"/>
      <c r="AP714" s="22"/>
      <c r="AQ714" s="22"/>
      <c r="AR714" s="22"/>
      <c r="AS714" s="22"/>
      <c r="AT714" s="22"/>
      <c r="AU714" s="22"/>
      <c r="AV714" s="22"/>
      <c r="AW714" s="22"/>
      <c r="AX714" s="22"/>
    </row>
    <row r="715" spans="1:50" x14ac:dyDescent="0.3">
      <c r="A715" s="6"/>
      <c r="B715" s="19"/>
      <c r="C715" s="6"/>
      <c r="D715" s="5"/>
      <c r="E715" s="6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  <c r="AA715" s="22"/>
      <c r="AB715" s="22"/>
      <c r="AC715" s="22"/>
      <c r="AD715" s="22"/>
      <c r="AE715" s="22"/>
      <c r="AF715" s="22"/>
      <c r="AG715" s="22"/>
      <c r="AH715" s="22"/>
      <c r="AI715" s="22"/>
      <c r="AJ715" s="22"/>
      <c r="AK715" s="22"/>
      <c r="AL715" s="22"/>
      <c r="AM715" s="22"/>
      <c r="AN715" s="22"/>
      <c r="AO715" s="22"/>
      <c r="AP715" s="22"/>
      <c r="AQ715" s="22"/>
      <c r="AR715" s="22"/>
      <c r="AS715" s="22"/>
      <c r="AT715" s="22"/>
      <c r="AU715" s="22"/>
      <c r="AV715" s="22"/>
      <c r="AW715" s="22"/>
      <c r="AX715" s="22"/>
    </row>
    <row r="716" spans="1:50" x14ac:dyDescent="0.3">
      <c r="A716" s="6"/>
      <c r="B716" s="19"/>
      <c r="C716" s="6"/>
      <c r="D716" s="5"/>
      <c r="E716" s="6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2"/>
      <c r="AA716" s="22"/>
      <c r="AB716" s="22"/>
      <c r="AC716" s="22"/>
      <c r="AD716" s="22"/>
      <c r="AE716" s="22"/>
      <c r="AF716" s="22"/>
      <c r="AG716" s="22"/>
      <c r="AH716" s="22"/>
      <c r="AI716" s="22"/>
      <c r="AJ716" s="22"/>
      <c r="AK716" s="22"/>
      <c r="AL716" s="22"/>
      <c r="AM716" s="22"/>
      <c r="AN716" s="22"/>
      <c r="AO716" s="22"/>
      <c r="AP716" s="22"/>
      <c r="AQ716" s="22"/>
      <c r="AR716" s="22"/>
      <c r="AS716" s="22"/>
      <c r="AT716" s="22"/>
      <c r="AU716" s="22"/>
      <c r="AV716" s="22"/>
      <c r="AW716" s="22"/>
      <c r="AX716" s="22"/>
    </row>
    <row r="717" spans="1:50" x14ac:dyDescent="0.3">
      <c r="A717" s="6"/>
      <c r="B717" s="19"/>
      <c r="C717" s="6"/>
      <c r="D717" s="5"/>
      <c r="E717" s="6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  <c r="AA717" s="22"/>
      <c r="AB717" s="22"/>
      <c r="AC717" s="22"/>
      <c r="AD717" s="22"/>
      <c r="AE717" s="22"/>
      <c r="AF717" s="22"/>
      <c r="AG717" s="22"/>
      <c r="AH717" s="22"/>
      <c r="AI717" s="22"/>
      <c r="AJ717" s="22"/>
      <c r="AK717" s="22"/>
      <c r="AL717" s="22"/>
      <c r="AM717" s="22"/>
      <c r="AN717" s="22"/>
      <c r="AO717" s="22"/>
      <c r="AP717" s="22"/>
      <c r="AQ717" s="22"/>
      <c r="AR717" s="22"/>
      <c r="AS717" s="22"/>
      <c r="AT717" s="22"/>
      <c r="AU717" s="22"/>
      <c r="AV717" s="22"/>
      <c r="AW717" s="22"/>
      <c r="AX717" s="22"/>
    </row>
    <row r="718" spans="1:50" x14ac:dyDescent="0.3">
      <c r="A718" s="6"/>
      <c r="B718" s="19"/>
      <c r="C718" s="6"/>
      <c r="D718" s="5"/>
      <c r="E718" s="6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  <c r="AA718" s="22"/>
      <c r="AB718" s="22"/>
      <c r="AC718" s="22"/>
      <c r="AD718" s="22"/>
      <c r="AE718" s="22"/>
      <c r="AF718" s="22"/>
      <c r="AG718" s="22"/>
      <c r="AH718" s="22"/>
      <c r="AI718" s="22"/>
      <c r="AJ718" s="22"/>
      <c r="AK718" s="22"/>
      <c r="AL718" s="22"/>
      <c r="AM718" s="22"/>
      <c r="AN718" s="22"/>
      <c r="AO718" s="22"/>
      <c r="AP718" s="22"/>
      <c r="AQ718" s="22"/>
      <c r="AR718" s="22"/>
      <c r="AS718" s="22"/>
      <c r="AT718" s="22"/>
      <c r="AU718" s="22"/>
      <c r="AV718" s="22"/>
      <c r="AW718" s="22"/>
      <c r="AX718" s="22"/>
    </row>
    <row r="719" spans="1:50" x14ac:dyDescent="0.3">
      <c r="A719" s="6"/>
      <c r="B719" s="19"/>
      <c r="C719" s="6"/>
      <c r="D719" s="5"/>
      <c r="E719" s="6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  <c r="AA719" s="22"/>
      <c r="AB719" s="22"/>
      <c r="AC719" s="22"/>
      <c r="AD719" s="22"/>
      <c r="AE719" s="22"/>
      <c r="AF719" s="22"/>
      <c r="AG719" s="22"/>
      <c r="AH719" s="22"/>
      <c r="AI719" s="22"/>
      <c r="AJ719" s="22"/>
      <c r="AK719" s="22"/>
      <c r="AL719" s="22"/>
      <c r="AM719" s="22"/>
      <c r="AN719" s="22"/>
      <c r="AO719" s="22"/>
      <c r="AP719" s="22"/>
      <c r="AQ719" s="22"/>
      <c r="AR719" s="22"/>
      <c r="AS719" s="22"/>
      <c r="AT719" s="22"/>
      <c r="AU719" s="22"/>
      <c r="AV719" s="22"/>
      <c r="AW719" s="22"/>
      <c r="AX719" s="22"/>
    </row>
    <row r="720" spans="1:50" x14ac:dyDescent="0.3">
      <c r="A720" s="6"/>
      <c r="B720" s="19"/>
      <c r="C720" s="6"/>
      <c r="D720" s="5"/>
      <c r="E720" s="6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  <c r="AA720" s="22"/>
      <c r="AB720" s="22"/>
      <c r="AC720" s="22"/>
      <c r="AD720" s="22"/>
      <c r="AE720" s="22"/>
      <c r="AF720" s="22"/>
      <c r="AG720" s="22"/>
      <c r="AH720" s="22"/>
      <c r="AI720" s="22"/>
      <c r="AJ720" s="22"/>
      <c r="AK720" s="22"/>
      <c r="AL720" s="22"/>
      <c r="AM720" s="22"/>
      <c r="AN720" s="22"/>
      <c r="AO720" s="22"/>
      <c r="AP720" s="22"/>
      <c r="AQ720" s="22"/>
      <c r="AR720" s="22"/>
      <c r="AS720" s="22"/>
      <c r="AT720" s="22"/>
      <c r="AU720" s="22"/>
      <c r="AV720" s="22"/>
      <c r="AW720" s="22"/>
      <c r="AX720" s="22"/>
    </row>
    <row r="721" spans="1:50" x14ac:dyDescent="0.3">
      <c r="A721" s="6"/>
      <c r="B721" s="19"/>
      <c r="C721" s="6"/>
      <c r="D721" s="5"/>
      <c r="E721" s="6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  <c r="AA721" s="22"/>
      <c r="AB721" s="22"/>
      <c r="AC721" s="22"/>
      <c r="AD721" s="22"/>
      <c r="AE721" s="22"/>
      <c r="AF721" s="22"/>
      <c r="AG721" s="22"/>
      <c r="AH721" s="22"/>
      <c r="AI721" s="22"/>
      <c r="AJ721" s="22"/>
      <c r="AK721" s="22"/>
      <c r="AL721" s="22"/>
      <c r="AM721" s="22"/>
      <c r="AN721" s="22"/>
      <c r="AO721" s="22"/>
      <c r="AP721" s="22"/>
      <c r="AQ721" s="22"/>
      <c r="AR721" s="22"/>
      <c r="AS721" s="22"/>
      <c r="AT721" s="22"/>
      <c r="AU721" s="22"/>
      <c r="AV721" s="22"/>
      <c r="AW721" s="22"/>
      <c r="AX721" s="22"/>
    </row>
    <row r="722" spans="1:50" x14ac:dyDescent="0.3">
      <c r="A722" s="6"/>
      <c r="B722" s="19"/>
      <c r="C722" s="6"/>
      <c r="D722" s="5"/>
      <c r="E722" s="6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  <c r="AA722" s="22"/>
      <c r="AB722" s="22"/>
      <c r="AC722" s="22"/>
      <c r="AD722" s="22"/>
      <c r="AE722" s="22"/>
      <c r="AF722" s="22"/>
      <c r="AG722" s="22"/>
      <c r="AH722" s="22"/>
      <c r="AI722" s="22"/>
      <c r="AJ722" s="22"/>
      <c r="AK722" s="22"/>
      <c r="AL722" s="22"/>
      <c r="AM722" s="22"/>
      <c r="AN722" s="22"/>
      <c r="AO722" s="22"/>
      <c r="AP722" s="22"/>
      <c r="AQ722" s="22"/>
      <c r="AR722" s="22"/>
      <c r="AS722" s="22"/>
      <c r="AT722" s="22"/>
      <c r="AU722" s="22"/>
      <c r="AV722" s="22"/>
      <c r="AW722" s="22"/>
      <c r="AX722" s="22"/>
    </row>
    <row r="723" spans="1:50" x14ac:dyDescent="0.3">
      <c r="A723" s="6"/>
      <c r="B723" s="19"/>
      <c r="C723" s="6"/>
      <c r="D723" s="5"/>
      <c r="E723" s="6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  <c r="AA723" s="22"/>
      <c r="AB723" s="22"/>
      <c r="AC723" s="22"/>
      <c r="AD723" s="22"/>
      <c r="AE723" s="22"/>
      <c r="AF723" s="22"/>
      <c r="AG723" s="22"/>
      <c r="AH723" s="22"/>
      <c r="AI723" s="22"/>
      <c r="AJ723" s="22"/>
      <c r="AK723" s="22"/>
      <c r="AL723" s="22"/>
      <c r="AM723" s="22"/>
      <c r="AN723" s="22"/>
      <c r="AO723" s="22"/>
      <c r="AP723" s="22"/>
      <c r="AQ723" s="22"/>
      <c r="AR723" s="22"/>
      <c r="AS723" s="22"/>
      <c r="AT723" s="22"/>
      <c r="AU723" s="22"/>
      <c r="AV723" s="22"/>
      <c r="AW723" s="22"/>
      <c r="AX723" s="22"/>
    </row>
    <row r="724" spans="1:50" x14ac:dyDescent="0.3">
      <c r="A724" s="6"/>
      <c r="B724" s="19"/>
      <c r="C724" s="6"/>
      <c r="D724" s="5"/>
      <c r="E724" s="6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  <c r="AA724" s="22"/>
      <c r="AB724" s="22"/>
      <c r="AC724" s="22"/>
      <c r="AD724" s="22"/>
      <c r="AE724" s="22"/>
      <c r="AF724" s="22"/>
      <c r="AG724" s="22"/>
      <c r="AH724" s="22"/>
      <c r="AI724" s="22"/>
      <c r="AJ724" s="22"/>
      <c r="AK724" s="22"/>
      <c r="AL724" s="22"/>
      <c r="AM724" s="22"/>
      <c r="AN724" s="22"/>
      <c r="AO724" s="22"/>
      <c r="AP724" s="22"/>
      <c r="AQ724" s="22"/>
      <c r="AR724" s="22"/>
      <c r="AS724" s="22"/>
      <c r="AT724" s="22"/>
      <c r="AU724" s="22"/>
      <c r="AV724" s="22"/>
      <c r="AW724" s="22"/>
      <c r="AX724" s="22"/>
    </row>
    <row r="725" spans="1:50" x14ac:dyDescent="0.3">
      <c r="A725" s="6"/>
      <c r="B725" s="19"/>
      <c r="C725" s="6"/>
      <c r="D725" s="5"/>
      <c r="E725" s="6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  <c r="AA725" s="22"/>
      <c r="AB725" s="22"/>
      <c r="AC725" s="22"/>
      <c r="AD725" s="22"/>
      <c r="AE725" s="22"/>
      <c r="AF725" s="22"/>
      <c r="AG725" s="22"/>
      <c r="AH725" s="22"/>
      <c r="AI725" s="22"/>
      <c r="AJ725" s="22"/>
      <c r="AK725" s="22"/>
      <c r="AL725" s="22"/>
      <c r="AM725" s="22"/>
      <c r="AN725" s="22"/>
      <c r="AO725" s="22"/>
      <c r="AP725" s="22"/>
      <c r="AQ725" s="22"/>
      <c r="AR725" s="22"/>
      <c r="AS725" s="22"/>
      <c r="AT725" s="22"/>
      <c r="AU725" s="22"/>
      <c r="AV725" s="22"/>
      <c r="AW725" s="22"/>
      <c r="AX725" s="22"/>
    </row>
    <row r="726" spans="1:50" x14ac:dyDescent="0.3">
      <c r="A726" s="6"/>
      <c r="B726" s="19"/>
      <c r="C726" s="6"/>
      <c r="D726" s="5"/>
      <c r="E726" s="6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  <c r="AA726" s="22"/>
      <c r="AB726" s="22"/>
      <c r="AC726" s="22"/>
      <c r="AD726" s="22"/>
      <c r="AE726" s="22"/>
      <c r="AF726" s="22"/>
      <c r="AG726" s="22"/>
      <c r="AH726" s="22"/>
      <c r="AI726" s="22"/>
      <c r="AJ726" s="22"/>
      <c r="AK726" s="22"/>
      <c r="AL726" s="22"/>
      <c r="AM726" s="22"/>
      <c r="AN726" s="22"/>
      <c r="AO726" s="22"/>
      <c r="AP726" s="22"/>
      <c r="AQ726" s="22"/>
      <c r="AR726" s="22"/>
      <c r="AS726" s="22"/>
      <c r="AT726" s="22"/>
      <c r="AU726" s="22"/>
      <c r="AV726" s="22"/>
      <c r="AW726" s="22"/>
      <c r="AX726" s="22"/>
    </row>
    <row r="727" spans="1:50" x14ac:dyDescent="0.3">
      <c r="A727" s="6"/>
      <c r="B727" s="19"/>
      <c r="C727" s="6"/>
      <c r="D727" s="5"/>
      <c r="E727" s="6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  <c r="AA727" s="22"/>
      <c r="AB727" s="22"/>
      <c r="AC727" s="22"/>
      <c r="AD727" s="22"/>
      <c r="AE727" s="22"/>
      <c r="AF727" s="22"/>
      <c r="AG727" s="22"/>
      <c r="AH727" s="22"/>
      <c r="AI727" s="22"/>
      <c r="AJ727" s="22"/>
      <c r="AK727" s="22"/>
      <c r="AL727" s="22"/>
      <c r="AM727" s="22"/>
      <c r="AN727" s="22"/>
      <c r="AO727" s="22"/>
      <c r="AP727" s="22"/>
      <c r="AQ727" s="22"/>
      <c r="AR727" s="22"/>
      <c r="AS727" s="22"/>
      <c r="AT727" s="22"/>
      <c r="AU727" s="22"/>
      <c r="AV727" s="22"/>
      <c r="AW727" s="22"/>
      <c r="AX727" s="22"/>
    </row>
    <row r="728" spans="1:50" x14ac:dyDescent="0.3">
      <c r="A728" s="6"/>
      <c r="B728" s="19"/>
      <c r="C728" s="6"/>
      <c r="D728" s="5"/>
      <c r="E728" s="6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  <c r="AD728" s="22"/>
      <c r="AE728" s="22"/>
      <c r="AF728" s="22"/>
      <c r="AG728" s="22"/>
      <c r="AH728" s="22"/>
      <c r="AI728" s="22"/>
      <c r="AJ728" s="22"/>
      <c r="AK728" s="22"/>
      <c r="AL728" s="22"/>
      <c r="AM728" s="22"/>
      <c r="AN728" s="22"/>
      <c r="AO728" s="22"/>
      <c r="AP728" s="22"/>
      <c r="AQ728" s="22"/>
      <c r="AR728" s="22"/>
      <c r="AS728" s="22"/>
      <c r="AT728" s="22"/>
      <c r="AU728" s="22"/>
      <c r="AV728" s="22"/>
      <c r="AW728" s="22"/>
      <c r="AX728" s="22"/>
    </row>
    <row r="729" spans="1:50" x14ac:dyDescent="0.3">
      <c r="A729" s="6"/>
      <c r="B729" s="19"/>
      <c r="C729" s="6"/>
      <c r="D729" s="5"/>
      <c r="E729" s="6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  <c r="AD729" s="22"/>
      <c r="AE729" s="22"/>
      <c r="AF729" s="22"/>
      <c r="AG729" s="22"/>
      <c r="AH729" s="22"/>
      <c r="AI729" s="22"/>
      <c r="AJ729" s="22"/>
      <c r="AK729" s="22"/>
      <c r="AL729" s="22"/>
      <c r="AM729" s="22"/>
      <c r="AN729" s="22"/>
      <c r="AO729" s="22"/>
      <c r="AP729" s="22"/>
      <c r="AQ729" s="22"/>
      <c r="AR729" s="22"/>
      <c r="AS729" s="22"/>
      <c r="AT729" s="22"/>
      <c r="AU729" s="22"/>
      <c r="AV729" s="22"/>
      <c r="AW729" s="22"/>
      <c r="AX729" s="22"/>
    </row>
    <row r="730" spans="1:50" x14ac:dyDescent="0.3">
      <c r="A730" s="6"/>
      <c r="B730" s="19"/>
      <c r="C730" s="6"/>
      <c r="D730" s="5"/>
      <c r="E730" s="6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  <c r="AD730" s="22"/>
      <c r="AE730" s="22"/>
      <c r="AF730" s="22"/>
      <c r="AG730" s="22"/>
      <c r="AH730" s="22"/>
      <c r="AI730" s="22"/>
      <c r="AJ730" s="22"/>
      <c r="AK730" s="22"/>
      <c r="AL730" s="22"/>
      <c r="AM730" s="22"/>
      <c r="AN730" s="22"/>
      <c r="AO730" s="22"/>
      <c r="AP730" s="22"/>
      <c r="AQ730" s="22"/>
      <c r="AR730" s="22"/>
      <c r="AS730" s="22"/>
      <c r="AT730" s="22"/>
      <c r="AU730" s="22"/>
      <c r="AV730" s="22"/>
      <c r="AW730" s="22"/>
      <c r="AX730" s="22"/>
    </row>
    <row r="731" spans="1:50" x14ac:dyDescent="0.3">
      <c r="A731" s="6"/>
      <c r="B731" s="19"/>
      <c r="C731" s="6"/>
      <c r="D731" s="5"/>
      <c r="E731" s="6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  <c r="AA731" s="22"/>
      <c r="AB731" s="22"/>
      <c r="AC731" s="22"/>
      <c r="AD731" s="22"/>
      <c r="AE731" s="22"/>
      <c r="AF731" s="22"/>
      <c r="AG731" s="22"/>
      <c r="AH731" s="22"/>
      <c r="AI731" s="22"/>
      <c r="AJ731" s="22"/>
      <c r="AK731" s="22"/>
      <c r="AL731" s="22"/>
      <c r="AM731" s="22"/>
      <c r="AN731" s="22"/>
      <c r="AO731" s="22"/>
      <c r="AP731" s="22"/>
      <c r="AQ731" s="22"/>
      <c r="AR731" s="22"/>
      <c r="AS731" s="22"/>
      <c r="AT731" s="22"/>
      <c r="AU731" s="22"/>
      <c r="AV731" s="22"/>
      <c r="AW731" s="22"/>
      <c r="AX731" s="22"/>
    </row>
    <row r="732" spans="1:50" x14ac:dyDescent="0.3">
      <c r="A732" s="6"/>
      <c r="B732" s="19"/>
      <c r="C732" s="6"/>
      <c r="D732" s="5"/>
      <c r="E732" s="6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  <c r="AA732" s="22"/>
      <c r="AB732" s="22"/>
      <c r="AC732" s="22"/>
      <c r="AD732" s="22"/>
      <c r="AE732" s="22"/>
      <c r="AF732" s="22"/>
      <c r="AG732" s="22"/>
      <c r="AH732" s="22"/>
      <c r="AI732" s="22"/>
      <c r="AJ732" s="22"/>
      <c r="AK732" s="22"/>
      <c r="AL732" s="22"/>
      <c r="AM732" s="22"/>
      <c r="AN732" s="22"/>
      <c r="AO732" s="22"/>
      <c r="AP732" s="22"/>
      <c r="AQ732" s="22"/>
      <c r="AR732" s="22"/>
      <c r="AS732" s="22"/>
      <c r="AT732" s="22"/>
      <c r="AU732" s="22"/>
      <c r="AV732" s="22"/>
      <c r="AW732" s="22"/>
      <c r="AX732" s="22"/>
    </row>
    <row r="733" spans="1:50" x14ac:dyDescent="0.3">
      <c r="A733" s="6"/>
      <c r="B733" s="19"/>
      <c r="C733" s="6"/>
      <c r="D733" s="5"/>
      <c r="E733" s="6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  <c r="AA733" s="22"/>
      <c r="AB733" s="22"/>
      <c r="AC733" s="22"/>
      <c r="AD733" s="22"/>
      <c r="AE733" s="22"/>
      <c r="AF733" s="22"/>
      <c r="AG733" s="22"/>
      <c r="AH733" s="22"/>
      <c r="AI733" s="22"/>
      <c r="AJ733" s="22"/>
      <c r="AK733" s="22"/>
      <c r="AL733" s="22"/>
      <c r="AM733" s="22"/>
      <c r="AN733" s="22"/>
      <c r="AO733" s="22"/>
      <c r="AP733" s="22"/>
      <c r="AQ733" s="22"/>
      <c r="AR733" s="22"/>
      <c r="AS733" s="22"/>
      <c r="AT733" s="22"/>
      <c r="AU733" s="22"/>
      <c r="AV733" s="22"/>
      <c r="AW733" s="22"/>
      <c r="AX733" s="22"/>
    </row>
    <row r="734" spans="1:50" x14ac:dyDescent="0.3">
      <c r="A734" s="6"/>
      <c r="B734" s="19"/>
      <c r="C734" s="6"/>
      <c r="D734" s="5"/>
      <c r="E734" s="6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2"/>
      <c r="AA734" s="22"/>
      <c r="AB734" s="22"/>
      <c r="AC734" s="22"/>
      <c r="AD734" s="22"/>
      <c r="AE734" s="22"/>
      <c r="AF734" s="22"/>
      <c r="AG734" s="22"/>
      <c r="AH734" s="22"/>
      <c r="AI734" s="22"/>
      <c r="AJ734" s="22"/>
      <c r="AK734" s="22"/>
      <c r="AL734" s="22"/>
      <c r="AM734" s="22"/>
      <c r="AN734" s="22"/>
      <c r="AO734" s="22"/>
      <c r="AP734" s="22"/>
      <c r="AQ734" s="22"/>
      <c r="AR734" s="22"/>
      <c r="AS734" s="22"/>
      <c r="AT734" s="22"/>
      <c r="AU734" s="22"/>
      <c r="AV734" s="22"/>
      <c r="AW734" s="22"/>
      <c r="AX734" s="22"/>
    </row>
    <row r="735" spans="1:50" x14ac:dyDescent="0.3">
      <c r="A735" s="6"/>
      <c r="B735" s="19"/>
      <c r="C735" s="6"/>
      <c r="D735" s="5"/>
      <c r="E735" s="6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  <c r="AA735" s="22"/>
      <c r="AB735" s="22"/>
      <c r="AC735" s="22"/>
      <c r="AD735" s="22"/>
      <c r="AE735" s="22"/>
      <c r="AF735" s="22"/>
      <c r="AG735" s="22"/>
      <c r="AH735" s="22"/>
      <c r="AI735" s="22"/>
      <c r="AJ735" s="22"/>
      <c r="AK735" s="22"/>
      <c r="AL735" s="22"/>
      <c r="AM735" s="22"/>
      <c r="AN735" s="22"/>
      <c r="AO735" s="22"/>
      <c r="AP735" s="22"/>
      <c r="AQ735" s="22"/>
      <c r="AR735" s="22"/>
      <c r="AS735" s="22"/>
      <c r="AT735" s="22"/>
      <c r="AU735" s="22"/>
      <c r="AV735" s="22"/>
      <c r="AW735" s="22"/>
      <c r="AX735" s="22"/>
    </row>
    <row r="736" spans="1:50" x14ac:dyDescent="0.3">
      <c r="A736" s="6"/>
      <c r="B736" s="19"/>
      <c r="C736" s="6"/>
      <c r="D736" s="5"/>
      <c r="E736" s="6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2"/>
      <c r="AA736" s="22"/>
      <c r="AB736" s="22"/>
      <c r="AC736" s="22"/>
      <c r="AD736" s="22"/>
      <c r="AE736" s="22"/>
      <c r="AF736" s="22"/>
      <c r="AG736" s="22"/>
      <c r="AH736" s="22"/>
      <c r="AI736" s="22"/>
      <c r="AJ736" s="22"/>
      <c r="AK736" s="22"/>
      <c r="AL736" s="22"/>
      <c r="AM736" s="22"/>
      <c r="AN736" s="22"/>
      <c r="AO736" s="22"/>
      <c r="AP736" s="22"/>
      <c r="AQ736" s="22"/>
      <c r="AR736" s="22"/>
      <c r="AS736" s="22"/>
      <c r="AT736" s="22"/>
      <c r="AU736" s="22"/>
      <c r="AV736" s="22"/>
      <c r="AW736" s="22"/>
      <c r="AX736" s="22"/>
    </row>
    <row r="737" spans="1:50" x14ac:dyDescent="0.3">
      <c r="A737" s="6"/>
      <c r="B737" s="19"/>
      <c r="C737" s="6"/>
      <c r="D737" s="5"/>
      <c r="E737" s="6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  <c r="AA737" s="22"/>
      <c r="AB737" s="22"/>
      <c r="AC737" s="22"/>
      <c r="AD737" s="22"/>
      <c r="AE737" s="22"/>
      <c r="AF737" s="22"/>
      <c r="AG737" s="22"/>
      <c r="AH737" s="22"/>
      <c r="AI737" s="22"/>
      <c r="AJ737" s="22"/>
      <c r="AK737" s="22"/>
      <c r="AL737" s="22"/>
      <c r="AM737" s="22"/>
      <c r="AN737" s="22"/>
      <c r="AO737" s="22"/>
      <c r="AP737" s="22"/>
      <c r="AQ737" s="22"/>
      <c r="AR737" s="22"/>
      <c r="AS737" s="22"/>
      <c r="AT737" s="22"/>
      <c r="AU737" s="22"/>
      <c r="AV737" s="22"/>
      <c r="AW737" s="22"/>
      <c r="AX737" s="22"/>
    </row>
    <row r="738" spans="1:50" x14ac:dyDescent="0.3">
      <c r="A738" s="6"/>
      <c r="B738" s="19"/>
      <c r="C738" s="6"/>
      <c r="D738" s="5"/>
      <c r="E738" s="6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2"/>
      <c r="AA738" s="22"/>
      <c r="AB738" s="22"/>
      <c r="AC738" s="22"/>
      <c r="AD738" s="22"/>
      <c r="AE738" s="22"/>
      <c r="AF738" s="22"/>
      <c r="AG738" s="22"/>
      <c r="AH738" s="22"/>
      <c r="AI738" s="22"/>
      <c r="AJ738" s="22"/>
      <c r="AK738" s="22"/>
      <c r="AL738" s="22"/>
      <c r="AM738" s="22"/>
      <c r="AN738" s="22"/>
      <c r="AO738" s="22"/>
      <c r="AP738" s="22"/>
      <c r="AQ738" s="22"/>
      <c r="AR738" s="22"/>
      <c r="AS738" s="22"/>
      <c r="AT738" s="22"/>
      <c r="AU738" s="22"/>
      <c r="AV738" s="22"/>
      <c r="AW738" s="22"/>
      <c r="AX738" s="22"/>
    </row>
    <row r="739" spans="1:50" x14ac:dyDescent="0.3">
      <c r="A739" s="6"/>
      <c r="B739" s="19"/>
      <c r="C739" s="6"/>
      <c r="D739" s="5"/>
      <c r="E739" s="6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  <c r="AA739" s="22"/>
      <c r="AB739" s="22"/>
      <c r="AC739" s="22"/>
      <c r="AD739" s="22"/>
      <c r="AE739" s="22"/>
      <c r="AF739" s="22"/>
      <c r="AG739" s="22"/>
      <c r="AH739" s="22"/>
      <c r="AI739" s="22"/>
      <c r="AJ739" s="22"/>
      <c r="AK739" s="22"/>
      <c r="AL739" s="22"/>
      <c r="AM739" s="22"/>
      <c r="AN739" s="22"/>
      <c r="AO739" s="22"/>
      <c r="AP739" s="22"/>
      <c r="AQ739" s="22"/>
      <c r="AR739" s="22"/>
      <c r="AS739" s="22"/>
      <c r="AT739" s="22"/>
      <c r="AU739" s="22"/>
      <c r="AV739" s="22"/>
      <c r="AW739" s="22"/>
      <c r="AX739" s="22"/>
    </row>
    <row r="740" spans="1:50" x14ac:dyDescent="0.3">
      <c r="A740" s="6"/>
      <c r="B740" s="19"/>
      <c r="C740" s="6"/>
      <c r="D740" s="5"/>
      <c r="E740" s="6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  <c r="AA740" s="22"/>
      <c r="AB740" s="22"/>
      <c r="AC740" s="22"/>
      <c r="AD740" s="22"/>
      <c r="AE740" s="22"/>
      <c r="AF740" s="22"/>
      <c r="AG740" s="22"/>
      <c r="AH740" s="22"/>
      <c r="AI740" s="22"/>
      <c r="AJ740" s="22"/>
      <c r="AK740" s="22"/>
      <c r="AL740" s="22"/>
      <c r="AM740" s="22"/>
      <c r="AN740" s="22"/>
      <c r="AO740" s="22"/>
      <c r="AP740" s="22"/>
      <c r="AQ740" s="22"/>
      <c r="AR740" s="22"/>
      <c r="AS740" s="22"/>
      <c r="AT740" s="22"/>
      <c r="AU740" s="22"/>
      <c r="AV740" s="22"/>
      <c r="AW740" s="22"/>
      <c r="AX740" s="22"/>
    </row>
    <row r="741" spans="1:50" x14ac:dyDescent="0.3">
      <c r="A741" s="6"/>
      <c r="B741" s="19"/>
      <c r="C741" s="6"/>
      <c r="D741" s="5"/>
      <c r="E741" s="6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  <c r="AA741" s="22"/>
      <c r="AB741" s="22"/>
      <c r="AC741" s="22"/>
      <c r="AD741" s="22"/>
      <c r="AE741" s="22"/>
      <c r="AF741" s="22"/>
      <c r="AG741" s="22"/>
      <c r="AH741" s="22"/>
      <c r="AI741" s="22"/>
      <c r="AJ741" s="22"/>
      <c r="AK741" s="22"/>
      <c r="AL741" s="22"/>
      <c r="AM741" s="22"/>
      <c r="AN741" s="22"/>
      <c r="AO741" s="22"/>
      <c r="AP741" s="22"/>
      <c r="AQ741" s="22"/>
      <c r="AR741" s="22"/>
      <c r="AS741" s="22"/>
      <c r="AT741" s="22"/>
      <c r="AU741" s="22"/>
      <c r="AV741" s="22"/>
      <c r="AW741" s="22"/>
      <c r="AX741" s="22"/>
    </row>
    <row r="742" spans="1:50" x14ac:dyDescent="0.3">
      <c r="A742" s="6"/>
      <c r="B742" s="19"/>
      <c r="C742" s="6"/>
      <c r="D742" s="5"/>
      <c r="E742" s="6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2"/>
      <c r="AA742" s="22"/>
      <c r="AB742" s="22"/>
      <c r="AC742" s="22"/>
      <c r="AD742" s="22"/>
      <c r="AE742" s="22"/>
      <c r="AF742" s="22"/>
      <c r="AG742" s="22"/>
      <c r="AH742" s="22"/>
      <c r="AI742" s="22"/>
      <c r="AJ742" s="22"/>
      <c r="AK742" s="22"/>
      <c r="AL742" s="22"/>
      <c r="AM742" s="22"/>
      <c r="AN742" s="22"/>
      <c r="AO742" s="22"/>
      <c r="AP742" s="22"/>
      <c r="AQ742" s="22"/>
      <c r="AR742" s="22"/>
      <c r="AS742" s="22"/>
      <c r="AT742" s="22"/>
      <c r="AU742" s="22"/>
      <c r="AV742" s="22"/>
      <c r="AW742" s="22"/>
      <c r="AX742" s="22"/>
    </row>
    <row r="743" spans="1:50" x14ac:dyDescent="0.3">
      <c r="A743" s="6"/>
      <c r="B743" s="19"/>
      <c r="C743" s="6"/>
      <c r="D743" s="5"/>
      <c r="E743" s="6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  <c r="AA743" s="22"/>
      <c r="AB743" s="22"/>
      <c r="AC743" s="22"/>
      <c r="AD743" s="22"/>
      <c r="AE743" s="22"/>
      <c r="AF743" s="22"/>
      <c r="AG743" s="22"/>
      <c r="AH743" s="22"/>
      <c r="AI743" s="22"/>
      <c r="AJ743" s="22"/>
      <c r="AK743" s="22"/>
      <c r="AL743" s="22"/>
      <c r="AM743" s="22"/>
      <c r="AN743" s="22"/>
      <c r="AO743" s="22"/>
      <c r="AP743" s="22"/>
      <c r="AQ743" s="22"/>
      <c r="AR743" s="22"/>
      <c r="AS743" s="22"/>
      <c r="AT743" s="22"/>
      <c r="AU743" s="22"/>
      <c r="AV743" s="22"/>
      <c r="AW743" s="22"/>
      <c r="AX743" s="22"/>
    </row>
    <row r="744" spans="1:50" x14ac:dyDescent="0.3">
      <c r="A744" s="6"/>
      <c r="B744" s="19"/>
      <c r="C744" s="6"/>
      <c r="D744" s="5"/>
      <c r="E744" s="6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2"/>
      <c r="AA744" s="22"/>
      <c r="AB744" s="22"/>
      <c r="AC744" s="22"/>
      <c r="AD744" s="22"/>
      <c r="AE744" s="22"/>
      <c r="AF744" s="22"/>
      <c r="AG744" s="22"/>
      <c r="AH744" s="22"/>
      <c r="AI744" s="22"/>
      <c r="AJ744" s="22"/>
      <c r="AK744" s="22"/>
      <c r="AL744" s="22"/>
      <c r="AM744" s="22"/>
      <c r="AN744" s="22"/>
      <c r="AO744" s="22"/>
      <c r="AP744" s="22"/>
      <c r="AQ744" s="22"/>
      <c r="AR744" s="22"/>
      <c r="AS744" s="22"/>
      <c r="AT744" s="22"/>
      <c r="AU744" s="22"/>
      <c r="AV744" s="22"/>
      <c r="AW744" s="22"/>
      <c r="AX744" s="22"/>
    </row>
    <row r="745" spans="1:50" x14ac:dyDescent="0.3">
      <c r="A745" s="6"/>
      <c r="B745" s="19"/>
      <c r="C745" s="6"/>
      <c r="D745" s="5"/>
      <c r="E745" s="6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  <c r="AA745" s="22"/>
      <c r="AB745" s="22"/>
      <c r="AC745" s="22"/>
      <c r="AD745" s="22"/>
      <c r="AE745" s="22"/>
      <c r="AF745" s="22"/>
      <c r="AG745" s="22"/>
      <c r="AH745" s="22"/>
      <c r="AI745" s="22"/>
      <c r="AJ745" s="22"/>
      <c r="AK745" s="22"/>
      <c r="AL745" s="22"/>
      <c r="AM745" s="22"/>
      <c r="AN745" s="22"/>
      <c r="AO745" s="22"/>
      <c r="AP745" s="22"/>
      <c r="AQ745" s="22"/>
      <c r="AR745" s="22"/>
      <c r="AS745" s="22"/>
      <c r="AT745" s="22"/>
      <c r="AU745" s="22"/>
      <c r="AV745" s="22"/>
      <c r="AW745" s="22"/>
      <c r="AX745" s="22"/>
    </row>
    <row r="746" spans="1:50" x14ac:dyDescent="0.3">
      <c r="A746" s="6"/>
      <c r="B746" s="19"/>
      <c r="C746" s="6"/>
      <c r="D746" s="5"/>
      <c r="E746" s="6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2"/>
      <c r="AA746" s="22"/>
      <c r="AB746" s="22"/>
      <c r="AC746" s="22"/>
      <c r="AD746" s="22"/>
      <c r="AE746" s="22"/>
      <c r="AF746" s="22"/>
      <c r="AG746" s="22"/>
      <c r="AH746" s="22"/>
      <c r="AI746" s="22"/>
      <c r="AJ746" s="22"/>
      <c r="AK746" s="22"/>
      <c r="AL746" s="22"/>
      <c r="AM746" s="22"/>
      <c r="AN746" s="22"/>
      <c r="AO746" s="22"/>
      <c r="AP746" s="22"/>
      <c r="AQ746" s="22"/>
      <c r="AR746" s="22"/>
      <c r="AS746" s="22"/>
      <c r="AT746" s="22"/>
      <c r="AU746" s="22"/>
      <c r="AV746" s="22"/>
      <c r="AW746" s="22"/>
      <c r="AX746" s="22"/>
    </row>
    <row r="747" spans="1:50" x14ac:dyDescent="0.3">
      <c r="A747" s="6"/>
      <c r="B747" s="19"/>
      <c r="C747" s="6"/>
      <c r="D747" s="5"/>
      <c r="E747" s="6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  <c r="AA747" s="22"/>
      <c r="AB747" s="22"/>
      <c r="AC747" s="22"/>
      <c r="AD747" s="22"/>
      <c r="AE747" s="22"/>
      <c r="AF747" s="22"/>
      <c r="AG747" s="22"/>
      <c r="AH747" s="22"/>
      <c r="AI747" s="22"/>
      <c r="AJ747" s="22"/>
      <c r="AK747" s="22"/>
      <c r="AL747" s="22"/>
      <c r="AM747" s="22"/>
      <c r="AN747" s="22"/>
      <c r="AO747" s="22"/>
      <c r="AP747" s="22"/>
      <c r="AQ747" s="22"/>
      <c r="AR747" s="22"/>
      <c r="AS747" s="22"/>
      <c r="AT747" s="22"/>
      <c r="AU747" s="22"/>
      <c r="AV747" s="22"/>
      <c r="AW747" s="22"/>
      <c r="AX747" s="22"/>
    </row>
    <row r="748" spans="1:50" x14ac:dyDescent="0.3">
      <c r="A748" s="6"/>
      <c r="B748" s="19"/>
      <c r="C748" s="6"/>
      <c r="D748" s="5"/>
      <c r="E748" s="6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2"/>
      <c r="AA748" s="22"/>
      <c r="AB748" s="22"/>
      <c r="AC748" s="22"/>
      <c r="AD748" s="22"/>
      <c r="AE748" s="22"/>
      <c r="AF748" s="22"/>
      <c r="AG748" s="22"/>
      <c r="AH748" s="22"/>
      <c r="AI748" s="22"/>
      <c r="AJ748" s="22"/>
      <c r="AK748" s="22"/>
      <c r="AL748" s="22"/>
      <c r="AM748" s="22"/>
      <c r="AN748" s="22"/>
      <c r="AO748" s="22"/>
      <c r="AP748" s="22"/>
      <c r="AQ748" s="22"/>
      <c r="AR748" s="22"/>
      <c r="AS748" s="22"/>
      <c r="AT748" s="22"/>
      <c r="AU748" s="22"/>
      <c r="AV748" s="22"/>
      <c r="AW748" s="22"/>
      <c r="AX748" s="22"/>
    </row>
    <row r="749" spans="1:50" x14ac:dyDescent="0.3">
      <c r="A749" s="6"/>
      <c r="B749" s="19"/>
      <c r="C749" s="6"/>
      <c r="D749" s="5"/>
      <c r="E749" s="6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  <c r="AA749" s="22"/>
      <c r="AB749" s="22"/>
      <c r="AC749" s="22"/>
      <c r="AD749" s="22"/>
      <c r="AE749" s="22"/>
      <c r="AF749" s="22"/>
      <c r="AG749" s="22"/>
      <c r="AH749" s="22"/>
      <c r="AI749" s="22"/>
      <c r="AJ749" s="22"/>
      <c r="AK749" s="22"/>
      <c r="AL749" s="22"/>
      <c r="AM749" s="22"/>
      <c r="AN749" s="22"/>
      <c r="AO749" s="22"/>
      <c r="AP749" s="22"/>
      <c r="AQ749" s="22"/>
      <c r="AR749" s="22"/>
      <c r="AS749" s="22"/>
      <c r="AT749" s="22"/>
      <c r="AU749" s="22"/>
      <c r="AV749" s="22"/>
      <c r="AW749" s="22"/>
      <c r="AX749" s="22"/>
    </row>
    <row r="750" spans="1:50" x14ac:dyDescent="0.3">
      <c r="A750" s="6"/>
      <c r="B750" s="19"/>
      <c r="C750" s="6"/>
      <c r="D750" s="5"/>
      <c r="E750" s="6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  <c r="AA750" s="22"/>
      <c r="AB750" s="22"/>
      <c r="AC750" s="22"/>
      <c r="AD750" s="22"/>
      <c r="AE750" s="22"/>
      <c r="AF750" s="22"/>
      <c r="AG750" s="22"/>
      <c r="AH750" s="22"/>
      <c r="AI750" s="22"/>
      <c r="AJ750" s="22"/>
      <c r="AK750" s="22"/>
      <c r="AL750" s="22"/>
      <c r="AM750" s="22"/>
      <c r="AN750" s="22"/>
      <c r="AO750" s="22"/>
      <c r="AP750" s="22"/>
      <c r="AQ750" s="22"/>
      <c r="AR750" s="22"/>
      <c r="AS750" s="22"/>
      <c r="AT750" s="22"/>
      <c r="AU750" s="22"/>
      <c r="AV750" s="22"/>
      <c r="AW750" s="22"/>
      <c r="AX750" s="22"/>
    </row>
    <row r="751" spans="1:50" x14ac:dyDescent="0.3">
      <c r="A751" s="6"/>
      <c r="B751" s="19"/>
      <c r="C751" s="6"/>
      <c r="D751" s="5"/>
      <c r="E751" s="6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  <c r="AA751" s="22"/>
      <c r="AB751" s="22"/>
      <c r="AC751" s="22"/>
      <c r="AD751" s="22"/>
      <c r="AE751" s="22"/>
      <c r="AF751" s="22"/>
      <c r="AG751" s="22"/>
      <c r="AH751" s="22"/>
      <c r="AI751" s="22"/>
      <c r="AJ751" s="22"/>
      <c r="AK751" s="22"/>
      <c r="AL751" s="22"/>
      <c r="AM751" s="22"/>
      <c r="AN751" s="22"/>
      <c r="AO751" s="22"/>
      <c r="AP751" s="22"/>
      <c r="AQ751" s="22"/>
      <c r="AR751" s="22"/>
      <c r="AS751" s="22"/>
      <c r="AT751" s="22"/>
      <c r="AU751" s="22"/>
      <c r="AV751" s="22"/>
      <c r="AW751" s="22"/>
      <c r="AX751" s="22"/>
    </row>
    <row r="752" spans="1:50" x14ac:dyDescent="0.3">
      <c r="A752" s="6"/>
      <c r="B752" s="19"/>
      <c r="C752" s="6"/>
      <c r="D752" s="5"/>
      <c r="E752" s="6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  <c r="AA752" s="22"/>
      <c r="AB752" s="22"/>
      <c r="AC752" s="22"/>
      <c r="AD752" s="22"/>
      <c r="AE752" s="22"/>
      <c r="AF752" s="22"/>
      <c r="AG752" s="22"/>
      <c r="AH752" s="22"/>
      <c r="AI752" s="22"/>
      <c r="AJ752" s="22"/>
      <c r="AK752" s="22"/>
      <c r="AL752" s="22"/>
      <c r="AM752" s="22"/>
      <c r="AN752" s="22"/>
      <c r="AO752" s="22"/>
      <c r="AP752" s="22"/>
      <c r="AQ752" s="22"/>
      <c r="AR752" s="22"/>
      <c r="AS752" s="22"/>
      <c r="AT752" s="22"/>
      <c r="AU752" s="22"/>
      <c r="AV752" s="22"/>
      <c r="AW752" s="22"/>
      <c r="AX752" s="22"/>
    </row>
    <row r="753" spans="1:50" x14ac:dyDescent="0.3">
      <c r="A753" s="6"/>
      <c r="B753" s="19"/>
      <c r="C753" s="6"/>
      <c r="D753" s="5"/>
      <c r="E753" s="6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  <c r="AA753" s="22"/>
      <c r="AB753" s="22"/>
      <c r="AC753" s="22"/>
      <c r="AD753" s="22"/>
      <c r="AE753" s="22"/>
      <c r="AF753" s="22"/>
      <c r="AG753" s="22"/>
      <c r="AH753" s="22"/>
      <c r="AI753" s="22"/>
      <c r="AJ753" s="22"/>
      <c r="AK753" s="22"/>
      <c r="AL753" s="22"/>
      <c r="AM753" s="22"/>
      <c r="AN753" s="22"/>
      <c r="AO753" s="22"/>
      <c r="AP753" s="22"/>
      <c r="AQ753" s="22"/>
      <c r="AR753" s="22"/>
      <c r="AS753" s="22"/>
      <c r="AT753" s="22"/>
      <c r="AU753" s="22"/>
      <c r="AV753" s="22"/>
      <c r="AW753" s="22"/>
      <c r="AX753" s="22"/>
    </row>
    <row r="754" spans="1:50" x14ac:dyDescent="0.3">
      <c r="A754" s="6"/>
      <c r="B754" s="19"/>
      <c r="C754" s="6"/>
      <c r="D754" s="5"/>
      <c r="E754" s="6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  <c r="AA754" s="22"/>
      <c r="AB754" s="22"/>
      <c r="AC754" s="22"/>
      <c r="AD754" s="22"/>
      <c r="AE754" s="22"/>
      <c r="AF754" s="22"/>
      <c r="AG754" s="22"/>
      <c r="AH754" s="22"/>
      <c r="AI754" s="22"/>
      <c r="AJ754" s="22"/>
      <c r="AK754" s="22"/>
      <c r="AL754" s="22"/>
      <c r="AM754" s="22"/>
      <c r="AN754" s="22"/>
      <c r="AO754" s="22"/>
      <c r="AP754" s="22"/>
      <c r="AQ754" s="22"/>
      <c r="AR754" s="22"/>
      <c r="AS754" s="22"/>
      <c r="AT754" s="22"/>
      <c r="AU754" s="22"/>
      <c r="AV754" s="22"/>
      <c r="AW754" s="22"/>
      <c r="AX754" s="22"/>
    </row>
    <row r="755" spans="1:50" x14ac:dyDescent="0.3">
      <c r="A755" s="6"/>
      <c r="B755" s="19"/>
      <c r="C755" s="6"/>
      <c r="D755" s="5"/>
      <c r="E755" s="6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2"/>
      <c r="AA755" s="22"/>
      <c r="AB755" s="22"/>
      <c r="AC755" s="22"/>
      <c r="AD755" s="22"/>
      <c r="AE755" s="22"/>
      <c r="AF755" s="22"/>
      <c r="AG755" s="22"/>
      <c r="AH755" s="22"/>
      <c r="AI755" s="22"/>
      <c r="AJ755" s="22"/>
      <c r="AK755" s="22"/>
      <c r="AL755" s="22"/>
      <c r="AM755" s="22"/>
      <c r="AN755" s="22"/>
      <c r="AO755" s="22"/>
      <c r="AP755" s="22"/>
      <c r="AQ755" s="22"/>
      <c r="AR755" s="22"/>
      <c r="AS755" s="22"/>
      <c r="AT755" s="22"/>
      <c r="AU755" s="22"/>
      <c r="AV755" s="22"/>
      <c r="AW755" s="22"/>
      <c r="AX755" s="22"/>
    </row>
    <row r="756" spans="1:50" x14ac:dyDescent="0.3">
      <c r="A756" s="6"/>
      <c r="B756" s="19"/>
      <c r="C756" s="6"/>
      <c r="D756" s="5"/>
      <c r="E756" s="6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2"/>
      <c r="AA756" s="22"/>
      <c r="AB756" s="22"/>
      <c r="AC756" s="22"/>
      <c r="AD756" s="22"/>
      <c r="AE756" s="22"/>
      <c r="AF756" s="22"/>
      <c r="AG756" s="22"/>
      <c r="AH756" s="22"/>
      <c r="AI756" s="22"/>
      <c r="AJ756" s="22"/>
      <c r="AK756" s="22"/>
      <c r="AL756" s="22"/>
      <c r="AM756" s="22"/>
      <c r="AN756" s="22"/>
      <c r="AO756" s="22"/>
      <c r="AP756" s="22"/>
      <c r="AQ756" s="22"/>
      <c r="AR756" s="22"/>
      <c r="AS756" s="22"/>
      <c r="AT756" s="22"/>
      <c r="AU756" s="22"/>
      <c r="AV756" s="22"/>
      <c r="AW756" s="22"/>
      <c r="AX756" s="22"/>
    </row>
    <row r="757" spans="1:50" x14ac:dyDescent="0.3">
      <c r="A757" s="6"/>
      <c r="B757" s="19"/>
      <c r="C757" s="6"/>
      <c r="D757" s="5"/>
      <c r="E757" s="6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2"/>
      <c r="AA757" s="22"/>
      <c r="AB757" s="22"/>
      <c r="AC757" s="22"/>
      <c r="AD757" s="22"/>
      <c r="AE757" s="22"/>
      <c r="AF757" s="22"/>
      <c r="AG757" s="22"/>
      <c r="AH757" s="22"/>
      <c r="AI757" s="22"/>
      <c r="AJ757" s="22"/>
      <c r="AK757" s="22"/>
      <c r="AL757" s="22"/>
      <c r="AM757" s="22"/>
      <c r="AN757" s="22"/>
      <c r="AO757" s="22"/>
      <c r="AP757" s="22"/>
      <c r="AQ757" s="22"/>
      <c r="AR757" s="22"/>
      <c r="AS757" s="22"/>
      <c r="AT757" s="22"/>
      <c r="AU757" s="22"/>
      <c r="AV757" s="22"/>
      <c r="AW757" s="22"/>
      <c r="AX757" s="22"/>
    </row>
    <row r="758" spans="1:50" x14ac:dyDescent="0.3">
      <c r="A758" s="6"/>
      <c r="B758" s="19"/>
      <c r="C758" s="6"/>
      <c r="D758" s="5"/>
      <c r="E758" s="6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2"/>
      <c r="Y758" s="22"/>
      <c r="Z758" s="22"/>
      <c r="AA758" s="22"/>
      <c r="AB758" s="22"/>
      <c r="AC758" s="22"/>
      <c r="AD758" s="22"/>
      <c r="AE758" s="22"/>
      <c r="AF758" s="22"/>
      <c r="AG758" s="22"/>
      <c r="AH758" s="22"/>
      <c r="AI758" s="22"/>
      <c r="AJ758" s="22"/>
      <c r="AK758" s="22"/>
      <c r="AL758" s="22"/>
      <c r="AM758" s="22"/>
      <c r="AN758" s="22"/>
      <c r="AO758" s="22"/>
      <c r="AP758" s="22"/>
      <c r="AQ758" s="22"/>
      <c r="AR758" s="22"/>
      <c r="AS758" s="22"/>
      <c r="AT758" s="22"/>
      <c r="AU758" s="22"/>
      <c r="AV758" s="22"/>
      <c r="AW758" s="22"/>
      <c r="AX758" s="22"/>
    </row>
    <row r="759" spans="1:50" x14ac:dyDescent="0.3">
      <c r="A759" s="6"/>
      <c r="B759" s="19"/>
      <c r="C759" s="6"/>
      <c r="D759" s="5"/>
      <c r="E759" s="6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  <c r="AA759" s="22"/>
      <c r="AB759" s="22"/>
      <c r="AC759" s="22"/>
      <c r="AD759" s="22"/>
      <c r="AE759" s="22"/>
      <c r="AF759" s="22"/>
      <c r="AG759" s="22"/>
      <c r="AH759" s="22"/>
      <c r="AI759" s="22"/>
      <c r="AJ759" s="22"/>
      <c r="AK759" s="22"/>
      <c r="AL759" s="22"/>
      <c r="AM759" s="22"/>
      <c r="AN759" s="22"/>
      <c r="AO759" s="22"/>
      <c r="AP759" s="22"/>
      <c r="AQ759" s="22"/>
      <c r="AR759" s="22"/>
      <c r="AS759" s="22"/>
      <c r="AT759" s="22"/>
      <c r="AU759" s="22"/>
      <c r="AV759" s="22"/>
      <c r="AW759" s="22"/>
      <c r="AX759" s="22"/>
    </row>
    <row r="760" spans="1:50" x14ac:dyDescent="0.3">
      <c r="A760" s="6"/>
      <c r="B760" s="19"/>
      <c r="C760" s="6"/>
      <c r="D760" s="5"/>
      <c r="E760" s="6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2"/>
      <c r="AA760" s="22"/>
      <c r="AB760" s="22"/>
      <c r="AC760" s="22"/>
      <c r="AD760" s="22"/>
      <c r="AE760" s="22"/>
      <c r="AF760" s="22"/>
      <c r="AG760" s="22"/>
      <c r="AH760" s="22"/>
      <c r="AI760" s="22"/>
      <c r="AJ760" s="22"/>
      <c r="AK760" s="22"/>
      <c r="AL760" s="22"/>
      <c r="AM760" s="22"/>
      <c r="AN760" s="22"/>
      <c r="AO760" s="22"/>
      <c r="AP760" s="22"/>
      <c r="AQ760" s="22"/>
      <c r="AR760" s="22"/>
      <c r="AS760" s="22"/>
      <c r="AT760" s="22"/>
      <c r="AU760" s="22"/>
      <c r="AV760" s="22"/>
      <c r="AW760" s="22"/>
      <c r="AX760" s="22"/>
    </row>
    <row r="761" spans="1:50" x14ac:dyDescent="0.3">
      <c r="A761" s="6"/>
      <c r="B761" s="19"/>
      <c r="C761" s="6"/>
      <c r="D761" s="5"/>
      <c r="E761" s="6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  <c r="AA761" s="22"/>
      <c r="AB761" s="22"/>
      <c r="AC761" s="22"/>
      <c r="AD761" s="22"/>
      <c r="AE761" s="22"/>
      <c r="AF761" s="22"/>
      <c r="AG761" s="22"/>
      <c r="AH761" s="22"/>
      <c r="AI761" s="22"/>
      <c r="AJ761" s="22"/>
      <c r="AK761" s="22"/>
      <c r="AL761" s="22"/>
      <c r="AM761" s="22"/>
      <c r="AN761" s="22"/>
      <c r="AO761" s="22"/>
      <c r="AP761" s="22"/>
      <c r="AQ761" s="22"/>
      <c r="AR761" s="22"/>
      <c r="AS761" s="22"/>
      <c r="AT761" s="22"/>
      <c r="AU761" s="22"/>
      <c r="AV761" s="22"/>
      <c r="AW761" s="22"/>
      <c r="AX761" s="22"/>
    </row>
    <row r="762" spans="1:50" x14ac:dyDescent="0.3">
      <c r="A762" s="6"/>
      <c r="B762" s="19"/>
      <c r="C762" s="6"/>
      <c r="D762" s="5"/>
      <c r="E762" s="6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  <c r="AA762" s="22"/>
      <c r="AB762" s="22"/>
      <c r="AC762" s="22"/>
      <c r="AD762" s="22"/>
      <c r="AE762" s="22"/>
      <c r="AF762" s="22"/>
      <c r="AG762" s="22"/>
      <c r="AH762" s="22"/>
      <c r="AI762" s="22"/>
      <c r="AJ762" s="22"/>
      <c r="AK762" s="22"/>
      <c r="AL762" s="22"/>
      <c r="AM762" s="22"/>
      <c r="AN762" s="22"/>
      <c r="AO762" s="22"/>
      <c r="AP762" s="22"/>
      <c r="AQ762" s="22"/>
      <c r="AR762" s="22"/>
      <c r="AS762" s="22"/>
      <c r="AT762" s="22"/>
      <c r="AU762" s="22"/>
      <c r="AV762" s="22"/>
      <c r="AW762" s="22"/>
      <c r="AX762" s="22"/>
    </row>
    <row r="763" spans="1:50" x14ac:dyDescent="0.3">
      <c r="A763" s="6"/>
      <c r="B763" s="19"/>
      <c r="C763" s="6"/>
      <c r="D763" s="5"/>
      <c r="E763" s="6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  <c r="AA763" s="22"/>
      <c r="AB763" s="22"/>
      <c r="AC763" s="22"/>
      <c r="AD763" s="22"/>
      <c r="AE763" s="22"/>
      <c r="AF763" s="22"/>
      <c r="AG763" s="22"/>
      <c r="AH763" s="22"/>
      <c r="AI763" s="22"/>
      <c r="AJ763" s="22"/>
      <c r="AK763" s="22"/>
      <c r="AL763" s="22"/>
      <c r="AM763" s="22"/>
      <c r="AN763" s="22"/>
      <c r="AO763" s="22"/>
      <c r="AP763" s="22"/>
      <c r="AQ763" s="22"/>
      <c r="AR763" s="22"/>
      <c r="AS763" s="22"/>
      <c r="AT763" s="22"/>
      <c r="AU763" s="22"/>
      <c r="AV763" s="22"/>
      <c r="AW763" s="22"/>
      <c r="AX763" s="22"/>
    </row>
    <row r="764" spans="1:50" x14ac:dyDescent="0.3">
      <c r="A764" s="6"/>
      <c r="B764" s="19"/>
      <c r="C764" s="6"/>
      <c r="D764" s="5"/>
      <c r="E764" s="6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2"/>
      <c r="Y764" s="22"/>
      <c r="Z764" s="22"/>
      <c r="AA764" s="22"/>
      <c r="AB764" s="22"/>
      <c r="AC764" s="22"/>
      <c r="AD764" s="22"/>
      <c r="AE764" s="22"/>
      <c r="AF764" s="22"/>
      <c r="AG764" s="22"/>
      <c r="AH764" s="22"/>
      <c r="AI764" s="22"/>
      <c r="AJ764" s="22"/>
      <c r="AK764" s="22"/>
      <c r="AL764" s="22"/>
      <c r="AM764" s="22"/>
      <c r="AN764" s="22"/>
      <c r="AO764" s="22"/>
      <c r="AP764" s="22"/>
      <c r="AQ764" s="22"/>
      <c r="AR764" s="22"/>
      <c r="AS764" s="22"/>
      <c r="AT764" s="22"/>
      <c r="AU764" s="22"/>
      <c r="AV764" s="22"/>
      <c r="AW764" s="22"/>
      <c r="AX764" s="22"/>
    </row>
    <row r="765" spans="1:50" x14ac:dyDescent="0.3">
      <c r="A765" s="6"/>
      <c r="B765" s="19"/>
      <c r="C765" s="6"/>
      <c r="D765" s="5"/>
      <c r="E765" s="6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2"/>
      <c r="AA765" s="22"/>
      <c r="AB765" s="22"/>
      <c r="AC765" s="22"/>
      <c r="AD765" s="22"/>
      <c r="AE765" s="22"/>
      <c r="AF765" s="22"/>
      <c r="AG765" s="22"/>
      <c r="AH765" s="22"/>
      <c r="AI765" s="22"/>
      <c r="AJ765" s="22"/>
      <c r="AK765" s="22"/>
      <c r="AL765" s="22"/>
      <c r="AM765" s="22"/>
      <c r="AN765" s="22"/>
      <c r="AO765" s="22"/>
      <c r="AP765" s="22"/>
      <c r="AQ765" s="22"/>
      <c r="AR765" s="22"/>
      <c r="AS765" s="22"/>
      <c r="AT765" s="22"/>
      <c r="AU765" s="22"/>
      <c r="AV765" s="22"/>
      <c r="AW765" s="22"/>
      <c r="AX765" s="22"/>
    </row>
    <row r="766" spans="1:50" x14ac:dyDescent="0.3">
      <c r="A766" s="6"/>
      <c r="B766" s="19"/>
      <c r="C766" s="6"/>
      <c r="D766" s="5"/>
      <c r="E766" s="6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2"/>
      <c r="Y766" s="22"/>
      <c r="Z766" s="22"/>
      <c r="AA766" s="22"/>
      <c r="AB766" s="22"/>
      <c r="AC766" s="22"/>
      <c r="AD766" s="22"/>
      <c r="AE766" s="22"/>
      <c r="AF766" s="22"/>
      <c r="AG766" s="22"/>
      <c r="AH766" s="22"/>
      <c r="AI766" s="22"/>
      <c r="AJ766" s="22"/>
      <c r="AK766" s="22"/>
      <c r="AL766" s="22"/>
      <c r="AM766" s="22"/>
      <c r="AN766" s="22"/>
      <c r="AO766" s="22"/>
      <c r="AP766" s="22"/>
      <c r="AQ766" s="22"/>
      <c r="AR766" s="22"/>
      <c r="AS766" s="22"/>
      <c r="AT766" s="22"/>
      <c r="AU766" s="22"/>
      <c r="AV766" s="22"/>
      <c r="AW766" s="22"/>
      <c r="AX766" s="22"/>
    </row>
    <row r="767" spans="1:50" x14ac:dyDescent="0.3">
      <c r="A767" s="6"/>
      <c r="B767" s="19"/>
      <c r="C767" s="6"/>
      <c r="D767" s="5"/>
      <c r="E767" s="6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  <c r="AA767" s="22"/>
      <c r="AB767" s="22"/>
      <c r="AC767" s="22"/>
      <c r="AD767" s="22"/>
      <c r="AE767" s="22"/>
      <c r="AF767" s="22"/>
      <c r="AG767" s="22"/>
      <c r="AH767" s="22"/>
      <c r="AI767" s="22"/>
      <c r="AJ767" s="22"/>
      <c r="AK767" s="22"/>
      <c r="AL767" s="22"/>
      <c r="AM767" s="22"/>
      <c r="AN767" s="22"/>
      <c r="AO767" s="22"/>
      <c r="AP767" s="22"/>
      <c r="AQ767" s="22"/>
      <c r="AR767" s="22"/>
      <c r="AS767" s="22"/>
      <c r="AT767" s="22"/>
      <c r="AU767" s="22"/>
      <c r="AV767" s="22"/>
      <c r="AW767" s="22"/>
      <c r="AX767" s="22"/>
    </row>
    <row r="768" spans="1:50" x14ac:dyDescent="0.3">
      <c r="A768" s="6"/>
      <c r="B768" s="19"/>
      <c r="C768" s="6"/>
      <c r="D768" s="5"/>
      <c r="E768" s="6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2"/>
      <c r="AA768" s="22"/>
      <c r="AB768" s="22"/>
      <c r="AC768" s="22"/>
      <c r="AD768" s="22"/>
      <c r="AE768" s="22"/>
      <c r="AF768" s="22"/>
      <c r="AG768" s="22"/>
      <c r="AH768" s="22"/>
      <c r="AI768" s="22"/>
      <c r="AJ768" s="22"/>
      <c r="AK768" s="22"/>
      <c r="AL768" s="22"/>
      <c r="AM768" s="22"/>
      <c r="AN768" s="22"/>
      <c r="AO768" s="22"/>
      <c r="AP768" s="22"/>
      <c r="AQ768" s="22"/>
      <c r="AR768" s="22"/>
      <c r="AS768" s="22"/>
      <c r="AT768" s="22"/>
      <c r="AU768" s="22"/>
      <c r="AV768" s="22"/>
      <c r="AW768" s="22"/>
      <c r="AX768" s="22"/>
    </row>
    <row r="769" spans="1:50" x14ac:dyDescent="0.3">
      <c r="A769" s="6"/>
      <c r="B769" s="19"/>
      <c r="C769" s="6"/>
      <c r="D769" s="5"/>
      <c r="E769" s="6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2"/>
      <c r="AA769" s="22"/>
      <c r="AB769" s="22"/>
      <c r="AC769" s="22"/>
      <c r="AD769" s="22"/>
      <c r="AE769" s="22"/>
      <c r="AF769" s="22"/>
      <c r="AG769" s="22"/>
      <c r="AH769" s="22"/>
      <c r="AI769" s="22"/>
      <c r="AJ769" s="22"/>
      <c r="AK769" s="22"/>
      <c r="AL769" s="22"/>
      <c r="AM769" s="22"/>
      <c r="AN769" s="22"/>
      <c r="AO769" s="22"/>
      <c r="AP769" s="22"/>
      <c r="AQ769" s="22"/>
      <c r="AR769" s="22"/>
      <c r="AS769" s="22"/>
      <c r="AT769" s="22"/>
      <c r="AU769" s="22"/>
      <c r="AV769" s="22"/>
      <c r="AW769" s="22"/>
      <c r="AX769" s="22"/>
    </row>
    <row r="770" spans="1:50" x14ac:dyDescent="0.3">
      <c r="A770" s="6"/>
      <c r="B770" s="19"/>
      <c r="C770" s="6"/>
      <c r="D770" s="5"/>
      <c r="E770" s="6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  <c r="AA770" s="22"/>
      <c r="AB770" s="22"/>
      <c r="AC770" s="22"/>
      <c r="AD770" s="22"/>
      <c r="AE770" s="22"/>
      <c r="AF770" s="22"/>
      <c r="AG770" s="22"/>
      <c r="AH770" s="22"/>
      <c r="AI770" s="22"/>
      <c r="AJ770" s="22"/>
      <c r="AK770" s="22"/>
      <c r="AL770" s="22"/>
      <c r="AM770" s="22"/>
      <c r="AN770" s="22"/>
      <c r="AO770" s="22"/>
      <c r="AP770" s="22"/>
      <c r="AQ770" s="22"/>
      <c r="AR770" s="22"/>
      <c r="AS770" s="22"/>
      <c r="AT770" s="22"/>
      <c r="AU770" s="22"/>
      <c r="AV770" s="22"/>
      <c r="AW770" s="22"/>
      <c r="AX770" s="22"/>
    </row>
    <row r="771" spans="1:50" x14ac:dyDescent="0.3">
      <c r="A771" s="6"/>
      <c r="B771" s="19"/>
      <c r="C771" s="6"/>
      <c r="D771" s="5"/>
      <c r="E771" s="6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  <c r="AA771" s="22"/>
      <c r="AB771" s="22"/>
      <c r="AC771" s="22"/>
      <c r="AD771" s="22"/>
      <c r="AE771" s="22"/>
      <c r="AF771" s="22"/>
      <c r="AG771" s="22"/>
      <c r="AH771" s="22"/>
      <c r="AI771" s="22"/>
      <c r="AJ771" s="22"/>
      <c r="AK771" s="22"/>
      <c r="AL771" s="22"/>
      <c r="AM771" s="22"/>
      <c r="AN771" s="22"/>
      <c r="AO771" s="22"/>
      <c r="AP771" s="22"/>
      <c r="AQ771" s="22"/>
      <c r="AR771" s="22"/>
      <c r="AS771" s="22"/>
      <c r="AT771" s="22"/>
      <c r="AU771" s="22"/>
      <c r="AV771" s="22"/>
      <c r="AW771" s="22"/>
      <c r="AX771" s="22"/>
    </row>
    <row r="772" spans="1:50" x14ac:dyDescent="0.3">
      <c r="A772" s="6"/>
      <c r="B772" s="19"/>
      <c r="C772" s="6"/>
      <c r="D772" s="5"/>
      <c r="E772" s="6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2"/>
      <c r="Y772" s="22"/>
      <c r="Z772" s="22"/>
      <c r="AA772" s="22"/>
      <c r="AB772" s="22"/>
      <c r="AC772" s="22"/>
      <c r="AD772" s="22"/>
      <c r="AE772" s="22"/>
      <c r="AF772" s="22"/>
      <c r="AG772" s="22"/>
      <c r="AH772" s="22"/>
      <c r="AI772" s="22"/>
      <c r="AJ772" s="22"/>
      <c r="AK772" s="22"/>
      <c r="AL772" s="22"/>
      <c r="AM772" s="22"/>
      <c r="AN772" s="22"/>
      <c r="AO772" s="22"/>
      <c r="AP772" s="22"/>
      <c r="AQ772" s="22"/>
      <c r="AR772" s="22"/>
      <c r="AS772" s="22"/>
      <c r="AT772" s="22"/>
      <c r="AU772" s="22"/>
      <c r="AV772" s="22"/>
      <c r="AW772" s="22"/>
      <c r="AX772" s="22"/>
    </row>
    <row r="773" spans="1:50" x14ac:dyDescent="0.3">
      <c r="A773" s="6"/>
      <c r="B773" s="19"/>
      <c r="C773" s="6"/>
      <c r="D773" s="5"/>
      <c r="E773" s="6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2"/>
      <c r="AA773" s="22"/>
      <c r="AB773" s="22"/>
      <c r="AC773" s="22"/>
      <c r="AD773" s="22"/>
      <c r="AE773" s="22"/>
      <c r="AF773" s="22"/>
      <c r="AG773" s="22"/>
      <c r="AH773" s="22"/>
      <c r="AI773" s="22"/>
      <c r="AJ773" s="22"/>
      <c r="AK773" s="22"/>
      <c r="AL773" s="22"/>
      <c r="AM773" s="22"/>
      <c r="AN773" s="22"/>
      <c r="AO773" s="22"/>
      <c r="AP773" s="22"/>
      <c r="AQ773" s="22"/>
      <c r="AR773" s="22"/>
      <c r="AS773" s="22"/>
      <c r="AT773" s="22"/>
      <c r="AU773" s="22"/>
      <c r="AV773" s="22"/>
      <c r="AW773" s="22"/>
      <c r="AX773" s="22"/>
    </row>
    <row r="774" spans="1:50" x14ac:dyDescent="0.3">
      <c r="A774" s="6"/>
      <c r="B774" s="19"/>
      <c r="C774" s="6"/>
      <c r="D774" s="5"/>
      <c r="E774" s="6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2"/>
      <c r="AA774" s="22"/>
      <c r="AB774" s="22"/>
      <c r="AC774" s="22"/>
      <c r="AD774" s="22"/>
      <c r="AE774" s="22"/>
      <c r="AF774" s="22"/>
      <c r="AG774" s="22"/>
      <c r="AH774" s="22"/>
      <c r="AI774" s="22"/>
      <c r="AJ774" s="22"/>
      <c r="AK774" s="22"/>
      <c r="AL774" s="22"/>
      <c r="AM774" s="22"/>
      <c r="AN774" s="22"/>
      <c r="AO774" s="22"/>
      <c r="AP774" s="22"/>
      <c r="AQ774" s="22"/>
      <c r="AR774" s="22"/>
      <c r="AS774" s="22"/>
      <c r="AT774" s="22"/>
      <c r="AU774" s="22"/>
      <c r="AV774" s="22"/>
      <c r="AW774" s="22"/>
      <c r="AX774" s="22"/>
    </row>
    <row r="775" spans="1:50" x14ac:dyDescent="0.3">
      <c r="A775" s="6"/>
      <c r="B775" s="19"/>
      <c r="C775" s="6"/>
      <c r="D775" s="5"/>
      <c r="E775" s="6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2"/>
      <c r="AA775" s="22"/>
      <c r="AB775" s="22"/>
      <c r="AC775" s="22"/>
      <c r="AD775" s="22"/>
      <c r="AE775" s="22"/>
      <c r="AF775" s="22"/>
      <c r="AG775" s="22"/>
      <c r="AH775" s="22"/>
      <c r="AI775" s="22"/>
      <c r="AJ775" s="22"/>
      <c r="AK775" s="22"/>
      <c r="AL775" s="22"/>
      <c r="AM775" s="22"/>
      <c r="AN775" s="22"/>
      <c r="AO775" s="22"/>
      <c r="AP775" s="22"/>
      <c r="AQ775" s="22"/>
      <c r="AR775" s="22"/>
      <c r="AS775" s="22"/>
      <c r="AT775" s="22"/>
      <c r="AU775" s="22"/>
      <c r="AV775" s="22"/>
      <c r="AW775" s="22"/>
      <c r="AX775" s="22"/>
    </row>
    <row r="776" spans="1:50" x14ac:dyDescent="0.3">
      <c r="A776" s="6"/>
      <c r="B776" s="19"/>
      <c r="C776" s="6"/>
      <c r="D776" s="5"/>
      <c r="E776" s="6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2"/>
      <c r="Y776" s="22"/>
      <c r="Z776" s="22"/>
      <c r="AA776" s="22"/>
      <c r="AB776" s="22"/>
      <c r="AC776" s="22"/>
      <c r="AD776" s="22"/>
      <c r="AE776" s="22"/>
      <c r="AF776" s="22"/>
      <c r="AG776" s="22"/>
      <c r="AH776" s="22"/>
      <c r="AI776" s="22"/>
      <c r="AJ776" s="22"/>
      <c r="AK776" s="22"/>
      <c r="AL776" s="22"/>
      <c r="AM776" s="22"/>
      <c r="AN776" s="22"/>
      <c r="AO776" s="22"/>
      <c r="AP776" s="22"/>
      <c r="AQ776" s="22"/>
      <c r="AR776" s="22"/>
      <c r="AS776" s="22"/>
      <c r="AT776" s="22"/>
      <c r="AU776" s="22"/>
      <c r="AV776" s="22"/>
      <c r="AW776" s="22"/>
      <c r="AX776" s="22"/>
    </row>
    <row r="777" spans="1:50" x14ac:dyDescent="0.3">
      <c r="A777" s="6"/>
      <c r="B777" s="19"/>
      <c r="C777" s="6"/>
      <c r="D777" s="5"/>
      <c r="E777" s="6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2"/>
      <c r="AA777" s="22"/>
      <c r="AB777" s="22"/>
      <c r="AC777" s="22"/>
      <c r="AD777" s="22"/>
      <c r="AE777" s="22"/>
      <c r="AF777" s="22"/>
      <c r="AG777" s="22"/>
      <c r="AH777" s="22"/>
      <c r="AI777" s="22"/>
      <c r="AJ777" s="22"/>
      <c r="AK777" s="22"/>
      <c r="AL777" s="22"/>
      <c r="AM777" s="22"/>
      <c r="AN777" s="22"/>
      <c r="AO777" s="22"/>
      <c r="AP777" s="22"/>
      <c r="AQ777" s="22"/>
      <c r="AR777" s="22"/>
      <c r="AS777" s="22"/>
      <c r="AT777" s="22"/>
      <c r="AU777" s="22"/>
      <c r="AV777" s="22"/>
      <c r="AW777" s="22"/>
      <c r="AX777" s="22"/>
    </row>
    <row r="778" spans="1:50" x14ac:dyDescent="0.3">
      <c r="A778" s="6"/>
      <c r="B778" s="19"/>
      <c r="C778" s="6"/>
      <c r="D778" s="5"/>
      <c r="E778" s="6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2"/>
      <c r="Y778" s="22"/>
      <c r="Z778" s="22"/>
      <c r="AA778" s="22"/>
      <c r="AB778" s="22"/>
      <c r="AC778" s="22"/>
      <c r="AD778" s="22"/>
      <c r="AE778" s="22"/>
      <c r="AF778" s="22"/>
      <c r="AG778" s="22"/>
      <c r="AH778" s="22"/>
      <c r="AI778" s="22"/>
      <c r="AJ778" s="22"/>
      <c r="AK778" s="22"/>
      <c r="AL778" s="22"/>
      <c r="AM778" s="22"/>
      <c r="AN778" s="22"/>
      <c r="AO778" s="22"/>
      <c r="AP778" s="22"/>
      <c r="AQ778" s="22"/>
      <c r="AR778" s="22"/>
      <c r="AS778" s="22"/>
      <c r="AT778" s="22"/>
      <c r="AU778" s="22"/>
      <c r="AV778" s="22"/>
      <c r="AW778" s="22"/>
      <c r="AX778" s="22"/>
    </row>
    <row r="779" spans="1:50" x14ac:dyDescent="0.3">
      <c r="A779" s="6"/>
      <c r="B779" s="19"/>
      <c r="C779" s="6"/>
      <c r="D779" s="5"/>
      <c r="E779" s="6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2"/>
      <c r="AA779" s="22"/>
      <c r="AB779" s="22"/>
      <c r="AC779" s="22"/>
      <c r="AD779" s="22"/>
      <c r="AE779" s="22"/>
      <c r="AF779" s="22"/>
      <c r="AG779" s="22"/>
      <c r="AH779" s="22"/>
      <c r="AI779" s="22"/>
      <c r="AJ779" s="22"/>
      <c r="AK779" s="22"/>
      <c r="AL779" s="22"/>
      <c r="AM779" s="22"/>
      <c r="AN779" s="22"/>
      <c r="AO779" s="22"/>
      <c r="AP779" s="22"/>
      <c r="AQ779" s="22"/>
      <c r="AR779" s="22"/>
      <c r="AS779" s="22"/>
      <c r="AT779" s="22"/>
      <c r="AU779" s="22"/>
      <c r="AV779" s="22"/>
      <c r="AW779" s="22"/>
      <c r="AX779" s="22"/>
    </row>
    <row r="780" spans="1:50" x14ac:dyDescent="0.3">
      <c r="A780" s="6"/>
      <c r="B780" s="19"/>
      <c r="C780" s="6"/>
      <c r="D780" s="5"/>
      <c r="E780" s="6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2"/>
      <c r="AA780" s="22"/>
      <c r="AB780" s="22"/>
      <c r="AC780" s="22"/>
      <c r="AD780" s="22"/>
      <c r="AE780" s="22"/>
      <c r="AF780" s="22"/>
      <c r="AG780" s="22"/>
      <c r="AH780" s="22"/>
      <c r="AI780" s="22"/>
      <c r="AJ780" s="22"/>
      <c r="AK780" s="22"/>
      <c r="AL780" s="22"/>
      <c r="AM780" s="22"/>
      <c r="AN780" s="22"/>
      <c r="AO780" s="22"/>
      <c r="AP780" s="22"/>
      <c r="AQ780" s="22"/>
      <c r="AR780" s="22"/>
      <c r="AS780" s="22"/>
      <c r="AT780" s="22"/>
      <c r="AU780" s="22"/>
      <c r="AV780" s="22"/>
      <c r="AW780" s="22"/>
      <c r="AX780" s="22"/>
    </row>
    <row r="781" spans="1:50" x14ac:dyDescent="0.3">
      <c r="A781" s="6"/>
      <c r="B781" s="19"/>
      <c r="C781" s="6"/>
      <c r="D781" s="5"/>
      <c r="E781" s="6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2"/>
      <c r="AA781" s="22"/>
      <c r="AB781" s="22"/>
      <c r="AC781" s="22"/>
      <c r="AD781" s="22"/>
      <c r="AE781" s="22"/>
      <c r="AF781" s="22"/>
      <c r="AG781" s="22"/>
      <c r="AH781" s="22"/>
      <c r="AI781" s="22"/>
      <c r="AJ781" s="22"/>
      <c r="AK781" s="22"/>
      <c r="AL781" s="22"/>
      <c r="AM781" s="22"/>
      <c r="AN781" s="22"/>
      <c r="AO781" s="22"/>
      <c r="AP781" s="22"/>
      <c r="AQ781" s="22"/>
      <c r="AR781" s="22"/>
      <c r="AS781" s="22"/>
      <c r="AT781" s="22"/>
      <c r="AU781" s="22"/>
      <c r="AV781" s="22"/>
      <c r="AW781" s="22"/>
      <c r="AX781" s="22"/>
    </row>
    <row r="782" spans="1:50" x14ac:dyDescent="0.3">
      <c r="A782" s="6"/>
      <c r="B782" s="19"/>
      <c r="C782" s="6"/>
      <c r="D782" s="5"/>
      <c r="E782" s="6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2"/>
      <c r="Y782" s="22"/>
      <c r="Z782" s="22"/>
      <c r="AA782" s="22"/>
      <c r="AB782" s="22"/>
      <c r="AC782" s="22"/>
      <c r="AD782" s="22"/>
      <c r="AE782" s="22"/>
      <c r="AF782" s="22"/>
      <c r="AG782" s="22"/>
      <c r="AH782" s="22"/>
      <c r="AI782" s="22"/>
      <c r="AJ782" s="22"/>
      <c r="AK782" s="22"/>
      <c r="AL782" s="22"/>
      <c r="AM782" s="22"/>
      <c r="AN782" s="22"/>
      <c r="AO782" s="22"/>
      <c r="AP782" s="22"/>
      <c r="AQ782" s="22"/>
      <c r="AR782" s="22"/>
      <c r="AS782" s="22"/>
      <c r="AT782" s="22"/>
      <c r="AU782" s="22"/>
      <c r="AV782" s="22"/>
      <c r="AW782" s="22"/>
      <c r="AX782" s="22"/>
    </row>
    <row r="783" spans="1:50" x14ac:dyDescent="0.3">
      <c r="A783" s="6"/>
      <c r="B783" s="19"/>
      <c r="C783" s="6"/>
      <c r="D783" s="5"/>
      <c r="E783" s="6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2"/>
      <c r="AA783" s="22"/>
      <c r="AB783" s="22"/>
      <c r="AC783" s="22"/>
      <c r="AD783" s="22"/>
      <c r="AE783" s="22"/>
      <c r="AF783" s="22"/>
      <c r="AG783" s="22"/>
      <c r="AH783" s="22"/>
      <c r="AI783" s="22"/>
      <c r="AJ783" s="22"/>
      <c r="AK783" s="22"/>
      <c r="AL783" s="22"/>
      <c r="AM783" s="22"/>
      <c r="AN783" s="22"/>
      <c r="AO783" s="22"/>
      <c r="AP783" s="22"/>
      <c r="AQ783" s="22"/>
      <c r="AR783" s="22"/>
      <c r="AS783" s="22"/>
      <c r="AT783" s="22"/>
      <c r="AU783" s="22"/>
      <c r="AV783" s="22"/>
      <c r="AW783" s="22"/>
      <c r="AX783" s="22"/>
    </row>
    <row r="784" spans="1:50" x14ac:dyDescent="0.3">
      <c r="A784" s="6"/>
      <c r="B784" s="19"/>
      <c r="C784" s="6"/>
      <c r="D784" s="5"/>
      <c r="E784" s="6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2"/>
      <c r="Y784" s="22"/>
      <c r="Z784" s="22"/>
      <c r="AA784" s="22"/>
      <c r="AB784" s="22"/>
      <c r="AC784" s="22"/>
      <c r="AD784" s="22"/>
      <c r="AE784" s="22"/>
      <c r="AF784" s="22"/>
      <c r="AG784" s="22"/>
      <c r="AH784" s="22"/>
      <c r="AI784" s="22"/>
      <c r="AJ784" s="22"/>
      <c r="AK784" s="22"/>
      <c r="AL784" s="22"/>
      <c r="AM784" s="22"/>
      <c r="AN784" s="22"/>
      <c r="AO784" s="22"/>
      <c r="AP784" s="22"/>
      <c r="AQ784" s="22"/>
      <c r="AR784" s="22"/>
      <c r="AS784" s="22"/>
      <c r="AT784" s="22"/>
      <c r="AU784" s="22"/>
      <c r="AV784" s="22"/>
      <c r="AW784" s="22"/>
      <c r="AX784" s="22"/>
    </row>
    <row r="785" spans="1:50" x14ac:dyDescent="0.3">
      <c r="A785" s="6"/>
      <c r="B785" s="19"/>
      <c r="C785" s="6"/>
      <c r="D785" s="5"/>
      <c r="E785" s="6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2"/>
      <c r="AA785" s="22"/>
      <c r="AB785" s="22"/>
      <c r="AC785" s="22"/>
      <c r="AD785" s="22"/>
      <c r="AE785" s="22"/>
      <c r="AF785" s="22"/>
      <c r="AG785" s="22"/>
      <c r="AH785" s="22"/>
      <c r="AI785" s="22"/>
      <c r="AJ785" s="22"/>
      <c r="AK785" s="22"/>
      <c r="AL785" s="22"/>
      <c r="AM785" s="22"/>
      <c r="AN785" s="22"/>
      <c r="AO785" s="22"/>
      <c r="AP785" s="22"/>
      <c r="AQ785" s="22"/>
      <c r="AR785" s="22"/>
      <c r="AS785" s="22"/>
      <c r="AT785" s="22"/>
      <c r="AU785" s="22"/>
      <c r="AV785" s="22"/>
      <c r="AW785" s="22"/>
      <c r="AX785" s="22"/>
    </row>
    <row r="786" spans="1:50" x14ac:dyDescent="0.3">
      <c r="A786" s="6"/>
      <c r="B786" s="19"/>
      <c r="C786" s="6"/>
      <c r="D786" s="5"/>
      <c r="E786" s="6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2"/>
      <c r="Y786" s="22"/>
      <c r="Z786" s="22"/>
      <c r="AA786" s="22"/>
      <c r="AB786" s="22"/>
      <c r="AC786" s="22"/>
      <c r="AD786" s="22"/>
      <c r="AE786" s="22"/>
      <c r="AF786" s="22"/>
      <c r="AG786" s="22"/>
      <c r="AH786" s="22"/>
      <c r="AI786" s="22"/>
      <c r="AJ786" s="22"/>
      <c r="AK786" s="22"/>
      <c r="AL786" s="22"/>
      <c r="AM786" s="22"/>
      <c r="AN786" s="22"/>
      <c r="AO786" s="22"/>
      <c r="AP786" s="22"/>
      <c r="AQ786" s="22"/>
      <c r="AR786" s="22"/>
      <c r="AS786" s="22"/>
      <c r="AT786" s="22"/>
      <c r="AU786" s="22"/>
      <c r="AV786" s="22"/>
      <c r="AW786" s="22"/>
      <c r="AX786" s="22"/>
    </row>
    <row r="787" spans="1:50" x14ac:dyDescent="0.3">
      <c r="A787" s="6"/>
      <c r="B787" s="19"/>
      <c r="C787" s="6"/>
      <c r="D787" s="5"/>
      <c r="E787" s="6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2"/>
      <c r="AA787" s="22"/>
      <c r="AB787" s="22"/>
      <c r="AC787" s="22"/>
      <c r="AD787" s="22"/>
      <c r="AE787" s="22"/>
      <c r="AF787" s="22"/>
      <c r="AG787" s="22"/>
      <c r="AH787" s="22"/>
      <c r="AI787" s="22"/>
      <c r="AJ787" s="22"/>
      <c r="AK787" s="22"/>
      <c r="AL787" s="22"/>
      <c r="AM787" s="22"/>
      <c r="AN787" s="22"/>
      <c r="AO787" s="22"/>
      <c r="AP787" s="22"/>
      <c r="AQ787" s="22"/>
      <c r="AR787" s="22"/>
      <c r="AS787" s="22"/>
      <c r="AT787" s="22"/>
      <c r="AU787" s="22"/>
      <c r="AV787" s="22"/>
      <c r="AW787" s="22"/>
      <c r="AX787" s="22"/>
    </row>
    <row r="788" spans="1:50" x14ac:dyDescent="0.3">
      <c r="A788" s="6"/>
      <c r="B788" s="19"/>
      <c r="C788" s="6"/>
      <c r="D788" s="5"/>
      <c r="E788" s="6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2"/>
      <c r="T788" s="22"/>
      <c r="U788" s="22"/>
      <c r="V788" s="22"/>
      <c r="W788" s="22"/>
      <c r="X788" s="22"/>
      <c r="Y788" s="22"/>
      <c r="Z788" s="22"/>
      <c r="AA788" s="22"/>
      <c r="AB788" s="22"/>
      <c r="AC788" s="22"/>
      <c r="AD788" s="22"/>
      <c r="AE788" s="22"/>
      <c r="AF788" s="22"/>
      <c r="AG788" s="22"/>
      <c r="AH788" s="22"/>
      <c r="AI788" s="22"/>
      <c r="AJ788" s="22"/>
      <c r="AK788" s="22"/>
      <c r="AL788" s="22"/>
      <c r="AM788" s="22"/>
      <c r="AN788" s="22"/>
      <c r="AO788" s="22"/>
      <c r="AP788" s="22"/>
      <c r="AQ788" s="22"/>
      <c r="AR788" s="22"/>
      <c r="AS788" s="22"/>
      <c r="AT788" s="22"/>
      <c r="AU788" s="22"/>
      <c r="AV788" s="22"/>
      <c r="AW788" s="22"/>
      <c r="AX788" s="22"/>
    </row>
    <row r="789" spans="1:50" x14ac:dyDescent="0.3">
      <c r="A789" s="6"/>
      <c r="B789" s="19"/>
      <c r="C789" s="6"/>
      <c r="D789" s="5"/>
      <c r="E789" s="6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2"/>
      <c r="T789" s="22"/>
      <c r="U789" s="22"/>
      <c r="V789" s="22"/>
      <c r="W789" s="22"/>
      <c r="X789" s="22"/>
      <c r="Y789" s="22"/>
      <c r="Z789" s="22"/>
      <c r="AA789" s="22"/>
      <c r="AB789" s="22"/>
      <c r="AC789" s="22"/>
      <c r="AD789" s="22"/>
      <c r="AE789" s="22"/>
      <c r="AF789" s="22"/>
      <c r="AG789" s="22"/>
      <c r="AH789" s="22"/>
      <c r="AI789" s="22"/>
      <c r="AJ789" s="22"/>
      <c r="AK789" s="22"/>
      <c r="AL789" s="22"/>
      <c r="AM789" s="22"/>
      <c r="AN789" s="22"/>
      <c r="AO789" s="22"/>
      <c r="AP789" s="22"/>
      <c r="AQ789" s="22"/>
      <c r="AR789" s="22"/>
      <c r="AS789" s="22"/>
      <c r="AT789" s="22"/>
      <c r="AU789" s="22"/>
      <c r="AV789" s="22"/>
      <c r="AW789" s="22"/>
      <c r="AX789" s="22"/>
    </row>
    <row r="790" spans="1:50" x14ac:dyDescent="0.3">
      <c r="A790" s="6"/>
      <c r="B790" s="19"/>
      <c r="C790" s="6"/>
      <c r="D790" s="5"/>
      <c r="E790" s="6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  <c r="AA790" s="22"/>
      <c r="AB790" s="22"/>
      <c r="AC790" s="22"/>
      <c r="AD790" s="22"/>
      <c r="AE790" s="22"/>
      <c r="AF790" s="22"/>
      <c r="AG790" s="22"/>
      <c r="AH790" s="22"/>
      <c r="AI790" s="22"/>
      <c r="AJ790" s="22"/>
      <c r="AK790" s="22"/>
      <c r="AL790" s="22"/>
      <c r="AM790" s="22"/>
      <c r="AN790" s="22"/>
      <c r="AO790" s="22"/>
      <c r="AP790" s="22"/>
      <c r="AQ790" s="22"/>
      <c r="AR790" s="22"/>
      <c r="AS790" s="22"/>
      <c r="AT790" s="22"/>
      <c r="AU790" s="22"/>
      <c r="AV790" s="22"/>
      <c r="AW790" s="22"/>
      <c r="AX790" s="22"/>
    </row>
    <row r="791" spans="1:50" x14ac:dyDescent="0.3">
      <c r="A791" s="6"/>
      <c r="B791" s="19"/>
      <c r="C791" s="6"/>
      <c r="D791" s="5"/>
      <c r="E791" s="6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  <c r="AA791" s="22"/>
      <c r="AB791" s="22"/>
      <c r="AC791" s="22"/>
      <c r="AD791" s="22"/>
      <c r="AE791" s="22"/>
      <c r="AF791" s="22"/>
      <c r="AG791" s="22"/>
      <c r="AH791" s="22"/>
      <c r="AI791" s="22"/>
      <c r="AJ791" s="22"/>
      <c r="AK791" s="22"/>
      <c r="AL791" s="22"/>
      <c r="AM791" s="22"/>
      <c r="AN791" s="22"/>
      <c r="AO791" s="22"/>
      <c r="AP791" s="22"/>
      <c r="AQ791" s="22"/>
      <c r="AR791" s="22"/>
      <c r="AS791" s="22"/>
      <c r="AT791" s="22"/>
      <c r="AU791" s="22"/>
      <c r="AV791" s="22"/>
      <c r="AW791" s="22"/>
      <c r="AX791" s="22"/>
    </row>
    <row r="792" spans="1:50" x14ac:dyDescent="0.3">
      <c r="A792" s="6"/>
      <c r="B792" s="19"/>
      <c r="C792" s="6"/>
      <c r="D792" s="5"/>
      <c r="E792" s="6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2"/>
      <c r="AA792" s="22"/>
      <c r="AB792" s="22"/>
      <c r="AC792" s="22"/>
      <c r="AD792" s="22"/>
      <c r="AE792" s="22"/>
      <c r="AF792" s="22"/>
      <c r="AG792" s="22"/>
      <c r="AH792" s="22"/>
      <c r="AI792" s="22"/>
      <c r="AJ792" s="22"/>
      <c r="AK792" s="22"/>
      <c r="AL792" s="22"/>
      <c r="AM792" s="22"/>
      <c r="AN792" s="22"/>
      <c r="AO792" s="22"/>
      <c r="AP792" s="22"/>
      <c r="AQ792" s="22"/>
      <c r="AR792" s="22"/>
      <c r="AS792" s="22"/>
      <c r="AT792" s="22"/>
      <c r="AU792" s="22"/>
      <c r="AV792" s="22"/>
      <c r="AW792" s="22"/>
      <c r="AX792" s="22"/>
    </row>
    <row r="793" spans="1:50" x14ac:dyDescent="0.3">
      <c r="A793" s="6"/>
      <c r="B793" s="19"/>
      <c r="C793" s="6"/>
      <c r="D793" s="5"/>
      <c r="E793" s="6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2"/>
      <c r="T793" s="22"/>
      <c r="U793" s="22"/>
      <c r="V793" s="22"/>
      <c r="W793" s="22"/>
      <c r="X793" s="22"/>
      <c r="Y793" s="22"/>
      <c r="Z793" s="22"/>
      <c r="AA793" s="22"/>
      <c r="AB793" s="22"/>
      <c r="AC793" s="22"/>
      <c r="AD793" s="22"/>
      <c r="AE793" s="22"/>
      <c r="AF793" s="22"/>
      <c r="AG793" s="22"/>
      <c r="AH793" s="22"/>
      <c r="AI793" s="22"/>
      <c r="AJ793" s="22"/>
      <c r="AK793" s="22"/>
      <c r="AL793" s="22"/>
      <c r="AM793" s="22"/>
      <c r="AN793" s="22"/>
      <c r="AO793" s="22"/>
      <c r="AP793" s="22"/>
      <c r="AQ793" s="22"/>
      <c r="AR793" s="22"/>
      <c r="AS793" s="22"/>
      <c r="AT793" s="22"/>
      <c r="AU793" s="22"/>
      <c r="AV793" s="22"/>
      <c r="AW793" s="22"/>
      <c r="AX793" s="22"/>
    </row>
    <row r="794" spans="1:50" x14ac:dyDescent="0.3">
      <c r="A794" s="6"/>
      <c r="B794" s="19"/>
      <c r="C794" s="6"/>
      <c r="D794" s="5"/>
      <c r="E794" s="6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2"/>
      <c r="T794" s="22"/>
      <c r="U794" s="22"/>
      <c r="V794" s="22"/>
      <c r="W794" s="22"/>
      <c r="X794" s="22"/>
      <c r="Y794" s="22"/>
      <c r="Z794" s="22"/>
      <c r="AA794" s="22"/>
      <c r="AB794" s="22"/>
      <c r="AC794" s="22"/>
      <c r="AD794" s="22"/>
      <c r="AE794" s="22"/>
      <c r="AF794" s="22"/>
      <c r="AG794" s="22"/>
      <c r="AH794" s="22"/>
      <c r="AI794" s="22"/>
      <c r="AJ794" s="22"/>
      <c r="AK794" s="22"/>
      <c r="AL794" s="22"/>
      <c r="AM794" s="22"/>
      <c r="AN794" s="22"/>
      <c r="AO794" s="22"/>
      <c r="AP794" s="22"/>
      <c r="AQ794" s="22"/>
      <c r="AR794" s="22"/>
      <c r="AS794" s="22"/>
      <c r="AT794" s="22"/>
      <c r="AU794" s="22"/>
      <c r="AV794" s="22"/>
      <c r="AW794" s="22"/>
      <c r="AX794" s="22"/>
    </row>
    <row r="795" spans="1:50" x14ac:dyDescent="0.3">
      <c r="A795" s="6"/>
      <c r="B795" s="19"/>
      <c r="C795" s="6"/>
      <c r="D795" s="5"/>
      <c r="E795" s="6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2"/>
      <c r="T795" s="22"/>
      <c r="U795" s="22"/>
      <c r="V795" s="22"/>
      <c r="W795" s="22"/>
      <c r="X795" s="22"/>
      <c r="Y795" s="22"/>
      <c r="Z795" s="22"/>
      <c r="AA795" s="22"/>
      <c r="AB795" s="22"/>
      <c r="AC795" s="22"/>
      <c r="AD795" s="22"/>
      <c r="AE795" s="22"/>
      <c r="AF795" s="22"/>
      <c r="AG795" s="22"/>
      <c r="AH795" s="22"/>
      <c r="AI795" s="22"/>
      <c r="AJ795" s="22"/>
      <c r="AK795" s="22"/>
      <c r="AL795" s="22"/>
      <c r="AM795" s="22"/>
      <c r="AN795" s="22"/>
      <c r="AO795" s="22"/>
      <c r="AP795" s="22"/>
      <c r="AQ795" s="22"/>
      <c r="AR795" s="22"/>
      <c r="AS795" s="22"/>
      <c r="AT795" s="22"/>
      <c r="AU795" s="22"/>
      <c r="AV795" s="22"/>
      <c r="AW795" s="22"/>
      <c r="AX795" s="22"/>
    </row>
    <row r="796" spans="1:50" x14ac:dyDescent="0.3">
      <c r="A796" s="6"/>
      <c r="B796" s="19"/>
      <c r="C796" s="6"/>
      <c r="D796" s="5"/>
      <c r="E796" s="6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2"/>
      <c r="T796" s="22"/>
      <c r="U796" s="22"/>
      <c r="V796" s="22"/>
      <c r="W796" s="22"/>
      <c r="X796" s="22"/>
      <c r="Y796" s="22"/>
      <c r="Z796" s="22"/>
      <c r="AA796" s="22"/>
      <c r="AB796" s="22"/>
      <c r="AC796" s="22"/>
      <c r="AD796" s="22"/>
      <c r="AE796" s="22"/>
      <c r="AF796" s="22"/>
      <c r="AG796" s="22"/>
      <c r="AH796" s="22"/>
      <c r="AI796" s="22"/>
      <c r="AJ796" s="22"/>
      <c r="AK796" s="22"/>
      <c r="AL796" s="22"/>
      <c r="AM796" s="22"/>
      <c r="AN796" s="22"/>
      <c r="AO796" s="22"/>
      <c r="AP796" s="22"/>
      <c r="AQ796" s="22"/>
      <c r="AR796" s="22"/>
      <c r="AS796" s="22"/>
      <c r="AT796" s="22"/>
      <c r="AU796" s="22"/>
      <c r="AV796" s="22"/>
      <c r="AW796" s="22"/>
      <c r="AX796" s="22"/>
    </row>
    <row r="797" spans="1:50" x14ac:dyDescent="0.3">
      <c r="A797" s="6"/>
      <c r="B797" s="19"/>
      <c r="C797" s="6"/>
      <c r="D797" s="5"/>
      <c r="E797" s="6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2"/>
      <c r="T797" s="22"/>
      <c r="U797" s="22"/>
      <c r="V797" s="22"/>
      <c r="W797" s="22"/>
      <c r="X797" s="22"/>
      <c r="Y797" s="22"/>
      <c r="Z797" s="22"/>
      <c r="AA797" s="22"/>
      <c r="AB797" s="22"/>
      <c r="AC797" s="22"/>
      <c r="AD797" s="22"/>
      <c r="AE797" s="22"/>
      <c r="AF797" s="22"/>
      <c r="AG797" s="22"/>
      <c r="AH797" s="22"/>
      <c r="AI797" s="22"/>
      <c r="AJ797" s="22"/>
      <c r="AK797" s="22"/>
      <c r="AL797" s="22"/>
      <c r="AM797" s="22"/>
      <c r="AN797" s="22"/>
      <c r="AO797" s="22"/>
      <c r="AP797" s="22"/>
      <c r="AQ797" s="22"/>
      <c r="AR797" s="22"/>
      <c r="AS797" s="22"/>
      <c r="AT797" s="22"/>
      <c r="AU797" s="22"/>
      <c r="AV797" s="22"/>
      <c r="AW797" s="22"/>
      <c r="AX797" s="22"/>
    </row>
    <row r="798" spans="1:50" x14ac:dyDescent="0.3">
      <c r="A798" s="6"/>
      <c r="B798" s="19"/>
      <c r="C798" s="6"/>
      <c r="D798" s="5"/>
      <c r="E798" s="6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2"/>
      <c r="T798" s="22"/>
      <c r="U798" s="22"/>
      <c r="V798" s="22"/>
      <c r="W798" s="22"/>
      <c r="X798" s="22"/>
      <c r="Y798" s="22"/>
      <c r="Z798" s="22"/>
      <c r="AA798" s="22"/>
      <c r="AB798" s="22"/>
      <c r="AC798" s="22"/>
      <c r="AD798" s="22"/>
      <c r="AE798" s="22"/>
      <c r="AF798" s="22"/>
      <c r="AG798" s="22"/>
      <c r="AH798" s="22"/>
      <c r="AI798" s="22"/>
      <c r="AJ798" s="22"/>
      <c r="AK798" s="22"/>
      <c r="AL798" s="22"/>
      <c r="AM798" s="22"/>
      <c r="AN798" s="22"/>
      <c r="AO798" s="22"/>
      <c r="AP798" s="22"/>
      <c r="AQ798" s="22"/>
      <c r="AR798" s="22"/>
      <c r="AS798" s="22"/>
      <c r="AT798" s="22"/>
      <c r="AU798" s="22"/>
      <c r="AV798" s="22"/>
      <c r="AW798" s="22"/>
      <c r="AX798" s="22"/>
    </row>
    <row r="799" spans="1:50" x14ac:dyDescent="0.3">
      <c r="A799" s="6"/>
      <c r="B799" s="19"/>
      <c r="C799" s="6"/>
      <c r="D799" s="5"/>
      <c r="E799" s="6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2"/>
      <c r="T799" s="22"/>
      <c r="U799" s="22"/>
      <c r="V799" s="22"/>
      <c r="W799" s="22"/>
      <c r="X799" s="22"/>
      <c r="Y799" s="22"/>
      <c r="Z799" s="22"/>
      <c r="AA799" s="22"/>
      <c r="AB799" s="22"/>
      <c r="AC799" s="22"/>
      <c r="AD799" s="22"/>
      <c r="AE799" s="22"/>
      <c r="AF799" s="22"/>
      <c r="AG799" s="22"/>
      <c r="AH799" s="22"/>
      <c r="AI799" s="22"/>
      <c r="AJ799" s="22"/>
      <c r="AK799" s="22"/>
      <c r="AL799" s="22"/>
      <c r="AM799" s="22"/>
      <c r="AN799" s="22"/>
      <c r="AO799" s="22"/>
      <c r="AP799" s="22"/>
      <c r="AQ799" s="22"/>
      <c r="AR799" s="22"/>
      <c r="AS799" s="22"/>
      <c r="AT799" s="22"/>
      <c r="AU799" s="22"/>
      <c r="AV799" s="22"/>
      <c r="AW799" s="22"/>
      <c r="AX799" s="22"/>
    </row>
    <row r="800" spans="1:50" x14ac:dyDescent="0.3">
      <c r="A800" s="6"/>
      <c r="B800" s="19"/>
      <c r="C800" s="6"/>
      <c r="D800" s="5"/>
      <c r="E800" s="6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2"/>
      <c r="T800" s="22"/>
      <c r="U800" s="22"/>
      <c r="V800" s="22"/>
      <c r="W800" s="22"/>
      <c r="X800" s="22"/>
      <c r="Y800" s="22"/>
      <c r="Z800" s="22"/>
      <c r="AA800" s="22"/>
      <c r="AB800" s="22"/>
      <c r="AC800" s="22"/>
      <c r="AD800" s="22"/>
      <c r="AE800" s="22"/>
      <c r="AF800" s="22"/>
      <c r="AG800" s="22"/>
      <c r="AH800" s="22"/>
      <c r="AI800" s="22"/>
      <c r="AJ800" s="22"/>
      <c r="AK800" s="22"/>
      <c r="AL800" s="22"/>
      <c r="AM800" s="22"/>
      <c r="AN800" s="22"/>
      <c r="AO800" s="22"/>
      <c r="AP800" s="22"/>
      <c r="AQ800" s="22"/>
      <c r="AR800" s="22"/>
      <c r="AS800" s="22"/>
      <c r="AT800" s="22"/>
      <c r="AU800" s="22"/>
      <c r="AV800" s="22"/>
      <c r="AW800" s="22"/>
      <c r="AX800" s="22"/>
    </row>
    <row r="801" spans="1:50" x14ac:dyDescent="0.3">
      <c r="A801" s="6"/>
      <c r="B801" s="19"/>
      <c r="C801" s="6"/>
      <c r="D801" s="5"/>
      <c r="E801" s="6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2"/>
      <c r="T801" s="22"/>
      <c r="U801" s="22"/>
      <c r="V801" s="22"/>
      <c r="W801" s="22"/>
      <c r="X801" s="22"/>
      <c r="Y801" s="22"/>
      <c r="Z801" s="22"/>
      <c r="AA801" s="22"/>
      <c r="AB801" s="22"/>
      <c r="AC801" s="22"/>
      <c r="AD801" s="22"/>
      <c r="AE801" s="22"/>
      <c r="AF801" s="22"/>
      <c r="AG801" s="22"/>
      <c r="AH801" s="22"/>
      <c r="AI801" s="22"/>
      <c r="AJ801" s="22"/>
      <c r="AK801" s="22"/>
      <c r="AL801" s="22"/>
      <c r="AM801" s="22"/>
      <c r="AN801" s="22"/>
      <c r="AO801" s="22"/>
      <c r="AP801" s="22"/>
      <c r="AQ801" s="22"/>
      <c r="AR801" s="22"/>
      <c r="AS801" s="22"/>
      <c r="AT801" s="22"/>
      <c r="AU801" s="22"/>
      <c r="AV801" s="22"/>
      <c r="AW801" s="22"/>
      <c r="AX801" s="22"/>
    </row>
    <row r="802" spans="1:50" x14ac:dyDescent="0.3">
      <c r="A802" s="6"/>
      <c r="B802" s="19"/>
      <c r="C802" s="6"/>
      <c r="D802" s="5"/>
      <c r="E802" s="6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2"/>
      <c r="T802" s="22"/>
      <c r="U802" s="22"/>
      <c r="V802" s="22"/>
      <c r="W802" s="22"/>
      <c r="X802" s="22"/>
      <c r="Y802" s="22"/>
      <c r="Z802" s="22"/>
      <c r="AA802" s="22"/>
      <c r="AB802" s="22"/>
      <c r="AC802" s="22"/>
      <c r="AD802" s="22"/>
      <c r="AE802" s="22"/>
      <c r="AF802" s="22"/>
      <c r="AG802" s="22"/>
      <c r="AH802" s="22"/>
      <c r="AI802" s="22"/>
      <c r="AJ802" s="22"/>
      <c r="AK802" s="22"/>
      <c r="AL802" s="22"/>
      <c r="AM802" s="22"/>
      <c r="AN802" s="22"/>
      <c r="AO802" s="22"/>
      <c r="AP802" s="22"/>
      <c r="AQ802" s="22"/>
      <c r="AR802" s="22"/>
      <c r="AS802" s="22"/>
      <c r="AT802" s="22"/>
      <c r="AU802" s="22"/>
      <c r="AV802" s="22"/>
      <c r="AW802" s="22"/>
      <c r="AX802" s="22"/>
    </row>
    <row r="803" spans="1:50" x14ac:dyDescent="0.3">
      <c r="A803" s="6"/>
      <c r="B803" s="19"/>
      <c r="C803" s="6"/>
      <c r="D803" s="5"/>
      <c r="E803" s="6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2"/>
      <c r="T803" s="22"/>
      <c r="U803" s="22"/>
      <c r="V803" s="22"/>
      <c r="W803" s="22"/>
      <c r="X803" s="22"/>
      <c r="Y803" s="22"/>
      <c r="Z803" s="22"/>
      <c r="AA803" s="22"/>
      <c r="AB803" s="22"/>
      <c r="AC803" s="22"/>
      <c r="AD803" s="22"/>
      <c r="AE803" s="22"/>
      <c r="AF803" s="22"/>
      <c r="AG803" s="22"/>
      <c r="AH803" s="22"/>
      <c r="AI803" s="22"/>
      <c r="AJ803" s="22"/>
      <c r="AK803" s="22"/>
      <c r="AL803" s="22"/>
      <c r="AM803" s="22"/>
      <c r="AN803" s="22"/>
      <c r="AO803" s="22"/>
      <c r="AP803" s="22"/>
      <c r="AQ803" s="22"/>
      <c r="AR803" s="22"/>
      <c r="AS803" s="22"/>
      <c r="AT803" s="22"/>
      <c r="AU803" s="22"/>
      <c r="AV803" s="22"/>
      <c r="AW803" s="22"/>
      <c r="AX803" s="22"/>
    </row>
    <row r="804" spans="1:50" x14ac:dyDescent="0.3">
      <c r="A804" s="6"/>
      <c r="B804" s="19"/>
      <c r="C804" s="6"/>
      <c r="D804" s="5"/>
      <c r="E804" s="6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2"/>
      <c r="T804" s="22"/>
      <c r="U804" s="22"/>
      <c r="V804" s="22"/>
      <c r="W804" s="22"/>
      <c r="X804" s="22"/>
      <c r="Y804" s="22"/>
      <c r="Z804" s="22"/>
      <c r="AA804" s="22"/>
      <c r="AB804" s="22"/>
      <c r="AC804" s="22"/>
      <c r="AD804" s="22"/>
      <c r="AE804" s="22"/>
      <c r="AF804" s="22"/>
      <c r="AG804" s="22"/>
      <c r="AH804" s="22"/>
      <c r="AI804" s="22"/>
      <c r="AJ804" s="22"/>
      <c r="AK804" s="22"/>
      <c r="AL804" s="22"/>
      <c r="AM804" s="22"/>
      <c r="AN804" s="22"/>
      <c r="AO804" s="22"/>
      <c r="AP804" s="22"/>
      <c r="AQ804" s="22"/>
      <c r="AR804" s="22"/>
      <c r="AS804" s="22"/>
      <c r="AT804" s="22"/>
      <c r="AU804" s="22"/>
      <c r="AV804" s="22"/>
      <c r="AW804" s="22"/>
      <c r="AX804" s="22"/>
    </row>
    <row r="805" spans="1:50" x14ac:dyDescent="0.3">
      <c r="A805" s="6"/>
      <c r="B805" s="19"/>
      <c r="C805" s="6"/>
      <c r="D805" s="5"/>
      <c r="E805" s="6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2"/>
      <c r="T805" s="22"/>
      <c r="U805" s="22"/>
      <c r="V805" s="22"/>
      <c r="W805" s="22"/>
      <c r="X805" s="22"/>
      <c r="Y805" s="22"/>
      <c r="Z805" s="22"/>
      <c r="AA805" s="22"/>
      <c r="AB805" s="22"/>
      <c r="AC805" s="22"/>
      <c r="AD805" s="22"/>
      <c r="AE805" s="22"/>
      <c r="AF805" s="22"/>
      <c r="AG805" s="22"/>
      <c r="AH805" s="22"/>
      <c r="AI805" s="22"/>
      <c r="AJ805" s="22"/>
      <c r="AK805" s="22"/>
      <c r="AL805" s="22"/>
      <c r="AM805" s="22"/>
      <c r="AN805" s="22"/>
      <c r="AO805" s="22"/>
      <c r="AP805" s="22"/>
      <c r="AQ805" s="22"/>
      <c r="AR805" s="22"/>
      <c r="AS805" s="22"/>
      <c r="AT805" s="22"/>
      <c r="AU805" s="22"/>
      <c r="AV805" s="22"/>
      <c r="AW805" s="22"/>
      <c r="AX805" s="22"/>
    </row>
    <row r="806" spans="1:50" x14ac:dyDescent="0.3">
      <c r="A806" s="6"/>
      <c r="B806" s="19"/>
      <c r="C806" s="6"/>
      <c r="D806" s="5"/>
      <c r="E806" s="6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2"/>
      <c r="Y806" s="22"/>
      <c r="Z806" s="22"/>
      <c r="AA806" s="22"/>
      <c r="AB806" s="22"/>
      <c r="AC806" s="22"/>
      <c r="AD806" s="22"/>
      <c r="AE806" s="22"/>
      <c r="AF806" s="22"/>
      <c r="AG806" s="22"/>
      <c r="AH806" s="22"/>
      <c r="AI806" s="22"/>
      <c r="AJ806" s="22"/>
      <c r="AK806" s="22"/>
      <c r="AL806" s="22"/>
      <c r="AM806" s="22"/>
      <c r="AN806" s="22"/>
      <c r="AO806" s="22"/>
      <c r="AP806" s="22"/>
      <c r="AQ806" s="22"/>
      <c r="AR806" s="22"/>
      <c r="AS806" s="22"/>
      <c r="AT806" s="22"/>
      <c r="AU806" s="22"/>
      <c r="AV806" s="22"/>
      <c r="AW806" s="22"/>
      <c r="AX806" s="22"/>
    </row>
    <row r="807" spans="1:50" x14ac:dyDescent="0.3">
      <c r="A807" s="6"/>
      <c r="B807" s="19"/>
      <c r="C807" s="6"/>
      <c r="D807" s="5"/>
      <c r="E807" s="6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2"/>
      <c r="AA807" s="22"/>
      <c r="AB807" s="22"/>
      <c r="AC807" s="22"/>
      <c r="AD807" s="22"/>
      <c r="AE807" s="22"/>
      <c r="AF807" s="22"/>
      <c r="AG807" s="22"/>
      <c r="AH807" s="22"/>
      <c r="AI807" s="22"/>
      <c r="AJ807" s="22"/>
      <c r="AK807" s="22"/>
      <c r="AL807" s="22"/>
      <c r="AM807" s="22"/>
      <c r="AN807" s="22"/>
      <c r="AO807" s="22"/>
      <c r="AP807" s="22"/>
      <c r="AQ807" s="22"/>
      <c r="AR807" s="22"/>
      <c r="AS807" s="22"/>
      <c r="AT807" s="22"/>
      <c r="AU807" s="22"/>
      <c r="AV807" s="22"/>
      <c r="AW807" s="22"/>
      <c r="AX807" s="22"/>
    </row>
    <row r="808" spans="1:50" x14ac:dyDescent="0.3">
      <c r="A808" s="6"/>
      <c r="B808" s="19"/>
      <c r="C808" s="6"/>
      <c r="D808" s="5"/>
      <c r="E808" s="6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2"/>
      <c r="Y808" s="22"/>
      <c r="Z808" s="22"/>
      <c r="AA808" s="22"/>
      <c r="AB808" s="22"/>
      <c r="AC808" s="22"/>
      <c r="AD808" s="22"/>
      <c r="AE808" s="22"/>
      <c r="AF808" s="22"/>
      <c r="AG808" s="22"/>
      <c r="AH808" s="22"/>
      <c r="AI808" s="22"/>
      <c r="AJ808" s="22"/>
      <c r="AK808" s="22"/>
      <c r="AL808" s="22"/>
      <c r="AM808" s="22"/>
      <c r="AN808" s="22"/>
      <c r="AO808" s="22"/>
      <c r="AP808" s="22"/>
      <c r="AQ808" s="22"/>
      <c r="AR808" s="22"/>
      <c r="AS808" s="22"/>
      <c r="AT808" s="22"/>
      <c r="AU808" s="22"/>
      <c r="AV808" s="22"/>
      <c r="AW808" s="22"/>
      <c r="AX808" s="22"/>
    </row>
    <row r="809" spans="1:50" x14ac:dyDescent="0.3">
      <c r="A809" s="6"/>
      <c r="B809" s="19"/>
      <c r="C809" s="6"/>
      <c r="D809" s="5"/>
      <c r="E809" s="6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2"/>
      <c r="AA809" s="22"/>
      <c r="AB809" s="22"/>
      <c r="AC809" s="22"/>
      <c r="AD809" s="22"/>
      <c r="AE809" s="22"/>
      <c r="AF809" s="22"/>
      <c r="AG809" s="22"/>
      <c r="AH809" s="22"/>
      <c r="AI809" s="22"/>
      <c r="AJ809" s="22"/>
      <c r="AK809" s="22"/>
      <c r="AL809" s="22"/>
      <c r="AM809" s="22"/>
      <c r="AN809" s="22"/>
      <c r="AO809" s="22"/>
      <c r="AP809" s="22"/>
      <c r="AQ809" s="22"/>
      <c r="AR809" s="22"/>
      <c r="AS809" s="22"/>
      <c r="AT809" s="22"/>
      <c r="AU809" s="22"/>
      <c r="AV809" s="22"/>
      <c r="AW809" s="22"/>
      <c r="AX809" s="22"/>
    </row>
    <row r="810" spans="1:50" x14ac:dyDescent="0.3">
      <c r="A810" s="6"/>
      <c r="B810" s="19"/>
      <c r="C810" s="6"/>
      <c r="D810" s="5"/>
      <c r="E810" s="6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2"/>
      <c r="T810" s="22"/>
      <c r="U810" s="22"/>
      <c r="V810" s="22"/>
      <c r="W810" s="22"/>
      <c r="X810" s="22"/>
      <c r="Y810" s="22"/>
      <c r="Z810" s="22"/>
      <c r="AA810" s="22"/>
      <c r="AB810" s="22"/>
      <c r="AC810" s="22"/>
      <c r="AD810" s="22"/>
      <c r="AE810" s="22"/>
      <c r="AF810" s="22"/>
      <c r="AG810" s="22"/>
      <c r="AH810" s="22"/>
      <c r="AI810" s="22"/>
      <c r="AJ810" s="22"/>
      <c r="AK810" s="22"/>
      <c r="AL810" s="22"/>
      <c r="AM810" s="22"/>
      <c r="AN810" s="22"/>
      <c r="AO810" s="22"/>
      <c r="AP810" s="22"/>
      <c r="AQ810" s="22"/>
      <c r="AR810" s="22"/>
      <c r="AS810" s="22"/>
      <c r="AT810" s="22"/>
      <c r="AU810" s="22"/>
      <c r="AV810" s="22"/>
      <c r="AW810" s="22"/>
      <c r="AX810" s="22"/>
    </row>
    <row r="811" spans="1:50" x14ac:dyDescent="0.3">
      <c r="A811" s="6"/>
      <c r="B811" s="19"/>
      <c r="C811" s="6"/>
      <c r="D811" s="5"/>
      <c r="E811" s="6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2"/>
      <c r="T811" s="22"/>
      <c r="U811" s="22"/>
      <c r="V811" s="22"/>
      <c r="W811" s="22"/>
      <c r="X811" s="22"/>
      <c r="Y811" s="22"/>
      <c r="Z811" s="22"/>
      <c r="AA811" s="22"/>
      <c r="AB811" s="22"/>
      <c r="AC811" s="22"/>
      <c r="AD811" s="22"/>
      <c r="AE811" s="22"/>
      <c r="AF811" s="22"/>
      <c r="AG811" s="22"/>
      <c r="AH811" s="22"/>
      <c r="AI811" s="22"/>
      <c r="AJ811" s="22"/>
      <c r="AK811" s="22"/>
      <c r="AL811" s="22"/>
      <c r="AM811" s="22"/>
      <c r="AN811" s="22"/>
      <c r="AO811" s="22"/>
      <c r="AP811" s="22"/>
      <c r="AQ811" s="22"/>
      <c r="AR811" s="22"/>
      <c r="AS811" s="22"/>
      <c r="AT811" s="22"/>
      <c r="AU811" s="22"/>
      <c r="AV811" s="22"/>
      <c r="AW811" s="22"/>
      <c r="AX811" s="22"/>
    </row>
    <row r="812" spans="1:50" x14ac:dyDescent="0.3">
      <c r="A812" s="6"/>
      <c r="B812" s="19"/>
      <c r="C812" s="6"/>
      <c r="D812" s="5"/>
      <c r="E812" s="6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2"/>
      <c r="T812" s="22"/>
      <c r="U812" s="22"/>
      <c r="V812" s="22"/>
      <c r="W812" s="22"/>
      <c r="X812" s="22"/>
      <c r="Y812" s="22"/>
      <c r="Z812" s="22"/>
      <c r="AA812" s="22"/>
      <c r="AB812" s="22"/>
      <c r="AC812" s="22"/>
      <c r="AD812" s="22"/>
      <c r="AE812" s="22"/>
      <c r="AF812" s="22"/>
      <c r="AG812" s="22"/>
      <c r="AH812" s="22"/>
      <c r="AI812" s="22"/>
      <c r="AJ812" s="22"/>
      <c r="AK812" s="22"/>
      <c r="AL812" s="22"/>
      <c r="AM812" s="22"/>
      <c r="AN812" s="22"/>
      <c r="AO812" s="22"/>
      <c r="AP812" s="22"/>
      <c r="AQ812" s="22"/>
      <c r="AR812" s="22"/>
      <c r="AS812" s="22"/>
      <c r="AT812" s="22"/>
      <c r="AU812" s="22"/>
      <c r="AV812" s="22"/>
      <c r="AW812" s="22"/>
      <c r="AX812" s="22"/>
    </row>
    <row r="813" spans="1:50" x14ac:dyDescent="0.3">
      <c r="A813" s="6"/>
      <c r="B813" s="19"/>
      <c r="C813" s="6"/>
      <c r="D813" s="5"/>
      <c r="E813" s="6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2"/>
      <c r="T813" s="22"/>
      <c r="U813" s="22"/>
      <c r="V813" s="22"/>
      <c r="W813" s="22"/>
      <c r="X813" s="22"/>
      <c r="Y813" s="22"/>
      <c r="Z813" s="22"/>
      <c r="AA813" s="22"/>
      <c r="AB813" s="22"/>
      <c r="AC813" s="22"/>
      <c r="AD813" s="22"/>
      <c r="AE813" s="22"/>
      <c r="AF813" s="22"/>
      <c r="AG813" s="22"/>
      <c r="AH813" s="22"/>
      <c r="AI813" s="22"/>
      <c r="AJ813" s="22"/>
      <c r="AK813" s="22"/>
      <c r="AL813" s="22"/>
      <c r="AM813" s="22"/>
      <c r="AN813" s="22"/>
      <c r="AO813" s="22"/>
      <c r="AP813" s="22"/>
      <c r="AQ813" s="22"/>
      <c r="AR813" s="22"/>
      <c r="AS813" s="22"/>
      <c r="AT813" s="22"/>
      <c r="AU813" s="22"/>
      <c r="AV813" s="22"/>
      <c r="AW813" s="22"/>
      <c r="AX813" s="22"/>
    </row>
    <row r="814" spans="1:50" x14ac:dyDescent="0.3">
      <c r="A814" s="6"/>
      <c r="B814" s="19"/>
      <c r="C814" s="6"/>
      <c r="D814" s="5"/>
      <c r="E814" s="6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2"/>
      <c r="T814" s="22"/>
      <c r="U814" s="22"/>
      <c r="V814" s="22"/>
      <c r="W814" s="22"/>
      <c r="X814" s="22"/>
      <c r="Y814" s="22"/>
      <c r="Z814" s="22"/>
      <c r="AA814" s="22"/>
      <c r="AB814" s="22"/>
      <c r="AC814" s="22"/>
      <c r="AD814" s="22"/>
      <c r="AE814" s="22"/>
      <c r="AF814" s="22"/>
      <c r="AG814" s="22"/>
      <c r="AH814" s="22"/>
      <c r="AI814" s="22"/>
      <c r="AJ814" s="22"/>
      <c r="AK814" s="22"/>
      <c r="AL814" s="22"/>
      <c r="AM814" s="22"/>
      <c r="AN814" s="22"/>
      <c r="AO814" s="22"/>
      <c r="AP814" s="22"/>
      <c r="AQ814" s="22"/>
      <c r="AR814" s="22"/>
      <c r="AS814" s="22"/>
      <c r="AT814" s="22"/>
      <c r="AU814" s="22"/>
      <c r="AV814" s="22"/>
      <c r="AW814" s="22"/>
      <c r="AX814" s="22"/>
    </row>
    <row r="815" spans="1:50" x14ac:dyDescent="0.3">
      <c r="A815" s="6"/>
      <c r="B815" s="19"/>
      <c r="C815" s="6"/>
      <c r="D815" s="5"/>
      <c r="E815" s="6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2"/>
      <c r="T815" s="22"/>
      <c r="U815" s="22"/>
      <c r="V815" s="22"/>
      <c r="W815" s="22"/>
      <c r="X815" s="22"/>
      <c r="Y815" s="22"/>
      <c r="Z815" s="22"/>
      <c r="AA815" s="22"/>
      <c r="AB815" s="22"/>
      <c r="AC815" s="22"/>
      <c r="AD815" s="22"/>
      <c r="AE815" s="22"/>
      <c r="AF815" s="22"/>
      <c r="AG815" s="22"/>
      <c r="AH815" s="22"/>
      <c r="AI815" s="22"/>
      <c r="AJ815" s="22"/>
      <c r="AK815" s="22"/>
      <c r="AL815" s="22"/>
      <c r="AM815" s="22"/>
      <c r="AN815" s="22"/>
      <c r="AO815" s="22"/>
      <c r="AP815" s="22"/>
      <c r="AQ815" s="22"/>
      <c r="AR815" s="22"/>
      <c r="AS815" s="22"/>
      <c r="AT815" s="22"/>
      <c r="AU815" s="22"/>
      <c r="AV815" s="22"/>
      <c r="AW815" s="22"/>
      <c r="AX815" s="22"/>
    </row>
    <row r="816" spans="1:50" x14ac:dyDescent="0.3">
      <c r="A816" s="6"/>
      <c r="B816" s="19"/>
      <c r="C816" s="6"/>
      <c r="D816" s="5"/>
      <c r="E816" s="6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2"/>
      <c r="T816" s="22"/>
      <c r="U816" s="22"/>
      <c r="V816" s="22"/>
      <c r="W816" s="22"/>
      <c r="X816" s="22"/>
      <c r="Y816" s="22"/>
      <c r="Z816" s="22"/>
      <c r="AA816" s="22"/>
      <c r="AB816" s="22"/>
      <c r="AC816" s="22"/>
      <c r="AD816" s="22"/>
      <c r="AE816" s="22"/>
      <c r="AF816" s="22"/>
      <c r="AG816" s="22"/>
      <c r="AH816" s="22"/>
      <c r="AI816" s="22"/>
      <c r="AJ816" s="22"/>
      <c r="AK816" s="22"/>
      <c r="AL816" s="22"/>
      <c r="AM816" s="22"/>
      <c r="AN816" s="22"/>
      <c r="AO816" s="22"/>
      <c r="AP816" s="22"/>
      <c r="AQ816" s="22"/>
      <c r="AR816" s="22"/>
      <c r="AS816" s="22"/>
      <c r="AT816" s="22"/>
      <c r="AU816" s="22"/>
      <c r="AV816" s="22"/>
      <c r="AW816" s="22"/>
      <c r="AX816" s="22"/>
    </row>
    <row r="817" spans="1:50" x14ac:dyDescent="0.3">
      <c r="A817" s="6"/>
      <c r="B817" s="19"/>
      <c r="C817" s="6"/>
      <c r="D817" s="5"/>
      <c r="E817" s="6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2"/>
      <c r="T817" s="22"/>
      <c r="U817" s="22"/>
      <c r="V817" s="22"/>
      <c r="W817" s="22"/>
      <c r="X817" s="22"/>
      <c r="Y817" s="22"/>
      <c r="Z817" s="22"/>
      <c r="AA817" s="22"/>
      <c r="AB817" s="22"/>
      <c r="AC817" s="22"/>
      <c r="AD817" s="22"/>
      <c r="AE817" s="22"/>
      <c r="AF817" s="22"/>
      <c r="AG817" s="22"/>
      <c r="AH817" s="22"/>
      <c r="AI817" s="22"/>
      <c r="AJ817" s="22"/>
      <c r="AK817" s="22"/>
      <c r="AL817" s="22"/>
      <c r="AM817" s="22"/>
      <c r="AN817" s="22"/>
      <c r="AO817" s="22"/>
      <c r="AP817" s="22"/>
      <c r="AQ817" s="22"/>
      <c r="AR817" s="22"/>
      <c r="AS817" s="22"/>
      <c r="AT817" s="22"/>
      <c r="AU817" s="22"/>
      <c r="AV817" s="22"/>
      <c r="AW817" s="22"/>
      <c r="AX817" s="22"/>
    </row>
    <row r="818" spans="1:50" x14ac:dyDescent="0.3">
      <c r="A818" s="6"/>
      <c r="B818" s="19"/>
      <c r="C818" s="6"/>
      <c r="D818" s="5"/>
      <c r="E818" s="6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2"/>
      <c r="T818" s="22"/>
      <c r="U818" s="22"/>
      <c r="V818" s="22"/>
      <c r="W818" s="22"/>
      <c r="X818" s="22"/>
      <c r="Y818" s="22"/>
      <c r="Z818" s="22"/>
      <c r="AA818" s="22"/>
      <c r="AB818" s="22"/>
      <c r="AC818" s="22"/>
      <c r="AD818" s="22"/>
      <c r="AE818" s="22"/>
      <c r="AF818" s="22"/>
      <c r="AG818" s="22"/>
      <c r="AH818" s="22"/>
      <c r="AI818" s="22"/>
      <c r="AJ818" s="22"/>
      <c r="AK818" s="22"/>
      <c r="AL818" s="22"/>
      <c r="AM818" s="22"/>
      <c r="AN818" s="22"/>
      <c r="AO818" s="22"/>
      <c r="AP818" s="22"/>
      <c r="AQ818" s="22"/>
      <c r="AR818" s="22"/>
      <c r="AS818" s="22"/>
      <c r="AT818" s="22"/>
      <c r="AU818" s="22"/>
      <c r="AV818" s="22"/>
      <c r="AW818" s="22"/>
      <c r="AX818" s="22"/>
    </row>
    <row r="819" spans="1:50" x14ac:dyDescent="0.3">
      <c r="A819" s="6"/>
      <c r="B819" s="19"/>
      <c r="C819" s="6"/>
      <c r="D819" s="5"/>
      <c r="E819" s="6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2"/>
      <c r="T819" s="22"/>
      <c r="U819" s="22"/>
      <c r="V819" s="22"/>
      <c r="W819" s="22"/>
      <c r="X819" s="22"/>
      <c r="Y819" s="22"/>
      <c r="Z819" s="22"/>
      <c r="AA819" s="22"/>
      <c r="AB819" s="22"/>
      <c r="AC819" s="22"/>
      <c r="AD819" s="22"/>
      <c r="AE819" s="22"/>
      <c r="AF819" s="22"/>
      <c r="AG819" s="22"/>
      <c r="AH819" s="22"/>
      <c r="AI819" s="22"/>
      <c r="AJ819" s="22"/>
      <c r="AK819" s="22"/>
      <c r="AL819" s="22"/>
      <c r="AM819" s="22"/>
      <c r="AN819" s="22"/>
      <c r="AO819" s="22"/>
      <c r="AP819" s="22"/>
      <c r="AQ819" s="22"/>
      <c r="AR819" s="22"/>
      <c r="AS819" s="22"/>
      <c r="AT819" s="22"/>
      <c r="AU819" s="22"/>
      <c r="AV819" s="22"/>
      <c r="AW819" s="22"/>
      <c r="AX819" s="22"/>
    </row>
    <row r="820" spans="1:50" x14ac:dyDescent="0.3">
      <c r="A820" s="6"/>
      <c r="B820" s="19"/>
      <c r="C820" s="6"/>
      <c r="D820" s="5"/>
      <c r="E820" s="6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2"/>
      <c r="T820" s="22"/>
      <c r="U820" s="22"/>
      <c r="V820" s="22"/>
      <c r="W820" s="22"/>
      <c r="X820" s="22"/>
      <c r="Y820" s="22"/>
      <c r="Z820" s="22"/>
      <c r="AA820" s="22"/>
      <c r="AB820" s="22"/>
      <c r="AC820" s="22"/>
      <c r="AD820" s="22"/>
      <c r="AE820" s="22"/>
      <c r="AF820" s="22"/>
      <c r="AG820" s="22"/>
      <c r="AH820" s="22"/>
      <c r="AI820" s="22"/>
      <c r="AJ820" s="22"/>
      <c r="AK820" s="22"/>
      <c r="AL820" s="22"/>
      <c r="AM820" s="22"/>
      <c r="AN820" s="22"/>
      <c r="AO820" s="22"/>
      <c r="AP820" s="22"/>
      <c r="AQ820" s="22"/>
      <c r="AR820" s="22"/>
      <c r="AS820" s="22"/>
      <c r="AT820" s="22"/>
      <c r="AU820" s="22"/>
      <c r="AV820" s="22"/>
      <c r="AW820" s="22"/>
      <c r="AX820" s="22"/>
    </row>
    <row r="821" spans="1:50" x14ac:dyDescent="0.3">
      <c r="A821" s="6"/>
      <c r="B821" s="19"/>
      <c r="C821" s="6"/>
      <c r="D821" s="5"/>
      <c r="E821" s="6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2"/>
      <c r="T821" s="22"/>
      <c r="U821" s="22"/>
      <c r="V821" s="22"/>
      <c r="W821" s="22"/>
      <c r="X821" s="22"/>
      <c r="Y821" s="22"/>
      <c r="Z821" s="22"/>
      <c r="AA821" s="22"/>
      <c r="AB821" s="22"/>
      <c r="AC821" s="22"/>
      <c r="AD821" s="22"/>
      <c r="AE821" s="22"/>
      <c r="AF821" s="22"/>
      <c r="AG821" s="22"/>
      <c r="AH821" s="22"/>
      <c r="AI821" s="22"/>
      <c r="AJ821" s="22"/>
      <c r="AK821" s="22"/>
      <c r="AL821" s="22"/>
      <c r="AM821" s="22"/>
      <c r="AN821" s="22"/>
      <c r="AO821" s="22"/>
      <c r="AP821" s="22"/>
      <c r="AQ821" s="22"/>
      <c r="AR821" s="22"/>
      <c r="AS821" s="22"/>
      <c r="AT821" s="22"/>
      <c r="AU821" s="22"/>
      <c r="AV821" s="22"/>
      <c r="AW821" s="22"/>
      <c r="AX821" s="22"/>
    </row>
    <row r="822" spans="1:50" x14ac:dyDescent="0.3">
      <c r="A822" s="6"/>
      <c r="B822" s="19"/>
      <c r="C822" s="6"/>
      <c r="D822" s="5"/>
      <c r="E822" s="6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2"/>
      <c r="T822" s="22"/>
      <c r="U822" s="22"/>
      <c r="V822" s="22"/>
      <c r="W822" s="22"/>
      <c r="X822" s="22"/>
      <c r="Y822" s="22"/>
      <c r="Z822" s="22"/>
      <c r="AA822" s="22"/>
      <c r="AB822" s="22"/>
      <c r="AC822" s="22"/>
      <c r="AD822" s="22"/>
      <c r="AE822" s="22"/>
      <c r="AF822" s="22"/>
      <c r="AG822" s="22"/>
      <c r="AH822" s="22"/>
      <c r="AI822" s="22"/>
      <c r="AJ822" s="22"/>
      <c r="AK822" s="22"/>
      <c r="AL822" s="22"/>
      <c r="AM822" s="22"/>
      <c r="AN822" s="22"/>
      <c r="AO822" s="22"/>
      <c r="AP822" s="22"/>
      <c r="AQ822" s="22"/>
      <c r="AR822" s="22"/>
      <c r="AS822" s="22"/>
      <c r="AT822" s="22"/>
      <c r="AU822" s="22"/>
      <c r="AV822" s="22"/>
      <c r="AW822" s="22"/>
      <c r="AX822" s="22"/>
    </row>
    <row r="823" spans="1:50" x14ac:dyDescent="0.3">
      <c r="A823" s="6"/>
      <c r="B823" s="19"/>
      <c r="C823" s="6"/>
      <c r="D823" s="5"/>
      <c r="E823" s="6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2"/>
      <c r="T823" s="22"/>
      <c r="U823" s="22"/>
      <c r="V823" s="22"/>
      <c r="W823" s="22"/>
      <c r="X823" s="22"/>
      <c r="Y823" s="22"/>
      <c r="Z823" s="22"/>
      <c r="AA823" s="22"/>
      <c r="AB823" s="22"/>
      <c r="AC823" s="22"/>
      <c r="AD823" s="22"/>
      <c r="AE823" s="22"/>
      <c r="AF823" s="22"/>
      <c r="AG823" s="22"/>
      <c r="AH823" s="22"/>
      <c r="AI823" s="22"/>
      <c r="AJ823" s="22"/>
      <c r="AK823" s="22"/>
      <c r="AL823" s="22"/>
      <c r="AM823" s="22"/>
      <c r="AN823" s="22"/>
      <c r="AO823" s="22"/>
      <c r="AP823" s="22"/>
      <c r="AQ823" s="22"/>
      <c r="AR823" s="22"/>
      <c r="AS823" s="22"/>
      <c r="AT823" s="22"/>
      <c r="AU823" s="22"/>
      <c r="AV823" s="22"/>
      <c r="AW823" s="22"/>
      <c r="AX823" s="22"/>
    </row>
    <row r="824" spans="1:50" x14ac:dyDescent="0.3">
      <c r="A824" s="6"/>
      <c r="B824" s="19"/>
      <c r="C824" s="6"/>
      <c r="D824" s="5"/>
      <c r="E824" s="6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2"/>
      <c r="T824" s="22"/>
      <c r="U824" s="22"/>
      <c r="V824" s="22"/>
      <c r="W824" s="22"/>
      <c r="X824" s="22"/>
      <c r="Y824" s="22"/>
      <c r="Z824" s="22"/>
      <c r="AA824" s="22"/>
      <c r="AB824" s="22"/>
      <c r="AC824" s="22"/>
      <c r="AD824" s="22"/>
      <c r="AE824" s="22"/>
      <c r="AF824" s="22"/>
      <c r="AG824" s="22"/>
      <c r="AH824" s="22"/>
      <c r="AI824" s="22"/>
      <c r="AJ824" s="22"/>
      <c r="AK824" s="22"/>
      <c r="AL824" s="22"/>
      <c r="AM824" s="22"/>
      <c r="AN824" s="22"/>
      <c r="AO824" s="22"/>
      <c r="AP824" s="22"/>
      <c r="AQ824" s="22"/>
      <c r="AR824" s="22"/>
      <c r="AS824" s="22"/>
      <c r="AT824" s="22"/>
      <c r="AU824" s="22"/>
      <c r="AV824" s="22"/>
      <c r="AW824" s="22"/>
      <c r="AX824" s="22"/>
    </row>
    <row r="825" spans="1:50" x14ac:dyDescent="0.3">
      <c r="A825" s="6"/>
      <c r="B825" s="19"/>
      <c r="C825" s="6"/>
      <c r="D825" s="5"/>
      <c r="E825" s="6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2"/>
      <c r="T825" s="22"/>
      <c r="U825" s="22"/>
      <c r="V825" s="22"/>
      <c r="W825" s="22"/>
      <c r="X825" s="22"/>
      <c r="Y825" s="22"/>
      <c r="Z825" s="22"/>
      <c r="AA825" s="22"/>
      <c r="AB825" s="22"/>
      <c r="AC825" s="22"/>
      <c r="AD825" s="22"/>
      <c r="AE825" s="22"/>
      <c r="AF825" s="22"/>
      <c r="AG825" s="22"/>
      <c r="AH825" s="22"/>
      <c r="AI825" s="22"/>
      <c r="AJ825" s="22"/>
      <c r="AK825" s="22"/>
      <c r="AL825" s="22"/>
      <c r="AM825" s="22"/>
      <c r="AN825" s="22"/>
      <c r="AO825" s="22"/>
      <c r="AP825" s="22"/>
      <c r="AQ825" s="22"/>
      <c r="AR825" s="22"/>
      <c r="AS825" s="22"/>
      <c r="AT825" s="22"/>
      <c r="AU825" s="22"/>
      <c r="AV825" s="22"/>
      <c r="AW825" s="22"/>
      <c r="AX825" s="22"/>
    </row>
    <row r="826" spans="1:50" x14ac:dyDescent="0.3">
      <c r="A826" s="6"/>
      <c r="B826" s="19"/>
      <c r="C826" s="6"/>
      <c r="D826" s="5"/>
      <c r="E826" s="6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2"/>
      <c r="T826" s="22"/>
      <c r="U826" s="22"/>
      <c r="V826" s="22"/>
      <c r="W826" s="22"/>
      <c r="X826" s="22"/>
      <c r="Y826" s="22"/>
      <c r="Z826" s="22"/>
      <c r="AA826" s="22"/>
      <c r="AB826" s="22"/>
      <c r="AC826" s="22"/>
      <c r="AD826" s="22"/>
      <c r="AE826" s="22"/>
      <c r="AF826" s="22"/>
      <c r="AG826" s="22"/>
      <c r="AH826" s="22"/>
      <c r="AI826" s="22"/>
      <c r="AJ826" s="22"/>
      <c r="AK826" s="22"/>
      <c r="AL826" s="22"/>
      <c r="AM826" s="22"/>
      <c r="AN826" s="22"/>
      <c r="AO826" s="22"/>
      <c r="AP826" s="22"/>
      <c r="AQ826" s="22"/>
      <c r="AR826" s="22"/>
      <c r="AS826" s="22"/>
      <c r="AT826" s="22"/>
      <c r="AU826" s="22"/>
      <c r="AV826" s="22"/>
      <c r="AW826" s="22"/>
      <c r="AX826" s="22"/>
    </row>
    <row r="827" spans="1:50" x14ac:dyDescent="0.3">
      <c r="A827" s="6"/>
      <c r="B827" s="19"/>
      <c r="C827" s="6"/>
      <c r="D827" s="5"/>
      <c r="E827" s="6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2"/>
      <c r="T827" s="22"/>
      <c r="U827" s="22"/>
      <c r="V827" s="22"/>
      <c r="W827" s="22"/>
      <c r="X827" s="22"/>
      <c r="Y827" s="22"/>
      <c r="Z827" s="22"/>
      <c r="AA827" s="22"/>
      <c r="AB827" s="22"/>
      <c r="AC827" s="22"/>
      <c r="AD827" s="22"/>
      <c r="AE827" s="22"/>
      <c r="AF827" s="22"/>
      <c r="AG827" s="22"/>
      <c r="AH827" s="22"/>
      <c r="AI827" s="22"/>
      <c r="AJ827" s="22"/>
      <c r="AK827" s="22"/>
      <c r="AL827" s="22"/>
      <c r="AM827" s="22"/>
      <c r="AN827" s="22"/>
      <c r="AO827" s="22"/>
      <c r="AP827" s="22"/>
      <c r="AQ827" s="22"/>
      <c r="AR827" s="22"/>
      <c r="AS827" s="22"/>
      <c r="AT827" s="22"/>
      <c r="AU827" s="22"/>
      <c r="AV827" s="22"/>
      <c r="AW827" s="22"/>
      <c r="AX827" s="22"/>
    </row>
    <row r="828" spans="1:50" x14ac:dyDescent="0.3">
      <c r="A828" s="6"/>
      <c r="B828" s="19"/>
      <c r="C828" s="6"/>
      <c r="D828" s="5"/>
      <c r="E828" s="6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2"/>
      <c r="T828" s="22"/>
      <c r="U828" s="22"/>
      <c r="V828" s="22"/>
      <c r="W828" s="22"/>
      <c r="X828" s="22"/>
      <c r="Y828" s="22"/>
      <c r="Z828" s="22"/>
      <c r="AA828" s="22"/>
      <c r="AB828" s="22"/>
      <c r="AC828" s="22"/>
      <c r="AD828" s="22"/>
      <c r="AE828" s="22"/>
      <c r="AF828" s="22"/>
      <c r="AG828" s="22"/>
      <c r="AH828" s="22"/>
      <c r="AI828" s="22"/>
      <c r="AJ828" s="22"/>
      <c r="AK828" s="22"/>
      <c r="AL828" s="22"/>
      <c r="AM828" s="22"/>
      <c r="AN828" s="22"/>
      <c r="AO828" s="22"/>
      <c r="AP828" s="22"/>
      <c r="AQ828" s="22"/>
      <c r="AR828" s="22"/>
      <c r="AS828" s="22"/>
      <c r="AT828" s="22"/>
      <c r="AU828" s="22"/>
      <c r="AV828" s="22"/>
      <c r="AW828" s="22"/>
      <c r="AX828" s="22"/>
    </row>
    <row r="829" spans="1:50" x14ac:dyDescent="0.3">
      <c r="A829" s="6"/>
      <c r="B829" s="19"/>
      <c r="C829" s="6"/>
      <c r="D829" s="5"/>
      <c r="E829" s="6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2"/>
      <c r="T829" s="22"/>
      <c r="U829" s="22"/>
      <c r="V829" s="22"/>
      <c r="W829" s="22"/>
      <c r="X829" s="22"/>
      <c r="Y829" s="22"/>
      <c r="Z829" s="22"/>
      <c r="AA829" s="22"/>
      <c r="AB829" s="22"/>
      <c r="AC829" s="22"/>
      <c r="AD829" s="22"/>
      <c r="AE829" s="22"/>
      <c r="AF829" s="22"/>
      <c r="AG829" s="22"/>
      <c r="AH829" s="22"/>
      <c r="AI829" s="22"/>
      <c r="AJ829" s="22"/>
      <c r="AK829" s="22"/>
      <c r="AL829" s="22"/>
      <c r="AM829" s="22"/>
      <c r="AN829" s="22"/>
      <c r="AO829" s="22"/>
      <c r="AP829" s="22"/>
      <c r="AQ829" s="22"/>
      <c r="AR829" s="22"/>
      <c r="AS829" s="22"/>
      <c r="AT829" s="22"/>
      <c r="AU829" s="22"/>
      <c r="AV829" s="22"/>
      <c r="AW829" s="22"/>
      <c r="AX829" s="22"/>
    </row>
    <row r="830" spans="1:50" x14ac:dyDescent="0.3">
      <c r="A830" s="6"/>
      <c r="B830" s="19"/>
      <c r="C830" s="6"/>
      <c r="D830" s="5"/>
      <c r="E830" s="6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2"/>
      <c r="T830" s="22"/>
      <c r="U830" s="22"/>
      <c r="V830" s="22"/>
      <c r="W830" s="22"/>
      <c r="X830" s="22"/>
      <c r="Y830" s="22"/>
      <c r="Z830" s="22"/>
      <c r="AA830" s="22"/>
      <c r="AB830" s="22"/>
      <c r="AC830" s="22"/>
      <c r="AD830" s="22"/>
      <c r="AE830" s="22"/>
      <c r="AF830" s="22"/>
      <c r="AG830" s="22"/>
      <c r="AH830" s="22"/>
      <c r="AI830" s="22"/>
      <c r="AJ830" s="22"/>
      <c r="AK830" s="22"/>
      <c r="AL830" s="22"/>
      <c r="AM830" s="22"/>
      <c r="AN830" s="22"/>
      <c r="AO830" s="22"/>
      <c r="AP830" s="22"/>
      <c r="AQ830" s="22"/>
      <c r="AR830" s="22"/>
      <c r="AS830" s="22"/>
      <c r="AT830" s="22"/>
      <c r="AU830" s="22"/>
      <c r="AV830" s="22"/>
      <c r="AW830" s="22"/>
      <c r="AX830" s="22"/>
    </row>
    <row r="831" spans="1:50" x14ac:dyDescent="0.3">
      <c r="A831" s="6"/>
      <c r="B831" s="19"/>
      <c r="C831" s="6"/>
      <c r="D831" s="5"/>
      <c r="E831" s="6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2"/>
      <c r="T831" s="22"/>
      <c r="U831" s="22"/>
      <c r="V831" s="22"/>
      <c r="W831" s="22"/>
      <c r="X831" s="22"/>
      <c r="Y831" s="22"/>
      <c r="Z831" s="22"/>
      <c r="AA831" s="22"/>
      <c r="AB831" s="22"/>
      <c r="AC831" s="22"/>
      <c r="AD831" s="22"/>
      <c r="AE831" s="22"/>
      <c r="AF831" s="22"/>
      <c r="AG831" s="22"/>
      <c r="AH831" s="22"/>
      <c r="AI831" s="22"/>
      <c r="AJ831" s="22"/>
      <c r="AK831" s="22"/>
      <c r="AL831" s="22"/>
      <c r="AM831" s="22"/>
      <c r="AN831" s="22"/>
      <c r="AO831" s="22"/>
      <c r="AP831" s="22"/>
      <c r="AQ831" s="22"/>
      <c r="AR831" s="22"/>
      <c r="AS831" s="22"/>
      <c r="AT831" s="22"/>
      <c r="AU831" s="22"/>
      <c r="AV831" s="22"/>
      <c r="AW831" s="22"/>
      <c r="AX831" s="22"/>
    </row>
    <row r="832" spans="1:50" x14ac:dyDescent="0.3">
      <c r="A832" s="6"/>
      <c r="B832" s="19"/>
      <c r="C832" s="6"/>
      <c r="D832" s="5"/>
      <c r="E832" s="6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2"/>
      <c r="T832" s="22"/>
      <c r="U832" s="22"/>
      <c r="V832" s="22"/>
      <c r="W832" s="22"/>
      <c r="X832" s="22"/>
      <c r="Y832" s="22"/>
      <c r="Z832" s="22"/>
      <c r="AA832" s="22"/>
      <c r="AB832" s="22"/>
      <c r="AC832" s="22"/>
      <c r="AD832" s="22"/>
      <c r="AE832" s="22"/>
      <c r="AF832" s="22"/>
      <c r="AG832" s="22"/>
      <c r="AH832" s="22"/>
      <c r="AI832" s="22"/>
      <c r="AJ832" s="22"/>
      <c r="AK832" s="22"/>
      <c r="AL832" s="22"/>
      <c r="AM832" s="22"/>
      <c r="AN832" s="22"/>
      <c r="AO832" s="22"/>
      <c r="AP832" s="22"/>
      <c r="AQ832" s="22"/>
      <c r="AR832" s="22"/>
      <c r="AS832" s="22"/>
      <c r="AT832" s="22"/>
      <c r="AU832" s="22"/>
      <c r="AV832" s="22"/>
      <c r="AW832" s="22"/>
      <c r="AX832" s="22"/>
    </row>
    <row r="833" spans="1:50" x14ac:dyDescent="0.3">
      <c r="A833" s="6"/>
      <c r="B833" s="19"/>
      <c r="C833" s="6"/>
      <c r="D833" s="5"/>
      <c r="E833" s="6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2"/>
      <c r="T833" s="22"/>
      <c r="U833" s="22"/>
      <c r="V833" s="22"/>
      <c r="W833" s="22"/>
      <c r="X833" s="22"/>
      <c r="Y833" s="22"/>
      <c r="Z833" s="22"/>
      <c r="AA833" s="22"/>
      <c r="AB833" s="22"/>
      <c r="AC833" s="22"/>
      <c r="AD833" s="22"/>
      <c r="AE833" s="22"/>
      <c r="AF833" s="22"/>
      <c r="AG833" s="22"/>
      <c r="AH833" s="22"/>
      <c r="AI833" s="22"/>
      <c r="AJ833" s="22"/>
      <c r="AK833" s="22"/>
      <c r="AL833" s="22"/>
      <c r="AM833" s="22"/>
      <c r="AN833" s="22"/>
      <c r="AO833" s="22"/>
      <c r="AP833" s="22"/>
      <c r="AQ833" s="22"/>
      <c r="AR833" s="22"/>
      <c r="AS833" s="22"/>
      <c r="AT833" s="22"/>
      <c r="AU833" s="22"/>
      <c r="AV833" s="22"/>
      <c r="AW833" s="22"/>
      <c r="AX833" s="22"/>
    </row>
    <row r="834" spans="1:50" x14ac:dyDescent="0.3">
      <c r="A834" s="6"/>
      <c r="B834" s="19"/>
      <c r="C834" s="6"/>
      <c r="D834" s="5"/>
      <c r="E834" s="6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2"/>
      <c r="T834" s="22"/>
      <c r="U834" s="22"/>
      <c r="V834" s="22"/>
      <c r="W834" s="22"/>
      <c r="X834" s="22"/>
      <c r="Y834" s="22"/>
      <c r="Z834" s="22"/>
      <c r="AA834" s="22"/>
      <c r="AB834" s="22"/>
      <c r="AC834" s="22"/>
      <c r="AD834" s="22"/>
      <c r="AE834" s="22"/>
      <c r="AF834" s="22"/>
      <c r="AG834" s="22"/>
      <c r="AH834" s="22"/>
      <c r="AI834" s="22"/>
      <c r="AJ834" s="22"/>
      <c r="AK834" s="22"/>
      <c r="AL834" s="22"/>
      <c r="AM834" s="22"/>
      <c r="AN834" s="22"/>
      <c r="AO834" s="22"/>
      <c r="AP834" s="22"/>
      <c r="AQ834" s="22"/>
      <c r="AR834" s="22"/>
      <c r="AS834" s="22"/>
      <c r="AT834" s="22"/>
      <c r="AU834" s="22"/>
      <c r="AV834" s="22"/>
      <c r="AW834" s="22"/>
      <c r="AX834" s="22"/>
    </row>
    <row r="835" spans="1:50" x14ac:dyDescent="0.3">
      <c r="A835" s="6"/>
      <c r="B835" s="19"/>
      <c r="C835" s="6"/>
      <c r="D835" s="5"/>
      <c r="E835" s="6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2"/>
      <c r="T835" s="22"/>
      <c r="U835" s="22"/>
      <c r="V835" s="22"/>
      <c r="W835" s="22"/>
      <c r="X835" s="22"/>
      <c r="Y835" s="22"/>
      <c r="Z835" s="22"/>
      <c r="AA835" s="22"/>
      <c r="AB835" s="22"/>
      <c r="AC835" s="22"/>
      <c r="AD835" s="22"/>
      <c r="AE835" s="22"/>
      <c r="AF835" s="22"/>
      <c r="AG835" s="22"/>
      <c r="AH835" s="22"/>
      <c r="AI835" s="22"/>
      <c r="AJ835" s="22"/>
      <c r="AK835" s="22"/>
      <c r="AL835" s="22"/>
      <c r="AM835" s="22"/>
      <c r="AN835" s="22"/>
      <c r="AO835" s="22"/>
      <c r="AP835" s="22"/>
      <c r="AQ835" s="22"/>
      <c r="AR835" s="22"/>
      <c r="AS835" s="22"/>
      <c r="AT835" s="22"/>
      <c r="AU835" s="22"/>
      <c r="AV835" s="22"/>
      <c r="AW835" s="22"/>
      <c r="AX835" s="22"/>
    </row>
    <row r="836" spans="1:50" x14ac:dyDescent="0.3">
      <c r="A836" s="6"/>
      <c r="B836" s="19"/>
      <c r="C836" s="6"/>
      <c r="D836" s="5"/>
      <c r="E836" s="6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2"/>
      <c r="T836" s="22"/>
      <c r="U836" s="22"/>
      <c r="V836" s="22"/>
      <c r="W836" s="22"/>
      <c r="X836" s="22"/>
      <c r="Y836" s="22"/>
      <c r="Z836" s="22"/>
      <c r="AA836" s="22"/>
      <c r="AB836" s="22"/>
      <c r="AC836" s="22"/>
      <c r="AD836" s="22"/>
      <c r="AE836" s="22"/>
      <c r="AF836" s="22"/>
      <c r="AG836" s="22"/>
      <c r="AH836" s="22"/>
      <c r="AI836" s="22"/>
      <c r="AJ836" s="22"/>
      <c r="AK836" s="22"/>
      <c r="AL836" s="22"/>
      <c r="AM836" s="22"/>
      <c r="AN836" s="22"/>
      <c r="AO836" s="22"/>
      <c r="AP836" s="22"/>
      <c r="AQ836" s="22"/>
      <c r="AR836" s="22"/>
      <c r="AS836" s="22"/>
      <c r="AT836" s="22"/>
      <c r="AU836" s="22"/>
      <c r="AV836" s="22"/>
      <c r="AW836" s="22"/>
      <c r="AX836" s="22"/>
    </row>
    <row r="837" spans="1:50" x14ac:dyDescent="0.3">
      <c r="A837" s="6"/>
      <c r="B837" s="19"/>
      <c r="C837" s="6"/>
      <c r="D837" s="5"/>
      <c r="E837" s="6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2"/>
      <c r="T837" s="22"/>
      <c r="U837" s="22"/>
      <c r="V837" s="22"/>
      <c r="W837" s="22"/>
      <c r="X837" s="22"/>
      <c r="Y837" s="22"/>
      <c r="Z837" s="22"/>
      <c r="AA837" s="22"/>
      <c r="AB837" s="22"/>
      <c r="AC837" s="22"/>
      <c r="AD837" s="22"/>
      <c r="AE837" s="22"/>
      <c r="AF837" s="22"/>
      <c r="AG837" s="22"/>
      <c r="AH837" s="22"/>
      <c r="AI837" s="22"/>
      <c r="AJ837" s="22"/>
      <c r="AK837" s="22"/>
      <c r="AL837" s="22"/>
      <c r="AM837" s="22"/>
      <c r="AN837" s="22"/>
      <c r="AO837" s="22"/>
      <c r="AP837" s="22"/>
      <c r="AQ837" s="22"/>
      <c r="AR837" s="22"/>
      <c r="AS837" s="22"/>
      <c r="AT837" s="22"/>
      <c r="AU837" s="22"/>
      <c r="AV837" s="22"/>
      <c r="AW837" s="22"/>
      <c r="AX837" s="22"/>
    </row>
    <row r="838" spans="1:50" x14ac:dyDescent="0.3">
      <c r="A838" s="6"/>
      <c r="B838" s="19"/>
      <c r="C838" s="6"/>
      <c r="D838" s="5"/>
      <c r="E838" s="6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2"/>
      <c r="T838" s="22"/>
      <c r="U838" s="22"/>
      <c r="V838" s="22"/>
      <c r="W838" s="22"/>
      <c r="X838" s="22"/>
      <c r="Y838" s="22"/>
      <c r="Z838" s="22"/>
      <c r="AA838" s="22"/>
      <c r="AB838" s="22"/>
      <c r="AC838" s="22"/>
      <c r="AD838" s="22"/>
      <c r="AE838" s="22"/>
      <c r="AF838" s="22"/>
      <c r="AG838" s="22"/>
      <c r="AH838" s="22"/>
      <c r="AI838" s="22"/>
      <c r="AJ838" s="22"/>
      <c r="AK838" s="22"/>
      <c r="AL838" s="22"/>
      <c r="AM838" s="22"/>
      <c r="AN838" s="22"/>
      <c r="AO838" s="22"/>
      <c r="AP838" s="22"/>
      <c r="AQ838" s="22"/>
      <c r="AR838" s="22"/>
      <c r="AS838" s="22"/>
      <c r="AT838" s="22"/>
      <c r="AU838" s="22"/>
      <c r="AV838" s="22"/>
      <c r="AW838" s="22"/>
      <c r="AX838" s="22"/>
    </row>
    <row r="839" spans="1:50" x14ac:dyDescent="0.3">
      <c r="A839" s="6"/>
      <c r="B839" s="19"/>
      <c r="C839" s="6"/>
      <c r="D839" s="5"/>
      <c r="E839" s="6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2"/>
      <c r="T839" s="22"/>
      <c r="U839" s="22"/>
      <c r="V839" s="22"/>
      <c r="W839" s="22"/>
      <c r="X839" s="22"/>
      <c r="Y839" s="22"/>
      <c r="Z839" s="22"/>
      <c r="AA839" s="22"/>
      <c r="AB839" s="22"/>
      <c r="AC839" s="22"/>
      <c r="AD839" s="22"/>
      <c r="AE839" s="22"/>
      <c r="AF839" s="22"/>
      <c r="AG839" s="22"/>
      <c r="AH839" s="22"/>
      <c r="AI839" s="22"/>
      <c r="AJ839" s="22"/>
      <c r="AK839" s="22"/>
      <c r="AL839" s="22"/>
      <c r="AM839" s="22"/>
      <c r="AN839" s="22"/>
      <c r="AO839" s="22"/>
      <c r="AP839" s="22"/>
      <c r="AQ839" s="22"/>
      <c r="AR839" s="22"/>
      <c r="AS839" s="22"/>
      <c r="AT839" s="22"/>
      <c r="AU839" s="22"/>
      <c r="AV839" s="22"/>
      <c r="AW839" s="22"/>
      <c r="AX839" s="22"/>
    </row>
    <row r="840" spans="1:50" x14ac:dyDescent="0.3">
      <c r="A840" s="6"/>
      <c r="B840" s="19"/>
      <c r="C840" s="6"/>
      <c r="D840" s="5"/>
      <c r="E840" s="6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2"/>
      <c r="T840" s="22"/>
      <c r="U840" s="22"/>
      <c r="V840" s="22"/>
      <c r="W840" s="22"/>
      <c r="X840" s="22"/>
      <c r="Y840" s="22"/>
      <c r="Z840" s="22"/>
      <c r="AA840" s="22"/>
      <c r="AB840" s="22"/>
      <c r="AC840" s="22"/>
      <c r="AD840" s="22"/>
      <c r="AE840" s="22"/>
      <c r="AF840" s="22"/>
      <c r="AG840" s="22"/>
      <c r="AH840" s="22"/>
      <c r="AI840" s="22"/>
      <c r="AJ840" s="22"/>
      <c r="AK840" s="22"/>
      <c r="AL840" s="22"/>
      <c r="AM840" s="22"/>
      <c r="AN840" s="22"/>
      <c r="AO840" s="22"/>
      <c r="AP840" s="22"/>
      <c r="AQ840" s="22"/>
      <c r="AR840" s="22"/>
      <c r="AS840" s="22"/>
      <c r="AT840" s="22"/>
      <c r="AU840" s="22"/>
      <c r="AV840" s="22"/>
      <c r="AW840" s="22"/>
      <c r="AX840" s="22"/>
    </row>
    <row r="841" spans="1:50" x14ac:dyDescent="0.3">
      <c r="A841" s="6"/>
      <c r="B841" s="19"/>
      <c r="C841" s="6"/>
      <c r="D841" s="5"/>
      <c r="E841" s="6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2"/>
      <c r="T841" s="22"/>
      <c r="U841" s="22"/>
      <c r="V841" s="22"/>
      <c r="W841" s="22"/>
      <c r="X841" s="22"/>
      <c r="Y841" s="22"/>
      <c r="Z841" s="22"/>
      <c r="AA841" s="22"/>
      <c r="AB841" s="22"/>
      <c r="AC841" s="22"/>
      <c r="AD841" s="22"/>
      <c r="AE841" s="22"/>
      <c r="AF841" s="22"/>
      <c r="AG841" s="22"/>
      <c r="AH841" s="22"/>
      <c r="AI841" s="22"/>
      <c r="AJ841" s="22"/>
      <c r="AK841" s="22"/>
      <c r="AL841" s="22"/>
      <c r="AM841" s="22"/>
      <c r="AN841" s="22"/>
      <c r="AO841" s="22"/>
      <c r="AP841" s="22"/>
      <c r="AQ841" s="22"/>
      <c r="AR841" s="22"/>
      <c r="AS841" s="22"/>
      <c r="AT841" s="22"/>
      <c r="AU841" s="22"/>
      <c r="AV841" s="22"/>
      <c r="AW841" s="22"/>
      <c r="AX841" s="22"/>
    </row>
    <row r="842" spans="1:50" x14ac:dyDescent="0.3">
      <c r="A842" s="6"/>
      <c r="B842" s="19"/>
      <c r="C842" s="6"/>
      <c r="D842" s="5"/>
      <c r="E842" s="6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2"/>
      <c r="T842" s="22"/>
      <c r="U842" s="22"/>
      <c r="V842" s="22"/>
      <c r="W842" s="22"/>
      <c r="X842" s="22"/>
      <c r="Y842" s="22"/>
      <c r="Z842" s="22"/>
      <c r="AA842" s="22"/>
      <c r="AB842" s="22"/>
      <c r="AC842" s="22"/>
      <c r="AD842" s="22"/>
      <c r="AE842" s="22"/>
      <c r="AF842" s="22"/>
      <c r="AG842" s="22"/>
      <c r="AH842" s="22"/>
      <c r="AI842" s="22"/>
      <c r="AJ842" s="22"/>
      <c r="AK842" s="22"/>
      <c r="AL842" s="22"/>
      <c r="AM842" s="22"/>
      <c r="AN842" s="22"/>
      <c r="AO842" s="22"/>
      <c r="AP842" s="22"/>
      <c r="AQ842" s="22"/>
      <c r="AR842" s="22"/>
      <c r="AS842" s="22"/>
      <c r="AT842" s="22"/>
      <c r="AU842" s="22"/>
      <c r="AV842" s="22"/>
      <c r="AW842" s="22"/>
      <c r="AX842" s="22"/>
    </row>
    <row r="843" spans="1:50" x14ac:dyDescent="0.3">
      <c r="A843" s="6"/>
      <c r="B843" s="19"/>
      <c r="C843" s="6"/>
      <c r="D843" s="5"/>
      <c r="E843" s="6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2"/>
      <c r="T843" s="22"/>
      <c r="U843" s="22"/>
      <c r="V843" s="22"/>
      <c r="W843" s="22"/>
      <c r="X843" s="22"/>
      <c r="Y843" s="22"/>
      <c r="Z843" s="22"/>
      <c r="AA843" s="22"/>
      <c r="AB843" s="22"/>
      <c r="AC843" s="22"/>
      <c r="AD843" s="22"/>
      <c r="AE843" s="22"/>
      <c r="AF843" s="22"/>
      <c r="AG843" s="22"/>
      <c r="AH843" s="22"/>
      <c r="AI843" s="22"/>
      <c r="AJ843" s="22"/>
      <c r="AK843" s="22"/>
      <c r="AL843" s="22"/>
      <c r="AM843" s="22"/>
      <c r="AN843" s="22"/>
      <c r="AO843" s="22"/>
      <c r="AP843" s="22"/>
      <c r="AQ843" s="22"/>
      <c r="AR843" s="22"/>
      <c r="AS843" s="22"/>
      <c r="AT843" s="22"/>
      <c r="AU843" s="22"/>
      <c r="AV843" s="22"/>
      <c r="AW843" s="22"/>
      <c r="AX843" s="22"/>
    </row>
    <row r="844" spans="1:50" x14ac:dyDescent="0.3">
      <c r="A844" s="6"/>
      <c r="B844" s="19"/>
      <c r="C844" s="6"/>
      <c r="D844" s="5"/>
      <c r="E844" s="6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2"/>
      <c r="T844" s="22"/>
      <c r="U844" s="22"/>
      <c r="V844" s="22"/>
      <c r="W844" s="22"/>
      <c r="X844" s="22"/>
      <c r="Y844" s="22"/>
      <c r="Z844" s="22"/>
      <c r="AA844" s="22"/>
      <c r="AB844" s="22"/>
      <c r="AC844" s="22"/>
      <c r="AD844" s="22"/>
      <c r="AE844" s="22"/>
      <c r="AF844" s="22"/>
      <c r="AG844" s="22"/>
      <c r="AH844" s="22"/>
      <c r="AI844" s="22"/>
      <c r="AJ844" s="22"/>
      <c r="AK844" s="22"/>
      <c r="AL844" s="22"/>
      <c r="AM844" s="22"/>
      <c r="AN844" s="22"/>
      <c r="AO844" s="22"/>
      <c r="AP844" s="22"/>
      <c r="AQ844" s="22"/>
      <c r="AR844" s="22"/>
      <c r="AS844" s="22"/>
      <c r="AT844" s="22"/>
      <c r="AU844" s="22"/>
      <c r="AV844" s="22"/>
      <c r="AW844" s="22"/>
      <c r="AX844" s="22"/>
    </row>
    <row r="845" spans="1:50" x14ac:dyDescent="0.3">
      <c r="A845" s="6"/>
      <c r="B845" s="19"/>
      <c r="C845" s="6"/>
      <c r="D845" s="5"/>
      <c r="E845" s="6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2"/>
      <c r="T845" s="22"/>
      <c r="U845" s="22"/>
      <c r="V845" s="22"/>
      <c r="W845" s="22"/>
      <c r="X845" s="22"/>
      <c r="Y845" s="22"/>
      <c r="Z845" s="22"/>
      <c r="AA845" s="22"/>
      <c r="AB845" s="22"/>
      <c r="AC845" s="22"/>
      <c r="AD845" s="22"/>
      <c r="AE845" s="22"/>
      <c r="AF845" s="22"/>
      <c r="AG845" s="22"/>
      <c r="AH845" s="22"/>
      <c r="AI845" s="22"/>
      <c r="AJ845" s="22"/>
      <c r="AK845" s="22"/>
      <c r="AL845" s="22"/>
      <c r="AM845" s="22"/>
      <c r="AN845" s="22"/>
      <c r="AO845" s="22"/>
      <c r="AP845" s="22"/>
      <c r="AQ845" s="22"/>
      <c r="AR845" s="22"/>
      <c r="AS845" s="22"/>
      <c r="AT845" s="22"/>
      <c r="AU845" s="22"/>
      <c r="AV845" s="22"/>
      <c r="AW845" s="22"/>
      <c r="AX845" s="22"/>
    </row>
    <row r="846" spans="1:50" x14ac:dyDescent="0.3">
      <c r="A846" s="6"/>
      <c r="B846" s="19"/>
      <c r="C846" s="6"/>
      <c r="D846" s="5"/>
      <c r="E846" s="6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2"/>
      <c r="T846" s="22"/>
      <c r="U846" s="22"/>
      <c r="V846" s="22"/>
      <c r="W846" s="22"/>
      <c r="X846" s="22"/>
      <c r="Y846" s="22"/>
      <c r="Z846" s="22"/>
      <c r="AA846" s="22"/>
      <c r="AB846" s="22"/>
      <c r="AC846" s="22"/>
      <c r="AD846" s="22"/>
      <c r="AE846" s="22"/>
      <c r="AF846" s="22"/>
      <c r="AG846" s="22"/>
      <c r="AH846" s="22"/>
      <c r="AI846" s="22"/>
      <c r="AJ846" s="22"/>
      <c r="AK846" s="22"/>
      <c r="AL846" s="22"/>
      <c r="AM846" s="22"/>
      <c r="AN846" s="22"/>
      <c r="AO846" s="22"/>
      <c r="AP846" s="22"/>
      <c r="AQ846" s="22"/>
      <c r="AR846" s="22"/>
      <c r="AS846" s="22"/>
      <c r="AT846" s="22"/>
      <c r="AU846" s="22"/>
      <c r="AV846" s="22"/>
      <c r="AW846" s="22"/>
      <c r="AX846" s="22"/>
    </row>
    <row r="847" spans="1:50" x14ac:dyDescent="0.3">
      <c r="A847" s="6"/>
      <c r="B847" s="19"/>
      <c r="C847" s="6"/>
      <c r="D847" s="5"/>
      <c r="E847" s="6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2"/>
      <c r="T847" s="22"/>
      <c r="U847" s="22"/>
      <c r="V847" s="22"/>
      <c r="W847" s="22"/>
      <c r="X847" s="22"/>
      <c r="Y847" s="22"/>
      <c r="Z847" s="22"/>
      <c r="AA847" s="22"/>
      <c r="AB847" s="22"/>
      <c r="AC847" s="22"/>
      <c r="AD847" s="22"/>
      <c r="AE847" s="22"/>
      <c r="AF847" s="22"/>
      <c r="AG847" s="22"/>
      <c r="AH847" s="22"/>
      <c r="AI847" s="22"/>
      <c r="AJ847" s="22"/>
      <c r="AK847" s="22"/>
      <c r="AL847" s="22"/>
      <c r="AM847" s="22"/>
      <c r="AN847" s="22"/>
      <c r="AO847" s="22"/>
      <c r="AP847" s="22"/>
      <c r="AQ847" s="22"/>
      <c r="AR847" s="22"/>
      <c r="AS847" s="22"/>
      <c r="AT847" s="22"/>
      <c r="AU847" s="22"/>
      <c r="AV847" s="22"/>
      <c r="AW847" s="22"/>
      <c r="AX847" s="22"/>
    </row>
    <row r="848" spans="1:50" x14ac:dyDescent="0.3">
      <c r="A848" s="6"/>
      <c r="B848" s="19"/>
      <c r="C848" s="6"/>
      <c r="D848" s="5"/>
      <c r="E848" s="6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2"/>
      <c r="T848" s="22"/>
      <c r="U848" s="22"/>
      <c r="V848" s="22"/>
      <c r="W848" s="22"/>
      <c r="X848" s="22"/>
      <c r="Y848" s="22"/>
      <c r="Z848" s="22"/>
      <c r="AA848" s="22"/>
      <c r="AB848" s="22"/>
      <c r="AC848" s="22"/>
      <c r="AD848" s="22"/>
      <c r="AE848" s="22"/>
      <c r="AF848" s="22"/>
      <c r="AG848" s="22"/>
      <c r="AH848" s="22"/>
      <c r="AI848" s="22"/>
      <c r="AJ848" s="22"/>
      <c r="AK848" s="22"/>
      <c r="AL848" s="22"/>
      <c r="AM848" s="22"/>
      <c r="AN848" s="22"/>
      <c r="AO848" s="22"/>
      <c r="AP848" s="22"/>
      <c r="AQ848" s="22"/>
      <c r="AR848" s="22"/>
      <c r="AS848" s="22"/>
      <c r="AT848" s="22"/>
      <c r="AU848" s="22"/>
      <c r="AV848" s="22"/>
      <c r="AW848" s="22"/>
      <c r="AX848" s="22"/>
    </row>
    <row r="849" spans="1:50" x14ac:dyDescent="0.3">
      <c r="A849" s="6"/>
      <c r="B849" s="19"/>
      <c r="C849" s="6"/>
      <c r="D849" s="5"/>
      <c r="E849" s="6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2"/>
      <c r="T849" s="22"/>
      <c r="U849" s="22"/>
      <c r="V849" s="22"/>
      <c r="W849" s="22"/>
      <c r="X849" s="22"/>
      <c r="Y849" s="22"/>
      <c r="Z849" s="22"/>
      <c r="AA849" s="22"/>
      <c r="AB849" s="22"/>
      <c r="AC849" s="22"/>
      <c r="AD849" s="22"/>
      <c r="AE849" s="22"/>
      <c r="AF849" s="22"/>
      <c r="AG849" s="22"/>
      <c r="AH849" s="22"/>
      <c r="AI849" s="22"/>
      <c r="AJ849" s="22"/>
      <c r="AK849" s="22"/>
      <c r="AL849" s="22"/>
      <c r="AM849" s="22"/>
      <c r="AN849" s="22"/>
      <c r="AO849" s="22"/>
      <c r="AP849" s="22"/>
      <c r="AQ849" s="22"/>
      <c r="AR849" s="22"/>
      <c r="AS849" s="22"/>
      <c r="AT849" s="22"/>
      <c r="AU849" s="22"/>
      <c r="AV849" s="22"/>
      <c r="AW849" s="22"/>
      <c r="AX849" s="22"/>
    </row>
    <row r="850" spans="1:50" x14ac:dyDescent="0.3">
      <c r="A850" s="6"/>
      <c r="B850" s="19"/>
      <c r="C850" s="6"/>
      <c r="D850" s="5"/>
      <c r="E850" s="6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2"/>
      <c r="T850" s="22"/>
      <c r="U850" s="22"/>
      <c r="V850" s="22"/>
      <c r="W850" s="22"/>
      <c r="X850" s="22"/>
      <c r="Y850" s="22"/>
      <c r="Z850" s="22"/>
      <c r="AA850" s="22"/>
      <c r="AB850" s="22"/>
      <c r="AC850" s="22"/>
      <c r="AD850" s="22"/>
      <c r="AE850" s="22"/>
      <c r="AF850" s="22"/>
      <c r="AG850" s="22"/>
      <c r="AH850" s="22"/>
      <c r="AI850" s="22"/>
      <c r="AJ850" s="22"/>
      <c r="AK850" s="22"/>
      <c r="AL850" s="22"/>
      <c r="AM850" s="22"/>
      <c r="AN850" s="22"/>
      <c r="AO850" s="22"/>
      <c r="AP850" s="22"/>
      <c r="AQ850" s="22"/>
      <c r="AR850" s="22"/>
      <c r="AS850" s="22"/>
      <c r="AT850" s="22"/>
      <c r="AU850" s="22"/>
      <c r="AV850" s="22"/>
      <c r="AW850" s="22"/>
      <c r="AX850" s="22"/>
    </row>
    <row r="851" spans="1:50" x14ac:dyDescent="0.3">
      <c r="A851" s="6"/>
      <c r="B851" s="19"/>
      <c r="C851" s="6"/>
      <c r="D851" s="5"/>
      <c r="E851" s="6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2"/>
      <c r="AA851" s="22"/>
      <c r="AB851" s="22"/>
      <c r="AC851" s="22"/>
      <c r="AD851" s="22"/>
      <c r="AE851" s="22"/>
      <c r="AF851" s="22"/>
      <c r="AG851" s="22"/>
      <c r="AH851" s="22"/>
      <c r="AI851" s="22"/>
      <c r="AJ851" s="22"/>
      <c r="AK851" s="22"/>
      <c r="AL851" s="22"/>
      <c r="AM851" s="22"/>
      <c r="AN851" s="22"/>
      <c r="AO851" s="22"/>
      <c r="AP851" s="22"/>
      <c r="AQ851" s="22"/>
      <c r="AR851" s="22"/>
      <c r="AS851" s="22"/>
      <c r="AT851" s="22"/>
      <c r="AU851" s="22"/>
      <c r="AV851" s="22"/>
      <c r="AW851" s="22"/>
      <c r="AX851" s="22"/>
    </row>
    <row r="852" spans="1:50" x14ac:dyDescent="0.3">
      <c r="A852" s="6"/>
      <c r="B852" s="19"/>
      <c r="C852" s="6"/>
      <c r="D852" s="5"/>
      <c r="E852" s="6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2"/>
      <c r="Y852" s="22"/>
      <c r="Z852" s="22"/>
      <c r="AA852" s="22"/>
      <c r="AB852" s="22"/>
      <c r="AC852" s="22"/>
      <c r="AD852" s="22"/>
      <c r="AE852" s="22"/>
      <c r="AF852" s="22"/>
      <c r="AG852" s="22"/>
      <c r="AH852" s="22"/>
      <c r="AI852" s="22"/>
      <c r="AJ852" s="22"/>
      <c r="AK852" s="22"/>
      <c r="AL852" s="22"/>
      <c r="AM852" s="22"/>
      <c r="AN852" s="22"/>
      <c r="AO852" s="22"/>
      <c r="AP852" s="22"/>
      <c r="AQ852" s="22"/>
      <c r="AR852" s="22"/>
      <c r="AS852" s="22"/>
      <c r="AT852" s="22"/>
      <c r="AU852" s="22"/>
      <c r="AV852" s="22"/>
      <c r="AW852" s="22"/>
      <c r="AX852" s="22"/>
    </row>
    <row r="853" spans="1:50" x14ac:dyDescent="0.3">
      <c r="A853" s="6"/>
      <c r="B853" s="19"/>
      <c r="C853" s="6"/>
      <c r="D853" s="5"/>
      <c r="E853" s="6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2"/>
      <c r="AA853" s="22"/>
      <c r="AB853" s="22"/>
      <c r="AC853" s="22"/>
      <c r="AD853" s="22"/>
      <c r="AE853" s="22"/>
      <c r="AF853" s="22"/>
      <c r="AG853" s="22"/>
      <c r="AH853" s="22"/>
      <c r="AI853" s="22"/>
      <c r="AJ853" s="22"/>
      <c r="AK853" s="22"/>
      <c r="AL853" s="22"/>
      <c r="AM853" s="22"/>
      <c r="AN853" s="22"/>
      <c r="AO853" s="22"/>
      <c r="AP853" s="22"/>
      <c r="AQ853" s="22"/>
      <c r="AR853" s="22"/>
      <c r="AS853" s="22"/>
      <c r="AT853" s="22"/>
      <c r="AU853" s="22"/>
      <c r="AV853" s="22"/>
      <c r="AW853" s="22"/>
      <c r="AX853" s="22"/>
    </row>
    <row r="854" spans="1:50" x14ac:dyDescent="0.3">
      <c r="A854" s="6"/>
      <c r="B854" s="19"/>
      <c r="C854" s="6"/>
      <c r="D854" s="5"/>
      <c r="E854" s="6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2"/>
      <c r="T854" s="22"/>
      <c r="U854" s="22"/>
      <c r="V854" s="22"/>
      <c r="W854" s="22"/>
      <c r="X854" s="22"/>
      <c r="Y854" s="22"/>
      <c r="Z854" s="22"/>
      <c r="AA854" s="22"/>
      <c r="AB854" s="22"/>
      <c r="AC854" s="22"/>
      <c r="AD854" s="22"/>
      <c r="AE854" s="22"/>
      <c r="AF854" s="22"/>
      <c r="AG854" s="22"/>
      <c r="AH854" s="22"/>
      <c r="AI854" s="22"/>
      <c r="AJ854" s="22"/>
      <c r="AK854" s="22"/>
      <c r="AL854" s="22"/>
      <c r="AM854" s="22"/>
      <c r="AN854" s="22"/>
      <c r="AO854" s="22"/>
      <c r="AP854" s="22"/>
      <c r="AQ854" s="22"/>
      <c r="AR854" s="22"/>
      <c r="AS854" s="22"/>
      <c r="AT854" s="22"/>
      <c r="AU854" s="22"/>
      <c r="AV854" s="22"/>
      <c r="AW854" s="22"/>
      <c r="AX854" s="22"/>
    </row>
    <row r="855" spans="1:50" x14ac:dyDescent="0.3">
      <c r="A855" s="6"/>
      <c r="B855" s="19"/>
      <c r="C855" s="6"/>
      <c r="D855" s="5"/>
      <c r="E855" s="6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2"/>
      <c r="T855" s="22"/>
      <c r="U855" s="22"/>
      <c r="V855" s="22"/>
      <c r="W855" s="22"/>
      <c r="X855" s="22"/>
      <c r="Y855" s="22"/>
      <c r="Z855" s="22"/>
      <c r="AA855" s="22"/>
      <c r="AB855" s="22"/>
      <c r="AC855" s="22"/>
      <c r="AD855" s="22"/>
      <c r="AE855" s="22"/>
      <c r="AF855" s="22"/>
      <c r="AG855" s="22"/>
      <c r="AH855" s="22"/>
      <c r="AI855" s="22"/>
      <c r="AJ855" s="22"/>
      <c r="AK855" s="22"/>
      <c r="AL855" s="22"/>
      <c r="AM855" s="22"/>
      <c r="AN855" s="22"/>
      <c r="AO855" s="22"/>
      <c r="AP855" s="22"/>
      <c r="AQ855" s="22"/>
      <c r="AR855" s="22"/>
      <c r="AS855" s="22"/>
      <c r="AT855" s="22"/>
      <c r="AU855" s="22"/>
      <c r="AV855" s="22"/>
      <c r="AW855" s="22"/>
      <c r="AX855" s="22"/>
    </row>
    <row r="856" spans="1:50" x14ac:dyDescent="0.3">
      <c r="A856" s="6"/>
      <c r="B856" s="19"/>
      <c r="C856" s="6"/>
      <c r="D856" s="5"/>
      <c r="E856" s="6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2"/>
      <c r="T856" s="22"/>
      <c r="U856" s="22"/>
      <c r="V856" s="22"/>
      <c r="W856" s="22"/>
      <c r="X856" s="22"/>
      <c r="Y856" s="22"/>
      <c r="Z856" s="22"/>
      <c r="AA856" s="22"/>
      <c r="AB856" s="22"/>
      <c r="AC856" s="22"/>
      <c r="AD856" s="22"/>
      <c r="AE856" s="22"/>
      <c r="AF856" s="22"/>
      <c r="AG856" s="22"/>
      <c r="AH856" s="22"/>
      <c r="AI856" s="22"/>
      <c r="AJ856" s="22"/>
      <c r="AK856" s="22"/>
      <c r="AL856" s="22"/>
      <c r="AM856" s="22"/>
      <c r="AN856" s="22"/>
      <c r="AO856" s="22"/>
      <c r="AP856" s="22"/>
      <c r="AQ856" s="22"/>
      <c r="AR856" s="22"/>
      <c r="AS856" s="22"/>
      <c r="AT856" s="22"/>
      <c r="AU856" s="22"/>
      <c r="AV856" s="22"/>
      <c r="AW856" s="22"/>
      <c r="AX856" s="22"/>
    </row>
    <row r="857" spans="1:50" x14ac:dyDescent="0.3">
      <c r="A857" s="6"/>
      <c r="B857" s="19"/>
      <c r="C857" s="6"/>
      <c r="D857" s="5"/>
      <c r="E857" s="6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2"/>
      <c r="T857" s="22"/>
      <c r="U857" s="22"/>
      <c r="V857" s="22"/>
      <c r="W857" s="22"/>
      <c r="X857" s="22"/>
      <c r="Y857" s="22"/>
      <c r="Z857" s="22"/>
      <c r="AA857" s="22"/>
      <c r="AB857" s="22"/>
      <c r="AC857" s="22"/>
      <c r="AD857" s="22"/>
      <c r="AE857" s="22"/>
      <c r="AF857" s="22"/>
      <c r="AG857" s="22"/>
      <c r="AH857" s="22"/>
      <c r="AI857" s="22"/>
      <c r="AJ857" s="22"/>
      <c r="AK857" s="22"/>
      <c r="AL857" s="22"/>
      <c r="AM857" s="22"/>
      <c r="AN857" s="22"/>
      <c r="AO857" s="22"/>
      <c r="AP857" s="22"/>
      <c r="AQ857" s="22"/>
      <c r="AR857" s="22"/>
      <c r="AS857" s="22"/>
      <c r="AT857" s="22"/>
      <c r="AU857" s="22"/>
      <c r="AV857" s="22"/>
      <c r="AW857" s="22"/>
      <c r="AX857" s="22"/>
    </row>
    <row r="858" spans="1:50" x14ac:dyDescent="0.3">
      <c r="A858" s="6"/>
      <c r="B858" s="19"/>
      <c r="C858" s="6"/>
      <c r="D858" s="5"/>
      <c r="E858" s="6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2"/>
      <c r="T858" s="22"/>
      <c r="U858" s="22"/>
      <c r="V858" s="22"/>
      <c r="W858" s="22"/>
      <c r="X858" s="22"/>
      <c r="Y858" s="22"/>
      <c r="Z858" s="22"/>
      <c r="AA858" s="22"/>
      <c r="AB858" s="22"/>
      <c r="AC858" s="22"/>
      <c r="AD858" s="22"/>
      <c r="AE858" s="22"/>
      <c r="AF858" s="22"/>
      <c r="AG858" s="22"/>
      <c r="AH858" s="22"/>
      <c r="AI858" s="22"/>
      <c r="AJ858" s="22"/>
      <c r="AK858" s="22"/>
      <c r="AL858" s="22"/>
      <c r="AM858" s="22"/>
      <c r="AN858" s="22"/>
      <c r="AO858" s="22"/>
      <c r="AP858" s="22"/>
      <c r="AQ858" s="22"/>
      <c r="AR858" s="22"/>
      <c r="AS858" s="22"/>
      <c r="AT858" s="22"/>
      <c r="AU858" s="22"/>
      <c r="AV858" s="22"/>
      <c r="AW858" s="22"/>
      <c r="AX858" s="22"/>
    </row>
    <row r="859" spans="1:50" x14ac:dyDescent="0.3">
      <c r="A859" s="6"/>
      <c r="B859" s="19"/>
      <c r="C859" s="6"/>
      <c r="D859" s="5"/>
      <c r="E859" s="6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2"/>
      <c r="T859" s="22"/>
      <c r="U859" s="22"/>
      <c r="V859" s="22"/>
      <c r="W859" s="22"/>
      <c r="X859" s="22"/>
      <c r="Y859" s="22"/>
      <c r="Z859" s="22"/>
      <c r="AA859" s="22"/>
      <c r="AB859" s="22"/>
      <c r="AC859" s="22"/>
      <c r="AD859" s="22"/>
      <c r="AE859" s="22"/>
      <c r="AF859" s="22"/>
      <c r="AG859" s="22"/>
      <c r="AH859" s="22"/>
      <c r="AI859" s="22"/>
      <c r="AJ859" s="22"/>
      <c r="AK859" s="22"/>
      <c r="AL859" s="22"/>
      <c r="AM859" s="22"/>
      <c r="AN859" s="22"/>
      <c r="AO859" s="22"/>
      <c r="AP859" s="22"/>
      <c r="AQ859" s="22"/>
      <c r="AR859" s="22"/>
      <c r="AS859" s="22"/>
      <c r="AT859" s="22"/>
      <c r="AU859" s="22"/>
      <c r="AV859" s="22"/>
      <c r="AW859" s="22"/>
      <c r="AX859" s="22"/>
    </row>
    <row r="860" spans="1:50" x14ac:dyDescent="0.3">
      <c r="A860" s="6"/>
      <c r="B860" s="19"/>
      <c r="C860" s="6"/>
      <c r="D860" s="5"/>
      <c r="E860" s="6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2"/>
      <c r="T860" s="22"/>
      <c r="U860" s="22"/>
      <c r="V860" s="22"/>
      <c r="W860" s="22"/>
      <c r="X860" s="22"/>
      <c r="Y860" s="22"/>
      <c r="Z860" s="22"/>
      <c r="AA860" s="22"/>
      <c r="AB860" s="22"/>
      <c r="AC860" s="22"/>
      <c r="AD860" s="22"/>
      <c r="AE860" s="22"/>
      <c r="AF860" s="22"/>
      <c r="AG860" s="22"/>
      <c r="AH860" s="22"/>
      <c r="AI860" s="22"/>
      <c r="AJ860" s="22"/>
      <c r="AK860" s="22"/>
      <c r="AL860" s="22"/>
      <c r="AM860" s="22"/>
      <c r="AN860" s="22"/>
      <c r="AO860" s="22"/>
      <c r="AP860" s="22"/>
      <c r="AQ860" s="22"/>
      <c r="AR860" s="22"/>
      <c r="AS860" s="22"/>
      <c r="AT860" s="22"/>
      <c r="AU860" s="22"/>
      <c r="AV860" s="22"/>
      <c r="AW860" s="22"/>
      <c r="AX860" s="22"/>
    </row>
    <row r="861" spans="1:50" x14ac:dyDescent="0.3">
      <c r="A861" s="6"/>
      <c r="B861" s="19"/>
      <c r="C861" s="6"/>
      <c r="D861" s="5"/>
      <c r="E861" s="6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2"/>
      <c r="T861" s="22"/>
      <c r="U861" s="22"/>
      <c r="V861" s="22"/>
      <c r="W861" s="22"/>
      <c r="X861" s="22"/>
      <c r="Y861" s="22"/>
      <c r="Z861" s="22"/>
      <c r="AA861" s="22"/>
      <c r="AB861" s="22"/>
      <c r="AC861" s="22"/>
      <c r="AD861" s="22"/>
      <c r="AE861" s="22"/>
      <c r="AF861" s="22"/>
      <c r="AG861" s="22"/>
      <c r="AH861" s="22"/>
      <c r="AI861" s="22"/>
      <c r="AJ861" s="22"/>
      <c r="AK861" s="22"/>
      <c r="AL861" s="22"/>
      <c r="AM861" s="22"/>
      <c r="AN861" s="22"/>
      <c r="AO861" s="22"/>
      <c r="AP861" s="22"/>
      <c r="AQ861" s="22"/>
      <c r="AR861" s="22"/>
      <c r="AS861" s="22"/>
      <c r="AT861" s="22"/>
      <c r="AU861" s="22"/>
      <c r="AV861" s="22"/>
      <c r="AW861" s="22"/>
      <c r="AX861" s="22"/>
    </row>
    <row r="862" spans="1:50" x14ac:dyDescent="0.3">
      <c r="A862" s="6"/>
      <c r="B862" s="19"/>
      <c r="C862" s="6"/>
      <c r="D862" s="5"/>
      <c r="E862" s="6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2"/>
      <c r="T862" s="22"/>
      <c r="U862" s="22"/>
      <c r="V862" s="22"/>
      <c r="W862" s="22"/>
      <c r="X862" s="22"/>
      <c r="Y862" s="22"/>
      <c r="Z862" s="22"/>
      <c r="AA862" s="22"/>
      <c r="AB862" s="22"/>
      <c r="AC862" s="22"/>
      <c r="AD862" s="22"/>
      <c r="AE862" s="22"/>
      <c r="AF862" s="22"/>
      <c r="AG862" s="22"/>
      <c r="AH862" s="22"/>
      <c r="AI862" s="22"/>
      <c r="AJ862" s="22"/>
      <c r="AK862" s="22"/>
      <c r="AL862" s="22"/>
      <c r="AM862" s="22"/>
      <c r="AN862" s="22"/>
      <c r="AO862" s="22"/>
      <c r="AP862" s="22"/>
      <c r="AQ862" s="22"/>
      <c r="AR862" s="22"/>
      <c r="AS862" s="22"/>
      <c r="AT862" s="22"/>
      <c r="AU862" s="22"/>
      <c r="AV862" s="22"/>
      <c r="AW862" s="22"/>
      <c r="AX862" s="22"/>
    </row>
    <row r="863" spans="1:50" x14ac:dyDescent="0.3">
      <c r="A863" s="6"/>
      <c r="B863" s="19"/>
      <c r="C863" s="6"/>
      <c r="D863" s="5"/>
      <c r="E863" s="6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2"/>
      <c r="T863" s="22"/>
      <c r="U863" s="22"/>
      <c r="V863" s="22"/>
      <c r="W863" s="22"/>
      <c r="X863" s="22"/>
      <c r="Y863" s="22"/>
      <c r="Z863" s="22"/>
      <c r="AA863" s="22"/>
      <c r="AB863" s="22"/>
      <c r="AC863" s="22"/>
      <c r="AD863" s="22"/>
      <c r="AE863" s="22"/>
      <c r="AF863" s="22"/>
      <c r="AG863" s="22"/>
      <c r="AH863" s="22"/>
      <c r="AI863" s="22"/>
      <c r="AJ863" s="22"/>
      <c r="AK863" s="22"/>
      <c r="AL863" s="22"/>
      <c r="AM863" s="22"/>
      <c r="AN863" s="22"/>
      <c r="AO863" s="22"/>
      <c r="AP863" s="22"/>
      <c r="AQ863" s="22"/>
      <c r="AR863" s="22"/>
      <c r="AS863" s="22"/>
      <c r="AT863" s="22"/>
      <c r="AU863" s="22"/>
      <c r="AV863" s="22"/>
      <c r="AW863" s="22"/>
      <c r="AX863" s="22"/>
    </row>
    <row r="864" spans="1:50" x14ac:dyDescent="0.3">
      <c r="A864" s="6"/>
      <c r="B864" s="19"/>
      <c r="C864" s="6"/>
      <c r="D864" s="5"/>
      <c r="E864" s="6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2"/>
      <c r="T864" s="22"/>
      <c r="U864" s="22"/>
      <c r="V864" s="22"/>
      <c r="W864" s="22"/>
      <c r="X864" s="22"/>
      <c r="Y864" s="22"/>
      <c r="Z864" s="22"/>
      <c r="AA864" s="22"/>
      <c r="AB864" s="22"/>
      <c r="AC864" s="22"/>
      <c r="AD864" s="22"/>
      <c r="AE864" s="22"/>
      <c r="AF864" s="22"/>
      <c r="AG864" s="22"/>
      <c r="AH864" s="22"/>
      <c r="AI864" s="22"/>
      <c r="AJ864" s="22"/>
      <c r="AK864" s="22"/>
      <c r="AL864" s="22"/>
      <c r="AM864" s="22"/>
      <c r="AN864" s="22"/>
      <c r="AO864" s="22"/>
      <c r="AP864" s="22"/>
      <c r="AQ864" s="22"/>
      <c r="AR864" s="22"/>
      <c r="AS864" s="22"/>
      <c r="AT864" s="22"/>
      <c r="AU864" s="22"/>
      <c r="AV864" s="22"/>
      <c r="AW864" s="22"/>
      <c r="AX864" s="22"/>
    </row>
    <row r="865" spans="1:50" x14ac:dyDescent="0.3">
      <c r="A865" s="6"/>
      <c r="B865" s="19"/>
      <c r="C865" s="6"/>
      <c r="D865" s="5"/>
      <c r="E865" s="6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2"/>
      <c r="T865" s="22"/>
      <c r="U865" s="22"/>
      <c r="V865" s="22"/>
      <c r="W865" s="22"/>
      <c r="X865" s="22"/>
      <c r="Y865" s="22"/>
      <c r="Z865" s="22"/>
      <c r="AA865" s="22"/>
      <c r="AB865" s="22"/>
      <c r="AC865" s="22"/>
      <c r="AD865" s="22"/>
      <c r="AE865" s="22"/>
      <c r="AF865" s="22"/>
      <c r="AG865" s="22"/>
      <c r="AH865" s="22"/>
      <c r="AI865" s="22"/>
      <c r="AJ865" s="22"/>
      <c r="AK865" s="22"/>
      <c r="AL865" s="22"/>
      <c r="AM865" s="22"/>
      <c r="AN865" s="22"/>
      <c r="AO865" s="22"/>
      <c r="AP865" s="22"/>
      <c r="AQ865" s="22"/>
      <c r="AR865" s="22"/>
      <c r="AS865" s="22"/>
      <c r="AT865" s="22"/>
      <c r="AU865" s="22"/>
      <c r="AV865" s="22"/>
      <c r="AW865" s="22"/>
      <c r="AX865" s="22"/>
    </row>
    <row r="866" spans="1:50" x14ac:dyDescent="0.3">
      <c r="A866" s="6"/>
      <c r="B866" s="19"/>
      <c r="C866" s="6"/>
      <c r="D866" s="5"/>
      <c r="E866" s="6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2"/>
      <c r="T866" s="22"/>
      <c r="U866" s="22"/>
      <c r="V866" s="22"/>
      <c r="W866" s="22"/>
      <c r="X866" s="22"/>
      <c r="Y866" s="22"/>
      <c r="Z866" s="22"/>
      <c r="AA866" s="22"/>
      <c r="AB866" s="22"/>
      <c r="AC866" s="22"/>
      <c r="AD866" s="22"/>
      <c r="AE866" s="22"/>
      <c r="AF866" s="22"/>
      <c r="AG866" s="22"/>
      <c r="AH866" s="22"/>
      <c r="AI866" s="22"/>
      <c r="AJ866" s="22"/>
      <c r="AK866" s="22"/>
      <c r="AL866" s="22"/>
      <c r="AM866" s="22"/>
      <c r="AN866" s="22"/>
      <c r="AO866" s="22"/>
      <c r="AP866" s="22"/>
      <c r="AQ866" s="22"/>
      <c r="AR866" s="22"/>
      <c r="AS866" s="22"/>
      <c r="AT866" s="22"/>
      <c r="AU866" s="22"/>
      <c r="AV866" s="22"/>
      <c r="AW866" s="22"/>
      <c r="AX866" s="22"/>
    </row>
    <row r="867" spans="1:50" x14ac:dyDescent="0.3">
      <c r="A867" s="6"/>
      <c r="B867" s="19"/>
      <c r="C867" s="6"/>
      <c r="D867" s="5"/>
      <c r="E867" s="6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2"/>
      <c r="T867" s="22"/>
      <c r="U867" s="22"/>
      <c r="V867" s="22"/>
      <c r="W867" s="22"/>
      <c r="X867" s="22"/>
      <c r="Y867" s="22"/>
      <c r="Z867" s="22"/>
      <c r="AA867" s="22"/>
      <c r="AB867" s="22"/>
      <c r="AC867" s="22"/>
      <c r="AD867" s="22"/>
      <c r="AE867" s="22"/>
      <c r="AF867" s="22"/>
      <c r="AG867" s="22"/>
      <c r="AH867" s="22"/>
      <c r="AI867" s="22"/>
      <c r="AJ867" s="22"/>
      <c r="AK867" s="22"/>
      <c r="AL867" s="22"/>
      <c r="AM867" s="22"/>
      <c r="AN867" s="22"/>
      <c r="AO867" s="22"/>
      <c r="AP867" s="22"/>
      <c r="AQ867" s="22"/>
      <c r="AR867" s="22"/>
      <c r="AS867" s="22"/>
      <c r="AT867" s="22"/>
      <c r="AU867" s="22"/>
      <c r="AV867" s="22"/>
      <c r="AW867" s="22"/>
      <c r="AX867" s="22"/>
    </row>
    <row r="868" spans="1:50" x14ac:dyDescent="0.3">
      <c r="A868" s="6"/>
      <c r="B868" s="19"/>
      <c r="C868" s="6"/>
      <c r="D868" s="5"/>
      <c r="E868" s="6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2"/>
      <c r="T868" s="22"/>
      <c r="U868" s="22"/>
      <c r="V868" s="22"/>
      <c r="W868" s="22"/>
      <c r="X868" s="22"/>
      <c r="Y868" s="22"/>
      <c r="Z868" s="22"/>
      <c r="AA868" s="22"/>
      <c r="AB868" s="22"/>
      <c r="AC868" s="22"/>
      <c r="AD868" s="22"/>
      <c r="AE868" s="22"/>
      <c r="AF868" s="22"/>
      <c r="AG868" s="22"/>
      <c r="AH868" s="22"/>
      <c r="AI868" s="22"/>
      <c r="AJ868" s="22"/>
      <c r="AK868" s="22"/>
      <c r="AL868" s="22"/>
      <c r="AM868" s="22"/>
      <c r="AN868" s="22"/>
      <c r="AO868" s="22"/>
      <c r="AP868" s="22"/>
      <c r="AQ868" s="22"/>
      <c r="AR868" s="22"/>
      <c r="AS868" s="22"/>
      <c r="AT868" s="22"/>
      <c r="AU868" s="22"/>
      <c r="AV868" s="22"/>
      <c r="AW868" s="22"/>
      <c r="AX868" s="22"/>
    </row>
    <row r="869" spans="1:50" x14ac:dyDescent="0.3">
      <c r="A869" s="6"/>
      <c r="B869" s="19"/>
      <c r="C869" s="6"/>
      <c r="D869" s="5"/>
      <c r="E869" s="6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2"/>
      <c r="T869" s="22"/>
      <c r="U869" s="22"/>
      <c r="V869" s="22"/>
      <c r="W869" s="22"/>
      <c r="X869" s="22"/>
      <c r="Y869" s="22"/>
      <c r="Z869" s="22"/>
      <c r="AA869" s="22"/>
      <c r="AB869" s="22"/>
      <c r="AC869" s="22"/>
      <c r="AD869" s="22"/>
      <c r="AE869" s="22"/>
      <c r="AF869" s="22"/>
      <c r="AG869" s="22"/>
      <c r="AH869" s="22"/>
      <c r="AI869" s="22"/>
      <c r="AJ869" s="22"/>
      <c r="AK869" s="22"/>
      <c r="AL869" s="22"/>
      <c r="AM869" s="22"/>
      <c r="AN869" s="22"/>
      <c r="AO869" s="22"/>
      <c r="AP869" s="22"/>
      <c r="AQ869" s="22"/>
      <c r="AR869" s="22"/>
      <c r="AS869" s="22"/>
      <c r="AT869" s="22"/>
      <c r="AU869" s="22"/>
      <c r="AV869" s="22"/>
      <c r="AW869" s="22"/>
      <c r="AX869" s="22"/>
    </row>
    <row r="870" spans="1:50" x14ac:dyDescent="0.3">
      <c r="A870" s="6"/>
      <c r="B870" s="19"/>
      <c r="C870" s="6"/>
      <c r="D870" s="5"/>
      <c r="E870" s="6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2"/>
      <c r="T870" s="22"/>
      <c r="U870" s="22"/>
      <c r="V870" s="22"/>
      <c r="W870" s="22"/>
      <c r="X870" s="22"/>
      <c r="Y870" s="22"/>
      <c r="Z870" s="22"/>
      <c r="AA870" s="22"/>
      <c r="AB870" s="22"/>
      <c r="AC870" s="22"/>
      <c r="AD870" s="22"/>
      <c r="AE870" s="22"/>
      <c r="AF870" s="22"/>
      <c r="AG870" s="22"/>
      <c r="AH870" s="22"/>
      <c r="AI870" s="22"/>
      <c r="AJ870" s="22"/>
      <c r="AK870" s="22"/>
      <c r="AL870" s="22"/>
      <c r="AM870" s="22"/>
      <c r="AN870" s="22"/>
      <c r="AO870" s="22"/>
      <c r="AP870" s="22"/>
      <c r="AQ870" s="22"/>
      <c r="AR870" s="22"/>
      <c r="AS870" s="22"/>
      <c r="AT870" s="22"/>
      <c r="AU870" s="22"/>
      <c r="AV870" s="22"/>
      <c r="AW870" s="22"/>
      <c r="AX870" s="22"/>
    </row>
    <row r="871" spans="1:50" x14ac:dyDescent="0.3">
      <c r="A871" s="6"/>
      <c r="B871" s="19"/>
      <c r="C871" s="6"/>
      <c r="D871" s="5"/>
      <c r="E871" s="6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2"/>
      <c r="T871" s="22"/>
      <c r="U871" s="22"/>
      <c r="V871" s="22"/>
      <c r="W871" s="22"/>
      <c r="X871" s="22"/>
      <c r="Y871" s="22"/>
      <c r="Z871" s="22"/>
      <c r="AA871" s="22"/>
      <c r="AB871" s="22"/>
      <c r="AC871" s="22"/>
      <c r="AD871" s="22"/>
      <c r="AE871" s="22"/>
      <c r="AF871" s="22"/>
      <c r="AG871" s="22"/>
      <c r="AH871" s="22"/>
      <c r="AI871" s="22"/>
      <c r="AJ871" s="22"/>
      <c r="AK871" s="22"/>
      <c r="AL871" s="22"/>
      <c r="AM871" s="22"/>
      <c r="AN871" s="22"/>
      <c r="AO871" s="22"/>
      <c r="AP871" s="22"/>
      <c r="AQ871" s="22"/>
      <c r="AR871" s="22"/>
      <c r="AS871" s="22"/>
      <c r="AT871" s="22"/>
      <c r="AU871" s="22"/>
      <c r="AV871" s="22"/>
      <c r="AW871" s="22"/>
      <c r="AX871" s="22"/>
    </row>
    <row r="872" spans="1:50" x14ac:dyDescent="0.3">
      <c r="A872" s="6"/>
      <c r="B872" s="19"/>
      <c r="C872" s="6"/>
      <c r="D872" s="5"/>
      <c r="E872" s="6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2"/>
      <c r="T872" s="22"/>
      <c r="U872" s="22"/>
      <c r="V872" s="22"/>
      <c r="W872" s="22"/>
      <c r="X872" s="22"/>
      <c r="Y872" s="22"/>
      <c r="Z872" s="22"/>
      <c r="AA872" s="22"/>
      <c r="AB872" s="22"/>
      <c r="AC872" s="22"/>
      <c r="AD872" s="22"/>
      <c r="AE872" s="22"/>
      <c r="AF872" s="22"/>
      <c r="AG872" s="22"/>
      <c r="AH872" s="22"/>
      <c r="AI872" s="22"/>
      <c r="AJ872" s="22"/>
      <c r="AK872" s="22"/>
      <c r="AL872" s="22"/>
      <c r="AM872" s="22"/>
      <c r="AN872" s="22"/>
      <c r="AO872" s="22"/>
      <c r="AP872" s="22"/>
      <c r="AQ872" s="22"/>
      <c r="AR872" s="22"/>
      <c r="AS872" s="22"/>
      <c r="AT872" s="22"/>
      <c r="AU872" s="22"/>
      <c r="AV872" s="22"/>
      <c r="AW872" s="22"/>
      <c r="AX872" s="22"/>
    </row>
    <row r="873" spans="1:50" x14ac:dyDescent="0.3">
      <c r="A873" s="6"/>
      <c r="B873" s="19"/>
      <c r="C873" s="6"/>
      <c r="D873" s="5"/>
      <c r="E873" s="6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2"/>
      <c r="T873" s="22"/>
      <c r="U873" s="22"/>
      <c r="V873" s="22"/>
      <c r="W873" s="22"/>
      <c r="X873" s="22"/>
      <c r="Y873" s="22"/>
      <c r="Z873" s="22"/>
      <c r="AA873" s="22"/>
      <c r="AB873" s="22"/>
      <c r="AC873" s="22"/>
      <c r="AD873" s="22"/>
      <c r="AE873" s="22"/>
      <c r="AF873" s="22"/>
      <c r="AG873" s="22"/>
      <c r="AH873" s="22"/>
      <c r="AI873" s="22"/>
      <c r="AJ873" s="22"/>
      <c r="AK873" s="22"/>
      <c r="AL873" s="22"/>
      <c r="AM873" s="22"/>
      <c r="AN873" s="22"/>
      <c r="AO873" s="22"/>
      <c r="AP873" s="22"/>
      <c r="AQ873" s="22"/>
      <c r="AR873" s="22"/>
      <c r="AS873" s="22"/>
      <c r="AT873" s="22"/>
      <c r="AU873" s="22"/>
      <c r="AV873" s="22"/>
      <c r="AW873" s="22"/>
      <c r="AX873" s="22"/>
    </row>
    <row r="874" spans="1:50" x14ac:dyDescent="0.3">
      <c r="A874" s="6"/>
      <c r="B874" s="19"/>
      <c r="C874" s="6"/>
      <c r="D874" s="5"/>
      <c r="E874" s="6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2"/>
      <c r="T874" s="22"/>
      <c r="U874" s="22"/>
      <c r="V874" s="22"/>
      <c r="W874" s="22"/>
      <c r="X874" s="22"/>
      <c r="Y874" s="22"/>
      <c r="Z874" s="22"/>
      <c r="AA874" s="22"/>
      <c r="AB874" s="22"/>
      <c r="AC874" s="22"/>
      <c r="AD874" s="22"/>
      <c r="AE874" s="22"/>
      <c r="AF874" s="22"/>
      <c r="AG874" s="22"/>
      <c r="AH874" s="22"/>
      <c r="AI874" s="22"/>
      <c r="AJ874" s="22"/>
      <c r="AK874" s="22"/>
      <c r="AL874" s="22"/>
      <c r="AM874" s="22"/>
      <c r="AN874" s="22"/>
      <c r="AO874" s="22"/>
      <c r="AP874" s="22"/>
      <c r="AQ874" s="22"/>
      <c r="AR874" s="22"/>
      <c r="AS874" s="22"/>
      <c r="AT874" s="22"/>
      <c r="AU874" s="22"/>
      <c r="AV874" s="22"/>
      <c r="AW874" s="22"/>
      <c r="AX874" s="22"/>
    </row>
    <row r="875" spans="1:50" x14ac:dyDescent="0.3">
      <c r="A875" s="6"/>
      <c r="B875" s="19"/>
      <c r="C875" s="6"/>
      <c r="D875" s="5"/>
      <c r="E875" s="6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2"/>
      <c r="T875" s="22"/>
      <c r="U875" s="22"/>
      <c r="V875" s="22"/>
      <c r="W875" s="22"/>
      <c r="X875" s="22"/>
      <c r="Y875" s="22"/>
      <c r="Z875" s="22"/>
      <c r="AA875" s="22"/>
      <c r="AB875" s="22"/>
      <c r="AC875" s="22"/>
      <c r="AD875" s="22"/>
      <c r="AE875" s="22"/>
      <c r="AF875" s="22"/>
      <c r="AG875" s="22"/>
      <c r="AH875" s="22"/>
      <c r="AI875" s="22"/>
      <c r="AJ875" s="22"/>
      <c r="AK875" s="22"/>
      <c r="AL875" s="22"/>
      <c r="AM875" s="22"/>
      <c r="AN875" s="22"/>
      <c r="AO875" s="22"/>
      <c r="AP875" s="22"/>
      <c r="AQ875" s="22"/>
      <c r="AR875" s="22"/>
      <c r="AS875" s="22"/>
      <c r="AT875" s="22"/>
      <c r="AU875" s="22"/>
      <c r="AV875" s="22"/>
      <c r="AW875" s="22"/>
      <c r="AX875" s="22"/>
    </row>
    <row r="876" spans="1:50" x14ac:dyDescent="0.3">
      <c r="A876" s="6"/>
      <c r="B876" s="19"/>
      <c r="C876" s="6"/>
      <c r="D876" s="5"/>
      <c r="E876" s="6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2"/>
      <c r="T876" s="22"/>
      <c r="U876" s="22"/>
      <c r="V876" s="22"/>
      <c r="W876" s="22"/>
      <c r="X876" s="22"/>
      <c r="Y876" s="22"/>
      <c r="Z876" s="22"/>
      <c r="AA876" s="22"/>
      <c r="AB876" s="22"/>
      <c r="AC876" s="22"/>
      <c r="AD876" s="22"/>
      <c r="AE876" s="22"/>
      <c r="AF876" s="22"/>
      <c r="AG876" s="22"/>
      <c r="AH876" s="22"/>
      <c r="AI876" s="22"/>
      <c r="AJ876" s="22"/>
      <c r="AK876" s="22"/>
      <c r="AL876" s="22"/>
      <c r="AM876" s="22"/>
      <c r="AN876" s="22"/>
      <c r="AO876" s="22"/>
      <c r="AP876" s="22"/>
      <c r="AQ876" s="22"/>
      <c r="AR876" s="22"/>
      <c r="AS876" s="22"/>
      <c r="AT876" s="22"/>
      <c r="AU876" s="22"/>
      <c r="AV876" s="22"/>
      <c r="AW876" s="22"/>
      <c r="AX876" s="22"/>
    </row>
    <row r="877" spans="1:50" x14ac:dyDescent="0.3">
      <c r="A877" s="6"/>
      <c r="B877" s="19"/>
      <c r="C877" s="6"/>
      <c r="D877" s="5"/>
      <c r="E877" s="6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2"/>
      <c r="T877" s="22"/>
      <c r="U877" s="22"/>
      <c r="V877" s="22"/>
      <c r="W877" s="22"/>
      <c r="X877" s="22"/>
      <c r="Y877" s="22"/>
      <c r="Z877" s="22"/>
      <c r="AA877" s="22"/>
      <c r="AB877" s="22"/>
      <c r="AC877" s="22"/>
      <c r="AD877" s="22"/>
      <c r="AE877" s="22"/>
      <c r="AF877" s="22"/>
      <c r="AG877" s="22"/>
      <c r="AH877" s="22"/>
      <c r="AI877" s="22"/>
      <c r="AJ877" s="22"/>
      <c r="AK877" s="22"/>
      <c r="AL877" s="22"/>
      <c r="AM877" s="22"/>
      <c r="AN877" s="22"/>
      <c r="AO877" s="22"/>
      <c r="AP877" s="22"/>
      <c r="AQ877" s="22"/>
      <c r="AR877" s="22"/>
      <c r="AS877" s="22"/>
      <c r="AT877" s="22"/>
      <c r="AU877" s="22"/>
      <c r="AV877" s="22"/>
      <c r="AW877" s="22"/>
      <c r="AX877" s="22"/>
    </row>
    <row r="878" spans="1:50" x14ac:dyDescent="0.3">
      <c r="A878" s="6"/>
      <c r="B878" s="19"/>
      <c r="C878" s="6"/>
      <c r="D878" s="5"/>
      <c r="E878" s="6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2"/>
      <c r="T878" s="22"/>
      <c r="U878" s="22"/>
      <c r="V878" s="22"/>
      <c r="W878" s="22"/>
      <c r="X878" s="22"/>
      <c r="Y878" s="22"/>
      <c r="Z878" s="22"/>
      <c r="AA878" s="22"/>
      <c r="AB878" s="22"/>
      <c r="AC878" s="22"/>
      <c r="AD878" s="22"/>
      <c r="AE878" s="22"/>
      <c r="AF878" s="22"/>
      <c r="AG878" s="22"/>
      <c r="AH878" s="22"/>
      <c r="AI878" s="22"/>
      <c r="AJ878" s="22"/>
      <c r="AK878" s="22"/>
      <c r="AL878" s="22"/>
      <c r="AM878" s="22"/>
      <c r="AN878" s="22"/>
      <c r="AO878" s="22"/>
      <c r="AP878" s="22"/>
      <c r="AQ878" s="22"/>
      <c r="AR878" s="22"/>
      <c r="AS878" s="22"/>
      <c r="AT878" s="22"/>
      <c r="AU878" s="22"/>
      <c r="AV878" s="22"/>
      <c r="AW878" s="22"/>
      <c r="AX878" s="22"/>
    </row>
    <row r="879" spans="1:50" x14ac:dyDescent="0.3">
      <c r="A879" s="6"/>
      <c r="B879" s="19"/>
      <c r="C879" s="6"/>
      <c r="D879" s="5"/>
      <c r="E879" s="6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2"/>
      <c r="T879" s="22"/>
      <c r="U879" s="22"/>
      <c r="V879" s="22"/>
      <c r="W879" s="22"/>
      <c r="X879" s="22"/>
      <c r="Y879" s="22"/>
      <c r="Z879" s="22"/>
      <c r="AA879" s="22"/>
      <c r="AB879" s="22"/>
      <c r="AC879" s="22"/>
      <c r="AD879" s="22"/>
      <c r="AE879" s="22"/>
      <c r="AF879" s="22"/>
      <c r="AG879" s="22"/>
      <c r="AH879" s="22"/>
      <c r="AI879" s="22"/>
      <c r="AJ879" s="22"/>
      <c r="AK879" s="22"/>
      <c r="AL879" s="22"/>
      <c r="AM879" s="22"/>
      <c r="AN879" s="22"/>
      <c r="AO879" s="22"/>
      <c r="AP879" s="22"/>
      <c r="AQ879" s="22"/>
      <c r="AR879" s="22"/>
      <c r="AS879" s="22"/>
      <c r="AT879" s="22"/>
      <c r="AU879" s="22"/>
      <c r="AV879" s="22"/>
      <c r="AW879" s="22"/>
      <c r="AX879" s="22"/>
    </row>
    <row r="880" spans="1:50" x14ac:dyDescent="0.3">
      <c r="A880" s="6"/>
      <c r="B880" s="19"/>
      <c r="C880" s="6"/>
      <c r="D880" s="5"/>
      <c r="E880" s="6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2"/>
      <c r="T880" s="22"/>
      <c r="U880" s="22"/>
      <c r="V880" s="22"/>
      <c r="W880" s="22"/>
      <c r="X880" s="22"/>
      <c r="Y880" s="22"/>
      <c r="Z880" s="22"/>
      <c r="AA880" s="22"/>
      <c r="AB880" s="22"/>
      <c r="AC880" s="22"/>
      <c r="AD880" s="22"/>
      <c r="AE880" s="22"/>
      <c r="AF880" s="22"/>
      <c r="AG880" s="22"/>
      <c r="AH880" s="22"/>
      <c r="AI880" s="22"/>
      <c r="AJ880" s="22"/>
      <c r="AK880" s="22"/>
      <c r="AL880" s="22"/>
      <c r="AM880" s="22"/>
      <c r="AN880" s="22"/>
      <c r="AO880" s="22"/>
      <c r="AP880" s="22"/>
      <c r="AQ880" s="22"/>
      <c r="AR880" s="22"/>
      <c r="AS880" s="22"/>
      <c r="AT880" s="22"/>
      <c r="AU880" s="22"/>
      <c r="AV880" s="22"/>
      <c r="AW880" s="22"/>
      <c r="AX880" s="22"/>
    </row>
    <row r="881" spans="1:50" x14ac:dyDescent="0.3">
      <c r="A881" s="6"/>
      <c r="B881" s="19"/>
      <c r="C881" s="6"/>
      <c r="D881" s="5"/>
      <c r="E881" s="6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2"/>
      <c r="T881" s="22"/>
      <c r="U881" s="22"/>
      <c r="V881" s="22"/>
      <c r="W881" s="22"/>
      <c r="X881" s="22"/>
      <c r="Y881" s="22"/>
      <c r="Z881" s="22"/>
      <c r="AA881" s="22"/>
      <c r="AB881" s="22"/>
      <c r="AC881" s="22"/>
      <c r="AD881" s="22"/>
      <c r="AE881" s="22"/>
      <c r="AF881" s="22"/>
      <c r="AG881" s="22"/>
      <c r="AH881" s="22"/>
      <c r="AI881" s="22"/>
      <c r="AJ881" s="22"/>
      <c r="AK881" s="22"/>
      <c r="AL881" s="22"/>
      <c r="AM881" s="22"/>
      <c r="AN881" s="22"/>
      <c r="AO881" s="22"/>
      <c r="AP881" s="22"/>
      <c r="AQ881" s="22"/>
      <c r="AR881" s="22"/>
      <c r="AS881" s="22"/>
      <c r="AT881" s="22"/>
      <c r="AU881" s="22"/>
      <c r="AV881" s="22"/>
      <c r="AW881" s="22"/>
      <c r="AX881" s="22"/>
    </row>
    <row r="882" spans="1:50" x14ac:dyDescent="0.3">
      <c r="A882" s="6"/>
      <c r="B882" s="19"/>
      <c r="C882" s="6"/>
      <c r="D882" s="5"/>
      <c r="E882" s="6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2"/>
      <c r="T882" s="22"/>
      <c r="U882" s="22"/>
      <c r="V882" s="22"/>
      <c r="W882" s="22"/>
      <c r="X882" s="22"/>
      <c r="Y882" s="22"/>
      <c r="Z882" s="22"/>
      <c r="AA882" s="22"/>
      <c r="AB882" s="22"/>
      <c r="AC882" s="22"/>
      <c r="AD882" s="22"/>
      <c r="AE882" s="22"/>
      <c r="AF882" s="22"/>
      <c r="AG882" s="22"/>
      <c r="AH882" s="22"/>
      <c r="AI882" s="22"/>
      <c r="AJ882" s="22"/>
      <c r="AK882" s="22"/>
      <c r="AL882" s="22"/>
      <c r="AM882" s="22"/>
      <c r="AN882" s="22"/>
      <c r="AO882" s="22"/>
      <c r="AP882" s="22"/>
      <c r="AQ882" s="22"/>
      <c r="AR882" s="22"/>
      <c r="AS882" s="22"/>
      <c r="AT882" s="22"/>
      <c r="AU882" s="22"/>
      <c r="AV882" s="22"/>
      <c r="AW882" s="22"/>
      <c r="AX882" s="22"/>
    </row>
    <row r="883" spans="1:50" x14ac:dyDescent="0.3">
      <c r="A883" s="6"/>
      <c r="B883" s="19"/>
      <c r="C883" s="6"/>
      <c r="D883" s="5"/>
      <c r="E883" s="6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2"/>
      <c r="T883" s="22"/>
      <c r="U883" s="22"/>
      <c r="V883" s="22"/>
      <c r="W883" s="22"/>
      <c r="X883" s="22"/>
      <c r="Y883" s="22"/>
      <c r="Z883" s="22"/>
      <c r="AA883" s="22"/>
      <c r="AB883" s="22"/>
      <c r="AC883" s="22"/>
      <c r="AD883" s="22"/>
      <c r="AE883" s="22"/>
      <c r="AF883" s="22"/>
      <c r="AG883" s="22"/>
      <c r="AH883" s="22"/>
      <c r="AI883" s="22"/>
      <c r="AJ883" s="22"/>
      <c r="AK883" s="22"/>
      <c r="AL883" s="22"/>
      <c r="AM883" s="22"/>
      <c r="AN883" s="22"/>
      <c r="AO883" s="22"/>
      <c r="AP883" s="22"/>
      <c r="AQ883" s="22"/>
      <c r="AR883" s="22"/>
      <c r="AS883" s="22"/>
      <c r="AT883" s="22"/>
      <c r="AU883" s="22"/>
      <c r="AV883" s="22"/>
      <c r="AW883" s="22"/>
      <c r="AX883" s="22"/>
    </row>
    <row r="884" spans="1:50" x14ac:dyDescent="0.3">
      <c r="A884" s="6"/>
      <c r="B884" s="19"/>
      <c r="C884" s="6"/>
      <c r="D884" s="5"/>
      <c r="E884" s="6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2"/>
      <c r="T884" s="22"/>
      <c r="U884" s="22"/>
      <c r="V884" s="22"/>
      <c r="W884" s="22"/>
      <c r="X884" s="22"/>
      <c r="Y884" s="22"/>
      <c r="Z884" s="22"/>
      <c r="AA884" s="22"/>
      <c r="AB884" s="22"/>
      <c r="AC884" s="22"/>
      <c r="AD884" s="22"/>
      <c r="AE884" s="22"/>
      <c r="AF884" s="22"/>
      <c r="AG884" s="22"/>
      <c r="AH884" s="22"/>
      <c r="AI884" s="22"/>
      <c r="AJ884" s="22"/>
      <c r="AK884" s="22"/>
      <c r="AL884" s="22"/>
      <c r="AM884" s="22"/>
      <c r="AN884" s="22"/>
      <c r="AO884" s="22"/>
      <c r="AP884" s="22"/>
      <c r="AQ884" s="22"/>
      <c r="AR884" s="22"/>
      <c r="AS884" s="22"/>
      <c r="AT884" s="22"/>
      <c r="AU884" s="22"/>
      <c r="AV884" s="22"/>
      <c r="AW884" s="22"/>
      <c r="AX884" s="22"/>
    </row>
    <row r="885" spans="1:50" x14ac:dyDescent="0.3">
      <c r="A885" s="6"/>
      <c r="B885" s="19"/>
      <c r="C885" s="6"/>
      <c r="D885" s="5"/>
      <c r="E885" s="6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2"/>
      <c r="AA885" s="22"/>
      <c r="AB885" s="22"/>
      <c r="AC885" s="22"/>
      <c r="AD885" s="22"/>
      <c r="AE885" s="22"/>
      <c r="AF885" s="22"/>
      <c r="AG885" s="22"/>
      <c r="AH885" s="22"/>
      <c r="AI885" s="22"/>
      <c r="AJ885" s="22"/>
      <c r="AK885" s="22"/>
      <c r="AL885" s="22"/>
      <c r="AM885" s="22"/>
      <c r="AN885" s="22"/>
      <c r="AO885" s="22"/>
      <c r="AP885" s="22"/>
      <c r="AQ885" s="22"/>
      <c r="AR885" s="22"/>
      <c r="AS885" s="22"/>
      <c r="AT885" s="22"/>
      <c r="AU885" s="22"/>
      <c r="AV885" s="22"/>
      <c r="AW885" s="22"/>
      <c r="AX885" s="22"/>
    </row>
    <row r="886" spans="1:50" x14ac:dyDescent="0.3">
      <c r="A886" s="6"/>
      <c r="B886" s="19"/>
      <c r="C886" s="6"/>
      <c r="D886" s="5"/>
      <c r="E886" s="6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2"/>
      <c r="Y886" s="22"/>
      <c r="Z886" s="22"/>
      <c r="AA886" s="22"/>
      <c r="AB886" s="22"/>
      <c r="AC886" s="22"/>
      <c r="AD886" s="22"/>
      <c r="AE886" s="22"/>
      <c r="AF886" s="22"/>
      <c r="AG886" s="22"/>
      <c r="AH886" s="22"/>
      <c r="AI886" s="22"/>
      <c r="AJ886" s="22"/>
      <c r="AK886" s="22"/>
      <c r="AL886" s="22"/>
      <c r="AM886" s="22"/>
      <c r="AN886" s="22"/>
      <c r="AO886" s="22"/>
      <c r="AP886" s="22"/>
      <c r="AQ886" s="22"/>
      <c r="AR886" s="22"/>
      <c r="AS886" s="22"/>
      <c r="AT886" s="22"/>
      <c r="AU886" s="22"/>
      <c r="AV886" s="22"/>
      <c r="AW886" s="22"/>
      <c r="AX886" s="22"/>
    </row>
    <row r="887" spans="1:50" x14ac:dyDescent="0.3">
      <c r="A887" s="6"/>
      <c r="B887" s="19"/>
      <c r="C887" s="6"/>
      <c r="D887" s="5"/>
      <c r="E887" s="6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2"/>
      <c r="AA887" s="22"/>
      <c r="AB887" s="22"/>
      <c r="AC887" s="22"/>
      <c r="AD887" s="22"/>
      <c r="AE887" s="22"/>
      <c r="AF887" s="22"/>
      <c r="AG887" s="22"/>
      <c r="AH887" s="22"/>
      <c r="AI887" s="22"/>
      <c r="AJ887" s="22"/>
      <c r="AK887" s="22"/>
      <c r="AL887" s="22"/>
      <c r="AM887" s="22"/>
      <c r="AN887" s="22"/>
      <c r="AO887" s="22"/>
      <c r="AP887" s="22"/>
      <c r="AQ887" s="22"/>
      <c r="AR887" s="22"/>
      <c r="AS887" s="22"/>
      <c r="AT887" s="22"/>
      <c r="AU887" s="22"/>
      <c r="AV887" s="22"/>
      <c r="AW887" s="22"/>
      <c r="AX887" s="22"/>
    </row>
    <row r="888" spans="1:50" x14ac:dyDescent="0.3">
      <c r="A888" s="6"/>
      <c r="B888" s="19"/>
      <c r="C888" s="6"/>
      <c r="D888" s="5"/>
      <c r="E888" s="6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2"/>
      <c r="T888" s="22"/>
      <c r="U888" s="22"/>
      <c r="V888" s="22"/>
      <c r="W888" s="22"/>
      <c r="X888" s="22"/>
      <c r="Y888" s="22"/>
      <c r="Z888" s="22"/>
      <c r="AA888" s="22"/>
      <c r="AB888" s="22"/>
      <c r="AC888" s="22"/>
      <c r="AD888" s="22"/>
      <c r="AE888" s="22"/>
      <c r="AF888" s="22"/>
      <c r="AG888" s="22"/>
      <c r="AH888" s="22"/>
      <c r="AI888" s="22"/>
      <c r="AJ888" s="22"/>
      <c r="AK888" s="22"/>
      <c r="AL888" s="22"/>
      <c r="AM888" s="22"/>
      <c r="AN888" s="22"/>
      <c r="AO888" s="22"/>
      <c r="AP888" s="22"/>
      <c r="AQ888" s="22"/>
      <c r="AR888" s="22"/>
      <c r="AS888" s="22"/>
      <c r="AT888" s="22"/>
      <c r="AU888" s="22"/>
      <c r="AV888" s="22"/>
      <c r="AW888" s="22"/>
      <c r="AX888" s="22"/>
    </row>
    <row r="889" spans="1:50" x14ac:dyDescent="0.3">
      <c r="A889" s="6"/>
      <c r="B889" s="19"/>
      <c r="C889" s="6"/>
      <c r="D889" s="5"/>
      <c r="E889" s="6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2"/>
      <c r="T889" s="22"/>
      <c r="U889" s="22"/>
      <c r="V889" s="22"/>
      <c r="W889" s="22"/>
      <c r="X889" s="22"/>
      <c r="Y889" s="22"/>
      <c r="Z889" s="22"/>
      <c r="AA889" s="22"/>
      <c r="AB889" s="22"/>
      <c r="AC889" s="22"/>
      <c r="AD889" s="22"/>
      <c r="AE889" s="22"/>
      <c r="AF889" s="22"/>
      <c r="AG889" s="22"/>
      <c r="AH889" s="22"/>
      <c r="AI889" s="22"/>
      <c r="AJ889" s="22"/>
      <c r="AK889" s="22"/>
      <c r="AL889" s="22"/>
      <c r="AM889" s="22"/>
      <c r="AN889" s="22"/>
      <c r="AO889" s="22"/>
      <c r="AP889" s="22"/>
      <c r="AQ889" s="22"/>
      <c r="AR889" s="22"/>
      <c r="AS889" s="22"/>
      <c r="AT889" s="22"/>
      <c r="AU889" s="22"/>
      <c r="AV889" s="22"/>
      <c r="AW889" s="22"/>
      <c r="AX889" s="22"/>
    </row>
    <row r="890" spans="1:50" x14ac:dyDescent="0.3">
      <c r="A890" s="6"/>
      <c r="B890" s="19"/>
      <c r="C890" s="6"/>
      <c r="D890" s="5"/>
      <c r="E890" s="6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2"/>
      <c r="T890" s="22"/>
      <c r="U890" s="22"/>
      <c r="V890" s="22"/>
      <c r="W890" s="22"/>
      <c r="X890" s="22"/>
      <c r="Y890" s="22"/>
      <c r="Z890" s="22"/>
      <c r="AA890" s="22"/>
      <c r="AB890" s="22"/>
      <c r="AC890" s="22"/>
      <c r="AD890" s="22"/>
      <c r="AE890" s="22"/>
      <c r="AF890" s="22"/>
      <c r="AG890" s="22"/>
      <c r="AH890" s="22"/>
      <c r="AI890" s="22"/>
      <c r="AJ890" s="22"/>
      <c r="AK890" s="22"/>
      <c r="AL890" s="22"/>
      <c r="AM890" s="22"/>
      <c r="AN890" s="22"/>
      <c r="AO890" s="22"/>
      <c r="AP890" s="22"/>
      <c r="AQ890" s="22"/>
      <c r="AR890" s="22"/>
      <c r="AS890" s="22"/>
      <c r="AT890" s="22"/>
      <c r="AU890" s="22"/>
      <c r="AV890" s="22"/>
      <c r="AW890" s="22"/>
      <c r="AX890" s="22"/>
    </row>
    <row r="891" spans="1:50" x14ac:dyDescent="0.3">
      <c r="A891" s="6"/>
      <c r="B891" s="19"/>
      <c r="C891" s="6"/>
      <c r="D891" s="5"/>
      <c r="E891" s="6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2"/>
      <c r="T891" s="22"/>
      <c r="U891" s="22"/>
      <c r="V891" s="22"/>
      <c r="W891" s="22"/>
      <c r="X891" s="22"/>
      <c r="Y891" s="22"/>
      <c r="Z891" s="22"/>
      <c r="AA891" s="22"/>
      <c r="AB891" s="22"/>
      <c r="AC891" s="22"/>
      <c r="AD891" s="22"/>
      <c r="AE891" s="22"/>
      <c r="AF891" s="22"/>
      <c r="AG891" s="22"/>
      <c r="AH891" s="22"/>
      <c r="AI891" s="22"/>
      <c r="AJ891" s="22"/>
      <c r="AK891" s="22"/>
      <c r="AL891" s="22"/>
      <c r="AM891" s="22"/>
      <c r="AN891" s="22"/>
      <c r="AO891" s="22"/>
      <c r="AP891" s="22"/>
      <c r="AQ891" s="22"/>
      <c r="AR891" s="22"/>
      <c r="AS891" s="22"/>
      <c r="AT891" s="22"/>
      <c r="AU891" s="22"/>
      <c r="AV891" s="22"/>
      <c r="AW891" s="22"/>
      <c r="AX891" s="22"/>
    </row>
    <row r="892" spans="1:50" x14ac:dyDescent="0.3">
      <c r="A892" s="6"/>
      <c r="B892" s="19"/>
      <c r="C892" s="6"/>
      <c r="D892" s="5"/>
      <c r="E892" s="6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2"/>
      <c r="T892" s="22"/>
      <c r="U892" s="22"/>
      <c r="V892" s="22"/>
      <c r="W892" s="22"/>
      <c r="X892" s="22"/>
      <c r="Y892" s="22"/>
      <c r="Z892" s="22"/>
      <c r="AA892" s="22"/>
      <c r="AB892" s="22"/>
      <c r="AC892" s="22"/>
      <c r="AD892" s="22"/>
      <c r="AE892" s="22"/>
      <c r="AF892" s="22"/>
      <c r="AG892" s="22"/>
      <c r="AH892" s="22"/>
      <c r="AI892" s="22"/>
      <c r="AJ892" s="22"/>
      <c r="AK892" s="22"/>
      <c r="AL892" s="22"/>
      <c r="AM892" s="22"/>
      <c r="AN892" s="22"/>
      <c r="AO892" s="22"/>
      <c r="AP892" s="22"/>
      <c r="AQ892" s="22"/>
      <c r="AR892" s="22"/>
      <c r="AS892" s="22"/>
      <c r="AT892" s="22"/>
      <c r="AU892" s="22"/>
      <c r="AV892" s="22"/>
      <c r="AW892" s="22"/>
      <c r="AX892" s="22"/>
    </row>
    <row r="893" spans="1:50" x14ac:dyDescent="0.3">
      <c r="A893" s="6"/>
      <c r="B893" s="19"/>
      <c r="C893" s="6"/>
      <c r="D893" s="5"/>
      <c r="E893" s="6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2"/>
      <c r="T893" s="22"/>
      <c r="U893" s="22"/>
      <c r="V893" s="22"/>
      <c r="W893" s="22"/>
      <c r="X893" s="22"/>
      <c r="Y893" s="22"/>
      <c r="Z893" s="22"/>
      <c r="AA893" s="22"/>
      <c r="AB893" s="22"/>
      <c r="AC893" s="22"/>
      <c r="AD893" s="22"/>
      <c r="AE893" s="22"/>
      <c r="AF893" s="22"/>
      <c r="AG893" s="22"/>
      <c r="AH893" s="22"/>
      <c r="AI893" s="22"/>
      <c r="AJ893" s="22"/>
      <c r="AK893" s="22"/>
      <c r="AL893" s="22"/>
      <c r="AM893" s="22"/>
      <c r="AN893" s="22"/>
      <c r="AO893" s="22"/>
      <c r="AP893" s="22"/>
      <c r="AQ893" s="22"/>
      <c r="AR893" s="22"/>
      <c r="AS893" s="22"/>
      <c r="AT893" s="22"/>
      <c r="AU893" s="22"/>
      <c r="AV893" s="22"/>
      <c r="AW893" s="22"/>
      <c r="AX893" s="22"/>
    </row>
    <row r="894" spans="1:50" x14ac:dyDescent="0.3">
      <c r="A894" s="6"/>
      <c r="B894" s="19"/>
      <c r="C894" s="6"/>
      <c r="D894" s="5"/>
      <c r="E894" s="6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2"/>
      <c r="Y894" s="22"/>
      <c r="Z894" s="22"/>
      <c r="AA894" s="22"/>
      <c r="AB894" s="22"/>
      <c r="AC894" s="22"/>
      <c r="AD894" s="22"/>
      <c r="AE894" s="22"/>
      <c r="AF894" s="22"/>
      <c r="AG894" s="22"/>
      <c r="AH894" s="22"/>
      <c r="AI894" s="22"/>
      <c r="AJ894" s="22"/>
      <c r="AK894" s="22"/>
      <c r="AL894" s="22"/>
      <c r="AM894" s="22"/>
      <c r="AN894" s="22"/>
      <c r="AO894" s="22"/>
      <c r="AP894" s="22"/>
      <c r="AQ894" s="22"/>
      <c r="AR894" s="22"/>
      <c r="AS894" s="22"/>
      <c r="AT894" s="22"/>
      <c r="AU894" s="22"/>
      <c r="AV894" s="22"/>
      <c r="AW894" s="22"/>
      <c r="AX894" s="22"/>
    </row>
    <row r="895" spans="1:50" x14ac:dyDescent="0.3">
      <c r="A895" s="6"/>
      <c r="B895" s="19"/>
      <c r="C895" s="6"/>
      <c r="D895" s="5"/>
      <c r="E895" s="6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2"/>
      <c r="AA895" s="22"/>
      <c r="AB895" s="22"/>
      <c r="AC895" s="22"/>
      <c r="AD895" s="22"/>
      <c r="AE895" s="22"/>
      <c r="AF895" s="22"/>
      <c r="AG895" s="22"/>
      <c r="AH895" s="22"/>
      <c r="AI895" s="22"/>
      <c r="AJ895" s="22"/>
      <c r="AK895" s="22"/>
      <c r="AL895" s="22"/>
      <c r="AM895" s="22"/>
      <c r="AN895" s="22"/>
      <c r="AO895" s="22"/>
      <c r="AP895" s="22"/>
      <c r="AQ895" s="22"/>
      <c r="AR895" s="22"/>
      <c r="AS895" s="22"/>
      <c r="AT895" s="22"/>
      <c r="AU895" s="22"/>
      <c r="AV895" s="22"/>
      <c r="AW895" s="22"/>
      <c r="AX895" s="22"/>
    </row>
    <row r="896" spans="1:50" x14ac:dyDescent="0.3">
      <c r="A896" s="6"/>
      <c r="B896" s="19"/>
      <c r="C896" s="6"/>
      <c r="D896" s="5"/>
      <c r="E896" s="6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2"/>
      <c r="Y896" s="22"/>
      <c r="Z896" s="22"/>
      <c r="AA896" s="22"/>
      <c r="AB896" s="22"/>
      <c r="AC896" s="22"/>
      <c r="AD896" s="22"/>
      <c r="AE896" s="22"/>
      <c r="AF896" s="22"/>
      <c r="AG896" s="22"/>
      <c r="AH896" s="22"/>
      <c r="AI896" s="22"/>
      <c r="AJ896" s="22"/>
      <c r="AK896" s="22"/>
      <c r="AL896" s="22"/>
      <c r="AM896" s="22"/>
      <c r="AN896" s="22"/>
      <c r="AO896" s="22"/>
      <c r="AP896" s="22"/>
      <c r="AQ896" s="22"/>
      <c r="AR896" s="22"/>
      <c r="AS896" s="22"/>
      <c r="AT896" s="22"/>
      <c r="AU896" s="22"/>
      <c r="AV896" s="22"/>
      <c r="AW896" s="22"/>
      <c r="AX896" s="22"/>
    </row>
    <row r="897" spans="1:50" x14ac:dyDescent="0.3">
      <c r="A897" s="6"/>
      <c r="B897" s="19"/>
      <c r="C897" s="6"/>
      <c r="D897" s="5"/>
      <c r="E897" s="6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2"/>
      <c r="T897" s="22"/>
      <c r="U897" s="22"/>
      <c r="V897" s="22"/>
      <c r="W897" s="22"/>
      <c r="X897" s="22"/>
      <c r="Y897" s="22"/>
      <c r="Z897" s="22"/>
      <c r="AA897" s="22"/>
      <c r="AB897" s="22"/>
      <c r="AC897" s="22"/>
      <c r="AD897" s="22"/>
      <c r="AE897" s="22"/>
      <c r="AF897" s="22"/>
      <c r="AG897" s="22"/>
      <c r="AH897" s="22"/>
      <c r="AI897" s="22"/>
      <c r="AJ897" s="22"/>
      <c r="AK897" s="22"/>
      <c r="AL897" s="22"/>
      <c r="AM897" s="22"/>
      <c r="AN897" s="22"/>
      <c r="AO897" s="22"/>
      <c r="AP897" s="22"/>
      <c r="AQ897" s="22"/>
      <c r="AR897" s="22"/>
      <c r="AS897" s="22"/>
      <c r="AT897" s="22"/>
      <c r="AU897" s="22"/>
      <c r="AV897" s="22"/>
      <c r="AW897" s="22"/>
      <c r="AX897" s="22"/>
    </row>
    <row r="898" spans="1:50" x14ac:dyDescent="0.3">
      <c r="A898" s="6"/>
      <c r="B898" s="19"/>
      <c r="C898" s="6"/>
      <c r="D898" s="5"/>
      <c r="E898" s="6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2"/>
      <c r="T898" s="22"/>
      <c r="U898" s="22"/>
      <c r="V898" s="22"/>
      <c r="W898" s="22"/>
      <c r="X898" s="22"/>
      <c r="Y898" s="22"/>
      <c r="Z898" s="22"/>
      <c r="AA898" s="22"/>
      <c r="AB898" s="22"/>
      <c r="AC898" s="22"/>
      <c r="AD898" s="22"/>
      <c r="AE898" s="22"/>
      <c r="AF898" s="22"/>
      <c r="AG898" s="22"/>
      <c r="AH898" s="22"/>
      <c r="AI898" s="22"/>
      <c r="AJ898" s="22"/>
      <c r="AK898" s="22"/>
      <c r="AL898" s="22"/>
      <c r="AM898" s="22"/>
      <c r="AN898" s="22"/>
      <c r="AO898" s="22"/>
      <c r="AP898" s="22"/>
      <c r="AQ898" s="22"/>
      <c r="AR898" s="22"/>
      <c r="AS898" s="22"/>
      <c r="AT898" s="22"/>
      <c r="AU898" s="22"/>
      <c r="AV898" s="22"/>
      <c r="AW898" s="22"/>
      <c r="AX898" s="22"/>
    </row>
    <row r="899" spans="1:50" x14ac:dyDescent="0.3">
      <c r="A899" s="6"/>
      <c r="B899" s="19"/>
      <c r="C899" s="6"/>
      <c r="D899" s="5"/>
      <c r="E899" s="6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2"/>
      <c r="T899" s="22"/>
      <c r="U899" s="22"/>
      <c r="V899" s="22"/>
      <c r="W899" s="22"/>
      <c r="X899" s="22"/>
      <c r="Y899" s="22"/>
      <c r="Z899" s="22"/>
      <c r="AA899" s="22"/>
      <c r="AB899" s="22"/>
      <c r="AC899" s="22"/>
      <c r="AD899" s="22"/>
      <c r="AE899" s="22"/>
      <c r="AF899" s="22"/>
      <c r="AG899" s="22"/>
      <c r="AH899" s="22"/>
      <c r="AI899" s="22"/>
      <c r="AJ899" s="22"/>
      <c r="AK899" s="22"/>
      <c r="AL899" s="22"/>
      <c r="AM899" s="22"/>
      <c r="AN899" s="22"/>
      <c r="AO899" s="22"/>
      <c r="AP899" s="22"/>
      <c r="AQ899" s="22"/>
      <c r="AR899" s="22"/>
      <c r="AS899" s="22"/>
      <c r="AT899" s="22"/>
      <c r="AU899" s="22"/>
      <c r="AV899" s="22"/>
      <c r="AW899" s="22"/>
      <c r="AX899" s="22"/>
    </row>
    <row r="900" spans="1:50" x14ac:dyDescent="0.3">
      <c r="A900" s="6"/>
      <c r="B900" s="19"/>
      <c r="C900" s="6"/>
      <c r="D900" s="5"/>
      <c r="E900" s="6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2"/>
      <c r="T900" s="22"/>
      <c r="U900" s="22"/>
      <c r="V900" s="22"/>
      <c r="W900" s="22"/>
      <c r="X900" s="22"/>
      <c r="Y900" s="22"/>
      <c r="Z900" s="22"/>
      <c r="AA900" s="22"/>
      <c r="AB900" s="22"/>
      <c r="AC900" s="22"/>
      <c r="AD900" s="22"/>
      <c r="AE900" s="22"/>
      <c r="AF900" s="22"/>
      <c r="AG900" s="22"/>
      <c r="AH900" s="22"/>
      <c r="AI900" s="22"/>
      <c r="AJ900" s="22"/>
      <c r="AK900" s="22"/>
      <c r="AL900" s="22"/>
      <c r="AM900" s="22"/>
      <c r="AN900" s="22"/>
      <c r="AO900" s="22"/>
      <c r="AP900" s="22"/>
      <c r="AQ900" s="22"/>
      <c r="AR900" s="22"/>
      <c r="AS900" s="22"/>
      <c r="AT900" s="22"/>
      <c r="AU900" s="22"/>
      <c r="AV900" s="22"/>
      <c r="AW900" s="22"/>
      <c r="AX900" s="22"/>
    </row>
    <row r="901" spans="1:50" x14ac:dyDescent="0.3">
      <c r="A901" s="6"/>
      <c r="B901" s="19"/>
      <c r="C901" s="6"/>
      <c r="D901" s="5"/>
      <c r="E901" s="6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2"/>
      <c r="T901" s="22"/>
      <c r="U901" s="22"/>
      <c r="V901" s="22"/>
      <c r="W901" s="22"/>
      <c r="X901" s="22"/>
      <c r="Y901" s="22"/>
      <c r="Z901" s="22"/>
      <c r="AA901" s="22"/>
      <c r="AB901" s="22"/>
      <c r="AC901" s="22"/>
      <c r="AD901" s="22"/>
      <c r="AE901" s="22"/>
      <c r="AF901" s="22"/>
      <c r="AG901" s="22"/>
      <c r="AH901" s="22"/>
      <c r="AI901" s="22"/>
      <c r="AJ901" s="22"/>
      <c r="AK901" s="22"/>
      <c r="AL901" s="22"/>
      <c r="AM901" s="22"/>
      <c r="AN901" s="22"/>
      <c r="AO901" s="22"/>
      <c r="AP901" s="22"/>
      <c r="AQ901" s="22"/>
      <c r="AR901" s="22"/>
      <c r="AS901" s="22"/>
      <c r="AT901" s="22"/>
      <c r="AU901" s="22"/>
      <c r="AV901" s="22"/>
      <c r="AW901" s="22"/>
      <c r="AX901" s="22"/>
    </row>
    <row r="902" spans="1:50" x14ac:dyDescent="0.3">
      <c r="A902" s="6"/>
      <c r="B902" s="19"/>
      <c r="C902" s="6"/>
      <c r="D902" s="5"/>
      <c r="E902" s="6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2"/>
      <c r="T902" s="22"/>
      <c r="U902" s="22"/>
      <c r="V902" s="22"/>
      <c r="W902" s="22"/>
      <c r="X902" s="22"/>
      <c r="Y902" s="22"/>
      <c r="Z902" s="22"/>
      <c r="AA902" s="22"/>
      <c r="AB902" s="22"/>
      <c r="AC902" s="22"/>
      <c r="AD902" s="22"/>
      <c r="AE902" s="22"/>
      <c r="AF902" s="22"/>
      <c r="AG902" s="22"/>
      <c r="AH902" s="22"/>
      <c r="AI902" s="22"/>
      <c r="AJ902" s="22"/>
      <c r="AK902" s="22"/>
      <c r="AL902" s="22"/>
      <c r="AM902" s="22"/>
      <c r="AN902" s="22"/>
      <c r="AO902" s="22"/>
      <c r="AP902" s="22"/>
      <c r="AQ902" s="22"/>
      <c r="AR902" s="22"/>
      <c r="AS902" s="22"/>
      <c r="AT902" s="22"/>
      <c r="AU902" s="22"/>
      <c r="AV902" s="22"/>
      <c r="AW902" s="22"/>
      <c r="AX902" s="22"/>
    </row>
    <row r="903" spans="1:50" x14ac:dyDescent="0.3">
      <c r="A903" s="6"/>
      <c r="B903" s="19"/>
      <c r="C903" s="6"/>
      <c r="D903" s="5"/>
      <c r="E903" s="6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2"/>
      <c r="AA903" s="22"/>
      <c r="AB903" s="22"/>
      <c r="AC903" s="22"/>
      <c r="AD903" s="22"/>
      <c r="AE903" s="22"/>
      <c r="AF903" s="22"/>
      <c r="AG903" s="22"/>
      <c r="AH903" s="22"/>
      <c r="AI903" s="22"/>
      <c r="AJ903" s="22"/>
      <c r="AK903" s="22"/>
      <c r="AL903" s="22"/>
      <c r="AM903" s="22"/>
      <c r="AN903" s="22"/>
      <c r="AO903" s="22"/>
      <c r="AP903" s="22"/>
      <c r="AQ903" s="22"/>
      <c r="AR903" s="22"/>
      <c r="AS903" s="22"/>
      <c r="AT903" s="22"/>
      <c r="AU903" s="22"/>
      <c r="AV903" s="22"/>
      <c r="AW903" s="22"/>
      <c r="AX903" s="22"/>
    </row>
    <row r="904" spans="1:50" x14ac:dyDescent="0.3">
      <c r="A904" s="6"/>
      <c r="B904" s="19"/>
      <c r="C904" s="6"/>
      <c r="D904" s="5"/>
      <c r="E904" s="6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2"/>
      <c r="Y904" s="22"/>
      <c r="Z904" s="22"/>
      <c r="AA904" s="22"/>
      <c r="AB904" s="22"/>
      <c r="AC904" s="22"/>
      <c r="AD904" s="22"/>
      <c r="AE904" s="22"/>
      <c r="AF904" s="22"/>
      <c r="AG904" s="22"/>
      <c r="AH904" s="22"/>
      <c r="AI904" s="22"/>
      <c r="AJ904" s="22"/>
      <c r="AK904" s="22"/>
      <c r="AL904" s="22"/>
      <c r="AM904" s="22"/>
      <c r="AN904" s="22"/>
      <c r="AO904" s="22"/>
      <c r="AP904" s="22"/>
      <c r="AQ904" s="22"/>
      <c r="AR904" s="22"/>
      <c r="AS904" s="22"/>
      <c r="AT904" s="22"/>
      <c r="AU904" s="22"/>
      <c r="AV904" s="22"/>
      <c r="AW904" s="22"/>
      <c r="AX904" s="22"/>
    </row>
    <row r="905" spans="1:50" x14ac:dyDescent="0.3">
      <c r="A905" s="6"/>
      <c r="B905" s="19"/>
      <c r="C905" s="6"/>
      <c r="D905" s="5"/>
      <c r="E905" s="6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2"/>
      <c r="AA905" s="22"/>
      <c r="AB905" s="22"/>
      <c r="AC905" s="22"/>
      <c r="AD905" s="22"/>
      <c r="AE905" s="22"/>
      <c r="AF905" s="22"/>
      <c r="AG905" s="22"/>
      <c r="AH905" s="22"/>
      <c r="AI905" s="22"/>
      <c r="AJ905" s="22"/>
      <c r="AK905" s="22"/>
      <c r="AL905" s="22"/>
      <c r="AM905" s="22"/>
      <c r="AN905" s="22"/>
      <c r="AO905" s="22"/>
      <c r="AP905" s="22"/>
      <c r="AQ905" s="22"/>
      <c r="AR905" s="22"/>
      <c r="AS905" s="22"/>
      <c r="AT905" s="22"/>
      <c r="AU905" s="22"/>
      <c r="AV905" s="22"/>
      <c r="AW905" s="22"/>
      <c r="AX905" s="22"/>
    </row>
    <row r="906" spans="1:50" x14ac:dyDescent="0.3">
      <c r="A906" s="6"/>
      <c r="B906" s="19"/>
      <c r="C906" s="6"/>
      <c r="D906" s="5"/>
      <c r="E906" s="6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2"/>
      <c r="T906" s="22"/>
      <c r="U906" s="22"/>
      <c r="V906" s="22"/>
      <c r="W906" s="22"/>
      <c r="X906" s="22"/>
      <c r="Y906" s="22"/>
      <c r="Z906" s="22"/>
      <c r="AA906" s="22"/>
      <c r="AB906" s="22"/>
      <c r="AC906" s="22"/>
      <c r="AD906" s="22"/>
      <c r="AE906" s="22"/>
      <c r="AF906" s="22"/>
      <c r="AG906" s="22"/>
      <c r="AH906" s="22"/>
      <c r="AI906" s="22"/>
      <c r="AJ906" s="22"/>
      <c r="AK906" s="22"/>
      <c r="AL906" s="22"/>
      <c r="AM906" s="22"/>
      <c r="AN906" s="22"/>
      <c r="AO906" s="22"/>
      <c r="AP906" s="22"/>
      <c r="AQ906" s="22"/>
      <c r="AR906" s="22"/>
      <c r="AS906" s="22"/>
      <c r="AT906" s="22"/>
      <c r="AU906" s="22"/>
      <c r="AV906" s="22"/>
      <c r="AW906" s="22"/>
      <c r="AX906" s="22"/>
    </row>
    <row r="907" spans="1:50" x14ac:dyDescent="0.3">
      <c r="A907" s="6"/>
      <c r="B907" s="19"/>
      <c r="C907" s="6"/>
      <c r="D907" s="5"/>
      <c r="E907" s="6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2"/>
      <c r="T907" s="22"/>
      <c r="U907" s="22"/>
      <c r="V907" s="22"/>
      <c r="W907" s="22"/>
      <c r="X907" s="22"/>
      <c r="Y907" s="22"/>
      <c r="Z907" s="22"/>
      <c r="AA907" s="22"/>
      <c r="AB907" s="22"/>
      <c r="AC907" s="22"/>
      <c r="AD907" s="22"/>
      <c r="AE907" s="22"/>
      <c r="AF907" s="22"/>
      <c r="AG907" s="22"/>
      <c r="AH907" s="22"/>
      <c r="AI907" s="22"/>
      <c r="AJ907" s="22"/>
      <c r="AK907" s="22"/>
      <c r="AL907" s="22"/>
      <c r="AM907" s="22"/>
      <c r="AN907" s="22"/>
      <c r="AO907" s="22"/>
      <c r="AP907" s="22"/>
      <c r="AQ907" s="22"/>
      <c r="AR907" s="22"/>
      <c r="AS907" s="22"/>
      <c r="AT907" s="22"/>
      <c r="AU907" s="22"/>
      <c r="AV907" s="22"/>
      <c r="AW907" s="22"/>
      <c r="AX907" s="22"/>
    </row>
    <row r="908" spans="1:50" x14ac:dyDescent="0.3">
      <c r="A908" s="6"/>
      <c r="B908" s="19"/>
      <c r="C908" s="6"/>
      <c r="D908" s="5"/>
      <c r="E908" s="6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2"/>
      <c r="T908" s="22"/>
      <c r="U908" s="22"/>
      <c r="V908" s="22"/>
      <c r="W908" s="22"/>
      <c r="X908" s="22"/>
      <c r="Y908" s="22"/>
      <c r="Z908" s="22"/>
      <c r="AA908" s="22"/>
      <c r="AB908" s="22"/>
      <c r="AC908" s="22"/>
      <c r="AD908" s="22"/>
      <c r="AE908" s="22"/>
      <c r="AF908" s="22"/>
      <c r="AG908" s="22"/>
      <c r="AH908" s="22"/>
      <c r="AI908" s="22"/>
      <c r="AJ908" s="22"/>
      <c r="AK908" s="22"/>
      <c r="AL908" s="22"/>
      <c r="AM908" s="22"/>
      <c r="AN908" s="22"/>
      <c r="AO908" s="22"/>
      <c r="AP908" s="22"/>
      <c r="AQ908" s="22"/>
      <c r="AR908" s="22"/>
      <c r="AS908" s="22"/>
      <c r="AT908" s="22"/>
      <c r="AU908" s="22"/>
      <c r="AV908" s="22"/>
      <c r="AW908" s="22"/>
      <c r="AX908" s="22"/>
    </row>
    <row r="909" spans="1:50" x14ac:dyDescent="0.3">
      <c r="A909" s="6"/>
      <c r="B909" s="19"/>
      <c r="C909" s="6"/>
      <c r="D909" s="5"/>
      <c r="E909" s="6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2"/>
      <c r="T909" s="22"/>
      <c r="U909" s="22"/>
      <c r="V909" s="22"/>
      <c r="W909" s="22"/>
      <c r="X909" s="22"/>
      <c r="Y909" s="22"/>
      <c r="Z909" s="22"/>
      <c r="AA909" s="22"/>
      <c r="AB909" s="22"/>
      <c r="AC909" s="22"/>
      <c r="AD909" s="22"/>
      <c r="AE909" s="22"/>
      <c r="AF909" s="22"/>
      <c r="AG909" s="22"/>
      <c r="AH909" s="22"/>
      <c r="AI909" s="22"/>
      <c r="AJ909" s="22"/>
      <c r="AK909" s="22"/>
      <c r="AL909" s="22"/>
      <c r="AM909" s="22"/>
      <c r="AN909" s="22"/>
      <c r="AO909" s="22"/>
      <c r="AP909" s="22"/>
      <c r="AQ909" s="22"/>
      <c r="AR909" s="22"/>
      <c r="AS909" s="22"/>
      <c r="AT909" s="22"/>
      <c r="AU909" s="22"/>
      <c r="AV909" s="22"/>
      <c r="AW909" s="22"/>
      <c r="AX909" s="22"/>
    </row>
    <row r="910" spans="1:50" x14ac:dyDescent="0.3">
      <c r="A910" s="6"/>
      <c r="B910" s="19"/>
      <c r="C910" s="6"/>
      <c r="D910" s="5"/>
      <c r="E910" s="6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2"/>
      <c r="T910" s="22"/>
      <c r="U910" s="22"/>
      <c r="V910" s="22"/>
      <c r="W910" s="22"/>
      <c r="X910" s="22"/>
      <c r="Y910" s="22"/>
      <c r="Z910" s="22"/>
      <c r="AA910" s="22"/>
      <c r="AB910" s="22"/>
      <c r="AC910" s="22"/>
      <c r="AD910" s="22"/>
      <c r="AE910" s="22"/>
      <c r="AF910" s="22"/>
      <c r="AG910" s="22"/>
      <c r="AH910" s="22"/>
      <c r="AI910" s="22"/>
      <c r="AJ910" s="22"/>
      <c r="AK910" s="22"/>
      <c r="AL910" s="22"/>
      <c r="AM910" s="22"/>
      <c r="AN910" s="22"/>
      <c r="AO910" s="22"/>
      <c r="AP910" s="22"/>
      <c r="AQ910" s="22"/>
      <c r="AR910" s="22"/>
      <c r="AS910" s="22"/>
      <c r="AT910" s="22"/>
      <c r="AU910" s="22"/>
      <c r="AV910" s="22"/>
      <c r="AW910" s="22"/>
      <c r="AX910" s="22"/>
    </row>
    <row r="911" spans="1:50" x14ac:dyDescent="0.3">
      <c r="A911" s="6"/>
      <c r="B911" s="19"/>
      <c r="C911" s="6"/>
      <c r="D911" s="5"/>
      <c r="E911" s="6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2"/>
      <c r="AA911" s="22"/>
      <c r="AB911" s="22"/>
      <c r="AC911" s="22"/>
      <c r="AD911" s="22"/>
      <c r="AE911" s="22"/>
      <c r="AF911" s="22"/>
      <c r="AG911" s="22"/>
      <c r="AH911" s="22"/>
      <c r="AI911" s="22"/>
      <c r="AJ911" s="22"/>
      <c r="AK911" s="22"/>
      <c r="AL911" s="22"/>
      <c r="AM911" s="22"/>
      <c r="AN911" s="22"/>
      <c r="AO911" s="22"/>
      <c r="AP911" s="22"/>
      <c r="AQ911" s="22"/>
      <c r="AR911" s="22"/>
      <c r="AS911" s="22"/>
      <c r="AT911" s="22"/>
      <c r="AU911" s="22"/>
      <c r="AV911" s="22"/>
      <c r="AW911" s="22"/>
      <c r="AX911" s="22"/>
    </row>
    <row r="912" spans="1:50" x14ac:dyDescent="0.3">
      <c r="A912" s="6"/>
      <c r="B912" s="19"/>
      <c r="C912" s="6"/>
      <c r="D912" s="5"/>
      <c r="E912" s="6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2"/>
      <c r="Y912" s="22"/>
      <c r="Z912" s="22"/>
      <c r="AA912" s="22"/>
      <c r="AB912" s="22"/>
      <c r="AC912" s="22"/>
      <c r="AD912" s="22"/>
      <c r="AE912" s="22"/>
      <c r="AF912" s="22"/>
      <c r="AG912" s="22"/>
      <c r="AH912" s="22"/>
      <c r="AI912" s="22"/>
      <c r="AJ912" s="22"/>
      <c r="AK912" s="22"/>
      <c r="AL912" s="22"/>
      <c r="AM912" s="22"/>
      <c r="AN912" s="22"/>
      <c r="AO912" s="22"/>
      <c r="AP912" s="22"/>
      <c r="AQ912" s="22"/>
      <c r="AR912" s="22"/>
      <c r="AS912" s="22"/>
      <c r="AT912" s="22"/>
      <c r="AU912" s="22"/>
      <c r="AV912" s="22"/>
      <c r="AW912" s="22"/>
      <c r="AX912" s="22"/>
    </row>
    <row r="913" spans="1:50" x14ac:dyDescent="0.3">
      <c r="A913" s="6"/>
      <c r="B913" s="19"/>
      <c r="C913" s="6"/>
      <c r="D913" s="5"/>
      <c r="E913" s="6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2"/>
      <c r="AA913" s="22"/>
      <c r="AB913" s="22"/>
      <c r="AC913" s="22"/>
      <c r="AD913" s="22"/>
      <c r="AE913" s="22"/>
      <c r="AF913" s="22"/>
      <c r="AG913" s="22"/>
      <c r="AH913" s="22"/>
      <c r="AI913" s="22"/>
      <c r="AJ913" s="22"/>
      <c r="AK913" s="22"/>
      <c r="AL913" s="22"/>
      <c r="AM913" s="22"/>
      <c r="AN913" s="22"/>
      <c r="AO913" s="22"/>
      <c r="AP913" s="22"/>
      <c r="AQ913" s="22"/>
      <c r="AR913" s="22"/>
      <c r="AS913" s="22"/>
      <c r="AT913" s="22"/>
      <c r="AU913" s="22"/>
      <c r="AV913" s="22"/>
      <c r="AW913" s="22"/>
      <c r="AX913" s="22"/>
    </row>
    <row r="914" spans="1:50" x14ac:dyDescent="0.3">
      <c r="A914" s="6"/>
      <c r="B914" s="19"/>
      <c r="C914" s="6"/>
      <c r="D914" s="5"/>
      <c r="E914" s="6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2"/>
      <c r="Y914" s="22"/>
      <c r="Z914" s="22"/>
      <c r="AA914" s="22"/>
      <c r="AB914" s="22"/>
      <c r="AC914" s="22"/>
      <c r="AD914" s="22"/>
      <c r="AE914" s="22"/>
      <c r="AF914" s="22"/>
      <c r="AG914" s="22"/>
      <c r="AH914" s="22"/>
      <c r="AI914" s="22"/>
      <c r="AJ914" s="22"/>
      <c r="AK914" s="22"/>
      <c r="AL914" s="22"/>
      <c r="AM914" s="22"/>
      <c r="AN914" s="22"/>
      <c r="AO914" s="22"/>
      <c r="AP914" s="22"/>
      <c r="AQ914" s="22"/>
      <c r="AR914" s="22"/>
      <c r="AS914" s="22"/>
      <c r="AT914" s="22"/>
      <c r="AU914" s="22"/>
      <c r="AV914" s="22"/>
      <c r="AW914" s="22"/>
      <c r="AX914" s="22"/>
    </row>
    <row r="915" spans="1:50" x14ac:dyDescent="0.3">
      <c r="A915" s="6"/>
      <c r="B915" s="19"/>
      <c r="C915" s="6"/>
      <c r="D915" s="5"/>
      <c r="E915" s="6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2"/>
      <c r="AA915" s="22"/>
      <c r="AB915" s="22"/>
      <c r="AC915" s="22"/>
      <c r="AD915" s="22"/>
      <c r="AE915" s="22"/>
      <c r="AF915" s="22"/>
      <c r="AG915" s="22"/>
      <c r="AH915" s="22"/>
      <c r="AI915" s="22"/>
      <c r="AJ915" s="22"/>
      <c r="AK915" s="22"/>
      <c r="AL915" s="22"/>
      <c r="AM915" s="22"/>
      <c r="AN915" s="22"/>
      <c r="AO915" s="22"/>
      <c r="AP915" s="22"/>
      <c r="AQ915" s="22"/>
      <c r="AR915" s="22"/>
      <c r="AS915" s="22"/>
      <c r="AT915" s="22"/>
      <c r="AU915" s="22"/>
      <c r="AV915" s="22"/>
      <c r="AW915" s="22"/>
      <c r="AX915" s="22"/>
    </row>
    <row r="916" spans="1:50" x14ac:dyDescent="0.3">
      <c r="A916" s="6"/>
      <c r="B916" s="19"/>
      <c r="C916" s="6"/>
      <c r="D916" s="5"/>
      <c r="E916" s="6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2"/>
      <c r="Y916" s="22"/>
      <c r="Z916" s="22"/>
      <c r="AA916" s="22"/>
      <c r="AB916" s="22"/>
      <c r="AC916" s="22"/>
      <c r="AD916" s="22"/>
      <c r="AE916" s="22"/>
      <c r="AF916" s="22"/>
      <c r="AG916" s="22"/>
      <c r="AH916" s="22"/>
      <c r="AI916" s="22"/>
      <c r="AJ916" s="22"/>
      <c r="AK916" s="22"/>
      <c r="AL916" s="22"/>
      <c r="AM916" s="22"/>
      <c r="AN916" s="22"/>
      <c r="AO916" s="22"/>
      <c r="AP916" s="22"/>
      <c r="AQ916" s="22"/>
      <c r="AR916" s="22"/>
      <c r="AS916" s="22"/>
      <c r="AT916" s="22"/>
      <c r="AU916" s="22"/>
      <c r="AV916" s="22"/>
      <c r="AW916" s="22"/>
      <c r="AX916" s="22"/>
    </row>
    <row r="917" spans="1:50" x14ac:dyDescent="0.3">
      <c r="A917" s="6"/>
      <c r="B917" s="19"/>
      <c r="C917" s="6"/>
      <c r="D917" s="5"/>
      <c r="E917" s="6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2"/>
      <c r="AA917" s="22"/>
      <c r="AB917" s="22"/>
      <c r="AC917" s="22"/>
      <c r="AD917" s="22"/>
      <c r="AE917" s="22"/>
      <c r="AF917" s="22"/>
      <c r="AG917" s="22"/>
      <c r="AH917" s="22"/>
      <c r="AI917" s="22"/>
      <c r="AJ917" s="22"/>
      <c r="AK917" s="22"/>
      <c r="AL917" s="22"/>
      <c r="AM917" s="22"/>
      <c r="AN917" s="22"/>
      <c r="AO917" s="22"/>
      <c r="AP917" s="22"/>
      <c r="AQ917" s="22"/>
      <c r="AR917" s="22"/>
      <c r="AS917" s="22"/>
      <c r="AT917" s="22"/>
      <c r="AU917" s="22"/>
      <c r="AV917" s="22"/>
      <c r="AW917" s="22"/>
      <c r="AX917" s="22"/>
    </row>
    <row r="918" spans="1:50" x14ac:dyDescent="0.3">
      <c r="A918" s="6"/>
      <c r="B918" s="19"/>
      <c r="C918" s="6"/>
      <c r="D918" s="5"/>
      <c r="E918" s="6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2"/>
      <c r="Y918" s="22"/>
      <c r="Z918" s="22"/>
      <c r="AA918" s="22"/>
      <c r="AB918" s="22"/>
      <c r="AC918" s="22"/>
      <c r="AD918" s="22"/>
      <c r="AE918" s="22"/>
      <c r="AF918" s="22"/>
      <c r="AG918" s="22"/>
      <c r="AH918" s="22"/>
      <c r="AI918" s="22"/>
      <c r="AJ918" s="22"/>
      <c r="AK918" s="22"/>
      <c r="AL918" s="22"/>
      <c r="AM918" s="22"/>
      <c r="AN918" s="22"/>
      <c r="AO918" s="22"/>
      <c r="AP918" s="22"/>
      <c r="AQ918" s="22"/>
      <c r="AR918" s="22"/>
      <c r="AS918" s="22"/>
      <c r="AT918" s="22"/>
      <c r="AU918" s="22"/>
      <c r="AV918" s="22"/>
      <c r="AW918" s="22"/>
      <c r="AX918" s="22"/>
    </row>
    <row r="919" spans="1:50" x14ac:dyDescent="0.3">
      <c r="A919" s="6"/>
      <c r="B919" s="19"/>
      <c r="C919" s="6"/>
      <c r="D919" s="5"/>
      <c r="E919" s="6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2"/>
      <c r="AA919" s="22"/>
      <c r="AB919" s="22"/>
      <c r="AC919" s="22"/>
      <c r="AD919" s="22"/>
      <c r="AE919" s="22"/>
      <c r="AF919" s="22"/>
      <c r="AG919" s="22"/>
      <c r="AH919" s="22"/>
      <c r="AI919" s="22"/>
      <c r="AJ919" s="22"/>
      <c r="AK919" s="22"/>
      <c r="AL919" s="22"/>
      <c r="AM919" s="22"/>
      <c r="AN919" s="22"/>
      <c r="AO919" s="22"/>
      <c r="AP919" s="22"/>
      <c r="AQ919" s="22"/>
      <c r="AR919" s="22"/>
      <c r="AS919" s="22"/>
      <c r="AT919" s="22"/>
      <c r="AU919" s="22"/>
      <c r="AV919" s="22"/>
      <c r="AW919" s="22"/>
      <c r="AX919" s="22"/>
    </row>
    <row r="920" spans="1:50" x14ac:dyDescent="0.3">
      <c r="A920" s="6"/>
      <c r="B920" s="19"/>
      <c r="C920" s="6"/>
      <c r="D920" s="5"/>
      <c r="E920" s="6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2"/>
      <c r="Y920" s="22"/>
      <c r="Z920" s="22"/>
      <c r="AA920" s="22"/>
      <c r="AB920" s="22"/>
      <c r="AC920" s="22"/>
      <c r="AD920" s="22"/>
      <c r="AE920" s="22"/>
      <c r="AF920" s="22"/>
      <c r="AG920" s="22"/>
      <c r="AH920" s="22"/>
      <c r="AI920" s="22"/>
      <c r="AJ920" s="22"/>
      <c r="AK920" s="22"/>
      <c r="AL920" s="22"/>
      <c r="AM920" s="22"/>
      <c r="AN920" s="22"/>
      <c r="AO920" s="22"/>
      <c r="AP920" s="22"/>
      <c r="AQ920" s="22"/>
      <c r="AR920" s="22"/>
      <c r="AS920" s="22"/>
      <c r="AT920" s="22"/>
      <c r="AU920" s="22"/>
      <c r="AV920" s="22"/>
      <c r="AW920" s="22"/>
      <c r="AX920" s="22"/>
    </row>
    <row r="921" spans="1:50" x14ac:dyDescent="0.3">
      <c r="A921" s="6"/>
      <c r="B921" s="19"/>
      <c r="C921" s="6"/>
      <c r="D921" s="5"/>
      <c r="E921" s="6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2"/>
      <c r="AA921" s="22"/>
      <c r="AB921" s="22"/>
      <c r="AC921" s="22"/>
      <c r="AD921" s="22"/>
      <c r="AE921" s="22"/>
      <c r="AF921" s="22"/>
      <c r="AG921" s="22"/>
      <c r="AH921" s="22"/>
      <c r="AI921" s="22"/>
      <c r="AJ921" s="22"/>
      <c r="AK921" s="22"/>
      <c r="AL921" s="22"/>
      <c r="AM921" s="22"/>
      <c r="AN921" s="22"/>
      <c r="AO921" s="22"/>
      <c r="AP921" s="22"/>
      <c r="AQ921" s="22"/>
      <c r="AR921" s="22"/>
      <c r="AS921" s="22"/>
      <c r="AT921" s="22"/>
      <c r="AU921" s="22"/>
      <c r="AV921" s="22"/>
      <c r="AW921" s="22"/>
      <c r="AX921" s="22"/>
    </row>
    <row r="922" spans="1:50" x14ac:dyDescent="0.3">
      <c r="A922" s="6"/>
      <c r="B922" s="19"/>
      <c r="C922" s="6"/>
      <c r="D922" s="5"/>
      <c r="E922" s="6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2"/>
      <c r="Y922" s="22"/>
      <c r="Z922" s="22"/>
      <c r="AA922" s="22"/>
      <c r="AB922" s="22"/>
      <c r="AC922" s="22"/>
      <c r="AD922" s="22"/>
      <c r="AE922" s="22"/>
      <c r="AF922" s="22"/>
      <c r="AG922" s="22"/>
      <c r="AH922" s="22"/>
      <c r="AI922" s="22"/>
      <c r="AJ922" s="22"/>
      <c r="AK922" s="22"/>
      <c r="AL922" s="22"/>
      <c r="AM922" s="22"/>
      <c r="AN922" s="22"/>
      <c r="AO922" s="22"/>
      <c r="AP922" s="22"/>
      <c r="AQ922" s="22"/>
      <c r="AR922" s="22"/>
      <c r="AS922" s="22"/>
      <c r="AT922" s="22"/>
      <c r="AU922" s="22"/>
      <c r="AV922" s="22"/>
      <c r="AW922" s="22"/>
      <c r="AX922" s="22"/>
    </row>
    <row r="923" spans="1:50" x14ac:dyDescent="0.3">
      <c r="A923" s="6"/>
      <c r="B923" s="19"/>
      <c r="C923" s="6"/>
      <c r="D923" s="5"/>
      <c r="E923" s="6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2"/>
      <c r="AA923" s="22"/>
      <c r="AB923" s="22"/>
      <c r="AC923" s="22"/>
      <c r="AD923" s="22"/>
      <c r="AE923" s="22"/>
      <c r="AF923" s="22"/>
      <c r="AG923" s="22"/>
      <c r="AH923" s="22"/>
      <c r="AI923" s="22"/>
      <c r="AJ923" s="22"/>
      <c r="AK923" s="22"/>
      <c r="AL923" s="22"/>
      <c r="AM923" s="22"/>
      <c r="AN923" s="22"/>
      <c r="AO923" s="22"/>
      <c r="AP923" s="22"/>
      <c r="AQ923" s="22"/>
      <c r="AR923" s="22"/>
      <c r="AS923" s="22"/>
      <c r="AT923" s="22"/>
      <c r="AU923" s="22"/>
      <c r="AV923" s="22"/>
      <c r="AW923" s="22"/>
      <c r="AX923" s="22"/>
    </row>
    <row r="924" spans="1:50" x14ac:dyDescent="0.3">
      <c r="A924" s="6"/>
      <c r="B924" s="19"/>
      <c r="C924" s="6"/>
      <c r="D924" s="5"/>
      <c r="E924" s="6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2"/>
      <c r="Y924" s="22"/>
      <c r="Z924" s="22"/>
      <c r="AA924" s="22"/>
      <c r="AB924" s="22"/>
      <c r="AC924" s="22"/>
      <c r="AD924" s="22"/>
      <c r="AE924" s="22"/>
      <c r="AF924" s="22"/>
      <c r="AG924" s="22"/>
      <c r="AH924" s="22"/>
      <c r="AI924" s="22"/>
      <c r="AJ924" s="22"/>
      <c r="AK924" s="22"/>
      <c r="AL924" s="22"/>
      <c r="AM924" s="22"/>
      <c r="AN924" s="22"/>
      <c r="AO924" s="22"/>
      <c r="AP924" s="22"/>
      <c r="AQ924" s="22"/>
      <c r="AR924" s="22"/>
      <c r="AS924" s="22"/>
      <c r="AT924" s="22"/>
      <c r="AU924" s="22"/>
      <c r="AV924" s="22"/>
      <c r="AW924" s="22"/>
      <c r="AX924" s="22"/>
    </row>
    <row r="925" spans="1:50" x14ac:dyDescent="0.3">
      <c r="A925" s="6"/>
      <c r="B925" s="19"/>
      <c r="C925" s="6"/>
      <c r="D925" s="5"/>
      <c r="E925" s="6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2"/>
      <c r="AA925" s="22"/>
      <c r="AB925" s="22"/>
      <c r="AC925" s="22"/>
      <c r="AD925" s="22"/>
      <c r="AE925" s="22"/>
      <c r="AF925" s="22"/>
      <c r="AG925" s="22"/>
      <c r="AH925" s="22"/>
      <c r="AI925" s="22"/>
      <c r="AJ925" s="22"/>
      <c r="AK925" s="22"/>
      <c r="AL925" s="22"/>
      <c r="AM925" s="22"/>
      <c r="AN925" s="22"/>
      <c r="AO925" s="22"/>
      <c r="AP925" s="22"/>
      <c r="AQ925" s="22"/>
      <c r="AR925" s="22"/>
      <c r="AS925" s="22"/>
      <c r="AT925" s="22"/>
      <c r="AU925" s="22"/>
      <c r="AV925" s="22"/>
      <c r="AW925" s="22"/>
      <c r="AX925" s="22"/>
    </row>
    <row r="926" spans="1:50" x14ac:dyDescent="0.3">
      <c r="A926" s="6"/>
      <c r="B926" s="19"/>
      <c r="C926" s="6"/>
      <c r="D926" s="5"/>
      <c r="E926" s="6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2"/>
      <c r="Y926" s="22"/>
      <c r="Z926" s="22"/>
      <c r="AA926" s="22"/>
      <c r="AB926" s="22"/>
      <c r="AC926" s="22"/>
      <c r="AD926" s="22"/>
      <c r="AE926" s="22"/>
      <c r="AF926" s="22"/>
      <c r="AG926" s="22"/>
      <c r="AH926" s="22"/>
      <c r="AI926" s="22"/>
      <c r="AJ926" s="22"/>
      <c r="AK926" s="22"/>
      <c r="AL926" s="22"/>
      <c r="AM926" s="22"/>
      <c r="AN926" s="22"/>
      <c r="AO926" s="22"/>
      <c r="AP926" s="22"/>
      <c r="AQ926" s="22"/>
      <c r="AR926" s="22"/>
      <c r="AS926" s="22"/>
      <c r="AT926" s="22"/>
      <c r="AU926" s="22"/>
      <c r="AV926" s="22"/>
      <c r="AW926" s="22"/>
      <c r="AX926" s="22"/>
    </row>
    <row r="927" spans="1:50" x14ac:dyDescent="0.3">
      <c r="A927" s="6"/>
      <c r="B927" s="19"/>
      <c r="C927" s="6"/>
      <c r="D927" s="5"/>
      <c r="E927" s="6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2"/>
      <c r="AA927" s="22"/>
      <c r="AB927" s="22"/>
      <c r="AC927" s="22"/>
      <c r="AD927" s="22"/>
      <c r="AE927" s="22"/>
      <c r="AF927" s="22"/>
      <c r="AG927" s="22"/>
      <c r="AH927" s="22"/>
      <c r="AI927" s="22"/>
      <c r="AJ927" s="22"/>
      <c r="AK927" s="22"/>
      <c r="AL927" s="22"/>
      <c r="AM927" s="22"/>
      <c r="AN927" s="22"/>
      <c r="AO927" s="22"/>
      <c r="AP927" s="22"/>
      <c r="AQ927" s="22"/>
      <c r="AR927" s="22"/>
      <c r="AS927" s="22"/>
      <c r="AT927" s="22"/>
      <c r="AU927" s="22"/>
      <c r="AV927" s="22"/>
      <c r="AW927" s="22"/>
      <c r="AX927" s="22"/>
    </row>
    <row r="928" spans="1:50" x14ac:dyDescent="0.3">
      <c r="A928" s="6"/>
      <c r="B928" s="19"/>
      <c r="C928" s="6"/>
      <c r="D928" s="5"/>
      <c r="E928" s="6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2"/>
      <c r="Y928" s="22"/>
      <c r="Z928" s="22"/>
      <c r="AA928" s="22"/>
      <c r="AB928" s="22"/>
      <c r="AC928" s="22"/>
      <c r="AD928" s="22"/>
      <c r="AE928" s="22"/>
      <c r="AF928" s="22"/>
      <c r="AG928" s="22"/>
      <c r="AH928" s="22"/>
      <c r="AI928" s="22"/>
      <c r="AJ928" s="22"/>
      <c r="AK928" s="22"/>
      <c r="AL928" s="22"/>
      <c r="AM928" s="22"/>
      <c r="AN928" s="22"/>
      <c r="AO928" s="22"/>
      <c r="AP928" s="22"/>
      <c r="AQ928" s="22"/>
      <c r="AR928" s="22"/>
      <c r="AS928" s="22"/>
      <c r="AT928" s="22"/>
      <c r="AU928" s="22"/>
      <c r="AV928" s="22"/>
      <c r="AW928" s="22"/>
      <c r="AX928" s="22"/>
    </row>
    <row r="929" spans="1:50" x14ac:dyDescent="0.3">
      <c r="A929" s="6"/>
      <c r="B929" s="19"/>
      <c r="C929" s="6"/>
      <c r="D929" s="5"/>
      <c r="E929" s="6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2"/>
      <c r="AA929" s="22"/>
      <c r="AB929" s="22"/>
      <c r="AC929" s="22"/>
      <c r="AD929" s="22"/>
      <c r="AE929" s="22"/>
      <c r="AF929" s="22"/>
      <c r="AG929" s="22"/>
      <c r="AH929" s="22"/>
      <c r="AI929" s="22"/>
      <c r="AJ929" s="22"/>
      <c r="AK929" s="22"/>
      <c r="AL929" s="22"/>
      <c r="AM929" s="22"/>
      <c r="AN929" s="22"/>
      <c r="AO929" s="22"/>
      <c r="AP929" s="22"/>
      <c r="AQ929" s="22"/>
      <c r="AR929" s="22"/>
      <c r="AS929" s="22"/>
      <c r="AT929" s="22"/>
      <c r="AU929" s="22"/>
      <c r="AV929" s="22"/>
      <c r="AW929" s="22"/>
      <c r="AX929" s="22"/>
    </row>
    <row r="930" spans="1:50" x14ac:dyDescent="0.3">
      <c r="A930" s="6"/>
      <c r="B930" s="19"/>
      <c r="C930" s="6"/>
      <c r="D930" s="5"/>
      <c r="E930" s="6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2"/>
      <c r="Y930" s="22"/>
      <c r="Z930" s="22"/>
      <c r="AA930" s="22"/>
      <c r="AB930" s="22"/>
      <c r="AC930" s="22"/>
      <c r="AD930" s="22"/>
      <c r="AE930" s="22"/>
      <c r="AF930" s="22"/>
      <c r="AG930" s="22"/>
      <c r="AH930" s="22"/>
      <c r="AI930" s="22"/>
      <c r="AJ930" s="22"/>
      <c r="AK930" s="22"/>
      <c r="AL930" s="22"/>
      <c r="AM930" s="22"/>
      <c r="AN930" s="22"/>
      <c r="AO930" s="22"/>
      <c r="AP930" s="22"/>
      <c r="AQ930" s="22"/>
      <c r="AR930" s="22"/>
      <c r="AS930" s="22"/>
      <c r="AT930" s="22"/>
      <c r="AU930" s="22"/>
      <c r="AV930" s="22"/>
      <c r="AW930" s="22"/>
      <c r="AX930" s="22"/>
    </row>
    <row r="931" spans="1:50" x14ac:dyDescent="0.3">
      <c r="A931" s="6"/>
      <c r="B931" s="19"/>
      <c r="C931" s="6"/>
      <c r="D931" s="5"/>
      <c r="E931" s="6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2"/>
      <c r="AA931" s="22"/>
      <c r="AB931" s="22"/>
      <c r="AC931" s="22"/>
      <c r="AD931" s="22"/>
      <c r="AE931" s="22"/>
      <c r="AF931" s="22"/>
      <c r="AG931" s="22"/>
      <c r="AH931" s="22"/>
      <c r="AI931" s="22"/>
      <c r="AJ931" s="22"/>
      <c r="AK931" s="22"/>
      <c r="AL931" s="22"/>
      <c r="AM931" s="22"/>
      <c r="AN931" s="22"/>
      <c r="AO931" s="22"/>
      <c r="AP931" s="22"/>
      <c r="AQ931" s="22"/>
      <c r="AR931" s="22"/>
      <c r="AS931" s="22"/>
      <c r="AT931" s="22"/>
      <c r="AU931" s="22"/>
      <c r="AV931" s="22"/>
      <c r="AW931" s="22"/>
      <c r="AX931" s="22"/>
    </row>
    <row r="932" spans="1:50" x14ac:dyDescent="0.3">
      <c r="A932" s="6"/>
      <c r="B932" s="19"/>
      <c r="C932" s="6"/>
      <c r="D932" s="5"/>
      <c r="E932" s="6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2"/>
      <c r="Y932" s="22"/>
      <c r="Z932" s="22"/>
      <c r="AA932" s="22"/>
      <c r="AB932" s="22"/>
      <c r="AC932" s="22"/>
      <c r="AD932" s="22"/>
      <c r="AE932" s="22"/>
      <c r="AF932" s="22"/>
      <c r="AG932" s="22"/>
      <c r="AH932" s="22"/>
      <c r="AI932" s="22"/>
      <c r="AJ932" s="22"/>
      <c r="AK932" s="22"/>
      <c r="AL932" s="22"/>
      <c r="AM932" s="22"/>
      <c r="AN932" s="22"/>
      <c r="AO932" s="22"/>
      <c r="AP932" s="22"/>
      <c r="AQ932" s="22"/>
      <c r="AR932" s="22"/>
      <c r="AS932" s="22"/>
      <c r="AT932" s="22"/>
      <c r="AU932" s="22"/>
      <c r="AV932" s="22"/>
      <c r="AW932" s="22"/>
      <c r="AX932" s="22"/>
    </row>
    <row r="933" spans="1:50" x14ac:dyDescent="0.3">
      <c r="A933" s="6"/>
      <c r="B933" s="19"/>
      <c r="C933" s="6"/>
      <c r="D933" s="5"/>
      <c r="E933" s="6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2"/>
      <c r="AA933" s="22"/>
      <c r="AB933" s="22"/>
      <c r="AC933" s="22"/>
      <c r="AD933" s="22"/>
      <c r="AE933" s="22"/>
      <c r="AF933" s="22"/>
      <c r="AG933" s="22"/>
      <c r="AH933" s="22"/>
      <c r="AI933" s="22"/>
      <c r="AJ933" s="22"/>
      <c r="AK933" s="22"/>
      <c r="AL933" s="22"/>
      <c r="AM933" s="22"/>
      <c r="AN933" s="22"/>
      <c r="AO933" s="22"/>
      <c r="AP933" s="22"/>
      <c r="AQ933" s="22"/>
      <c r="AR933" s="22"/>
      <c r="AS933" s="22"/>
      <c r="AT933" s="22"/>
      <c r="AU933" s="22"/>
      <c r="AV933" s="22"/>
      <c r="AW933" s="22"/>
      <c r="AX933" s="22"/>
    </row>
    <row r="934" spans="1:50" x14ac:dyDescent="0.3">
      <c r="A934" s="6"/>
      <c r="B934" s="19"/>
      <c r="C934" s="6"/>
      <c r="D934" s="5"/>
      <c r="E934" s="6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2"/>
      <c r="Y934" s="22"/>
      <c r="Z934" s="22"/>
      <c r="AA934" s="22"/>
      <c r="AB934" s="22"/>
      <c r="AC934" s="22"/>
      <c r="AD934" s="22"/>
      <c r="AE934" s="22"/>
      <c r="AF934" s="22"/>
      <c r="AG934" s="22"/>
      <c r="AH934" s="22"/>
      <c r="AI934" s="22"/>
      <c r="AJ934" s="22"/>
      <c r="AK934" s="22"/>
      <c r="AL934" s="22"/>
      <c r="AM934" s="22"/>
      <c r="AN934" s="22"/>
      <c r="AO934" s="22"/>
      <c r="AP934" s="22"/>
      <c r="AQ934" s="22"/>
      <c r="AR934" s="22"/>
      <c r="AS934" s="22"/>
      <c r="AT934" s="22"/>
      <c r="AU934" s="22"/>
      <c r="AV934" s="22"/>
      <c r="AW934" s="22"/>
      <c r="AX934" s="22"/>
    </row>
    <row r="935" spans="1:50" x14ac:dyDescent="0.3">
      <c r="A935" s="6"/>
      <c r="B935" s="19"/>
      <c r="C935" s="6"/>
      <c r="D935" s="5"/>
      <c r="E935" s="6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2"/>
      <c r="AA935" s="22"/>
      <c r="AB935" s="22"/>
      <c r="AC935" s="22"/>
      <c r="AD935" s="22"/>
      <c r="AE935" s="22"/>
      <c r="AF935" s="22"/>
      <c r="AG935" s="22"/>
      <c r="AH935" s="22"/>
      <c r="AI935" s="22"/>
      <c r="AJ935" s="22"/>
      <c r="AK935" s="22"/>
      <c r="AL935" s="22"/>
      <c r="AM935" s="22"/>
      <c r="AN935" s="22"/>
      <c r="AO935" s="22"/>
      <c r="AP935" s="22"/>
      <c r="AQ935" s="22"/>
      <c r="AR935" s="22"/>
      <c r="AS935" s="22"/>
      <c r="AT935" s="22"/>
      <c r="AU935" s="22"/>
      <c r="AV935" s="22"/>
      <c r="AW935" s="22"/>
      <c r="AX935" s="22"/>
    </row>
    <row r="936" spans="1:50" x14ac:dyDescent="0.3">
      <c r="A936" s="6"/>
      <c r="B936" s="19"/>
      <c r="C936" s="6"/>
      <c r="D936" s="5"/>
      <c r="E936" s="6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2"/>
      <c r="Y936" s="22"/>
      <c r="Z936" s="22"/>
      <c r="AA936" s="22"/>
      <c r="AB936" s="22"/>
      <c r="AC936" s="22"/>
      <c r="AD936" s="22"/>
      <c r="AE936" s="22"/>
      <c r="AF936" s="22"/>
      <c r="AG936" s="22"/>
      <c r="AH936" s="22"/>
      <c r="AI936" s="22"/>
      <c r="AJ936" s="22"/>
      <c r="AK936" s="22"/>
      <c r="AL936" s="22"/>
      <c r="AM936" s="22"/>
      <c r="AN936" s="22"/>
      <c r="AO936" s="22"/>
      <c r="AP936" s="22"/>
      <c r="AQ936" s="22"/>
      <c r="AR936" s="22"/>
      <c r="AS936" s="22"/>
      <c r="AT936" s="22"/>
      <c r="AU936" s="22"/>
      <c r="AV936" s="22"/>
      <c r="AW936" s="22"/>
      <c r="AX936" s="22"/>
    </row>
    <row r="937" spans="1:50" x14ac:dyDescent="0.3">
      <c r="A937" s="6"/>
      <c r="B937" s="19"/>
      <c r="C937" s="6"/>
      <c r="D937" s="5"/>
      <c r="E937" s="6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2"/>
      <c r="AA937" s="22"/>
      <c r="AB937" s="22"/>
      <c r="AC937" s="22"/>
      <c r="AD937" s="22"/>
      <c r="AE937" s="22"/>
      <c r="AF937" s="22"/>
      <c r="AG937" s="22"/>
      <c r="AH937" s="22"/>
      <c r="AI937" s="22"/>
      <c r="AJ937" s="22"/>
      <c r="AK937" s="22"/>
      <c r="AL937" s="22"/>
      <c r="AM937" s="22"/>
      <c r="AN937" s="22"/>
      <c r="AO937" s="22"/>
      <c r="AP937" s="22"/>
      <c r="AQ937" s="22"/>
      <c r="AR937" s="22"/>
      <c r="AS937" s="22"/>
      <c r="AT937" s="22"/>
      <c r="AU937" s="22"/>
      <c r="AV937" s="22"/>
      <c r="AW937" s="22"/>
      <c r="AX937" s="22"/>
    </row>
    <row r="938" spans="1:50" x14ac:dyDescent="0.3">
      <c r="A938" s="6"/>
      <c r="B938" s="19"/>
      <c r="C938" s="6"/>
      <c r="D938" s="5"/>
      <c r="E938" s="6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2"/>
      <c r="Y938" s="22"/>
      <c r="Z938" s="22"/>
      <c r="AA938" s="22"/>
      <c r="AB938" s="22"/>
      <c r="AC938" s="22"/>
      <c r="AD938" s="22"/>
      <c r="AE938" s="22"/>
      <c r="AF938" s="22"/>
      <c r="AG938" s="22"/>
      <c r="AH938" s="22"/>
      <c r="AI938" s="22"/>
      <c r="AJ938" s="22"/>
      <c r="AK938" s="22"/>
      <c r="AL938" s="22"/>
      <c r="AM938" s="22"/>
      <c r="AN938" s="22"/>
      <c r="AO938" s="22"/>
      <c r="AP938" s="22"/>
      <c r="AQ938" s="22"/>
      <c r="AR938" s="22"/>
      <c r="AS938" s="22"/>
      <c r="AT938" s="22"/>
      <c r="AU938" s="22"/>
      <c r="AV938" s="22"/>
      <c r="AW938" s="22"/>
      <c r="AX938" s="22"/>
    </row>
    <row r="939" spans="1:50" x14ac:dyDescent="0.3">
      <c r="A939" s="6"/>
      <c r="B939" s="19"/>
      <c r="C939" s="6"/>
      <c r="D939" s="5"/>
      <c r="E939" s="6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2"/>
      <c r="AA939" s="22"/>
      <c r="AB939" s="22"/>
      <c r="AC939" s="22"/>
      <c r="AD939" s="22"/>
      <c r="AE939" s="22"/>
      <c r="AF939" s="22"/>
      <c r="AG939" s="22"/>
      <c r="AH939" s="22"/>
      <c r="AI939" s="22"/>
      <c r="AJ939" s="22"/>
      <c r="AK939" s="22"/>
      <c r="AL939" s="22"/>
      <c r="AM939" s="22"/>
      <c r="AN939" s="22"/>
      <c r="AO939" s="22"/>
      <c r="AP939" s="22"/>
      <c r="AQ939" s="22"/>
      <c r="AR939" s="22"/>
      <c r="AS939" s="22"/>
      <c r="AT939" s="22"/>
      <c r="AU939" s="22"/>
      <c r="AV939" s="22"/>
      <c r="AW939" s="22"/>
      <c r="AX939" s="22"/>
    </row>
    <row r="940" spans="1:50" x14ac:dyDescent="0.3">
      <c r="A940" s="6"/>
      <c r="B940" s="19"/>
      <c r="C940" s="6"/>
      <c r="D940" s="5"/>
      <c r="E940" s="6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2"/>
      <c r="AA940" s="22"/>
      <c r="AB940" s="22"/>
      <c r="AC940" s="22"/>
      <c r="AD940" s="22"/>
      <c r="AE940" s="22"/>
      <c r="AF940" s="22"/>
      <c r="AG940" s="22"/>
      <c r="AH940" s="22"/>
      <c r="AI940" s="22"/>
      <c r="AJ940" s="22"/>
      <c r="AK940" s="22"/>
      <c r="AL940" s="22"/>
      <c r="AM940" s="22"/>
      <c r="AN940" s="22"/>
      <c r="AO940" s="22"/>
      <c r="AP940" s="22"/>
      <c r="AQ940" s="22"/>
      <c r="AR940" s="22"/>
      <c r="AS940" s="22"/>
      <c r="AT940" s="22"/>
      <c r="AU940" s="22"/>
      <c r="AV940" s="22"/>
      <c r="AW940" s="22"/>
      <c r="AX940" s="22"/>
    </row>
    <row r="941" spans="1:50" x14ac:dyDescent="0.3">
      <c r="A941" s="6"/>
      <c r="B941" s="19"/>
      <c r="C941" s="6"/>
      <c r="D941" s="5"/>
      <c r="E941" s="6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2"/>
      <c r="AA941" s="22"/>
      <c r="AB941" s="22"/>
      <c r="AC941" s="22"/>
      <c r="AD941" s="22"/>
      <c r="AE941" s="22"/>
      <c r="AF941" s="22"/>
      <c r="AG941" s="22"/>
      <c r="AH941" s="22"/>
      <c r="AI941" s="22"/>
      <c r="AJ941" s="22"/>
      <c r="AK941" s="22"/>
      <c r="AL941" s="22"/>
      <c r="AM941" s="22"/>
      <c r="AN941" s="22"/>
      <c r="AO941" s="22"/>
      <c r="AP941" s="22"/>
      <c r="AQ941" s="22"/>
      <c r="AR941" s="22"/>
      <c r="AS941" s="22"/>
      <c r="AT941" s="22"/>
      <c r="AU941" s="22"/>
      <c r="AV941" s="22"/>
      <c r="AW941" s="22"/>
      <c r="AX941" s="22"/>
    </row>
    <row r="942" spans="1:50" x14ac:dyDescent="0.3">
      <c r="A942" s="6"/>
      <c r="B942" s="19"/>
      <c r="C942" s="6"/>
      <c r="D942" s="5"/>
      <c r="E942" s="6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2"/>
      <c r="Y942" s="22"/>
      <c r="Z942" s="22"/>
      <c r="AA942" s="22"/>
      <c r="AB942" s="22"/>
      <c r="AC942" s="22"/>
      <c r="AD942" s="22"/>
      <c r="AE942" s="22"/>
      <c r="AF942" s="22"/>
      <c r="AG942" s="22"/>
      <c r="AH942" s="22"/>
      <c r="AI942" s="22"/>
      <c r="AJ942" s="22"/>
      <c r="AK942" s="22"/>
      <c r="AL942" s="22"/>
      <c r="AM942" s="22"/>
      <c r="AN942" s="22"/>
      <c r="AO942" s="22"/>
      <c r="AP942" s="22"/>
      <c r="AQ942" s="22"/>
      <c r="AR942" s="22"/>
      <c r="AS942" s="22"/>
      <c r="AT942" s="22"/>
      <c r="AU942" s="22"/>
      <c r="AV942" s="22"/>
      <c r="AW942" s="22"/>
      <c r="AX942" s="22"/>
    </row>
    <row r="943" spans="1:50" x14ac:dyDescent="0.3">
      <c r="A943" s="6"/>
      <c r="B943" s="19"/>
      <c r="C943" s="6"/>
      <c r="D943" s="5"/>
      <c r="E943" s="6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2"/>
      <c r="AA943" s="22"/>
      <c r="AB943" s="22"/>
      <c r="AC943" s="22"/>
      <c r="AD943" s="22"/>
      <c r="AE943" s="22"/>
      <c r="AF943" s="22"/>
      <c r="AG943" s="22"/>
      <c r="AH943" s="22"/>
      <c r="AI943" s="22"/>
      <c r="AJ943" s="22"/>
      <c r="AK943" s="22"/>
      <c r="AL943" s="22"/>
      <c r="AM943" s="22"/>
      <c r="AN943" s="22"/>
      <c r="AO943" s="22"/>
      <c r="AP943" s="22"/>
      <c r="AQ943" s="22"/>
      <c r="AR943" s="22"/>
      <c r="AS943" s="22"/>
      <c r="AT943" s="22"/>
      <c r="AU943" s="22"/>
      <c r="AV943" s="22"/>
      <c r="AW943" s="22"/>
      <c r="AX943" s="22"/>
    </row>
    <row r="944" spans="1:50" x14ac:dyDescent="0.3">
      <c r="A944" s="6"/>
      <c r="B944" s="19"/>
      <c r="C944" s="6"/>
      <c r="D944" s="5"/>
      <c r="E944" s="6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2"/>
      <c r="Y944" s="22"/>
      <c r="Z944" s="22"/>
      <c r="AA944" s="22"/>
      <c r="AB944" s="22"/>
      <c r="AC944" s="22"/>
      <c r="AD944" s="22"/>
      <c r="AE944" s="22"/>
      <c r="AF944" s="22"/>
      <c r="AG944" s="22"/>
      <c r="AH944" s="22"/>
      <c r="AI944" s="22"/>
      <c r="AJ944" s="22"/>
      <c r="AK944" s="22"/>
      <c r="AL944" s="22"/>
      <c r="AM944" s="22"/>
      <c r="AN944" s="22"/>
      <c r="AO944" s="22"/>
      <c r="AP944" s="22"/>
      <c r="AQ944" s="22"/>
      <c r="AR944" s="22"/>
      <c r="AS944" s="22"/>
      <c r="AT944" s="22"/>
      <c r="AU944" s="22"/>
      <c r="AV944" s="22"/>
      <c r="AW944" s="22"/>
      <c r="AX944" s="22"/>
    </row>
    <row r="945" spans="1:50" x14ac:dyDescent="0.3">
      <c r="A945" s="6"/>
      <c r="B945" s="19"/>
      <c r="C945" s="6"/>
      <c r="D945" s="5"/>
      <c r="E945" s="6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2"/>
      <c r="AA945" s="22"/>
      <c r="AB945" s="22"/>
      <c r="AC945" s="22"/>
      <c r="AD945" s="22"/>
      <c r="AE945" s="22"/>
      <c r="AF945" s="22"/>
      <c r="AG945" s="22"/>
      <c r="AH945" s="22"/>
      <c r="AI945" s="22"/>
      <c r="AJ945" s="22"/>
      <c r="AK945" s="22"/>
      <c r="AL945" s="22"/>
      <c r="AM945" s="22"/>
      <c r="AN945" s="22"/>
      <c r="AO945" s="22"/>
      <c r="AP945" s="22"/>
      <c r="AQ945" s="22"/>
      <c r="AR945" s="22"/>
      <c r="AS945" s="22"/>
      <c r="AT945" s="22"/>
      <c r="AU945" s="22"/>
      <c r="AV945" s="22"/>
      <c r="AW945" s="22"/>
      <c r="AX945" s="22"/>
    </row>
    <row r="946" spans="1:50" x14ac:dyDescent="0.3">
      <c r="A946" s="6"/>
      <c r="B946" s="19"/>
      <c r="C946" s="6"/>
      <c r="D946" s="5"/>
      <c r="E946" s="6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2"/>
      <c r="Y946" s="22"/>
      <c r="Z946" s="22"/>
      <c r="AA946" s="22"/>
      <c r="AB946" s="22"/>
      <c r="AC946" s="22"/>
      <c r="AD946" s="22"/>
      <c r="AE946" s="22"/>
      <c r="AF946" s="22"/>
      <c r="AG946" s="22"/>
      <c r="AH946" s="22"/>
      <c r="AI946" s="22"/>
      <c r="AJ946" s="22"/>
      <c r="AK946" s="22"/>
      <c r="AL946" s="22"/>
      <c r="AM946" s="22"/>
      <c r="AN946" s="22"/>
      <c r="AO946" s="22"/>
      <c r="AP946" s="22"/>
      <c r="AQ946" s="22"/>
      <c r="AR946" s="22"/>
      <c r="AS946" s="22"/>
      <c r="AT946" s="22"/>
      <c r="AU946" s="22"/>
      <c r="AV946" s="22"/>
      <c r="AW946" s="22"/>
      <c r="AX946" s="22"/>
    </row>
    <row r="947" spans="1:50" x14ac:dyDescent="0.3">
      <c r="A947" s="6"/>
      <c r="B947" s="19"/>
      <c r="C947" s="6"/>
      <c r="D947" s="5"/>
      <c r="E947" s="6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2"/>
      <c r="AA947" s="22"/>
      <c r="AB947" s="22"/>
      <c r="AC947" s="22"/>
      <c r="AD947" s="22"/>
      <c r="AE947" s="22"/>
      <c r="AF947" s="22"/>
      <c r="AG947" s="22"/>
      <c r="AH947" s="22"/>
      <c r="AI947" s="22"/>
      <c r="AJ947" s="22"/>
      <c r="AK947" s="22"/>
      <c r="AL947" s="22"/>
      <c r="AM947" s="22"/>
      <c r="AN947" s="22"/>
      <c r="AO947" s="22"/>
      <c r="AP947" s="22"/>
      <c r="AQ947" s="22"/>
      <c r="AR947" s="22"/>
      <c r="AS947" s="22"/>
      <c r="AT947" s="22"/>
      <c r="AU947" s="22"/>
      <c r="AV947" s="22"/>
      <c r="AW947" s="22"/>
      <c r="AX947" s="22"/>
    </row>
    <row r="948" spans="1:50" x14ac:dyDescent="0.3">
      <c r="A948" s="6"/>
      <c r="B948" s="19"/>
      <c r="C948" s="6"/>
      <c r="D948" s="5"/>
      <c r="E948" s="6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2"/>
      <c r="Y948" s="22"/>
      <c r="Z948" s="22"/>
      <c r="AA948" s="22"/>
      <c r="AB948" s="22"/>
      <c r="AC948" s="22"/>
      <c r="AD948" s="22"/>
      <c r="AE948" s="22"/>
      <c r="AF948" s="22"/>
      <c r="AG948" s="22"/>
      <c r="AH948" s="22"/>
      <c r="AI948" s="22"/>
      <c r="AJ948" s="22"/>
      <c r="AK948" s="22"/>
      <c r="AL948" s="22"/>
      <c r="AM948" s="22"/>
      <c r="AN948" s="22"/>
      <c r="AO948" s="22"/>
      <c r="AP948" s="22"/>
      <c r="AQ948" s="22"/>
      <c r="AR948" s="22"/>
      <c r="AS948" s="22"/>
      <c r="AT948" s="22"/>
      <c r="AU948" s="22"/>
      <c r="AV948" s="22"/>
      <c r="AW948" s="22"/>
      <c r="AX948" s="22"/>
    </row>
    <row r="949" spans="1:50" x14ac:dyDescent="0.3">
      <c r="A949" s="6"/>
      <c r="B949" s="19"/>
      <c r="C949" s="6"/>
      <c r="D949" s="5"/>
      <c r="E949" s="6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2"/>
      <c r="AA949" s="22"/>
      <c r="AB949" s="22"/>
      <c r="AC949" s="22"/>
      <c r="AD949" s="22"/>
      <c r="AE949" s="22"/>
      <c r="AF949" s="22"/>
      <c r="AG949" s="22"/>
      <c r="AH949" s="22"/>
      <c r="AI949" s="22"/>
      <c r="AJ949" s="22"/>
      <c r="AK949" s="22"/>
      <c r="AL949" s="22"/>
      <c r="AM949" s="22"/>
      <c r="AN949" s="22"/>
      <c r="AO949" s="22"/>
      <c r="AP949" s="22"/>
      <c r="AQ949" s="22"/>
      <c r="AR949" s="22"/>
      <c r="AS949" s="22"/>
      <c r="AT949" s="22"/>
      <c r="AU949" s="22"/>
      <c r="AV949" s="22"/>
      <c r="AW949" s="22"/>
      <c r="AX949" s="22"/>
    </row>
    <row r="950" spans="1:50" x14ac:dyDescent="0.3">
      <c r="A950" s="6"/>
      <c r="B950" s="19"/>
      <c r="C950" s="6"/>
      <c r="D950" s="5"/>
      <c r="E950" s="6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2"/>
      <c r="Y950" s="22"/>
      <c r="Z950" s="22"/>
      <c r="AA950" s="22"/>
      <c r="AB950" s="22"/>
      <c r="AC950" s="22"/>
      <c r="AD950" s="22"/>
      <c r="AE950" s="22"/>
      <c r="AF950" s="22"/>
      <c r="AG950" s="22"/>
      <c r="AH950" s="22"/>
      <c r="AI950" s="22"/>
      <c r="AJ950" s="22"/>
      <c r="AK950" s="22"/>
      <c r="AL950" s="22"/>
      <c r="AM950" s="22"/>
      <c r="AN950" s="22"/>
      <c r="AO950" s="22"/>
      <c r="AP950" s="22"/>
      <c r="AQ950" s="22"/>
      <c r="AR950" s="22"/>
      <c r="AS950" s="22"/>
      <c r="AT950" s="22"/>
      <c r="AU950" s="22"/>
      <c r="AV950" s="22"/>
      <c r="AW950" s="22"/>
      <c r="AX950" s="22"/>
    </row>
    <row r="951" spans="1:50" x14ac:dyDescent="0.3">
      <c r="A951" s="6"/>
      <c r="B951" s="19"/>
      <c r="C951" s="6"/>
      <c r="D951" s="5"/>
      <c r="E951" s="6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  <c r="AA951" s="22"/>
      <c r="AB951" s="22"/>
      <c r="AC951" s="22"/>
      <c r="AD951" s="22"/>
      <c r="AE951" s="22"/>
      <c r="AF951" s="22"/>
      <c r="AG951" s="22"/>
      <c r="AH951" s="22"/>
      <c r="AI951" s="22"/>
      <c r="AJ951" s="22"/>
      <c r="AK951" s="22"/>
      <c r="AL951" s="22"/>
      <c r="AM951" s="22"/>
      <c r="AN951" s="22"/>
      <c r="AO951" s="22"/>
      <c r="AP951" s="22"/>
      <c r="AQ951" s="22"/>
      <c r="AR951" s="22"/>
      <c r="AS951" s="22"/>
      <c r="AT951" s="22"/>
      <c r="AU951" s="22"/>
      <c r="AV951" s="22"/>
      <c r="AW951" s="22"/>
      <c r="AX951" s="22"/>
    </row>
    <row r="952" spans="1:50" x14ac:dyDescent="0.3">
      <c r="A952" s="6"/>
      <c r="B952" s="19"/>
      <c r="C952" s="6"/>
      <c r="D952" s="5"/>
      <c r="E952" s="6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2"/>
      <c r="AA952" s="22"/>
      <c r="AB952" s="22"/>
      <c r="AC952" s="22"/>
      <c r="AD952" s="22"/>
      <c r="AE952" s="22"/>
      <c r="AF952" s="22"/>
      <c r="AG952" s="22"/>
      <c r="AH952" s="22"/>
      <c r="AI952" s="22"/>
      <c r="AJ952" s="22"/>
      <c r="AK952" s="22"/>
      <c r="AL952" s="22"/>
      <c r="AM952" s="22"/>
      <c r="AN952" s="22"/>
      <c r="AO952" s="22"/>
      <c r="AP952" s="22"/>
      <c r="AQ952" s="22"/>
      <c r="AR952" s="22"/>
      <c r="AS952" s="22"/>
      <c r="AT952" s="22"/>
      <c r="AU952" s="22"/>
      <c r="AV952" s="22"/>
      <c r="AW952" s="22"/>
      <c r="AX952" s="22"/>
    </row>
    <row r="953" spans="1:50" x14ac:dyDescent="0.3">
      <c r="A953" s="6"/>
      <c r="B953" s="19"/>
      <c r="C953" s="6"/>
      <c r="D953" s="5"/>
      <c r="E953" s="6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2"/>
      <c r="AA953" s="22"/>
      <c r="AB953" s="22"/>
      <c r="AC953" s="22"/>
      <c r="AD953" s="22"/>
      <c r="AE953" s="22"/>
      <c r="AF953" s="22"/>
      <c r="AG953" s="22"/>
      <c r="AH953" s="22"/>
      <c r="AI953" s="22"/>
      <c r="AJ953" s="22"/>
      <c r="AK953" s="22"/>
      <c r="AL953" s="22"/>
      <c r="AM953" s="22"/>
      <c r="AN953" s="22"/>
      <c r="AO953" s="22"/>
      <c r="AP953" s="22"/>
      <c r="AQ953" s="22"/>
      <c r="AR953" s="22"/>
      <c r="AS953" s="22"/>
      <c r="AT953" s="22"/>
      <c r="AU953" s="22"/>
      <c r="AV953" s="22"/>
      <c r="AW953" s="22"/>
      <c r="AX953" s="22"/>
    </row>
    <row r="954" spans="1:50" x14ac:dyDescent="0.3">
      <c r="A954" s="6"/>
      <c r="B954" s="19"/>
      <c r="C954" s="6"/>
      <c r="D954" s="5"/>
      <c r="E954" s="6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2"/>
      <c r="Y954" s="22"/>
      <c r="Z954" s="22"/>
      <c r="AA954" s="22"/>
      <c r="AB954" s="22"/>
      <c r="AC954" s="22"/>
      <c r="AD954" s="22"/>
      <c r="AE954" s="22"/>
      <c r="AF954" s="22"/>
      <c r="AG954" s="22"/>
      <c r="AH954" s="22"/>
      <c r="AI954" s="22"/>
      <c r="AJ954" s="22"/>
      <c r="AK954" s="22"/>
      <c r="AL954" s="22"/>
      <c r="AM954" s="22"/>
      <c r="AN954" s="22"/>
      <c r="AO954" s="22"/>
      <c r="AP954" s="22"/>
      <c r="AQ954" s="22"/>
      <c r="AR954" s="22"/>
      <c r="AS954" s="22"/>
      <c r="AT954" s="22"/>
      <c r="AU954" s="22"/>
      <c r="AV954" s="22"/>
      <c r="AW954" s="22"/>
      <c r="AX954" s="22"/>
    </row>
    <row r="955" spans="1:50" x14ac:dyDescent="0.3">
      <c r="A955" s="6"/>
      <c r="B955" s="19"/>
      <c r="C955" s="6"/>
      <c r="D955" s="5"/>
      <c r="E955" s="6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2"/>
      <c r="AA955" s="22"/>
      <c r="AB955" s="22"/>
      <c r="AC955" s="22"/>
      <c r="AD955" s="22"/>
      <c r="AE955" s="22"/>
      <c r="AF955" s="22"/>
      <c r="AG955" s="22"/>
      <c r="AH955" s="22"/>
      <c r="AI955" s="22"/>
      <c r="AJ955" s="22"/>
      <c r="AK955" s="22"/>
      <c r="AL955" s="22"/>
      <c r="AM955" s="22"/>
      <c r="AN955" s="22"/>
      <c r="AO955" s="22"/>
      <c r="AP955" s="22"/>
      <c r="AQ955" s="22"/>
      <c r="AR955" s="22"/>
      <c r="AS955" s="22"/>
      <c r="AT955" s="22"/>
      <c r="AU955" s="22"/>
      <c r="AV955" s="22"/>
      <c r="AW955" s="22"/>
      <c r="AX955" s="22"/>
    </row>
    <row r="956" spans="1:50" x14ac:dyDescent="0.3">
      <c r="A956" s="6"/>
      <c r="B956" s="19"/>
      <c r="C956" s="6"/>
      <c r="D956" s="5"/>
      <c r="E956" s="6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2"/>
      <c r="Y956" s="22"/>
      <c r="Z956" s="22"/>
      <c r="AA956" s="22"/>
      <c r="AB956" s="22"/>
      <c r="AC956" s="22"/>
      <c r="AD956" s="22"/>
      <c r="AE956" s="22"/>
      <c r="AF956" s="22"/>
      <c r="AG956" s="22"/>
      <c r="AH956" s="22"/>
      <c r="AI956" s="22"/>
      <c r="AJ956" s="22"/>
      <c r="AK956" s="22"/>
      <c r="AL956" s="22"/>
      <c r="AM956" s="22"/>
      <c r="AN956" s="22"/>
      <c r="AO956" s="22"/>
      <c r="AP956" s="22"/>
      <c r="AQ956" s="22"/>
      <c r="AR956" s="22"/>
      <c r="AS956" s="22"/>
      <c r="AT956" s="22"/>
      <c r="AU956" s="22"/>
      <c r="AV956" s="22"/>
      <c r="AW956" s="22"/>
      <c r="AX956" s="22"/>
    </row>
    <row r="957" spans="1:50" x14ac:dyDescent="0.3">
      <c r="A957" s="6"/>
      <c r="B957" s="19"/>
      <c r="C957" s="6"/>
      <c r="D957" s="5"/>
      <c r="E957" s="6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2"/>
      <c r="AA957" s="22"/>
      <c r="AB957" s="22"/>
      <c r="AC957" s="22"/>
      <c r="AD957" s="22"/>
      <c r="AE957" s="22"/>
      <c r="AF957" s="22"/>
      <c r="AG957" s="22"/>
      <c r="AH957" s="22"/>
      <c r="AI957" s="22"/>
      <c r="AJ957" s="22"/>
      <c r="AK957" s="22"/>
      <c r="AL957" s="22"/>
      <c r="AM957" s="22"/>
      <c r="AN957" s="22"/>
      <c r="AO957" s="22"/>
      <c r="AP957" s="22"/>
      <c r="AQ957" s="22"/>
      <c r="AR957" s="22"/>
      <c r="AS957" s="22"/>
      <c r="AT957" s="22"/>
      <c r="AU957" s="22"/>
      <c r="AV957" s="22"/>
      <c r="AW957" s="22"/>
      <c r="AX957" s="22"/>
    </row>
    <row r="958" spans="1:50" x14ac:dyDescent="0.3">
      <c r="A958" s="6"/>
      <c r="B958" s="19"/>
      <c r="C958" s="6"/>
      <c r="D958" s="5"/>
      <c r="E958" s="6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2"/>
      <c r="Y958" s="22"/>
      <c r="Z958" s="22"/>
      <c r="AA958" s="22"/>
      <c r="AB958" s="22"/>
      <c r="AC958" s="22"/>
      <c r="AD958" s="22"/>
      <c r="AE958" s="22"/>
      <c r="AF958" s="22"/>
      <c r="AG958" s="22"/>
      <c r="AH958" s="22"/>
      <c r="AI958" s="22"/>
      <c r="AJ958" s="22"/>
      <c r="AK958" s="22"/>
      <c r="AL958" s="22"/>
      <c r="AM958" s="22"/>
      <c r="AN958" s="22"/>
      <c r="AO958" s="22"/>
      <c r="AP958" s="22"/>
      <c r="AQ958" s="22"/>
      <c r="AR958" s="22"/>
      <c r="AS958" s="22"/>
      <c r="AT958" s="22"/>
      <c r="AU958" s="22"/>
      <c r="AV958" s="22"/>
      <c r="AW958" s="22"/>
      <c r="AX958" s="22"/>
    </row>
    <row r="959" spans="1:50" x14ac:dyDescent="0.3">
      <c r="A959" s="6"/>
      <c r="B959" s="19"/>
      <c r="C959" s="6"/>
      <c r="D959" s="5"/>
      <c r="E959" s="6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2"/>
      <c r="AA959" s="22"/>
      <c r="AB959" s="22"/>
      <c r="AC959" s="22"/>
      <c r="AD959" s="22"/>
      <c r="AE959" s="22"/>
      <c r="AF959" s="22"/>
      <c r="AG959" s="22"/>
      <c r="AH959" s="22"/>
      <c r="AI959" s="22"/>
      <c r="AJ959" s="22"/>
      <c r="AK959" s="22"/>
      <c r="AL959" s="22"/>
      <c r="AM959" s="22"/>
      <c r="AN959" s="22"/>
      <c r="AO959" s="22"/>
      <c r="AP959" s="22"/>
      <c r="AQ959" s="22"/>
      <c r="AR959" s="22"/>
      <c r="AS959" s="22"/>
      <c r="AT959" s="22"/>
      <c r="AU959" s="22"/>
      <c r="AV959" s="22"/>
      <c r="AW959" s="22"/>
      <c r="AX959" s="22"/>
    </row>
    <row r="960" spans="1:50" x14ac:dyDescent="0.3">
      <c r="A960" s="6"/>
      <c r="B960" s="19"/>
      <c r="C960" s="6"/>
      <c r="D960" s="5"/>
      <c r="E960" s="6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2"/>
      <c r="Y960" s="22"/>
      <c r="Z960" s="22"/>
      <c r="AA960" s="22"/>
      <c r="AB960" s="22"/>
      <c r="AC960" s="22"/>
      <c r="AD960" s="22"/>
      <c r="AE960" s="22"/>
      <c r="AF960" s="22"/>
      <c r="AG960" s="22"/>
      <c r="AH960" s="22"/>
      <c r="AI960" s="22"/>
      <c r="AJ960" s="22"/>
      <c r="AK960" s="22"/>
      <c r="AL960" s="22"/>
      <c r="AM960" s="22"/>
      <c r="AN960" s="22"/>
      <c r="AO960" s="22"/>
      <c r="AP960" s="22"/>
      <c r="AQ960" s="22"/>
      <c r="AR960" s="22"/>
      <c r="AS960" s="22"/>
      <c r="AT960" s="22"/>
      <c r="AU960" s="22"/>
      <c r="AV960" s="22"/>
      <c r="AW960" s="22"/>
      <c r="AX960" s="22"/>
    </row>
    <row r="961" spans="1:50" x14ac:dyDescent="0.3">
      <c r="A961" s="6"/>
      <c r="B961" s="19"/>
      <c r="C961" s="6"/>
      <c r="D961" s="5"/>
      <c r="E961" s="6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2"/>
      <c r="AA961" s="22"/>
      <c r="AB961" s="22"/>
      <c r="AC961" s="22"/>
      <c r="AD961" s="22"/>
      <c r="AE961" s="22"/>
      <c r="AF961" s="22"/>
      <c r="AG961" s="22"/>
      <c r="AH961" s="22"/>
      <c r="AI961" s="22"/>
      <c r="AJ961" s="22"/>
      <c r="AK961" s="22"/>
      <c r="AL961" s="22"/>
      <c r="AM961" s="22"/>
      <c r="AN961" s="22"/>
      <c r="AO961" s="22"/>
      <c r="AP961" s="22"/>
      <c r="AQ961" s="22"/>
      <c r="AR961" s="22"/>
      <c r="AS961" s="22"/>
      <c r="AT961" s="22"/>
      <c r="AU961" s="22"/>
      <c r="AV961" s="22"/>
      <c r="AW961" s="22"/>
      <c r="AX961" s="22"/>
    </row>
    <row r="962" spans="1:50" x14ac:dyDescent="0.3">
      <c r="A962" s="6"/>
      <c r="B962" s="19"/>
      <c r="C962" s="6"/>
      <c r="D962" s="5"/>
      <c r="E962" s="6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2"/>
      <c r="Y962" s="22"/>
      <c r="Z962" s="22"/>
      <c r="AA962" s="22"/>
      <c r="AB962" s="22"/>
      <c r="AC962" s="22"/>
      <c r="AD962" s="22"/>
      <c r="AE962" s="22"/>
      <c r="AF962" s="22"/>
      <c r="AG962" s="22"/>
      <c r="AH962" s="22"/>
      <c r="AI962" s="22"/>
      <c r="AJ962" s="22"/>
      <c r="AK962" s="22"/>
      <c r="AL962" s="22"/>
      <c r="AM962" s="22"/>
      <c r="AN962" s="22"/>
      <c r="AO962" s="22"/>
      <c r="AP962" s="22"/>
      <c r="AQ962" s="22"/>
      <c r="AR962" s="22"/>
      <c r="AS962" s="22"/>
      <c r="AT962" s="22"/>
      <c r="AU962" s="22"/>
      <c r="AV962" s="22"/>
      <c r="AW962" s="22"/>
      <c r="AX962" s="22"/>
    </row>
    <row r="963" spans="1:50" x14ac:dyDescent="0.3">
      <c r="A963" s="6"/>
      <c r="B963" s="19"/>
      <c r="C963" s="6"/>
      <c r="D963" s="5"/>
      <c r="E963" s="6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2"/>
      <c r="AA963" s="22"/>
      <c r="AB963" s="22"/>
      <c r="AC963" s="22"/>
      <c r="AD963" s="22"/>
      <c r="AE963" s="22"/>
      <c r="AF963" s="22"/>
      <c r="AG963" s="22"/>
      <c r="AH963" s="22"/>
      <c r="AI963" s="22"/>
      <c r="AJ963" s="22"/>
      <c r="AK963" s="22"/>
      <c r="AL963" s="22"/>
      <c r="AM963" s="22"/>
      <c r="AN963" s="22"/>
      <c r="AO963" s="22"/>
      <c r="AP963" s="22"/>
      <c r="AQ963" s="22"/>
      <c r="AR963" s="22"/>
      <c r="AS963" s="22"/>
      <c r="AT963" s="22"/>
      <c r="AU963" s="22"/>
      <c r="AV963" s="22"/>
      <c r="AW963" s="22"/>
      <c r="AX963" s="22"/>
    </row>
    <row r="964" spans="1:50" x14ac:dyDescent="0.3">
      <c r="A964" s="6"/>
      <c r="B964" s="19"/>
      <c r="C964" s="6"/>
      <c r="D964" s="5"/>
      <c r="E964" s="6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2"/>
      <c r="Y964" s="22"/>
      <c r="Z964" s="22"/>
      <c r="AA964" s="22"/>
      <c r="AB964" s="22"/>
      <c r="AC964" s="22"/>
      <c r="AD964" s="22"/>
      <c r="AE964" s="22"/>
      <c r="AF964" s="22"/>
      <c r="AG964" s="22"/>
      <c r="AH964" s="22"/>
      <c r="AI964" s="22"/>
      <c r="AJ964" s="22"/>
      <c r="AK964" s="22"/>
      <c r="AL964" s="22"/>
      <c r="AM964" s="22"/>
      <c r="AN964" s="22"/>
      <c r="AO964" s="22"/>
      <c r="AP964" s="22"/>
      <c r="AQ964" s="22"/>
      <c r="AR964" s="22"/>
      <c r="AS964" s="22"/>
      <c r="AT964" s="22"/>
      <c r="AU964" s="22"/>
      <c r="AV964" s="22"/>
      <c r="AW964" s="22"/>
      <c r="AX964" s="22"/>
    </row>
    <row r="965" spans="1:50" x14ac:dyDescent="0.3">
      <c r="A965" s="6"/>
      <c r="B965" s="19"/>
      <c r="C965" s="6"/>
      <c r="D965" s="5"/>
      <c r="E965" s="6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2"/>
      <c r="AA965" s="22"/>
      <c r="AB965" s="22"/>
      <c r="AC965" s="22"/>
      <c r="AD965" s="22"/>
      <c r="AE965" s="22"/>
      <c r="AF965" s="22"/>
      <c r="AG965" s="22"/>
      <c r="AH965" s="22"/>
      <c r="AI965" s="22"/>
      <c r="AJ965" s="22"/>
      <c r="AK965" s="22"/>
      <c r="AL965" s="22"/>
      <c r="AM965" s="22"/>
      <c r="AN965" s="22"/>
      <c r="AO965" s="22"/>
      <c r="AP965" s="22"/>
      <c r="AQ965" s="22"/>
      <c r="AR965" s="22"/>
      <c r="AS965" s="22"/>
      <c r="AT965" s="22"/>
      <c r="AU965" s="22"/>
      <c r="AV965" s="22"/>
      <c r="AW965" s="22"/>
      <c r="AX965" s="22"/>
    </row>
    <row r="966" spans="1:50" x14ac:dyDescent="0.3">
      <c r="A966" s="6"/>
      <c r="B966" s="19"/>
      <c r="C966" s="6"/>
      <c r="D966" s="5"/>
      <c r="E966" s="6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2"/>
      <c r="Y966" s="22"/>
      <c r="Z966" s="22"/>
      <c r="AA966" s="22"/>
      <c r="AB966" s="22"/>
      <c r="AC966" s="22"/>
      <c r="AD966" s="22"/>
      <c r="AE966" s="22"/>
      <c r="AF966" s="22"/>
      <c r="AG966" s="22"/>
      <c r="AH966" s="22"/>
      <c r="AI966" s="22"/>
      <c r="AJ966" s="22"/>
      <c r="AK966" s="22"/>
      <c r="AL966" s="22"/>
      <c r="AM966" s="22"/>
      <c r="AN966" s="22"/>
      <c r="AO966" s="22"/>
      <c r="AP966" s="22"/>
      <c r="AQ966" s="22"/>
      <c r="AR966" s="22"/>
      <c r="AS966" s="22"/>
      <c r="AT966" s="22"/>
      <c r="AU966" s="22"/>
      <c r="AV966" s="22"/>
      <c r="AW966" s="22"/>
      <c r="AX966" s="22"/>
    </row>
    <row r="967" spans="1:50" x14ac:dyDescent="0.3">
      <c r="A967" s="6"/>
      <c r="B967" s="19"/>
      <c r="C967" s="6"/>
      <c r="D967" s="5"/>
      <c r="E967" s="6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2"/>
      <c r="AA967" s="22"/>
      <c r="AB967" s="22"/>
      <c r="AC967" s="22"/>
      <c r="AD967" s="22"/>
      <c r="AE967" s="22"/>
      <c r="AF967" s="22"/>
      <c r="AG967" s="22"/>
      <c r="AH967" s="22"/>
      <c r="AI967" s="22"/>
      <c r="AJ967" s="22"/>
      <c r="AK967" s="22"/>
      <c r="AL967" s="22"/>
      <c r="AM967" s="22"/>
      <c r="AN967" s="22"/>
      <c r="AO967" s="22"/>
      <c r="AP967" s="22"/>
      <c r="AQ967" s="22"/>
      <c r="AR967" s="22"/>
      <c r="AS967" s="22"/>
      <c r="AT967" s="22"/>
      <c r="AU967" s="22"/>
      <c r="AV967" s="22"/>
      <c r="AW967" s="22"/>
      <c r="AX967" s="22"/>
    </row>
    <row r="968" spans="1:50" x14ac:dyDescent="0.3">
      <c r="A968" s="6"/>
      <c r="B968" s="19"/>
      <c r="C968" s="6"/>
      <c r="D968" s="5"/>
      <c r="E968" s="6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2"/>
      <c r="Y968" s="22"/>
      <c r="Z968" s="22"/>
      <c r="AA968" s="22"/>
      <c r="AB968" s="22"/>
      <c r="AC968" s="22"/>
      <c r="AD968" s="22"/>
      <c r="AE968" s="22"/>
      <c r="AF968" s="22"/>
      <c r="AG968" s="22"/>
      <c r="AH968" s="22"/>
      <c r="AI968" s="22"/>
      <c r="AJ968" s="22"/>
      <c r="AK968" s="22"/>
      <c r="AL968" s="22"/>
      <c r="AM968" s="22"/>
      <c r="AN968" s="22"/>
      <c r="AO968" s="22"/>
      <c r="AP968" s="22"/>
      <c r="AQ968" s="22"/>
      <c r="AR968" s="22"/>
      <c r="AS968" s="22"/>
      <c r="AT968" s="22"/>
      <c r="AU968" s="22"/>
      <c r="AV968" s="22"/>
      <c r="AW968" s="22"/>
      <c r="AX968" s="22"/>
    </row>
    <row r="969" spans="1:50" x14ac:dyDescent="0.3">
      <c r="A969" s="6"/>
      <c r="B969" s="19"/>
      <c r="C969" s="6"/>
      <c r="D969" s="5"/>
      <c r="E969" s="6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2"/>
      <c r="AA969" s="22"/>
      <c r="AB969" s="22"/>
      <c r="AC969" s="22"/>
      <c r="AD969" s="22"/>
      <c r="AE969" s="22"/>
      <c r="AF969" s="22"/>
      <c r="AG969" s="22"/>
      <c r="AH969" s="22"/>
      <c r="AI969" s="22"/>
      <c r="AJ969" s="22"/>
      <c r="AK969" s="22"/>
      <c r="AL969" s="22"/>
      <c r="AM969" s="22"/>
      <c r="AN969" s="22"/>
      <c r="AO969" s="22"/>
      <c r="AP969" s="22"/>
      <c r="AQ969" s="22"/>
      <c r="AR969" s="22"/>
      <c r="AS969" s="22"/>
      <c r="AT969" s="22"/>
      <c r="AU969" s="22"/>
      <c r="AV969" s="22"/>
      <c r="AW969" s="22"/>
      <c r="AX969" s="22"/>
    </row>
    <row r="970" spans="1:50" x14ac:dyDescent="0.3">
      <c r="A970" s="6"/>
      <c r="B970" s="19"/>
      <c r="C970" s="6"/>
      <c r="D970" s="5"/>
      <c r="E970" s="6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2"/>
      <c r="Y970" s="22"/>
      <c r="Z970" s="22"/>
      <c r="AA970" s="22"/>
      <c r="AB970" s="22"/>
      <c r="AC970" s="22"/>
      <c r="AD970" s="22"/>
      <c r="AE970" s="22"/>
      <c r="AF970" s="22"/>
      <c r="AG970" s="22"/>
      <c r="AH970" s="22"/>
      <c r="AI970" s="22"/>
      <c r="AJ970" s="22"/>
      <c r="AK970" s="22"/>
      <c r="AL970" s="22"/>
      <c r="AM970" s="22"/>
      <c r="AN970" s="22"/>
      <c r="AO970" s="22"/>
      <c r="AP970" s="22"/>
      <c r="AQ970" s="22"/>
      <c r="AR970" s="22"/>
      <c r="AS970" s="22"/>
      <c r="AT970" s="22"/>
      <c r="AU970" s="22"/>
      <c r="AV970" s="22"/>
      <c r="AW970" s="22"/>
      <c r="AX970" s="22"/>
    </row>
    <row r="971" spans="1:50" x14ac:dyDescent="0.3">
      <c r="A971" s="6"/>
      <c r="B971" s="19"/>
      <c r="C971" s="6"/>
      <c r="D971" s="5"/>
      <c r="E971" s="6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2"/>
      <c r="AA971" s="22"/>
      <c r="AB971" s="22"/>
      <c r="AC971" s="22"/>
      <c r="AD971" s="22"/>
      <c r="AE971" s="22"/>
      <c r="AF971" s="22"/>
      <c r="AG971" s="22"/>
      <c r="AH971" s="22"/>
      <c r="AI971" s="22"/>
      <c r="AJ971" s="22"/>
      <c r="AK971" s="22"/>
      <c r="AL971" s="22"/>
      <c r="AM971" s="22"/>
      <c r="AN971" s="22"/>
      <c r="AO971" s="22"/>
      <c r="AP971" s="22"/>
      <c r="AQ971" s="22"/>
      <c r="AR971" s="22"/>
      <c r="AS971" s="22"/>
      <c r="AT971" s="22"/>
      <c r="AU971" s="22"/>
      <c r="AV971" s="22"/>
      <c r="AW971" s="22"/>
      <c r="AX971" s="22"/>
    </row>
    <row r="972" spans="1:50" x14ac:dyDescent="0.3">
      <c r="A972" s="6"/>
      <c r="B972" s="19"/>
      <c r="C972" s="6"/>
      <c r="D972" s="5"/>
      <c r="E972" s="6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2"/>
      <c r="Y972" s="22"/>
      <c r="Z972" s="22"/>
      <c r="AA972" s="22"/>
      <c r="AB972" s="22"/>
      <c r="AC972" s="22"/>
      <c r="AD972" s="22"/>
      <c r="AE972" s="22"/>
      <c r="AF972" s="22"/>
      <c r="AG972" s="22"/>
      <c r="AH972" s="22"/>
      <c r="AI972" s="22"/>
      <c r="AJ972" s="22"/>
      <c r="AK972" s="22"/>
      <c r="AL972" s="22"/>
      <c r="AM972" s="22"/>
      <c r="AN972" s="22"/>
      <c r="AO972" s="22"/>
      <c r="AP972" s="22"/>
      <c r="AQ972" s="22"/>
      <c r="AR972" s="22"/>
      <c r="AS972" s="22"/>
      <c r="AT972" s="22"/>
      <c r="AU972" s="22"/>
      <c r="AV972" s="22"/>
      <c r="AW972" s="22"/>
      <c r="AX972" s="22"/>
    </row>
    <row r="973" spans="1:50" x14ac:dyDescent="0.3">
      <c r="A973" s="6"/>
      <c r="B973" s="19"/>
      <c r="C973" s="6"/>
      <c r="D973" s="5"/>
      <c r="E973" s="6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2"/>
      <c r="AA973" s="22"/>
      <c r="AB973" s="22"/>
      <c r="AC973" s="22"/>
      <c r="AD973" s="22"/>
      <c r="AE973" s="22"/>
      <c r="AF973" s="22"/>
      <c r="AG973" s="22"/>
      <c r="AH973" s="22"/>
      <c r="AI973" s="22"/>
      <c r="AJ973" s="22"/>
      <c r="AK973" s="22"/>
      <c r="AL973" s="22"/>
      <c r="AM973" s="22"/>
      <c r="AN973" s="22"/>
      <c r="AO973" s="22"/>
      <c r="AP973" s="22"/>
      <c r="AQ973" s="22"/>
      <c r="AR973" s="22"/>
      <c r="AS973" s="22"/>
      <c r="AT973" s="22"/>
      <c r="AU973" s="22"/>
      <c r="AV973" s="22"/>
      <c r="AW973" s="22"/>
      <c r="AX973" s="22"/>
    </row>
    <row r="974" spans="1:50" x14ac:dyDescent="0.3">
      <c r="A974" s="6"/>
      <c r="B974" s="19"/>
      <c r="C974" s="6"/>
      <c r="D974" s="5"/>
      <c r="E974" s="6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2"/>
      <c r="Y974" s="22"/>
      <c r="Z974" s="22"/>
      <c r="AA974" s="22"/>
      <c r="AB974" s="22"/>
      <c r="AC974" s="22"/>
      <c r="AD974" s="22"/>
      <c r="AE974" s="22"/>
      <c r="AF974" s="22"/>
      <c r="AG974" s="22"/>
      <c r="AH974" s="22"/>
      <c r="AI974" s="22"/>
      <c r="AJ974" s="22"/>
      <c r="AK974" s="22"/>
      <c r="AL974" s="22"/>
      <c r="AM974" s="22"/>
      <c r="AN974" s="22"/>
      <c r="AO974" s="22"/>
      <c r="AP974" s="22"/>
      <c r="AQ974" s="22"/>
      <c r="AR974" s="22"/>
      <c r="AS974" s="22"/>
      <c r="AT974" s="22"/>
      <c r="AU974" s="22"/>
      <c r="AV974" s="22"/>
      <c r="AW974" s="22"/>
      <c r="AX974" s="22"/>
    </row>
    <row r="975" spans="1:50" x14ac:dyDescent="0.3">
      <c r="A975" s="6"/>
      <c r="B975" s="19"/>
      <c r="C975" s="6"/>
      <c r="D975" s="5"/>
      <c r="E975" s="6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2"/>
      <c r="AA975" s="22"/>
      <c r="AB975" s="22"/>
      <c r="AC975" s="22"/>
      <c r="AD975" s="22"/>
      <c r="AE975" s="22"/>
      <c r="AF975" s="22"/>
      <c r="AG975" s="22"/>
      <c r="AH975" s="22"/>
      <c r="AI975" s="22"/>
      <c r="AJ975" s="22"/>
      <c r="AK975" s="22"/>
      <c r="AL975" s="22"/>
      <c r="AM975" s="22"/>
      <c r="AN975" s="22"/>
      <c r="AO975" s="22"/>
      <c r="AP975" s="22"/>
      <c r="AQ975" s="22"/>
      <c r="AR975" s="22"/>
      <c r="AS975" s="22"/>
      <c r="AT975" s="22"/>
      <c r="AU975" s="22"/>
      <c r="AV975" s="22"/>
      <c r="AW975" s="22"/>
      <c r="AX975" s="22"/>
    </row>
    <row r="976" spans="1:50" x14ac:dyDescent="0.3">
      <c r="A976" s="6"/>
      <c r="B976" s="19"/>
      <c r="C976" s="6"/>
      <c r="D976" s="5"/>
      <c r="E976" s="6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2"/>
      <c r="Y976" s="22"/>
      <c r="Z976" s="22"/>
      <c r="AA976" s="22"/>
      <c r="AB976" s="22"/>
      <c r="AC976" s="22"/>
      <c r="AD976" s="22"/>
      <c r="AE976" s="22"/>
      <c r="AF976" s="22"/>
      <c r="AG976" s="22"/>
      <c r="AH976" s="22"/>
      <c r="AI976" s="22"/>
      <c r="AJ976" s="22"/>
      <c r="AK976" s="22"/>
      <c r="AL976" s="22"/>
      <c r="AM976" s="22"/>
      <c r="AN976" s="22"/>
      <c r="AO976" s="22"/>
      <c r="AP976" s="22"/>
      <c r="AQ976" s="22"/>
      <c r="AR976" s="22"/>
      <c r="AS976" s="22"/>
      <c r="AT976" s="22"/>
      <c r="AU976" s="22"/>
      <c r="AV976" s="22"/>
      <c r="AW976" s="22"/>
      <c r="AX976" s="22"/>
    </row>
    <row r="977" spans="1:50" x14ac:dyDescent="0.3">
      <c r="A977" s="6"/>
      <c r="B977" s="19"/>
      <c r="C977" s="6"/>
      <c r="D977" s="5"/>
      <c r="E977" s="6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2"/>
      <c r="AA977" s="22"/>
      <c r="AB977" s="22"/>
      <c r="AC977" s="22"/>
      <c r="AD977" s="22"/>
      <c r="AE977" s="22"/>
      <c r="AF977" s="22"/>
      <c r="AG977" s="22"/>
      <c r="AH977" s="22"/>
      <c r="AI977" s="22"/>
      <c r="AJ977" s="22"/>
      <c r="AK977" s="22"/>
      <c r="AL977" s="22"/>
      <c r="AM977" s="22"/>
      <c r="AN977" s="22"/>
      <c r="AO977" s="22"/>
      <c r="AP977" s="22"/>
      <c r="AQ977" s="22"/>
      <c r="AR977" s="22"/>
      <c r="AS977" s="22"/>
      <c r="AT977" s="22"/>
      <c r="AU977" s="22"/>
      <c r="AV977" s="22"/>
      <c r="AW977" s="22"/>
      <c r="AX977" s="22"/>
    </row>
    <row r="978" spans="1:50" x14ac:dyDescent="0.3">
      <c r="A978" s="6"/>
      <c r="B978" s="19"/>
      <c r="C978" s="6"/>
      <c r="D978" s="5"/>
      <c r="E978" s="6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2"/>
      <c r="Y978" s="22"/>
      <c r="Z978" s="22"/>
      <c r="AA978" s="22"/>
      <c r="AB978" s="22"/>
      <c r="AC978" s="22"/>
      <c r="AD978" s="22"/>
      <c r="AE978" s="22"/>
      <c r="AF978" s="22"/>
      <c r="AG978" s="22"/>
      <c r="AH978" s="22"/>
      <c r="AI978" s="22"/>
      <c r="AJ978" s="22"/>
      <c r="AK978" s="22"/>
      <c r="AL978" s="22"/>
      <c r="AM978" s="22"/>
      <c r="AN978" s="22"/>
      <c r="AO978" s="22"/>
      <c r="AP978" s="22"/>
      <c r="AQ978" s="22"/>
      <c r="AR978" s="22"/>
      <c r="AS978" s="22"/>
      <c r="AT978" s="22"/>
      <c r="AU978" s="22"/>
      <c r="AV978" s="22"/>
      <c r="AW978" s="22"/>
      <c r="AX978" s="22"/>
    </row>
    <row r="979" spans="1:50" x14ac:dyDescent="0.3">
      <c r="A979" s="6"/>
      <c r="B979" s="19"/>
      <c r="C979" s="6"/>
      <c r="D979" s="5"/>
      <c r="E979" s="6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2"/>
      <c r="AA979" s="22"/>
      <c r="AB979" s="22"/>
      <c r="AC979" s="22"/>
      <c r="AD979" s="22"/>
      <c r="AE979" s="22"/>
      <c r="AF979" s="22"/>
      <c r="AG979" s="22"/>
      <c r="AH979" s="22"/>
      <c r="AI979" s="22"/>
      <c r="AJ979" s="22"/>
      <c r="AK979" s="22"/>
      <c r="AL979" s="22"/>
      <c r="AM979" s="22"/>
      <c r="AN979" s="22"/>
      <c r="AO979" s="22"/>
      <c r="AP979" s="22"/>
      <c r="AQ979" s="22"/>
      <c r="AR979" s="22"/>
      <c r="AS979" s="22"/>
      <c r="AT979" s="22"/>
      <c r="AU979" s="22"/>
      <c r="AV979" s="22"/>
      <c r="AW979" s="22"/>
      <c r="AX979" s="22"/>
    </row>
    <row r="980" spans="1:50" x14ac:dyDescent="0.3">
      <c r="A980" s="6"/>
      <c r="B980" s="19"/>
      <c r="C980" s="6"/>
      <c r="D980" s="5"/>
      <c r="E980" s="6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  <c r="AA980" s="22"/>
      <c r="AB980" s="22"/>
      <c r="AC980" s="22"/>
      <c r="AD980" s="22"/>
      <c r="AE980" s="22"/>
      <c r="AF980" s="22"/>
      <c r="AG980" s="22"/>
      <c r="AH980" s="22"/>
      <c r="AI980" s="22"/>
      <c r="AJ980" s="22"/>
      <c r="AK980" s="22"/>
      <c r="AL980" s="22"/>
      <c r="AM980" s="22"/>
      <c r="AN980" s="22"/>
      <c r="AO980" s="22"/>
      <c r="AP980" s="22"/>
      <c r="AQ980" s="22"/>
      <c r="AR980" s="22"/>
      <c r="AS980" s="22"/>
      <c r="AT980" s="22"/>
      <c r="AU980" s="22"/>
      <c r="AV980" s="22"/>
      <c r="AW980" s="22"/>
      <c r="AX980" s="22"/>
    </row>
    <row r="981" spans="1:50" x14ac:dyDescent="0.3">
      <c r="A981" s="6"/>
      <c r="B981" s="19"/>
      <c r="C981" s="6"/>
      <c r="D981" s="5"/>
      <c r="E981" s="6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  <c r="AA981" s="22"/>
      <c r="AB981" s="22"/>
      <c r="AC981" s="22"/>
      <c r="AD981" s="22"/>
      <c r="AE981" s="22"/>
      <c r="AF981" s="22"/>
      <c r="AG981" s="22"/>
      <c r="AH981" s="22"/>
      <c r="AI981" s="22"/>
      <c r="AJ981" s="22"/>
      <c r="AK981" s="22"/>
      <c r="AL981" s="22"/>
      <c r="AM981" s="22"/>
      <c r="AN981" s="22"/>
      <c r="AO981" s="22"/>
      <c r="AP981" s="22"/>
      <c r="AQ981" s="22"/>
      <c r="AR981" s="22"/>
      <c r="AS981" s="22"/>
      <c r="AT981" s="22"/>
      <c r="AU981" s="22"/>
      <c r="AV981" s="22"/>
      <c r="AW981" s="22"/>
      <c r="AX981" s="22"/>
    </row>
    <row r="982" spans="1:50" x14ac:dyDescent="0.3">
      <c r="A982" s="6"/>
      <c r="B982" s="19"/>
      <c r="C982" s="6"/>
      <c r="D982" s="5"/>
      <c r="E982" s="6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  <c r="AA982" s="22"/>
      <c r="AB982" s="22"/>
      <c r="AC982" s="22"/>
      <c r="AD982" s="22"/>
      <c r="AE982" s="22"/>
      <c r="AF982" s="22"/>
      <c r="AG982" s="22"/>
      <c r="AH982" s="22"/>
      <c r="AI982" s="22"/>
      <c r="AJ982" s="22"/>
      <c r="AK982" s="22"/>
      <c r="AL982" s="22"/>
      <c r="AM982" s="22"/>
      <c r="AN982" s="22"/>
      <c r="AO982" s="22"/>
      <c r="AP982" s="22"/>
      <c r="AQ982" s="22"/>
      <c r="AR982" s="22"/>
      <c r="AS982" s="22"/>
      <c r="AT982" s="22"/>
      <c r="AU982" s="22"/>
      <c r="AV982" s="22"/>
      <c r="AW982" s="22"/>
      <c r="AX982" s="22"/>
    </row>
    <row r="983" spans="1:50" x14ac:dyDescent="0.3">
      <c r="A983" s="6"/>
      <c r="B983" s="19"/>
      <c r="C983" s="6"/>
      <c r="D983" s="5"/>
      <c r="E983" s="6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  <c r="AA983" s="22"/>
      <c r="AB983" s="22"/>
      <c r="AC983" s="22"/>
      <c r="AD983" s="22"/>
      <c r="AE983" s="22"/>
      <c r="AF983" s="22"/>
      <c r="AG983" s="22"/>
      <c r="AH983" s="22"/>
      <c r="AI983" s="22"/>
      <c r="AJ983" s="22"/>
      <c r="AK983" s="22"/>
      <c r="AL983" s="22"/>
      <c r="AM983" s="22"/>
      <c r="AN983" s="22"/>
      <c r="AO983" s="22"/>
      <c r="AP983" s="22"/>
      <c r="AQ983" s="22"/>
      <c r="AR983" s="22"/>
      <c r="AS983" s="22"/>
      <c r="AT983" s="22"/>
      <c r="AU983" s="22"/>
      <c r="AV983" s="22"/>
      <c r="AW983" s="22"/>
      <c r="AX983" s="22"/>
    </row>
    <row r="984" spans="1:50" x14ac:dyDescent="0.3">
      <c r="A984" s="6"/>
      <c r="B984" s="19"/>
      <c r="C984" s="6"/>
      <c r="D984" s="5"/>
      <c r="E984" s="6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2"/>
      <c r="Y984" s="22"/>
      <c r="Z984" s="22"/>
      <c r="AA984" s="22"/>
      <c r="AB984" s="22"/>
      <c r="AC984" s="22"/>
      <c r="AD984" s="22"/>
      <c r="AE984" s="22"/>
      <c r="AF984" s="22"/>
      <c r="AG984" s="22"/>
      <c r="AH984" s="22"/>
      <c r="AI984" s="22"/>
      <c r="AJ984" s="22"/>
      <c r="AK984" s="22"/>
      <c r="AL984" s="22"/>
      <c r="AM984" s="22"/>
      <c r="AN984" s="22"/>
      <c r="AO984" s="22"/>
      <c r="AP984" s="22"/>
      <c r="AQ984" s="22"/>
      <c r="AR984" s="22"/>
      <c r="AS984" s="22"/>
      <c r="AT984" s="22"/>
      <c r="AU984" s="22"/>
      <c r="AV984" s="22"/>
      <c r="AW984" s="22"/>
      <c r="AX984" s="22"/>
    </row>
    <row r="985" spans="1:50" x14ac:dyDescent="0.3">
      <c r="A985" s="6"/>
      <c r="B985" s="19"/>
      <c r="C985" s="6"/>
      <c r="D985" s="5"/>
      <c r="E985" s="6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2"/>
      <c r="AA985" s="22"/>
      <c r="AB985" s="22"/>
      <c r="AC985" s="22"/>
      <c r="AD985" s="22"/>
      <c r="AE985" s="22"/>
      <c r="AF985" s="22"/>
      <c r="AG985" s="22"/>
      <c r="AH985" s="22"/>
      <c r="AI985" s="22"/>
      <c r="AJ985" s="22"/>
      <c r="AK985" s="22"/>
      <c r="AL985" s="22"/>
      <c r="AM985" s="22"/>
      <c r="AN985" s="22"/>
      <c r="AO985" s="22"/>
      <c r="AP985" s="22"/>
      <c r="AQ985" s="22"/>
      <c r="AR985" s="22"/>
      <c r="AS985" s="22"/>
      <c r="AT985" s="22"/>
      <c r="AU985" s="22"/>
      <c r="AV985" s="22"/>
      <c r="AW985" s="22"/>
      <c r="AX985" s="22"/>
    </row>
    <row r="986" spans="1:50" x14ac:dyDescent="0.3">
      <c r="A986" s="6"/>
      <c r="B986" s="19"/>
      <c r="C986" s="6"/>
      <c r="D986" s="5"/>
      <c r="E986" s="6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2"/>
      <c r="Y986" s="22"/>
      <c r="Z986" s="22"/>
      <c r="AA986" s="22"/>
      <c r="AB986" s="22"/>
      <c r="AC986" s="22"/>
      <c r="AD986" s="22"/>
      <c r="AE986" s="22"/>
      <c r="AF986" s="22"/>
      <c r="AG986" s="22"/>
      <c r="AH986" s="22"/>
      <c r="AI986" s="22"/>
      <c r="AJ986" s="22"/>
      <c r="AK986" s="22"/>
      <c r="AL986" s="22"/>
      <c r="AM986" s="22"/>
      <c r="AN986" s="22"/>
      <c r="AO986" s="22"/>
      <c r="AP986" s="22"/>
      <c r="AQ986" s="22"/>
      <c r="AR986" s="22"/>
      <c r="AS986" s="22"/>
      <c r="AT986" s="22"/>
      <c r="AU986" s="22"/>
      <c r="AV986" s="22"/>
      <c r="AW986" s="22"/>
      <c r="AX986" s="22"/>
    </row>
    <row r="987" spans="1:50" x14ac:dyDescent="0.3">
      <c r="A987" s="6"/>
      <c r="B987" s="19"/>
      <c r="C987" s="6"/>
      <c r="D987" s="5"/>
      <c r="E987" s="6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2"/>
      <c r="AA987" s="22"/>
      <c r="AB987" s="22"/>
      <c r="AC987" s="22"/>
      <c r="AD987" s="22"/>
      <c r="AE987" s="22"/>
      <c r="AF987" s="22"/>
      <c r="AG987" s="22"/>
      <c r="AH987" s="22"/>
      <c r="AI987" s="22"/>
      <c r="AJ987" s="22"/>
      <c r="AK987" s="22"/>
      <c r="AL987" s="22"/>
      <c r="AM987" s="22"/>
      <c r="AN987" s="22"/>
      <c r="AO987" s="22"/>
      <c r="AP987" s="22"/>
      <c r="AQ987" s="22"/>
      <c r="AR987" s="22"/>
      <c r="AS987" s="22"/>
      <c r="AT987" s="22"/>
      <c r="AU987" s="22"/>
      <c r="AV987" s="22"/>
      <c r="AW987" s="22"/>
      <c r="AX987" s="22"/>
    </row>
    <row r="988" spans="1:50" x14ac:dyDescent="0.3">
      <c r="A988" s="6"/>
      <c r="B988" s="19"/>
      <c r="C988" s="6"/>
      <c r="D988" s="5"/>
      <c r="E988" s="6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2"/>
      <c r="Y988" s="22"/>
      <c r="Z988" s="22"/>
      <c r="AA988" s="22"/>
      <c r="AB988" s="22"/>
      <c r="AC988" s="22"/>
      <c r="AD988" s="22"/>
      <c r="AE988" s="22"/>
      <c r="AF988" s="22"/>
      <c r="AG988" s="22"/>
      <c r="AH988" s="22"/>
      <c r="AI988" s="22"/>
      <c r="AJ988" s="22"/>
      <c r="AK988" s="22"/>
      <c r="AL988" s="22"/>
      <c r="AM988" s="22"/>
      <c r="AN988" s="22"/>
      <c r="AO988" s="22"/>
      <c r="AP988" s="22"/>
      <c r="AQ988" s="22"/>
      <c r="AR988" s="22"/>
      <c r="AS988" s="22"/>
      <c r="AT988" s="22"/>
      <c r="AU988" s="22"/>
      <c r="AV988" s="22"/>
      <c r="AW988" s="22"/>
      <c r="AX988" s="22"/>
    </row>
    <row r="989" spans="1:50" x14ac:dyDescent="0.3">
      <c r="A989" s="6"/>
      <c r="B989" s="19"/>
      <c r="C989" s="6"/>
      <c r="D989" s="5"/>
      <c r="E989" s="6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2"/>
      <c r="T989" s="22"/>
      <c r="U989" s="22"/>
      <c r="V989" s="22"/>
      <c r="W989" s="22"/>
      <c r="X989" s="22"/>
      <c r="Y989" s="22"/>
      <c r="Z989" s="22"/>
      <c r="AA989" s="22"/>
      <c r="AB989" s="22"/>
      <c r="AC989" s="22"/>
      <c r="AD989" s="22"/>
      <c r="AE989" s="22"/>
      <c r="AF989" s="22"/>
      <c r="AG989" s="22"/>
      <c r="AH989" s="22"/>
      <c r="AI989" s="22"/>
      <c r="AJ989" s="22"/>
      <c r="AK989" s="22"/>
      <c r="AL989" s="22"/>
      <c r="AM989" s="22"/>
      <c r="AN989" s="22"/>
      <c r="AO989" s="22"/>
      <c r="AP989" s="22"/>
      <c r="AQ989" s="22"/>
      <c r="AR989" s="22"/>
      <c r="AS989" s="22"/>
      <c r="AT989" s="22"/>
      <c r="AU989" s="22"/>
      <c r="AV989" s="22"/>
      <c r="AW989" s="22"/>
      <c r="AX989" s="22"/>
    </row>
    <row r="990" spans="1:50" x14ac:dyDescent="0.3">
      <c r="A990" s="6"/>
      <c r="B990" s="19"/>
      <c r="C990" s="6"/>
      <c r="D990" s="5"/>
      <c r="E990" s="6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2"/>
      <c r="T990" s="22"/>
      <c r="U990" s="22"/>
      <c r="V990" s="22"/>
      <c r="W990" s="22"/>
      <c r="X990" s="22"/>
      <c r="Y990" s="22"/>
      <c r="Z990" s="22"/>
      <c r="AA990" s="22"/>
      <c r="AB990" s="22"/>
      <c r="AC990" s="22"/>
      <c r="AD990" s="22"/>
      <c r="AE990" s="22"/>
      <c r="AF990" s="22"/>
      <c r="AG990" s="22"/>
      <c r="AH990" s="22"/>
      <c r="AI990" s="22"/>
      <c r="AJ990" s="22"/>
      <c r="AK990" s="22"/>
      <c r="AL990" s="22"/>
      <c r="AM990" s="22"/>
      <c r="AN990" s="22"/>
      <c r="AO990" s="22"/>
      <c r="AP990" s="22"/>
      <c r="AQ990" s="22"/>
      <c r="AR990" s="22"/>
      <c r="AS990" s="22"/>
      <c r="AT990" s="22"/>
      <c r="AU990" s="22"/>
      <c r="AV990" s="22"/>
      <c r="AW990" s="22"/>
      <c r="AX990" s="22"/>
    </row>
    <row r="991" spans="1:50" x14ac:dyDescent="0.3">
      <c r="A991" s="6"/>
      <c r="B991" s="19"/>
      <c r="C991" s="6"/>
      <c r="D991" s="5"/>
      <c r="E991" s="6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2"/>
      <c r="T991" s="22"/>
      <c r="U991" s="22"/>
      <c r="V991" s="22"/>
      <c r="W991" s="22"/>
      <c r="X991" s="22"/>
      <c r="Y991" s="22"/>
      <c r="Z991" s="22"/>
      <c r="AA991" s="22"/>
      <c r="AB991" s="22"/>
      <c r="AC991" s="22"/>
      <c r="AD991" s="22"/>
      <c r="AE991" s="22"/>
      <c r="AF991" s="22"/>
      <c r="AG991" s="22"/>
      <c r="AH991" s="22"/>
      <c r="AI991" s="22"/>
      <c r="AJ991" s="22"/>
      <c r="AK991" s="22"/>
      <c r="AL991" s="22"/>
      <c r="AM991" s="22"/>
      <c r="AN991" s="22"/>
      <c r="AO991" s="22"/>
      <c r="AP991" s="22"/>
      <c r="AQ991" s="22"/>
      <c r="AR991" s="22"/>
      <c r="AS991" s="22"/>
      <c r="AT991" s="22"/>
      <c r="AU991" s="22"/>
      <c r="AV991" s="22"/>
      <c r="AW991" s="22"/>
      <c r="AX991" s="22"/>
    </row>
    <row r="992" spans="1:50" x14ac:dyDescent="0.3">
      <c r="A992" s="6"/>
      <c r="B992" s="19"/>
      <c r="C992" s="6"/>
      <c r="D992" s="5"/>
      <c r="E992" s="6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2"/>
      <c r="T992" s="22"/>
      <c r="U992" s="22"/>
      <c r="V992" s="22"/>
      <c r="W992" s="22"/>
      <c r="X992" s="22"/>
      <c r="Y992" s="22"/>
      <c r="Z992" s="22"/>
      <c r="AA992" s="22"/>
      <c r="AB992" s="22"/>
      <c r="AC992" s="22"/>
      <c r="AD992" s="22"/>
      <c r="AE992" s="22"/>
      <c r="AF992" s="22"/>
      <c r="AG992" s="22"/>
      <c r="AH992" s="22"/>
      <c r="AI992" s="22"/>
      <c r="AJ992" s="22"/>
      <c r="AK992" s="22"/>
      <c r="AL992" s="22"/>
      <c r="AM992" s="22"/>
      <c r="AN992" s="22"/>
      <c r="AO992" s="22"/>
      <c r="AP992" s="22"/>
      <c r="AQ992" s="22"/>
      <c r="AR992" s="22"/>
      <c r="AS992" s="22"/>
      <c r="AT992" s="22"/>
      <c r="AU992" s="22"/>
      <c r="AV992" s="22"/>
      <c r="AW992" s="22"/>
      <c r="AX992" s="22"/>
    </row>
    <row r="993" spans="1:50" x14ac:dyDescent="0.3">
      <c r="A993" s="6"/>
      <c r="B993" s="19"/>
      <c r="C993" s="6"/>
      <c r="D993" s="5"/>
      <c r="E993" s="6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2"/>
      <c r="T993" s="22"/>
      <c r="U993" s="22"/>
      <c r="V993" s="22"/>
      <c r="W993" s="22"/>
      <c r="X993" s="22"/>
      <c r="Y993" s="22"/>
      <c r="Z993" s="22"/>
      <c r="AA993" s="22"/>
      <c r="AB993" s="22"/>
      <c r="AC993" s="22"/>
      <c r="AD993" s="22"/>
      <c r="AE993" s="22"/>
      <c r="AF993" s="22"/>
      <c r="AG993" s="22"/>
      <c r="AH993" s="22"/>
      <c r="AI993" s="22"/>
      <c r="AJ993" s="22"/>
      <c r="AK993" s="22"/>
      <c r="AL993" s="22"/>
      <c r="AM993" s="22"/>
      <c r="AN993" s="22"/>
      <c r="AO993" s="22"/>
      <c r="AP993" s="22"/>
      <c r="AQ993" s="22"/>
      <c r="AR993" s="22"/>
      <c r="AS993" s="22"/>
      <c r="AT993" s="22"/>
      <c r="AU993" s="22"/>
      <c r="AV993" s="22"/>
      <c r="AW993" s="22"/>
      <c r="AX993" s="22"/>
    </row>
    <row r="994" spans="1:50" x14ac:dyDescent="0.3">
      <c r="A994" s="6"/>
      <c r="B994" s="19"/>
      <c r="C994" s="6"/>
      <c r="D994" s="5"/>
      <c r="E994" s="6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2"/>
      <c r="T994" s="22"/>
      <c r="U994" s="22"/>
      <c r="V994" s="22"/>
      <c r="W994" s="22"/>
      <c r="X994" s="22"/>
      <c r="Y994" s="22"/>
      <c r="Z994" s="22"/>
      <c r="AA994" s="22"/>
      <c r="AB994" s="22"/>
      <c r="AC994" s="22"/>
      <c r="AD994" s="22"/>
      <c r="AE994" s="22"/>
      <c r="AF994" s="22"/>
      <c r="AG994" s="22"/>
      <c r="AH994" s="22"/>
      <c r="AI994" s="22"/>
      <c r="AJ994" s="22"/>
      <c r="AK994" s="22"/>
      <c r="AL994" s="22"/>
      <c r="AM994" s="22"/>
      <c r="AN994" s="22"/>
      <c r="AO994" s="22"/>
      <c r="AP994" s="22"/>
      <c r="AQ994" s="22"/>
      <c r="AR994" s="22"/>
      <c r="AS994" s="22"/>
      <c r="AT994" s="22"/>
      <c r="AU994" s="22"/>
      <c r="AV994" s="22"/>
      <c r="AW994" s="22"/>
      <c r="AX994" s="22"/>
    </row>
    <row r="995" spans="1:50" x14ac:dyDescent="0.3">
      <c r="A995" s="6"/>
      <c r="B995" s="19"/>
      <c r="C995" s="6"/>
      <c r="D995" s="5"/>
      <c r="E995" s="6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2"/>
      <c r="T995" s="22"/>
      <c r="U995" s="22"/>
      <c r="V995" s="22"/>
      <c r="W995" s="22"/>
      <c r="X995" s="22"/>
      <c r="Y995" s="22"/>
      <c r="Z995" s="22"/>
      <c r="AA995" s="22"/>
      <c r="AB995" s="22"/>
      <c r="AC995" s="22"/>
      <c r="AD995" s="22"/>
      <c r="AE995" s="22"/>
      <c r="AF995" s="22"/>
      <c r="AG995" s="22"/>
      <c r="AH995" s="22"/>
      <c r="AI995" s="22"/>
      <c r="AJ995" s="22"/>
      <c r="AK995" s="22"/>
      <c r="AL995" s="22"/>
      <c r="AM995" s="22"/>
      <c r="AN995" s="22"/>
      <c r="AO995" s="22"/>
      <c r="AP995" s="22"/>
      <c r="AQ995" s="22"/>
      <c r="AR995" s="22"/>
      <c r="AS995" s="22"/>
      <c r="AT995" s="22"/>
      <c r="AU995" s="22"/>
      <c r="AV995" s="22"/>
      <c r="AW995" s="22"/>
      <c r="AX995" s="22"/>
    </row>
    <row r="996" spans="1:50" x14ac:dyDescent="0.3">
      <c r="A996" s="6"/>
      <c r="B996" s="19"/>
      <c r="C996" s="6"/>
      <c r="D996" s="5"/>
      <c r="E996" s="6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2"/>
      <c r="T996" s="22"/>
      <c r="U996" s="22"/>
      <c r="V996" s="22"/>
      <c r="W996" s="22"/>
      <c r="X996" s="22"/>
      <c r="Y996" s="22"/>
      <c r="Z996" s="22"/>
      <c r="AA996" s="22"/>
      <c r="AB996" s="22"/>
      <c r="AC996" s="22"/>
      <c r="AD996" s="22"/>
      <c r="AE996" s="22"/>
      <c r="AF996" s="22"/>
      <c r="AG996" s="22"/>
      <c r="AH996" s="22"/>
      <c r="AI996" s="22"/>
      <c r="AJ996" s="22"/>
      <c r="AK996" s="22"/>
      <c r="AL996" s="22"/>
      <c r="AM996" s="22"/>
      <c r="AN996" s="22"/>
      <c r="AO996" s="22"/>
      <c r="AP996" s="22"/>
      <c r="AQ996" s="22"/>
      <c r="AR996" s="22"/>
      <c r="AS996" s="22"/>
      <c r="AT996" s="22"/>
      <c r="AU996" s="22"/>
      <c r="AV996" s="22"/>
      <c r="AW996" s="22"/>
      <c r="AX996" s="22"/>
    </row>
    <row r="997" spans="1:50" x14ac:dyDescent="0.3">
      <c r="A997" s="6"/>
      <c r="B997" s="19"/>
      <c r="C997" s="6"/>
      <c r="D997" s="5"/>
      <c r="E997" s="6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2"/>
      <c r="T997" s="22"/>
      <c r="U997" s="22"/>
      <c r="V997" s="22"/>
      <c r="W997" s="22"/>
      <c r="X997" s="22"/>
      <c r="Y997" s="22"/>
      <c r="Z997" s="22"/>
      <c r="AA997" s="22"/>
      <c r="AB997" s="22"/>
      <c r="AC997" s="22"/>
      <c r="AD997" s="22"/>
      <c r="AE997" s="22"/>
      <c r="AF997" s="22"/>
      <c r="AG997" s="22"/>
      <c r="AH997" s="22"/>
      <c r="AI997" s="22"/>
      <c r="AJ997" s="22"/>
      <c r="AK997" s="22"/>
      <c r="AL997" s="22"/>
      <c r="AM997" s="22"/>
      <c r="AN997" s="22"/>
      <c r="AO997" s="22"/>
      <c r="AP997" s="22"/>
      <c r="AQ997" s="22"/>
      <c r="AR997" s="22"/>
      <c r="AS997" s="22"/>
      <c r="AT997" s="22"/>
      <c r="AU997" s="22"/>
      <c r="AV997" s="22"/>
      <c r="AW997" s="22"/>
      <c r="AX997" s="22"/>
    </row>
    <row r="998" spans="1:50" x14ac:dyDescent="0.3">
      <c r="A998" s="6"/>
      <c r="B998" s="19"/>
      <c r="C998" s="6"/>
      <c r="D998" s="5"/>
      <c r="E998" s="6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2"/>
      <c r="T998" s="22"/>
      <c r="U998" s="22"/>
      <c r="V998" s="22"/>
      <c r="W998" s="22"/>
      <c r="X998" s="22"/>
      <c r="Y998" s="22"/>
      <c r="Z998" s="22"/>
      <c r="AA998" s="22"/>
      <c r="AB998" s="22"/>
      <c r="AC998" s="22"/>
      <c r="AD998" s="22"/>
      <c r="AE998" s="22"/>
      <c r="AF998" s="22"/>
      <c r="AG998" s="22"/>
      <c r="AH998" s="22"/>
      <c r="AI998" s="22"/>
      <c r="AJ998" s="22"/>
      <c r="AK998" s="22"/>
      <c r="AL998" s="22"/>
      <c r="AM998" s="22"/>
      <c r="AN998" s="22"/>
      <c r="AO998" s="22"/>
      <c r="AP998" s="22"/>
      <c r="AQ998" s="22"/>
      <c r="AR998" s="22"/>
      <c r="AS998" s="22"/>
      <c r="AT998" s="22"/>
      <c r="AU998" s="22"/>
      <c r="AV998" s="22"/>
      <c r="AW998" s="22"/>
      <c r="AX998" s="22"/>
    </row>
    <row r="999" spans="1:50" x14ac:dyDescent="0.3">
      <c r="A999" s="6"/>
      <c r="B999" s="19"/>
      <c r="C999" s="6"/>
      <c r="D999" s="5"/>
      <c r="E999" s="6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2"/>
      <c r="T999" s="22"/>
      <c r="U999" s="22"/>
      <c r="V999" s="22"/>
      <c r="W999" s="22"/>
      <c r="X999" s="22"/>
      <c r="Y999" s="22"/>
      <c r="Z999" s="22"/>
      <c r="AA999" s="22"/>
      <c r="AB999" s="22"/>
      <c r="AC999" s="22"/>
      <c r="AD999" s="22"/>
      <c r="AE999" s="22"/>
      <c r="AF999" s="22"/>
      <c r="AG999" s="22"/>
      <c r="AH999" s="22"/>
      <c r="AI999" s="22"/>
      <c r="AJ999" s="22"/>
      <c r="AK999" s="22"/>
      <c r="AL999" s="22"/>
      <c r="AM999" s="22"/>
      <c r="AN999" s="22"/>
      <c r="AO999" s="22"/>
      <c r="AP999" s="22"/>
      <c r="AQ999" s="22"/>
      <c r="AR999" s="22"/>
      <c r="AS999" s="22"/>
      <c r="AT999" s="22"/>
      <c r="AU999" s="22"/>
      <c r="AV999" s="22"/>
      <c r="AW999" s="22"/>
      <c r="AX999" s="22"/>
    </row>
    <row r="1000" spans="1:50" x14ac:dyDescent="0.3">
      <c r="A1000" s="6"/>
      <c r="B1000" s="19"/>
      <c r="C1000" s="6"/>
      <c r="D1000" s="5"/>
      <c r="E1000" s="6"/>
      <c r="F1000" s="22"/>
      <c r="G1000" s="2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2"/>
      <c r="T1000" s="22"/>
      <c r="U1000" s="22"/>
      <c r="V1000" s="22"/>
      <c r="W1000" s="22"/>
      <c r="X1000" s="22"/>
      <c r="Y1000" s="22"/>
      <c r="Z1000" s="22"/>
      <c r="AA1000" s="22"/>
      <c r="AB1000" s="22"/>
      <c r="AC1000" s="22"/>
      <c r="AD1000" s="22"/>
      <c r="AE1000" s="22"/>
      <c r="AF1000" s="22"/>
      <c r="AG1000" s="22"/>
      <c r="AH1000" s="22"/>
      <c r="AI1000" s="22"/>
      <c r="AJ1000" s="22"/>
      <c r="AK1000" s="22"/>
      <c r="AL1000" s="22"/>
      <c r="AM1000" s="22"/>
      <c r="AN1000" s="22"/>
      <c r="AO1000" s="22"/>
      <c r="AP1000" s="22"/>
      <c r="AQ1000" s="22"/>
      <c r="AR1000" s="22"/>
      <c r="AS1000" s="22"/>
      <c r="AT1000" s="22"/>
      <c r="AU1000" s="22"/>
      <c r="AV1000" s="22"/>
      <c r="AW1000" s="22"/>
      <c r="AX1000" s="22"/>
    </row>
    <row r="1001" spans="1:50" x14ac:dyDescent="0.3">
      <c r="A1001" s="6"/>
      <c r="B1001" s="19"/>
      <c r="C1001" s="6"/>
      <c r="D1001" s="5"/>
      <c r="E1001" s="6"/>
      <c r="F1001" s="22"/>
      <c r="G1001" s="22"/>
      <c r="H1001" s="22"/>
      <c r="I1001" s="22"/>
      <c r="J1001" s="22"/>
      <c r="K1001" s="22"/>
      <c r="L1001" s="22"/>
      <c r="M1001" s="22"/>
      <c r="N1001" s="22"/>
      <c r="O1001" s="22"/>
      <c r="P1001" s="22"/>
      <c r="Q1001" s="22"/>
      <c r="R1001" s="22"/>
      <c r="S1001" s="22"/>
      <c r="T1001" s="22"/>
      <c r="U1001" s="22"/>
      <c r="V1001" s="22"/>
      <c r="W1001" s="22"/>
      <c r="X1001" s="22"/>
      <c r="Y1001" s="22"/>
      <c r="Z1001" s="22"/>
      <c r="AA1001" s="22"/>
      <c r="AB1001" s="22"/>
      <c r="AC1001" s="22"/>
      <c r="AD1001" s="22"/>
      <c r="AE1001" s="22"/>
      <c r="AF1001" s="22"/>
      <c r="AG1001" s="22"/>
      <c r="AH1001" s="22"/>
      <c r="AI1001" s="22"/>
      <c r="AJ1001" s="22"/>
      <c r="AK1001" s="22"/>
      <c r="AL1001" s="22"/>
      <c r="AM1001" s="22"/>
      <c r="AN1001" s="22"/>
      <c r="AO1001" s="22"/>
      <c r="AP1001" s="22"/>
      <c r="AQ1001" s="22"/>
      <c r="AR1001" s="22"/>
      <c r="AS1001" s="22"/>
      <c r="AT1001" s="22"/>
      <c r="AU1001" s="22"/>
      <c r="AV1001" s="22"/>
      <c r="AW1001" s="22"/>
      <c r="AX1001" s="22"/>
    </row>
    <row r="1002" spans="1:50" x14ac:dyDescent="0.3">
      <c r="A1002" s="6"/>
      <c r="B1002" s="19"/>
      <c r="C1002" s="6"/>
      <c r="D1002" s="5"/>
      <c r="E1002" s="6"/>
      <c r="F1002" s="22"/>
      <c r="G1002" s="22"/>
      <c r="H1002" s="22"/>
      <c r="I1002" s="22"/>
      <c r="J1002" s="22"/>
      <c r="K1002" s="22"/>
      <c r="L1002" s="22"/>
      <c r="M1002" s="22"/>
      <c r="N1002" s="22"/>
      <c r="O1002" s="22"/>
      <c r="P1002" s="22"/>
      <c r="Q1002" s="22"/>
      <c r="R1002" s="22"/>
      <c r="S1002" s="22"/>
      <c r="T1002" s="22"/>
      <c r="U1002" s="22"/>
      <c r="V1002" s="22"/>
      <c r="W1002" s="22"/>
      <c r="X1002" s="22"/>
      <c r="Y1002" s="22"/>
      <c r="Z1002" s="22"/>
      <c r="AA1002" s="22"/>
      <c r="AB1002" s="22"/>
      <c r="AC1002" s="22"/>
      <c r="AD1002" s="22"/>
      <c r="AE1002" s="22"/>
      <c r="AF1002" s="22"/>
      <c r="AG1002" s="22"/>
      <c r="AH1002" s="22"/>
      <c r="AI1002" s="22"/>
      <c r="AJ1002" s="22"/>
      <c r="AK1002" s="22"/>
      <c r="AL1002" s="22"/>
      <c r="AM1002" s="22"/>
      <c r="AN1002" s="22"/>
      <c r="AO1002" s="22"/>
      <c r="AP1002" s="22"/>
      <c r="AQ1002" s="22"/>
      <c r="AR1002" s="22"/>
      <c r="AS1002" s="22"/>
      <c r="AT1002" s="22"/>
      <c r="AU1002" s="22"/>
      <c r="AV1002" s="22"/>
      <c r="AW1002" s="22"/>
      <c r="AX1002" s="22"/>
    </row>
    <row r="1003" spans="1:50" x14ac:dyDescent="0.3">
      <c r="A1003" s="6"/>
      <c r="B1003" s="19"/>
      <c r="C1003" s="6"/>
      <c r="D1003" s="5"/>
      <c r="E1003" s="6"/>
      <c r="F1003" s="22"/>
      <c r="G1003" s="22"/>
      <c r="H1003" s="22"/>
      <c r="I1003" s="22"/>
      <c r="J1003" s="22"/>
      <c r="K1003" s="22"/>
      <c r="L1003" s="22"/>
      <c r="M1003" s="22"/>
      <c r="N1003" s="22"/>
      <c r="O1003" s="22"/>
      <c r="P1003" s="22"/>
      <c r="Q1003" s="22"/>
      <c r="R1003" s="22"/>
      <c r="S1003" s="22"/>
      <c r="T1003" s="22"/>
      <c r="U1003" s="22"/>
      <c r="V1003" s="22"/>
      <c r="W1003" s="22"/>
      <c r="X1003" s="22"/>
      <c r="Y1003" s="22"/>
      <c r="Z1003" s="22"/>
      <c r="AA1003" s="22"/>
      <c r="AB1003" s="22"/>
      <c r="AC1003" s="22"/>
      <c r="AD1003" s="22"/>
      <c r="AE1003" s="22"/>
      <c r="AF1003" s="22"/>
      <c r="AG1003" s="22"/>
      <c r="AH1003" s="22"/>
      <c r="AI1003" s="22"/>
      <c r="AJ1003" s="22"/>
      <c r="AK1003" s="22"/>
      <c r="AL1003" s="22"/>
      <c r="AM1003" s="22"/>
      <c r="AN1003" s="22"/>
      <c r="AO1003" s="22"/>
      <c r="AP1003" s="22"/>
      <c r="AQ1003" s="22"/>
      <c r="AR1003" s="22"/>
      <c r="AS1003" s="22"/>
      <c r="AT1003" s="22"/>
      <c r="AU1003" s="22"/>
      <c r="AV1003" s="22"/>
      <c r="AW1003" s="22"/>
      <c r="AX1003" s="22"/>
    </row>
    <row r="1004" spans="1:50" x14ac:dyDescent="0.3">
      <c r="A1004" s="6"/>
      <c r="B1004" s="19"/>
      <c r="C1004" s="6"/>
      <c r="D1004" s="5"/>
      <c r="E1004" s="6"/>
      <c r="F1004" s="22"/>
      <c r="G1004" s="22"/>
      <c r="H1004" s="22"/>
      <c r="I1004" s="22"/>
      <c r="J1004" s="22"/>
      <c r="K1004" s="22"/>
      <c r="L1004" s="22"/>
      <c r="M1004" s="22"/>
      <c r="N1004" s="22"/>
      <c r="O1004" s="22"/>
      <c r="P1004" s="22"/>
      <c r="Q1004" s="22"/>
      <c r="R1004" s="22"/>
      <c r="S1004" s="22"/>
      <c r="T1004" s="22"/>
      <c r="U1004" s="22"/>
      <c r="V1004" s="22"/>
      <c r="W1004" s="22"/>
      <c r="X1004" s="22"/>
      <c r="Y1004" s="22"/>
      <c r="Z1004" s="22"/>
      <c r="AA1004" s="22"/>
      <c r="AB1004" s="22"/>
      <c r="AC1004" s="22"/>
      <c r="AD1004" s="22"/>
      <c r="AE1004" s="22"/>
      <c r="AF1004" s="22"/>
      <c r="AG1004" s="22"/>
      <c r="AH1004" s="22"/>
      <c r="AI1004" s="22"/>
      <c r="AJ1004" s="22"/>
      <c r="AK1004" s="22"/>
      <c r="AL1004" s="22"/>
      <c r="AM1004" s="22"/>
      <c r="AN1004" s="22"/>
      <c r="AO1004" s="22"/>
      <c r="AP1004" s="22"/>
      <c r="AQ1004" s="22"/>
      <c r="AR1004" s="22"/>
      <c r="AS1004" s="22"/>
      <c r="AT1004" s="22"/>
      <c r="AU1004" s="22"/>
      <c r="AV1004" s="22"/>
      <c r="AW1004" s="22"/>
      <c r="AX1004" s="22"/>
    </row>
    <row r="1005" spans="1:50" x14ac:dyDescent="0.3">
      <c r="A1005" s="6"/>
      <c r="B1005" s="19"/>
      <c r="C1005" s="6"/>
      <c r="D1005" s="5"/>
      <c r="E1005" s="6"/>
      <c r="F1005" s="22"/>
      <c r="G1005" s="22"/>
      <c r="H1005" s="22"/>
      <c r="I1005" s="22"/>
      <c r="J1005" s="22"/>
      <c r="K1005" s="22"/>
      <c r="L1005" s="22"/>
      <c r="M1005" s="22"/>
      <c r="N1005" s="22"/>
      <c r="O1005" s="22"/>
      <c r="P1005" s="22"/>
      <c r="Q1005" s="22"/>
      <c r="R1005" s="22"/>
      <c r="S1005" s="22"/>
      <c r="T1005" s="22"/>
      <c r="U1005" s="22"/>
      <c r="V1005" s="22"/>
      <c r="W1005" s="22"/>
      <c r="X1005" s="22"/>
      <c r="Y1005" s="22"/>
      <c r="Z1005" s="22"/>
      <c r="AA1005" s="22"/>
      <c r="AB1005" s="22"/>
      <c r="AC1005" s="22"/>
      <c r="AD1005" s="22"/>
      <c r="AE1005" s="22"/>
      <c r="AF1005" s="22"/>
      <c r="AG1005" s="22"/>
      <c r="AH1005" s="22"/>
      <c r="AI1005" s="22"/>
      <c r="AJ1005" s="22"/>
      <c r="AK1005" s="22"/>
      <c r="AL1005" s="22"/>
      <c r="AM1005" s="22"/>
      <c r="AN1005" s="22"/>
      <c r="AO1005" s="22"/>
      <c r="AP1005" s="22"/>
      <c r="AQ1005" s="22"/>
      <c r="AR1005" s="22"/>
      <c r="AS1005" s="22"/>
      <c r="AT1005" s="22"/>
      <c r="AU1005" s="22"/>
      <c r="AV1005" s="22"/>
      <c r="AW1005" s="22"/>
      <c r="AX1005" s="22"/>
    </row>
    <row r="1006" spans="1:50" x14ac:dyDescent="0.3">
      <c r="A1006" s="6"/>
      <c r="B1006" s="19"/>
      <c r="C1006" s="6"/>
      <c r="D1006" s="5"/>
      <c r="E1006" s="6"/>
      <c r="F1006" s="22"/>
      <c r="G1006" s="22"/>
      <c r="H1006" s="22"/>
      <c r="I1006" s="22"/>
      <c r="J1006" s="22"/>
      <c r="K1006" s="22"/>
      <c r="L1006" s="22"/>
      <c r="M1006" s="22"/>
      <c r="N1006" s="22"/>
      <c r="O1006" s="22"/>
      <c r="P1006" s="22"/>
      <c r="Q1006" s="22"/>
      <c r="R1006" s="22"/>
      <c r="S1006" s="22"/>
      <c r="T1006" s="22"/>
      <c r="U1006" s="22"/>
      <c r="V1006" s="22"/>
      <c r="W1006" s="22"/>
      <c r="X1006" s="22"/>
      <c r="Y1006" s="22"/>
      <c r="Z1006" s="22"/>
      <c r="AA1006" s="22"/>
      <c r="AB1006" s="22"/>
      <c r="AC1006" s="22"/>
      <c r="AD1006" s="22"/>
      <c r="AE1006" s="22"/>
      <c r="AF1006" s="22"/>
      <c r="AG1006" s="22"/>
      <c r="AH1006" s="22"/>
      <c r="AI1006" s="22"/>
      <c r="AJ1006" s="22"/>
      <c r="AK1006" s="22"/>
      <c r="AL1006" s="22"/>
      <c r="AM1006" s="22"/>
      <c r="AN1006" s="22"/>
      <c r="AO1006" s="22"/>
      <c r="AP1006" s="22"/>
      <c r="AQ1006" s="22"/>
      <c r="AR1006" s="22"/>
      <c r="AS1006" s="22"/>
      <c r="AT1006" s="22"/>
      <c r="AU1006" s="22"/>
      <c r="AV1006" s="22"/>
      <c r="AW1006" s="22"/>
      <c r="AX1006" s="22"/>
    </row>
    <row r="1007" spans="1:50" x14ac:dyDescent="0.3">
      <c r="A1007" s="6"/>
      <c r="B1007" s="19"/>
      <c r="C1007" s="6"/>
      <c r="D1007" s="5"/>
      <c r="E1007" s="6"/>
      <c r="F1007" s="22"/>
      <c r="G1007" s="22"/>
      <c r="H1007" s="22"/>
      <c r="I1007" s="22"/>
      <c r="J1007" s="22"/>
      <c r="K1007" s="22"/>
      <c r="L1007" s="22"/>
      <c r="M1007" s="22"/>
      <c r="N1007" s="22"/>
      <c r="O1007" s="22"/>
      <c r="P1007" s="22"/>
      <c r="Q1007" s="22"/>
      <c r="R1007" s="22"/>
      <c r="S1007" s="22"/>
      <c r="T1007" s="22"/>
      <c r="U1007" s="22"/>
      <c r="V1007" s="22"/>
      <c r="W1007" s="22"/>
      <c r="X1007" s="22"/>
      <c r="Y1007" s="22"/>
      <c r="Z1007" s="22"/>
      <c r="AA1007" s="22"/>
      <c r="AB1007" s="22"/>
      <c r="AC1007" s="22"/>
      <c r="AD1007" s="22"/>
      <c r="AE1007" s="22"/>
      <c r="AF1007" s="22"/>
      <c r="AG1007" s="22"/>
      <c r="AH1007" s="22"/>
      <c r="AI1007" s="22"/>
      <c r="AJ1007" s="22"/>
      <c r="AK1007" s="22"/>
      <c r="AL1007" s="22"/>
      <c r="AM1007" s="22"/>
      <c r="AN1007" s="22"/>
      <c r="AO1007" s="22"/>
      <c r="AP1007" s="22"/>
      <c r="AQ1007" s="22"/>
      <c r="AR1007" s="22"/>
      <c r="AS1007" s="22"/>
      <c r="AT1007" s="22"/>
      <c r="AU1007" s="22"/>
      <c r="AV1007" s="22"/>
      <c r="AW1007" s="22"/>
      <c r="AX1007" s="22"/>
    </row>
    <row r="1008" spans="1:50" x14ac:dyDescent="0.3">
      <c r="A1008" s="6"/>
      <c r="B1008" s="19"/>
      <c r="C1008" s="6"/>
      <c r="D1008" s="5"/>
      <c r="E1008" s="6"/>
      <c r="F1008" s="22"/>
      <c r="G1008" s="22"/>
      <c r="H1008" s="22"/>
      <c r="I1008" s="22"/>
      <c r="J1008" s="22"/>
      <c r="K1008" s="22"/>
      <c r="L1008" s="22"/>
      <c r="M1008" s="22"/>
      <c r="N1008" s="22"/>
      <c r="O1008" s="22"/>
      <c r="P1008" s="22"/>
      <c r="Q1008" s="22"/>
      <c r="R1008" s="22"/>
      <c r="S1008" s="22"/>
      <c r="T1008" s="22"/>
      <c r="U1008" s="22"/>
      <c r="V1008" s="22"/>
      <c r="W1008" s="22"/>
      <c r="X1008" s="22"/>
      <c r="Y1008" s="22"/>
      <c r="Z1008" s="22"/>
      <c r="AA1008" s="22"/>
      <c r="AB1008" s="22"/>
      <c r="AC1008" s="22"/>
      <c r="AD1008" s="22"/>
      <c r="AE1008" s="22"/>
      <c r="AF1008" s="22"/>
      <c r="AG1008" s="22"/>
      <c r="AH1008" s="22"/>
      <c r="AI1008" s="22"/>
      <c r="AJ1008" s="22"/>
      <c r="AK1008" s="22"/>
      <c r="AL1008" s="22"/>
      <c r="AM1008" s="22"/>
      <c r="AN1008" s="22"/>
      <c r="AO1008" s="22"/>
      <c r="AP1008" s="22"/>
      <c r="AQ1008" s="22"/>
      <c r="AR1008" s="22"/>
      <c r="AS1008" s="22"/>
      <c r="AT1008" s="22"/>
      <c r="AU1008" s="22"/>
      <c r="AV1008" s="22"/>
      <c r="AW1008" s="22"/>
      <c r="AX1008" s="22"/>
    </row>
    <row r="1009" spans="1:50" x14ac:dyDescent="0.3">
      <c r="A1009" s="6"/>
      <c r="B1009" s="19"/>
      <c r="C1009" s="6"/>
      <c r="D1009" s="5"/>
      <c r="E1009" s="6"/>
      <c r="F1009" s="22"/>
      <c r="G1009" s="22"/>
      <c r="H1009" s="22"/>
      <c r="I1009" s="22"/>
      <c r="J1009" s="22"/>
      <c r="K1009" s="22"/>
      <c r="L1009" s="22"/>
      <c r="M1009" s="22"/>
      <c r="N1009" s="22"/>
      <c r="O1009" s="22"/>
      <c r="P1009" s="22"/>
      <c r="Q1009" s="22"/>
      <c r="R1009" s="22"/>
      <c r="S1009" s="22"/>
      <c r="T1009" s="22"/>
      <c r="U1009" s="22"/>
      <c r="V1009" s="22"/>
      <c r="W1009" s="22"/>
      <c r="X1009" s="22"/>
      <c r="Y1009" s="22"/>
      <c r="Z1009" s="22"/>
      <c r="AA1009" s="22"/>
      <c r="AB1009" s="22"/>
      <c r="AC1009" s="22"/>
      <c r="AD1009" s="22"/>
      <c r="AE1009" s="22"/>
      <c r="AF1009" s="22"/>
      <c r="AG1009" s="22"/>
      <c r="AH1009" s="22"/>
      <c r="AI1009" s="22"/>
      <c r="AJ1009" s="22"/>
      <c r="AK1009" s="22"/>
      <c r="AL1009" s="22"/>
      <c r="AM1009" s="22"/>
      <c r="AN1009" s="22"/>
      <c r="AO1009" s="22"/>
      <c r="AP1009" s="22"/>
      <c r="AQ1009" s="22"/>
      <c r="AR1009" s="22"/>
      <c r="AS1009" s="22"/>
      <c r="AT1009" s="22"/>
      <c r="AU1009" s="22"/>
      <c r="AV1009" s="22"/>
      <c r="AW1009" s="22"/>
      <c r="AX1009" s="22"/>
    </row>
    <row r="1010" spans="1:50" x14ac:dyDescent="0.3">
      <c r="A1010" s="6"/>
      <c r="B1010" s="19"/>
      <c r="C1010" s="6"/>
      <c r="D1010" s="5"/>
      <c r="E1010" s="6"/>
      <c r="F1010" s="22"/>
      <c r="G1010" s="22"/>
      <c r="H1010" s="22"/>
      <c r="I1010" s="22"/>
      <c r="J1010" s="22"/>
      <c r="K1010" s="22"/>
      <c r="L1010" s="22"/>
      <c r="M1010" s="22"/>
      <c r="N1010" s="22"/>
      <c r="O1010" s="22"/>
      <c r="P1010" s="22"/>
      <c r="Q1010" s="22"/>
      <c r="R1010" s="22"/>
      <c r="S1010" s="22"/>
      <c r="T1010" s="22"/>
      <c r="U1010" s="22"/>
      <c r="V1010" s="22"/>
      <c r="W1010" s="22"/>
      <c r="X1010" s="22"/>
      <c r="Y1010" s="22"/>
      <c r="Z1010" s="22"/>
      <c r="AA1010" s="22"/>
      <c r="AB1010" s="22"/>
      <c r="AC1010" s="22"/>
      <c r="AD1010" s="22"/>
      <c r="AE1010" s="22"/>
      <c r="AF1010" s="22"/>
      <c r="AG1010" s="22"/>
      <c r="AH1010" s="22"/>
      <c r="AI1010" s="22"/>
      <c r="AJ1010" s="22"/>
      <c r="AK1010" s="22"/>
      <c r="AL1010" s="22"/>
      <c r="AM1010" s="22"/>
      <c r="AN1010" s="22"/>
      <c r="AO1010" s="22"/>
      <c r="AP1010" s="22"/>
      <c r="AQ1010" s="22"/>
      <c r="AR1010" s="22"/>
      <c r="AS1010" s="22"/>
      <c r="AT1010" s="22"/>
      <c r="AU1010" s="22"/>
      <c r="AV1010" s="22"/>
      <c r="AW1010" s="22"/>
      <c r="AX1010" s="22"/>
    </row>
    <row r="1011" spans="1:50" x14ac:dyDescent="0.3">
      <c r="A1011" s="6"/>
      <c r="B1011" s="19"/>
      <c r="C1011" s="6"/>
      <c r="D1011" s="5"/>
      <c r="E1011" s="6"/>
      <c r="F1011" s="22"/>
      <c r="G1011" s="22"/>
      <c r="H1011" s="22"/>
      <c r="I1011" s="22"/>
      <c r="J1011" s="22"/>
      <c r="K1011" s="22"/>
      <c r="L1011" s="22"/>
      <c r="M1011" s="22"/>
      <c r="N1011" s="22"/>
      <c r="O1011" s="22"/>
      <c r="P1011" s="22"/>
      <c r="Q1011" s="22"/>
      <c r="R1011" s="22"/>
      <c r="S1011" s="22"/>
      <c r="T1011" s="22"/>
      <c r="U1011" s="22"/>
      <c r="V1011" s="22"/>
      <c r="W1011" s="22"/>
      <c r="X1011" s="22"/>
      <c r="Y1011" s="22"/>
      <c r="Z1011" s="22"/>
      <c r="AA1011" s="22"/>
      <c r="AB1011" s="22"/>
      <c r="AC1011" s="22"/>
      <c r="AD1011" s="22"/>
      <c r="AE1011" s="22"/>
      <c r="AF1011" s="22"/>
      <c r="AG1011" s="22"/>
      <c r="AH1011" s="22"/>
      <c r="AI1011" s="22"/>
      <c r="AJ1011" s="22"/>
      <c r="AK1011" s="22"/>
      <c r="AL1011" s="22"/>
      <c r="AM1011" s="22"/>
      <c r="AN1011" s="22"/>
      <c r="AO1011" s="22"/>
      <c r="AP1011" s="22"/>
      <c r="AQ1011" s="22"/>
      <c r="AR1011" s="22"/>
      <c r="AS1011" s="22"/>
      <c r="AT1011" s="22"/>
      <c r="AU1011" s="22"/>
      <c r="AV1011" s="22"/>
      <c r="AW1011" s="22"/>
      <c r="AX1011" s="22"/>
    </row>
    <row r="1012" spans="1:50" x14ac:dyDescent="0.3">
      <c r="A1012" s="6"/>
      <c r="B1012" s="19"/>
      <c r="C1012" s="6"/>
      <c r="D1012" s="5"/>
      <c r="E1012" s="6"/>
      <c r="F1012" s="22"/>
      <c r="G1012" s="22"/>
      <c r="H1012" s="22"/>
      <c r="I1012" s="22"/>
      <c r="J1012" s="22"/>
      <c r="K1012" s="22"/>
      <c r="L1012" s="22"/>
      <c r="M1012" s="22"/>
      <c r="N1012" s="22"/>
      <c r="O1012" s="22"/>
      <c r="P1012" s="22"/>
      <c r="Q1012" s="22"/>
      <c r="R1012" s="22"/>
      <c r="S1012" s="22"/>
      <c r="T1012" s="22"/>
      <c r="U1012" s="22"/>
      <c r="V1012" s="22"/>
      <c r="W1012" s="22"/>
      <c r="X1012" s="22"/>
      <c r="Y1012" s="22"/>
      <c r="Z1012" s="22"/>
      <c r="AA1012" s="22"/>
      <c r="AB1012" s="22"/>
      <c r="AC1012" s="22"/>
      <c r="AD1012" s="22"/>
      <c r="AE1012" s="22"/>
      <c r="AF1012" s="22"/>
      <c r="AG1012" s="22"/>
      <c r="AH1012" s="22"/>
      <c r="AI1012" s="22"/>
      <c r="AJ1012" s="22"/>
      <c r="AK1012" s="22"/>
      <c r="AL1012" s="22"/>
      <c r="AM1012" s="22"/>
      <c r="AN1012" s="22"/>
      <c r="AO1012" s="22"/>
      <c r="AP1012" s="22"/>
      <c r="AQ1012" s="22"/>
      <c r="AR1012" s="22"/>
      <c r="AS1012" s="22"/>
      <c r="AT1012" s="22"/>
      <c r="AU1012" s="22"/>
      <c r="AV1012" s="22"/>
      <c r="AW1012" s="22"/>
      <c r="AX1012" s="22"/>
    </row>
    <row r="1013" spans="1:50" x14ac:dyDescent="0.3">
      <c r="A1013" s="6"/>
      <c r="B1013" s="19"/>
      <c r="C1013" s="6"/>
      <c r="D1013" s="5"/>
      <c r="E1013" s="6"/>
      <c r="F1013" s="22"/>
      <c r="G1013" s="22"/>
      <c r="H1013" s="22"/>
      <c r="I1013" s="22"/>
      <c r="J1013" s="22"/>
      <c r="K1013" s="22"/>
      <c r="L1013" s="22"/>
      <c r="M1013" s="22"/>
      <c r="N1013" s="22"/>
      <c r="O1013" s="22"/>
      <c r="P1013" s="22"/>
      <c r="Q1013" s="22"/>
      <c r="R1013" s="22"/>
      <c r="S1013" s="22"/>
      <c r="T1013" s="22"/>
      <c r="U1013" s="22"/>
      <c r="V1013" s="22"/>
      <c r="W1013" s="22"/>
      <c r="X1013" s="22"/>
      <c r="Y1013" s="22"/>
      <c r="Z1013" s="22"/>
      <c r="AA1013" s="22"/>
      <c r="AB1013" s="22"/>
      <c r="AC1013" s="22"/>
      <c r="AD1013" s="22"/>
      <c r="AE1013" s="22"/>
      <c r="AF1013" s="22"/>
      <c r="AG1013" s="22"/>
      <c r="AH1013" s="22"/>
      <c r="AI1013" s="22"/>
      <c r="AJ1013" s="22"/>
      <c r="AK1013" s="22"/>
      <c r="AL1013" s="22"/>
      <c r="AM1013" s="22"/>
      <c r="AN1013" s="22"/>
      <c r="AO1013" s="22"/>
      <c r="AP1013" s="22"/>
      <c r="AQ1013" s="22"/>
      <c r="AR1013" s="22"/>
      <c r="AS1013" s="22"/>
      <c r="AT1013" s="22"/>
      <c r="AU1013" s="22"/>
      <c r="AV1013" s="22"/>
      <c r="AW1013" s="22"/>
      <c r="AX1013" s="22"/>
    </row>
    <row r="1014" spans="1:50" x14ac:dyDescent="0.3">
      <c r="A1014" s="6"/>
      <c r="B1014" s="19"/>
      <c r="C1014" s="6"/>
      <c r="D1014" s="5"/>
      <c r="E1014" s="6"/>
      <c r="F1014" s="22"/>
      <c r="G1014" s="22"/>
      <c r="H1014" s="22"/>
      <c r="I1014" s="22"/>
      <c r="J1014" s="22"/>
      <c r="K1014" s="22"/>
      <c r="L1014" s="22"/>
      <c r="M1014" s="22"/>
      <c r="N1014" s="22"/>
      <c r="O1014" s="22"/>
      <c r="P1014" s="22"/>
      <c r="Q1014" s="22"/>
      <c r="R1014" s="22"/>
      <c r="S1014" s="22"/>
      <c r="T1014" s="22"/>
      <c r="U1014" s="22"/>
      <c r="V1014" s="22"/>
      <c r="W1014" s="22"/>
      <c r="X1014" s="22"/>
      <c r="Y1014" s="22"/>
      <c r="Z1014" s="22"/>
      <c r="AA1014" s="22"/>
      <c r="AB1014" s="22"/>
      <c r="AC1014" s="22"/>
      <c r="AD1014" s="22"/>
      <c r="AE1014" s="22"/>
      <c r="AF1014" s="22"/>
      <c r="AG1014" s="22"/>
      <c r="AH1014" s="22"/>
      <c r="AI1014" s="22"/>
      <c r="AJ1014" s="22"/>
      <c r="AK1014" s="22"/>
      <c r="AL1014" s="22"/>
      <c r="AM1014" s="22"/>
      <c r="AN1014" s="22"/>
      <c r="AO1014" s="22"/>
      <c r="AP1014" s="22"/>
      <c r="AQ1014" s="22"/>
      <c r="AR1014" s="22"/>
      <c r="AS1014" s="22"/>
      <c r="AT1014" s="22"/>
      <c r="AU1014" s="22"/>
      <c r="AV1014" s="22"/>
      <c r="AW1014" s="22"/>
      <c r="AX1014" s="22"/>
    </row>
    <row r="1015" spans="1:50" x14ac:dyDescent="0.3">
      <c r="A1015" s="6"/>
      <c r="B1015" s="19"/>
      <c r="C1015" s="6"/>
      <c r="D1015" s="5"/>
      <c r="E1015" s="6"/>
      <c r="F1015" s="22"/>
      <c r="G1015" s="22"/>
      <c r="H1015" s="22"/>
      <c r="I1015" s="22"/>
      <c r="J1015" s="22"/>
      <c r="K1015" s="22"/>
      <c r="L1015" s="22"/>
      <c r="M1015" s="22"/>
      <c r="N1015" s="22"/>
      <c r="O1015" s="22"/>
      <c r="P1015" s="22"/>
      <c r="Q1015" s="22"/>
      <c r="R1015" s="22"/>
      <c r="S1015" s="22"/>
      <c r="T1015" s="22"/>
      <c r="U1015" s="22"/>
      <c r="V1015" s="22"/>
      <c r="W1015" s="22"/>
      <c r="X1015" s="22"/>
      <c r="Y1015" s="22"/>
      <c r="Z1015" s="22"/>
      <c r="AA1015" s="22"/>
      <c r="AB1015" s="22"/>
      <c r="AC1015" s="22"/>
      <c r="AD1015" s="22"/>
      <c r="AE1015" s="22"/>
      <c r="AF1015" s="22"/>
      <c r="AG1015" s="22"/>
      <c r="AH1015" s="22"/>
      <c r="AI1015" s="22"/>
      <c r="AJ1015" s="22"/>
      <c r="AK1015" s="22"/>
      <c r="AL1015" s="22"/>
      <c r="AM1015" s="22"/>
      <c r="AN1015" s="22"/>
      <c r="AO1015" s="22"/>
      <c r="AP1015" s="22"/>
      <c r="AQ1015" s="22"/>
      <c r="AR1015" s="22"/>
      <c r="AS1015" s="22"/>
      <c r="AT1015" s="22"/>
      <c r="AU1015" s="22"/>
      <c r="AV1015" s="22"/>
      <c r="AW1015" s="22"/>
      <c r="AX1015" s="22"/>
    </row>
    <row r="1016" spans="1:50" x14ac:dyDescent="0.3">
      <c r="A1016" s="6"/>
      <c r="B1016" s="19"/>
      <c r="C1016" s="6"/>
      <c r="D1016" s="5"/>
      <c r="E1016" s="6"/>
      <c r="F1016" s="22"/>
      <c r="G1016" s="22"/>
      <c r="H1016" s="22"/>
      <c r="I1016" s="22"/>
      <c r="J1016" s="22"/>
      <c r="K1016" s="22"/>
      <c r="L1016" s="22"/>
      <c r="M1016" s="22"/>
      <c r="N1016" s="22"/>
      <c r="O1016" s="22"/>
      <c r="P1016" s="22"/>
      <c r="Q1016" s="22"/>
      <c r="R1016" s="22"/>
      <c r="S1016" s="22"/>
      <c r="T1016" s="22"/>
      <c r="U1016" s="22"/>
      <c r="V1016" s="22"/>
      <c r="W1016" s="22"/>
      <c r="X1016" s="22"/>
      <c r="Y1016" s="22"/>
      <c r="Z1016" s="22"/>
      <c r="AA1016" s="22"/>
      <c r="AB1016" s="22"/>
      <c r="AC1016" s="22"/>
      <c r="AD1016" s="22"/>
      <c r="AE1016" s="22"/>
      <c r="AF1016" s="22"/>
      <c r="AG1016" s="22"/>
      <c r="AH1016" s="22"/>
      <c r="AI1016" s="22"/>
      <c r="AJ1016" s="22"/>
      <c r="AK1016" s="22"/>
      <c r="AL1016" s="22"/>
      <c r="AM1016" s="22"/>
      <c r="AN1016" s="22"/>
      <c r="AO1016" s="22"/>
      <c r="AP1016" s="22"/>
      <c r="AQ1016" s="22"/>
      <c r="AR1016" s="22"/>
      <c r="AS1016" s="22"/>
      <c r="AT1016" s="22"/>
      <c r="AU1016" s="22"/>
      <c r="AV1016" s="22"/>
      <c r="AW1016" s="22"/>
      <c r="AX1016" s="22"/>
    </row>
    <row r="1017" spans="1:50" x14ac:dyDescent="0.3">
      <c r="A1017" s="6"/>
      <c r="B1017" s="19"/>
      <c r="C1017" s="6"/>
      <c r="D1017" s="5"/>
      <c r="E1017" s="6"/>
      <c r="F1017" s="22"/>
      <c r="G1017" s="22"/>
      <c r="H1017" s="22"/>
      <c r="I1017" s="22"/>
      <c r="J1017" s="22"/>
      <c r="K1017" s="22"/>
      <c r="L1017" s="22"/>
      <c r="M1017" s="22"/>
      <c r="N1017" s="22"/>
      <c r="O1017" s="22"/>
      <c r="P1017" s="22"/>
      <c r="Q1017" s="22"/>
      <c r="R1017" s="22"/>
      <c r="S1017" s="22"/>
      <c r="T1017" s="22"/>
      <c r="U1017" s="22"/>
      <c r="V1017" s="22"/>
      <c r="W1017" s="22"/>
      <c r="X1017" s="22"/>
      <c r="Y1017" s="22"/>
      <c r="Z1017" s="22"/>
      <c r="AA1017" s="22"/>
      <c r="AB1017" s="22"/>
      <c r="AC1017" s="22"/>
      <c r="AD1017" s="22"/>
      <c r="AE1017" s="22"/>
      <c r="AF1017" s="22"/>
      <c r="AG1017" s="22"/>
      <c r="AH1017" s="22"/>
      <c r="AI1017" s="22"/>
      <c r="AJ1017" s="22"/>
      <c r="AK1017" s="22"/>
      <c r="AL1017" s="22"/>
      <c r="AM1017" s="22"/>
      <c r="AN1017" s="22"/>
      <c r="AO1017" s="22"/>
      <c r="AP1017" s="22"/>
      <c r="AQ1017" s="22"/>
      <c r="AR1017" s="22"/>
      <c r="AS1017" s="22"/>
      <c r="AT1017" s="22"/>
      <c r="AU1017" s="22"/>
      <c r="AV1017" s="22"/>
      <c r="AW1017" s="22"/>
      <c r="AX1017" s="22"/>
    </row>
    <row r="1018" spans="1:50" x14ac:dyDescent="0.3">
      <c r="A1018" s="6"/>
      <c r="B1018" s="19"/>
      <c r="C1018" s="6"/>
      <c r="D1018" s="5"/>
      <c r="E1018" s="6"/>
      <c r="F1018" s="22"/>
      <c r="G1018" s="22"/>
      <c r="H1018" s="22"/>
      <c r="I1018" s="22"/>
      <c r="J1018" s="22"/>
      <c r="K1018" s="22"/>
      <c r="L1018" s="22"/>
      <c r="M1018" s="22"/>
      <c r="N1018" s="22"/>
      <c r="O1018" s="22"/>
      <c r="P1018" s="22"/>
      <c r="Q1018" s="22"/>
      <c r="R1018" s="22"/>
      <c r="S1018" s="22"/>
      <c r="T1018" s="22"/>
      <c r="U1018" s="22"/>
      <c r="V1018" s="22"/>
      <c r="W1018" s="22"/>
      <c r="X1018" s="22"/>
      <c r="Y1018" s="22"/>
      <c r="Z1018" s="22"/>
      <c r="AA1018" s="22"/>
      <c r="AB1018" s="22"/>
      <c r="AC1018" s="22"/>
      <c r="AD1018" s="22"/>
      <c r="AE1018" s="22"/>
      <c r="AF1018" s="22"/>
      <c r="AG1018" s="22"/>
      <c r="AH1018" s="22"/>
      <c r="AI1018" s="22"/>
      <c r="AJ1018" s="22"/>
      <c r="AK1018" s="22"/>
      <c r="AL1018" s="22"/>
      <c r="AM1018" s="22"/>
      <c r="AN1018" s="22"/>
      <c r="AO1018" s="22"/>
      <c r="AP1018" s="22"/>
      <c r="AQ1018" s="22"/>
      <c r="AR1018" s="22"/>
      <c r="AS1018" s="22"/>
      <c r="AT1018" s="22"/>
      <c r="AU1018" s="22"/>
      <c r="AV1018" s="22"/>
      <c r="AW1018" s="22"/>
      <c r="AX1018" s="22"/>
    </row>
    <row r="1019" spans="1:50" x14ac:dyDescent="0.3">
      <c r="A1019" s="6"/>
      <c r="B1019" s="19"/>
      <c r="C1019" s="6"/>
      <c r="D1019" s="5"/>
      <c r="E1019" s="6"/>
      <c r="F1019" s="22"/>
      <c r="G1019" s="22"/>
      <c r="H1019" s="22"/>
      <c r="I1019" s="22"/>
      <c r="J1019" s="22"/>
      <c r="K1019" s="22"/>
      <c r="L1019" s="22"/>
      <c r="M1019" s="22"/>
      <c r="N1019" s="22"/>
      <c r="O1019" s="22"/>
      <c r="P1019" s="22"/>
      <c r="Q1019" s="22"/>
      <c r="R1019" s="22"/>
      <c r="S1019" s="22"/>
      <c r="T1019" s="22"/>
      <c r="U1019" s="22"/>
      <c r="V1019" s="22"/>
      <c r="W1019" s="22"/>
      <c r="X1019" s="22"/>
      <c r="Y1019" s="22"/>
      <c r="Z1019" s="22"/>
      <c r="AA1019" s="22"/>
      <c r="AB1019" s="22"/>
      <c r="AC1019" s="22"/>
      <c r="AD1019" s="22"/>
      <c r="AE1019" s="22"/>
      <c r="AF1019" s="22"/>
      <c r="AG1019" s="22"/>
      <c r="AH1019" s="22"/>
      <c r="AI1019" s="22"/>
      <c r="AJ1019" s="22"/>
      <c r="AK1019" s="22"/>
      <c r="AL1019" s="22"/>
      <c r="AM1019" s="22"/>
      <c r="AN1019" s="22"/>
      <c r="AO1019" s="22"/>
      <c r="AP1019" s="22"/>
      <c r="AQ1019" s="22"/>
      <c r="AR1019" s="22"/>
      <c r="AS1019" s="22"/>
      <c r="AT1019" s="22"/>
      <c r="AU1019" s="22"/>
      <c r="AV1019" s="22"/>
      <c r="AW1019" s="22"/>
      <c r="AX1019" s="22"/>
    </row>
    <row r="1020" spans="1:50" x14ac:dyDescent="0.3">
      <c r="A1020" s="6"/>
      <c r="B1020" s="19"/>
      <c r="C1020" s="6"/>
      <c r="D1020" s="5"/>
      <c r="E1020" s="6"/>
      <c r="F1020" s="22"/>
      <c r="G1020" s="22"/>
      <c r="H1020" s="22"/>
      <c r="I1020" s="22"/>
      <c r="J1020" s="22"/>
      <c r="K1020" s="22"/>
      <c r="L1020" s="22"/>
      <c r="M1020" s="22"/>
      <c r="N1020" s="22"/>
      <c r="O1020" s="22"/>
      <c r="P1020" s="22"/>
      <c r="Q1020" s="22"/>
      <c r="R1020" s="22"/>
      <c r="S1020" s="22"/>
      <c r="T1020" s="22"/>
      <c r="U1020" s="22"/>
      <c r="V1020" s="22"/>
      <c r="W1020" s="22"/>
      <c r="X1020" s="22"/>
      <c r="Y1020" s="22"/>
      <c r="Z1020" s="22"/>
      <c r="AA1020" s="22"/>
      <c r="AB1020" s="22"/>
      <c r="AC1020" s="22"/>
      <c r="AD1020" s="22"/>
      <c r="AE1020" s="22"/>
      <c r="AF1020" s="22"/>
      <c r="AG1020" s="22"/>
      <c r="AH1020" s="22"/>
      <c r="AI1020" s="22"/>
      <c r="AJ1020" s="22"/>
      <c r="AK1020" s="22"/>
      <c r="AL1020" s="22"/>
      <c r="AM1020" s="22"/>
      <c r="AN1020" s="22"/>
      <c r="AO1020" s="22"/>
      <c r="AP1020" s="22"/>
      <c r="AQ1020" s="22"/>
      <c r="AR1020" s="22"/>
      <c r="AS1020" s="22"/>
      <c r="AT1020" s="22"/>
      <c r="AU1020" s="22"/>
      <c r="AV1020" s="22"/>
      <c r="AW1020" s="22"/>
      <c r="AX1020" s="22"/>
    </row>
    <row r="1021" spans="1:50" x14ac:dyDescent="0.3">
      <c r="A1021" s="6"/>
      <c r="B1021" s="19"/>
      <c r="C1021" s="6"/>
      <c r="D1021" s="5"/>
      <c r="E1021" s="6"/>
      <c r="F1021" s="22"/>
      <c r="G1021" s="22"/>
      <c r="H1021" s="22"/>
      <c r="I1021" s="22"/>
      <c r="J1021" s="22"/>
      <c r="K1021" s="22"/>
      <c r="L1021" s="22"/>
      <c r="M1021" s="22"/>
      <c r="N1021" s="22"/>
      <c r="O1021" s="22"/>
      <c r="P1021" s="22"/>
      <c r="Q1021" s="22"/>
      <c r="R1021" s="22"/>
      <c r="S1021" s="22"/>
      <c r="T1021" s="22"/>
      <c r="U1021" s="22"/>
      <c r="V1021" s="22"/>
      <c r="W1021" s="22"/>
      <c r="X1021" s="22"/>
      <c r="Y1021" s="22"/>
      <c r="Z1021" s="22"/>
      <c r="AA1021" s="22"/>
      <c r="AB1021" s="22"/>
      <c r="AC1021" s="22"/>
      <c r="AD1021" s="22"/>
      <c r="AE1021" s="22"/>
      <c r="AF1021" s="22"/>
      <c r="AG1021" s="22"/>
      <c r="AH1021" s="22"/>
      <c r="AI1021" s="22"/>
      <c r="AJ1021" s="22"/>
      <c r="AK1021" s="22"/>
      <c r="AL1021" s="22"/>
      <c r="AM1021" s="22"/>
      <c r="AN1021" s="22"/>
      <c r="AO1021" s="22"/>
      <c r="AP1021" s="22"/>
      <c r="AQ1021" s="22"/>
      <c r="AR1021" s="22"/>
      <c r="AS1021" s="22"/>
      <c r="AT1021" s="22"/>
      <c r="AU1021" s="22"/>
      <c r="AV1021" s="22"/>
      <c r="AW1021" s="22"/>
      <c r="AX1021" s="22"/>
    </row>
    <row r="1022" spans="1:50" x14ac:dyDescent="0.3">
      <c r="A1022" s="6"/>
      <c r="B1022" s="19"/>
      <c r="C1022" s="6"/>
      <c r="D1022" s="5"/>
      <c r="E1022" s="6"/>
      <c r="F1022" s="22"/>
      <c r="G1022" s="22"/>
      <c r="H1022" s="22"/>
      <c r="I1022" s="22"/>
      <c r="J1022" s="22"/>
      <c r="K1022" s="22"/>
      <c r="L1022" s="22"/>
      <c r="M1022" s="22"/>
      <c r="N1022" s="22"/>
      <c r="O1022" s="22"/>
      <c r="P1022" s="22"/>
      <c r="Q1022" s="22"/>
      <c r="R1022" s="22"/>
      <c r="S1022" s="22"/>
      <c r="T1022" s="22"/>
      <c r="U1022" s="22"/>
      <c r="V1022" s="22"/>
      <c r="W1022" s="22"/>
      <c r="X1022" s="22"/>
      <c r="Y1022" s="22"/>
      <c r="Z1022" s="22"/>
      <c r="AA1022" s="22"/>
      <c r="AB1022" s="22"/>
      <c r="AC1022" s="22"/>
      <c r="AD1022" s="22"/>
      <c r="AE1022" s="22"/>
      <c r="AF1022" s="22"/>
      <c r="AG1022" s="22"/>
      <c r="AH1022" s="22"/>
      <c r="AI1022" s="22"/>
      <c r="AJ1022" s="22"/>
      <c r="AK1022" s="22"/>
      <c r="AL1022" s="22"/>
      <c r="AM1022" s="22"/>
      <c r="AN1022" s="22"/>
      <c r="AO1022" s="22"/>
      <c r="AP1022" s="22"/>
      <c r="AQ1022" s="22"/>
      <c r="AR1022" s="22"/>
      <c r="AS1022" s="22"/>
      <c r="AT1022" s="22"/>
      <c r="AU1022" s="22"/>
      <c r="AV1022" s="22"/>
      <c r="AW1022" s="22"/>
      <c r="AX1022" s="22"/>
    </row>
    <row r="1023" spans="1:50" x14ac:dyDescent="0.3">
      <c r="A1023" s="6"/>
      <c r="B1023" s="19"/>
      <c r="C1023" s="6"/>
      <c r="D1023" s="5"/>
      <c r="E1023" s="6"/>
      <c r="F1023" s="22"/>
      <c r="G1023" s="22"/>
      <c r="H1023" s="22"/>
      <c r="I1023" s="22"/>
      <c r="J1023" s="22"/>
      <c r="K1023" s="22"/>
      <c r="L1023" s="22"/>
      <c r="M1023" s="22"/>
      <c r="N1023" s="22"/>
      <c r="O1023" s="22"/>
      <c r="P1023" s="22"/>
      <c r="Q1023" s="22"/>
      <c r="R1023" s="22"/>
      <c r="S1023" s="22"/>
      <c r="T1023" s="22"/>
      <c r="U1023" s="22"/>
      <c r="V1023" s="22"/>
      <c r="W1023" s="22"/>
      <c r="X1023" s="22"/>
      <c r="Y1023" s="22"/>
      <c r="Z1023" s="22"/>
      <c r="AA1023" s="22"/>
      <c r="AB1023" s="22"/>
      <c r="AC1023" s="22"/>
      <c r="AD1023" s="22"/>
      <c r="AE1023" s="22"/>
      <c r="AF1023" s="22"/>
      <c r="AG1023" s="22"/>
      <c r="AH1023" s="22"/>
      <c r="AI1023" s="22"/>
      <c r="AJ1023" s="22"/>
      <c r="AK1023" s="22"/>
      <c r="AL1023" s="22"/>
      <c r="AM1023" s="22"/>
      <c r="AN1023" s="22"/>
      <c r="AO1023" s="22"/>
      <c r="AP1023" s="22"/>
      <c r="AQ1023" s="22"/>
      <c r="AR1023" s="22"/>
      <c r="AS1023" s="22"/>
      <c r="AT1023" s="22"/>
      <c r="AU1023" s="22"/>
      <c r="AV1023" s="22"/>
      <c r="AW1023" s="22"/>
      <c r="AX1023" s="22"/>
    </row>
    <row r="1024" spans="1:50" x14ac:dyDescent="0.3">
      <c r="A1024" s="6"/>
      <c r="B1024" s="19"/>
      <c r="C1024" s="6"/>
      <c r="D1024" s="5"/>
      <c r="E1024" s="6"/>
      <c r="F1024" s="22"/>
      <c r="G1024" s="22"/>
      <c r="H1024" s="22"/>
      <c r="I1024" s="22"/>
      <c r="J1024" s="22"/>
      <c r="K1024" s="22"/>
      <c r="L1024" s="22"/>
      <c r="M1024" s="22"/>
      <c r="N1024" s="22"/>
      <c r="O1024" s="22"/>
      <c r="P1024" s="22"/>
      <c r="Q1024" s="22"/>
      <c r="R1024" s="22"/>
      <c r="S1024" s="22"/>
      <c r="T1024" s="22"/>
      <c r="U1024" s="22"/>
      <c r="V1024" s="22"/>
      <c r="W1024" s="22"/>
      <c r="X1024" s="22"/>
      <c r="Y1024" s="22"/>
      <c r="Z1024" s="22"/>
      <c r="AA1024" s="22"/>
      <c r="AB1024" s="22"/>
      <c r="AC1024" s="22"/>
      <c r="AD1024" s="22"/>
      <c r="AE1024" s="22"/>
      <c r="AF1024" s="22"/>
      <c r="AG1024" s="22"/>
      <c r="AH1024" s="22"/>
      <c r="AI1024" s="22"/>
      <c r="AJ1024" s="22"/>
      <c r="AK1024" s="22"/>
      <c r="AL1024" s="22"/>
      <c r="AM1024" s="22"/>
      <c r="AN1024" s="22"/>
      <c r="AO1024" s="22"/>
      <c r="AP1024" s="22"/>
      <c r="AQ1024" s="22"/>
      <c r="AR1024" s="22"/>
      <c r="AS1024" s="22"/>
      <c r="AT1024" s="22"/>
      <c r="AU1024" s="22"/>
      <c r="AV1024" s="22"/>
      <c r="AW1024" s="22"/>
      <c r="AX1024" s="22"/>
    </row>
    <row r="1025" spans="1:50" x14ac:dyDescent="0.3">
      <c r="A1025" s="6"/>
      <c r="B1025" s="19"/>
      <c r="C1025" s="6"/>
      <c r="D1025" s="5"/>
      <c r="E1025" s="6"/>
      <c r="F1025" s="22"/>
      <c r="G1025" s="22"/>
      <c r="H1025" s="22"/>
      <c r="I1025" s="22"/>
      <c r="J1025" s="22"/>
      <c r="K1025" s="22"/>
      <c r="L1025" s="22"/>
      <c r="M1025" s="22"/>
      <c r="N1025" s="22"/>
      <c r="O1025" s="22"/>
      <c r="P1025" s="22"/>
      <c r="Q1025" s="22"/>
      <c r="R1025" s="22"/>
      <c r="S1025" s="22"/>
      <c r="T1025" s="22"/>
      <c r="U1025" s="22"/>
      <c r="V1025" s="22"/>
      <c r="W1025" s="22"/>
      <c r="X1025" s="22"/>
      <c r="Y1025" s="22"/>
      <c r="Z1025" s="22"/>
      <c r="AA1025" s="22"/>
      <c r="AB1025" s="22"/>
      <c r="AC1025" s="22"/>
      <c r="AD1025" s="22"/>
      <c r="AE1025" s="22"/>
      <c r="AF1025" s="22"/>
      <c r="AG1025" s="22"/>
      <c r="AH1025" s="22"/>
      <c r="AI1025" s="22"/>
      <c r="AJ1025" s="22"/>
      <c r="AK1025" s="22"/>
      <c r="AL1025" s="22"/>
      <c r="AM1025" s="22"/>
      <c r="AN1025" s="22"/>
      <c r="AO1025" s="22"/>
      <c r="AP1025" s="22"/>
      <c r="AQ1025" s="22"/>
      <c r="AR1025" s="22"/>
      <c r="AS1025" s="22"/>
      <c r="AT1025" s="22"/>
      <c r="AU1025" s="22"/>
      <c r="AV1025" s="22"/>
      <c r="AW1025" s="22"/>
      <c r="AX1025" s="22"/>
    </row>
    <row r="1026" spans="1:50" x14ac:dyDescent="0.3">
      <c r="A1026" s="6"/>
      <c r="B1026" s="19"/>
      <c r="C1026" s="6"/>
      <c r="D1026" s="5"/>
      <c r="E1026" s="6"/>
      <c r="F1026" s="22"/>
      <c r="G1026" s="22"/>
      <c r="H1026" s="22"/>
      <c r="I1026" s="22"/>
      <c r="J1026" s="22"/>
      <c r="K1026" s="22"/>
      <c r="L1026" s="22"/>
      <c r="M1026" s="22"/>
      <c r="N1026" s="22"/>
      <c r="O1026" s="22"/>
      <c r="P1026" s="22"/>
      <c r="Q1026" s="22"/>
      <c r="R1026" s="22"/>
      <c r="S1026" s="22"/>
      <c r="T1026" s="22"/>
      <c r="U1026" s="22"/>
      <c r="V1026" s="22"/>
      <c r="W1026" s="22"/>
      <c r="X1026" s="22"/>
      <c r="Y1026" s="22"/>
      <c r="Z1026" s="22"/>
      <c r="AA1026" s="22"/>
      <c r="AB1026" s="22"/>
      <c r="AC1026" s="22"/>
      <c r="AD1026" s="22"/>
      <c r="AE1026" s="22"/>
      <c r="AF1026" s="22"/>
      <c r="AG1026" s="22"/>
      <c r="AH1026" s="22"/>
      <c r="AI1026" s="22"/>
      <c r="AJ1026" s="22"/>
      <c r="AK1026" s="22"/>
      <c r="AL1026" s="22"/>
      <c r="AM1026" s="22"/>
      <c r="AN1026" s="22"/>
      <c r="AO1026" s="22"/>
      <c r="AP1026" s="22"/>
      <c r="AQ1026" s="22"/>
      <c r="AR1026" s="22"/>
      <c r="AS1026" s="22"/>
      <c r="AT1026" s="22"/>
      <c r="AU1026" s="22"/>
      <c r="AV1026" s="22"/>
      <c r="AW1026" s="22"/>
      <c r="AX1026" s="22"/>
    </row>
    <row r="1027" spans="1:50" x14ac:dyDescent="0.3">
      <c r="A1027" s="6"/>
      <c r="B1027" s="19"/>
      <c r="C1027" s="6"/>
      <c r="D1027" s="5"/>
      <c r="E1027" s="6"/>
      <c r="F1027" s="22"/>
      <c r="G1027" s="22"/>
      <c r="H1027" s="22"/>
      <c r="I1027" s="22"/>
      <c r="J1027" s="22"/>
      <c r="K1027" s="22"/>
      <c r="L1027" s="22"/>
      <c r="M1027" s="22"/>
      <c r="N1027" s="22"/>
      <c r="O1027" s="22"/>
      <c r="P1027" s="22"/>
      <c r="Q1027" s="22"/>
      <c r="R1027" s="22"/>
      <c r="S1027" s="22"/>
      <c r="T1027" s="22"/>
      <c r="U1027" s="22"/>
      <c r="V1027" s="22"/>
      <c r="W1027" s="22"/>
      <c r="X1027" s="22"/>
      <c r="Y1027" s="22"/>
      <c r="Z1027" s="22"/>
      <c r="AA1027" s="22"/>
      <c r="AB1027" s="22"/>
      <c r="AC1027" s="22"/>
      <c r="AD1027" s="22"/>
      <c r="AE1027" s="22"/>
      <c r="AF1027" s="22"/>
      <c r="AG1027" s="22"/>
      <c r="AH1027" s="22"/>
      <c r="AI1027" s="22"/>
      <c r="AJ1027" s="22"/>
      <c r="AK1027" s="22"/>
      <c r="AL1027" s="22"/>
      <c r="AM1027" s="22"/>
      <c r="AN1027" s="22"/>
      <c r="AO1027" s="22"/>
      <c r="AP1027" s="22"/>
      <c r="AQ1027" s="22"/>
      <c r="AR1027" s="22"/>
      <c r="AS1027" s="22"/>
      <c r="AT1027" s="22"/>
      <c r="AU1027" s="22"/>
      <c r="AV1027" s="22"/>
      <c r="AW1027" s="22"/>
      <c r="AX1027" s="22"/>
    </row>
    <row r="1028" spans="1:50" x14ac:dyDescent="0.3">
      <c r="A1028" s="6"/>
      <c r="B1028" s="19"/>
      <c r="C1028" s="6"/>
      <c r="D1028" s="5"/>
      <c r="E1028" s="6"/>
      <c r="F1028" s="22"/>
      <c r="G1028" s="22"/>
      <c r="H1028" s="22"/>
      <c r="I1028" s="22"/>
      <c r="J1028" s="22"/>
      <c r="K1028" s="22"/>
      <c r="L1028" s="22"/>
      <c r="M1028" s="22"/>
      <c r="N1028" s="22"/>
      <c r="O1028" s="22"/>
      <c r="P1028" s="22"/>
      <c r="Q1028" s="22"/>
      <c r="R1028" s="22"/>
      <c r="S1028" s="22"/>
      <c r="T1028" s="22"/>
      <c r="U1028" s="22"/>
      <c r="V1028" s="22"/>
      <c r="W1028" s="22"/>
      <c r="X1028" s="22"/>
      <c r="Y1028" s="22"/>
      <c r="Z1028" s="22"/>
      <c r="AA1028" s="22"/>
      <c r="AB1028" s="22"/>
      <c r="AC1028" s="22"/>
      <c r="AD1028" s="22"/>
      <c r="AE1028" s="22"/>
      <c r="AF1028" s="22"/>
      <c r="AG1028" s="22"/>
      <c r="AH1028" s="22"/>
      <c r="AI1028" s="22"/>
      <c r="AJ1028" s="22"/>
      <c r="AK1028" s="22"/>
      <c r="AL1028" s="22"/>
      <c r="AM1028" s="22"/>
      <c r="AN1028" s="22"/>
      <c r="AO1028" s="22"/>
      <c r="AP1028" s="22"/>
      <c r="AQ1028" s="22"/>
      <c r="AR1028" s="22"/>
      <c r="AS1028" s="22"/>
      <c r="AT1028" s="22"/>
      <c r="AU1028" s="22"/>
      <c r="AV1028" s="22"/>
      <c r="AW1028" s="22"/>
      <c r="AX1028" s="22"/>
    </row>
    <row r="1029" spans="1:50" x14ac:dyDescent="0.3">
      <c r="A1029" s="6"/>
      <c r="B1029" s="19"/>
      <c r="C1029" s="6"/>
      <c r="D1029" s="5"/>
      <c r="E1029" s="6"/>
      <c r="F1029" s="22"/>
      <c r="G1029" s="22"/>
      <c r="H1029" s="22"/>
      <c r="I1029" s="22"/>
      <c r="J1029" s="22"/>
      <c r="K1029" s="22"/>
      <c r="L1029" s="22"/>
      <c r="M1029" s="22"/>
      <c r="N1029" s="22"/>
      <c r="O1029" s="22"/>
      <c r="P1029" s="22"/>
      <c r="Q1029" s="22"/>
      <c r="R1029" s="22"/>
      <c r="S1029" s="22"/>
      <c r="T1029" s="22"/>
      <c r="U1029" s="22"/>
      <c r="V1029" s="22"/>
      <c r="W1029" s="22"/>
      <c r="X1029" s="22"/>
      <c r="Y1029" s="22"/>
      <c r="Z1029" s="22"/>
      <c r="AA1029" s="22"/>
      <c r="AB1029" s="22"/>
      <c r="AC1029" s="22"/>
      <c r="AD1029" s="22"/>
      <c r="AE1029" s="22"/>
      <c r="AF1029" s="22"/>
      <c r="AG1029" s="22"/>
      <c r="AH1029" s="22"/>
      <c r="AI1029" s="22"/>
      <c r="AJ1029" s="22"/>
      <c r="AK1029" s="22"/>
      <c r="AL1029" s="22"/>
      <c r="AM1029" s="22"/>
      <c r="AN1029" s="22"/>
      <c r="AO1029" s="22"/>
      <c r="AP1029" s="22"/>
      <c r="AQ1029" s="22"/>
      <c r="AR1029" s="22"/>
      <c r="AS1029" s="22"/>
      <c r="AT1029" s="22"/>
      <c r="AU1029" s="22"/>
      <c r="AV1029" s="22"/>
      <c r="AW1029" s="22"/>
      <c r="AX1029" s="22"/>
    </row>
    <row r="1030" spans="1:50" x14ac:dyDescent="0.3">
      <c r="A1030" s="6"/>
      <c r="B1030" s="19"/>
      <c r="C1030" s="6"/>
      <c r="D1030" s="5"/>
      <c r="E1030" s="6"/>
      <c r="F1030" s="22"/>
      <c r="G1030" s="22"/>
      <c r="H1030" s="22"/>
      <c r="I1030" s="22"/>
      <c r="J1030" s="22"/>
      <c r="K1030" s="22"/>
      <c r="L1030" s="22"/>
      <c r="M1030" s="22"/>
      <c r="N1030" s="22"/>
      <c r="O1030" s="22"/>
      <c r="P1030" s="22"/>
      <c r="Q1030" s="22"/>
      <c r="R1030" s="22"/>
      <c r="S1030" s="22"/>
      <c r="T1030" s="22"/>
      <c r="U1030" s="22"/>
      <c r="V1030" s="22"/>
      <c r="W1030" s="22"/>
      <c r="X1030" s="22"/>
      <c r="Y1030" s="22"/>
      <c r="Z1030" s="22"/>
      <c r="AA1030" s="22"/>
      <c r="AB1030" s="22"/>
      <c r="AC1030" s="22"/>
      <c r="AD1030" s="22"/>
      <c r="AE1030" s="22"/>
      <c r="AF1030" s="22"/>
      <c r="AG1030" s="22"/>
      <c r="AH1030" s="22"/>
      <c r="AI1030" s="22"/>
      <c r="AJ1030" s="22"/>
      <c r="AK1030" s="22"/>
      <c r="AL1030" s="22"/>
      <c r="AM1030" s="22"/>
      <c r="AN1030" s="22"/>
      <c r="AO1030" s="22"/>
      <c r="AP1030" s="22"/>
      <c r="AQ1030" s="22"/>
      <c r="AR1030" s="22"/>
      <c r="AS1030" s="22"/>
      <c r="AT1030" s="22"/>
      <c r="AU1030" s="22"/>
      <c r="AV1030" s="22"/>
      <c r="AW1030" s="22"/>
      <c r="AX1030" s="22"/>
    </row>
    <row r="1031" spans="1:50" x14ac:dyDescent="0.3">
      <c r="A1031" s="6"/>
      <c r="B1031" s="19"/>
      <c r="C1031" s="6"/>
      <c r="D1031" s="5"/>
      <c r="E1031" s="6"/>
      <c r="F1031" s="22"/>
      <c r="G1031" s="22"/>
      <c r="H1031" s="22"/>
      <c r="I1031" s="22"/>
      <c r="J1031" s="22"/>
      <c r="K1031" s="22"/>
      <c r="L1031" s="22"/>
      <c r="M1031" s="22"/>
      <c r="N1031" s="22"/>
      <c r="O1031" s="22"/>
      <c r="P1031" s="22"/>
      <c r="Q1031" s="22"/>
      <c r="R1031" s="22"/>
      <c r="S1031" s="22"/>
      <c r="T1031" s="22"/>
      <c r="U1031" s="22"/>
      <c r="V1031" s="22"/>
      <c r="W1031" s="22"/>
      <c r="X1031" s="22"/>
      <c r="Y1031" s="22"/>
      <c r="Z1031" s="22"/>
      <c r="AA1031" s="22"/>
      <c r="AB1031" s="22"/>
      <c r="AC1031" s="22"/>
      <c r="AD1031" s="22"/>
      <c r="AE1031" s="22"/>
      <c r="AF1031" s="22"/>
      <c r="AG1031" s="22"/>
      <c r="AH1031" s="22"/>
      <c r="AI1031" s="22"/>
      <c r="AJ1031" s="22"/>
      <c r="AK1031" s="22"/>
      <c r="AL1031" s="22"/>
      <c r="AM1031" s="22"/>
      <c r="AN1031" s="22"/>
      <c r="AO1031" s="22"/>
      <c r="AP1031" s="22"/>
      <c r="AQ1031" s="22"/>
      <c r="AR1031" s="22"/>
      <c r="AS1031" s="22"/>
      <c r="AT1031" s="22"/>
      <c r="AU1031" s="22"/>
      <c r="AV1031" s="22"/>
      <c r="AW1031" s="22"/>
      <c r="AX1031" s="22"/>
    </row>
    <row r="1032" spans="1:50" x14ac:dyDescent="0.3">
      <c r="A1032" s="6"/>
      <c r="B1032" s="19"/>
      <c r="C1032" s="6"/>
      <c r="D1032" s="5"/>
      <c r="E1032" s="6"/>
      <c r="F1032" s="22"/>
      <c r="G1032" s="22"/>
      <c r="H1032" s="22"/>
      <c r="I1032" s="22"/>
      <c r="J1032" s="22"/>
      <c r="K1032" s="22"/>
      <c r="L1032" s="22"/>
      <c r="M1032" s="22"/>
      <c r="N1032" s="22"/>
      <c r="O1032" s="22"/>
      <c r="P1032" s="22"/>
      <c r="Q1032" s="22"/>
      <c r="R1032" s="22"/>
      <c r="S1032" s="22"/>
      <c r="T1032" s="22"/>
      <c r="U1032" s="22"/>
      <c r="V1032" s="22"/>
      <c r="W1032" s="22"/>
      <c r="X1032" s="22"/>
      <c r="Y1032" s="22"/>
      <c r="Z1032" s="22"/>
      <c r="AA1032" s="22"/>
      <c r="AB1032" s="22"/>
      <c r="AC1032" s="22"/>
      <c r="AD1032" s="22"/>
      <c r="AE1032" s="22"/>
      <c r="AF1032" s="22"/>
      <c r="AG1032" s="22"/>
      <c r="AH1032" s="22"/>
      <c r="AI1032" s="22"/>
      <c r="AJ1032" s="22"/>
      <c r="AK1032" s="22"/>
      <c r="AL1032" s="22"/>
      <c r="AM1032" s="22"/>
      <c r="AN1032" s="22"/>
      <c r="AO1032" s="22"/>
      <c r="AP1032" s="22"/>
      <c r="AQ1032" s="22"/>
      <c r="AR1032" s="22"/>
      <c r="AS1032" s="22"/>
      <c r="AT1032" s="22"/>
      <c r="AU1032" s="22"/>
      <c r="AV1032" s="22"/>
      <c r="AW1032" s="22"/>
      <c r="AX1032" s="22"/>
    </row>
    <row r="1033" spans="1:50" x14ac:dyDescent="0.3">
      <c r="A1033" s="6"/>
      <c r="B1033" s="19"/>
      <c r="C1033" s="6"/>
      <c r="D1033" s="5"/>
      <c r="E1033" s="6"/>
      <c r="F1033" s="22"/>
      <c r="G1033" s="22"/>
      <c r="H1033" s="22"/>
      <c r="I1033" s="22"/>
      <c r="J1033" s="22"/>
      <c r="K1033" s="22"/>
      <c r="L1033" s="22"/>
      <c r="M1033" s="22"/>
      <c r="N1033" s="22"/>
      <c r="O1033" s="22"/>
      <c r="P1033" s="22"/>
      <c r="Q1033" s="22"/>
      <c r="R1033" s="22"/>
      <c r="S1033" s="22"/>
      <c r="T1033" s="22"/>
      <c r="U1033" s="22"/>
      <c r="V1033" s="22"/>
      <c r="W1033" s="22"/>
      <c r="X1033" s="22"/>
      <c r="Y1033" s="22"/>
      <c r="Z1033" s="22"/>
      <c r="AA1033" s="22"/>
      <c r="AB1033" s="22"/>
      <c r="AC1033" s="22"/>
      <c r="AD1033" s="22"/>
      <c r="AE1033" s="22"/>
      <c r="AF1033" s="22"/>
      <c r="AG1033" s="22"/>
      <c r="AH1033" s="22"/>
      <c r="AI1033" s="22"/>
      <c r="AJ1033" s="22"/>
      <c r="AK1033" s="22"/>
      <c r="AL1033" s="22"/>
      <c r="AM1033" s="22"/>
      <c r="AN1033" s="22"/>
      <c r="AO1033" s="22"/>
      <c r="AP1033" s="22"/>
      <c r="AQ1033" s="22"/>
      <c r="AR1033" s="22"/>
      <c r="AS1033" s="22"/>
      <c r="AT1033" s="22"/>
      <c r="AU1033" s="22"/>
      <c r="AV1033" s="22"/>
      <c r="AW1033" s="22"/>
      <c r="AX1033" s="22"/>
    </row>
    <row r="1034" spans="1:50" x14ac:dyDescent="0.3">
      <c r="A1034" s="6"/>
      <c r="B1034" s="19"/>
      <c r="C1034" s="6"/>
      <c r="D1034" s="5"/>
      <c r="E1034" s="6"/>
      <c r="F1034" s="22"/>
      <c r="G1034" s="22"/>
      <c r="H1034" s="22"/>
      <c r="I1034" s="22"/>
      <c r="J1034" s="22"/>
      <c r="K1034" s="22"/>
      <c r="L1034" s="22"/>
      <c r="M1034" s="22"/>
      <c r="N1034" s="22"/>
      <c r="O1034" s="22"/>
      <c r="P1034" s="22"/>
      <c r="Q1034" s="22"/>
      <c r="R1034" s="22"/>
      <c r="S1034" s="22"/>
      <c r="T1034" s="22"/>
      <c r="U1034" s="22"/>
      <c r="V1034" s="22"/>
      <c r="W1034" s="22"/>
      <c r="X1034" s="22"/>
      <c r="Y1034" s="22"/>
      <c r="Z1034" s="22"/>
      <c r="AA1034" s="22"/>
      <c r="AB1034" s="22"/>
      <c r="AC1034" s="22"/>
      <c r="AD1034" s="22"/>
      <c r="AE1034" s="22"/>
      <c r="AF1034" s="22"/>
      <c r="AG1034" s="22"/>
      <c r="AH1034" s="22"/>
      <c r="AI1034" s="22"/>
      <c r="AJ1034" s="22"/>
      <c r="AK1034" s="22"/>
      <c r="AL1034" s="22"/>
      <c r="AM1034" s="22"/>
      <c r="AN1034" s="22"/>
      <c r="AO1034" s="22"/>
      <c r="AP1034" s="22"/>
      <c r="AQ1034" s="22"/>
      <c r="AR1034" s="22"/>
      <c r="AS1034" s="22"/>
      <c r="AT1034" s="22"/>
      <c r="AU1034" s="22"/>
      <c r="AV1034" s="22"/>
      <c r="AW1034" s="22"/>
      <c r="AX1034" s="22"/>
    </row>
    <row r="1035" spans="1:50" x14ac:dyDescent="0.3">
      <c r="A1035" s="6"/>
      <c r="B1035" s="19"/>
      <c r="C1035" s="6"/>
      <c r="D1035" s="5"/>
      <c r="E1035" s="6"/>
      <c r="F1035" s="22"/>
      <c r="G1035" s="22"/>
      <c r="H1035" s="22"/>
      <c r="I1035" s="22"/>
      <c r="J1035" s="22"/>
      <c r="K1035" s="22"/>
      <c r="L1035" s="22"/>
      <c r="M1035" s="22"/>
      <c r="N1035" s="22"/>
      <c r="O1035" s="22"/>
      <c r="P1035" s="22"/>
      <c r="Q1035" s="22"/>
      <c r="R1035" s="22"/>
      <c r="S1035" s="22"/>
      <c r="T1035" s="22"/>
      <c r="U1035" s="22"/>
      <c r="V1035" s="22"/>
      <c r="W1035" s="22"/>
      <c r="X1035" s="22"/>
      <c r="Y1035" s="22"/>
      <c r="Z1035" s="22"/>
      <c r="AA1035" s="22"/>
      <c r="AB1035" s="22"/>
      <c r="AC1035" s="22"/>
      <c r="AD1035" s="22"/>
      <c r="AE1035" s="22"/>
      <c r="AF1035" s="22"/>
      <c r="AG1035" s="22"/>
      <c r="AH1035" s="22"/>
      <c r="AI1035" s="22"/>
      <c r="AJ1035" s="22"/>
      <c r="AK1035" s="22"/>
      <c r="AL1035" s="22"/>
      <c r="AM1035" s="22"/>
      <c r="AN1035" s="22"/>
      <c r="AO1035" s="22"/>
      <c r="AP1035" s="22"/>
      <c r="AQ1035" s="22"/>
      <c r="AR1035" s="22"/>
      <c r="AS1035" s="22"/>
      <c r="AT1035" s="22"/>
      <c r="AU1035" s="22"/>
      <c r="AV1035" s="22"/>
      <c r="AW1035" s="22"/>
      <c r="AX1035" s="22"/>
    </row>
    <row r="1036" spans="1:50" x14ac:dyDescent="0.3">
      <c r="A1036" s="6"/>
      <c r="B1036" s="19"/>
      <c r="C1036" s="6"/>
      <c r="D1036" s="5"/>
      <c r="E1036" s="6"/>
      <c r="F1036" s="22"/>
      <c r="G1036" s="22"/>
      <c r="H1036" s="22"/>
      <c r="I1036" s="22"/>
      <c r="J1036" s="22"/>
      <c r="K1036" s="22"/>
      <c r="L1036" s="22"/>
      <c r="M1036" s="22"/>
      <c r="N1036" s="22"/>
      <c r="O1036" s="22"/>
      <c r="P1036" s="22"/>
      <c r="Q1036" s="22"/>
      <c r="R1036" s="22"/>
      <c r="S1036" s="22"/>
      <c r="T1036" s="22"/>
      <c r="U1036" s="22"/>
      <c r="V1036" s="22"/>
      <c r="W1036" s="22"/>
      <c r="X1036" s="22"/>
      <c r="Y1036" s="22"/>
      <c r="Z1036" s="22"/>
      <c r="AA1036" s="22"/>
      <c r="AB1036" s="22"/>
      <c r="AC1036" s="22"/>
      <c r="AD1036" s="22"/>
      <c r="AE1036" s="22"/>
      <c r="AF1036" s="22"/>
      <c r="AG1036" s="22"/>
      <c r="AH1036" s="22"/>
      <c r="AI1036" s="22"/>
      <c r="AJ1036" s="22"/>
      <c r="AK1036" s="22"/>
      <c r="AL1036" s="22"/>
      <c r="AM1036" s="22"/>
      <c r="AN1036" s="22"/>
      <c r="AO1036" s="22"/>
      <c r="AP1036" s="22"/>
      <c r="AQ1036" s="22"/>
      <c r="AR1036" s="22"/>
      <c r="AS1036" s="22"/>
      <c r="AT1036" s="22"/>
      <c r="AU1036" s="22"/>
      <c r="AV1036" s="22"/>
      <c r="AW1036" s="22"/>
      <c r="AX1036" s="22"/>
    </row>
    <row r="1037" spans="1:50" x14ac:dyDescent="0.3">
      <c r="A1037" s="6"/>
      <c r="B1037" s="19"/>
      <c r="C1037" s="6"/>
      <c r="D1037" s="5"/>
      <c r="E1037" s="6"/>
      <c r="F1037" s="22"/>
      <c r="G1037" s="22"/>
      <c r="H1037" s="22"/>
      <c r="I1037" s="22"/>
      <c r="J1037" s="22"/>
      <c r="K1037" s="22"/>
      <c r="L1037" s="22"/>
      <c r="M1037" s="22"/>
      <c r="N1037" s="22"/>
      <c r="O1037" s="22"/>
      <c r="P1037" s="22"/>
      <c r="Q1037" s="22"/>
      <c r="R1037" s="22"/>
      <c r="S1037" s="22"/>
      <c r="T1037" s="22"/>
      <c r="U1037" s="22"/>
      <c r="V1037" s="22"/>
      <c r="W1037" s="22"/>
      <c r="X1037" s="22"/>
      <c r="Y1037" s="22"/>
      <c r="Z1037" s="22"/>
      <c r="AA1037" s="22"/>
      <c r="AB1037" s="22"/>
      <c r="AC1037" s="22"/>
      <c r="AD1037" s="22"/>
      <c r="AE1037" s="22"/>
      <c r="AF1037" s="22"/>
      <c r="AG1037" s="22"/>
      <c r="AH1037" s="22"/>
      <c r="AI1037" s="22"/>
      <c r="AJ1037" s="22"/>
      <c r="AK1037" s="22"/>
      <c r="AL1037" s="22"/>
      <c r="AM1037" s="22"/>
      <c r="AN1037" s="22"/>
      <c r="AO1037" s="22"/>
      <c r="AP1037" s="22"/>
      <c r="AQ1037" s="22"/>
      <c r="AR1037" s="22"/>
      <c r="AS1037" s="22"/>
      <c r="AT1037" s="22"/>
      <c r="AU1037" s="22"/>
      <c r="AV1037" s="22"/>
      <c r="AW1037" s="22"/>
      <c r="AX1037" s="22"/>
    </row>
    <row r="1038" spans="1:50" x14ac:dyDescent="0.3">
      <c r="A1038" s="6"/>
      <c r="B1038" s="19"/>
      <c r="C1038" s="6"/>
      <c r="D1038" s="5"/>
      <c r="E1038" s="6"/>
      <c r="F1038" s="22"/>
      <c r="G1038" s="22"/>
      <c r="H1038" s="22"/>
      <c r="I1038" s="22"/>
      <c r="J1038" s="22"/>
      <c r="K1038" s="22"/>
      <c r="L1038" s="22"/>
      <c r="M1038" s="22"/>
      <c r="N1038" s="22"/>
      <c r="O1038" s="22"/>
      <c r="P1038" s="22"/>
      <c r="Q1038" s="22"/>
      <c r="R1038" s="22"/>
      <c r="S1038" s="22"/>
      <c r="T1038" s="22"/>
      <c r="U1038" s="22"/>
      <c r="V1038" s="22"/>
      <c r="W1038" s="22"/>
      <c r="X1038" s="22"/>
      <c r="Y1038" s="22"/>
      <c r="Z1038" s="22"/>
      <c r="AA1038" s="22"/>
      <c r="AB1038" s="22"/>
      <c r="AC1038" s="22"/>
      <c r="AD1038" s="22"/>
      <c r="AE1038" s="22"/>
      <c r="AF1038" s="22"/>
      <c r="AG1038" s="22"/>
      <c r="AH1038" s="22"/>
      <c r="AI1038" s="22"/>
      <c r="AJ1038" s="22"/>
      <c r="AK1038" s="22"/>
      <c r="AL1038" s="22"/>
      <c r="AM1038" s="22"/>
      <c r="AN1038" s="22"/>
      <c r="AO1038" s="22"/>
      <c r="AP1038" s="22"/>
      <c r="AQ1038" s="22"/>
      <c r="AR1038" s="22"/>
      <c r="AS1038" s="22"/>
      <c r="AT1038" s="22"/>
      <c r="AU1038" s="22"/>
      <c r="AV1038" s="22"/>
      <c r="AW1038" s="22"/>
      <c r="AX1038" s="22"/>
    </row>
    <row r="1039" spans="1:50" x14ac:dyDescent="0.3">
      <c r="A1039" s="6"/>
      <c r="B1039" s="19"/>
      <c r="C1039" s="6"/>
      <c r="D1039" s="5"/>
      <c r="E1039" s="6"/>
      <c r="F1039" s="22"/>
      <c r="G1039" s="22"/>
      <c r="H1039" s="22"/>
      <c r="I1039" s="22"/>
      <c r="J1039" s="22"/>
      <c r="K1039" s="22"/>
      <c r="L1039" s="22"/>
      <c r="M1039" s="22"/>
      <c r="N1039" s="22"/>
      <c r="O1039" s="22"/>
      <c r="P1039" s="22"/>
      <c r="Q1039" s="22"/>
      <c r="R1039" s="22"/>
      <c r="S1039" s="22"/>
      <c r="T1039" s="22"/>
      <c r="U1039" s="22"/>
      <c r="V1039" s="22"/>
      <c r="W1039" s="22"/>
      <c r="X1039" s="22"/>
      <c r="Y1039" s="22"/>
      <c r="Z1039" s="22"/>
      <c r="AA1039" s="22"/>
      <c r="AB1039" s="22"/>
      <c r="AC1039" s="22"/>
      <c r="AD1039" s="22"/>
      <c r="AE1039" s="22"/>
      <c r="AF1039" s="22"/>
      <c r="AG1039" s="22"/>
      <c r="AH1039" s="22"/>
      <c r="AI1039" s="22"/>
      <c r="AJ1039" s="22"/>
      <c r="AK1039" s="22"/>
      <c r="AL1039" s="22"/>
      <c r="AM1039" s="22"/>
      <c r="AN1039" s="22"/>
      <c r="AO1039" s="22"/>
      <c r="AP1039" s="22"/>
      <c r="AQ1039" s="22"/>
      <c r="AR1039" s="22"/>
      <c r="AS1039" s="22"/>
      <c r="AT1039" s="22"/>
      <c r="AU1039" s="22"/>
      <c r="AV1039" s="22"/>
      <c r="AW1039" s="22"/>
      <c r="AX1039" s="22"/>
    </row>
    <row r="1040" spans="1:50" x14ac:dyDescent="0.3">
      <c r="A1040" s="6"/>
      <c r="B1040" s="19"/>
      <c r="C1040" s="6"/>
      <c r="D1040" s="5"/>
      <c r="E1040" s="6"/>
      <c r="F1040" s="22"/>
      <c r="G1040" s="22"/>
      <c r="H1040" s="22"/>
      <c r="I1040" s="22"/>
      <c r="J1040" s="22"/>
      <c r="K1040" s="22"/>
      <c r="L1040" s="22"/>
      <c r="M1040" s="22"/>
      <c r="N1040" s="22"/>
      <c r="O1040" s="22"/>
      <c r="P1040" s="22"/>
      <c r="Q1040" s="22"/>
      <c r="R1040" s="22"/>
      <c r="S1040" s="22"/>
      <c r="T1040" s="22"/>
      <c r="U1040" s="22"/>
      <c r="V1040" s="22"/>
      <c r="W1040" s="22"/>
      <c r="X1040" s="22"/>
      <c r="Y1040" s="22"/>
      <c r="Z1040" s="22"/>
      <c r="AA1040" s="22"/>
      <c r="AB1040" s="22"/>
      <c r="AC1040" s="22"/>
      <c r="AD1040" s="22"/>
      <c r="AE1040" s="22"/>
      <c r="AF1040" s="22"/>
      <c r="AG1040" s="22"/>
      <c r="AH1040" s="22"/>
      <c r="AI1040" s="22"/>
      <c r="AJ1040" s="22"/>
      <c r="AK1040" s="22"/>
      <c r="AL1040" s="22"/>
      <c r="AM1040" s="22"/>
      <c r="AN1040" s="22"/>
      <c r="AO1040" s="22"/>
      <c r="AP1040" s="22"/>
      <c r="AQ1040" s="22"/>
      <c r="AR1040" s="22"/>
      <c r="AS1040" s="22"/>
      <c r="AT1040" s="22"/>
      <c r="AU1040" s="22"/>
      <c r="AV1040" s="22"/>
      <c r="AW1040" s="22"/>
      <c r="AX1040" s="22"/>
    </row>
    <row r="1041" spans="1:50" x14ac:dyDescent="0.3">
      <c r="A1041" s="6"/>
      <c r="B1041" s="19"/>
      <c r="C1041" s="6"/>
      <c r="D1041" s="5"/>
      <c r="E1041" s="6"/>
      <c r="F1041" s="22"/>
      <c r="G1041" s="22"/>
      <c r="H1041" s="22"/>
      <c r="I1041" s="22"/>
      <c r="J1041" s="22"/>
      <c r="K1041" s="22"/>
      <c r="L1041" s="22"/>
      <c r="M1041" s="22"/>
      <c r="N1041" s="22"/>
      <c r="O1041" s="22"/>
      <c r="P1041" s="22"/>
      <c r="Q1041" s="22"/>
      <c r="R1041" s="22"/>
      <c r="S1041" s="22"/>
      <c r="T1041" s="22"/>
      <c r="U1041" s="22"/>
      <c r="V1041" s="22"/>
      <c r="W1041" s="22"/>
      <c r="X1041" s="22"/>
      <c r="Y1041" s="22"/>
      <c r="Z1041" s="22"/>
      <c r="AA1041" s="22"/>
      <c r="AB1041" s="22"/>
      <c r="AC1041" s="22"/>
      <c r="AD1041" s="22"/>
      <c r="AE1041" s="22"/>
      <c r="AF1041" s="22"/>
      <c r="AG1041" s="22"/>
      <c r="AH1041" s="22"/>
      <c r="AI1041" s="22"/>
      <c r="AJ1041" s="22"/>
      <c r="AK1041" s="22"/>
      <c r="AL1041" s="22"/>
      <c r="AM1041" s="22"/>
      <c r="AN1041" s="22"/>
      <c r="AO1041" s="22"/>
      <c r="AP1041" s="22"/>
      <c r="AQ1041" s="22"/>
      <c r="AR1041" s="22"/>
      <c r="AS1041" s="22"/>
      <c r="AT1041" s="22"/>
      <c r="AU1041" s="22"/>
      <c r="AV1041" s="22"/>
      <c r="AW1041" s="22"/>
      <c r="AX1041" s="22"/>
    </row>
    <row r="1042" spans="1:50" x14ac:dyDescent="0.3">
      <c r="A1042" s="6"/>
      <c r="B1042" s="19"/>
      <c r="C1042" s="6"/>
      <c r="D1042" s="5"/>
      <c r="E1042" s="6"/>
      <c r="F1042" s="22"/>
      <c r="G1042" s="22"/>
      <c r="H1042" s="22"/>
      <c r="I1042" s="22"/>
      <c r="J1042" s="22"/>
      <c r="K1042" s="22"/>
      <c r="L1042" s="22"/>
      <c r="M1042" s="22"/>
      <c r="N1042" s="22"/>
      <c r="O1042" s="22"/>
      <c r="P1042" s="22"/>
      <c r="Q1042" s="22"/>
      <c r="R1042" s="22"/>
      <c r="S1042" s="22"/>
      <c r="T1042" s="22"/>
      <c r="U1042" s="22"/>
      <c r="V1042" s="22"/>
      <c r="W1042" s="22"/>
      <c r="X1042" s="22"/>
      <c r="Y1042" s="22"/>
      <c r="Z1042" s="22"/>
      <c r="AA1042" s="22"/>
      <c r="AB1042" s="22"/>
      <c r="AC1042" s="22"/>
      <c r="AD1042" s="22"/>
      <c r="AE1042" s="22"/>
      <c r="AF1042" s="22"/>
      <c r="AG1042" s="22"/>
      <c r="AH1042" s="22"/>
      <c r="AI1042" s="22"/>
      <c r="AJ1042" s="22"/>
      <c r="AK1042" s="22"/>
      <c r="AL1042" s="22"/>
      <c r="AM1042" s="22"/>
      <c r="AN1042" s="22"/>
      <c r="AO1042" s="22"/>
      <c r="AP1042" s="22"/>
      <c r="AQ1042" s="22"/>
      <c r="AR1042" s="22"/>
      <c r="AS1042" s="22"/>
      <c r="AT1042" s="22"/>
      <c r="AU1042" s="22"/>
      <c r="AV1042" s="22"/>
      <c r="AW1042" s="22"/>
      <c r="AX1042" s="22"/>
    </row>
    <row r="1043" spans="1:50" x14ac:dyDescent="0.3">
      <c r="A1043" s="6"/>
      <c r="B1043" s="19"/>
      <c r="C1043" s="6"/>
      <c r="D1043" s="5"/>
      <c r="E1043" s="6"/>
      <c r="F1043" s="22"/>
      <c r="G1043" s="22"/>
      <c r="H1043" s="22"/>
      <c r="I1043" s="22"/>
      <c r="J1043" s="22"/>
      <c r="K1043" s="22"/>
      <c r="L1043" s="22"/>
      <c r="M1043" s="22"/>
      <c r="N1043" s="22"/>
      <c r="O1043" s="22"/>
      <c r="P1043" s="22"/>
      <c r="Q1043" s="22"/>
      <c r="R1043" s="22"/>
      <c r="S1043" s="22"/>
      <c r="T1043" s="22"/>
      <c r="U1043" s="22"/>
      <c r="V1043" s="22"/>
      <c r="W1043" s="22"/>
      <c r="X1043" s="22"/>
      <c r="Y1043" s="22"/>
      <c r="Z1043" s="22"/>
      <c r="AA1043" s="22"/>
      <c r="AB1043" s="22"/>
      <c r="AC1043" s="22"/>
      <c r="AD1043" s="22"/>
      <c r="AE1043" s="22"/>
      <c r="AF1043" s="22"/>
      <c r="AG1043" s="22"/>
      <c r="AH1043" s="22"/>
      <c r="AI1043" s="22"/>
      <c r="AJ1043" s="22"/>
      <c r="AK1043" s="22"/>
      <c r="AL1043" s="22"/>
      <c r="AM1043" s="22"/>
      <c r="AN1043" s="22"/>
      <c r="AO1043" s="22"/>
      <c r="AP1043" s="22"/>
      <c r="AQ1043" s="22"/>
      <c r="AR1043" s="22"/>
      <c r="AS1043" s="22"/>
      <c r="AT1043" s="22"/>
      <c r="AU1043" s="22"/>
      <c r="AV1043" s="22"/>
      <c r="AW1043" s="22"/>
      <c r="AX1043" s="22"/>
    </row>
    <row r="1044" spans="1:50" x14ac:dyDescent="0.3">
      <c r="A1044" s="6"/>
      <c r="B1044" s="19"/>
      <c r="C1044" s="6"/>
      <c r="D1044" s="5"/>
      <c r="E1044" s="6"/>
      <c r="F1044" s="22"/>
      <c r="G1044" s="22"/>
      <c r="H1044" s="22"/>
      <c r="I1044" s="22"/>
      <c r="J1044" s="22"/>
      <c r="K1044" s="22"/>
      <c r="L1044" s="22"/>
      <c r="M1044" s="22"/>
      <c r="N1044" s="22"/>
      <c r="O1044" s="22"/>
      <c r="P1044" s="22"/>
      <c r="Q1044" s="22"/>
      <c r="R1044" s="22"/>
      <c r="S1044" s="22"/>
      <c r="T1044" s="22"/>
      <c r="U1044" s="22"/>
      <c r="V1044" s="22"/>
      <c r="W1044" s="22"/>
      <c r="X1044" s="22"/>
      <c r="Y1044" s="22"/>
      <c r="Z1044" s="22"/>
      <c r="AA1044" s="22"/>
      <c r="AB1044" s="22"/>
      <c r="AC1044" s="22"/>
      <c r="AD1044" s="22"/>
      <c r="AE1044" s="22"/>
      <c r="AF1044" s="22"/>
      <c r="AG1044" s="22"/>
      <c r="AH1044" s="22"/>
      <c r="AI1044" s="22"/>
      <c r="AJ1044" s="22"/>
      <c r="AK1044" s="22"/>
      <c r="AL1044" s="22"/>
      <c r="AM1044" s="22"/>
      <c r="AN1044" s="22"/>
      <c r="AO1044" s="22"/>
      <c r="AP1044" s="22"/>
      <c r="AQ1044" s="22"/>
      <c r="AR1044" s="22"/>
      <c r="AS1044" s="22"/>
      <c r="AT1044" s="22"/>
      <c r="AU1044" s="22"/>
      <c r="AV1044" s="22"/>
      <c r="AW1044" s="22"/>
      <c r="AX1044" s="22"/>
    </row>
    <row r="1045" spans="1:50" x14ac:dyDescent="0.3">
      <c r="A1045" s="6"/>
      <c r="B1045" s="19"/>
      <c r="C1045" s="6"/>
      <c r="D1045" s="5"/>
      <c r="E1045" s="6"/>
      <c r="F1045" s="22"/>
      <c r="G1045" s="22"/>
      <c r="H1045" s="22"/>
      <c r="I1045" s="22"/>
      <c r="J1045" s="22"/>
      <c r="K1045" s="22"/>
      <c r="L1045" s="22"/>
      <c r="M1045" s="22"/>
      <c r="N1045" s="22"/>
      <c r="O1045" s="22"/>
      <c r="P1045" s="22"/>
      <c r="Q1045" s="22"/>
      <c r="R1045" s="22"/>
      <c r="S1045" s="22"/>
      <c r="T1045" s="22"/>
      <c r="U1045" s="22"/>
      <c r="V1045" s="22"/>
      <c r="W1045" s="22"/>
      <c r="X1045" s="22"/>
      <c r="Y1045" s="22"/>
      <c r="Z1045" s="22"/>
      <c r="AA1045" s="22"/>
      <c r="AB1045" s="22"/>
      <c r="AC1045" s="22"/>
      <c r="AD1045" s="22"/>
      <c r="AE1045" s="22"/>
      <c r="AF1045" s="22"/>
      <c r="AG1045" s="22"/>
      <c r="AH1045" s="22"/>
      <c r="AI1045" s="22"/>
      <c r="AJ1045" s="22"/>
      <c r="AK1045" s="22"/>
      <c r="AL1045" s="22"/>
      <c r="AM1045" s="22"/>
      <c r="AN1045" s="22"/>
      <c r="AO1045" s="22"/>
      <c r="AP1045" s="22"/>
      <c r="AQ1045" s="22"/>
      <c r="AR1045" s="22"/>
      <c r="AS1045" s="22"/>
      <c r="AT1045" s="22"/>
      <c r="AU1045" s="22"/>
      <c r="AV1045" s="22"/>
      <c r="AW1045" s="22"/>
      <c r="AX1045" s="22"/>
    </row>
    <row r="1046" spans="1:50" x14ac:dyDescent="0.3">
      <c r="A1046" s="6"/>
      <c r="B1046" s="19"/>
      <c r="C1046" s="6"/>
      <c r="D1046" s="5"/>
      <c r="E1046" s="6"/>
      <c r="F1046" s="22"/>
      <c r="G1046" s="22"/>
      <c r="H1046" s="22"/>
      <c r="I1046" s="22"/>
      <c r="J1046" s="22"/>
      <c r="K1046" s="22"/>
      <c r="L1046" s="22"/>
      <c r="M1046" s="22"/>
      <c r="N1046" s="22"/>
      <c r="O1046" s="22"/>
      <c r="P1046" s="22"/>
      <c r="Q1046" s="22"/>
      <c r="R1046" s="22"/>
      <c r="S1046" s="22"/>
      <c r="T1046" s="22"/>
      <c r="U1046" s="22"/>
      <c r="V1046" s="22"/>
      <c r="W1046" s="22"/>
      <c r="X1046" s="22"/>
      <c r="Y1046" s="22"/>
      <c r="Z1046" s="22"/>
      <c r="AA1046" s="22"/>
      <c r="AB1046" s="22"/>
      <c r="AC1046" s="22"/>
      <c r="AD1046" s="22"/>
      <c r="AE1046" s="22"/>
      <c r="AF1046" s="22"/>
      <c r="AG1046" s="22"/>
      <c r="AH1046" s="22"/>
      <c r="AI1046" s="22"/>
      <c r="AJ1046" s="22"/>
      <c r="AK1046" s="22"/>
      <c r="AL1046" s="22"/>
      <c r="AM1046" s="22"/>
      <c r="AN1046" s="22"/>
      <c r="AO1046" s="22"/>
      <c r="AP1046" s="22"/>
      <c r="AQ1046" s="22"/>
      <c r="AR1046" s="22"/>
      <c r="AS1046" s="22"/>
      <c r="AT1046" s="22"/>
      <c r="AU1046" s="22"/>
      <c r="AV1046" s="22"/>
      <c r="AW1046" s="22"/>
      <c r="AX1046" s="22"/>
    </row>
    <row r="1047" spans="1:50" x14ac:dyDescent="0.3">
      <c r="A1047" s="6"/>
      <c r="B1047" s="19"/>
      <c r="C1047" s="6"/>
      <c r="D1047" s="5"/>
      <c r="E1047" s="6"/>
      <c r="F1047" s="22"/>
      <c r="G1047" s="22"/>
      <c r="H1047" s="22"/>
      <c r="I1047" s="22"/>
      <c r="J1047" s="22"/>
      <c r="K1047" s="22"/>
      <c r="L1047" s="22"/>
      <c r="M1047" s="22"/>
      <c r="N1047" s="22"/>
      <c r="O1047" s="22"/>
      <c r="P1047" s="22"/>
      <c r="Q1047" s="22"/>
      <c r="R1047" s="22"/>
      <c r="S1047" s="22"/>
      <c r="T1047" s="22"/>
      <c r="U1047" s="22"/>
      <c r="V1047" s="22"/>
      <c r="W1047" s="22"/>
      <c r="X1047" s="22"/>
      <c r="Y1047" s="22"/>
      <c r="Z1047" s="22"/>
      <c r="AA1047" s="22"/>
      <c r="AB1047" s="22"/>
      <c r="AC1047" s="22"/>
      <c r="AD1047" s="22"/>
      <c r="AE1047" s="22"/>
      <c r="AF1047" s="22"/>
      <c r="AG1047" s="22"/>
      <c r="AH1047" s="22"/>
      <c r="AI1047" s="22"/>
      <c r="AJ1047" s="22"/>
      <c r="AK1047" s="22"/>
      <c r="AL1047" s="22"/>
      <c r="AM1047" s="22"/>
      <c r="AN1047" s="22"/>
      <c r="AO1047" s="22"/>
      <c r="AP1047" s="22"/>
      <c r="AQ1047" s="22"/>
      <c r="AR1047" s="22"/>
      <c r="AS1047" s="22"/>
      <c r="AT1047" s="22"/>
      <c r="AU1047" s="22"/>
      <c r="AV1047" s="22"/>
      <c r="AW1047" s="22"/>
      <c r="AX1047" s="22"/>
    </row>
    <row r="1048" spans="1:50" x14ac:dyDescent="0.3">
      <c r="A1048" s="6"/>
      <c r="B1048" s="19"/>
      <c r="C1048" s="6"/>
      <c r="D1048" s="5"/>
      <c r="E1048" s="6"/>
      <c r="F1048" s="22"/>
      <c r="G1048" s="22"/>
      <c r="H1048" s="22"/>
      <c r="I1048" s="22"/>
      <c r="J1048" s="22"/>
      <c r="K1048" s="22"/>
      <c r="L1048" s="22"/>
      <c r="M1048" s="22"/>
      <c r="N1048" s="22"/>
      <c r="O1048" s="22"/>
      <c r="P1048" s="22"/>
      <c r="Q1048" s="22"/>
      <c r="R1048" s="22"/>
      <c r="S1048" s="22"/>
      <c r="T1048" s="22"/>
      <c r="U1048" s="22"/>
      <c r="V1048" s="22"/>
      <c r="W1048" s="22"/>
      <c r="X1048" s="22"/>
      <c r="Y1048" s="22"/>
      <c r="Z1048" s="22"/>
      <c r="AA1048" s="22"/>
      <c r="AB1048" s="22"/>
      <c r="AC1048" s="22"/>
      <c r="AD1048" s="22"/>
      <c r="AE1048" s="22"/>
      <c r="AF1048" s="22"/>
      <c r="AG1048" s="22"/>
      <c r="AH1048" s="22"/>
      <c r="AI1048" s="22"/>
      <c r="AJ1048" s="22"/>
      <c r="AK1048" s="22"/>
      <c r="AL1048" s="22"/>
      <c r="AM1048" s="22"/>
      <c r="AN1048" s="22"/>
      <c r="AO1048" s="22"/>
      <c r="AP1048" s="22"/>
      <c r="AQ1048" s="22"/>
      <c r="AR1048" s="22"/>
      <c r="AS1048" s="22"/>
      <c r="AT1048" s="22"/>
      <c r="AU1048" s="22"/>
      <c r="AV1048" s="22"/>
      <c r="AW1048" s="22"/>
      <c r="AX1048" s="22"/>
    </row>
    <row r="1049" spans="1:50" x14ac:dyDescent="0.3">
      <c r="A1049" s="6"/>
      <c r="B1049" s="19"/>
      <c r="C1049" s="6"/>
      <c r="D1049" s="5"/>
      <c r="E1049" s="6"/>
      <c r="F1049" s="22"/>
      <c r="G1049" s="22"/>
      <c r="H1049" s="22"/>
      <c r="I1049" s="22"/>
      <c r="J1049" s="22"/>
      <c r="K1049" s="22"/>
      <c r="L1049" s="22"/>
      <c r="M1049" s="22"/>
      <c r="N1049" s="22"/>
      <c r="O1049" s="22"/>
      <c r="P1049" s="22"/>
      <c r="Q1049" s="22"/>
      <c r="R1049" s="22"/>
      <c r="S1049" s="22"/>
      <c r="T1049" s="22"/>
      <c r="U1049" s="22"/>
      <c r="V1049" s="22"/>
      <c r="W1049" s="22"/>
      <c r="X1049" s="22"/>
      <c r="Y1049" s="22"/>
      <c r="Z1049" s="22"/>
      <c r="AA1049" s="22"/>
      <c r="AB1049" s="22"/>
      <c r="AC1049" s="22"/>
      <c r="AD1049" s="22"/>
      <c r="AE1049" s="22"/>
      <c r="AF1049" s="22"/>
      <c r="AG1049" s="22"/>
      <c r="AH1049" s="22"/>
      <c r="AI1049" s="22"/>
      <c r="AJ1049" s="22"/>
      <c r="AK1049" s="22"/>
      <c r="AL1049" s="22"/>
      <c r="AM1049" s="22"/>
      <c r="AN1049" s="22"/>
      <c r="AO1049" s="22"/>
      <c r="AP1049" s="22"/>
      <c r="AQ1049" s="22"/>
      <c r="AR1049" s="22"/>
      <c r="AS1049" s="22"/>
      <c r="AT1049" s="22"/>
      <c r="AU1049" s="22"/>
      <c r="AV1049" s="22"/>
      <c r="AW1049" s="22"/>
      <c r="AX1049" s="22"/>
    </row>
    <row r="1050" spans="1:50" x14ac:dyDescent="0.3">
      <c r="A1050" s="6"/>
      <c r="B1050" s="19"/>
      <c r="C1050" s="6"/>
      <c r="D1050" s="5"/>
      <c r="E1050" s="6"/>
      <c r="F1050" s="22"/>
      <c r="G1050" s="22"/>
      <c r="H1050" s="22"/>
      <c r="I1050" s="22"/>
      <c r="J1050" s="22"/>
      <c r="K1050" s="22"/>
      <c r="L1050" s="22"/>
      <c r="M1050" s="22"/>
      <c r="N1050" s="22"/>
      <c r="O1050" s="22"/>
      <c r="P1050" s="22"/>
      <c r="Q1050" s="22"/>
      <c r="R1050" s="22"/>
      <c r="S1050" s="22"/>
      <c r="T1050" s="22"/>
      <c r="U1050" s="22"/>
      <c r="V1050" s="22"/>
      <c r="W1050" s="22"/>
      <c r="X1050" s="22"/>
      <c r="Y1050" s="22"/>
      <c r="Z1050" s="22"/>
      <c r="AA1050" s="22"/>
      <c r="AB1050" s="22"/>
      <c r="AC1050" s="22"/>
      <c r="AD1050" s="22"/>
      <c r="AE1050" s="22"/>
      <c r="AF1050" s="22"/>
      <c r="AG1050" s="22"/>
      <c r="AH1050" s="22"/>
      <c r="AI1050" s="22"/>
      <c r="AJ1050" s="22"/>
      <c r="AK1050" s="22"/>
      <c r="AL1050" s="22"/>
      <c r="AM1050" s="22"/>
      <c r="AN1050" s="22"/>
      <c r="AO1050" s="22"/>
      <c r="AP1050" s="22"/>
      <c r="AQ1050" s="22"/>
      <c r="AR1050" s="22"/>
      <c r="AS1050" s="22"/>
      <c r="AT1050" s="22"/>
      <c r="AU1050" s="22"/>
      <c r="AV1050" s="22"/>
      <c r="AW1050" s="22"/>
      <c r="AX1050" s="22"/>
    </row>
    <row r="1051" spans="1:50" x14ac:dyDescent="0.3">
      <c r="A1051" s="6"/>
      <c r="B1051" s="19"/>
      <c r="C1051" s="6"/>
      <c r="D1051" s="5"/>
      <c r="E1051" s="6"/>
      <c r="F1051" s="22"/>
      <c r="G1051" s="22"/>
      <c r="H1051" s="22"/>
      <c r="I1051" s="22"/>
      <c r="J1051" s="22"/>
      <c r="K1051" s="22"/>
      <c r="L1051" s="22"/>
      <c r="M1051" s="22"/>
      <c r="N1051" s="22"/>
      <c r="O1051" s="22"/>
      <c r="P1051" s="22"/>
      <c r="Q1051" s="22"/>
      <c r="R1051" s="22"/>
      <c r="S1051" s="22"/>
      <c r="T1051" s="22"/>
      <c r="U1051" s="22"/>
      <c r="V1051" s="22"/>
      <c r="W1051" s="22"/>
      <c r="X1051" s="22"/>
      <c r="Y1051" s="22"/>
      <c r="Z1051" s="22"/>
      <c r="AA1051" s="22"/>
      <c r="AB1051" s="22"/>
      <c r="AC1051" s="22"/>
      <c r="AD1051" s="22"/>
      <c r="AE1051" s="22"/>
      <c r="AF1051" s="22"/>
      <c r="AG1051" s="22"/>
      <c r="AH1051" s="22"/>
      <c r="AI1051" s="22"/>
      <c r="AJ1051" s="22"/>
      <c r="AK1051" s="22"/>
      <c r="AL1051" s="22"/>
      <c r="AM1051" s="22"/>
      <c r="AN1051" s="22"/>
      <c r="AO1051" s="22"/>
      <c r="AP1051" s="22"/>
      <c r="AQ1051" s="22"/>
      <c r="AR1051" s="22"/>
      <c r="AS1051" s="22"/>
      <c r="AT1051" s="22"/>
      <c r="AU1051" s="22"/>
      <c r="AV1051" s="22"/>
      <c r="AW1051" s="22"/>
      <c r="AX1051" s="22"/>
    </row>
    <row r="1052" spans="1:50" x14ac:dyDescent="0.3">
      <c r="A1052" s="6"/>
      <c r="B1052" s="19"/>
      <c r="C1052" s="6"/>
      <c r="D1052" s="5"/>
      <c r="E1052" s="6"/>
      <c r="F1052" s="22"/>
      <c r="G1052" s="22"/>
      <c r="H1052" s="22"/>
      <c r="I1052" s="22"/>
      <c r="J1052" s="22"/>
      <c r="K1052" s="22"/>
      <c r="L1052" s="22"/>
      <c r="M1052" s="22"/>
      <c r="N1052" s="22"/>
      <c r="O1052" s="22"/>
      <c r="P1052" s="22"/>
      <c r="Q1052" s="22"/>
      <c r="R1052" s="22"/>
      <c r="S1052" s="22"/>
      <c r="T1052" s="22"/>
      <c r="U1052" s="22"/>
      <c r="V1052" s="22"/>
      <c r="W1052" s="22"/>
      <c r="X1052" s="22"/>
      <c r="Y1052" s="22"/>
      <c r="Z1052" s="22"/>
      <c r="AA1052" s="22"/>
      <c r="AB1052" s="22"/>
      <c r="AC1052" s="22"/>
      <c r="AD1052" s="22"/>
      <c r="AE1052" s="22"/>
      <c r="AF1052" s="22"/>
      <c r="AG1052" s="22"/>
      <c r="AH1052" s="22"/>
      <c r="AI1052" s="22"/>
      <c r="AJ1052" s="22"/>
      <c r="AK1052" s="22"/>
      <c r="AL1052" s="22"/>
      <c r="AM1052" s="22"/>
      <c r="AN1052" s="22"/>
      <c r="AO1052" s="22"/>
      <c r="AP1052" s="22"/>
      <c r="AQ1052" s="22"/>
      <c r="AR1052" s="22"/>
      <c r="AS1052" s="22"/>
      <c r="AT1052" s="22"/>
      <c r="AU1052" s="22"/>
      <c r="AV1052" s="22"/>
      <c r="AW1052" s="22"/>
      <c r="AX1052" s="22"/>
    </row>
    <row r="1053" spans="1:50" x14ac:dyDescent="0.3">
      <c r="A1053" s="6"/>
      <c r="B1053" s="19"/>
      <c r="C1053" s="6"/>
      <c r="D1053" s="5"/>
      <c r="E1053" s="6"/>
      <c r="F1053" s="22"/>
      <c r="G1053" s="22"/>
      <c r="H1053" s="22"/>
      <c r="I1053" s="22"/>
      <c r="J1053" s="22"/>
      <c r="K1053" s="22"/>
      <c r="L1053" s="22"/>
      <c r="M1053" s="22"/>
      <c r="N1053" s="22"/>
      <c r="O1053" s="22"/>
      <c r="P1053" s="22"/>
      <c r="Q1053" s="22"/>
      <c r="R1053" s="22"/>
      <c r="S1053" s="22"/>
      <c r="T1053" s="22"/>
      <c r="U1053" s="22"/>
      <c r="V1053" s="22"/>
      <c r="W1053" s="22"/>
      <c r="X1053" s="22"/>
      <c r="Y1053" s="22"/>
      <c r="Z1053" s="22"/>
      <c r="AA1053" s="22"/>
      <c r="AB1053" s="22"/>
      <c r="AC1053" s="22"/>
      <c r="AD1053" s="22"/>
      <c r="AE1053" s="22"/>
      <c r="AF1053" s="22"/>
      <c r="AG1053" s="22"/>
      <c r="AH1053" s="22"/>
      <c r="AI1053" s="22"/>
      <c r="AJ1053" s="22"/>
      <c r="AK1053" s="22"/>
      <c r="AL1053" s="22"/>
      <c r="AM1053" s="22"/>
      <c r="AN1053" s="22"/>
      <c r="AO1053" s="22"/>
      <c r="AP1053" s="22"/>
      <c r="AQ1053" s="22"/>
      <c r="AR1053" s="22"/>
      <c r="AS1053" s="22"/>
      <c r="AT1053" s="22"/>
      <c r="AU1053" s="22"/>
      <c r="AV1053" s="22"/>
      <c r="AW1053" s="22"/>
      <c r="AX1053" s="22"/>
    </row>
    <row r="1054" spans="1:50" x14ac:dyDescent="0.3">
      <c r="A1054" s="6"/>
      <c r="B1054" s="19"/>
      <c r="C1054" s="6"/>
      <c r="D1054" s="5"/>
      <c r="E1054" s="6"/>
      <c r="F1054" s="22"/>
      <c r="G1054" s="22"/>
      <c r="H1054" s="22"/>
      <c r="I1054" s="22"/>
      <c r="J1054" s="22"/>
      <c r="K1054" s="22"/>
      <c r="L1054" s="22"/>
      <c r="M1054" s="22"/>
      <c r="N1054" s="22"/>
      <c r="O1054" s="22"/>
      <c r="P1054" s="22"/>
      <c r="Q1054" s="22"/>
      <c r="R1054" s="22"/>
      <c r="S1054" s="22"/>
      <c r="T1054" s="22"/>
      <c r="U1054" s="22"/>
      <c r="V1054" s="22"/>
      <c r="W1054" s="22"/>
      <c r="X1054" s="22"/>
      <c r="Y1054" s="22"/>
      <c r="Z1054" s="22"/>
      <c r="AA1054" s="22"/>
      <c r="AB1054" s="22"/>
      <c r="AC1054" s="22"/>
      <c r="AD1054" s="22"/>
      <c r="AE1054" s="22"/>
      <c r="AF1054" s="22"/>
      <c r="AG1054" s="22"/>
      <c r="AH1054" s="22"/>
      <c r="AI1054" s="22"/>
      <c r="AJ1054" s="22"/>
      <c r="AK1054" s="22"/>
      <c r="AL1054" s="22"/>
      <c r="AM1054" s="22"/>
      <c r="AN1054" s="22"/>
      <c r="AO1054" s="22"/>
      <c r="AP1054" s="22"/>
      <c r="AQ1054" s="22"/>
      <c r="AR1054" s="22"/>
      <c r="AS1054" s="22"/>
      <c r="AT1054" s="22"/>
      <c r="AU1054" s="22"/>
      <c r="AV1054" s="22"/>
      <c r="AW1054" s="22"/>
      <c r="AX1054" s="22"/>
    </row>
    <row r="1055" spans="1:50" x14ac:dyDescent="0.3">
      <c r="A1055" s="6"/>
      <c r="B1055" s="19"/>
      <c r="C1055" s="6"/>
      <c r="D1055" s="5"/>
      <c r="E1055" s="6"/>
      <c r="F1055" s="22"/>
      <c r="G1055" s="22"/>
      <c r="H1055" s="22"/>
      <c r="I1055" s="22"/>
      <c r="J1055" s="22"/>
      <c r="K1055" s="22"/>
      <c r="L1055" s="22"/>
      <c r="M1055" s="22"/>
      <c r="N1055" s="22"/>
      <c r="O1055" s="22"/>
      <c r="P1055" s="22"/>
      <c r="Q1055" s="22"/>
      <c r="R1055" s="22"/>
      <c r="S1055" s="22"/>
      <c r="T1055" s="22"/>
      <c r="U1055" s="22"/>
      <c r="V1055" s="22"/>
      <c r="W1055" s="22"/>
      <c r="X1055" s="22"/>
      <c r="Y1055" s="22"/>
      <c r="Z1055" s="22"/>
      <c r="AA1055" s="22"/>
      <c r="AB1055" s="22"/>
      <c r="AC1055" s="22"/>
      <c r="AD1055" s="22"/>
      <c r="AE1055" s="22"/>
      <c r="AF1055" s="22"/>
      <c r="AG1055" s="22"/>
      <c r="AH1055" s="22"/>
      <c r="AI1055" s="22"/>
      <c r="AJ1055" s="22"/>
      <c r="AK1055" s="22"/>
      <c r="AL1055" s="22"/>
      <c r="AM1055" s="22"/>
      <c r="AN1055" s="22"/>
      <c r="AO1055" s="22"/>
      <c r="AP1055" s="22"/>
      <c r="AQ1055" s="22"/>
      <c r="AR1055" s="22"/>
      <c r="AS1055" s="22"/>
      <c r="AT1055" s="22"/>
      <c r="AU1055" s="22"/>
      <c r="AV1055" s="22"/>
      <c r="AW1055" s="22"/>
      <c r="AX1055" s="22"/>
    </row>
    <row r="1056" spans="1:50" x14ac:dyDescent="0.3">
      <c r="A1056" s="6"/>
      <c r="B1056" s="19"/>
      <c r="C1056" s="6"/>
      <c r="D1056" s="5"/>
      <c r="E1056" s="6"/>
      <c r="F1056" s="22"/>
      <c r="G1056" s="22"/>
      <c r="H1056" s="22"/>
      <c r="I1056" s="22"/>
      <c r="J1056" s="22"/>
      <c r="K1056" s="22"/>
      <c r="L1056" s="22"/>
      <c r="M1056" s="22"/>
      <c r="N1056" s="22"/>
      <c r="O1056" s="22"/>
      <c r="P1056" s="22"/>
      <c r="Q1056" s="22"/>
      <c r="R1056" s="22"/>
      <c r="S1056" s="22"/>
      <c r="T1056" s="22"/>
      <c r="U1056" s="22"/>
      <c r="V1056" s="22"/>
      <c r="W1056" s="22"/>
      <c r="X1056" s="22"/>
      <c r="Y1056" s="22"/>
      <c r="Z1056" s="22"/>
      <c r="AA1056" s="22"/>
      <c r="AB1056" s="22"/>
      <c r="AC1056" s="22"/>
      <c r="AD1056" s="22"/>
      <c r="AE1056" s="22"/>
      <c r="AF1056" s="22"/>
      <c r="AG1056" s="22"/>
      <c r="AH1056" s="22"/>
      <c r="AI1056" s="22"/>
      <c r="AJ1056" s="22"/>
      <c r="AK1056" s="22"/>
      <c r="AL1056" s="22"/>
      <c r="AM1056" s="22"/>
      <c r="AN1056" s="22"/>
      <c r="AO1056" s="22"/>
      <c r="AP1056" s="22"/>
      <c r="AQ1056" s="22"/>
      <c r="AR1056" s="22"/>
      <c r="AS1056" s="22"/>
      <c r="AT1056" s="22"/>
      <c r="AU1056" s="22"/>
      <c r="AV1056" s="22"/>
      <c r="AW1056" s="22"/>
      <c r="AX1056" s="22"/>
    </row>
    <row r="1057" spans="1:50" x14ac:dyDescent="0.3">
      <c r="A1057" s="6"/>
      <c r="B1057" s="19"/>
      <c r="C1057" s="6"/>
      <c r="D1057" s="5"/>
      <c r="E1057" s="6"/>
      <c r="F1057" s="22"/>
      <c r="G1057" s="22"/>
      <c r="H1057" s="22"/>
      <c r="I1057" s="22"/>
      <c r="J1057" s="22"/>
      <c r="K1057" s="22"/>
      <c r="L1057" s="22"/>
      <c r="M1057" s="22"/>
      <c r="N1057" s="22"/>
      <c r="O1057" s="22"/>
      <c r="P1057" s="22"/>
      <c r="Q1057" s="22"/>
      <c r="R1057" s="22"/>
      <c r="S1057" s="22"/>
      <c r="T1057" s="22"/>
      <c r="U1057" s="22"/>
      <c r="V1057" s="22"/>
      <c r="W1057" s="22"/>
      <c r="X1057" s="22"/>
      <c r="Y1057" s="22"/>
      <c r="Z1057" s="22"/>
      <c r="AA1057" s="22"/>
      <c r="AB1057" s="22"/>
      <c r="AC1057" s="22"/>
      <c r="AD1057" s="22"/>
      <c r="AE1057" s="22"/>
      <c r="AF1057" s="22"/>
      <c r="AG1057" s="22"/>
      <c r="AH1057" s="22"/>
      <c r="AI1057" s="22"/>
      <c r="AJ1057" s="22"/>
      <c r="AK1057" s="22"/>
      <c r="AL1057" s="22"/>
      <c r="AM1057" s="22"/>
      <c r="AN1057" s="22"/>
      <c r="AO1057" s="22"/>
      <c r="AP1057" s="22"/>
      <c r="AQ1057" s="22"/>
      <c r="AR1057" s="22"/>
      <c r="AS1057" s="22"/>
      <c r="AT1057" s="22"/>
      <c r="AU1057" s="22"/>
      <c r="AV1057" s="22"/>
      <c r="AW1057" s="22"/>
      <c r="AX1057" s="22"/>
    </row>
    <row r="1058" spans="1:50" x14ac:dyDescent="0.3">
      <c r="A1058" s="6"/>
      <c r="B1058" s="19"/>
      <c r="C1058" s="6"/>
      <c r="D1058" s="5"/>
      <c r="E1058" s="6"/>
      <c r="F1058" s="22"/>
      <c r="G1058" s="22"/>
      <c r="H1058" s="22"/>
      <c r="I1058" s="22"/>
      <c r="J1058" s="22"/>
      <c r="K1058" s="22"/>
      <c r="L1058" s="22"/>
      <c r="M1058" s="22"/>
      <c r="N1058" s="22"/>
      <c r="O1058" s="22"/>
      <c r="P1058" s="22"/>
      <c r="Q1058" s="22"/>
      <c r="R1058" s="22"/>
      <c r="S1058" s="22"/>
      <c r="T1058" s="22"/>
      <c r="U1058" s="22"/>
      <c r="V1058" s="22"/>
      <c r="W1058" s="22"/>
      <c r="X1058" s="22"/>
      <c r="Y1058" s="22"/>
      <c r="Z1058" s="22"/>
      <c r="AA1058" s="22"/>
      <c r="AB1058" s="22"/>
      <c r="AC1058" s="22"/>
      <c r="AD1058" s="22"/>
      <c r="AE1058" s="22"/>
      <c r="AF1058" s="22"/>
      <c r="AG1058" s="22"/>
      <c r="AH1058" s="22"/>
      <c r="AI1058" s="22"/>
      <c r="AJ1058" s="22"/>
      <c r="AK1058" s="22"/>
      <c r="AL1058" s="22"/>
      <c r="AM1058" s="22"/>
      <c r="AN1058" s="22"/>
      <c r="AO1058" s="22"/>
      <c r="AP1058" s="22"/>
      <c r="AQ1058" s="22"/>
      <c r="AR1058" s="22"/>
      <c r="AS1058" s="22"/>
      <c r="AT1058" s="22"/>
      <c r="AU1058" s="22"/>
      <c r="AV1058" s="22"/>
      <c r="AW1058" s="22"/>
      <c r="AX1058" s="22"/>
    </row>
    <row r="1059" spans="1:50" x14ac:dyDescent="0.3">
      <c r="A1059" s="6"/>
      <c r="B1059" s="19"/>
      <c r="C1059" s="6"/>
      <c r="D1059" s="5"/>
      <c r="E1059" s="6"/>
      <c r="F1059" s="22"/>
      <c r="G1059" s="22"/>
      <c r="H1059" s="22"/>
      <c r="I1059" s="22"/>
      <c r="J1059" s="22"/>
      <c r="K1059" s="22"/>
      <c r="L1059" s="22"/>
      <c r="M1059" s="22"/>
      <c r="N1059" s="22"/>
      <c r="O1059" s="22"/>
      <c r="P1059" s="22"/>
      <c r="Q1059" s="22"/>
      <c r="R1059" s="22"/>
      <c r="S1059" s="22"/>
      <c r="T1059" s="22"/>
      <c r="U1059" s="22"/>
      <c r="V1059" s="22"/>
      <c r="W1059" s="22"/>
      <c r="X1059" s="22"/>
      <c r="Y1059" s="22"/>
      <c r="Z1059" s="22"/>
      <c r="AA1059" s="22"/>
      <c r="AB1059" s="22"/>
      <c r="AC1059" s="22"/>
      <c r="AD1059" s="22"/>
      <c r="AE1059" s="22"/>
      <c r="AF1059" s="22"/>
      <c r="AG1059" s="22"/>
      <c r="AH1059" s="22"/>
      <c r="AI1059" s="22"/>
      <c r="AJ1059" s="22"/>
      <c r="AK1059" s="22"/>
      <c r="AL1059" s="22"/>
      <c r="AM1059" s="22"/>
      <c r="AN1059" s="22"/>
      <c r="AO1059" s="22"/>
      <c r="AP1059" s="22"/>
      <c r="AQ1059" s="22"/>
      <c r="AR1059" s="22"/>
      <c r="AS1059" s="22"/>
      <c r="AT1059" s="22"/>
      <c r="AU1059" s="22"/>
      <c r="AV1059" s="22"/>
      <c r="AW1059" s="22"/>
      <c r="AX1059" s="22"/>
    </row>
    <row r="1060" spans="1:50" x14ac:dyDescent="0.3">
      <c r="A1060" s="6"/>
      <c r="B1060" s="19"/>
      <c r="C1060" s="6"/>
      <c r="D1060" s="5"/>
      <c r="E1060" s="6"/>
      <c r="F1060" s="22"/>
      <c r="G1060" s="22"/>
      <c r="H1060" s="22"/>
      <c r="I1060" s="22"/>
      <c r="J1060" s="22"/>
      <c r="K1060" s="22"/>
      <c r="L1060" s="22"/>
      <c r="M1060" s="22"/>
      <c r="N1060" s="22"/>
      <c r="O1060" s="22"/>
      <c r="P1060" s="22"/>
      <c r="Q1060" s="22"/>
      <c r="R1060" s="22"/>
      <c r="S1060" s="22"/>
      <c r="T1060" s="22"/>
      <c r="U1060" s="22"/>
      <c r="V1060" s="22"/>
      <c r="W1060" s="22"/>
      <c r="X1060" s="22"/>
      <c r="Y1060" s="22"/>
      <c r="Z1060" s="22"/>
      <c r="AA1060" s="22"/>
      <c r="AB1060" s="22"/>
      <c r="AC1060" s="22"/>
      <c r="AD1060" s="22"/>
      <c r="AE1060" s="22"/>
      <c r="AF1060" s="22"/>
      <c r="AG1060" s="22"/>
      <c r="AH1060" s="22"/>
      <c r="AI1060" s="22"/>
      <c r="AJ1060" s="22"/>
      <c r="AK1060" s="22"/>
      <c r="AL1060" s="22"/>
      <c r="AM1060" s="22"/>
      <c r="AN1060" s="22"/>
      <c r="AO1060" s="22"/>
      <c r="AP1060" s="22"/>
      <c r="AQ1060" s="22"/>
      <c r="AR1060" s="22"/>
      <c r="AS1060" s="22"/>
      <c r="AT1060" s="22"/>
      <c r="AU1060" s="22"/>
      <c r="AV1060" s="22"/>
      <c r="AW1060" s="22"/>
      <c r="AX1060" s="22"/>
    </row>
    <row r="1061" spans="1:50" x14ac:dyDescent="0.3">
      <c r="A1061" s="6"/>
      <c r="B1061" s="19"/>
      <c r="C1061" s="6"/>
      <c r="D1061" s="5"/>
      <c r="E1061" s="6"/>
      <c r="F1061" s="22"/>
      <c r="G1061" s="22"/>
      <c r="H1061" s="22"/>
      <c r="I1061" s="22"/>
      <c r="J1061" s="22"/>
      <c r="K1061" s="22"/>
      <c r="L1061" s="22"/>
      <c r="M1061" s="22"/>
      <c r="N1061" s="22"/>
      <c r="O1061" s="22"/>
      <c r="P1061" s="22"/>
      <c r="Q1061" s="22"/>
      <c r="R1061" s="22"/>
      <c r="S1061" s="22"/>
      <c r="T1061" s="22"/>
      <c r="U1061" s="22"/>
      <c r="V1061" s="22"/>
      <c r="W1061" s="22"/>
      <c r="X1061" s="22"/>
      <c r="Y1061" s="22"/>
      <c r="Z1061" s="22"/>
      <c r="AA1061" s="22"/>
      <c r="AB1061" s="22"/>
      <c r="AC1061" s="22"/>
      <c r="AD1061" s="22"/>
      <c r="AE1061" s="22"/>
      <c r="AF1061" s="22"/>
      <c r="AG1061" s="22"/>
      <c r="AH1061" s="22"/>
      <c r="AI1061" s="22"/>
      <c r="AJ1061" s="22"/>
      <c r="AK1061" s="22"/>
      <c r="AL1061" s="22"/>
      <c r="AM1061" s="22"/>
      <c r="AN1061" s="22"/>
      <c r="AO1061" s="22"/>
      <c r="AP1061" s="22"/>
      <c r="AQ1061" s="22"/>
      <c r="AR1061" s="22"/>
      <c r="AS1061" s="22"/>
      <c r="AT1061" s="22"/>
      <c r="AU1061" s="22"/>
      <c r="AV1061" s="22"/>
      <c r="AW1061" s="22"/>
      <c r="AX1061" s="22"/>
    </row>
    <row r="1062" spans="1:50" x14ac:dyDescent="0.3">
      <c r="A1062" s="6"/>
      <c r="B1062" s="19"/>
      <c r="C1062" s="6"/>
      <c r="D1062" s="5"/>
      <c r="E1062" s="6"/>
      <c r="F1062" s="22"/>
      <c r="G1062" s="22"/>
      <c r="H1062" s="22"/>
      <c r="I1062" s="22"/>
      <c r="J1062" s="22"/>
      <c r="K1062" s="22"/>
      <c r="L1062" s="22"/>
      <c r="M1062" s="22"/>
      <c r="N1062" s="22"/>
      <c r="O1062" s="22"/>
      <c r="P1062" s="22"/>
      <c r="Q1062" s="22"/>
      <c r="R1062" s="22"/>
      <c r="S1062" s="22"/>
      <c r="T1062" s="22"/>
      <c r="U1062" s="22"/>
      <c r="V1062" s="22"/>
      <c r="W1062" s="22"/>
      <c r="X1062" s="22"/>
      <c r="Y1062" s="22"/>
      <c r="Z1062" s="22"/>
      <c r="AA1062" s="22"/>
      <c r="AB1062" s="22"/>
      <c r="AC1062" s="22"/>
      <c r="AD1062" s="22"/>
      <c r="AE1062" s="22"/>
      <c r="AF1062" s="22"/>
      <c r="AG1062" s="22"/>
      <c r="AH1062" s="22"/>
      <c r="AI1062" s="22"/>
      <c r="AJ1062" s="22"/>
      <c r="AK1062" s="22"/>
      <c r="AL1062" s="22"/>
      <c r="AM1062" s="22"/>
      <c r="AN1062" s="22"/>
      <c r="AO1062" s="22"/>
      <c r="AP1062" s="22"/>
      <c r="AQ1062" s="22"/>
      <c r="AR1062" s="22"/>
      <c r="AS1062" s="22"/>
      <c r="AT1062" s="22"/>
      <c r="AU1062" s="22"/>
      <c r="AV1062" s="22"/>
      <c r="AW1062" s="22"/>
      <c r="AX1062" s="22"/>
    </row>
    <row r="1063" spans="1:50" x14ac:dyDescent="0.3">
      <c r="A1063" s="6"/>
      <c r="B1063" s="19"/>
      <c r="C1063" s="6"/>
      <c r="D1063" s="5"/>
      <c r="E1063" s="6"/>
      <c r="F1063" s="22"/>
      <c r="G1063" s="22"/>
      <c r="H1063" s="22"/>
      <c r="I1063" s="22"/>
      <c r="J1063" s="22"/>
      <c r="K1063" s="22"/>
      <c r="L1063" s="22"/>
      <c r="M1063" s="22"/>
      <c r="N1063" s="22"/>
      <c r="O1063" s="22"/>
      <c r="P1063" s="22"/>
      <c r="Q1063" s="22"/>
      <c r="R1063" s="22"/>
      <c r="S1063" s="22"/>
      <c r="T1063" s="22"/>
      <c r="U1063" s="22"/>
      <c r="V1063" s="22"/>
      <c r="W1063" s="22"/>
      <c r="X1063" s="22"/>
      <c r="Y1063" s="22"/>
      <c r="Z1063" s="22"/>
      <c r="AA1063" s="22"/>
      <c r="AB1063" s="22"/>
      <c r="AC1063" s="22"/>
      <c r="AD1063" s="22"/>
      <c r="AE1063" s="22"/>
      <c r="AF1063" s="22"/>
      <c r="AG1063" s="22"/>
      <c r="AH1063" s="22"/>
      <c r="AI1063" s="22"/>
      <c r="AJ1063" s="22"/>
      <c r="AK1063" s="22"/>
      <c r="AL1063" s="22"/>
      <c r="AM1063" s="22"/>
      <c r="AN1063" s="22"/>
      <c r="AO1063" s="22"/>
      <c r="AP1063" s="22"/>
      <c r="AQ1063" s="22"/>
      <c r="AR1063" s="22"/>
      <c r="AS1063" s="22"/>
      <c r="AT1063" s="22"/>
      <c r="AU1063" s="22"/>
      <c r="AV1063" s="22"/>
      <c r="AW1063" s="22"/>
      <c r="AX1063" s="22"/>
    </row>
    <row r="1064" spans="1:50" x14ac:dyDescent="0.3">
      <c r="A1064" s="6"/>
      <c r="B1064" s="19"/>
      <c r="C1064" s="6"/>
      <c r="D1064" s="5"/>
      <c r="E1064" s="6"/>
      <c r="F1064" s="22"/>
      <c r="G1064" s="22"/>
      <c r="H1064" s="22"/>
      <c r="I1064" s="22"/>
      <c r="J1064" s="22"/>
      <c r="K1064" s="22"/>
      <c r="L1064" s="22"/>
      <c r="M1064" s="22"/>
      <c r="N1064" s="22"/>
      <c r="O1064" s="22"/>
      <c r="P1064" s="22"/>
      <c r="Q1064" s="22"/>
      <c r="R1064" s="22"/>
      <c r="S1064" s="22"/>
      <c r="T1064" s="22"/>
      <c r="U1064" s="22"/>
      <c r="V1064" s="22"/>
      <c r="W1064" s="22"/>
      <c r="X1064" s="22"/>
      <c r="Y1064" s="22"/>
      <c r="Z1064" s="22"/>
      <c r="AA1064" s="22"/>
      <c r="AB1064" s="22"/>
      <c r="AC1064" s="22"/>
      <c r="AD1064" s="22"/>
      <c r="AE1064" s="22"/>
      <c r="AF1064" s="22"/>
      <c r="AG1064" s="22"/>
      <c r="AH1064" s="22"/>
      <c r="AI1064" s="22"/>
      <c r="AJ1064" s="22"/>
      <c r="AK1064" s="22"/>
      <c r="AL1064" s="22"/>
      <c r="AM1064" s="22"/>
      <c r="AN1064" s="22"/>
      <c r="AO1064" s="22"/>
      <c r="AP1064" s="22"/>
      <c r="AQ1064" s="22"/>
      <c r="AR1064" s="22"/>
      <c r="AS1064" s="22"/>
      <c r="AT1064" s="22"/>
      <c r="AU1064" s="22"/>
      <c r="AV1064" s="22"/>
      <c r="AW1064" s="22"/>
      <c r="AX1064" s="22"/>
    </row>
    <row r="1065" spans="1:50" x14ac:dyDescent="0.3">
      <c r="A1065" s="6"/>
      <c r="B1065" s="19"/>
      <c r="C1065" s="6"/>
      <c r="D1065" s="5"/>
      <c r="E1065" s="6"/>
      <c r="F1065" s="22"/>
      <c r="G1065" s="22"/>
      <c r="H1065" s="22"/>
      <c r="I1065" s="22"/>
      <c r="J1065" s="22"/>
      <c r="K1065" s="22"/>
      <c r="L1065" s="22"/>
      <c r="M1065" s="22"/>
      <c r="N1065" s="22"/>
      <c r="O1065" s="22"/>
      <c r="P1065" s="22"/>
      <c r="Q1065" s="22"/>
      <c r="R1065" s="22"/>
      <c r="S1065" s="22"/>
      <c r="T1065" s="22"/>
      <c r="U1065" s="22"/>
      <c r="V1065" s="22"/>
      <c r="W1065" s="22"/>
      <c r="X1065" s="22"/>
      <c r="Y1065" s="22"/>
      <c r="Z1065" s="22"/>
      <c r="AA1065" s="22"/>
      <c r="AB1065" s="22"/>
      <c r="AC1065" s="22"/>
      <c r="AD1065" s="22"/>
      <c r="AE1065" s="22"/>
      <c r="AF1065" s="22"/>
      <c r="AG1065" s="22"/>
      <c r="AH1065" s="22"/>
      <c r="AI1065" s="22"/>
      <c r="AJ1065" s="22"/>
      <c r="AK1065" s="22"/>
      <c r="AL1065" s="22"/>
      <c r="AM1065" s="22"/>
      <c r="AN1065" s="22"/>
      <c r="AO1065" s="22"/>
      <c r="AP1065" s="22"/>
      <c r="AQ1065" s="22"/>
      <c r="AR1065" s="22"/>
      <c r="AS1065" s="22"/>
      <c r="AT1065" s="22"/>
      <c r="AU1065" s="22"/>
      <c r="AV1065" s="22"/>
      <c r="AW1065" s="22"/>
      <c r="AX1065" s="22"/>
    </row>
    <row r="1066" spans="1:50" x14ac:dyDescent="0.3">
      <c r="A1066" s="6"/>
      <c r="B1066" s="19"/>
      <c r="C1066" s="6"/>
      <c r="D1066" s="5"/>
      <c r="E1066" s="6"/>
      <c r="F1066" s="22"/>
      <c r="G1066" s="22"/>
      <c r="H1066" s="22"/>
      <c r="I1066" s="22"/>
      <c r="J1066" s="22"/>
      <c r="K1066" s="22"/>
      <c r="L1066" s="22"/>
      <c r="M1066" s="22"/>
      <c r="N1066" s="22"/>
      <c r="O1066" s="22"/>
      <c r="P1066" s="22"/>
      <c r="Q1066" s="22"/>
      <c r="R1066" s="22"/>
      <c r="S1066" s="22"/>
      <c r="T1066" s="22"/>
      <c r="U1066" s="22"/>
      <c r="V1066" s="22"/>
      <c r="W1066" s="22"/>
      <c r="X1066" s="22"/>
      <c r="Y1066" s="22"/>
      <c r="Z1066" s="22"/>
      <c r="AA1066" s="22"/>
      <c r="AB1066" s="22"/>
      <c r="AC1066" s="22"/>
      <c r="AD1066" s="22"/>
      <c r="AE1066" s="22"/>
      <c r="AF1066" s="22"/>
      <c r="AG1066" s="22"/>
      <c r="AH1066" s="22"/>
      <c r="AI1066" s="22"/>
      <c r="AJ1066" s="22"/>
      <c r="AK1066" s="22"/>
      <c r="AL1066" s="22"/>
      <c r="AM1066" s="22"/>
      <c r="AN1066" s="22"/>
      <c r="AO1066" s="22"/>
      <c r="AP1066" s="22"/>
      <c r="AQ1066" s="22"/>
      <c r="AR1066" s="22"/>
      <c r="AS1066" s="22"/>
      <c r="AT1066" s="22"/>
      <c r="AU1066" s="22"/>
      <c r="AV1066" s="22"/>
      <c r="AW1066" s="22"/>
      <c r="AX1066" s="22"/>
    </row>
    <row r="1067" spans="1:50" x14ac:dyDescent="0.3">
      <c r="A1067" s="6"/>
      <c r="B1067" s="19"/>
      <c r="C1067" s="6"/>
      <c r="D1067" s="5"/>
      <c r="E1067" s="6"/>
      <c r="F1067" s="22"/>
      <c r="G1067" s="22"/>
      <c r="H1067" s="22"/>
      <c r="I1067" s="22"/>
      <c r="J1067" s="22"/>
      <c r="K1067" s="22"/>
      <c r="L1067" s="22"/>
      <c r="M1067" s="22"/>
      <c r="N1067" s="22"/>
      <c r="O1067" s="22"/>
      <c r="P1067" s="22"/>
      <c r="Q1067" s="22"/>
      <c r="R1067" s="22"/>
      <c r="S1067" s="22"/>
      <c r="T1067" s="22"/>
      <c r="U1067" s="22"/>
      <c r="V1067" s="22"/>
      <c r="W1067" s="22"/>
      <c r="X1067" s="22"/>
      <c r="Y1067" s="22"/>
      <c r="Z1067" s="22"/>
      <c r="AA1067" s="22"/>
      <c r="AB1067" s="22"/>
      <c r="AC1067" s="22"/>
      <c r="AD1067" s="22"/>
      <c r="AE1067" s="22"/>
      <c r="AF1067" s="22"/>
      <c r="AG1067" s="22"/>
      <c r="AH1067" s="22"/>
      <c r="AI1067" s="22"/>
      <c r="AJ1067" s="22"/>
      <c r="AK1067" s="22"/>
      <c r="AL1067" s="22"/>
      <c r="AM1067" s="22"/>
      <c r="AN1067" s="22"/>
      <c r="AO1067" s="22"/>
      <c r="AP1067" s="22"/>
      <c r="AQ1067" s="22"/>
      <c r="AR1067" s="22"/>
      <c r="AS1067" s="22"/>
      <c r="AT1067" s="22"/>
      <c r="AU1067" s="22"/>
      <c r="AV1067" s="22"/>
      <c r="AW1067" s="22"/>
      <c r="AX1067" s="22"/>
    </row>
    <row r="1068" spans="1:50" x14ac:dyDescent="0.3">
      <c r="A1068" s="6"/>
      <c r="B1068" s="19"/>
      <c r="C1068" s="6"/>
      <c r="D1068" s="5"/>
      <c r="E1068" s="6"/>
      <c r="F1068" s="22"/>
      <c r="G1068" s="22"/>
      <c r="H1068" s="22"/>
      <c r="I1068" s="22"/>
      <c r="J1068" s="22"/>
      <c r="K1068" s="22"/>
      <c r="L1068" s="22"/>
      <c r="M1068" s="22"/>
      <c r="N1068" s="22"/>
      <c r="O1068" s="22"/>
      <c r="P1068" s="22"/>
      <c r="Q1068" s="22"/>
      <c r="R1068" s="22"/>
      <c r="S1068" s="22"/>
      <c r="T1068" s="22"/>
      <c r="U1068" s="22"/>
      <c r="V1068" s="22"/>
      <c r="W1068" s="22"/>
      <c r="X1068" s="22"/>
      <c r="Y1068" s="22"/>
      <c r="Z1068" s="22"/>
      <c r="AA1068" s="22"/>
      <c r="AB1068" s="22"/>
      <c r="AC1068" s="22"/>
      <c r="AD1068" s="22"/>
      <c r="AE1068" s="22"/>
      <c r="AF1068" s="22"/>
      <c r="AG1068" s="22"/>
      <c r="AH1068" s="22"/>
      <c r="AI1068" s="22"/>
      <c r="AJ1068" s="22"/>
      <c r="AK1068" s="22"/>
      <c r="AL1068" s="22"/>
      <c r="AM1068" s="22"/>
      <c r="AN1068" s="22"/>
      <c r="AO1068" s="22"/>
      <c r="AP1068" s="22"/>
      <c r="AQ1068" s="22"/>
      <c r="AR1068" s="22"/>
      <c r="AS1068" s="22"/>
      <c r="AT1068" s="22"/>
      <c r="AU1068" s="22"/>
      <c r="AV1068" s="22"/>
      <c r="AW1068" s="22"/>
      <c r="AX1068" s="22"/>
    </row>
    <row r="1069" spans="1:50" x14ac:dyDescent="0.3">
      <c r="A1069" s="6"/>
      <c r="B1069" s="19"/>
      <c r="C1069" s="6"/>
      <c r="D1069" s="5"/>
      <c r="E1069" s="6"/>
      <c r="F1069" s="22"/>
      <c r="G1069" s="22"/>
      <c r="H1069" s="22"/>
      <c r="I1069" s="22"/>
      <c r="J1069" s="22"/>
      <c r="K1069" s="22"/>
      <c r="L1069" s="22"/>
      <c r="M1069" s="22"/>
      <c r="N1069" s="22"/>
      <c r="O1069" s="22"/>
      <c r="P1069" s="22"/>
      <c r="Q1069" s="22"/>
      <c r="R1069" s="22"/>
      <c r="S1069" s="22"/>
      <c r="T1069" s="22"/>
      <c r="U1069" s="22"/>
      <c r="V1069" s="22"/>
      <c r="W1069" s="22"/>
      <c r="X1069" s="22"/>
      <c r="Y1069" s="22"/>
      <c r="Z1069" s="22"/>
      <c r="AA1069" s="22"/>
      <c r="AB1069" s="22"/>
      <c r="AC1069" s="22"/>
      <c r="AD1069" s="22"/>
      <c r="AE1069" s="22"/>
      <c r="AF1069" s="22"/>
      <c r="AG1069" s="22"/>
      <c r="AH1069" s="22"/>
      <c r="AI1069" s="22"/>
      <c r="AJ1069" s="22"/>
      <c r="AK1069" s="22"/>
      <c r="AL1069" s="22"/>
      <c r="AM1069" s="22"/>
      <c r="AN1069" s="22"/>
      <c r="AO1069" s="22"/>
      <c r="AP1069" s="22"/>
      <c r="AQ1069" s="22"/>
      <c r="AR1069" s="22"/>
      <c r="AS1069" s="22"/>
      <c r="AT1069" s="22"/>
      <c r="AU1069" s="22"/>
      <c r="AV1069" s="22"/>
      <c r="AW1069" s="22"/>
      <c r="AX1069" s="22"/>
    </row>
    <row r="1070" spans="1:50" x14ac:dyDescent="0.3">
      <c r="A1070" s="6"/>
      <c r="B1070" s="19"/>
      <c r="C1070" s="6"/>
      <c r="D1070" s="5"/>
      <c r="E1070" s="6"/>
      <c r="F1070" s="22"/>
      <c r="G1070" s="22"/>
      <c r="H1070" s="22"/>
      <c r="I1070" s="22"/>
      <c r="J1070" s="22"/>
      <c r="K1070" s="22"/>
      <c r="L1070" s="22"/>
      <c r="M1070" s="22"/>
      <c r="N1070" s="22"/>
      <c r="O1070" s="22"/>
      <c r="P1070" s="22"/>
      <c r="Q1070" s="22"/>
      <c r="R1070" s="22"/>
      <c r="S1070" s="22"/>
      <c r="T1070" s="22"/>
      <c r="U1070" s="22"/>
      <c r="V1070" s="22"/>
      <c r="W1070" s="22"/>
      <c r="X1070" s="22"/>
      <c r="Y1070" s="22"/>
      <c r="Z1070" s="22"/>
      <c r="AA1070" s="22"/>
      <c r="AB1070" s="22"/>
      <c r="AC1070" s="22"/>
      <c r="AD1070" s="22"/>
      <c r="AE1070" s="22"/>
      <c r="AF1070" s="22"/>
      <c r="AG1070" s="22"/>
      <c r="AH1070" s="22"/>
      <c r="AI1070" s="22"/>
      <c r="AJ1070" s="22"/>
      <c r="AK1070" s="22"/>
      <c r="AL1070" s="22"/>
      <c r="AM1070" s="22"/>
      <c r="AN1070" s="22"/>
      <c r="AO1070" s="22"/>
      <c r="AP1070" s="22"/>
      <c r="AQ1070" s="22"/>
      <c r="AR1070" s="22"/>
      <c r="AS1070" s="22"/>
      <c r="AT1070" s="22"/>
      <c r="AU1070" s="22"/>
      <c r="AV1070" s="22"/>
      <c r="AW1070" s="22"/>
      <c r="AX1070" s="22"/>
    </row>
    <row r="1071" spans="1:50" x14ac:dyDescent="0.3">
      <c r="A1071" s="6"/>
      <c r="B1071" s="19"/>
      <c r="C1071" s="6"/>
      <c r="D1071" s="5"/>
      <c r="E1071" s="6"/>
      <c r="F1071" s="22"/>
      <c r="G1071" s="22"/>
      <c r="H1071" s="22"/>
      <c r="I1071" s="22"/>
      <c r="J1071" s="22"/>
      <c r="K1071" s="22"/>
      <c r="L1071" s="22"/>
      <c r="M1071" s="22"/>
      <c r="N1071" s="22"/>
      <c r="O1071" s="22"/>
      <c r="P1071" s="22"/>
      <c r="Q1071" s="22"/>
      <c r="R1071" s="22"/>
      <c r="S1071" s="22"/>
      <c r="T1071" s="22"/>
      <c r="U1071" s="22"/>
      <c r="V1071" s="22"/>
      <c r="W1071" s="22"/>
      <c r="X1071" s="22"/>
      <c r="Y1071" s="22"/>
      <c r="Z1071" s="22"/>
      <c r="AA1071" s="22"/>
      <c r="AB1071" s="22"/>
      <c r="AC1071" s="22"/>
      <c r="AD1071" s="22"/>
      <c r="AE1071" s="22"/>
      <c r="AF1071" s="22"/>
      <c r="AG1071" s="22"/>
      <c r="AH1071" s="22"/>
      <c r="AI1071" s="22"/>
      <c r="AJ1071" s="22"/>
      <c r="AK1071" s="22"/>
      <c r="AL1071" s="22"/>
      <c r="AM1071" s="22"/>
      <c r="AN1071" s="22"/>
      <c r="AO1071" s="22"/>
      <c r="AP1071" s="22"/>
      <c r="AQ1071" s="22"/>
      <c r="AR1071" s="22"/>
      <c r="AS1071" s="22"/>
      <c r="AT1071" s="22"/>
      <c r="AU1071" s="22"/>
      <c r="AV1071" s="22"/>
      <c r="AW1071" s="22"/>
      <c r="AX1071" s="22"/>
    </row>
    <row r="1072" spans="1:50" x14ac:dyDescent="0.3">
      <c r="A1072" s="6"/>
      <c r="B1072" s="19"/>
      <c r="C1072" s="6"/>
      <c r="D1072" s="5"/>
      <c r="E1072" s="6"/>
      <c r="F1072" s="22"/>
      <c r="G1072" s="22"/>
      <c r="H1072" s="22"/>
      <c r="I1072" s="22"/>
      <c r="J1072" s="22"/>
      <c r="K1072" s="22"/>
      <c r="L1072" s="22"/>
      <c r="M1072" s="22"/>
      <c r="N1072" s="22"/>
      <c r="O1072" s="22"/>
      <c r="P1072" s="22"/>
      <c r="Q1072" s="22"/>
      <c r="R1072" s="22"/>
      <c r="S1072" s="22"/>
      <c r="T1072" s="22"/>
      <c r="U1072" s="22"/>
      <c r="V1072" s="22"/>
      <c r="W1072" s="22"/>
      <c r="X1072" s="22"/>
      <c r="Y1072" s="22"/>
      <c r="Z1072" s="22"/>
      <c r="AA1072" s="22"/>
      <c r="AB1072" s="22"/>
      <c r="AC1072" s="22"/>
      <c r="AD1072" s="22"/>
      <c r="AE1072" s="22"/>
      <c r="AF1072" s="22"/>
      <c r="AG1072" s="22"/>
      <c r="AH1072" s="22"/>
      <c r="AI1072" s="22"/>
      <c r="AJ1072" s="22"/>
      <c r="AK1072" s="22"/>
      <c r="AL1072" s="22"/>
      <c r="AM1072" s="22"/>
      <c r="AN1072" s="22"/>
      <c r="AO1072" s="22"/>
      <c r="AP1072" s="22"/>
      <c r="AQ1072" s="22"/>
      <c r="AR1072" s="22"/>
      <c r="AS1072" s="22"/>
      <c r="AT1072" s="22"/>
      <c r="AU1072" s="22"/>
      <c r="AV1072" s="22"/>
      <c r="AW1072" s="22"/>
      <c r="AX1072" s="22"/>
    </row>
    <row r="1073" spans="1:50" x14ac:dyDescent="0.3">
      <c r="A1073" s="6"/>
      <c r="B1073" s="19"/>
      <c r="C1073" s="6"/>
      <c r="D1073" s="5"/>
      <c r="E1073" s="6"/>
      <c r="F1073" s="22"/>
      <c r="G1073" s="22"/>
      <c r="H1073" s="22"/>
      <c r="I1073" s="22"/>
      <c r="J1073" s="22"/>
      <c r="K1073" s="22"/>
      <c r="L1073" s="22"/>
      <c r="M1073" s="22"/>
      <c r="N1073" s="22"/>
      <c r="O1073" s="22"/>
      <c r="P1073" s="22"/>
      <c r="Q1073" s="22"/>
      <c r="R1073" s="22"/>
      <c r="S1073" s="22"/>
      <c r="T1073" s="22"/>
      <c r="U1073" s="22"/>
      <c r="V1073" s="22"/>
      <c r="W1073" s="22"/>
      <c r="X1073" s="22"/>
      <c r="Y1073" s="22"/>
      <c r="Z1073" s="22"/>
      <c r="AA1073" s="22"/>
      <c r="AB1073" s="22"/>
      <c r="AC1073" s="22"/>
      <c r="AD1073" s="22"/>
      <c r="AE1073" s="22"/>
      <c r="AF1073" s="22"/>
      <c r="AG1073" s="22"/>
      <c r="AH1073" s="22"/>
      <c r="AI1073" s="22"/>
      <c r="AJ1073" s="22"/>
      <c r="AK1073" s="22"/>
      <c r="AL1073" s="22"/>
      <c r="AM1073" s="22"/>
      <c r="AN1073" s="22"/>
      <c r="AO1073" s="22"/>
      <c r="AP1073" s="22"/>
      <c r="AQ1073" s="22"/>
      <c r="AR1073" s="22"/>
      <c r="AS1073" s="22"/>
      <c r="AT1073" s="22"/>
      <c r="AU1073" s="22"/>
      <c r="AV1073" s="22"/>
      <c r="AW1073" s="22"/>
      <c r="AX1073" s="22"/>
    </row>
    <row r="1074" spans="1:50" x14ac:dyDescent="0.3">
      <c r="A1074" s="6"/>
      <c r="B1074" s="19"/>
      <c r="C1074" s="6"/>
      <c r="D1074" s="5"/>
      <c r="E1074" s="6"/>
      <c r="F1074" s="22"/>
      <c r="G1074" s="22"/>
      <c r="H1074" s="22"/>
      <c r="I1074" s="22"/>
      <c r="J1074" s="22"/>
      <c r="K1074" s="22"/>
      <c r="L1074" s="22"/>
      <c r="M1074" s="22"/>
      <c r="N1074" s="22"/>
      <c r="O1074" s="22"/>
      <c r="P1074" s="22"/>
      <c r="Q1074" s="22"/>
      <c r="R1074" s="22"/>
      <c r="S1074" s="22"/>
      <c r="T1074" s="22"/>
      <c r="U1074" s="22"/>
      <c r="V1074" s="22"/>
      <c r="W1074" s="22"/>
      <c r="X1074" s="22"/>
      <c r="Y1074" s="22"/>
      <c r="Z1074" s="22"/>
      <c r="AA1074" s="22"/>
      <c r="AB1074" s="22"/>
      <c r="AC1074" s="22"/>
      <c r="AD1074" s="22"/>
      <c r="AE1074" s="22"/>
      <c r="AF1074" s="22"/>
      <c r="AG1074" s="22"/>
      <c r="AH1074" s="22"/>
      <c r="AI1074" s="22"/>
      <c r="AJ1074" s="22"/>
      <c r="AK1074" s="22"/>
      <c r="AL1074" s="22"/>
      <c r="AM1074" s="22"/>
      <c r="AN1074" s="22"/>
      <c r="AO1074" s="22"/>
      <c r="AP1074" s="22"/>
      <c r="AQ1074" s="22"/>
      <c r="AR1074" s="22"/>
      <c r="AS1074" s="22"/>
      <c r="AT1074" s="22"/>
      <c r="AU1074" s="22"/>
      <c r="AV1074" s="22"/>
      <c r="AW1074" s="22"/>
      <c r="AX1074" s="22"/>
    </row>
    <row r="1075" spans="1:50" x14ac:dyDescent="0.3">
      <c r="A1075" s="6"/>
      <c r="B1075" s="19"/>
      <c r="C1075" s="6"/>
      <c r="D1075" s="5"/>
      <c r="E1075" s="6"/>
      <c r="F1075" s="22"/>
      <c r="G1075" s="22"/>
      <c r="H1075" s="22"/>
      <c r="I1075" s="22"/>
      <c r="J1075" s="22"/>
      <c r="K1075" s="22"/>
      <c r="L1075" s="22"/>
      <c r="M1075" s="22"/>
      <c r="N1075" s="22"/>
      <c r="O1075" s="22"/>
      <c r="P1075" s="22"/>
      <c r="Q1075" s="22"/>
      <c r="R1075" s="22"/>
      <c r="S1075" s="22"/>
      <c r="T1075" s="22"/>
      <c r="U1075" s="22"/>
      <c r="V1075" s="22"/>
      <c r="W1075" s="22"/>
      <c r="X1075" s="22"/>
      <c r="Y1075" s="22"/>
      <c r="Z1075" s="22"/>
      <c r="AA1075" s="22"/>
      <c r="AB1075" s="22"/>
      <c r="AC1075" s="22"/>
      <c r="AD1075" s="22"/>
      <c r="AE1075" s="22"/>
      <c r="AF1075" s="22"/>
      <c r="AG1075" s="22"/>
      <c r="AH1075" s="22"/>
      <c r="AI1075" s="22"/>
      <c r="AJ1075" s="22"/>
      <c r="AK1075" s="22"/>
      <c r="AL1075" s="22"/>
      <c r="AM1075" s="22"/>
      <c r="AN1075" s="22"/>
      <c r="AO1075" s="22"/>
      <c r="AP1075" s="22"/>
      <c r="AQ1075" s="22"/>
      <c r="AR1075" s="22"/>
      <c r="AS1075" s="22"/>
      <c r="AT1075" s="22"/>
      <c r="AU1075" s="22"/>
      <c r="AV1075" s="22"/>
      <c r="AW1075" s="22"/>
      <c r="AX1075" s="22"/>
    </row>
    <row r="1076" spans="1:50" x14ac:dyDescent="0.3">
      <c r="A1076" s="6"/>
      <c r="B1076" s="19"/>
      <c r="C1076" s="6"/>
      <c r="D1076" s="5"/>
      <c r="E1076" s="6"/>
      <c r="F1076" s="22"/>
      <c r="G1076" s="22"/>
      <c r="H1076" s="22"/>
      <c r="I1076" s="22"/>
      <c r="J1076" s="22"/>
      <c r="K1076" s="22"/>
      <c r="L1076" s="22"/>
      <c r="M1076" s="22"/>
      <c r="N1076" s="22"/>
      <c r="O1076" s="22"/>
      <c r="P1076" s="22"/>
      <c r="Q1076" s="22"/>
      <c r="R1076" s="22"/>
      <c r="S1076" s="22"/>
      <c r="T1076" s="22"/>
      <c r="U1076" s="22"/>
      <c r="V1076" s="22"/>
      <c r="W1076" s="22"/>
      <c r="X1076" s="22"/>
      <c r="Y1076" s="22"/>
      <c r="Z1076" s="22"/>
      <c r="AA1076" s="22"/>
      <c r="AB1076" s="22"/>
      <c r="AC1076" s="22"/>
      <c r="AD1076" s="22"/>
      <c r="AE1076" s="22"/>
      <c r="AF1076" s="22"/>
      <c r="AG1076" s="22"/>
      <c r="AH1076" s="22"/>
      <c r="AI1076" s="22"/>
      <c r="AJ1076" s="22"/>
      <c r="AK1076" s="22"/>
      <c r="AL1076" s="22"/>
      <c r="AM1076" s="22"/>
      <c r="AN1076" s="22"/>
      <c r="AO1076" s="22"/>
      <c r="AP1076" s="22"/>
      <c r="AQ1076" s="22"/>
      <c r="AR1076" s="22"/>
      <c r="AS1076" s="22"/>
      <c r="AT1076" s="22"/>
      <c r="AU1076" s="22"/>
      <c r="AV1076" s="22"/>
      <c r="AW1076" s="22"/>
      <c r="AX1076" s="22"/>
    </row>
    <row r="1077" spans="1:50" x14ac:dyDescent="0.3">
      <c r="A1077" s="6"/>
      <c r="B1077" s="19"/>
      <c r="C1077" s="6"/>
      <c r="D1077" s="5"/>
      <c r="E1077" s="6"/>
      <c r="F1077" s="22"/>
      <c r="G1077" s="22"/>
      <c r="H1077" s="22"/>
      <c r="I1077" s="22"/>
      <c r="J1077" s="22"/>
      <c r="K1077" s="22"/>
      <c r="L1077" s="22"/>
      <c r="M1077" s="22"/>
      <c r="N1077" s="22"/>
      <c r="O1077" s="22"/>
      <c r="P1077" s="22"/>
      <c r="Q1077" s="22"/>
      <c r="R1077" s="22"/>
      <c r="S1077" s="22"/>
      <c r="T1077" s="22"/>
      <c r="U1077" s="22"/>
      <c r="V1077" s="22"/>
      <c r="W1077" s="22"/>
      <c r="X1077" s="22"/>
      <c r="Y1077" s="22"/>
      <c r="Z1077" s="22"/>
      <c r="AA1077" s="22"/>
      <c r="AB1077" s="22"/>
      <c r="AC1077" s="22"/>
      <c r="AD1077" s="22"/>
      <c r="AE1077" s="22"/>
      <c r="AF1077" s="22"/>
      <c r="AG1077" s="22"/>
      <c r="AH1077" s="22"/>
      <c r="AI1077" s="22"/>
      <c r="AJ1077" s="22"/>
      <c r="AK1077" s="22"/>
      <c r="AL1077" s="22"/>
      <c r="AM1077" s="22"/>
      <c r="AN1077" s="22"/>
      <c r="AO1077" s="22"/>
      <c r="AP1077" s="22"/>
      <c r="AQ1077" s="22"/>
      <c r="AR1077" s="22"/>
      <c r="AS1077" s="22"/>
      <c r="AT1077" s="22"/>
      <c r="AU1077" s="22"/>
      <c r="AV1077" s="22"/>
      <c r="AW1077" s="22"/>
      <c r="AX1077" s="22"/>
    </row>
    <row r="1078" spans="1:50" x14ac:dyDescent="0.3">
      <c r="A1078" s="6"/>
      <c r="B1078" s="19"/>
      <c r="C1078" s="6"/>
      <c r="D1078" s="5"/>
      <c r="E1078" s="6"/>
      <c r="F1078" s="22"/>
      <c r="G1078" s="22"/>
      <c r="H1078" s="22"/>
      <c r="I1078" s="22"/>
      <c r="J1078" s="22"/>
      <c r="K1078" s="22"/>
      <c r="L1078" s="22"/>
      <c r="M1078" s="22"/>
      <c r="N1078" s="22"/>
      <c r="O1078" s="22"/>
      <c r="P1078" s="22"/>
      <c r="Q1078" s="22"/>
      <c r="R1078" s="22"/>
      <c r="S1078" s="22"/>
      <c r="T1078" s="22"/>
      <c r="U1078" s="22"/>
      <c r="V1078" s="22"/>
      <c r="W1078" s="22"/>
      <c r="X1078" s="22"/>
      <c r="Y1078" s="22"/>
      <c r="Z1078" s="22"/>
      <c r="AA1078" s="22"/>
      <c r="AB1078" s="22"/>
      <c r="AC1078" s="22"/>
      <c r="AD1078" s="22"/>
      <c r="AE1078" s="22"/>
      <c r="AF1078" s="22"/>
      <c r="AG1078" s="22"/>
      <c r="AH1078" s="22"/>
      <c r="AI1078" s="22"/>
      <c r="AJ1078" s="22"/>
      <c r="AK1078" s="22"/>
      <c r="AL1078" s="22"/>
      <c r="AM1078" s="22"/>
      <c r="AN1078" s="22"/>
      <c r="AO1078" s="22"/>
      <c r="AP1078" s="22"/>
      <c r="AQ1078" s="22"/>
      <c r="AR1078" s="22"/>
      <c r="AS1078" s="22"/>
      <c r="AT1078" s="22"/>
      <c r="AU1078" s="22"/>
      <c r="AV1078" s="22"/>
      <c r="AW1078" s="22"/>
      <c r="AX1078" s="22"/>
    </row>
    <row r="1079" spans="1:50" x14ac:dyDescent="0.3">
      <c r="A1079" s="6"/>
      <c r="B1079" s="19"/>
      <c r="C1079" s="6"/>
      <c r="D1079" s="5"/>
      <c r="E1079" s="6"/>
      <c r="F1079" s="22"/>
      <c r="G1079" s="22"/>
      <c r="H1079" s="22"/>
      <c r="I1079" s="22"/>
      <c r="J1079" s="22"/>
      <c r="K1079" s="22"/>
      <c r="L1079" s="22"/>
      <c r="M1079" s="22"/>
      <c r="N1079" s="22"/>
      <c r="O1079" s="22"/>
      <c r="P1079" s="22"/>
      <c r="Q1079" s="22"/>
      <c r="R1079" s="22"/>
      <c r="S1079" s="22"/>
      <c r="T1079" s="22"/>
      <c r="U1079" s="22"/>
      <c r="V1079" s="22"/>
      <c r="W1079" s="22"/>
      <c r="X1079" s="22"/>
      <c r="Y1079" s="22"/>
      <c r="Z1079" s="22"/>
      <c r="AA1079" s="22"/>
      <c r="AB1079" s="22"/>
      <c r="AC1079" s="22"/>
      <c r="AD1079" s="22"/>
      <c r="AE1079" s="22"/>
      <c r="AF1079" s="22"/>
      <c r="AG1079" s="22"/>
      <c r="AH1079" s="22"/>
      <c r="AI1079" s="22"/>
      <c r="AJ1079" s="22"/>
      <c r="AK1079" s="22"/>
      <c r="AL1079" s="22"/>
      <c r="AM1079" s="22"/>
      <c r="AN1079" s="22"/>
      <c r="AO1079" s="22"/>
      <c r="AP1079" s="22"/>
      <c r="AQ1079" s="22"/>
      <c r="AR1079" s="22"/>
      <c r="AS1079" s="22"/>
      <c r="AT1079" s="22"/>
      <c r="AU1079" s="22"/>
      <c r="AV1079" s="22"/>
      <c r="AW1079" s="22"/>
      <c r="AX1079" s="22"/>
    </row>
    <row r="1080" spans="1:50" x14ac:dyDescent="0.3">
      <c r="A1080" s="6"/>
      <c r="B1080" s="19"/>
      <c r="C1080" s="6"/>
      <c r="D1080" s="5"/>
      <c r="E1080" s="6"/>
      <c r="F1080" s="22"/>
      <c r="G1080" s="22"/>
      <c r="H1080" s="22"/>
      <c r="I1080" s="22"/>
      <c r="J1080" s="22"/>
      <c r="K1080" s="22"/>
      <c r="L1080" s="22"/>
      <c r="M1080" s="22"/>
      <c r="N1080" s="22"/>
      <c r="O1080" s="22"/>
      <c r="P1080" s="22"/>
      <c r="Q1080" s="22"/>
      <c r="R1080" s="22"/>
      <c r="S1080" s="22"/>
      <c r="T1080" s="22"/>
      <c r="U1080" s="22"/>
      <c r="V1080" s="22"/>
      <c r="W1080" s="22"/>
      <c r="X1080" s="22"/>
      <c r="Y1080" s="22"/>
      <c r="Z1080" s="22"/>
      <c r="AA1080" s="22"/>
      <c r="AB1080" s="22"/>
      <c r="AC1080" s="22"/>
      <c r="AD1080" s="22"/>
      <c r="AE1080" s="22"/>
      <c r="AF1080" s="22"/>
      <c r="AG1080" s="22"/>
      <c r="AH1080" s="22"/>
      <c r="AI1080" s="22"/>
      <c r="AJ1080" s="22"/>
      <c r="AK1080" s="22"/>
      <c r="AL1080" s="22"/>
      <c r="AM1080" s="22"/>
      <c r="AN1080" s="22"/>
      <c r="AO1080" s="22"/>
      <c r="AP1080" s="22"/>
      <c r="AQ1080" s="22"/>
      <c r="AR1080" s="22"/>
      <c r="AS1080" s="22"/>
      <c r="AT1080" s="22"/>
      <c r="AU1080" s="22"/>
      <c r="AV1080" s="22"/>
      <c r="AW1080" s="22"/>
      <c r="AX1080" s="22"/>
    </row>
    <row r="1081" spans="1:50" x14ac:dyDescent="0.3">
      <c r="A1081" s="6"/>
      <c r="B1081" s="19"/>
      <c r="C1081" s="6"/>
      <c r="D1081" s="5"/>
      <c r="E1081" s="6"/>
      <c r="F1081" s="22"/>
      <c r="G1081" s="22"/>
      <c r="H1081" s="22"/>
      <c r="I1081" s="22"/>
      <c r="J1081" s="22"/>
      <c r="K1081" s="22"/>
      <c r="L1081" s="22"/>
      <c r="M1081" s="22"/>
      <c r="N1081" s="22"/>
      <c r="O1081" s="22"/>
      <c r="P1081" s="22"/>
      <c r="Q1081" s="22"/>
      <c r="R1081" s="22"/>
      <c r="S1081" s="22"/>
      <c r="T1081" s="22"/>
      <c r="U1081" s="22"/>
      <c r="V1081" s="22"/>
      <c r="W1081" s="22"/>
      <c r="X1081" s="22"/>
      <c r="Y1081" s="22"/>
      <c r="Z1081" s="22"/>
      <c r="AA1081" s="22"/>
      <c r="AB1081" s="22"/>
      <c r="AC1081" s="22"/>
      <c r="AD1081" s="22"/>
      <c r="AE1081" s="22"/>
      <c r="AF1081" s="22"/>
      <c r="AG1081" s="22"/>
      <c r="AH1081" s="22"/>
      <c r="AI1081" s="22"/>
      <c r="AJ1081" s="22"/>
      <c r="AK1081" s="22"/>
      <c r="AL1081" s="22"/>
      <c r="AM1081" s="22"/>
      <c r="AN1081" s="22"/>
      <c r="AO1081" s="22"/>
      <c r="AP1081" s="22"/>
      <c r="AQ1081" s="22"/>
      <c r="AR1081" s="22"/>
      <c r="AS1081" s="22"/>
      <c r="AT1081" s="22"/>
      <c r="AU1081" s="22"/>
      <c r="AV1081" s="22"/>
      <c r="AW1081" s="22"/>
      <c r="AX1081" s="22"/>
    </row>
    <row r="1082" spans="1:50" x14ac:dyDescent="0.3">
      <c r="A1082" s="6"/>
      <c r="B1082" s="19"/>
      <c r="C1082" s="6"/>
      <c r="D1082" s="5"/>
      <c r="E1082" s="6"/>
      <c r="F1082" s="22"/>
      <c r="G1082" s="22"/>
      <c r="H1082" s="22"/>
      <c r="I1082" s="22"/>
      <c r="J1082" s="22"/>
      <c r="K1082" s="22"/>
      <c r="L1082" s="22"/>
      <c r="M1082" s="22"/>
      <c r="N1082" s="22"/>
      <c r="O1082" s="22"/>
      <c r="P1082" s="22"/>
      <c r="Q1082" s="22"/>
      <c r="R1082" s="22"/>
      <c r="S1082" s="22"/>
      <c r="T1082" s="22"/>
      <c r="U1082" s="22"/>
      <c r="V1082" s="22"/>
      <c r="W1082" s="22"/>
      <c r="X1082" s="22"/>
      <c r="Y1082" s="22"/>
      <c r="Z1082" s="22"/>
      <c r="AA1082" s="22"/>
      <c r="AB1082" s="22"/>
      <c r="AC1082" s="22"/>
      <c r="AD1082" s="22"/>
      <c r="AE1082" s="22"/>
      <c r="AF1082" s="22"/>
      <c r="AG1082" s="22"/>
      <c r="AH1082" s="22"/>
      <c r="AI1082" s="22"/>
      <c r="AJ1082" s="22"/>
      <c r="AK1082" s="22"/>
      <c r="AL1082" s="22"/>
      <c r="AM1082" s="22"/>
      <c r="AN1082" s="22"/>
      <c r="AO1082" s="22"/>
      <c r="AP1082" s="22"/>
      <c r="AQ1082" s="22"/>
      <c r="AR1082" s="22"/>
      <c r="AS1082" s="22"/>
      <c r="AT1082" s="22"/>
      <c r="AU1082" s="22"/>
      <c r="AV1082" s="22"/>
      <c r="AW1082" s="22"/>
      <c r="AX1082" s="22"/>
    </row>
    <row r="1083" spans="1:50" x14ac:dyDescent="0.3">
      <c r="A1083" s="6"/>
      <c r="B1083" s="19"/>
      <c r="C1083" s="6"/>
      <c r="D1083" s="5"/>
      <c r="E1083" s="6"/>
      <c r="F1083" s="22"/>
      <c r="G1083" s="22"/>
      <c r="H1083" s="22"/>
      <c r="I1083" s="22"/>
      <c r="J1083" s="22"/>
      <c r="K1083" s="22"/>
      <c r="L1083" s="22"/>
      <c r="M1083" s="22"/>
      <c r="N1083" s="22"/>
      <c r="O1083" s="22"/>
      <c r="P1083" s="22"/>
      <c r="Q1083" s="22"/>
      <c r="R1083" s="22"/>
      <c r="S1083" s="22"/>
      <c r="T1083" s="22"/>
      <c r="U1083" s="22"/>
      <c r="V1083" s="22"/>
      <c r="W1083" s="22"/>
      <c r="X1083" s="22"/>
      <c r="Y1083" s="22"/>
      <c r="Z1083" s="22"/>
      <c r="AA1083" s="22"/>
      <c r="AB1083" s="22"/>
      <c r="AC1083" s="22"/>
      <c r="AD1083" s="22"/>
      <c r="AE1083" s="22"/>
      <c r="AF1083" s="22"/>
      <c r="AG1083" s="22"/>
      <c r="AH1083" s="22"/>
      <c r="AI1083" s="22"/>
      <c r="AJ1083" s="22"/>
      <c r="AK1083" s="22"/>
      <c r="AL1083" s="22"/>
      <c r="AM1083" s="22"/>
      <c r="AN1083" s="22"/>
      <c r="AO1083" s="22"/>
      <c r="AP1083" s="22"/>
      <c r="AQ1083" s="22"/>
      <c r="AR1083" s="22"/>
      <c r="AS1083" s="22"/>
      <c r="AT1083" s="22"/>
      <c r="AU1083" s="22"/>
      <c r="AV1083" s="22"/>
      <c r="AW1083" s="22"/>
      <c r="AX1083" s="22"/>
    </row>
    <row r="1084" spans="1:50" x14ac:dyDescent="0.3">
      <c r="A1084" s="6"/>
      <c r="B1084" s="19"/>
      <c r="C1084" s="6"/>
      <c r="D1084" s="5"/>
      <c r="E1084" s="6"/>
      <c r="F1084" s="22"/>
      <c r="G1084" s="22"/>
      <c r="H1084" s="22"/>
      <c r="I1084" s="22"/>
      <c r="J1084" s="22"/>
      <c r="K1084" s="22"/>
      <c r="L1084" s="22"/>
      <c r="M1084" s="22"/>
      <c r="N1084" s="22"/>
      <c r="O1084" s="22"/>
      <c r="P1084" s="22"/>
      <c r="Q1084" s="22"/>
      <c r="R1084" s="22"/>
      <c r="S1084" s="22"/>
      <c r="T1084" s="22"/>
      <c r="U1084" s="22"/>
      <c r="V1084" s="22"/>
      <c r="W1084" s="22"/>
      <c r="X1084" s="22"/>
      <c r="Y1084" s="22"/>
      <c r="Z1084" s="22"/>
      <c r="AA1084" s="22"/>
      <c r="AB1084" s="22"/>
      <c r="AC1084" s="22"/>
      <c r="AD1084" s="22"/>
      <c r="AE1084" s="22"/>
      <c r="AF1084" s="22"/>
      <c r="AG1084" s="22"/>
      <c r="AH1084" s="22"/>
      <c r="AI1084" s="22"/>
      <c r="AJ1084" s="22"/>
      <c r="AK1084" s="22"/>
      <c r="AL1084" s="22"/>
      <c r="AM1084" s="22"/>
      <c r="AN1084" s="22"/>
      <c r="AO1084" s="22"/>
      <c r="AP1084" s="22"/>
      <c r="AQ1084" s="22"/>
      <c r="AR1084" s="22"/>
      <c r="AS1084" s="22"/>
      <c r="AT1084" s="22"/>
      <c r="AU1084" s="22"/>
      <c r="AV1084" s="22"/>
      <c r="AW1084" s="22"/>
      <c r="AX1084" s="22"/>
    </row>
    <row r="1085" spans="1:50" x14ac:dyDescent="0.3">
      <c r="A1085" s="6"/>
      <c r="B1085" s="19"/>
      <c r="C1085" s="6"/>
      <c r="D1085" s="5"/>
      <c r="E1085" s="6"/>
      <c r="F1085" s="22"/>
      <c r="G1085" s="22"/>
      <c r="H1085" s="22"/>
      <c r="I1085" s="22"/>
      <c r="J1085" s="22"/>
      <c r="K1085" s="22"/>
      <c r="L1085" s="22"/>
      <c r="M1085" s="22"/>
      <c r="N1085" s="22"/>
      <c r="O1085" s="22"/>
      <c r="P1085" s="22"/>
      <c r="Q1085" s="22"/>
      <c r="R1085" s="22"/>
      <c r="S1085" s="22"/>
      <c r="T1085" s="22"/>
      <c r="U1085" s="22"/>
      <c r="V1085" s="22"/>
      <c r="W1085" s="22"/>
      <c r="X1085" s="22"/>
      <c r="Y1085" s="22"/>
      <c r="Z1085" s="22"/>
      <c r="AA1085" s="22"/>
      <c r="AB1085" s="22"/>
      <c r="AC1085" s="22"/>
      <c r="AD1085" s="22"/>
      <c r="AE1085" s="22"/>
      <c r="AF1085" s="22"/>
      <c r="AG1085" s="22"/>
      <c r="AH1085" s="22"/>
      <c r="AI1085" s="22"/>
      <c r="AJ1085" s="22"/>
      <c r="AK1085" s="22"/>
      <c r="AL1085" s="22"/>
      <c r="AM1085" s="22"/>
      <c r="AN1085" s="22"/>
      <c r="AO1085" s="22"/>
      <c r="AP1085" s="22"/>
      <c r="AQ1085" s="22"/>
      <c r="AR1085" s="22"/>
      <c r="AS1085" s="22"/>
      <c r="AT1085" s="22"/>
      <c r="AU1085" s="22"/>
      <c r="AV1085" s="22"/>
      <c r="AW1085" s="22"/>
      <c r="AX1085" s="22"/>
    </row>
    <row r="1086" spans="1:50" x14ac:dyDescent="0.3">
      <c r="A1086" s="6"/>
      <c r="B1086" s="19"/>
      <c r="C1086" s="6"/>
      <c r="D1086" s="5"/>
      <c r="E1086" s="6"/>
      <c r="F1086" s="22"/>
      <c r="G1086" s="22"/>
      <c r="H1086" s="22"/>
      <c r="I1086" s="22"/>
      <c r="J1086" s="22"/>
      <c r="K1086" s="22"/>
      <c r="L1086" s="22"/>
      <c r="M1086" s="22"/>
      <c r="N1086" s="22"/>
      <c r="O1086" s="22"/>
      <c r="P1086" s="22"/>
      <c r="Q1086" s="22"/>
      <c r="R1086" s="22"/>
      <c r="S1086" s="22"/>
      <c r="T1086" s="22"/>
      <c r="U1086" s="22"/>
      <c r="V1086" s="22"/>
      <c r="W1086" s="22"/>
      <c r="X1086" s="22"/>
      <c r="Y1086" s="22"/>
      <c r="Z1086" s="22"/>
      <c r="AA1086" s="22"/>
      <c r="AB1086" s="22"/>
      <c r="AC1086" s="22"/>
      <c r="AD1086" s="22"/>
      <c r="AE1086" s="22"/>
      <c r="AF1086" s="22"/>
      <c r="AG1086" s="22"/>
      <c r="AH1086" s="22"/>
      <c r="AI1086" s="22"/>
      <c r="AJ1086" s="22"/>
      <c r="AK1086" s="22"/>
      <c r="AL1086" s="22"/>
      <c r="AM1086" s="22"/>
      <c r="AN1086" s="22"/>
      <c r="AO1086" s="22"/>
      <c r="AP1086" s="22"/>
      <c r="AQ1086" s="22"/>
      <c r="AR1086" s="22"/>
      <c r="AS1086" s="22"/>
      <c r="AT1086" s="22"/>
      <c r="AU1086" s="22"/>
      <c r="AV1086" s="22"/>
      <c r="AW1086" s="22"/>
      <c r="AX1086" s="22"/>
    </row>
    <row r="1087" spans="1:50" x14ac:dyDescent="0.3">
      <c r="A1087" s="6"/>
      <c r="B1087" s="19"/>
      <c r="C1087" s="6"/>
      <c r="D1087" s="5"/>
      <c r="E1087" s="6"/>
      <c r="F1087" s="22"/>
      <c r="G1087" s="22"/>
      <c r="H1087" s="22"/>
      <c r="I1087" s="22"/>
      <c r="J1087" s="22"/>
      <c r="K1087" s="22"/>
      <c r="L1087" s="22"/>
      <c r="M1087" s="22"/>
      <c r="N1087" s="22"/>
      <c r="O1087" s="22"/>
      <c r="P1087" s="22"/>
      <c r="Q1087" s="22"/>
      <c r="R1087" s="22"/>
      <c r="S1087" s="22"/>
      <c r="T1087" s="22"/>
      <c r="U1087" s="22"/>
      <c r="V1087" s="22"/>
      <c r="W1087" s="22"/>
      <c r="X1087" s="22"/>
      <c r="Y1087" s="22"/>
      <c r="Z1087" s="22"/>
      <c r="AA1087" s="22"/>
      <c r="AB1087" s="22"/>
      <c r="AC1087" s="22"/>
      <c r="AD1087" s="22"/>
      <c r="AE1087" s="22"/>
      <c r="AF1087" s="22"/>
      <c r="AG1087" s="22"/>
      <c r="AH1087" s="22"/>
      <c r="AI1087" s="22"/>
      <c r="AJ1087" s="22"/>
      <c r="AK1087" s="22"/>
      <c r="AL1087" s="22"/>
      <c r="AM1087" s="22"/>
      <c r="AN1087" s="22"/>
      <c r="AO1087" s="22"/>
      <c r="AP1087" s="22"/>
      <c r="AQ1087" s="22"/>
      <c r="AR1087" s="22"/>
      <c r="AS1087" s="22"/>
      <c r="AT1087" s="22"/>
      <c r="AU1087" s="22"/>
      <c r="AV1087" s="22"/>
      <c r="AW1087" s="22"/>
      <c r="AX1087" s="22"/>
    </row>
    <row r="1088" spans="1:50" x14ac:dyDescent="0.3">
      <c r="A1088" s="6"/>
      <c r="B1088" s="19"/>
      <c r="C1088" s="6"/>
      <c r="D1088" s="5"/>
      <c r="E1088" s="6"/>
      <c r="F1088" s="22"/>
      <c r="G1088" s="22"/>
      <c r="H1088" s="22"/>
      <c r="I1088" s="22"/>
      <c r="J1088" s="22"/>
      <c r="K1088" s="22"/>
      <c r="L1088" s="22"/>
      <c r="M1088" s="22"/>
      <c r="N1088" s="22"/>
      <c r="O1088" s="22"/>
      <c r="P1088" s="22"/>
      <c r="Q1088" s="22"/>
      <c r="R1088" s="22"/>
      <c r="S1088" s="22"/>
      <c r="T1088" s="22"/>
      <c r="U1088" s="22"/>
      <c r="V1088" s="22"/>
      <c r="W1088" s="22"/>
      <c r="X1088" s="22"/>
      <c r="Y1088" s="22"/>
      <c r="Z1088" s="22"/>
      <c r="AA1088" s="22"/>
      <c r="AB1088" s="22"/>
      <c r="AC1088" s="22"/>
      <c r="AD1088" s="22"/>
      <c r="AE1088" s="22"/>
      <c r="AF1088" s="22"/>
      <c r="AG1088" s="22"/>
      <c r="AH1088" s="22"/>
      <c r="AI1088" s="22"/>
      <c r="AJ1088" s="22"/>
      <c r="AK1088" s="22"/>
      <c r="AL1088" s="22"/>
      <c r="AM1088" s="22"/>
      <c r="AN1088" s="22"/>
      <c r="AO1088" s="22"/>
      <c r="AP1088" s="22"/>
      <c r="AQ1088" s="22"/>
      <c r="AR1088" s="22"/>
      <c r="AS1088" s="22"/>
      <c r="AT1088" s="22"/>
      <c r="AU1088" s="22"/>
      <c r="AV1088" s="22"/>
      <c r="AW1088" s="22"/>
      <c r="AX1088" s="22"/>
    </row>
    <row r="1089" spans="1:50" x14ac:dyDescent="0.3">
      <c r="A1089" s="6"/>
      <c r="B1089" s="19"/>
      <c r="C1089" s="6"/>
      <c r="D1089" s="5"/>
      <c r="E1089" s="6"/>
      <c r="F1089" s="22"/>
      <c r="G1089" s="22"/>
      <c r="H1089" s="22"/>
      <c r="I1089" s="22"/>
      <c r="J1089" s="22"/>
      <c r="K1089" s="22"/>
      <c r="L1089" s="22"/>
      <c r="M1089" s="22"/>
      <c r="N1089" s="22"/>
      <c r="O1089" s="22"/>
      <c r="P1089" s="22"/>
      <c r="Q1089" s="22"/>
      <c r="R1089" s="22"/>
      <c r="S1089" s="22"/>
      <c r="T1089" s="22"/>
      <c r="U1089" s="22"/>
      <c r="V1089" s="22"/>
      <c r="W1089" s="22"/>
      <c r="X1089" s="22"/>
      <c r="Y1089" s="22"/>
      <c r="Z1089" s="22"/>
      <c r="AA1089" s="22"/>
      <c r="AB1089" s="22"/>
      <c r="AC1089" s="22"/>
      <c r="AD1089" s="22"/>
      <c r="AE1089" s="22"/>
      <c r="AF1089" s="22"/>
      <c r="AG1089" s="22"/>
      <c r="AH1089" s="22"/>
      <c r="AI1089" s="22"/>
      <c r="AJ1089" s="22"/>
      <c r="AK1089" s="22"/>
      <c r="AL1089" s="22"/>
      <c r="AM1089" s="22"/>
      <c r="AN1089" s="22"/>
      <c r="AO1089" s="22"/>
      <c r="AP1089" s="22"/>
      <c r="AQ1089" s="22"/>
      <c r="AR1089" s="22"/>
      <c r="AS1089" s="22"/>
      <c r="AT1089" s="22"/>
      <c r="AU1089" s="22"/>
      <c r="AV1089" s="22"/>
      <c r="AW1089" s="22"/>
      <c r="AX1089" s="22"/>
    </row>
    <row r="1090" spans="1:50" x14ac:dyDescent="0.3">
      <c r="A1090" s="6"/>
      <c r="B1090" s="19"/>
      <c r="C1090" s="6"/>
      <c r="D1090" s="5"/>
      <c r="E1090" s="6"/>
      <c r="F1090" s="22"/>
      <c r="G1090" s="22"/>
      <c r="H1090" s="22"/>
      <c r="I1090" s="22"/>
      <c r="J1090" s="22"/>
      <c r="K1090" s="22"/>
      <c r="L1090" s="22"/>
      <c r="M1090" s="22"/>
      <c r="N1090" s="22"/>
      <c r="O1090" s="22"/>
      <c r="P1090" s="22"/>
      <c r="Q1090" s="22"/>
      <c r="R1090" s="22"/>
      <c r="S1090" s="22"/>
      <c r="T1090" s="22"/>
      <c r="U1090" s="22"/>
      <c r="V1090" s="22"/>
      <c r="W1090" s="22"/>
      <c r="X1090" s="22"/>
      <c r="Y1090" s="22"/>
      <c r="Z1090" s="22"/>
      <c r="AA1090" s="22"/>
      <c r="AB1090" s="22"/>
      <c r="AC1090" s="22"/>
      <c r="AD1090" s="22"/>
      <c r="AE1090" s="22"/>
      <c r="AF1090" s="22"/>
      <c r="AG1090" s="22"/>
      <c r="AH1090" s="22"/>
      <c r="AI1090" s="22"/>
      <c r="AJ1090" s="22"/>
      <c r="AK1090" s="22"/>
      <c r="AL1090" s="22"/>
      <c r="AM1090" s="22"/>
      <c r="AN1090" s="22"/>
      <c r="AO1090" s="22"/>
      <c r="AP1090" s="22"/>
      <c r="AQ1090" s="22"/>
      <c r="AR1090" s="22"/>
      <c r="AS1090" s="22"/>
      <c r="AT1090" s="22"/>
      <c r="AU1090" s="22"/>
      <c r="AV1090" s="22"/>
      <c r="AW1090" s="22"/>
      <c r="AX1090" s="22"/>
    </row>
    <row r="1091" spans="1:50" x14ac:dyDescent="0.3">
      <c r="A1091" s="6"/>
      <c r="B1091" s="19"/>
      <c r="C1091" s="6"/>
      <c r="D1091" s="5"/>
      <c r="E1091" s="6"/>
      <c r="F1091" s="22"/>
      <c r="G1091" s="22"/>
      <c r="H1091" s="22"/>
      <c r="I1091" s="22"/>
      <c r="J1091" s="22"/>
      <c r="K1091" s="22"/>
      <c r="L1091" s="22"/>
      <c r="M1091" s="22"/>
      <c r="N1091" s="22"/>
      <c r="O1091" s="22"/>
      <c r="P1091" s="22"/>
      <c r="Q1091" s="22"/>
      <c r="R1091" s="22"/>
      <c r="S1091" s="22"/>
      <c r="T1091" s="22"/>
      <c r="U1091" s="22"/>
      <c r="V1091" s="22"/>
      <c r="W1091" s="22"/>
      <c r="X1091" s="22"/>
      <c r="Y1091" s="22"/>
      <c r="Z1091" s="22"/>
      <c r="AA1091" s="22"/>
      <c r="AB1091" s="22"/>
      <c r="AC1091" s="22"/>
      <c r="AD1091" s="22"/>
      <c r="AE1091" s="22"/>
      <c r="AF1091" s="22"/>
      <c r="AG1091" s="22"/>
      <c r="AH1091" s="22"/>
      <c r="AI1091" s="22"/>
      <c r="AJ1091" s="22"/>
      <c r="AK1091" s="22"/>
      <c r="AL1091" s="22"/>
      <c r="AM1091" s="22"/>
      <c r="AN1091" s="22"/>
      <c r="AO1091" s="22"/>
      <c r="AP1091" s="22"/>
      <c r="AQ1091" s="22"/>
      <c r="AR1091" s="22"/>
      <c r="AS1091" s="22"/>
      <c r="AT1091" s="22"/>
      <c r="AU1091" s="22"/>
      <c r="AV1091" s="22"/>
      <c r="AW1091" s="22"/>
      <c r="AX1091" s="22"/>
    </row>
    <row r="1092" spans="1:50" x14ac:dyDescent="0.3">
      <c r="A1092" s="6"/>
      <c r="B1092" s="19"/>
      <c r="C1092" s="6"/>
      <c r="D1092" s="5"/>
      <c r="E1092" s="6"/>
      <c r="F1092" s="22"/>
      <c r="G1092" s="22"/>
      <c r="H1092" s="22"/>
      <c r="I1092" s="22"/>
      <c r="J1092" s="22"/>
      <c r="K1092" s="22"/>
      <c r="L1092" s="22"/>
      <c r="M1092" s="22"/>
      <c r="N1092" s="22"/>
      <c r="O1092" s="22"/>
      <c r="P1092" s="22"/>
      <c r="Q1092" s="22"/>
      <c r="R1092" s="22"/>
      <c r="S1092" s="22"/>
      <c r="T1092" s="22"/>
      <c r="U1092" s="22"/>
      <c r="V1092" s="22"/>
      <c r="W1092" s="22"/>
      <c r="X1092" s="22"/>
      <c r="Y1092" s="22"/>
      <c r="Z1092" s="22"/>
      <c r="AA1092" s="22"/>
      <c r="AB1092" s="22"/>
      <c r="AC1092" s="22"/>
      <c r="AD1092" s="22"/>
      <c r="AE1092" s="22"/>
      <c r="AF1092" s="22"/>
      <c r="AG1092" s="22"/>
      <c r="AH1092" s="22"/>
      <c r="AI1092" s="22"/>
      <c r="AJ1092" s="22"/>
      <c r="AK1092" s="22"/>
      <c r="AL1092" s="22"/>
      <c r="AM1092" s="22"/>
      <c r="AN1092" s="22"/>
      <c r="AO1092" s="22"/>
      <c r="AP1092" s="22"/>
      <c r="AQ1092" s="22"/>
      <c r="AR1092" s="22"/>
      <c r="AS1092" s="22"/>
      <c r="AT1092" s="22"/>
      <c r="AU1092" s="22"/>
      <c r="AV1092" s="22"/>
      <c r="AW1092" s="22"/>
      <c r="AX1092" s="22"/>
    </row>
    <row r="1093" spans="1:50" x14ac:dyDescent="0.3">
      <c r="A1093" s="6"/>
      <c r="B1093" s="19"/>
      <c r="C1093" s="6"/>
      <c r="D1093" s="5"/>
      <c r="E1093" s="6"/>
      <c r="F1093" s="22"/>
      <c r="G1093" s="22"/>
      <c r="H1093" s="22"/>
      <c r="I1093" s="22"/>
      <c r="J1093" s="22"/>
      <c r="K1093" s="22"/>
      <c r="L1093" s="22"/>
      <c r="M1093" s="22"/>
      <c r="N1093" s="22"/>
      <c r="O1093" s="22"/>
      <c r="P1093" s="22"/>
      <c r="Q1093" s="22"/>
      <c r="R1093" s="22"/>
      <c r="S1093" s="22"/>
      <c r="T1093" s="22"/>
      <c r="U1093" s="22"/>
      <c r="V1093" s="22"/>
      <c r="W1093" s="22"/>
      <c r="X1093" s="22"/>
      <c r="Y1093" s="22"/>
      <c r="Z1093" s="22"/>
      <c r="AA1093" s="22"/>
      <c r="AB1093" s="22"/>
      <c r="AC1093" s="22"/>
      <c r="AD1093" s="22"/>
      <c r="AE1093" s="22"/>
      <c r="AF1093" s="22"/>
      <c r="AG1093" s="22"/>
      <c r="AH1093" s="22"/>
      <c r="AI1093" s="22"/>
      <c r="AJ1093" s="22"/>
      <c r="AK1093" s="22"/>
      <c r="AL1093" s="22"/>
      <c r="AM1093" s="22"/>
      <c r="AN1093" s="22"/>
      <c r="AO1093" s="22"/>
      <c r="AP1093" s="22"/>
      <c r="AQ1093" s="22"/>
      <c r="AR1093" s="22"/>
      <c r="AS1093" s="22"/>
      <c r="AT1093" s="22"/>
      <c r="AU1093" s="22"/>
      <c r="AV1093" s="22"/>
      <c r="AW1093" s="22"/>
      <c r="AX1093" s="22"/>
    </row>
    <row r="1094" spans="1:50" x14ac:dyDescent="0.3">
      <c r="A1094" s="6"/>
      <c r="B1094" s="19"/>
      <c r="C1094" s="6"/>
      <c r="D1094" s="5"/>
      <c r="E1094" s="6"/>
      <c r="F1094" s="22"/>
      <c r="G1094" s="22"/>
      <c r="H1094" s="22"/>
      <c r="I1094" s="22"/>
      <c r="J1094" s="22"/>
      <c r="K1094" s="22"/>
      <c r="L1094" s="22"/>
      <c r="M1094" s="22"/>
      <c r="N1094" s="22"/>
      <c r="O1094" s="22"/>
      <c r="P1094" s="22"/>
      <c r="Q1094" s="22"/>
      <c r="R1094" s="22"/>
      <c r="S1094" s="22"/>
      <c r="T1094" s="22"/>
      <c r="U1094" s="22"/>
      <c r="V1094" s="22"/>
      <c r="W1094" s="22"/>
      <c r="X1094" s="22"/>
      <c r="Y1094" s="22"/>
      <c r="Z1094" s="22"/>
      <c r="AA1094" s="22"/>
      <c r="AB1094" s="22"/>
      <c r="AC1094" s="22"/>
      <c r="AD1094" s="22"/>
      <c r="AE1094" s="22"/>
      <c r="AF1094" s="22"/>
      <c r="AG1094" s="22"/>
      <c r="AH1094" s="22"/>
      <c r="AI1094" s="22"/>
      <c r="AJ1094" s="22"/>
      <c r="AK1094" s="22"/>
      <c r="AL1094" s="22"/>
      <c r="AM1094" s="22"/>
      <c r="AN1094" s="22"/>
      <c r="AO1094" s="22"/>
      <c r="AP1094" s="22"/>
      <c r="AQ1094" s="22"/>
      <c r="AR1094" s="22"/>
      <c r="AS1094" s="22"/>
      <c r="AT1094" s="22"/>
      <c r="AU1094" s="22"/>
      <c r="AV1094" s="22"/>
      <c r="AW1094" s="22"/>
      <c r="AX1094" s="22"/>
    </row>
    <row r="1095" spans="1:50" x14ac:dyDescent="0.3">
      <c r="A1095" s="6"/>
      <c r="B1095" s="19"/>
      <c r="C1095" s="6"/>
      <c r="D1095" s="5"/>
      <c r="E1095" s="6"/>
      <c r="F1095" s="22"/>
      <c r="G1095" s="22"/>
      <c r="H1095" s="22"/>
      <c r="I1095" s="22"/>
      <c r="J1095" s="22"/>
      <c r="K1095" s="22"/>
      <c r="L1095" s="22"/>
      <c r="M1095" s="22"/>
      <c r="N1095" s="22"/>
      <c r="O1095" s="22"/>
      <c r="P1095" s="22"/>
      <c r="Q1095" s="22"/>
      <c r="R1095" s="22"/>
      <c r="S1095" s="22"/>
      <c r="T1095" s="22"/>
      <c r="U1095" s="22"/>
      <c r="V1095" s="22"/>
      <c r="W1095" s="22"/>
      <c r="X1095" s="22"/>
      <c r="Y1095" s="22"/>
      <c r="Z1095" s="22"/>
      <c r="AA1095" s="22"/>
      <c r="AB1095" s="22"/>
      <c r="AC1095" s="22"/>
      <c r="AD1095" s="22"/>
      <c r="AE1095" s="22"/>
      <c r="AF1095" s="22"/>
      <c r="AG1095" s="22"/>
      <c r="AH1095" s="22"/>
      <c r="AI1095" s="22"/>
      <c r="AJ1095" s="22"/>
      <c r="AK1095" s="22"/>
      <c r="AL1095" s="22"/>
      <c r="AM1095" s="22"/>
      <c r="AN1095" s="22"/>
      <c r="AO1095" s="22"/>
      <c r="AP1095" s="22"/>
      <c r="AQ1095" s="22"/>
      <c r="AR1095" s="22"/>
      <c r="AS1095" s="22"/>
      <c r="AT1095" s="22"/>
      <c r="AU1095" s="22"/>
      <c r="AV1095" s="22"/>
      <c r="AW1095" s="22"/>
      <c r="AX1095" s="22"/>
    </row>
    <row r="1096" spans="1:50" x14ac:dyDescent="0.3">
      <c r="A1096" s="6"/>
      <c r="B1096" s="19"/>
      <c r="C1096" s="6"/>
      <c r="D1096" s="5"/>
      <c r="E1096" s="6"/>
      <c r="F1096" s="22"/>
      <c r="G1096" s="22"/>
      <c r="H1096" s="22"/>
      <c r="I1096" s="22"/>
      <c r="J1096" s="22"/>
      <c r="K1096" s="22"/>
      <c r="L1096" s="22"/>
      <c r="M1096" s="22"/>
      <c r="N1096" s="22"/>
      <c r="O1096" s="22"/>
      <c r="P1096" s="22"/>
      <c r="Q1096" s="22"/>
      <c r="R1096" s="22"/>
      <c r="S1096" s="22"/>
      <c r="T1096" s="22"/>
      <c r="U1096" s="22"/>
      <c r="V1096" s="22"/>
      <c r="W1096" s="22"/>
      <c r="X1096" s="22"/>
      <c r="Y1096" s="22"/>
      <c r="Z1096" s="22"/>
      <c r="AA1096" s="22"/>
      <c r="AB1096" s="22"/>
      <c r="AC1096" s="22"/>
      <c r="AD1096" s="22"/>
      <c r="AE1096" s="22"/>
      <c r="AF1096" s="22"/>
      <c r="AG1096" s="22"/>
      <c r="AH1096" s="22"/>
      <c r="AI1096" s="22"/>
      <c r="AJ1096" s="22"/>
      <c r="AK1096" s="22"/>
      <c r="AL1096" s="22"/>
      <c r="AM1096" s="22"/>
      <c r="AN1096" s="22"/>
      <c r="AO1096" s="22"/>
      <c r="AP1096" s="22"/>
      <c r="AQ1096" s="22"/>
      <c r="AR1096" s="22"/>
      <c r="AS1096" s="22"/>
      <c r="AT1096" s="22"/>
      <c r="AU1096" s="22"/>
      <c r="AV1096" s="22"/>
      <c r="AW1096" s="22"/>
      <c r="AX1096" s="22"/>
    </row>
    <row r="1097" spans="1:50" x14ac:dyDescent="0.3">
      <c r="A1097" s="6"/>
      <c r="B1097" s="19"/>
      <c r="C1097" s="6"/>
      <c r="D1097" s="5"/>
      <c r="E1097" s="6"/>
      <c r="F1097" s="22"/>
      <c r="G1097" s="22"/>
      <c r="H1097" s="22"/>
      <c r="I1097" s="22"/>
      <c r="J1097" s="22"/>
      <c r="K1097" s="22"/>
      <c r="L1097" s="22"/>
      <c r="M1097" s="22"/>
      <c r="N1097" s="22"/>
      <c r="O1097" s="22"/>
      <c r="P1097" s="22"/>
      <c r="Q1097" s="22"/>
      <c r="R1097" s="22"/>
      <c r="S1097" s="22"/>
      <c r="T1097" s="22"/>
      <c r="U1097" s="22"/>
      <c r="V1097" s="22"/>
      <c r="W1097" s="22"/>
      <c r="X1097" s="22"/>
      <c r="Y1097" s="22"/>
      <c r="Z1097" s="22"/>
      <c r="AA1097" s="22"/>
      <c r="AB1097" s="22"/>
      <c r="AC1097" s="22"/>
      <c r="AD1097" s="22"/>
      <c r="AE1097" s="22"/>
      <c r="AF1097" s="22"/>
      <c r="AG1097" s="22"/>
      <c r="AH1097" s="22"/>
      <c r="AI1097" s="22"/>
      <c r="AJ1097" s="22"/>
      <c r="AK1097" s="22"/>
      <c r="AL1097" s="22"/>
      <c r="AM1097" s="22"/>
      <c r="AN1097" s="22"/>
      <c r="AO1097" s="22"/>
      <c r="AP1097" s="22"/>
      <c r="AQ1097" s="22"/>
      <c r="AR1097" s="22"/>
      <c r="AS1097" s="22"/>
      <c r="AT1097" s="22"/>
      <c r="AU1097" s="22"/>
      <c r="AV1097" s="22"/>
      <c r="AW1097" s="22"/>
      <c r="AX1097" s="22"/>
    </row>
    <row r="1098" spans="1:50" x14ac:dyDescent="0.3">
      <c r="A1098" s="6"/>
      <c r="B1098" s="19"/>
      <c r="C1098" s="6"/>
      <c r="D1098" s="5"/>
      <c r="E1098" s="6"/>
      <c r="F1098" s="22"/>
      <c r="G1098" s="22"/>
      <c r="H1098" s="22"/>
      <c r="I1098" s="22"/>
      <c r="J1098" s="22"/>
      <c r="K1098" s="22"/>
      <c r="L1098" s="22"/>
      <c r="M1098" s="22"/>
      <c r="N1098" s="22"/>
      <c r="O1098" s="22"/>
      <c r="P1098" s="22"/>
      <c r="Q1098" s="22"/>
      <c r="R1098" s="22"/>
      <c r="S1098" s="22"/>
      <c r="T1098" s="22"/>
      <c r="U1098" s="22"/>
      <c r="V1098" s="22"/>
      <c r="W1098" s="22"/>
      <c r="X1098" s="22"/>
      <c r="Y1098" s="22"/>
      <c r="Z1098" s="22"/>
      <c r="AA1098" s="22"/>
      <c r="AB1098" s="22"/>
      <c r="AC1098" s="22"/>
      <c r="AD1098" s="22"/>
      <c r="AE1098" s="22"/>
      <c r="AF1098" s="22"/>
      <c r="AG1098" s="22"/>
      <c r="AH1098" s="22"/>
      <c r="AI1098" s="22"/>
      <c r="AJ1098" s="22"/>
      <c r="AK1098" s="22"/>
      <c r="AL1098" s="22"/>
      <c r="AM1098" s="22"/>
      <c r="AN1098" s="22"/>
      <c r="AO1098" s="22"/>
      <c r="AP1098" s="22"/>
      <c r="AQ1098" s="22"/>
      <c r="AR1098" s="22"/>
      <c r="AS1098" s="22"/>
      <c r="AT1098" s="22"/>
      <c r="AU1098" s="22"/>
      <c r="AV1098" s="22"/>
      <c r="AW1098" s="22"/>
      <c r="AX1098" s="22"/>
    </row>
    <row r="1099" spans="1:50" x14ac:dyDescent="0.3">
      <c r="A1099" s="6"/>
      <c r="B1099" s="19"/>
      <c r="C1099" s="6"/>
      <c r="D1099" s="5"/>
      <c r="E1099" s="6"/>
      <c r="F1099" s="22"/>
      <c r="G1099" s="22"/>
      <c r="H1099" s="22"/>
      <c r="I1099" s="22"/>
      <c r="J1099" s="22"/>
      <c r="K1099" s="22"/>
      <c r="L1099" s="22"/>
      <c r="M1099" s="22"/>
      <c r="N1099" s="22"/>
      <c r="O1099" s="22"/>
      <c r="P1099" s="22"/>
      <c r="Q1099" s="22"/>
      <c r="R1099" s="22"/>
      <c r="S1099" s="22"/>
      <c r="T1099" s="22"/>
      <c r="U1099" s="22"/>
      <c r="V1099" s="22"/>
      <c r="W1099" s="22"/>
      <c r="X1099" s="22"/>
      <c r="Y1099" s="22"/>
      <c r="Z1099" s="22"/>
      <c r="AA1099" s="22"/>
      <c r="AB1099" s="22"/>
      <c r="AC1099" s="22"/>
      <c r="AD1099" s="22"/>
      <c r="AE1099" s="22"/>
      <c r="AF1099" s="22"/>
      <c r="AG1099" s="22"/>
      <c r="AH1099" s="22"/>
      <c r="AI1099" s="22"/>
      <c r="AJ1099" s="22"/>
      <c r="AK1099" s="22"/>
      <c r="AL1099" s="22"/>
      <c r="AM1099" s="22"/>
      <c r="AN1099" s="22"/>
      <c r="AO1099" s="22"/>
      <c r="AP1099" s="22"/>
      <c r="AQ1099" s="22"/>
      <c r="AR1099" s="22"/>
      <c r="AS1099" s="22"/>
      <c r="AT1099" s="22"/>
      <c r="AU1099" s="22"/>
      <c r="AV1099" s="22"/>
      <c r="AW1099" s="22"/>
      <c r="AX1099" s="22"/>
    </row>
    <row r="1100" spans="1:50" x14ac:dyDescent="0.3">
      <c r="A1100" s="6"/>
      <c r="B1100" s="19"/>
      <c r="C1100" s="6"/>
      <c r="D1100" s="5"/>
      <c r="E1100" s="6"/>
      <c r="F1100" s="22"/>
      <c r="G1100" s="22"/>
      <c r="H1100" s="22"/>
      <c r="I1100" s="22"/>
      <c r="J1100" s="22"/>
      <c r="K1100" s="22"/>
      <c r="L1100" s="22"/>
      <c r="M1100" s="22"/>
      <c r="N1100" s="22"/>
      <c r="O1100" s="22"/>
      <c r="P1100" s="22"/>
      <c r="Q1100" s="22"/>
      <c r="R1100" s="22"/>
      <c r="S1100" s="22"/>
      <c r="T1100" s="22"/>
      <c r="U1100" s="22"/>
      <c r="V1100" s="22"/>
      <c r="W1100" s="22"/>
      <c r="X1100" s="22"/>
      <c r="Y1100" s="22"/>
      <c r="Z1100" s="22"/>
      <c r="AA1100" s="22"/>
      <c r="AB1100" s="22"/>
      <c r="AC1100" s="22"/>
      <c r="AD1100" s="22"/>
      <c r="AE1100" s="22"/>
      <c r="AF1100" s="22"/>
      <c r="AG1100" s="22"/>
      <c r="AH1100" s="22"/>
      <c r="AI1100" s="22"/>
      <c r="AJ1100" s="22"/>
      <c r="AK1100" s="22"/>
      <c r="AL1100" s="22"/>
      <c r="AM1100" s="22"/>
      <c r="AN1100" s="22"/>
      <c r="AO1100" s="22"/>
      <c r="AP1100" s="22"/>
      <c r="AQ1100" s="22"/>
      <c r="AR1100" s="22"/>
      <c r="AS1100" s="22"/>
      <c r="AT1100" s="22"/>
      <c r="AU1100" s="22"/>
      <c r="AV1100" s="22"/>
      <c r="AW1100" s="22"/>
      <c r="AX1100" s="22"/>
    </row>
    <row r="1101" spans="1:50" x14ac:dyDescent="0.3">
      <c r="A1101" s="6"/>
      <c r="B1101" s="19"/>
      <c r="C1101" s="6"/>
      <c r="D1101" s="5"/>
      <c r="E1101" s="6"/>
      <c r="F1101" s="22"/>
      <c r="G1101" s="22"/>
      <c r="H1101" s="22"/>
      <c r="I1101" s="22"/>
      <c r="J1101" s="22"/>
      <c r="K1101" s="22"/>
      <c r="L1101" s="22"/>
      <c r="M1101" s="22"/>
      <c r="N1101" s="22"/>
      <c r="O1101" s="22"/>
      <c r="P1101" s="22"/>
      <c r="Q1101" s="22"/>
      <c r="R1101" s="22"/>
      <c r="S1101" s="22"/>
      <c r="T1101" s="22"/>
      <c r="U1101" s="22"/>
      <c r="V1101" s="22"/>
      <c r="W1101" s="22"/>
      <c r="X1101" s="22"/>
      <c r="Y1101" s="22"/>
      <c r="Z1101" s="22"/>
      <c r="AA1101" s="22"/>
      <c r="AB1101" s="22"/>
      <c r="AC1101" s="22"/>
      <c r="AD1101" s="22"/>
      <c r="AE1101" s="22"/>
      <c r="AF1101" s="22"/>
      <c r="AG1101" s="22"/>
      <c r="AH1101" s="22"/>
      <c r="AI1101" s="22"/>
      <c r="AJ1101" s="22"/>
      <c r="AK1101" s="22"/>
      <c r="AL1101" s="22"/>
      <c r="AM1101" s="22"/>
      <c r="AN1101" s="22"/>
      <c r="AO1101" s="22"/>
      <c r="AP1101" s="22"/>
      <c r="AQ1101" s="22"/>
      <c r="AR1101" s="22"/>
      <c r="AS1101" s="22"/>
      <c r="AT1101" s="22"/>
      <c r="AU1101" s="22"/>
      <c r="AV1101" s="22"/>
      <c r="AW1101" s="22"/>
      <c r="AX1101" s="22"/>
    </row>
    <row r="1102" spans="1:50" x14ac:dyDescent="0.3">
      <c r="A1102" s="6"/>
      <c r="B1102" s="19"/>
      <c r="C1102" s="6"/>
      <c r="D1102" s="5"/>
      <c r="E1102" s="6"/>
      <c r="F1102" s="22"/>
      <c r="G1102" s="22"/>
      <c r="H1102" s="22"/>
      <c r="I1102" s="22"/>
      <c r="J1102" s="22"/>
      <c r="K1102" s="22"/>
      <c r="L1102" s="22"/>
      <c r="M1102" s="22"/>
      <c r="N1102" s="22"/>
      <c r="O1102" s="22"/>
      <c r="P1102" s="22"/>
      <c r="Q1102" s="22"/>
      <c r="R1102" s="22"/>
      <c r="S1102" s="22"/>
      <c r="T1102" s="22"/>
      <c r="U1102" s="22"/>
      <c r="V1102" s="22"/>
      <c r="W1102" s="22"/>
      <c r="X1102" s="22"/>
      <c r="Y1102" s="22"/>
      <c r="Z1102" s="22"/>
      <c r="AA1102" s="22"/>
      <c r="AB1102" s="22"/>
      <c r="AC1102" s="22"/>
      <c r="AD1102" s="22"/>
      <c r="AE1102" s="22"/>
      <c r="AF1102" s="22"/>
      <c r="AG1102" s="22"/>
      <c r="AH1102" s="22"/>
      <c r="AI1102" s="22"/>
      <c r="AJ1102" s="22"/>
      <c r="AK1102" s="22"/>
      <c r="AL1102" s="22"/>
      <c r="AM1102" s="22"/>
      <c r="AN1102" s="22"/>
      <c r="AO1102" s="22"/>
      <c r="AP1102" s="22"/>
      <c r="AQ1102" s="22"/>
      <c r="AR1102" s="22"/>
      <c r="AS1102" s="22"/>
      <c r="AT1102" s="22"/>
      <c r="AU1102" s="22"/>
      <c r="AV1102" s="22"/>
      <c r="AW1102" s="22"/>
      <c r="AX1102" s="22"/>
    </row>
    <row r="1103" spans="1:50" x14ac:dyDescent="0.3">
      <c r="A1103" s="6"/>
      <c r="B1103" s="19"/>
      <c r="C1103" s="6"/>
      <c r="D1103" s="5"/>
      <c r="E1103" s="6"/>
      <c r="F1103" s="22"/>
      <c r="G1103" s="22"/>
      <c r="H1103" s="22"/>
      <c r="I1103" s="22"/>
      <c r="J1103" s="22"/>
      <c r="K1103" s="22"/>
      <c r="L1103" s="22"/>
      <c r="M1103" s="22"/>
      <c r="N1103" s="22"/>
      <c r="O1103" s="22"/>
      <c r="P1103" s="22"/>
      <c r="Q1103" s="22"/>
      <c r="R1103" s="22"/>
      <c r="S1103" s="22"/>
      <c r="T1103" s="22"/>
      <c r="U1103" s="22"/>
      <c r="V1103" s="22"/>
      <c r="W1103" s="22"/>
      <c r="X1103" s="22"/>
      <c r="Y1103" s="22"/>
      <c r="Z1103" s="22"/>
      <c r="AA1103" s="22"/>
      <c r="AB1103" s="22"/>
      <c r="AC1103" s="22"/>
      <c r="AD1103" s="22"/>
      <c r="AE1103" s="22"/>
      <c r="AF1103" s="22"/>
      <c r="AG1103" s="22"/>
      <c r="AH1103" s="22"/>
      <c r="AI1103" s="22"/>
      <c r="AJ1103" s="22"/>
      <c r="AK1103" s="22"/>
      <c r="AL1103" s="22"/>
      <c r="AM1103" s="22"/>
      <c r="AN1103" s="22"/>
      <c r="AO1103" s="22"/>
      <c r="AP1103" s="22"/>
      <c r="AQ1103" s="22"/>
      <c r="AR1103" s="22"/>
      <c r="AS1103" s="22"/>
      <c r="AT1103" s="22"/>
      <c r="AU1103" s="22"/>
      <c r="AV1103" s="22"/>
      <c r="AW1103" s="22"/>
      <c r="AX1103" s="22"/>
    </row>
    <row r="1104" spans="1:50" x14ac:dyDescent="0.3">
      <c r="A1104" s="6"/>
      <c r="B1104" s="19"/>
      <c r="C1104" s="6"/>
      <c r="D1104" s="5"/>
      <c r="E1104" s="6"/>
      <c r="F1104" s="22"/>
      <c r="G1104" s="22"/>
      <c r="H1104" s="22"/>
      <c r="I1104" s="22"/>
      <c r="J1104" s="22"/>
      <c r="K1104" s="22"/>
      <c r="L1104" s="22"/>
      <c r="M1104" s="22"/>
      <c r="N1104" s="22"/>
      <c r="O1104" s="22"/>
      <c r="P1104" s="22"/>
      <c r="Q1104" s="22"/>
      <c r="R1104" s="22"/>
      <c r="S1104" s="22"/>
      <c r="T1104" s="22"/>
      <c r="U1104" s="22"/>
      <c r="V1104" s="22"/>
      <c r="W1104" s="22"/>
      <c r="X1104" s="22"/>
      <c r="Y1104" s="22"/>
      <c r="Z1104" s="22"/>
      <c r="AA1104" s="22"/>
      <c r="AB1104" s="22"/>
      <c r="AC1104" s="22"/>
      <c r="AD1104" s="22"/>
      <c r="AE1104" s="22"/>
      <c r="AF1104" s="22"/>
      <c r="AG1104" s="22"/>
      <c r="AH1104" s="22"/>
      <c r="AI1104" s="22"/>
      <c r="AJ1104" s="22"/>
      <c r="AK1104" s="22"/>
      <c r="AL1104" s="22"/>
      <c r="AM1104" s="22"/>
      <c r="AN1104" s="22"/>
      <c r="AO1104" s="22"/>
      <c r="AP1104" s="22"/>
      <c r="AQ1104" s="22"/>
      <c r="AR1104" s="22"/>
      <c r="AS1104" s="22"/>
      <c r="AT1104" s="22"/>
      <c r="AU1104" s="22"/>
      <c r="AV1104" s="22"/>
      <c r="AW1104" s="22"/>
      <c r="AX1104" s="22"/>
    </row>
    <row r="1105" spans="1:50" x14ac:dyDescent="0.3">
      <c r="A1105" s="6"/>
      <c r="B1105" s="19"/>
      <c r="C1105" s="6"/>
      <c r="D1105" s="5"/>
      <c r="E1105" s="6"/>
      <c r="F1105" s="22"/>
      <c r="G1105" s="22"/>
      <c r="H1105" s="22"/>
      <c r="I1105" s="22"/>
      <c r="J1105" s="22"/>
      <c r="K1105" s="22"/>
      <c r="L1105" s="22"/>
      <c r="M1105" s="22"/>
      <c r="N1105" s="22"/>
      <c r="O1105" s="22"/>
      <c r="P1105" s="22"/>
      <c r="Q1105" s="22"/>
      <c r="R1105" s="22"/>
      <c r="S1105" s="22"/>
      <c r="T1105" s="22"/>
      <c r="U1105" s="22"/>
      <c r="V1105" s="22"/>
      <c r="W1105" s="22"/>
      <c r="X1105" s="22"/>
      <c r="Y1105" s="22"/>
      <c r="Z1105" s="22"/>
      <c r="AA1105" s="22"/>
      <c r="AB1105" s="22"/>
      <c r="AC1105" s="22"/>
      <c r="AD1105" s="22"/>
      <c r="AE1105" s="22"/>
      <c r="AF1105" s="22"/>
      <c r="AG1105" s="22"/>
      <c r="AH1105" s="22"/>
      <c r="AI1105" s="22"/>
      <c r="AJ1105" s="22"/>
      <c r="AK1105" s="22"/>
      <c r="AL1105" s="22"/>
      <c r="AM1105" s="22"/>
      <c r="AN1105" s="22"/>
      <c r="AO1105" s="22"/>
      <c r="AP1105" s="22"/>
      <c r="AQ1105" s="22"/>
      <c r="AR1105" s="22"/>
      <c r="AS1105" s="22"/>
      <c r="AT1105" s="22"/>
      <c r="AU1105" s="22"/>
      <c r="AV1105" s="22"/>
      <c r="AW1105" s="22"/>
      <c r="AX1105" s="22"/>
    </row>
    <row r="1106" spans="1:50" x14ac:dyDescent="0.3">
      <c r="A1106" s="6"/>
      <c r="B1106" s="19"/>
      <c r="C1106" s="6"/>
      <c r="D1106" s="5"/>
      <c r="E1106" s="6"/>
      <c r="F1106" s="22"/>
      <c r="G1106" s="22"/>
      <c r="H1106" s="22"/>
      <c r="I1106" s="22"/>
      <c r="J1106" s="22"/>
      <c r="K1106" s="22"/>
      <c r="L1106" s="22"/>
      <c r="M1106" s="22"/>
      <c r="N1106" s="22"/>
      <c r="O1106" s="22"/>
      <c r="P1106" s="22"/>
      <c r="Q1106" s="22"/>
      <c r="R1106" s="22"/>
      <c r="S1106" s="22"/>
      <c r="T1106" s="22"/>
      <c r="U1106" s="22"/>
      <c r="V1106" s="22"/>
      <c r="W1106" s="22"/>
      <c r="X1106" s="22"/>
      <c r="Y1106" s="22"/>
      <c r="Z1106" s="22"/>
      <c r="AA1106" s="22"/>
      <c r="AB1106" s="22"/>
      <c r="AC1106" s="22"/>
      <c r="AD1106" s="22"/>
      <c r="AE1106" s="22"/>
      <c r="AF1106" s="22"/>
      <c r="AG1106" s="22"/>
      <c r="AH1106" s="22"/>
      <c r="AI1106" s="22"/>
      <c r="AJ1106" s="22"/>
      <c r="AK1106" s="22"/>
      <c r="AL1106" s="22"/>
      <c r="AM1106" s="22"/>
      <c r="AN1106" s="22"/>
      <c r="AO1106" s="22"/>
      <c r="AP1106" s="22"/>
      <c r="AQ1106" s="22"/>
      <c r="AR1106" s="22"/>
      <c r="AS1106" s="22"/>
      <c r="AT1106" s="22"/>
      <c r="AU1106" s="22"/>
      <c r="AV1106" s="22"/>
      <c r="AW1106" s="22"/>
      <c r="AX1106" s="22"/>
    </row>
    <row r="1107" spans="1:50" x14ac:dyDescent="0.3">
      <c r="A1107" s="6"/>
      <c r="B1107" s="19"/>
      <c r="C1107" s="6"/>
      <c r="D1107" s="5"/>
      <c r="E1107" s="6"/>
      <c r="F1107" s="22"/>
      <c r="G1107" s="22"/>
      <c r="H1107" s="22"/>
      <c r="I1107" s="22"/>
      <c r="J1107" s="22"/>
      <c r="K1107" s="22"/>
      <c r="L1107" s="22"/>
      <c r="M1107" s="22"/>
      <c r="N1107" s="22"/>
      <c r="O1107" s="22"/>
      <c r="P1107" s="22"/>
      <c r="Q1107" s="22"/>
      <c r="R1107" s="22"/>
      <c r="S1107" s="22"/>
      <c r="T1107" s="22"/>
      <c r="U1107" s="22"/>
      <c r="V1107" s="22"/>
      <c r="W1107" s="22"/>
      <c r="X1107" s="22"/>
      <c r="Y1107" s="22"/>
      <c r="Z1107" s="22"/>
      <c r="AA1107" s="22"/>
      <c r="AB1107" s="22"/>
      <c r="AC1107" s="22"/>
      <c r="AD1107" s="22"/>
      <c r="AE1107" s="22"/>
      <c r="AF1107" s="22"/>
      <c r="AG1107" s="22"/>
      <c r="AH1107" s="22"/>
      <c r="AI1107" s="22"/>
      <c r="AJ1107" s="22"/>
      <c r="AK1107" s="22"/>
      <c r="AL1107" s="22"/>
      <c r="AM1107" s="22"/>
      <c r="AN1107" s="22"/>
      <c r="AO1107" s="22"/>
      <c r="AP1107" s="22"/>
      <c r="AQ1107" s="22"/>
      <c r="AR1107" s="22"/>
      <c r="AS1107" s="22"/>
      <c r="AT1107" s="22"/>
      <c r="AU1107" s="22"/>
      <c r="AV1107" s="22"/>
      <c r="AW1107" s="22"/>
      <c r="AX1107" s="22"/>
    </row>
    <row r="1108" spans="1:50" x14ac:dyDescent="0.3">
      <c r="A1108" s="6"/>
      <c r="B1108" s="19"/>
      <c r="C1108" s="6"/>
      <c r="D1108" s="5"/>
      <c r="E1108" s="6"/>
      <c r="F1108" s="22"/>
      <c r="G1108" s="22"/>
      <c r="H1108" s="22"/>
      <c r="I1108" s="22"/>
      <c r="J1108" s="22"/>
      <c r="K1108" s="22"/>
      <c r="L1108" s="22"/>
      <c r="M1108" s="22"/>
      <c r="N1108" s="22"/>
      <c r="O1108" s="22"/>
      <c r="P1108" s="22"/>
      <c r="Q1108" s="22"/>
      <c r="R1108" s="22"/>
      <c r="S1108" s="22"/>
      <c r="T1108" s="22"/>
      <c r="U1108" s="22"/>
      <c r="V1108" s="22"/>
      <c r="W1108" s="22"/>
      <c r="X1108" s="22"/>
      <c r="Y1108" s="22"/>
      <c r="Z1108" s="22"/>
      <c r="AA1108" s="22"/>
      <c r="AB1108" s="22"/>
      <c r="AC1108" s="22"/>
      <c r="AD1108" s="22"/>
      <c r="AE1108" s="22"/>
      <c r="AF1108" s="22"/>
      <c r="AG1108" s="22"/>
      <c r="AH1108" s="22"/>
      <c r="AI1108" s="22"/>
      <c r="AJ1108" s="22"/>
      <c r="AK1108" s="22"/>
      <c r="AL1108" s="22"/>
      <c r="AM1108" s="22"/>
      <c r="AN1108" s="22"/>
      <c r="AO1108" s="22"/>
      <c r="AP1108" s="22"/>
      <c r="AQ1108" s="22"/>
      <c r="AR1108" s="22"/>
      <c r="AS1108" s="22"/>
      <c r="AT1108" s="22"/>
      <c r="AU1108" s="22"/>
      <c r="AV1108" s="22"/>
      <c r="AW1108" s="22"/>
      <c r="AX1108" s="22"/>
    </row>
    <row r="1109" spans="1:50" x14ac:dyDescent="0.3">
      <c r="A1109" s="6"/>
      <c r="B1109" s="19"/>
      <c r="C1109" s="6"/>
      <c r="D1109" s="5"/>
      <c r="E1109" s="6"/>
      <c r="F1109" s="22"/>
      <c r="G1109" s="22"/>
      <c r="H1109" s="22"/>
      <c r="I1109" s="22"/>
      <c r="J1109" s="22"/>
      <c r="K1109" s="22"/>
      <c r="L1109" s="22"/>
      <c r="M1109" s="22"/>
      <c r="N1109" s="22"/>
      <c r="O1109" s="22"/>
      <c r="P1109" s="22"/>
      <c r="Q1109" s="22"/>
      <c r="R1109" s="22"/>
      <c r="S1109" s="22"/>
      <c r="T1109" s="22"/>
      <c r="U1109" s="22"/>
      <c r="V1109" s="22"/>
      <c r="W1109" s="22"/>
      <c r="X1109" s="22"/>
      <c r="Y1109" s="22"/>
      <c r="Z1109" s="22"/>
      <c r="AA1109" s="22"/>
      <c r="AB1109" s="22"/>
      <c r="AC1109" s="22"/>
      <c r="AD1109" s="22"/>
      <c r="AE1109" s="22"/>
      <c r="AF1109" s="22"/>
      <c r="AG1109" s="22"/>
      <c r="AH1109" s="22"/>
      <c r="AI1109" s="22"/>
      <c r="AJ1109" s="22"/>
      <c r="AK1109" s="22"/>
      <c r="AL1109" s="22"/>
      <c r="AM1109" s="22"/>
      <c r="AN1109" s="22"/>
      <c r="AO1109" s="22"/>
      <c r="AP1109" s="22"/>
      <c r="AQ1109" s="22"/>
      <c r="AR1109" s="22"/>
      <c r="AS1109" s="22"/>
      <c r="AT1109" s="22"/>
      <c r="AU1109" s="22"/>
      <c r="AV1109" s="22"/>
      <c r="AW1109" s="22"/>
      <c r="AX1109" s="22"/>
    </row>
    <row r="1110" spans="1:50" x14ac:dyDescent="0.3">
      <c r="A1110" s="6"/>
      <c r="B1110" s="19"/>
      <c r="C1110" s="6"/>
      <c r="D1110" s="5"/>
      <c r="E1110" s="6"/>
      <c r="F1110" s="22"/>
      <c r="G1110" s="22"/>
      <c r="H1110" s="22"/>
      <c r="I1110" s="22"/>
      <c r="J1110" s="22"/>
      <c r="K1110" s="22"/>
      <c r="L1110" s="22"/>
      <c r="M1110" s="22"/>
      <c r="N1110" s="22"/>
      <c r="O1110" s="22"/>
      <c r="P1110" s="22"/>
      <c r="Q1110" s="22"/>
      <c r="R1110" s="22"/>
      <c r="S1110" s="22"/>
      <c r="T1110" s="22"/>
      <c r="U1110" s="22"/>
      <c r="V1110" s="22"/>
      <c r="W1110" s="22"/>
      <c r="X1110" s="22"/>
      <c r="Y1110" s="22"/>
      <c r="Z1110" s="22"/>
      <c r="AA1110" s="22"/>
      <c r="AB1110" s="22"/>
      <c r="AC1110" s="22"/>
      <c r="AD1110" s="22"/>
      <c r="AE1110" s="22"/>
      <c r="AF1110" s="22"/>
      <c r="AG1110" s="22"/>
      <c r="AH1110" s="22"/>
      <c r="AI1110" s="22"/>
      <c r="AJ1110" s="22"/>
      <c r="AK1110" s="22"/>
      <c r="AL1110" s="22"/>
      <c r="AM1110" s="22"/>
      <c r="AN1110" s="22"/>
      <c r="AO1110" s="22"/>
      <c r="AP1110" s="22"/>
      <c r="AQ1110" s="22"/>
      <c r="AR1110" s="22"/>
      <c r="AS1110" s="22"/>
      <c r="AT1110" s="22"/>
      <c r="AU1110" s="22"/>
      <c r="AV1110" s="22"/>
      <c r="AW1110" s="22"/>
      <c r="AX1110" s="22"/>
    </row>
    <row r="1111" spans="1:50" x14ac:dyDescent="0.3">
      <c r="A1111" s="6"/>
      <c r="B1111" s="19"/>
      <c r="C1111" s="6"/>
      <c r="D1111" s="5"/>
      <c r="E1111" s="6"/>
      <c r="F1111" s="22"/>
      <c r="G1111" s="22"/>
      <c r="H1111" s="22"/>
      <c r="I1111" s="22"/>
      <c r="J1111" s="22"/>
      <c r="K1111" s="22"/>
      <c r="L1111" s="22"/>
      <c r="M1111" s="22"/>
      <c r="N1111" s="22"/>
      <c r="O1111" s="22"/>
      <c r="P1111" s="22"/>
      <c r="Q1111" s="22"/>
      <c r="R1111" s="22"/>
      <c r="S1111" s="22"/>
      <c r="T1111" s="22"/>
      <c r="U1111" s="22"/>
      <c r="V1111" s="22"/>
      <c r="W1111" s="22"/>
      <c r="X1111" s="22"/>
      <c r="Y1111" s="22"/>
      <c r="Z1111" s="22"/>
      <c r="AA1111" s="22"/>
      <c r="AB1111" s="22"/>
      <c r="AC1111" s="22"/>
      <c r="AD1111" s="22"/>
      <c r="AE1111" s="22"/>
      <c r="AF1111" s="22"/>
      <c r="AG1111" s="22"/>
      <c r="AH1111" s="22"/>
      <c r="AI1111" s="22"/>
      <c r="AJ1111" s="22"/>
      <c r="AK1111" s="22"/>
      <c r="AL1111" s="22"/>
      <c r="AM1111" s="22"/>
      <c r="AN1111" s="22"/>
      <c r="AO1111" s="22"/>
      <c r="AP1111" s="22"/>
      <c r="AQ1111" s="22"/>
      <c r="AR1111" s="22"/>
      <c r="AS1111" s="22"/>
      <c r="AT1111" s="22"/>
      <c r="AU1111" s="22"/>
      <c r="AV1111" s="22"/>
      <c r="AW1111" s="22"/>
      <c r="AX1111" s="22"/>
    </row>
    <row r="1112" spans="1:50" x14ac:dyDescent="0.3">
      <c r="A1112" s="6"/>
      <c r="B1112" s="19"/>
      <c r="C1112" s="6"/>
      <c r="D1112" s="5"/>
      <c r="E1112" s="6"/>
      <c r="F1112" s="22"/>
      <c r="G1112" s="22"/>
      <c r="H1112" s="22"/>
      <c r="I1112" s="22"/>
      <c r="J1112" s="22"/>
      <c r="K1112" s="22"/>
      <c r="L1112" s="22"/>
      <c r="M1112" s="22"/>
      <c r="N1112" s="22"/>
      <c r="O1112" s="22"/>
      <c r="P1112" s="22"/>
      <c r="Q1112" s="22"/>
      <c r="R1112" s="22"/>
      <c r="S1112" s="22"/>
      <c r="T1112" s="22"/>
      <c r="U1112" s="22"/>
      <c r="V1112" s="22"/>
      <c r="W1112" s="22"/>
      <c r="X1112" s="22"/>
      <c r="Y1112" s="22"/>
      <c r="Z1112" s="22"/>
      <c r="AA1112" s="22"/>
      <c r="AB1112" s="22"/>
      <c r="AC1112" s="22"/>
      <c r="AD1112" s="22"/>
      <c r="AE1112" s="22"/>
      <c r="AF1112" s="22"/>
      <c r="AG1112" s="22"/>
      <c r="AH1112" s="22"/>
      <c r="AI1112" s="22"/>
      <c r="AJ1112" s="22"/>
      <c r="AK1112" s="22"/>
      <c r="AL1112" s="22"/>
      <c r="AM1112" s="22"/>
      <c r="AN1112" s="22"/>
      <c r="AO1112" s="22"/>
      <c r="AP1112" s="22"/>
      <c r="AQ1112" s="22"/>
      <c r="AR1112" s="22"/>
      <c r="AS1112" s="22"/>
      <c r="AT1112" s="22"/>
      <c r="AU1112" s="22"/>
      <c r="AV1112" s="22"/>
      <c r="AW1112" s="22"/>
      <c r="AX1112" s="22"/>
    </row>
    <row r="1113" spans="1:50" x14ac:dyDescent="0.3">
      <c r="A1113" s="6"/>
      <c r="B1113" s="19"/>
      <c r="C1113" s="6"/>
      <c r="D1113" s="5"/>
      <c r="E1113" s="6"/>
      <c r="F1113" s="22"/>
      <c r="G1113" s="22"/>
      <c r="H1113" s="22"/>
      <c r="I1113" s="22"/>
      <c r="J1113" s="22"/>
      <c r="K1113" s="22"/>
      <c r="L1113" s="22"/>
      <c r="M1113" s="22"/>
      <c r="N1113" s="22"/>
      <c r="O1113" s="22"/>
      <c r="P1113" s="22"/>
      <c r="Q1113" s="22"/>
      <c r="R1113" s="22"/>
      <c r="S1113" s="22"/>
      <c r="T1113" s="22"/>
      <c r="U1113" s="22"/>
      <c r="V1113" s="22"/>
      <c r="W1113" s="22"/>
      <c r="X1113" s="22"/>
      <c r="Y1113" s="22"/>
      <c r="Z1113" s="22"/>
      <c r="AA1113" s="22"/>
      <c r="AB1113" s="22"/>
      <c r="AC1113" s="22"/>
      <c r="AD1113" s="22"/>
      <c r="AE1113" s="22"/>
      <c r="AF1113" s="22"/>
      <c r="AG1113" s="22"/>
      <c r="AH1113" s="22"/>
      <c r="AI1113" s="22"/>
      <c r="AJ1113" s="22"/>
      <c r="AK1113" s="22"/>
      <c r="AL1113" s="22"/>
      <c r="AM1113" s="22"/>
      <c r="AN1113" s="22"/>
      <c r="AO1113" s="22"/>
      <c r="AP1113" s="22"/>
      <c r="AQ1113" s="22"/>
      <c r="AR1113" s="22"/>
      <c r="AS1113" s="22"/>
      <c r="AT1113" s="22"/>
      <c r="AU1113" s="22"/>
      <c r="AV1113" s="22"/>
      <c r="AW1113" s="22"/>
      <c r="AX1113" s="22"/>
    </row>
    <row r="1114" spans="1:50" x14ac:dyDescent="0.3">
      <c r="A1114" s="6"/>
      <c r="B1114" s="19"/>
      <c r="C1114" s="6"/>
      <c r="D1114" s="5"/>
      <c r="E1114" s="6"/>
      <c r="F1114" s="22"/>
      <c r="G1114" s="22"/>
      <c r="H1114" s="22"/>
      <c r="I1114" s="22"/>
      <c r="J1114" s="22"/>
      <c r="K1114" s="22"/>
      <c r="L1114" s="22"/>
      <c r="M1114" s="22"/>
      <c r="N1114" s="22"/>
      <c r="O1114" s="22"/>
      <c r="P1114" s="22"/>
      <c r="Q1114" s="22"/>
      <c r="R1114" s="22"/>
      <c r="S1114" s="22"/>
      <c r="T1114" s="22"/>
      <c r="U1114" s="22"/>
      <c r="V1114" s="22"/>
      <c r="W1114" s="22"/>
      <c r="X1114" s="22"/>
      <c r="Y1114" s="22"/>
      <c r="Z1114" s="22"/>
      <c r="AA1114" s="22"/>
      <c r="AB1114" s="22"/>
      <c r="AC1114" s="22"/>
      <c r="AD1114" s="22"/>
      <c r="AE1114" s="22"/>
      <c r="AF1114" s="22"/>
      <c r="AG1114" s="22"/>
      <c r="AH1114" s="22"/>
      <c r="AI1114" s="22"/>
      <c r="AJ1114" s="22"/>
      <c r="AK1114" s="22"/>
      <c r="AL1114" s="22"/>
      <c r="AM1114" s="22"/>
      <c r="AN1114" s="22"/>
      <c r="AO1114" s="22"/>
      <c r="AP1114" s="22"/>
      <c r="AQ1114" s="22"/>
      <c r="AR1114" s="22"/>
      <c r="AS1114" s="22"/>
      <c r="AT1114" s="22"/>
      <c r="AU1114" s="22"/>
      <c r="AV1114" s="22"/>
      <c r="AW1114" s="22"/>
      <c r="AX1114" s="22"/>
    </row>
    <row r="1115" spans="1:50" x14ac:dyDescent="0.3">
      <c r="A1115" s="6"/>
      <c r="B1115" s="19"/>
      <c r="C1115" s="6"/>
      <c r="D1115" s="5"/>
      <c r="E1115" s="6"/>
      <c r="F1115" s="22"/>
      <c r="G1115" s="22"/>
      <c r="H1115" s="22"/>
      <c r="I1115" s="22"/>
      <c r="J1115" s="22"/>
      <c r="K1115" s="22"/>
      <c r="L1115" s="22"/>
      <c r="M1115" s="22"/>
      <c r="N1115" s="22"/>
      <c r="O1115" s="22"/>
      <c r="P1115" s="22"/>
      <c r="Q1115" s="22"/>
      <c r="R1115" s="22"/>
      <c r="S1115" s="22"/>
      <c r="T1115" s="22"/>
      <c r="U1115" s="22"/>
      <c r="V1115" s="22"/>
      <c r="W1115" s="22"/>
      <c r="X1115" s="22"/>
      <c r="Y1115" s="22"/>
      <c r="Z1115" s="22"/>
      <c r="AA1115" s="22"/>
      <c r="AB1115" s="22"/>
      <c r="AC1115" s="22"/>
      <c r="AD1115" s="22"/>
      <c r="AE1115" s="22"/>
      <c r="AF1115" s="22"/>
      <c r="AG1115" s="22"/>
      <c r="AH1115" s="22"/>
      <c r="AI1115" s="22"/>
      <c r="AJ1115" s="22"/>
      <c r="AK1115" s="22"/>
      <c r="AL1115" s="22"/>
      <c r="AM1115" s="22"/>
      <c r="AN1115" s="22"/>
      <c r="AO1115" s="22"/>
      <c r="AP1115" s="22"/>
      <c r="AQ1115" s="22"/>
      <c r="AR1115" s="22"/>
      <c r="AS1115" s="22"/>
      <c r="AT1115" s="22"/>
      <c r="AU1115" s="22"/>
      <c r="AV1115" s="22"/>
      <c r="AW1115" s="22"/>
      <c r="AX1115" s="22"/>
    </row>
    <row r="1116" spans="1:50" x14ac:dyDescent="0.3">
      <c r="A1116" s="6"/>
      <c r="B1116" s="19"/>
      <c r="C1116" s="6"/>
      <c r="D1116" s="5"/>
      <c r="E1116" s="6"/>
      <c r="F1116" s="22"/>
      <c r="G1116" s="22"/>
      <c r="H1116" s="22"/>
      <c r="I1116" s="22"/>
      <c r="J1116" s="22"/>
      <c r="K1116" s="22"/>
      <c r="L1116" s="22"/>
      <c r="M1116" s="22"/>
      <c r="N1116" s="22"/>
      <c r="O1116" s="22"/>
      <c r="P1116" s="22"/>
      <c r="Q1116" s="22"/>
      <c r="R1116" s="22"/>
      <c r="S1116" s="22"/>
      <c r="T1116" s="22"/>
      <c r="U1116" s="22"/>
      <c r="V1116" s="22"/>
      <c r="W1116" s="22"/>
      <c r="X1116" s="22"/>
      <c r="Y1116" s="22"/>
      <c r="Z1116" s="22"/>
      <c r="AA1116" s="22"/>
      <c r="AB1116" s="22"/>
      <c r="AC1116" s="22"/>
      <c r="AD1116" s="22"/>
      <c r="AE1116" s="22"/>
      <c r="AF1116" s="22"/>
      <c r="AG1116" s="22"/>
      <c r="AH1116" s="22"/>
      <c r="AI1116" s="22"/>
      <c r="AJ1116" s="22"/>
      <c r="AK1116" s="22"/>
      <c r="AL1116" s="22"/>
      <c r="AM1116" s="22"/>
      <c r="AN1116" s="22"/>
      <c r="AO1116" s="22"/>
      <c r="AP1116" s="22"/>
      <c r="AQ1116" s="22"/>
      <c r="AR1116" s="22"/>
      <c r="AS1116" s="22"/>
      <c r="AT1116" s="22"/>
      <c r="AU1116" s="22"/>
      <c r="AV1116" s="22"/>
      <c r="AW1116" s="22"/>
      <c r="AX1116" s="22"/>
    </row>
    <row r="1117" spans="1:50" x14ac:dyDescent="0.3">
      <c r="A1117" s="6"/>
      <c r="B1117" s="19"/>
      <c r="C1117" s="6"/>
      <c r="D1117" s="5"/>
      <c r="E1117" s="6"/>
      <c r="F1117" s="22"/>
      <c r="G1117" s="22"/>
      <c r="H1117" s="22"/>
      <c r="I1117" s="22"/>
      <c r="J1117" s="22"/>
      <c r="K1117" s="22"/>
      <c r="L1117" s="22"/>
      <c r="M1117" s="22"/>
      <c r="N1117" s="22"/>
      <c r="O1117" s="22"/>
      <c r="P1117" s="22"/>
      <c r="Q1117" s="22"/>
      <c r="R1117" s="22"/>
      <c r="S1117" s="22"/>
      <c r="T1117" s="22"/>
      <c r="U1117" s="22"/>
      <c r="V1117" s="22"/>
      <c r="W1117" s="22"/>
      <c r="X1117" s="22"/>
      <c r="Y1117" s="22"/>
      <c r="Z1117" s="22"/>
      <c r="AA1117" s="22"/>
      <c r="AB1117" s="22"/>
      <c r="AC1117" s="22"/>
      <c r="AD1117" s="22"/>
      <c r="AE1117" s="22"/>
      <c r="AF1117" s="22"/>
      <c r="AG1117" s="22"/>
      <c r="AH1117" s="22"/>
      <c r="AI1117" s="22"/>
      <c r="AJ1117" s="22"/>
      <c r="AK1117" s="22"/>
      <c r="AL1117" s="22"/>
      <c r="AM1117" s="22"/>
      <c r="AN1117" s="22"/>
      <c r="AO1117" s="22"/>
      <c r="AP1117" s="22"/>
      <c r="AQ1117" s="22"/>
      <c r="AR1117" s="22"/>
      <c r="AS1117" s="22"/>
      <c r="AT1117" s="22"/>
      <c r="AU1117" s="22"/>
      <c r="AV1117" s="22"/>
      <c r="AW1117" s="22"/>
      <c r="AX1117" s="22"/>
    </row>
    <row r="1118" spans="1:50" x14ac:dyDescent="0.3">
      <c r="A1118" s="6"/>
      <c r="B1118" s="19"/>
      <c r="C1118" s="6"/>
      <c r="D1118" s="5"/>
      <c r="E1118" s="6"/>
      <c r="F1118" s="22"/>
      <c r="G1118" s="22"/>
      <c r="H1118" s="22"/>
      <c r="I1118" s="22"/>
      <c r="J1118" s="22"/>
      <c r="K1118" s="22"/>
      <c r="L1118" s="22"/>
      <c r="M1118" s="22"/>
      <c r="N1118" s="22"/>
      <c r="O1118" s="22"/>
      <c r="P1118" s="22"/>
      <c r="Q1118" s="22"/>
      <c r="R1118" s="22"/>
      <c r="S1118" s="22"/>
      <c r="T1118" s="22"/>
      <c r="U1118" s="22"/>
      <c r="V1118" s="22"/>
      <c r="W1118" s="22"/>
      <c r="X1118" s="22"/>
      <c r="Y1118" s="22"/>
      <c r="Z1118" s="22"/>
      <c r="AA1118" s="22"/>
      <c r="AB1118" s="22"/>
      <c r="AC1118" s="22"/>
      <c r="AD1118" s="22"/>
      <c r="AE1118" s="22"/>
      <c r="AF1118" s="22"/>
      <c r="AG1118" s="22"/>
      <c r="AH1118" s="22"/>
      <c r="AI1118" s="22"/>
      <c r="AJ1118" s="22"/>
      <c r="AK1118" s="22"/>
      <c r="AL1118" s="22"/>
      <c r="AM1118" s="22"/>
      <c r="AN1118" s="22"/>
      <c r="AO1118" s="22"/>
      <c r="AP1118" s="22"/>
      <c r="AQ1118" s="22"/>
      <c r="AR1118" s="22"/>
      <c r="AS1118" s="22"/>
      <c r="AT1118" s="22"/>
      <c r="AU1118" s="22"/>
      <c r="AV1118" s="22"/>
      <c r="AW1118" s="22"/>
      <c r="AX1118" s="22"/>
    </row>
    <row r="1119" spans="1:50" x14ac:dyDescent="0.3">
      <c r="A1119" s="6"/>
      <c r="B1119" s="19"/>
      <c r="C1119" s="6"/>
      <c r="D1119" s="5"/>
      <c r="E1119" s="6"/>
      <c r="F1119" s="22"/>
      <c r="G1119" s="22"/>
      <c r="H1119" s="22"/>
      <c r="I1119" s="22"/>
      <c r="J1119" s="22"/>
      <c r="K1119" s="22"/>
      <c r="L1119" s="22"/>
      <c r="M1119" s="22"/>
      <c r="N1119" s="22"/>
      <c r="O1119" s="22"/>
      <c r="P1119" s="22"/>
      <c r="Q1119" s="22"/>
      <c r="R1119" s="22"/>
      <c r="S1119" s="22"/>
      <c r="T1119" s="22"/>
      <c r="U1119" s="22"/>
      <c r="V1119" s="22"/>
      <c r="W1119" s="22"/>
      <c r="X1119" s="22"/>
      <c r="Y1119" s="22"/>
      <c r="Z1119" s="22"/>
      <c r="AA1119" s="22"/>
      <c r="AB1119" s="22"/>
      <c r="AC1119" s="22"/>
      <c r="AD1119" s="22"/>
      <c r="AE1119" s="22"/>
      <c r="AF1119" s="22"/>
      <c r="AG1119" s="22"/>
      <c r="AH1119" s="22"/>
      <c r="AI1119" s="22"/>
      <c r="AJ1119" s="22"/>
      <c r="AK1119" s="22"/>
      <c r="AL1119" s="22"/>
      <c r="AM1119" s="22"/>
      <c r="AN1119" s="22"/>
      <c r="AO1119" s="22"/>
      <c r="AP1119" s="22"/>
      <c r="AQ1119" s="22"/>
      <c r="AR1119" s="22"/>
      <c r="AS1119" s="22"/>
      <c r="AT1119" s="22"/>
      <c r="AU1119" s="22"/>
      <c r="AV1119" s="22"/>
      <c r="AW1119" s="22"/>
      <c r="AX1119" s="22"/>
    </row>
    <row r="1120" spans="1:50" x14ac:dyDescent="0.3">
      <c r="A1120" s="6"/>
      <c r="B1120" s="19"/>
      <c r="C1120" s="6"/>
      <c r="D1120" s="5"/>
      <c r="E1120" s="6"/>
      <c r="F1120" s="22"/>
      <c r="G1120" s="22"/>
      <c r="H1120" s="22"/>
      <c r="I1120" s="22"/>
      <c r="J1120" s="22"/>
      <c r="K1120" s="22"/>
      <c r="L1120" s="22"/>
      <c r="M1120" s="22"/>
      <c r="N1120" s="22"/>
      <c r="O1120" s="22"/>
      <c r="P1120" s="22"/>
      <c r="Q1120" s="22"/>
      <c r="R1120" s="22"/>
      <c r="S1120" s="22"/>
      <c r="T1120" s="22"/>
      <c r="U1120" s="22"/>
      <c r="V1120" s="22"/>
      <c r="W1120" s="22"/>
      <c r="X1120" s="22"/>
      <c r="Y1120" s="22"/>
      <c r="Z1120" s="22"/>
      <c r="AA1120" s="22"/>
      <c r="AB1120" s="22"/>
      <c r="AC1120" s="22"/>
      <c r="AD1120" s="22"/>
      <c r="AE1120" s="22"/>
      <c r="AF1120" s="22"/>
      <c r="AG1120" s="22"/>
      <c r="AH1120" s="22"/>
      <c r="AI1120" s="22"/>
      <c r="AJ1120" s="22"/>
      <c r="AK1120" s="22"/>
      <c r="AL1120" s="22"/>
      <c r="AM1120" s="22"/>
      <c r="AN1120" s="22"/>
      <c r="AO1120" s="22"/>
      <c r="AP1120" s="22"/>
      <c r="AQ1120" s="22"/>
      <c r="AR1120" s="22"/>
      <c r="AS1120" s="22"/>
      <c r="AT1120" s="22"/>
      <c r="AU1120" s="22"/>
      <c r="AV1120" s="22"/>
      <c r="AW1120" s="22"/>
      <c r="AX1120" s="22"/>
    </row>
    <row r="1121" spans="1:50" x14ac:dyDescent="0.3">
      <c r="A1121" s="6"/>
      <c r="B1121" s="19"/>
      <c r="C1121" s="6"/>
      <c r="D1121" s="5"/>
      <c r="E1121" s="6"/>
      <c r="F1121" s="22"/>
      <c r="G1121" s="22"/>
      <c r="H1121" s="22"/>
      <c r="I1121" s="22"/>
      <c r="J1121" s="22"/>
      <c r="K1121" s="22"/>
      <c r="L1121" s="22"/>
      <c r="M1121" s="22"/>
      <c r="N1121" s="22"/>
      <c r="O1121" s="22"/>
      <c r="P1121" s="22"/>
      <c r="Q1121" s="22"/>
      <c r="R1121" s="22"/>
      <c r="S1121" s="22"/>
      <c r="T1121" s="22"/>
      <c r="U1121" s="22"/>
      <c r="V1121" s="22"/>
      <c r="W1121" s="22"/>
      <c r="X1121" s="22"/>
      <c r="Y1121" s="22"/>
      <c r="Z1121" s="22"/>
      <c r="AA1121" s="22"/>
      <c r="AB1121" s="22"/>
      <c r="AC1121" s="22"/>
      <c r="AD1121" s="22"/>
      <c r="AE1121" s="22"/>
      <c r="AF1121" s="22"/>
      <c r="AG1121" s="22"/>
      <c r="AH1121" s="22"/>
      <c r="AI1121" s="22"/>
      <c r="AJ1121" s="22"/>
      <c r="AK1121" s="22"/>
      <c r="AL1121" s="22"/>
      <c r="AM1121" s="22"/>
      <c r="AN1121" s="22"/>
      <c r="AO1121" s="22"/>
      <c r="AP1121" s="22"/>
      <c r="AQ1121" s="22"/>
      <c r="AR1121" s="22"/>
      <c r="AS1121" s="22"/>
      <c r="AT1121" s="22"/>
      <c r="AU1121" s="22"/>
      <c r="AV1121" s="22"/>
      <c r="AW1121" s="22"/>
      <c r="AX1121" s="22"/>
    </row>
    <row r="1122" spans="1:50" x14ac:dyDescent="0.3">
      <c r="A1122" s="6"/>
      <c r="B1122" s="19"/>
      <c r="C1122" s="6"/>
      <c r="D1122" s="5"/>
      <c r="E1122" s="6"/>
      <c r="F1122" s="22"/>
      <c r="G1122" s="22"/>
      <c r="H1122" s="22"/>
      <c r="I1122" s="22"/>
      <c r="J1122" s="22"/>
      <c r="K1122" s="22"/>
      <c r="L1122" s="22"/>
      <c r="M1122" s="22"/>
      <c r="N1122" s="22"/>
      <c r="O1122" s="22"/>
      <c r="P1122" s="22"/>
      <c r="Q1122" s="22"/>
      <c r="R1122" s="22"/>
      <c r="S1122" s="22"/>
      <c r="T1122" s="22"/>
      <c r="U1122" s="22"/>
      <c r="V1122" s="22"/>
      <c r="W1122" s="22"/>
      <c r="X1122" s="22"/>
      <c r="Y1122" s="22"/>
      <c r="Z1122" s="22"/>
      <c r="AA1122" s="22"/>
      <c r="AB1122" s="22"/>
      <c r="AC1122" s="22"/>
      <c r="AD1122" s="22"/>
      <c r="AE1122" s="22"/>
      <c r="AF1122" s="22"/>
      <c r="AG1122" s="22"/>
      <c r="AH1122" s="22"/>
      <c r="AI1122" s="22"/>
      <c r="AJ1122" s="22"/>
      <c r="AK1122" s="22"/>
      <c r="AL1122" s="22"/>
      <c r="AM1122" s="22"/>
      <c r="AN1122" s="22"/>
      <c r="AO1122" s="22"/>
      <c r="AP1122" s="22"/>
      <c r="AQ1122" s="22"/>
      <c r="AR1122" s="22"/>
      <c r="AS1122" s="22"/>
      <c r="AT1122" s="22"/>
      <c r="AU1122" s="22"/>
      <c r="AV1122" s="22"/>
      <c r="AW1122" s="22"/>
      <c r="AX1122" s="22"/>
    </row>
    <row r="1123" spans="1:50" x14ac:dyDescent="0.3">
      <c r="A1123" s="6"/>
      <c r="B1123" s="19"/>
      <c r="C1123" s="6"/>
      <c r="D1123" s="5"/>
      <c r="E1123" s="6"/>
      <c r="F1123" s="22"/>
      <c r="G1123" s="22"/>
      <c r="H1123" s="22"/>
      <c r="I1123" s="22"/>
      <c r="J1123" s="22"/>
      <c r="K1123" s="22"/>
      <c r="L1123" s="22"/>
      <c r="M1123" s="22"/>
      <c r="N1123" s="22"/>
      <c r="O1123" s="22"/>
      <c r="P1123" s="22"/>
      <c r="Q1123" s="22"/>
      <c r="R1123" s="22"/>
      <c r="S1123" s="22"/>
      <c r="T1123" s="22"/>
      <c r="U1123" s="22"/>
      <c r="V1123" s="22"/>
      <c r="W1123" s="22"/>
      <c r="X1123" s="22"/>
      <c r="Y1123" s="22"/>
      <c r="Z1123" s="22"/>
      <c r="AA1123" s="22"/>
      <c r="AB1123" s="22"/>
      <c r="AC1123" s="22"/>
      <c r="AD1123" s="22"/>
      <c r="AE1123" s="22"/>
      <c r="AF1123" s="22"/>
      <c r="AG1123" s="22"/>
      <c r="AH1123" s="22"/>
      <c r="AI1123" s="22"/>
      <c r="AJ1123" s="22"/>
      <c r="AK1123" s="22"/>
      <c r="AL1123" s="22"/>
      <c r="AM1123" s="22"/>
      <c r="AN1123" s="22"/>
      <c r="AO1123" s="22"/>
      <c r="AP1123" s="22"/>
      <c r="AQ1123" s="22"/>
      <c r="AR1123" s="22"/>
      <c r="AS1123" s="22"/>
      <c r="AT1123" s="22"/>
      <c r="AU1123" s="22"/>
      <c r="AV1123" s="22"/>
      <c r="AW1123" s="22"/>
      <c r="AX1123" s="22"/>
    </row>
    <row r="1124" spans="1:50" x14ac:dyDescent="0.3">
      <c r="A1124" s="6"/>
      <c r="B1124" s="19"/>
      <c r="C1124" s="6"/>
      <c r="D1124" s="5"/>
      <c r="E1124" s="6"/>
      <c r="F1124" s="22"/>
      <c r="G1124" s="22"/>
      <c r="H1124" s="22"/>
      <c r="I1124" s="22"/>
      <c r="J1124" s="22"/>
      <c r="K1124" s="22"/>
      <c r="L1124" s="22"/>
      <c r="M1124" s="22"/>
      <c r="N1124" s="22"/>
      <c r="O1124" s="22"/>
      <c r="P1124" s="22"/>
      <c r="Q1124" s="22"/>
      <c r="R1124" s="22"/>
      <c r="S1124" s="22"/>
      <c r="T1124" s="22"/>
      <c r="U1124" s="22"/>
      <c r="V1124" s="22"/>
      <c r="W1124" s="22"/>
      <c r="X1124" s="22"/>
      <c r="Y1124" s="22"/>
      <c r="Z1124" s="22"/>
      <c r="AA1124" s="22"/>
      <c r="AB1124" s="22"/>
      <c r="AC1124" s="22"/>
      <c r="AD1124" s="22"/>
      <c r="AE1124" s="22"/>
      <c r="AF1124" s="22"/>
      <c r="AG1124" s="22"/>
      <c r="AH1124" s="22"/>
      <c r="AI1124" s="22"/>
      <c r="AJ1124" s="22"/>
      <c r="AK1124" s="22"/>
      <c r="AL1124" s="22"/>
      <c r="AM1124" s="22"/>
      <c r="AN1124" s="22"/>
      <c r="AO1124" s="22"/>
      <c r="AP1124" s="22"/>
      <c r="AQ1124" s="22"/>
      <c r="AR1124" s="22"/>
      <c r="AS1124" s="22"/>
      <c r="AT1124" s="22"/>
      <c r="AU1124" s="22"/>
      <c r="AV1124" s="22"/>
      <c r="AW1124" s="22"/>
      <c r="AX1124" s="22"/>
    </row>
    <row r="1125" spans="1:50" x14ac:dyDescent="0.3">
      <c r="A1125" s="6"/>
      <c r="B1125" s="19"/>
      <c r="C1125" s="6"/>
      <c r="D1125" s="5"/>
      <c r="E1125" s="6"/>
      <c r="F1125" s="22"/>
      <c r="G1125" s="22"/>
      <c r="H1125" s="22"/>
      <c r="I1125" s="22"/>
      <c r="J1125" s="22"/>
      <c r="K1125" s="22"/>
      <c r="L1125" s="22"/>
      <c r="M1125" s="22"/>
      <c r="N1125" s="22"/>
      <c r="O1125" s="22"/>
      <c r="P1125" s="22"/>
      <c r="Q1125" s="22"/>
      <c r="R1125" s="22"/>
      <c r="S1125" s="22"/>
      <c r="T1125" s="22"/>
      <c r="U1125" s="22"/>
      <c r="V1125" s="22"/>
      <c r="W1125" s="22"/>
      <c r="X1125" s="22"/>
      <c r="Y1125" s="22"/>
      <c r="Z1125" s="22"/>
      <c r="AA1125" s="22"/>
      <c r="AB1125" s="22"/>
      <c r="AC1125" s="22"/>
      <c r="AD1125" s="22"/>
      <c r="AE1125" s="22"/>
      <c r="AF1125" s="22"/>
      <c r="AG1125" s="22"/>
      <c r="AH1125" s="22"/>
      <c r="AI1125" s="22"/>
      <c r="AJ1125" s="22"/>
      <c r="AK1125" s="22"/>
      <c r="AL1125" s="22"/>
      <c r="AM1125" s="22"/>
      <c r="AN1125" s="22"/>
      <c r="AO1125" s="22"/>
      <c r="AP1125" s="22"/>
      <c r="AQ1125" s="22"/>
      <c r="AR1125" s="22"/>
      <c r="AS1125" s="22"/>
      <c r="AT1125" s="22"/>
      <c r="AU1125" s="22"/>
      <c r="AV1125" s="22"/>
      <c r="AW1125" s="22"/>
      <c r="AX1125" s="22"/>
    </row>
    <row r="1126" spans="1:50" x14ac:dyDescent="0.3">
      <c r="A1126" s="6"/>
      <c r="B1126" s="19"/>
      <c r="C1126" s="6"/>
      <c r="D1126" s="5"/>
      <c r="E1126" s="6"/>
      <c r="F1126" s="22"/>
      <c r="G1126" s="22"/>
      <c r="H1126" s="22"/>
      <c r="I1126" s="22"/>
      <c r="J1126" s="22"/>
      <c r="K1126" s="22"/>
      <c r="L1126" s="22"/>
      <c r="M1126" s="22"/>
      <c r="N1126" s="22"/>
      <c r="O1126" s="22"/>
      <c r="P1126" s="22"/>
      <c r="Q1126" s="22"/>
      <c r="R1126" s="22"/>
      <c r="S1126" s="22"/>
      <c r="T1126" s="22"/>
      <c r="U1126" s="22"/>
      <c r="V1126" s="22"/>
      <c r="W1126" s="22"/>
      <c r="X1126" s="22"/>
      <c r="Y1126" s="22"/>
      <c r="Z1126" s="22"/>
      <c r="AA1126" s="22"/>
      <c r="AB1126" s="22"/>
      <c r="AC1126" s="22"/>
      <c r="AD1126" s="22"/>
      <c r="AE1126" s="22"/>
      <c r="AF1126" s="22"/>
      <c r="AG1126" s="22"/>
      <c r="AH1126" s="22"/>
      <c r="AI1126" s="22"/>
      <c r="AJ1126" s="22"/>
      <c r="AK1126" s="22"/>
      <c r="AL1126" s="22"/>
      <c r="AM1126" s="22"/>
      <c r="AN1126" s="22"/>
      <c r="AO1126" s="22"/>
      <c r="AP1126" s="22"/>
      <c r="AQ1126" s="22"/>
      <c r="AR1126" s="22"/>
      <c r="AS1126" s="22"/>
      <c r="AT1126" s="22"/>
      <c r="AU1126" s="22"/>
      <c r="AV1126" s="22"/>
      <c r="AW1126" s="22"/>
      <c r="AX1126" s="22"/>
    </row>
    <row r="1127" spans="1:50" x14ac:dyDescent="0.3">
      <c r="A1127" s="6"/>
      <c r="B1127" s="19"/>
      <c r="C1127" s="6"/>
      <c r="D1127" s="5"/>
      <c r="E1127" s="6"/>
      <c r="F1127" s="22"/>
      <c r="G1127" s="22"/>
      <c r="H1127" s="22"/>
      <c r="I1127" s="22"/>
      <c r="J1127" s="22"/>
      <c r="K1127" s="22"/>
      <c r="L1127" s="22"/>
      <c r="M1127" s="22"/>
      <c r="N1127" s="22"/>
      <c r="O1127" s="22"/>
      <c r="P1127" s="22"/>
      <c r="Q1127" s="22"/>
      <c r="R1127" s="22"/>
      <c r="S1127" s="22"/>
      <c r="T1127" s="22"/>
      <c r="U1127" s="22"/>
      <c r="V1127" s="22"/>
      <c r="W1127" s="22"/>
      <c r="X1127" s="22"/>
      <c r="Y1127" s="22"/>
      <c r="Z1127" s="22"/>
      <c r="AA1127" s="22"/>
      <c r="AB1127" s="22"/>
      <c r="AC1127" s="22"/>
      <c r="AD1127" s="22"/>
      <c r="AE1127" s="22"/>
      <c r="AF1127" s="22"/>
      <c r="AG1127" s="22"/>
      <c r="AH1127" s="22"/>
      <c r="AI1127" s="22"/>
      <c r="AJ1127" s="22"/>
      <c r="AK1127" s="22"/>
      <c r="AL1127" s="22"/>
      <c r="AM1127" s="22"/>
      <c r="AN1127" s="22"/>
      <c r="AO1127" s="22"/>
      <c r="AP1127" s="22"/>
      <c r="AQ1127" s="22"/>
      <c r="AR1127" s="22"/>
      <c r="AS1127" s="22"/>
      <c r="AT1127" s="22"/>
      <c r="AU1127" s="22"/>
      <c r="AV1127" s="22"/>
      <c r="AW1127" s="22"/>
      <c r="AX1127" s="22"/>
    </row>
    <row r="1128" spans="1:50" x14ac:dyDescent="0.3">
      <c r="A1128" s="6"/>
      <c r="B1128" s="19"/>
      <c r="C1128" s="6"/>
      <c r="D1128" s="5"/>
      <c r="E1128" s="6"/>
      <c r="F1128" s="22"/>
      <c r="G1128" s="22"/>
      <c r="H1128" s="22"/>
      <c r="I1128" s="22"/>
      <c r="J1128" s="22"/>
      <c r="K1128" s="22"/>
      <c r="L1128" s="22"/>
      <c r="M1128" s="22"/>
      <c r="N1128" s="22"/>
      <c r="O1128" s="22"/>
      <c r="P1128" s="22"/>
      <c r="Q1128" s="22"/>
      <c r="R1128" s="22"/>
      <c r="S1128" s="22"/>
      <c r="T1128" s="22"/>
      <c r="U1128" s="22"/>
      <c r="V1128" s="22"/>
      <c r="W1128" s="22"/>
      <c r="X1128" s="22"/>
      <c r="Y1128" s="22"/>
      <c r="Z1128" s="22"/>
      <c r="AA1128" s="22"/>
      <c r="AB1128" s="22"/>
      <c r="AC1128" s="22"/>
      <c r="AD1128" s="22"/>
      <c r="AE1128" s="22"/>
      <c r="AF1128" s="22"/>
      <c r="AG1128" s="22"/>
      <c r="AH1128" s="22"/>
      <c r="AI1128" s="22"/>
      <c r="AJ1128" s="22"/>
      <c r="AK1128" s="22"/>
      <c r="AL1128" s="22"/>
      <c r="AM1128" s="22"/>
      <c r="AN1128" s="22"/>
      <c r="AO1128" s="22"/>
      <c r="AP1128" s="22"/>
      <c r="AQ1128" s="22"/>
      <c r="AR1128" s="22"/>
      <c r="AS1128" s="22"/>
      <c r="AT1128" s="22"/>
      <c r="AU1128" s="22"/>
      <c r="AV1128" s="22"/>
      <c r="AW1128" s="22"/>
      <c r="AX1128" s="22"/>
    </row>
    <row r="1129" spans="1:50" x14ac:dyDescent="0.3">
      <c r="A1129" s="6"/>
      <c r="B1129" s="19"/>
      <c r="C1129" s="6"/>
      <c r="D1129" s="5"/>
      <c r="E1129" s="6"/>
      <c r="F1129" s="22"/>
      <c r="G1129" s="22"/>
      <c r="H1129" s="22"/>
      <c r="I1129" s="22"/>
      <c r="J1129" s="22"/>
      <c r="K1129" s="22"/>
      <c r="L1129" s="22"/>
      <c r="M1129" s="22"/>
      <c r="N1129" s="22"/>
      <c r="O1129" s="22"/>
      <c r="P1129" s="22"/>
      <c r="Q1129" s="22"/>
      <c r="R1129" s="22"/>
      <c r="S1129" s="22"/>
      <c r="T1129" s="22"/>
      <c r="U1129" s="22"/>
      <c r="V1129" s="22"/>
      <c r="W1129" s="22"/>
      <c r="X1129" s="22"/>
      <c r="Y1129" s="22"/>
      <c r="Z1129" s="22"/>
      <c r="AA1129" s="22"/>
      <c r="AB1129" s="22"/>
      <c r="AC1129" s="22"/>
      <c r="AD1129" s="22"/>
      <c r="AE1129" s="22"/>
      <c r="AF1129" s="22"/>
      <c r="AG1129" s="22"/>
      <c r="AH1129" s="22"/>
      <c r="AI1129" s="22"/>
      <c r="AJ1129" s="22"/>
      <c r="AK1129" s="22"/>
      <c r="AL1129" s="22"/>
      <c r="AM1129" s="22"/>
      <c r="AN1129" s="22"/>
      <c r="AO1129" s="22"/>
      <c r="AP1129" s="22"/>
      <c r="AQ1129" s="22"/>
      <c r="AR1129" s="22"/>
      <c r="AS1129" s="22"/>
      <c r="AT1129" s="22"/>
      <c r="AU1129" s="22"/>
      <c r="AV1129" s="22"/>
      <c r="AW1129" s="22"/>
      <c r="AX1129" s="22"/>
    </row>
    <row r="1130" spans="1:50" x14ac:dyDescent="0.3">
      <c r="A1130" s="6"/>
      <c r="B1130" s="19"/>
      <c r="C1130" s="6"/>
      <c r="D1130" s="5"/>
      <c r="E1130" s="6"/>
      <c r="F1130" s="22"/>
      <c r="G1130" s="22"/>
      <c r="H1130" s="22"/>
      <c r="I1130" s="22"/>
      <c r="J1130" s="22"/>
      <c r="K1130" s="22"/>
      <c r="L1130" s="22"/>
      <c r="M1130" s="22"/>
      <c r="N1130" s="22"/>
      <c r="O1130" s="22"/>
      <c r="P1130" s="22"/>
      <c r="Q1130" s="22"/>
      <c r="R1130" s="22"/>
      <c r="S1130" s="22"/>
      <c r="T1130" s="22"/>
      <c r="U1130" s="22"/>
      <c r="V1130" s="22"/>
      <c r="W1130" s="22"/>
      <c r="X1130" s="22"/>
      <c r="Y1130" s="22"/>
      <c r="Z1130" s="22"/>
      <c r="AA1130" s="22"/>
      <c r="AB1130" s="22"/>
      <c r="AC1130" s="22"/>
      <c r="AD1130" s="22"/>
      <c r="AE1130" s="22"/>
      <c r="AF1130" s="22"/>
      <c r="AG1130" s="22"/>
      <c r="AH1130" s="22"/>
      <c r="AI1130" s="22"/>
      <c r="AJ1130" s="22"/>
      <c r="AK1130" s="22"/>
      <c r="AL1130" s="22"/>
      <c r="AM1130" s="22"/>
      <c r="AN1130" s="22"/>
      <c r="AO1130" s="22"/>
      <c r="AP1130" s="22"/>
      <c r="AQ1130" s="22"/>
      <c r="AR1130" s="22"/>
      <c r="AS1130" s="22"/>
      <c r="AT1130" s="22"/>
      <c r="AU1130" s="22"/>
      <c r="AV1130" s="22"/>
      <c r="AW1130" s="22"/>
      <c r="AX1130" s="22"/>
    </row>
    <row r="1131" spans="1:50" x14ac:dyDescent="0.3">
      <c r="A1131" s="6"/>
      <c r="B1131" s="19"/>
      <c r="C1131" s="6"/>
      <c r="D1131" s="5"/>
      <c r="E1131" s="6"/>
      <c r="F1131" s="22"/>
      <c r="G1131" s="22"/>
      <c r="H1131" s="22"/>
      <c r="I1131" s="22"/>
      <c r="J1131" s="22"/>
      <c r="K1131" s="22"/>
      <c r="L1131" s="22"/>
      <c r="M1131" s="22"/>
      <c r="N1131" s="22"/>
      <c r="O1131" s="22"/>
      <c r="P1131" s="22"/>
      <c r="Q1131" s="22"/>
      <c r="R1131" s="22"/>
      <c r="S1131" s="22"/>
      <c r="T1131" s="22"/>
      <c r="U1131" s="22"/>
      <c r="V1131" s="22"/>
      <c r="W1131" s="22"/>
      <c r="X1131" s="22"/>
      <c r="Y1131" s="22"/>
      <c r="Z1131" s="22"/>
      <c r="AA1131" s="22"/>
      <c r="AB1131" s="22"/>
      <c r="AC1131" s="22"/>
      <c r="AD1131" s="22"/>
      <c r="AE1131" s="22"/>
      <c r="AF1131" s="22"/>
      <c r="AG1131" s="22"/>
      <c r="AH1131" s="22"/>
      <c r="AI1131" s="22"/>
      <c r="AJ1131" s="22"/>
      <c r="AK1131" s="22"/>
      <c r="AL1131" s="22"/>
      <c r="AM1131" s="22"/>
      <c r="AN1131" s="22"/>
      <c r="AO1131" s="22"/>
      <c r="AP1131" s="22"/>
      <c r="AQ1131" s="22"/>
      <c r="AR1131" s="22"/>
      <c r="AS1131" s="22"/>
      <c r="AT1131" s="22"/>
      <c r="AU1131" s="22"/>
      <c r="AV1131" s="22"/>
      <c r="AW1131" s="22"/>
      <c r="AX1131" s="22"/>
    </row>
    <row r="1132" spans="1:50" x14ac:dyDescent="0.3">
      <c r="A1132" s="6"/>
      <c r="B1132" s="19"/>
      <c r="C1132" s="6"/>
      <c r="D1132" s="5"/>
      <c r="E1132" s="6"/>
      <c r="F1132" s="22"/>
      <c r="G1132" s="22"/>
      <c r="H1132" s="22"/>
      <c r="I1132" s="22"/>
      <c r="J1132" s="22"/>
      <c r="K1132" s="22"/>
      <c r="L1132" s="22"/>
      <c r="M1132" s="22"/>
      <c r="N1132" s="22"/>
      <c r="O1132" s="22"/>
      <c r="P1132" s="22"/>
      <c r="Q1132" s="22"/>
      <c r="R1132" s="22"/>
      <c r="S1132" s="22"/>
      <c r="T1132" s="22"/>
      <c r="U1132" s="22"/>
      <c r="V1132" s="22"/>
      <c r="W1132" s="22"/>
      <c r="X1132" s="22"/>
      <c r="Y1132" s="22"/>
      <c r="Z1132" s="22"/>
      <c r="AA1132" s="22"/>
      <c r="AB1132" s="22"/>
      <c r="AC1132" s="22"/>
      <c r="AD1132" s="22"/>
      <c r="AE1132" s="22"/>
      <c r="AF1132" s="22"/>
      <c r="AG1132" s="22"/>
      <c r="AH1132" s="22"/>
      <c r="AI1132" s="22"/>
      <c r="AJ1132" s="22"/>
      <c r="AK1132" s="22"/>
      <c r="AL1132" s="22"/>
      <c r="AM1132" s="22"/>
      <c r="AN1132" s="22"/>
      <c r="AO1132" s="22"/>
      <c r="AP1132" s="22"/>
      <c r="AQ1132" s="22"/>
      <c r="AR1132" s="22"/>
      <c r="AS1132" s="22"/>
      <c r="AT1132" s="22"/>
      <c r="AU1132" s="22"/>
      <c r="AV1132" s="22"/>
      <c r="AW1132" s="22"/>
      <c r="AX1132" s="22"/>
    </row>
    <row r="1133" spans="1:50" x14ac:dyDescent="0.3">
      <c r="A1133" s="6"/>
      <c r="B1133" s="19"/>
      <c r="C1133" s="6"/>
      <c r="D1133" s="5"/>
      <c r="E1133" s="6"/>
      <c r="F1133" s="22"/>
      <c r="G1133" s="22"/>
      <c r="H1133" s="22"/>
      <c r="I1133" s="22"/>
      <c r="J1133" s="22"/>
      <c r="K1133" s="22"/>
      <c r="L1133" s="22"/>
      <c r="M1133" s="22"/>
      <c r="N1133" s="22"/>
      <c r="O1133" s="22"/>
      <c r="P1133" s="22"/>
      <c r="Q1133" s="22"/>
      <c r="R1133" s="22"/>
      <c r="S1133" s="22"/>
      <c r="T1133" s="22"/>
      <c r="U1133" s="22"/>
      <c r="V1133" s="22"/>
      <c r="W1133" s="22"/>
      <c r="X1133" s="22"/>
      <c r="Y1133" s="22"/>
      <c r="Z1133" s="22"/>
      <c r="AA1133" s="22"/>
      <c r="AB1133" s="22"/>
      <c r="AC1133" s="22"/>
      <c r="AD1133" s="22"/>
      <c r="AE1133" s="22"/>
      <c r="AF1133" s="22"/>
      <c r="AG1133" s="22"/>
      <c r="AH1133" s="22"/>
      <c r="AI1133" s="22"/>
      <c r="AJ1133" s="22"/>
      <c r="AK1133" s="22"/>
      <c r="AL1133" s="22"/>
      <c r="AM1133" s="22"/>
      <c r="AN1133" s="22"/>
      <c r="AO1133" s="22"/>
      <c r="AP1133" s="22"/>
      <c r="AQ1133" s="22"/>
      <c r="AR1133" s="22"/>
      <c r="AS1133" s="22"/>
      <c r="AT1133" s="22"/>
      <c r="AU1133" s="22"/>
      <c r="AV1133" s="22"/>
      <c r="AW1133" s="22"/>
      <c r="AX1133" s="22"/>
    </row>
    <row r="1134" spans="1:50" x14ac:dyDescent="0.3">
      <c r="A1134" s="6"/>
      <c r="B1134" s="19"/>
      <c r="C1134" s="6"/>
      <c r="D1134" s="5"/>
      <c r="E1134" s="6"/>
      <c r="F1134" s="22"/>
      <c r="G1134" s="22"/>
      <c r="H1134" s="22"/>
      <c r="I1134" s="22"/>
      <c r="J1134" s="22"/>
      <c r="K1134" s="22"/>
      <c r="L1134" s="22"/>
      <c r="M1134" s="22"/>
      <c r="N1134" s="22"/>
      <c r="O1134" s="22"/>
      <c r="P1134" s="22"/>
      <c r="Q1134" s="22"/>
      <c r="R1134" s="22"/>
      <c r="S1134" s="22"/>
      <c r="T1134" s="22"/>
      <c r="U1134" s="22"/>
      <c r="V1134" s="22"/>
      <c r="W1134" s="22"/>
      <c r="X1134" s="22"/>
      <c r="Y1134" s="22"/>
      <c r="Z1134" s="22"/>
      <c r="AA1134" s="22"/>
      <c r="AB1134" s="22"/>
      <c r="AC1134" s="22"/>
      <c r="AD1134" s="22"/>
      <c r="AE1134" s="22"/>
      <c r="AF1134" s="22"/>
      <c r="AG1134" s="22"/>
      <c r="AH1134" s="22"/>
      <c r="AI1134" s="22"/>
      <c r="AJ1134" s="22"/>
      <c r="AK1134" s="22"/>
      <c r="AL1134" s="22"/>
      <c r="AM1134" s="22"/>
      <c r="AN1134" s="22"/>
      <c r="AO1134" s="22"/>
      <c r="AP1134" s="22"/>
      <c r="AQ1134" s="22"/>
      <c r="AR1134" s="22"/>
      <c r="AS1134" s="22"/>
      <c r="AT1134" s="22"/>
      <c r="AU1134" s="22"/>
      <c r="AV1134" s="22"/>
      <c r="AW1134" s="22"/>
      <c r="AX1134" s="22"/>
    </row>
    <row r="1135" spans="1:50" x14ac:dyDescent="0.3">
      <c r="A1135" s="6"/>
      <c r="B1135" s="19"/>
      <c r="C1135" s="6"/>
      <c r="D1135" s="5"/>
      <c r="E1135" s="6"/>
      <c r="F1135" s="22"/>
      <c r="G1135" s="22"/>
      <c r="H1135" s="22"/>
      <c r="I1135" s="22"/>
      <c r="J1135" s="22"/>
      <c r="K1135" s="22"/>
      <c r="L1135" s="22"/>
      <c r="M1135" s="22"/>
      <c r="N1135" s="22"/>
      <c r="O1135" s="22"/>
      <c r="P1135" s="22"/>
      <c r="Q1135" s="22"/>
      <c r="R1135" s="22"/>
      <c r="S1135" s="22"/>
      <c r="T1135" s="22"/>
      <c r="U1135" s="22"/>
      <c r="V1135" s="22"/>
      <c r="W1135" s="22"/>
      <c r="X1135" s="22"/>
      <c r="Y1135" s="22"/>
      <c r="Z1135" s="22"/>
      <c r="AA1135" s="22"/>
      <c r="AB1135" s="22"/>
      <c r="AC1135" s="22"/>
      <c r="AD1135" s="22"/>
      <c r="AE1135" s="22"/>
      <c r="AF1135" s="22"/>
      <c r="AG1135" s="22"/>
      <c r="AH1135" s="22"/>
      <c r="AI1135" s="22"/>
      <c r="AJ1135" s="22"/>
      <c r="AK1135" s="22"/>
      <c r="AL1135" s="22"/>
      <c r="AM1135" s="22"/>
      <c r="AN1135" s="22"/>
      <c r="AO1135" s="22"/>
      <c r="AP1135" s="22"/>
      <c r="AQ1135" s="22"/>
      <c r="AR1135" s="22"/>
      <c r="AS1135" s="22"/>
      <c r="AT1135" s="22"/>
      <c r="AU1135" s="22"/>
      <c r="AV1135" s="22"/>
      <c r="AW1135" s="22"/>
      <c r="AX1135" s="22"/>
    </row>
    <row r="1136" spans="1:50" x14ac:dyDescent="0.3">
      <c r="A1136" s="6"/>
      <c r="B1136" s="19"/>
      <c r="C1136" s="6"/>
      <c r="D1136" s="5"/>
      <c r="E1136" s="6"/>
      <c r="F1136" s="22"/>
      <c r="G1136" s="22"/>
      <c r="H1136" s="22"/>
      <c r="I1136" s="22"/>
      <c r="J1136" s="22"/>
      <c r="K1136" s="22"/>
      <c r="L1136" s="22"/>
      <c r="M1136" s="22"/>
      <c r="N1136" s="22"/>
      <c r="O1136" s="22"/>
      <c r="P1136" s="22"/>
      <c r="Q1136" s="22"/>
      <c r="R1136" s="22"/>
      <c r="S1136" s="22"/>
      <c r="T1136" s="22"/>
      <c r="U1136" s="22"/>
      <c r="V1136" s="22"/>
      <c r="W1136" s="22"/>
      <c r="X1136" s="22"/>
      <c r="Y1136" s="22"/>
      <c r="Z1136" s="22"/>
      <c r="AA1136" s="22"/>
      <c r="AB1136" s="22"/>
      <c r="AC1136" s="22"/>
      <c r="AD1136" s="22"/>
      <c r="AE1136" s="22"/>
      <c r="AF1136" s="22"/>
      <c r="AG1136" s="22"/>
      <c r="AH1136" s="22"/>
      <c r="AI1136" s="22"/>
      <c r="AJ1136" s="22"/>
      <c r="AK1136" s="22"/>
      <c r="AL1136" s="22"/>
      <c r="AM1136" s="22"/>
      <c r="AN1136" s="22"/>
      <c r="AO1136" s="22"/>
      <c r="AP1136" s="22"/>
      <c r="AQ1136" s="22"/>
      <c r="AR1136" s="22"/>
      <c r="AS1136" s="22"/>
      <c r="AT1136" s="22"/>
      <c r="AU1136" s="22"/>
      <c r="AV1136" s="22"/>
      <c r="AW1136" s="22"/>
      <c r="AX1136" s="22"/>
    </row>
    <row r="1137" spans="1:50" x14ac:dyDescent="0.3">
      <c r="A1137" s="6"/>
      <c r="B1137" s="19"/>
      <c r="C1137" s="6"/>
      <c r="D1137" s="5"/>
      <c r="E1137" s="6"/>
      <c r="F1137" s="22"/>
      <c r="G1137" s="22"/>
      <c r="H1137" s="22"/>
      <c r="I1137" s="22"/>
      <c r="J1137" s="22"/>
      <c r="K1137" s="22"/>
      <c r="L1137" s="22"/>
      <c r="M1137" s="22"/>
      <c r="N1137" s="22"/>
      <c r="O1137" s="22"/>
      <c r="P1137" s="22"/>
      <c r="Q1137" s="22"/>
      <c r="R1137" s="22"/>
      <c r="S1137" s="22"/>
      <c r="T1137" s="22"/>
      <c r="U1137" s="22"/>
      <c r="V1137" s="22"/>
      <c r="W1137" s="22"/>
      <c r="X1137" s="22"/>
      <c r="Y1137" s="22"/>
      <c r="Z1137" s="22"/>
      <c r="AA1137" s="22"/>
      <c r="AB1137" s="22"/>
      <c r="AC1137" s="22"/>
      <c r="AD1137" s="22"/>
      <c r="AE1137" s="22"/>
      <c r="AF1137" s="22"/>
      <c r="AG1137" s="22"/>
      <c r="AH1137" s="22"/>
      <c r="AI1137" s="22"/>
      <c r="AJ1137" s="22"/>
      <c r="AK1137" s="22"/>
      <c r="AL1137" s="22"/>
      <c r="AM1137" s="22"/>
      <c r="AN1137" s="22"/>
      <c r="AO1137" s="22"/>
      <c r="AP1137" s="22"/>
      <c r="AQ1137" s="22"/>
      <c r="AR1137" s="22"/>
      <c r="AS1137" s="22"/>
      <c r="AT1137" s="22"/>
      <c r="AU1137" s="22"/>
      <c r="AV1137" s="22"/>
      <c r="AW1137" s="22"/>
      <c r="AX1137" s="22"/>
    </row>
    <row r="1138" spans="1:50" x14ac:dyDescent="0.3">
      <c r="A1138" s="6"/>
      <c r="B1138" s="19"/>
      <c r="C1138" s="6"/>
      <c r="D1138" s="5"/>
      <c r="E1138" s="6"/>
      <c r="F1138" s="22"/>
      <c r="G1138" s="22"/>
      <c r="H1138" s="22"/>
      <c r="I1138" s="22"/>
      <c r="J1138" s="22"/>
      <c r="K1138" s="22"/>
      <c r="L1138" s="22"/>
      <c r="M1138" s="22"/>
      <c r="N1138" s="22"/>
      <c r="O1138" s="22"/>
      <c r="P1138" s="22"/>
      <c r="Q1138" s="22"/>
      <c r="R1138" s="22"/>
      <c r="S1138" s="22"/>
      <c r="T1138" s="22"/>
      <c r="U1138" s="22"/>
      <c r="V1138" s="22"/>
      <c r="W1138" s="22"/>
      <c r="X1138" s="22"/>
      <c r="Y1138" s="22"/>
      <c r="Z1138" s="22"/>
      <c r="AA1138" s="22"/>
      <c r="AB1138" s="22"/>
      <c r="AC1138" s="22"/>
      <c r="AD1138" s="22"/>
      <c r="AE1138" s="22"/>
      <c r="AF1138" s="22"/>
      <c r="AG1138" s="22"/>
      <c r="AH1138" s="22"/>
      <c r="AI1138" s="22"/>
      <c r="AJ1138" s="22"/>
      <c r="AK1138" s="22"/>
      <c r="AL1138" s="22"/>
      <c r="AM1138" s="22"/>
      <c r="AN1138" s="22"/>
      <c r="AO1138" s="22"/>
      <c r="AP1138" s="22"/>
      <c r="AQ1138" s="22"/>
      <c r="AR1138" s="22"/>
      <c r="AS1138" s="22"/>
      <c r="AT1138" s="22"/>
      <c r="AU1138" s="22"/>
      <c r="AV1138" s="22"/>
      <c r="AW1138" s="22"/>
      <c r="AX1138" s="22"/>
    </row>
    <row r="1139" spans="1:50" x14ac:dyDescent="0.3">
      <c r="A1139" s="6"/>
      <c r="B1139" s="19"/>
      <c r="C1139" s="6"/>
      <c r="D1139" s="5"/>
      <c r="E1139" s="6"/>
      <c r="F1139" s="22"/>
      <c r="G1139" s="22"/>
      <c r="H1139" s="22"/>
      <c r="I1139" s="22"/>
      <c r="J1139" s="22"/>
      <c r="K1139" s="22"/>
      <c r="L1139" s="22"/>
      <c r="M1139" s="22"/>
      <c r="N1139" s="22"/>
      <c r="O1139" s="22"/>
      <c r="P1139" s="22"/>
      <c r="Q1139" s="22"/>
      <c r="R1139" s="22"/>
      <c r="S1139" s="22"/>
      <c r="T1139" s="22"/>
      <c r="U1139" s="22"/>
      <c r="V1139" s="22"/>
      <c r="W1139" s="22"/>
      <c r="X1139" s="22"/>
      <c r="Y1139" s="22"/>
      <c r="Z1139" s="22"/>
      <c r="AA1139" s="22"/>
      <c r="AB1139" s="22"/>
      <c r="AC1139" s="22"/>
      <c r="AD1139" s="22"/>
      <c r="AE1139" s="22"/>
      <c r="AF1139" s="22"/>
      <c r="AG1139" s="22"/>
      <c r="AH1139" s="22"/>
      <c r="AI1139" s="22"/>
      <c r="AJ1139" s="22"/>
      <c r="AK1139" s="22"/>
      <c r="AL1139" s="22"/>
      <c r="AM1139" s="22"/>
      <c r="AN1139" s="22"/>
      <c r="AO1139" s="22"/>
      <c r="AP1139" s="22"/>
      <c r="AQ1139" s="22"/>
      <c r="AR1139" s="22"/>
      <c r="AS1139" s="22"/>
      <c r="AT1139" s="22"/>
      <c r="AU1139" s="22"/>
      <c r="AV1139" s="22"/>
      <c r="AW1139" s="22"/>
      <c r="AX1139" s="22"/>
    </row>
    <row r="1140" spans="1:50" x14ac:dyDescent="0.3">
      <c r="A1140" s="6"/>
      <c r="B1140" s="19"/>
      <c r="C1140" s="6"/>
      <c r="D1140" s="5"/>
      <c r="E1140" s="6"/>
      <c r="F1140" s="22"/>
      <c r="G1140" s="22"/>
      <c r="H1140" s="22"/>
      <c r="I1140" s="22"/>
      <c r="J1140" s="22"/>
      <c r="K1140" s="22"/>
      <c r="L1140" s="22"/>
      <c r="M1140" s="22"/>
      <c r="N1140" s="22"/>
      <c r="O1140" s="22"/>
      <c r="P1140" s="22"/>
      <c r="Q1140" s="22"/>
      <c r="R1140" s="22"/>
      <c r="S1140" s="22"/>
      <c r="T1140" s="22"/>
      <c r="U1140" s="22"/>
      <c r="V1140" s="22"/>
      <c r="W1140" s="22"/>
      <c r="X1140" s="22"/>
      <c r="Y1140" s="22"/>
      <c r="Z1140" s="22"/>
      <c r="AA1140" s="22"/>
      <c r="AB1140" s="22"/>
      <c r="AC1140" s="22"/>
      <c r="AD1140" s="22"/>
      <c r="AE1140" s="22"/>
      <c r="AF1140" s="22"/>
      <c r="AG1140" s="22"/>
      <c r="AH1140" s="22"/>
      <c r="AI1140" s="22"/>
      <c r="AJ1140" s="22"/>
      <c r="AK1140" s="22"/>
      <c r="AL1140" s="22"/>
      <c r="AM1140" s="22"/>
      <c r="AN1140" s="22"/>
      <c r="AO1140" s="22"/>
      <c r="AP1140" s="22"/>
      <c r="AQ1140" s="22"/>
      <c r="AR1140" s="22"/>
      <c r="AS1140" s="22"/>
      <c r="AT1140" s="22"/>
      <c r="AU1140" s="22"/>
      <c r="AV1140" s="22"/>
      <c r="AW1140" s="22"/>
      <c r="AX1140" s="22"/>
    </row>
    <row r="1141" spans="1:50" x14ac:dyDescent="0.3">
      <c r="A1141" s="6"/>
      <c r="B1141" s="19"/>
      <c r="C1141" s="6"/>
      <c r="D1141" s="5"/>
      <c r="E1141" s="6"/>
      <c r="F1141" s="22"/>
      <c r="G1141" s="22"/>
      <c r="H1141" s="22"/>
      <c r="I1141" s="22"/>
      <c r="J1141" s="22"/>
      <c r="K1141" s="22"/>
      <c r="L1141" s="22"/>
      <c r="M1141" s="22"/>
      <c r="N1141" s="22"/>
      <c r="O1141" s="22"/>
      <c r="P1141" s="22"/>
      <c r="Q1141" s="22"/>
      <c r="R1141" s="22"/>
      <c r="S1141" s="22"/>
      <c r="T1141" s="22"/>
      <c r="U1141" s="22"/>
      <c r="V1141" s="22"/>
      <c r="W1141" s="22"/>
      <c r="X1141" s="22"/>
      <c r="Y1141" s="22"/>
      <c r="Z1141" s="22"/>
      <c r="AA1141" s="22"/>
      <c r="AB1141" s="22"/>
      <c r="AC1141" s="22"/>
      <c r="AD1141" s="22"/>
      <c r="AE1141" s="22"/>
      <c r="AF1141" s="22"/>
      <c r="AG1141" s="22"/>
      <c r="AH1141" s="22"/>
      <c r="AI1141" s="22"/>
      <c r="AJ1141" s="22"/>
      <c r="AK1141" s="22"/>
      <c r="AL1141" s="22"/>
      <c r="AM1141" s="22"/>
      <c r="AN1141" s="22"/>
      <c r="AO1141" s="22"/>
      <c r="AP1141" s="22"/>
      <c r="AQ1141" s="22"/>
      <c r="AR1141" s="22"/>
      <c r="AS1141" s="22"/>
      <c r="AT1141" s="22"/>
      <c r="AU1141" s="22"/>
      <c r="AV1141" s="22"/>
      <c r="AW1141" s="22"/>
      <c r="AX1141" s="22"/>
    </row>
    <row r="1142" spans="1:50" x14ac:dyDescent="0.3">
      <c r="A1142" s="6"/>
      <c r="B1142" s="19"/>
      <c r="C1142" s="6"/>
      <c r="D1142" s="5"/>
      <c r="E1142" s="6"/>
      <c r="F1142" s="22"/>
      <c r="G1142" s="22"/>
      <c r="H1142" s="22"/>
      <c r="I1142" s="22"/>
      <c r="J1142" s="22"/>
      <c r="K1142" s="22"/>
      <c r="L1142" s="22"/>
      <c r="M1142" s="22"/>
      <c r="N1142" s="22"/>
      <c r="O1142" s="22"/>
      <c r="P1142" s="22"/>
      <c r="Q1142" s="22"/>
      <c r="R1142" s="22"/>
      <c r="S1142" s="22"/>
      <c r="T1142" s="22"/>
      <c r="U1142" s="22"/>
      <c r="V1142" s="22"/>
      <c r="W1142" s="22"/>
      <c r="X1142" s="22"/>
      <c r="Y1142" s="22"/>
      <c r="Z1142" s="22"/>
      <c r="AA1142" s="22"/>
      <c r="AB1142" s="22"/>
      <c r="AC1142" s="22"/>
      <c r="AD1142" s="22"/>
      <c r="AE1142" s="22"/>
      <c r="AF1142" s="22"/>
      <c r="AG1142" s="22"/>
      <c r="AH1142" s="22"/>
      <c r="AI1142" s="22"/>
      <c r="AJ1142" s="22"/>
      <c r="AK1142" s="22"/>
      <c r="AL1142" s="22"/>
      <c r="AM1142" s="22"/>
      <c r="AN1142" s="22"/>
      <c r="AO1142" s="22"/>
      <c r="AP1142" s="22"/>
      <c r="AQ1142" s="22"/>
      <c r="AR1142" s="22"/>
      <c r="AS1142" s="22"/>
      <c r="AT1142" s="22"/>
      <c r="AU1142" s="22"/>
      <c r="AV1142" s="22"/>
      <c r="AW1142" s="22"/>
      <c r="AX1142" s="22"/>
    </row>
  </sheetData>
  <sheetProtection selectLockedCells="1" sort="0" autoFilter="0"/>
  <autoFilter ref="A4:AL443">
    <filterColumn colId="2">
      <filters blank="1">
        <filter val="ACTIVE"/>
        <filter val="DevBay"/>
        <filter val="Gradbay"/>
      </filters>
    </filterColumn>
    <filterColumn colId="6">
      <filters>
        <filter val="Complete"/>
      </filters>
    </filterColumn>
    <sortState ref="A5:AL443">
      <sortCondition ref="D4:D443"/>
    </sortState>
  </autoFilter>
  <sortState ref="A4:Z206">
    <sortCondition ref="D4:D206"/>
  </sortState>
  <customSheetViews>
    <customSheetView guid="{3B73CFE8-02C9-4B1B-B71A-B4D8AE9078B4}" scale="80" filter="1" showAutoFilter="1" hiddenRows="1" hiddenColumns="1">
      <pane xSplit="20" ySplit="6" topLeftCell="V8" activePane="bottomRight" state="frozen"/>
      <selection pane="bottomRight" activeCell="I24" sqref="A1:KQ1355"/>
      <pageMargins left="0.75" right="0.75" top="1" bottom="1" header="0.5" footer="0.5"/>
      <pageSetup paperSize="9" orientation="portrait" r:id="rId1"/>
      <headerFooter alignWithMargins="0"/>
      <autoFilter ref="G6:AR656">
        <filterColumn colId="2">
          <filters blank="1">
            <filter val="Coach/Mentor"/>
            <filter val="Customer Relations Managers"/>
            <filter val="Customer Service Admin"/>
            <filter val="Customer Support Team"/>
            <filter val="Grad Bay"/>
            <filter val="JLTS Computing"/>
            <filter val="JLTS Large Electrical"/>
            <filter val="JLTS Other"/>
            <filter val="JLTS TV and Peripheral"/>
            <filter val="John Lewis Software Support"/>
            <filter val="Maternity/Long Term Sick"/>
            <filter val="Special"/>
            <filter val="Third Party"/>
          </filters>
        </filterColumn>
        <sortState ref="G10:AR629">
          <sortCondition descending="1" ref="J6:J629"/>
        </sortState>
      </autoFilter>
    </customSheetView>
    <customSheetView guid="{94B0FACD-28D8-47B1-8F1A-14334D8ADB34}" scale="96" filter="1" showAutoFilter="1" hiddenColumns="1">
      <pane xSplit="10" ySplit="15" topLeftCell="K244" activePane="bottomRight" state="frozen"/>
      <selection pane="bottomRight" activeCell="AC1" sqref="AC1"/>
      <pageMargins left="0.75" right="0.75" top="1" bottom="1" header="0.5" footer="0.5"/>
      <pageSetup paperSize="9" orientation="portrait" verticalDpi="0" r:id="rId2"/>
      <headerFooter alignWithMargins="0"/>
      <autoFilter ref="G3:AV319">
        <filterColumn colId="2">
          <filters>
            <filter val="Coach/Mentor"/>
            <filter val="Customer Relations Managers"/>
            <filter val="Customer Service Admin"/>
            <filter val="Customer Support Team"/>
            <filter val="Development Team"/>
            <filter val="Grad Bay"/>
            <filter val="JLTS Computing"/>
            <filter val="JLTS Large Electrical"/>
            <filter val="JLTS TV and Peripheral"/>
            <filter val="John Lewis Software Support"/>
            <filter val="Manager"/>
            <filter val="Special"/>
            <filter val="Third Party"/>
            <filter val="Upskill"/>
          </filters>
        </filterColumn>
        <filterColumn colId="23">
          <filters blank="1"/>
        </filterColumn>
      </autoFilter>
    </customSheetView>
  </customSheetViews>
  <mergeCells count="5">
    <mergeCell ref="D3:E3"/>
    <mergeCell ref="A3:C3"/>
    <mergeCell ref="D1:E1"/>
    <mergeCell ref="D2:E2"/>
    <mergeCell ref="A2:C2"/>
  </mergeCells>
  <phoneticPr fontId="6" type="noConversion"/>
  <conditionalFormatting sqref="F3:AX3">
    <cfRule type="dataBar" priority="59">
      <dataBar>
        <cfvo type="min"/>
        <cfvo type="max"/>
        <color rgb="FF78FA84"/>
      </dataBar>
      <extLst>
        <ext xmlns:x14="http://schemas.microsoft.com/office/spreadsheetml/2009/9/main" uri="{B025F937-C7B1-47D3-B67F-A62EFF666E3E}">
          <x14:id>{9FACD00A-2231-4AD3-A990-FEB323C7DD5F}</x14:id>
        </ext>
      </extLst>
    </cfRule>
  </conditionalFormatting>
  <conditionalFormatting sqref="F292:F303 F275:F282 F331:AI799 I316:AI330 F46:G47 F225:G274 F304:AX313 F314:G315 I314:AX315 F5:AX29 H30:AX47 H314:H330 G275:G289 H300:AX303 G300:G302 H225:AX289 G290:AX299 F48:AX224">
    <cfRule type="cellIs" dxfId="36" priority="49" operator="equal">
      <formula>"OFF"</formula>
    </cfRule>
    <cfRule type="cellIs" dxfId="35" priority="50" operator="equal">
      <formula>"Incomplete"</formula>
    </cfRule>
    <cfRule type="cellIs" dxfId="34" priority="51" operator="equal">
      <formula>"Complete"</formula>
    </cfRule>
  </conditionalFormatting>
  <conditionalFormatting sqref="B290:B291 C291:D291 B284:C289 B45 B46:E282 B5:E29 B292:E341">
    <cfRule type="cellIs" dxfId="33" priority="47" operator="equal">
      <formula>"?QUERY?"</formula>
    </cfRule>
  </conditionalFormatting>
  <conditionalFormatting sqref="F283 F286:F287 F289">
    <cfRule type="cellIs" dxfId="32" priority="44" operator="equal">
      <formula>"OFF"</formula>
    </cfRule>
    <cfRule type="cellIs" dxfId="31" priority="45" operator="equal">
      <formula>"Incomplete"</formula>
    </cfRule>
    <cfRule type="cellIs" dxfId="30" priority="46" operator="equal">
      <formula>"Complete"</formula>
    </cfRule>
  </conditionalFormatting>
  <conditionalFormatting sqref="B283:E283 D284:D289">
    <cfRule type="cellIs" dxfId="29" priority="43" operator="equal">
      <formula>"?QUERY?"</formula>
    </cfRule>
  </conditionalFormatting>
  <conditionalFormatting sqref="E284:E289">
    <cfRule type="cellIs" dxfId="28" priority="41" operator="equal">
      <formula>"?QUERY?"</formula>
    </cfRule>
  </conditionalFormatting>
  <conditionalFormatting sqref="F284:F285">
    <cfRule type="cellIs" dxfId="27" priority="38" operator="equal">
      <formula>"OFF"</formula>
    </cfRule>
    <cfRule type="cellIs" dxfId="26" priority="39" operator="equal">
      <formula>"Incomplete"</formula>
    </cfRule>
    <cfRule type="cellIs" dxfId="25" priority="40" operator="equal">
      <formula>"Complete"</formula>
    </cfRule>
  </conditionalFormatting>
  <conditionalFormatting sqref="F288">
    <cfRule type="cellIs" dxfId="24" priority="32" operator="equal">
      <formula>"OFF"</formula>
    </cfRule>
    <cfRule type="cellIs" dxfId="23" priority="33" operator="equal">
      <formula>"Incomplete"</formula>
    </cfRule>
    <cfRule type="cellIs" dxfId="22" priority="34" operator="equal">
      <formula>"Complete"</formula>
    </cfRule>
  </conditionalFormatting>
  <conditionalFormatting sqref="F290:F291">
    <cfRule type="cellIs" dxfId="21" priority="29" operator="equal">
      <formula>"OFF"</formula>
    </cfRule>
    <cfRule type="cellIs" dxfId="20" priority="30" operator="equal">
      <formula>"Incomplete"</formula>
    </cfRule>
    <cfRule type="cellIs" dxfId="19" priority="31" operator="equal">
      <formula>"Complete"</formula>
    </cfRule>
  </conditionalFormatting>
  <conditionalFormatting sqref="D290">
    <cfRule type="cellIs" dxfId="18" priority="28" operator="equal">
      <formula>"?QUERY?"</formula>
    </cfRule>
  </conditionalFormatting>
  <conditionalFormatting sqref="C290">
    <cfRule type="cellIs" dxfId="17" priority="27" operator="equal">
      <formula>"?QUERY?"</formula>
    </cfRule>
  </conditionalFormatting>
  <conditionalFormatting sqref="E290:E291">
    <cfRule type="cellIs" dxfId="16" priority="26" operator="equal">
      <formula>"?QUERY?"</formula>
    </cfRule>
  </conditionalFormatting>
  <conditionalFormatting sqref="G303">
    <cfRule type="cellIs" dxfId="15" priority="14" operator="equal">
      <formula>"OFF"</formula>
    </cfRule>
    <cfRule type="cellIs" dxfId="14" priority="15" operator="equal">
      <formula>"Incomplete"</formula>
    </cfRule>
    <cfRule type="cellIs" dxfId="13" priority="16" operator="equal">
      <formula>"Complete"</formula>
    </cfRule>
  </conditionalFormatting>
  <conditionalFormatting sqref="F30:G30">
    <cfRule type="cellIs" dxfId="12" priority="11" operator="equal">
      <formula>"OFF"</formula>
    </cfRule>
    <cfRule type="cellIs" dxfId="11" priority="12" operator="equal">
      <formula>"Incomplete"</formula>
    </cfRule>
    <cfRule type="cellIs" dxfId="10" priority="13" operator="equal">
      <formula>"Complete"</formula>
    </cfRule>
  </conditionalFormatting>
  <conditionalFormatting sqref="B30:E31 B32:D32 B33:B44">
    <cfRule type="cellIs" dxfId="9" priority="10" operator="equal">
      <formula>"?QUERY?"</formula>
    </cfRule>
  </conditionalFormatting>
  <conditionalFormatting sqref="E32:E45">
    <cfRule type="cellIs" dxfId="8" priority="9" operator="equal">
      <formula>"?QUERY?"</formula>
    </cfRule>
  </conditionalFormatting>
  <conditionalFormatting sqref="D33:D45">
    <cfRule type="cellIs" dxfId="7" priority="8" operator="equal">
      <formula>"?QUERY?"</formula>
    </cfRule>
  </conditionalFormatting>
  <conditionalFormatting sqref="F31:G45">
    <cfRule type="cellIs" dxfId="6" priority="5" operator="equal">
      <formula>"OFF"</formula>
    </cfRule>
    <cfRule type="cellIs" dxfId="5" priority="6" operator="equal">
      <formula>"Incomplete"</formula>
    </cfRule>
    <cfRule type="cellIs" dxfId="4" priority="7" operator="equal">
      <formula>"Complete"</formula>
    </cfRule>
  </conditionalFormatting>
  <conditionalFormatting sqref="C33:C45">
    <cfRule type="cellIs" dxfId="3" priority="4" operator="equal">
      <formula>"?QUERY?"</formula>
    </cfRule>
  </conditionalFormatting>
  <conditionalFormatting sqref="F316:G330">
    <cfRule type="cellIs" dxfId="2" priority="1" operator="equal">
      <formula>"OFF"</formula>
    </cfRule>
    <cfRule type="cellIs" dxfId="1" priority="2" operator="equal">
      <formula>"Incomplete"</formula>
    </cfRule>
    <cfRule type="cellIs" dxfId="0" priority="3" operator="equal">
      <formula>"Complete"</formula>
    </cfRule>
  </conditionalFormatting>
  <dataValidations xWindow="473" yWindow="687" count="4">
    <dataValidation type="list" allowBlank="1" showInputMessage="1" showErrorMessage="1" sqref="E342:E364">
      <formula1>"Yes, No"</formula1>
    </dataValidation>
    <dataValidation type="list" allowBlank="1" showErrorMessage="1" promptTitle="Completed Date " prompt="Please can you chooe option " sqref="F443:L443 F5:AX442">
      <formula1>"OFF,Incomplete, Not Required, Retracted, Complete, LTS, Maternity, not live, Holiday 2wk, "</formula1>
    </dataValidation>
    <dataValidation type="list" allowBlank="1" showInputMessage="1" showErrorMessage="1" sqref="D443 D342:D429">
      <formula1>#REF!</formula1>
    </dataValidation>
    <dataValidation type="list" allowBlank="1" showInputMessage="1" showErrorMessage="1" prompt="Please Change an Agents team if they move from your team" sqref="C444:C507">
      <formula1>#REF!</formula1>
    </dataValidation>
  </dataValidations>
  <pageMargins left="0.75" right="0.75" top="1" bottom="1" header="0.5" footer="0.5"/>
  <pageSetup paperSize="9" orientation="portrait" r:id="rId3"/>
  <headerFooter alignWithMargins="0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FACD00A-2231-4AD3-A990-FEB323C7DD5F}">
            <x14:dataBar minLength="0" maxLength="100" border="1" gradient="0">
              <x14:cfvo type="autoMin"/>
              <x14:cfvo type="autoMax"/>
              <x14:borderColor rgb="FF00863D"/>
              <x14:negativeFillColor rgb="FFFF0000"/>
              <x14:axisColor rgb="FF000000"/>
            </x14:dataBar>
          </x14:cfRule>
          <xm:sqref>F3:AX3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Completion Stat</vt:lpstr>
      <vt:lpstr>Agent Details</vt:lpstr>
      <vt:lpstr>Red</vt:lpstr>
    </vt:vector>
  </TitlesOfParts>
  <Company>Sitel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 Hanchet</dc:creator>
  <cp:lastModifiedBy>Ilian Kukov</cp:lastModifiedBy>
  <cp:lastPrinted>2015-05-11T14:25:58Z</cp:lastPrinted>
  <dcterms:created xsi:type="dcterms:W3CDTF">2012-05-15T12:29:10Z</dcterms:created>
  <dcterms:modified xsi:type="dcterms:W3CDTF">2018-04-09T14:09:44Z</dcterms:modified>
</cp:coreProperties>
</file>