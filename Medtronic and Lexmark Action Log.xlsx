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autoCompressPictures="0" defaultThemeVersion="124226"/>
  <mc:AlternateContent xmlns:mc="http://schemas.openxmlformats.org/markup-compatibility/2006">
    <mc:Choice Requires="x15">
      <x15ac:absPath xmlns:x15ac="http://schemas.microsoft.com/office/spreadsheetml/2010/11/ac" url="\\10.17.25.15\Administrative$\Reporting\Data_Reporting\Private\"/>
    </mc:Choice>
  </mc:AlternateContent>
  <xr:revisionPtr revIDLastSave="0" documentId="13_ncr:1_{D1FD36D1-E586-4013-8B07-835713795518}" xr6:coauthVersionLast="47" xr6:coauthVersionMax="47" xr10:uidLastSave="{00000000-0000-0000-0000-000000000000}"/>
  <bookViews>
    <workbookView xWindow="-120" yWindow="-120" windowWidth="29040" windowHeight="15840" xr2:uid="{00000000-000D-0000-FFFF-FFFF00000000}"/>
  </bookViews>
  <sheets>
    <sheet name="Action Log" sheetId="17" r:id="rId1"/>
    <sheet name="Report Creation" sheetId="21" state="hidden" r:id="rId2"/>
    <sheet name="Monthly" sheetId="23" state="hidden" r:id="rId3"/>
    <sheet name="Sheet2" sheetId="20" state="hidden" r:id="rId4"/>
    <sheet name="System" sheetId="18" state="hidden" r:id="rId5"/>
  </sheets>
  <definedNames>
    <definedName name="_xlnm._FilterDatabase" localSheetId="0" hidden="1">'Action Log'!#REF!</definedName>
    <definedName name="_xlnm._FilterDatabase" localSheetId="2" hidden="1">Monthly!#REF!</definedName>
    <definedName name="_xlnm.Print_Titles" localSheetId="0">'Action Log'!$10:$10</definedName>
    <definedName name="_xlnm.Print_Titles" localSheetId="2">Monthly!$10:$10</definedName>
    <definedName name="Priority" localSheetId="2">Table3[[#All],[Priority]]</definedName>
    <definedName name="Priority">Table3[[#All],[Priority]]</definedName>
    <definedName name="Status" localSheetId="2">Table2[[#All],[Status]]</definedName>
    <definedName name="Status">Table2[[#All],[Status]]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21" l="1"/>
  <c r="B12" i="21" s="1"/>
  <c r="B13" i="21" s="1"/>
  <c r="B12" i="17" l="1"/>
  <c r="B13" i="17" s="1"/>
  <c r="B14" i="17" s="1"/>
  <c r="B15" i="17" s="1"/>
  <c r="B16" i="17" s="1"/>
  <c r="B17" i="17" s="1"/>
  <c r="B18" i="17" s="1"/>
  <c r="B19" i="17" s="1"/>
  <c r="B20" i="17" s="1"/>
  <c r="B21" i="17" s="1"/>
  <c r="B22" i="17" s="1"/>
  <c r="B23" i="17" s="1"/>
  <c r="B24" i="17" s="1"/>
  <c r="F7" i="23" l="1"/>
  <c r="E7" i="23"/>
  <c r="D7" i="23"/>
  <c r="N6" i="23"/>
  <c r="F6" i="23"/>
  <c r="E6" i="23"/>
  <c r="D6" i="23"/>
  <c r="F5" i="23"/>
  <c r="E5" i="23"/>
  <c r="D5" i="23"/>
  <c r="F4" i="23"/>
  <c r="E4" i="23"/>
  <c r="D4" i="23"/>
  <c r="F7" i="21" l="1"/>
  <c r="E7" i="21"/>
  <c r="D7" i="21"/>
  <c r="N6" i="21"/>
  <c r="F6" i="21"/>
  <c r="E6" i="21"/>
  <c r="D6" i="21"/>
  <c r="F5" i="21"/>
  <c r="E5" i="21"/>
  <c r="D5" i="21"/>
  <c r="F4" i="21"/>
  <c r="E4" i="21"/>
  <c r="D4" i="21"/>
  <c r="F7" i="17" l="1"/>
  <c r="E7" i="17"/>
  <c r="D7" i="17"/>
  <c r="F6" i="17"/>
  <c r="E6" i="17"/>
  <c r="D6" i="17"/>
  <c r="F5" i="17" l="1"/>
  <c r="E5" i="17"/>
  <c r="D5" i="17"/>
  <c r="D4" i="17"/>
  <c r="E4" i="17"/>
  <c r="F4" i="17"/>
  <c r="N6" i="17" l="1"/>
  <c r="B25" i="17"/>
  <c r="B26" i="17" s="1"/>
  <c r="B27" i="17" s="1"/>
  <c r="B28" i="17" s="1"/>
  <c r="B29" i="17" s="1"/>
  <c r="B30" i="17" s="1"/>
  <c r="B31" i="17" s="1"/>
  <c r="B32" i="17" s="1"/>
  <c r="B33" i="17" s="1"/>
  <c r="B34" i="17" l="1"/>
  <c r="B35" i="17" s="1"/>
  <c r="B36" i="17" s="1"/>
  <c r="B37" i="17" s="1"/>
  <c r="B38" i="17" s="1"/>
  <c r="B39" i="17" s="1"/>
  <c r="B40" i="17" s="1"/>
  <c r="B41" i="17" s="1"/>
  <c r="B42" i="17" s="1"/>
  <c r="B43" i="17" s="1"/>
  <c r="B44" i="17" s="1"/>
  <c r="B45" i="17" l="1"/>
  <c r="B46" i="17" s="1"/>
  <c r="B47" i="17" s="1"/>
  <c r="B48" i="17" s="1"/>
  <c r="B49" i="17" s="1"/>
  <c r="B50" i="17" s="1"/>
  <c r="B51" i="17" l="1"/>
  <c r="B52" i="17" s="1"/>
  <c r="B53" i="17" l="1"/>
  <c r="B54" i="17" l="1"/>
  <c r="B55" i="17" s="1"/>
</calcChain>
</file>

<file path=xl/sharedStrings.xml><?xml version="1.0" encoding="utf-8"?>
<sst xmlns="http://schemas.openxmlformats.org/spreadsheetml/2006/main" count="548" uniqueCount="173">
  <si>
    <t>Open Items</t>
  </si>
  <si>
    <t>R</t>
  </si>
  <si>
    <t>A</t>
  </si>
  <si>
    <t>G</t>
  </si>
  <si>
    <t>Open</t>
  </si>
  <si>
    <t>Closed</t>
  </si>
  <si>
    <t>Cancelled</t>
  </si>
  <si>
    <t>Pending</t>
  </si>
  <si>
    <t>ID</t>
  </si>
  <si>
    <t>Date Raised</t>
  </si>
  <si>
    <t>Owner</t>
  </si>
  <si>
    <t>Site</t>
  </si>
  <si>
    <t>Campaign</t>
  </si>
  <si>
    <t>Item Title</t>
  </si>
  <si>
    <t>Comments</t>
  </si>
  <si>
    <t>Action step with</t>
  </si>
  <si>
    <t>Requestor</t>
  </si>
  <si>
    <t>Target Completion date</t>
  </si>
  <si>
    <t>Priority</t>
  </si>
  <si>
    <t>RAG Status</t>
  </si>
  <si>
    <t>Task Status</t>
  </si>
  <si>
    <t>NR</t>
  </si>
  <si>
    <t>Varna</t>
  </si>
  <si>
    <t>Medtronic</t>
  </si>
  <si>
    <t>Power BI Dashboard</t>
  </si>
  <si>
    <t>Create Medtronic Dashboard. Awaiting the DL from Sergey to grant access to it.</t>
  </si>
  <si>
    <t>Georgi Tsatsev</t>
  </si>
  <si>
    <t>CMSR</t>
  </si>
  <si>
    <t>VA</t>
  </si>
  <si>
    <t>Icoach</t>
  </si>
  <si>
    <t>Quality Data incorporation into PBI</t>
  </si>
  <si>
    <t>Review the Form presented and had a call with Alex G. on specifics they want to review. Initial data added. Meeting with Alex and MDT team next week in the office so we can furter discuss and finalize the Quality.</t>
  </si>
  <si>
    <t>Alexandra Gorbunenko</t>
  </si>
  <si>
    <t>Telephony data incorporation into PBI</t>
  </si>
  <si>
    <t>Data has been incorportated by MS. All good</t>
  </si>
  <si>
    <t>Telephony data mapping</t>
  </si>
  <si>
    <t>SK</t>
  </si>
  <si>
    <t>Forecast data incorporation into PBI</t>
  </si>
  <si>
    <t>CSAT data incorporation into PBI</t>
  </si>
  <si>
    <t>NPS data to be added to PBI</t>
  </si>
  <si>
    <t>Sergey Kamenov</t>
  </si>
  <si>
    <t>Agent Level view in PBI</t>
  </si>
  <si>
    <t>In progress, finilizing the views. Review with OPS when complete</t>
  </si>
  <si>
    <t>Training compliance</t>
  </si>
  <si>
    <t>WBR/MBR/QBR</t>
  </si>
  <si>
    <t>Quality PO integration into Quality data</t>
  </si>
  <si>
    <t>Belgrade</t>
  </si>
  <si>
    <t>DE</t>
  </si>
  <si>
    <t>Billable Hours</t>
  </si>
  <si>
    <t>Weekly report to check for data discrepancies with billing data. Fully automated</t>
  </si>
  <si>
    <t>Herbert, Andre &lt;Andre.Herbert@tui.de&gt;</t>
  </si>
  <si>
    <t>Larnaca</t>
  </si>
  <si>
    <t>NOR</t>
  </si>
  <si>
    <t>Weekly Performance Report</t>
  </si>
  <si>
    <t>New report to represent agents data and weekly results</t>
  </si>
  <si>
    <t>Ricardo Garcia &lt;Ricardo.Garcia2@foundever.com&gt;</t>
  </si>
  <si>
    <t>UK</t>
  </si>
  <si>
    <t>CSAT Report</t>
  </si>
  <si>
    <t>Create a new dashboard specifically for CSAT</t>
  </si>
  <si>
    <t>Aslihan Hasan &lt;Aslihan.Hasan@foundever.com&gt; ; Estel Dimova &lt;Estel.Dimova@foundever.com&gt;</t>
  </si>
  <si>
    <t>SP</t>
  </si>
  <si>
    <t>Plymouth</t>
  </si>
  <si>
    <t>JL</t>
  </si>
  <si>
    <t>Sitel Plymouth Site Tracker 2022</t>
  </si>
  <si>
    <t>Done for July</t>
  </si>
  <si>
    <t>SP, NR</t>
  </si>
  <si>
    <t>Rowan Marshall</t>
  </si>
  <si>
    <t>Exeter</t>
  </si>
  <si>
    <t>SIOX Forecast</t>
  </si>
  <si>
    <t>Sitel Exeter Site Tracker 2022</t>
  </si>
  <si>
    <t>Regular report</t>
  </si>
  <si>
    <t>Done in August</t>
  </si>
  <si>
    <t>Done in September</t>
  </si>
  <si>
    <t>Status</t>
  </si>
  <si>
    <t>Comment</t>
  </si>
  <si>
    <t>RAG</t>
  </si>
  <si>
    <t>High</t>
  </si>
  <si>
    <t>Overdue</t>
  </si>
  <si>
    <t>In Queue</t>
  </si>
  <si>
    <t>Medium</t>
  </si>
  <si>
    <t>At Risk</t>
  </si>
  <si>
    <t>Low</t>
  </si>
  <si>
    <t>On Target</t>
  </si>
  <si>
    <t>Varna Teams mapping completed by Sergey. Once UK support has been shut down, remapping will be done for all other supported splits. Meeting on 04-04-2024 to start mapping correctly</t>
  </si>
  <si>
    <t>Forecast data incorporated in PBI by MS. Due to missing CT for all countries (except Sofia). Don't have it for all counties - Sergey will upload for Germany Today (15/03/2024). Forecast are being uploaded on 12/04/2024. Due to multiple Skills with one CT, working on proper distibution by 19/04/2024.</t>
  </si>
  <si>
    <t>SK/VA</t>
  </si>
  <si>
    <t>CMSR setup automation. On hold for now. Awaiting detais from Valentin. Account Manager has decided to take it over.</t>
  </si>
  <si>
    <t>iCoach setup was completed by ST. 100% Automated. Next step is to aligned with OPS if that is all they need. Nothing else needed from OPS during our call on 2024-05-29</t>
  </si>
  <si>
    <t xml:space="preserve"> Ops will sit down and prepare requirements of the report, then send template my way. No response from Management as of 02-04-2024. Reminder during one on one with Valio was done on 01-04-2024. Already set up the QBR template. WBR and MBR templates provided by OPS. Working on them.</t>
  </si>
  <si>
    <t>Shrinkage &amp; Adherence</t>
  </si>
  <si>
    <t>Sofia</t>
  </si>
  <si>
    <t>Intra-Day PBI Dashboard</t>
  </si>
  <si>
    <t>OPS</t>
  </si>
  <si>
    <t xml:space="preserve">Mohamed Albadersarsri </t>
  </si>
  <si>
    <t>Escalation from Client for Intra-Day report. PBI Dashboard has been created. Mock up meeting with FE OPS and AMs on 07/06/2024 to review and do any last touches. If no issues - expected release of the report is 10/07/2024.</t>
  </si>
  <si>
    <t>Can we format agent level data in more readable format? (AUX usage)</t>
  </si>
  <si>
    <t>TBD</t>
  </si>
  <si>
    <t>Usage Report for MDT dashboard</t>
  </si>
  <si>
    <t>Sergo needed usage report for MDT dasboard</t>
  </si>
  <si>
    <t>Repeat calls add to PBI</t>
  </si>
  <si>
    <t>In Time Format</t>
  </si>
  <si>
    <t>Measure ASA on agent level</t>
  </si>
  <si>
    <t>Awaiting feedback from OPS - as ASA cannot be measured on agent level - sujested to add Answer Ring Time (2024-06-21). Agreed to use Answer Ring Time</t>
  </si>
  <si>
    <t xml:space="preserve">IEX Data incorporation in our Server with one week data for first touch PBI Dash.  Contacted WFM and OPS for additional clarifications on KPI definition - Awaiting Feedback (2024-06-27). IEX Data mapping not possible due to incorrect IEX_Agent_ID or HR_ID not reflect Boost ID. Send a mail to OPS to talk to WFM and either correct that or will not include Agent details (2024-07-04). First steps in PBI created. With more feedback will complete the dashboard </t>
  </si>
  <si>
    <t>Login Logout add to PBI</t>
  </si>
  <si>
    <t>Piotr requested the Login / Logout report only with actual data in it to be created so that the TLs can see what their Agents are doing</t>
  </si>
  <si>
    <t>Piotr T.</t>
  </si>
  <si>
    <t>No access to the client tool. Contacted the ppl (02-04-2024) with access to arange a meeting to understand  what data is needed and how to link it to our people. Awaiting feedback from TLs in order to understand the neededs and data behind it. No action since April 2024. As it is not a topic to incorporate as they receive daily mails on this and they manage as is, canceling the request.</t>
  </si>
  <si>
    <t>iCoach</t>
  </si>
  <si>
    <t xml:space="preserve">Maria Topalova </t>
  </si>
  <si>
    <t>MT</t>
  </si>
  <si>
    <t xml:space="preserve">Valentin Antonov </t>
  </si>
  <si>
    <t>SFTP Data transfer</t>
  </si>
  <si>
    <t>Can we review SAP data and our possibilities to analyzed/link it to agents? To get only repeat caller per day for Germany. Ready to build - awaiting final configurations from Sergey, what they want to see as no way to catch ANI as they go to generic number. Currently on hold as process is still no clear on requirements from client. Cancelled - client will get access directly without any assistance on Reporting side. Sergo confirmed during a call</t>
  </si>
  <si>
    <t>No access to the client tool. Maria Topalova sent first reprt samples for review by Reporting team.MCM And Roster have been implemented. PO data import in progress</t>
  </si>
  <si>
    <t>Training compliance to be added in PBI. FE OPS are currently negotiating for one file to be sent on weekly basis (currently there are multiple files with different kind of data inside (missing columns and due dates). Once file is available, I'll start the implementation. I asked to be included in the conversation/comms so that I can support the team if I see something missing. Team does not have the unified report - still in discussion with Client (2024-05-31)). On hold due low interest from OPS and I was asked to leave for now</t>
  </si>
  <si>
    <t>Lexmark</t>
  </si>
  <si>
    <t>Skill Remapping</t>
  </si>
  <si>
    <t>Support for EMEA Genesys implementation for Rafael De La Chica &lt;rafael.delachica@foundever.com&gt;</t>
  </si>
  <si>
    <t>Mary Jane Suratos &lt;MaryJane.Suratos@foundever.com&gt;</t>
  </si>
  <si>
    <t>Olga Gagauz &lt;Olga.Gagauz@foundever.com&gt;</t>
  </si>
  <si>
    <t>Provide Skill information and mapping as well as raw data</t>
  </si>
  <si>
    <t>MJ</t>
  </si>
  <si>
    <t>Manual review and remapping of all ~800 skills for client. List of skills created. Review with managers of all sites. Manila site left to finish and send list to AM &amp; CI.</t>
  </si>
  <si>
    <t>Multiple</t>
  </si>
  <si>
    <t xml:space="preserve">Lexmark CSAT IVR automation process </t>
  </si>
  <si>
    <t>I was able to grant Vitor access to our Server, so he can use the same user and password as Abbott
user “csat_batch” that gives him access to DB “CS_Lexmark” schema “stg”. Table “survey_CTI_temp”</t>
  </si>
  <si>
    <t>VS</t>
  </si>
  <si>
    <t>Nikolay Raykov</t>
  </si>
  <si>
    <t>Medtronic IT Team</t>
  </si>
  <si>
    <t>Call Recording data implementation in PBI</t>
  </si>
  <si>
    <t>Transfer Call Data on daily basis to MDT SFTP. File created and approved by client. Currently in testing stage. Once testing complete I will set up the automation of the transfer and create a guide. Waiting on IT to whiteflag the IP for production SFTP and will be done</t>
  </si>
  <si>
    <t>OLD Monthly reporting tool - excel</t>
  </si>
  <si>
    <t>OG</t>
  </si>
  <si>
    <t>Olga asked me to send old Reporting template and after review I saw a lot if info missing as well as calls. I'll need to redo the whole template and create a clear instruction that will not make issues. For that I sent mail for alignment and meeting to discuss new points</t>
  </si>
  <si>
    <t>NICE Quality</t>
  </si>
  <si>
    <t>MJS</t>
  </si>
  <si>
    <t>Forecast data</t>
  </si>
  <si>
    <t>Create PBI</t>
  </si>
  <si>
    <t>Attrition Report</t>
  </si>
  <si>
    <t>Absenteeism Report</t>
  </si>
  <si>
    <t>Sergo asked to get the call recordings in PBI Dashboard. He is wokring with Stuart to get specific VDNs for recording. Once done I'll start developing. Decided to go with COR BO report. Closing request</t>
  </si>
  <si>
    <t>Genesys - Telephony implementation</t>
  </si>
  <si>
    <t>Genesys - Telephony</t>
  </si>
  <si>
    <t>Genesys - IVR CSAT</t>
  </si>
  <si>
    <t>Agent Tenure - All sites</t>
  </si>
  <si>
    <t>Bonus Scheme</t>
  </si>
  <si>
    <t>Create Bonus Scheme based on requirement in mail: Medtronic Dev Request</t>
  </si>
  <si>
    <t>Sergey Kamenov &lt;Sergey.Kamenov@foundever.com&gt;</t>
  </si>
  <si>
    <t>Bozhidar Georgiev &lt;Bozhidar.Georgiev@foundever.com&gt;</t>
  </si>
  <si>
    <t xml:space="preserve">CMSR setup automation. </t>
  </si>
  <si>
    <t>Add Agent Tenure to all BG clients</t>
  </si>
  <si>
    <t>iAnalyze</t>
  </si>
  <si>
    <t>Takeover of iAnalyze toll from Alexandra to me. Set up of Dataverse in Power APPS. Currently looking for a way to take over without loss of data and tool functions.</t>
  </si>
  <si>
    <t>BG</t>
  </si>
  <si>
    <t>Implementation of NICE in PBI. ON Hold till Genesys implementation is done.</t>
  </si>
  <si>
    <t>Valentin requested iCoach for MDT. I developed a view in MDT DB, however iCoach was not set up as template provided. MDT OPS in discussion with AM to determine KPIs and LOB.
2025-02-13 New KPIs and logic provided by Bozhidar Georgiev (BPI). Implementation in progress.
2025-02-24 Implementation completion  
202-02-25 - schedule for first test upload in iCoach. DELAY with set up from iCoach side. Bozhidar Georgiev will let us know when import and creation in system are complete. Put on HOLD for now. ## 2025-03-21 - task completed</t>
  </si>
  <si>
    <t>PBI</t>
  </si>
  <si>
    <t>PBI combine data with Avaya and Genesys</t>
  </si>
  <si>
    <t>Egypt</t>
  </si>
  <si>
    <t>Medtronic Cairo - PBI</t>
  </si>
  <si>
    <t>Medtronic Cairo - Data integrestion. Waiting on Cairo data.</t>
  </si>
  <si>
    <t>Rabat</t>
  </si>
  <si>
    <t>Create PBI report on ANI Level only with the repetitive calls</t>
  </si>
  <si>
    <t>IT</t>
  </si>
  <si>
    <t>Ad-hoc ANI report</t>
  </si>
  <si>
    <t xml:space="preserve">Create pivot table in excel with ANI level data only for Poland </t>
  </si>
  <si>
    <t>Medtronic Cairo</t>
  </si>
  <si>
    <t>Fix the issue where cairo agent names are not appearing in WFM IEX PBI report</t>
  </si>
  <si>
    <t>Hasnaa Zaghloul</t>
  </si>
  <si>
    <t>PO Report deep-dive</t>
  </si>
  <si>
    <t>Add Activity partner information in the PO agent level data</t>
  </si>
  <si>
    <t>VP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</si>
</sst>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indexed="8"/>
      <name val="Calibri"/>
      <family val="2"/>
    </font>
    <font>
      <b/>
      <sz val="14"/>
      <name val="Calibri"/>
      <family val="2"/>
    </font>
    <font>
      <b/>
      <sz val="36"/>
      <name val="Calibri"/>
      <family val="2"/>
    </font>
    <font>
      <sz val="11"/>
      <name val="Calibri"/>
      <family val="2"/>
      <scheme val="minor"/>
    </font>
    <font>
      <sz val="14"/>
      <name val="Calibri"/>
      <family val="2"/>
      <scheme val="minor"/>
    </font>
    <font>
      <sz val="14"/>
      <color theme="1"/>
      <name val="Calibri"/>
      <family val="2"/>
      <scheme val="minor"/>
    </font>
    <font>
      <b/>
      <sz val="11"/>
      <color theme="1"/>
      <name val="Calibri"/>
      <family val="2"/>
      <scheme val="minor"/>
    </font>
    <font>
      <b/>
      <sz val="20"/>
      <name val="Calibri"/>
      <family val="2"/>
    </font>
    <font>
      <sz val="14"/>
      <color indexed="8"/>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name val="Calibri"/>
      <family val="2"/>
      <scheme val="minor"/>
    </font>
    <font>
      <sz val="14"/>
      <color indexed="8"/>
      <name val="Calibri"/>
      <scheme val="minor"/>
    </font>
    <font>
      <sz val="14"/>
      <color theme="1"/>
      <name val="Calibri"/>
      <scheme val="minor"/>
    </font>
    <font>
      <sz val="14"/>
      <name val="Calibri"/>
      <scheme val="minor"/>
    </font>
  </fonts>
  <fills count="8">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theme="6"/>
        <bgColor indexed="64"/>
      </patternFill>
    </fill>
    <fill>
      <patternFill patternType="solid">
        <fgColor theme="4"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120">
    <xf numFmtId="0" fontId="0" fillId="0" borderId="0" xfId="0"/>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3" borderId="0" xfId="0" applyFill="1" applyAlignment="1">
      <alignment horizontal="center" vertical="center" wrapText="1"/>
    </xf>
    <xf numFmtId="0" fontId="3" fillId="3" borderId="0" xfId="0" applyFont="1" applyFill="1" applyAlignment="1">
      <alignment horizontal="center" vertical="center" wrapText="1"/>
    </xf>
    <xf numFmtId="0" fontId="5" fillId="4" borderId="2"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2" fillId="3" borderId="0" xfId="0" applyFont="1" applyFill="1" applyAlignment="1">
      <alignment horizontal="center" vertical="center" textRotation="90" wrapText="1"/>
    </xf>
    <xf numFmtId="0" fontId="4" fillId="3" borderId="0" xfId="0" applyFont="1" applyFill="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16" fontId="2" fillId="2" borderId="10" xfId="0" applyNumberFormat="1"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7" fillId="0" borderId="7" xfId="0" applyFont="1" applyBorder="1" applyAlignment="1">
      <alignment horizontal="center" vertical="center"/>
    </xf>
    <xf numFmtId="14" fontId="0" fillId="0" borderId="0" xfId="0" applyNumberFormat="1" applyAlignment="1">
      <alignment horizontal="center" vertical="center" wrapText="1"/>
    </xf>
    <xf numFmtId="49" fontId="4" fillId="3" borderId="0" xfId="0" applyNumberFormat="1" applyFont="1" applyFill="1" applyAlignment="1">
      <alignment horizontal="center" vertical="center" wrapText="1"/>
    </xf>
    <xf numFmtId="49" fontId="2" fillId="3" borderId="0" xfId="0" applyNumberFormat="1" applyFont="1" applyFill="1" applyAlignment="1">
      <alignment horizontal="center" vertical="center" textRotation="90" wrapText="1"/>
    </xf>
    <xf numFmtId="49" fontId="2" fillId="2" borderId="10" xfId="0" applyNumberFormat="1" applyFont="1" applyFill="1" applyBorder="1" applyAlignment="1">
      <alignment horizontal="center" vertical="center" wrapText="1"/>
    </xf>
    <xf numFmtId="49" fontId="0" fillId="0" borderId="0" xfId="0" applyNumberFormat="1" applyAlignment="1">
      <alignment horizontal="center" vertical="center" wrapText="1"/>
    </xf>
    <xf numFmtId="21" fontId="0" fillId="0" borderId="0" xfId="0" applyNumberFormat="1"/>
    <xf numFmtId="2" fontId="0" fillId="0" borderId="0" xfId="0" applyNumberFormat="1"/>
    <xf numFmtId="0" fontId="9" fillId="0" borderId="1" xfId="0" applyFont="1" applyBorder="1" applyAlignment="1">
      <alignment horizontal="center" vertical="center" wrapText="1"/>
    </xf>
    <xf numFmtId="0" fontId="6" fillId="0" borderId="1" xfId="0" applyFont="1" applyBorder="1" applyAlignment="1">
      <alignment horizontal="center" vertical="center" wrapText="1"/>
    </xf>
    <xf numFmtId="1" fontId="5" fillId="0" borderId="1" xfId="0" applyNumberFormat="1" applyFont="1" applyBorder="1" applyAlignment="1">
      <alignment horizontal="center" vertical="center" wrapText="1"/>
    </xf>
    <xf numFmtId="0" fontId="9" fillId="0" borderId="7" xfId="0" applyFont="1" applyBorder="1" applyAlignment="1">
      <alignment horizontal="center" vertical="center" wrapText="1"/>
    </xf>
    <xf numFmtId="16" fontId="9" fillId="0" borderId="7" xfId="0" applyNumberFormat="1" applyFont="1" applyBorder="1" applyAlignment="1">
      <alignment horizontal="center" vertical="center" wrapText="1"/>
    </xf>
    <xf numFmtId="16" fontId="6" fillId="0" borderId="7" xfId="0" applyNumberFormat="1" applyFont="1" applyBorder="1" applyAlignment="1">
      <alignment horizontal="center" vertical="center" wrapText="1"/>
    </xf>
    <xf numFmtId="0" fontId="6" fillId="0" borderId="7" xfId="0" applyFont="1" applyBorder="1" applyAlignment="1">
      <alignment horizontal="center" vertical="center" wrapText="1"/>
    </xf>
    <xf numFmtId="15" fontId="5" fillId="0" borderId="7"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0" fontId="6" fillId="0" borderId="15" xfId="0" applyFont="1" applyBorder="1" applyAlignment="1">
      <alignment horizontal="center" vertical="center" wrapText="1"/>
    </xf>
    <xf numFmtId="1" fontId="5" fillId="0" borderId="7" xfId="0" applyNumberFormat="1" applyFont="1" applyBorder="1" applyAlignment="1">
      <alignment horizontal="center" vertical="center" wrapText="1"/>
    </xf>
    <xf numFmtId="0" fontId="2" fillId="2" borderId="11" xfId="0" applyFont="1" applyFill="1" applyBorder="1" applyAlignment="1">
      <alignment horizontal="center" vertical="center" wrapText="1"/>
    </xf>
    <xf numFmtId="49" fontId="6" fillId="0" borderId="16" xfId="0" applyNumberFormat="1" applyFont="1" applyBorder="1" applyAlignment="1">
      <alignment horizontal="center" vertical="center" wrapText="1"/>
    </xf>
    <xf numFmtId="16" fontId="9" fillId="0" borderId="1" xfId="0" applyNumberFormat="1" applyFont="1" applyBorder="1" applyAlignment="1">
      <alignment horizontal="center" vertical="center" wrapText="1"/>
    </xf>
    <xf numFmtId="16" fontId="6" fillId="0" borderId="1" xfId="0" applyNumberFormat="1" applyFont="1" applyBorder="1" applyAlignment="1">
      <alignment horizontal="center" vertical="center" wrapText="1"/>
    </xf>
    <xf numFmtId="15" fontId="5" fillId="0" borderId="1" xfId="0" applyNumberFormat="1" applyFont="1" applyBorder="1" applyAlignment="1">
      <alignment horizontal="center" vertical="center" wrapText="1"/>
    </xf>
    <xf numFmtId="1" fontId="0" fillId="3" borderId="0" xfId="0" applyNumberFormat="1" applyFill="1" applyAlignment="1">
      <alignment horizontal="center" vertical="center" wrapText="1"/>
    </xf>
    <xf numFmtId="1" fontId="0" fillId="0" borderId="0" xfId="0" applyNumberFormat="1" applyAlignment="1">
      <alignment horizontal="center" vertical="center" wrapText="1"/>
    </xf>
    <xf numFmtId="1" fontId="2" fillId="2" borderId="10" xfId="0" applyNumberFormat="1"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7" xfId="0" applyFont="1" applyFill="1" applyBorder="1" applyAlignment="1">
      <alignment horizontal="center" vertical="center" wrapText="1"/>
    </xf>
    <xf numFmtId="49" fontId="2" fillId="2" borderId="7" xfId="0" applyNumberFormat="1" applyFont="1" applyFill="1" applyBorder="1" applyAlignment="1">
      <alignment horizontal="center" vertical="center" wrapText="1"/>
    </xf>
    <xf numFmtId="16" fontId="2" fillId="2" borderId="7" xfId="0" applyNumberFormat="1" applyFont="1" applyFill="1" applyBorder="1" applyAlignment="1">
      <alignment horizontal="center" vertical="center" wrapText="1"/>
    </xf>
    <xf numFmtId="1" fontId="2" fillId="2" borderId="7" xfId="0" applyNumberFormat="1" applyFont="1" applyFill="1" applyBorder="1" applyAlignment="1">
      <alignment horizontal="center" vertical="center" wrapText="1"/>
    </xf>
    <xf numFmtId="0" fontId="2" fillId="2" borderId="17" xfId="0" applyFont="1" applyFill="1" applyBorder="1" applyAlignment="1">
      <alignment horizontal="center" vertical="center" wrapText="1"/>
    </xf>
    <xf numFmtId="0" fontId="9" fillId="0" borderId="13" xfId="0" applyFont="1" applyBorder="1" applyAlignment="1">
      <alignment horizontal="center" vertical="center" wrapText="1"/>
    </xf>
    <xf numFmtId="0" fontId="6" fillId="0" borderId="18" xfId="0" applyFont="1" applyBorder="1" applyAlignment="1">
      <alignment horizontal="center" vertical="center" wrapText="1"/>
    </xf>
    <xf numFmtId="16" fontId="9" fillId="0" borderId="14" xfId="0" applyNumberFormat="1" applyFont="1" applyBorder="1" applyAlignment="1">
      <alignment horizontal="center" vertical="center" wrapText="1"/>
    </xf>
    <xf numFmtId="16" fontId="6" fillId="0" borderId="14" xfId="0" applyNumberFormat="1" applyFont="1" applyBorder="1" applyAlignment="1">
      <alignment horizontal="center" vertical="center" wrapText="1"/>
    </xf>
    <xf numFmtId="49" fontId="6" fillId="0" borderId="14" xfId="0" applyNumberFormat="1" applyFont="1" applyBorder="1" applyAlignment="1">
      <alignment horizontal="center" vertical="center" wrapText="1"/>
    </xf>
    <xf numFmtId="0" fontId="6" fillId="0" borderId="14" xfId="0" applyFont="1" applyBorder="1" applyAlignment="1">
      <alignment horizontal="center" vertical="center" wrapText="1"/>
    </xf>
    <xf numFmtId="0" fontId="10" fillId="0" borderId="20" xfId="0" applyFont="1" applyBorder="1" applyAlignment="1">
      <alignment horizontal="center" vertical="center" wrapText="1"/>
    </xf>
    <xf numFmtId="16" fontId="10" fillId="0" borderId="14" xfId="0" applyNumberFormat="1" applyFont="1" applyBorder="1" applyAlignment="1">
      <alignment horizontal="center" vertical="center" wrapText="1"/>
    </xf>
    <xf numFmtId="0" fontId="11" fillId="0" borderId="14" xfId="0" applyFont="1" applyBorder="1" applyAlignment="1">
      <alignment horizontal="center" vertical="center" wrapText="1"/>
    </xf>
    <xf numFmtId="15" fontId="12" fillId="0" borderId="14" xfId="0" applyNumberFormat="1" applyFont="1" applyBorder="1" applyAlignment="1">
      <alignment horizontal="center" vertical="center" wrapText="1"/>
    </xf>
    <xf numFmtId="1" fontId="12" fillId="0" borderId="14" xfId="0" applyNumberFormat="1" applyFont="1" applyBorder="1" applyAlignment="1">
      <alignment horizontal="center" vertical="center" wrapText="1"/>
    </xf>
    <xf numFmtId="0" fontId="6" fillId="0" borderId="19" xfId="0" applyFont="1" applyBorder="1" applyAlignment="1">
      <alignment horizontal="center" vertical="center" wrapText="1"/>
    </xf>
    <xf numFmtId="0" fontId="10" fillId="0" borderId="13" xfId="0" applyFont="1" applyBorder="1" applyAlignment="1">
      <alignment horizontal="center" vertical="center" wrapText="1"/>
    </xf>
    <xf numFmtId="16" fontId="10" fillId="0" borderId="1" xfId="0" applyNumberFormat="1" applyFont="1" applyBorder="1" applyAlignment="1">
      <alignment horizontal="center" vertical="center" wrapText="1"/>
    </xf>
    <xf numFmtId="15" fontId="12" fillId="0" borderId="1" xfId="0" applyNumberFormat="1" applyFont="1" applyBorder="1" applyAlignment="1">
      <alignment horizontal="center" vertical="center" wrapText="1"/>
    </xf>
    <xf numFmtId="1" fontId="12"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0" fontId="9" fillId="0" borderId="20" xfId="0" applyFont="1" applyBorder="1" applyAlignment="1">
      <alignment horizontal="center" vertical="center" wrapText="1"/>
    </xf>
    <xf numFmtId="0" fontId="9" fillId="0" borderId="14" xfId="0" applyFont="1" applyBorder="1" applyAlignment="1">
      <alignment horizontal="center" vertical="center" wrapText="1"/>
    </xf>
    <xf numFmtId="0" fontId="6" fillId="0" borderId="14" xfId="0" applyFont="1" applyBorder="1" applyAlignment="1">
      <alignment horizontal="center" vertical="center"/>
    </xf>
    <xf numFmtId="15" fontId="5" fillId="0" borderId="14" xfId="0" applyNumberFormat="1" applyFont="1" applyBorder="1" applyAlignment="1">
      <alignment horizontal="center" vertical="center" wrapText="1"/>
    </xf>
    <xf numFmtId="1" fontId="5" fillId="0" borderId="14" xfId="0" applyNumberFormat="1" applyFont="1" applyBorder="1" applyAlignment="1">
      <alignment horizontal="center" vertical="center" wrapText="1"/>
    </xf>
    <xf numFmtId="0" fontId="11" fillId="0" borderId="14" xfId="0" applyFont="1" applyBorder="1" applyAlignment="1">
      <alignment horizontal="center" vertical="center"/>
    </xf>
    <xf numFmtId="0" fontId="10" fillId="0" borderId="20" xfId="0" applyFont="1" applyFill="1" applyBorder="1" applyAlignment="1">
      <alignment horizontal="center" vertical="center" wrapText="1"/>
    </xf>
    <xf numFmtId="15" fontId="12" fillId="0" borderId="14" xfId="0" applyNumberFormat="1" applyFont="1" applyFill="1" applyBorder="1" applyAlignment="1">
      <alignment horizontal="center" vertical="center" wrapText="1"/>
    </xf>
    <xf numFmtId="1" fontId="12" fillId="0" borderId="14" xfId="0" applyNumberFormat="1" applyFont="1" applyFill="1" applyBorder="1" applyAlignment="1">
      <alignment horizontal="center" vertical="center" wrapText="1"/>
    </xf>
    <xf numFmtId="0" fontId="6" fillId="0" borderId="14" xfId="0" applyFont="1" applyFill="1" applyBorder="1" applyAlignment="1">
      <alignment horizontal="center" vertical="center" wrapText="1"/>
    </xf>
    <xf numFmtId="15" fontId="5" fillId="0" borderId="14" xfId="0" applyNumberFormat="1" applyFont="1" applyFill="1" applyBorder="1" applyAlignment="1">
      <alignment horizontal="center" vertical="center" wrapText="1"/>
    </xf>
    <xf numFmtId="0" fontId="6" fillId="0" borderId="19" xfId="0" applyFont="1" applyFill="1" applyBorder="1" applyAlignment="1">
      <alignment horizontal="center" vertical="center" wrapText="1"/>
    </xf>
    <xf numFmtId="49" fontId="6" fillId="0" borderId="14" xfId="0" applyNumberFormat="1" applyFont="1" applyFill="1" applyBorder="1" applyAlignment="1">
      <alignment horizontal="center" vertical="center" wrapText="1"/>
    </xf>
    <xf numFmtId="0" fontId="6" fillId="0" borderId="14" xfId="0" applyFont="1" applyFill="1" applyBorder="1" applyAlignment="1">
      <alignment horizontal="center" vertical="center"/>
    </xf>
    <xf numFmtId="0" fontId="13" fillId="0" borderId="20" xfId="0" applyFont="1" applyFill="1" applyBorder="1" applyAlignment="1">
      <alignment horizontal="center" vertical="center" wrapText="1"/>
    </xf>
    <xf numFmtId="0" fontId="14" fillId="0" borderId="14" xfId="0" applyFont="1" applyFill="1" applyBorder="1" applyAlignment="1">
      <alignment horizontal="center" vertical="center"/>
    </xf>
    <xf numFmtId="1" fontId="5" fillId="0" borderId="14" xfId="0" applyNumberFormat="1" applyFont="1" applyFill="1" applyBorder="1" applyAlignment="1">
      <alignment horizontal="center" vertical="center" wrapText="1"/>
    </xf>
    <xf numFmtId="15" fontId="15" fillId="0" borderId="14" xfId="0" applyNumberFormat="1" applyFont="1" applyFill="1" applyBorder="1" applyAlignment="1">
      <alignment horizontal="center" vertical="center" wrapText="1"/>
    </xf>
    <xf numFmtId="1" fontId="15" fillId="0" borderId="14" xfId="0" applyNumberFormat="1" applyFont="1" applyFill="1" applyBorder="1" applyAlignment="1">
      <alignment horizontal="center" vertical="center" wrapText="1"/>
    </xf>
    <xf numFmtId="0" fontId="14" fillId="0" borderId="14" xfId="0" applyFont="1" applyFill="1" applyBorder="1" applyAlignment="1">
      <alignment horizontal="center" vertical="center" wrapText="1"/>
    </xf>
    <xf numFmtId="0" fontId="16" fillId="0" borderId="20" xfId="0" applyFont="1" applyFill="1" applyBorder="1" applyAlignment="1">
      <alignment horizontal="center" vertical="center" wrapText="1"/>
    </xf>
    <xf numFmtId="15" fontId="17" fillId="0" borderId="14" xfId="0" applyNumberFormat="1" applyFont="1" applyFill="1" applyBorder="1" applyAlignment="1">
      <alignment horizontal="center" vertical="center" wrapText="1"/>
    </xf>
    <xf numFmtId="1" fontId="17" fillId="0" borderId="14" xfId="0" applyNumberFormat="1" applyFont="1" applyFill="1" applyBorder="1" applyAlignment="1">
      <alignment horizontal="center" vertical="center" wrapText="1"/>
    </xf>
    <xf numFmtId="0" fontId="18" fillId="0" borderId="20" xfId="0" applyFont="1" applyFill="1" applyBorder="1" applyAlignment="1">
      <alignment horizontal="center" vertical="center" wrapText="1"/>
    </xf>
    <xf numFmtId="16" fontId="18" fillId="0" borderId="14" xfId="0" applyNumberFormat="1" applyFont="1" applyFill="1" applyBorder="1" applyAlignment="1">
      <alignment horizontal="center" vertical="center" wrapText="1"/>
    </xf>
    <xf numFmtId="16" fontId="19" fillId="0" borderId="14" xfId="0" applyNumberFormat="1" applyFont="1" applyFill="1" applyBorder="1" applyAlignment="1">
      <alignment horizontal="center" vertical="center" wrapText="1"/>
    </xf>
    <xf numFmtId="0" fontId="18" fillId="0" borderId="14" xfId="0" applyFont="1" applyFill="1" applyBorder="1" applyAlignment="1">
      <alignment horizontal="center" vertical="center" wrapText="1"/>
    </xf>
    <xf numFmtId="0" fontId="19" fillId="0" borderId="14" xfId="0" applyFont="1" applyFill="1" applyBorder="1" applyAlignment="1">
      <alignment horizontal="center" vertical="center"/>
    </xf>
    <xf numFmtId="0" fontId="19" fillId="0" borderId="14" xfId="0" applyFont="1" applyFill="1" applyBorder="1" applyAlignment="1">
      <alignment horizontal="center" vertical="center" wrapText="1"/>
    </xf>
    <xf numFmtId="15" fontId="20" fillId="0" borderId="14" xfId="0" applyNumberFormat="1" applyFont="1" applyFill="1" applyBorder="1" applyAlignment="1">
      <alignment horizontal="center" vertical="center" wrapText="1"/>
    </xf>
    <xf numFmtId="1" fontId="20" fillId="0" borderId="14" xfId="0" applyNumberFormat="1" applyFont="1" applyFill="1" applyBorder="1" applyAlignment="1">
      <alignment horizontal="center" vertical="center" wrapText="1"/>
    </xf>
    <xf numFmtId="0" fontId="18" fillId="0" borderId="13" xfId="0" applyFont="1" applyFill="1" applyBorder="1" applyAlignment="1">
      <alignment horizontal="center" vertical="center" wrapText="1"/>
    </xf>
    <xf numFmtId="16" fontId="18" fillId="0" borderId="1" xfId="0" applyNumberFormat="1" applyFont="1" applyFill="1" applyBorder="1" applyAlignment="1">
      <alignment horizontal="center" vertical="center" wrapText="1"/>
    </xf>
    <xf numFmtId="1" fontId="20" fillId="0" borderId="1" xfId="0" applyNumberFormat="1" applyFont="1" applyFill="1" applyBorder="1" applyAlignment="1">
      <alignment horizontal="center" vertical="center" wrapText="1"/>
    </xf>
    <xf numFmtId="0" fontId="9" fillId="0" borderId="14"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49"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15" fontId="5" fillId="0" borderId="1" xfId="0" applyNumberFormat="1" applyFont="1" applyFill="1" applyBorder="1" applyAlignment="1">
      <alignment horizontal="center" vertical="center" wrapText="1"/>
    </xf>
    <xf numFmtId="0" fontId="6" fillId="0" borderId="18" xfId="0" applyFont="1" applyFill="1" applyBorder="1" applyAlignment="1">
      <alignment horizontal="center" vertical="center" wrapText="1"/>
    </xf>
    <xf numFmtId="49" fontId="19" fillId="0" borderId="14" xfId="0" applyNumberFormat="1" applyFont="1" applyFill="1" applyBorder="1" applyAlignment="1">
      <alignment horizontal="center" vertical="center" wrapText="1"/>
    </xf>
    <xf numFmtId="16" fontId="9" fillId="0" borderId="14" xfId="0" applyNumberFormat="1" applyFont="1" applyFill="1" applyBorder="1" applyAlignment="1">
      <alignment horizontal="center" vertical="center" wrapText="1"/>
    </xf>
    <xf numFmtId="16" fontId="19" fillId="0" borderId="1" xfId="0" applyNumberFormat="1" applyFont="1" applyFill="1" applyBorder="1" applyAlignment="1">
      <alignment horizontal="center" vertical="center" wrapText="1"/>
    </xf>
    <xf numFmtId="0" fontId="18" fillId="0" borderId="1" xfId="0" applyFont="1" applyFill="1" applyBorder="1" applyAlignment="1">
      <alignment horizontal="center" vertical="center" wrapText="1"/>
    </xf>
    <xf numFmtId="0" fontId="19" fillId="0" borderId="1" xfId="0" applyFont="1" applyFill="1" applyBorder="1" applyAlignment="1">
      <alignment horizontal="center" vertical="center"/>
    </xf>
    <xf numFmtId="49" fontId="19" fillId="0" borderId="1" xfId="0" applyNumberFormat="1" applyFont="1" applyFill="1" applyBorder="1" applyAlignment="1">
      <alignment horizontal="center" vertical="center" wrapText="1"/>
    </xf>
    <xf numFmtId="0" fontId="19" fillId="0" borderId="1" xfId="0" applyFont="1" applyFill="1" applyBorder="1" applyAlignment="1">
      <alignment horizontal="center" vertical="center" wrapText="1"/>
    </xf>
    <xf numFmtId="15" fontId="20" fillId="0" borderId="1" xfId="0" applyNumberFormat="1" applyFont="1" applyFill="1" applyBorder="1" applyAlignment="1">
      <alignment horizontal="center" vertical="center" wrapText="1"/>
    </xf>
    <xf numFmtId="0" fontId="19" fillId="0" borderId="18" xfId="0" applyFont="1" applyFill="1" applyBorder="1" applyAlignment="1">
      <alignment horizontal="center" vertical="center" wrapText="1"/>
    </xf>
    <xf numFmtId="0" fontId="7" fillId="7" borderId="3" xfId="0" applyFont="1" applyFill="1" applyBorder="1" applyAlignment="1">
      <alignment horizontal="center" vertical="center"/>
    </xf>
    <xf numFmtId="0" fontId="7" fillId="7" borderId="12" xfId="0" applyFont="1" applyFill="1" applyBorder="1" applyAlignment="1">
      <alignment horizontal="center" vertical="center"/>
    </xf>
    <xf numFmtId="0" fontId="7" fillId="7" borderId="4" xfId="0" applyFont="1" applyFill="1" applyBorder="1" applyAlignment="1">
      <alignment horizontal="center" vertical="center"/>
    </xf>
    <xf numFmtId="0" fontId="8" fillId="3" borderId="0" xfId="0" applyFont="1" applyFill="1" applyAlignment="1">
      <alignment horizontal="center" vertical="center" wrapText="1"/>
    </xf>
  </cellXfs>
  <cellStyles count="1">
    <cellStyle name="Normal" xfId="0" builtinId="0"/>
  </cellStyles>
  <dxfs count="83">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ont>
        <color theme="0" tint="-0.499984740745262"/>
      </font>
      <fill>
        <patternFill>
          <bgColor theme="0" tint="-0.1499679555650502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theme="0" tint="-0.24994659260841701"/>
        </patternFill>
      </fill>
    </dxf>
    <dxf>
      <font>
        <color theme="0" tint="-0.499984740745262"/>
      </font>
      <fill>
        <patternFill>
          <bgColor theme="0" tint="-0.1499679555650502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b val="0"/>
        <i val="0"/>
        <strike val="0"/>
        <condense val="0"/>
        <extend val="0"/>
        <outline val="0"/>
        <shadow val="0"/>
        <u val="none"/>
        <vertAlign val="baseline"/>
        <sz val="14"/>
        <color theme="1"/>
        <name val="Calibri"/>
        <scheme val="minor"/>
      </font>
      <fill>
        <patternFill patternType="none">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auto="1"/>
        <name val="Calibri"/>
        <scheme val="minor"/>
      </font>
      <numFmt numFmtId="20" formatCode="dd\-mmm\-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auto="1"/>
        <name val="Calibri"/>
        <scheme val="minor"/>
      </font>
      <numFmt numFmtId="1" formatCode="0"/>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auto="1"/>
        <name val="Calibri"/>
        <scheme val="minor"/>
      </font>
      <numFmt numFmtId="20" formatCode="dd\-mmm\-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scheme val="minor"/>
      </font>
      <numFmt numFmtId="21" formatCode="dd\-mmm"/>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indexed="8"/>
        <name val="Calibri"/>
        <scheme val="minor"/>
      </font>
      <numFmt numFmtId="21" formatCode="dd\-mmm"/>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auto="1"/>
        <name val="Calibri"/>
        <scheme val="none"/>
      </font>
      <numFmt numFmtId="20" formatCode="dd\-mmm\-yy"/>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4"/>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medium">
          <color indexed="64"/>
        </right>
        <top/>
        <bottom style="thin">
          <color indexed="64"/>
        </bottom>
      </border>
    </dxf>
    <dxf>
      <font>
        <b val="0"/>
        <i val="0"/>
        <strike val="0"/>
        <condense val="0"/>
        <extend val="0"/>
        <outline val="0"/>
        <shadow val="0"/>
        <u val="none"/>
        <vertAlign val="baseline"/>
        <sz val="14"/>
        <color auto="1"/>
        <name val="Calibri"/>
        <scheme val="minor"/>
      </font>
      <numFmt numFmtId="20" formatCode="dd\-mmm\-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Calibri"/>
        <scheme val="minor"/>
      </font>
      <numFmt numFmtId="1" formatCode="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Calibri"/>
        <scheme val="minor"/>
      </font>
      <numFmt numFmtId="20" formatCode="dd\-mmm\-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numFmt numFmtId="21" formatCode="dd\-mmm"/>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indexed="8"/>
        <name val="Calibri"/>
        <scheme val="minor"/>
      </font>
      <numFmt numFmtId="21" formatCode="dd\-mmm"/>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auto="1"/>
        <name val="Calibri"/>
        <scheme val="none"/>
      </font>
      <numFmt numFmtId="20" formatCode="dd\-mmm\-yy"/>
      <fill>
        <patternFill patternType="solid">
          <fgColor rgb="FF000000"/>
          <bgColor rgb="FFFFFFFF"/>
        </patternFill>
      </fill>
      <alignment horizontal="center" vertical="center" textRotation="0" wrapText="1" indent="0" justifyLastLine="0" shrinkToFit="0" readingOrder="0"/>
      <border diagonalUp="0" diagonalDown="0">
        <left style="thin">
          <color rgb="FF000000"/>
        </left>
        <right style="thin">
          <color rgb="FF000000"/>
        </right>
        <top/>
        <bottom/>
      </border>
      <protection locked="1" hidden="0"/>
    </dxf>
    <dxf>
      <font>
        <strike val="0"/>
        <outline val="0"/>
        <shadow val="0"/>
        <u val="none"/>
        <vertAlign val="baseline"/>
        <sz val="14"/>
        <name val="Calibri"/>
        <scheme val="none"/>
      </font>
      <fill>
        <patternFill patternType="none">
          <bgColor auto="1"/>
        </patternFill>
      </fill>
      <alignment horizontal="center" vertical="center" textRotation="0" indent="0" justifyLastLine="0" shrinkToFit="0" readingOrder="0"/>
    </dxf>
    <dxf>
      <border>
        <bottom style="medium">
          <color rgb="FF000000"/>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dxf>
    <dxf>
      <font>
        <b val="0"/>
        <i val="0"/>
        <strike val="0"/>
        <condense val="0"/>
        <extend val="0"/>
        <outline val="0"/>
        <shadow val="0"/>
        <u val="none"/>
        <vertAlign val="baseline"/>
        <sz val="14"/>
        <color theme="1"/>
        <name val="Calibri"/>
        <scheme val="minor"/>
      </font>
      <fill>
        <patternFill patternType="none">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auto="1"/>
        <name val="Calibri"/>
        <scheme val="minor"/>
      </font>
      <numFmt numFmtId="20" formatCode="dd\-mmm\-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auto="1"/>
        <name val="Calibri"/>
        <scheme val="minor"/>
      </font>
      <numFmt numFmtId="1" formatCode="0"/>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auto="1"/>
        <name val="Calibri"/>
        <scheme val="minor"/>
      </font>
      <numFmt numFmtId="20" formatCode="dd\-mmm\-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scheme val="minor"/>
      </font>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scheme val="minor"/>
      </font>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scheme val="minor"/>
      </font>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scheme val="minor"/>
      </font>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scheme val="minor"/>
      </font>
      <numFmt numFmtId="21" formatCode="dd\-mmm"/>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indexed="8"/>
        <name val="Calibri"/>
        <scheme val="minor"/>
      </font>
      <numFmt numFmtId="21" formatCode="dd\-mmm"/>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indexed="8"/>
        <name val="Calibri"/>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auto="1"/>
        <name val="Calibri"/>
        <scheme val="none"/>
      </font>
      <numFmt numFmtId="20" formatCode="dd\-mmm\-yy"/>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scheme val="minor"/>
      </font>
      <fill>
        <patternFill patternType="none">
          <bgColor auto="1"/>
        </patternFill>
      </fill>
    </dxf>
    <dxf>
      <border>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123265</xdr:rowOff>
    </xdr:from>
    <xdr:to>
      <xdr:col>10</xdr:col>
      <xdr:colOff>1120588</xdr:colOff>
      <xdr:row>5</xdr:row>
      <xdr:rowOff>78441</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6958853" y="224118"/>
          <a:ext cx="6869206" cy="127747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3000"/>
            <a:t>ACTION</a:t>
          </a:r>
          <a:r>
            <a:rPr lang="en-US" sz="3000" baseline="0"/>
            <a:t> LOG</a:t>
          </a:r>
          <a:endParaRPr lang="en-US" sz="3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1624853</xdr:colOff>
      <xdr:row>1</xdr:row>
      <xdr:rowOff>123265</xdr:rowOff>
    </xdr:from>
    <xdr:to>
      <xdr:col>10</xdr:col>
      <xdr:colOff>1120588</xdr:colOff>
      <xdr:row>5</xdr:row>
      <xdr:rowOff>78441</xdr:rowOff>
    </xdr:to>
    <xdr:sp macro="" textlink="">
      <xdr:nvSpPr>
        <xdr:cNvPr id="2" name="Rounded Rectangle 1">
          <a:extLst>
            <a:ext uri="{FF2B5EF4-FFF2-40B4-BE49-F238E27FC236}">
              <a16:creationId xmlns:a16="http://schemas.microsoft.com/office/drawing/2014/main" id="{00000000-0008-0000-0100-000002000000}"/>
            </a:ext>
          </a:extLst>
        </xdr:cNvPr>
        <xdr:cNvSpPr/>
      </xdr:nvSpPr>
      <xdr:spPr>
        <a:xfrm>
          <a:off x="12719573" y="214705"/>
          <a:ext cx="14301395" cy="968636"/>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3000"/>
            <a:t>New</a:t>
          </a:r>
          <a:r>
            <a:rPr lang="en-US" sz="3000" baseline="0"/>
            <a:t> Reports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1</xdr:row>
      <xdr:rowOff>123265</xdr:rowOff>
    </xdr:from>
    <xdr:to>
      <xdr:col>10</xdr:col>
      <xdr:colOff>1120588</xdr:colOff>
      <xdr:row>5</xdr:row>
      <xdr:rowOff>78441</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11399520" y="214705"/>
          <a:ext cx="12840148" cy="968636"/>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3000" baseline="0"/>
            <a:t>MONTHLY LOG</a:t>
          </a:r>
          <a:endParaRPr lang="en-US" sz="30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0:N55" headerRowDxfId="38" dataDxfId="37" totalsRowDxfId="36" headerRowBorderDxfId="34" tableBorderDxfId="35">
  <autoFilter ref="B10:N55" xr:uid="{00000000-0009-0000-0100-000001000000}"/>
  <tableColumns count="13">
    <tableColumn id="2" xr3:uid="{00000000-0010-0000-0000-000002000000}" name="ID" totalsRowFunction="custom" dataDxfId="33">
      <calculatedColumnFormula>OFFSET(B11,-1,0)+1</calculatedColumnFormula>
      <totalsRowFormula>OFFSET(#REF!,-1,0)+1</totalsRowFormula>
    </tableColumn>
    <tableColumn id="19" xr3:uid="{00000000-0010-0000-0000-000013000000}" name="Date Raised" totalsRowLabel="12-Aug" dataDxfId="32"/>
    <tableColumn id="23" xr3:uid="{00000000-0010-0000-0000-000017000000}" name="Owner" totalsRowLabel="Nik" dataDxfId="31"/>
    <tableColumn id="17" xr3:uid="{00000000-0010-0000-0000-000011000000}" name="Site" totalsRowLabel="Exeter" dataDxfId="30"/>
    <tableColumn id="16" xr3:uid="{00000000-0010-0000-0000-000010000000}" name="Campaign" dataDxfId="29"/>
    <tableColumn id="20" xr3:uid="{00000000-0010-0000-0000-000014000000}" name="Item Title" totalsRowLabel="Attrition" dataDxfId="28"/>
    <tableColumn id="1" xr3:uid="{00000000-0010-0000-0000-000001000000}" name="Comments" totalsRowLabel="-Slicers to be corrected to capture more than 1 month of data; formula corrected" dataDxfId="27"/>
    <tableColumn id="3" xr3:uid="{00000000-0010-0000-0000-000003000000}" name="Action step with" totalsRowLabel="Martin" dataDxfId="26"/>
    <tableColumn id="24" xr3:uid="{00000000-0010-0000-0000-000018000000}" name="Requestor" totalsRowLabel="Daniel" dataDxfId="25"/>
    <tableColumn id="21" xr3:uid="{00000000-0010-0000-0000-000015000000}" name="Target Completion date" dataDxfId="24"/>
    <tableColumn id="25" xr3:uid="{00000000-0010-0000-0000-000019000000}" name="Priority" totalsRowLabel="1" dataDxfId="23"/>
    <tableColumn id="22" xr3:uid="{00000000-0010-0000-0000-000016000000}" name="RAG Status" totalsRowLabel="G" dataDxfId="22"/>
    <tableColumn id="12" xr3:uid="{00000000-0010-0000-0000-00000C000000}" name="Task Status" totalsRowLabel="Open" dataDxfId="2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16" displayName="Table16" ref="B10:N13" headerRowDxfId="82" dataDxfId="80" totalsRowDxfId="78" headerRowBorderDxfId="81" tableBorderDxfId="79">
  <autoFilter ref="B10:N13" xr:uid="{00000000-0009-0000-0100-000005000000}"/>
  <tableColumns count="13">
    <tableColumn id="2" xr3:uid="{00000000-0010-0000-0100-000002000000}" name="ID" totalsRowFunction="custom" dataDxfId="77">
      <calculatedColumnFormula>IF(ISERROR(OFFSET(B11,-1,0)+1),1,OFFSET(B11,-1,0)+1)</calculatedColumnFormula>
      <totalsRowFormula>OFFSET(#REF!,-1,0)+1</totalsRowFormula>
    </tableColumn>
    <tableColumn id="19" xr3:uid="{00000000-0010-0000-0100-000013000000}" name="Date Raised" totalsRowLabel="12-Aug" dataDxfId="76"/>
    <tableColumn id="23" xr3:uid="{00000000-0010-0000-0100-000017000000}" name="Owner" totalsRowLabel="Nik" dataDxfId="75"/>
    <tableColumn id="17" xr3:uid="{00000000-0010-0000-0100-000011000000}" name="Site" totalsRowLabel="Exeter" dataDxfId="74"/>
    <tableColumn id="16" xr3:uid="{00000000-0010-0000-0100-000010000000}" name="Campaign" dataDxfId="73"/>
    <tableColumn id="20" xr3:uid="{00000000-0010-0000-0100-000014000000}" name="Item Title" totalsRowLabel="Attrition" dataDxfId="72"/>
    <tableColumn id="10" xr3:uid="{00000000-0010-0000-0100-00000A000000}" name="Comments" totalsRowLabel="Attrition below 90 days" dataDxfId="71"/>
    <tableColumn id="3" xr3:uid="{00000000-0010-0000-0100-000003000000}" name="Action step with" totalsRowLabel="Martin" dataDxfId="70"/>
    <tableColumn id="24" xr3:uid="{00000000-0010-0000-0100-000018000000}" name="Requestor" totalsRowLabel="Daniel" dataDxfId="69"/>
    <tableColumn id="21" xr3:uid="{00000000-0010-0000-0100-000015000000}" name="Target Completion date" dataDxfId="68"/>
    <tableColumn id="25" xr3:uid="{00000000-0010-0000-0100-000019000000}" name="Priority" totalsRowLabel="1" dataDxfId="67"/>
    <tableColumn id="22" xr3:uid="{00000000-0010-0000-0100-000016000000}" name="RAG Status" totalsRowLabel="G" dataDxfId="66"/>
    <tableColumn id="12" xr3:uid="{00000000-0010-0000-0100-00000C000000}" name="Task Status" totalsRowLabel="Open" dataDxfId="6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17" displayName="Table17" ref="B10:N15" headerRowDxfId="64" dataDxfId="62" totalsRowDxfId="61" headerRowBorderDxfId="63">
  <tableColumns count="13">
    <tableColumn id="2" xr3:uid="{00000000-0010-0000-0200-000002000000}" name="ID" totalsRowFunction="custom" dataDxfId="60">
      <calculatedColumnFormula>OFFSET(B11,-1,0)+1</calculatedColumnFormula>
      <totalsRowFormula>OFFSET(#REF!,-1,0)+1</totalsRowFormula>
    </tableColumn>
    <tableColumn id="19" xr3:uid="{00000000-0010-0000-0200-000013000000}" name="Date Raised" totalsRowLabel="12-Aug" dataDxfId="59"/>
    <tableColumn id="23" xr3:uid="{00000000-0010-0000-0200-000017000000}" name="Owner" totalsRowLabel="Nik" dataDxfId="58"/>
    <tableColumn id="17" xr3:uid="{00000000-0010-0000-0200-000011000000}" name="Site" totalsRowLabel="Exeter" dataDxfId="57"/>
    <tableColumn id="16" xr3:uid="{00000000-0010-0000-0200-000010000000}" name="Campaign" dataDxfId="56"/>
    <tableColumn id="20" xr3:uid="{00000000-0010-0000-0200-000014000000}" name="Item Title" totalsRowLabel="Attrition" dataDxfId="55"/>
    <tableColumn id="1" xr3:uid="{00000000-0010-0000-0200-000001000000}" name="Comments" totalsRowLabel="-Slicers to be corrected to capture more than 1 month of data; formula corrected" dataDxfId="54"/>
    <tableColumn id="3" xr3:uid="{00000000-0010-0000-0200-000003000000}" name="Action step with" totalsRowLabel="Martin" dataDxfId="53"/>
    <tableColumn id="24" xr3:uid="{00000000-0010-0000-0200-000018000000}" name="Requestor" totalsRowLabel="Daniel" dataDxfId="52"/>
    <tableColumn id="21" xr3:uid="{00000000-0010-0000-0200-000015000000}" name="Target Completion date" dataDxfId="51"/>
    <tableColumn id="25" xr3:uid="{00000000-0010-0000-0200-000019000000}" name="Priority" totalsRowLabel="1" dataDxfId="50"/>
    <tableColumn id="22" xr3:uid="{00000000-0010-0000-0200-000016000000}" name="RAG Status" totalsRowLabel="G" dataDxfId="49"/>
    <tableColumn id="12" xr3:uid="{00000000-0010-0000-0200-00000C000000}" name="Task Status" totalsRowLabel="Open" dataDxfId="4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 displayName="Table2" ref="A2:A7" totalsRowShown="0" headerRowDxfId="47" dataDxfId="46">
  <autoFilter ref="A2:A7" xr:uid="{00000000-0009-0000-0100-000002000000}"/>
  <tableColumns count="1">
    <tableColumn id="1" xr3:uid="{00000000-0010-0000-0300-000001000000}" name="Status" dataDxfId="4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3" displayName="Table3" ref="C2:D5" totalsRowShown="0" headerRowDxfId="44" dataDxfId="43">
  <autoFilter ref="C2:D5" xr:uid="{00000000-0009-0000-0100-000003000000}"/>
  <tableColumns count="2">
    <tableColumn id="1" xr3:uid="{00000000-0010-0000-0400-000001000000}" name="Priority" dataDxfId="42"/>
    <tableColumn id="2" xr3:uid="{00000000-0010-0000-0400-000002000000}" name="Comment" dataDxfId="41"/>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Table4" displayName="Table4" ref="F2:G5" totalsRowShown="0" headerRowDxfId="40">
  <autoFilter ref="F2:G5" xr:uid="{00000000-0009-0000-0100-000004000000}"/>
  <tableColumns count="2">
    <tableColumn id="1" xr3:uid="{00000000-0010-0000-0500-000001000000}" name="RAG" dataDxfId="39"/>
    <tableColumn id="2" xr3:uid="{00000000-0010-0000-0500-000002000000}" name="Com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56"/>
  <sheetViews>
    <sheetView showGridLines="0" tabSelected="1" zoomScale="70" zoomScaleNormal="70" zoomScalePageLayoutView="75" workbookViewId="0">
      <pane xSplit="2" ySplit="10" topLeftCell="F47" activePane="bottomRight" state="frozen"/>
      <selection pane="topRight" activeCell="B1" sqref="B1"/>
      <selection pane="bottomLeft" activeCell="A14" sqref="A14"/>
      <selection pane="bottomRight"/>
    </sheetView>
  </sheetViews>
  <sheetFormatPr defaultColWidth="8.85546875" defaultRowHeight="15" x14ac:dyDescent="0.25"/>
  <cols>
    <col min="1" max="1" width="2.42578125" style="1" customWidth="1"/>
    <col min="2" max="2" width="13.42578125" bestFit="1" customWidth="1"/>
    <col min="3" max="3" width="29.5703125" bestFit="1" customWidth="1"/>
    <col min="4" max="4" width="19.5703125" bestFit="1" customWidth="1"/>
    <col min="5" max="5" width="36" bestFit="1" customWidth="1"/>
    <col min="6" max="6" width="35" customWidth="1"/>
    <col min="7" max="7" width="48.28515625" customWidth="1"/>
    <col min="8" max="8" width="110.7109375" style="21" customWidth="1"/>
    <col min="9" max="9" width="34.7109375" style="2" customWidth="1"/>
    <col min="10" max="10" width="25.5703125" style="2" customWidth="1"/>
    <col min="11" max="11" width="19.5703125" style="2" customWidth="1"/>
    <col min="12" max="12" width="22.42578125" style="41" bestFit="1" customWidth="1"/>
    <col min="13" max="13" width="29" style="2" bestFit="1" customWidth="1"/>
    <col min="14" max="14" width="29.28515625" style="2" bestFit="1" customWidth="1"/>
    <col min="15" max="15" width="9.28515625" style="2" customWidth="1"/>
    <col min="16" max="16" width="35" style="1" customWidth="1"/>
    <col min="17" max="19" width="8.85546875" style="1"/>
    <col min="20" max="20" width="12.140625" style="1" bestFit="1" customWidth="1"/>
    <col min="21" max="16384" width="8.85546875" style="1"/>
  </cols>
  <sheetData>
    <row r="1" spans="1:15" ht="7.5" customHeight="1" thickBot="1" x14ac:dyDescent="0.3">
      <c r="A1" s="9"/>
      <c r="B1" s="9"/>
      <c r="C1" s="10"/>
      <c r="D1" s="10"/>
      <c r="E1" s="10"/>
      <c r="F1" s="10"/>
      <c r="G1" s="9"/>
      <c r="H1" s="18"/>
      <c r="I1" s="10"/>
      <c r="J1" s="10"/>
      <c r="K1" s="10"/>
      <c r="L1" s="40"/>
      <c r="M1" s="4"/>
      <c r="N1" s="4"/>
      <c r="O1" s="1"/>
    </row>
    <row r="2" spans="1:15" ht="23.25" customHeight="1" thickBot="1" x14ac:dyDescent="0.3">
      <c r="A2" s="9"/>
      <c r="B2" s="9"/>
      <c r="C2" s="9"/>
      <c r="D2" s="116" t="s">
        <v>0</v>
      </c>
      <c r="E2" s="117"/>
      <c r="F2" s="118"/>
      <c r="G2" s="9"/>
      <c r="H2" s="119"/>
      <c r="I2" s="119"/>
      <c r="J2" s="119"/>
      <c r="K2" s="119"/>
      <c r="L2" s="119"/>
      <c r="M2" s="119"/>
      <c r="O2" s="1"/>
    </row>
    <row r="3" spans="1:15" ht="20.25" customHeight="1" thickBot="1" x14ac:dyDescent="0.3">
      <c r="A3" s="9"/>
      <c r="B3" s="9"/>
      <c r="C3" s="9"/>
      <c r="D3" s="14" t="s">
        <v>1</v>
      </c>
      <c r="E3" s="15" t="s">
        <v>2</v>
      </c>
      <c r="F3" s="15" t="s">
        <v>3</v>
      </c>
      <c r="G3" s="9"/>
      <c r="H3" s="119"/>
      <c r="I3" s="119"/>
      <c r="J3" s="119"/>
      <c r="K3" s="119"/>
      <c r="L3" s="119"/>
      <c r="M3" s="119"/>
    </row>
    <row r="4" spans="1:15" ht="19.5" thickBot="1" x14ac:dyDescent="0.3">
      <c r="A4" s="9"/>
      <c r="B4" s="9"/>
      <c r="C4" s="12" t="s">
        <v>4</v>
      </c>
      <c r="D4" s="16">
        <f>COUNTIFS($M$11:$M$1048576,D$3,$N$11:$N$1048576,"Open")</f>
        <v>0</v>
      </c>
      <c r="E4" s="16">
        <f>COUNTIFS($M$11:$M$1048576,E$3,$N$11:$N$1048576,"Open")</f>
        <v>0</v>
      </c>
      <c r="F4" s="16">
        <f>COUNTIFS($M$11:$M$1048576,F$3,$N$11:$N$1048576,"Open")</f>
        <v>6</v>
      </c>
      <c r="G4" s="9"/>
      <c r="H4" s="119"/>
      <c r="I4" s="119"/>
      <c r="J4" s="119"/>
      <c r="K4" s="119"/>
      <c r="L4" s="119"/>
      <c r="M4" s="119"/>
    </row>
    <row r="5" spans="1:15" ht="19.5" thickBot="1" x14ac:dyDescent="0.3">
      <c r="A5" s="9"/>
      <c r="B5" s="9"/>
      <c r="C5" s="12" t="s">
        <v>5</v>
      </c>
      <c r="D5" s="16">
        <f>COUNTIFS($M$11:$M$1048576,D$3,$N$11:$N$1048576,"Closed")</f>
        <v>0</v>
      </c>
      <c r="E5" s="16">
        <f>COUNTIFS($M$11:$M$1048576,E$3,$N$11:$N$1048576,"Closed")</f>
        <v>1</v>
      </c>
      <c r="F5" s="16">
        <f>COUNTIFS($M$11:$M$1048576,F$3,$N$11:$N$1048576,"Closed")</f>
        <v>33</v>
      </c>
      <c r="G5" s="9"/>
      <c r="H5" s="119"/>
      <c r="I5" s="119"/>
      <c r="J5" s="119"/>
      <c r="K5" s="119"/>
      <c r="L5" s="119"/>
      <c r="M5" s="119"/>
    </row>
    <row r="6" spans="1:15" ht="19.5" thickBot="1" x14ac:dyDescent="0.3">
      <c r="A6" s="9"/>
      <c r="B6" s="9"/>
      <c r="C6" s="12" t="s">
        <v>6</v>
      </c>
      <c r="D6" s="16">
        <f>COUNTIFS($M$11:$M$1048576,D$3,$N$11:$N$1048576,"Cancelled")</f>
        <v>0</v>
      </c>
      <c r="E6" s="16">
        <f>COUNTIFS($M$11:$M$1048576,E$3,$N$11:$N$1048576,"Cancelled")</f>
        <v>2</v>
      </c>
      <c r="F6" s="16">
        <f>COUNTIFS($M$11:$M$1048576,F$3,$N$11:$N$1048576,"Cancelled")</f>
        <v>3</v>
      </c>
      <c r="G6" s="9"/>
      <c r="H6" s="119"/>
      <c r="I6" s="119"/>
      <c r="J6" s="119"/>
      <c r="K6" s="119"/>
      <c r="L6" s="119"/>
      <c r="M6" s="119"/>
      <c r="N6" s="17">
        <f ca="1">TODAY()</f>
        <v>45833</v>
      </c>
    </row>
    <row r="7" spans="1:15" ht="47.25" thickBot="1" x14ac:dyDescent="0.3">
      <c r="A7" s="9"/>
      <c r="B7" s="9"/>
      <c r="C7" s="12" t="s">
        <v>7</v>
      </c>
      <c r="D7" s="16">
        <f>COUNTIFS($M$11:$M$1048576,D$3,$N$11:$N$1048576,"Pending")</f>
        <v>0</v>
      </c>
      <c r="E7" s="16">
        <f>COUNTIFS($M$11:$M$1048576,E$3,$N$11:$N$1048576,"Pending")</f>
        <v>0</v>
      </c>
      <c r="F7" s="16">
        <f>COUNTIFS($M$11:$M$1048576,F$3,$N$11:$N$1048576,"Pending")</f>
        <v>0</v>
      </c>
      <c r="G7" s="9"/>
      <c r="H7" s="19"/>
      <c r="I7" s="9"/>
      <c r="J7" s="9"/>
      <c r="K7" s="5"/>
      <c r="O7" s="1"/>
    </row>
    <row r="8" spans="1:15" ht="15" customHeight="1" x14ac:dyDescent="0.25">
      <c r="B8" s="9"/>
      <c r="C8" s="9"/>
      <c r="D8" s="9"/>
      <c r="E8" s="9"/>
      <c r="F8" s="9"/>
      <c r="G8" s="9"/>
      <c r="H8" s="19"/>
      <c r="I8" s="9"/>
      <c r="J8" s="9"/>
      <c r="K8" s="5"/>
      <c r="O8" s="1"/>
    </row>
    <row r="9" spans="1:15" ht="15" customHeight="1" x14ac:dyDescent="0.25">
      <c r="B9" s="9"/>
      <c r="C9" s="9"/>
      <c r="D9" s="9"/>
      <c r="E9" s="9"/>
      <c r="F9" s="9"/>
      <c r="G9" s="9"/>
      <c r="H9" s="19"/>
      <c r="I9" s="9"/>
      <c r="J9" s="9"/>
      <c r="K9" s="5"/>
      <c r="O9" s="1"/>
    </row>
    <row r="10" spans="1:15" s="3" customFormat="1" ht="67.5" customHeight="1" x14ac:dyDescent="0.25">
      <c r="B10" s="43" t="s">
        <v>8</v>
      </c>
      <c r="C10" s="44" t="s">
        <v>9</v>
      </c>
      <c r="D10" s="44" t="s">
        <v>10</v>
      </c>
      <c r="E10" s="44" t="s">
        <v>11</v>
      </c>
      <c r="F10" s="44" t="s">
        <v>12</v>
      </c>
      <c r="G10" s="44" t="s">
        <v>13</v>
      </c>
      <c r="H10" s="45" t="s">
        <v>14</v>
      </c>
      <c r="I10" s="44" t="s">
        <v>15</v>
      </c>
      <c r="J10" s="46" t="s">
        <v>16</v>
      </c>
      <c r="K10" s="46" t="s">
        <v>17</v>
      </c>
      <c r="L10" s="47" t="s">
        <v>18</v>
      </c>
      <c r="M10" s="44" t="s">
        <v>19</v>
      </c>
      <c r="N10" s="48" t="s">
        <v>20</v>
      </c>
    </row>
    <row r="11" spans="1:15" ht="18.75" x14ac:dyDescent="0.25">
      <c r="B11" s="49">
        <v>1</v>
      </c>
      <c r="C11" s="37">
        <v>45306</v>
      </c>
      <c r="D11" s="38" t="s">
        <v>21</v>
      </c>
      <c r="E11" s="24" t="s">
        <v>90</v>
      </c>
      <c r="F11" s="24" t="s">
        <v>23</v>
      </c>
      <c r="G11" s="25" t="s">
        <v>24</v>
      </c>
      <c r="H11" s="32" t="s">
        <v>25</v>
      </c>
      <c r="I11" s="25" t="s">
        <v>21</v>
      </c>
      <c r="J11" s="25" t="s">
        <v>26</v>
      </c>
      <c r="K11" s="39">
        <v>45366</v>
      </c>
      <c r="L11" s="26">
        <v>1</v>
      </c>
      <c r="M11" s="39" t="s">
        <v>3</v>
      </c>
      <c r="N11" s="50" t="s">
        <v>5</v>
      </c>
    </row>
    <row r="12" spans="1:15" ht="19.149999999999999" customHeight="1" x14ac:dyDescent="0.25">
      <c r="B12" s="49">
        <f t="shared" ref="B12" ca="1" si="0">OFFSET(B12,-1,0)+1</f>
        <v>2</v>
      </c>
      <c r="C12" s="37">
        <v>45337</v>
      </c>
      <c r="D12" s="38" t="s">
        <v>21</v>
      </c>
      <c r="E12" s="24" t="s">
        <v>90</v>
      </c>
      <c r="F12" s="24" t="s">
        <v>23</v>
      </c>
      <c r="G12" s="37" t="s">
        <v>27</v>
      </c>
      <c r="H12" s="32" t="s">
        <v>86</v>
      </c>
      <c r="I12" s="25" t="s">
        <v>28</v>
      </c>
      <c r="J12" s="25" t="s">
        <v>26</v>
      </c>
      <c r="K12" s="39"/>
      <c r="L12" s="26">
        <v>3</v>
      </c>
      <c r="M12" s="39" t="s">
        <v>3</v>
      </c>
      <c r="N12" s="50" t="s">
        <v>6</v>
      </c>
    </row>
    <row r="13" spans="1:15" ht="37.5" x14ac:dyDescent="0.25">
      <c r="B13" s="55">
        <f t="shared" ref="B13:B22" ca="1" si="1">OFFSET(B13,-1,0)+1</f>
        <v>3</v>
      </c>
      <c r="C13" s="56">
        <v>45352</v>
      </c>
      <c r="D13" s="38" t="s">
        <v>21</v>
      </c>
      <c r="E13" s="24" t="s">
        <v>90</v>
      </c>
      <c r="F13" s="24" t="s">
        <v>23</v>
      </c>
      <c r="G13" s="37" t="s">
        <v>29</v>
      </c>
      <c r="H13" s="53" t="s">
        <v>87</v>
      </c>
      <c r="I13" s="54" t="s">
        <v>28</v>
      </c>
      <c r="J13" s="25" t="s">
        <v>26</v>
      </c>
      <c r="K13" s="58">
        <v>45412</v>
      </c>
      <c r="L13" s="26">
        <v>3</v>
      </c>
      <c r="M13" s="39" t="s">
        <v>3</v>
      </c>
      <c r="N13" s="50" t="s">
        <v>5</v>
      </c>
    </row>
    <row r="14" spans="1:15" ht="56.25" x14ac:dyDescent="0.25">
      <c r="B14" s="55">
        <f t="shared" ca="1" si="1"/>
        <v>4</v>
      </c>
      <c r="C14" s="56">
        <v>45352</v>
      </c>
      <c r="D14" s="38" t="s">
        <v>21</v>
      </c>
      <c r="E14" s="24" t="s">
        <v>90</v>
      </c>
      <c r="F14" s="24" t="s">
        <v>23</v>
      </c>
      <c r="G14" s="51" t="s">
        <v>30</v>
      </c>
      <c r="H14" s="53" t="s">
        <v>31</v>
      </c>
      <c r="I14" s="54" t="s">
        <v>21</v>
      </c>
      <c r="J14" s="54" t="s">
        <v>32</v>
      </c>
      <c r="K14" s="58">
        <v>45382</v>
      </c>
      <c r="L14" s="59">
        <v>2</v>
      </c>
      <c r="M14" s="39" t="s">
        <v>3</v>
      </c>
      <c r="N14" s="60" t="s">
        <v>5</v>
      </c>
    </row>
    <row r="15" spans="1:15" ht="18.75" x14ac:dyDescent="0.25">
      <c r="B15" s="55">
        <f t="shared" ca="1" si="1"/>
        <v>5</v>
      </c>
      <c r="C15" s="56">
        <v>45352</v>
      </c>
      <c r="D15" s="38" t="s">
        <v>21</v>
      </c>
      <c r="E15" s="24" t="s">
        <v>90</v>
      </c>
      <c r="F15" s="24" t="s">
        <v>23</v>
      </c>
      <c r="G15" s="51" t="s">
        <v>33</v>
      </c>
      <c r="H15" s="53" t="s">
        <v>34</v>
      </c>
      <c r="I15" s="54" t="s">
        <v>21</v>
      </c>
      <c r="J15" s="57" t="s">
        <v>26</v>
      </c>
      <c r="K15" s="58">
        <v>45366</v>
      </c>
      <c r="L15" s="59">
        <v>1</v>
      </c>
      <c r="M15" s="39" t="s">
        <v>3</v>
      </c>
      <c r="N15" s="60" t="s">
        <v>5</v>
      </c>
    </row>
    <row r="16" spans="1:15" ht="37.5" x14ac:dyDescent="0.25">
      <c r="B16" s="55">
        <f t="shared" ca="1" si="1"/>
        <v>6</v>
      </c>
      <c r="C16" s="56">
        <v>45352</v>
      </c>
      <c r="D16" s="52" t="s">
        <v>21</v>
      </c>
      <c r="E16" s="24" t="s">
        <v>90</v>
      </c>
      <c r="F16" s="24" t="s">
        <v>23</v>
      </c>
      <c r="G16" s="51" t="s">
        <v>35</v>
      </c>
      <c r="H16" s="53" t="s">
        <v>83</v>
      </c>
      <c r="I16" s="57" t="s">
        <v>36</v>
      </c>
      <c r="J16" s="57" t="s">
        <v>26</v>
      </c>
      <c r="K16" s="58">
        <v>45390</v>
      </c>
      <c r="L16" s="59">
        <v>1</v>
      </c>
      <c r="M16" s="39" t="s">
        <v>3</v>
      </c>
      <c r="N16" s="60" t="s">
        <v>5</v>
      </c>
    </row>
    <row r="17" spans="2:14" ht="75" x14ac:dyDescent="0.25">
      <c r="B17" s="61">
        <f t="shared" ca="1" si="1"/>
        <v>7</v>
      </c>
      <c r="C17" s="62">
        <v>45352</v>
      </c>
      <c r="D17" s="52" t="s">
        <v>21</v>
      </c>
      <c r="E17" s="24" t="s">
        <v>90</v>
      </c>
      <c r="F17" s="24" t="s">
        <v>23</v>
      </c>
      <c r="G17" s="62" t="s">
        <v>37</v>
      </c>
      <c r="H17" s="32" t="s">
        <v>84</v>
      </c>
      <c r="I17" s="54" t="s">
        <v>21</v>
      </c>
      <c r="J17" s="57" t="s">
        <v>26</v>
      </c>
      <c r="K17" s="58">
        <v>45406</v>
      </c>
      <c r="L17" s="64">
        <v>1</v>
      </c>
      <c r="M17" s="63" t="s">
        <v>3</v>
      </c>
      <c r="N17" s="50" t="s">
        <v>5</v>
      </c>
    </row>
    <row r="18" spans="2:14" ht="18.75" x14ac:dyDescent="0.25">
      <c r="B18" s="55">
        <f t="shared" ca="1" si="1"/>
        <v>8</v>
      </c>
      <c r="C18" s="56">
        <v>45370</v>
      </c>
      <c r="D18" s="52" t="s">
        <v>21</v>
      </c>
      <c r="E18" s="24" t="s">
        <v>90</v>
      </c>
      <c r="F18" s="24" t="s">
        <v>23</v>
      </c>
      <c r="G18" s="37" t="s">
        <v>38</v>
      </c>
      <c r="H18" s="53" t="s">
        <v>39</v>
      </c>
      <c r="I18" s="54" t="s">
        <v>21</v>
      </c>
      <c r="J18" s="54" t="s">
        <v>40</v>
      </c>
      <c r="K18" s="58">
        <v>45373</v>
      </c>
      <c r="L18" s="59">
        <v>1</v>
      </c>
      <c r="M18" s="69" t="s">
        <v>3</v>
      </c>
      <c r="N18" s="60" t="s">
        <v>5</v>
      </c>
    </row>
    <row r="19" spans="2:14" ht="18.75" customHeight="1" x14ac:dyDescent="0.25">
      <c r="B19" s="55">
        <f t="shared" ca="1" si="1"/>
        <v>9</v>
      </c>
      <c r="C19" s="56">
        <v>45370</v>
      </c>
      <c r="D19" s="52" t="s">
        <v>21</v>
      </c>
      <c r="E19" s="24" t="s">
        <v>90</v>
      </c>
      <c r="F19" s="24" t="s">
        <v>23</v>
      </c>
      <c r="G19" s="37" t="s">
        <v>41</v>
      </c>
      <c r="H19" s="53" t="s">
        <v>42</v>
      </c>
      <c r="I19" s="54" t="s">
        <v>21</v>
      </c>
      <c r="J19" s="54" t="s">
        <v>40</v>
      </c>
      <c r="K19" s="58">
        <v>45380</v>
      </c>
      <c r="L19" s="59">
        <v>1</v>
      </c>
      <c r="M19" s="69" t="s">
        <v>3</v>
      </c>
      <c r="N19" s="60" t="s">
        <v>5</v>
      </c>
    </row>
    <row r="20" spans="2:14" ht="112.5" x14ac:dyDescent="0.25">
      <c r="B20" s="55">
        <f t="shared" ca="1" si="1"/>
        <v>10</v>
      </c>
      <c r="C20" s="56">
        <v>45370</v>
      </c>
      <c r="D20" s="52" t="s">
        <v>21</v>
      </c>
      <c r="E20" s="24" t="s">
        <v>90</v>
      </c>
      <c r="F20" s="24" t="s">
        <v>23</v>
      </c>
      <c r="G20" s="56" t="s">
        <v>43</v>
      </c>
      <c r="H20" s="53" t="s">
        <v>115</v>
      </c>
      <c r="I20" s="54" t="s">
        <v>36</v>
      </c>
      <c r="J20" s="54" t="s">
        <v>40</v>
      </c>
      <c r="K20" s="69" t="s">
        <v>96</v>
      </c>
      <c r="L20" s="59">
        <v>3</v>
      </c>
      <c r="M20" s="69" t="s">
        <v>2</v>
      </c>
      <c r="N20" s="60" t="s">
        <v>6</v>
      </c>
    </row>
    <row r="21" spans="2:14" ht="75" x14ac:dyDescent="0.25">
      <c r="B21" s="55">
        <f t="shared" ca="1" si="1"/>
        <v>11</v>
      </c>
      <c r="C21" s="56">
        <v>45370</v>
      </c>
      <c r="D21" s="52" t="s">
        <v>21</v>
      </c>
      <c r="E21" s="24" t="s">
        <v>90</v>
      </c>
      <c r="F21" s="24" t="s">
        <v>23</v>
      </c>
      <c r="G21" s="51" t="s">
        <v>44</v>
      </c>
      <c r="H21" s="53" t="s">
        <v>88</v>
      </c>
      <c r="I21" s="54" t="s">
        <v>85</v>
      </c>
      <c r="J21" s="54" t="s">
        <v>40</v>
      </c>
      <c r="K21" s="58">
        <v>45450</v>
      </c>
      <c r="L21" s="59">
        <v>3</v>
      </c>
      <c r="M21" s="69" t="s">
        <v>3</v>
      </c>
      <c r="N21" s="60" t="s">
        <v>5</v>
      </c>
    </row>
    <row r="22" spans="2:14" ht="93.75" x14ac:dyDescent="0.25">
      <c r="B22" s="55">
        <f t="shared" ca="1" si="1"/>
        <v>12</v>
      </c>
      <c r="C22" s="56">
        <v>45370</v>
      </c>
      <c r="D22" s="52" t="s">
        <v>21</v>
      </c>
      <c r="E22" s="24" t="s">
        <v>90</v>
      </c>
      <c r="F22" s="24" t="s">
        <v>23</v>
      </c>
      <c r="G22" s="71" t="s">
        <v>45</v>
      </c>
      <c r="H22" s="53" t="s">
        <v>107</v>
      </c>
      <c r="I22" s="54" t="s">
        <v>36</v>
      </c>
      <c r="J22" s="54" t="s">
        <v>40</v>
      </c>
      <c r="K22" s="58">
        <v>45394</v>
      </c>
      <c r="L22" s="59">
        <v>2</v>
      </c>
      <c r="M22" s="69" t="s">
        <v>2</v>
      </c>
      <c r="N22" s="60" t="s">
        <v>6</v>
      </c>
    </row>
    <row r="23" spans="2:14" ht="93.75" x14ac:dyDescent="0.25">
      <c r="B23" s="72">
        <f t="shared" ref="B23:B29" ca="1" si="2">OFFSET(B23,-1,0)+1</f>
        <v>13</v>
      </c>
      <c r="C23" s="56">
        <v>45439</v>
      </c>
      <c r="D23" s="52" t="s">
        <v>21</v>
      </c>
      <c r="E23" s="24" t="s">
        <v>90</v>
      </c>
      <c r="F23" s="24" t="s">
        <v>23</v>
      </c>
      <c r="G23" s="79" t="s">
        <v>89</v>
      </c>
      <c r="H23" s="78" t="s">
        <v>103</v>
      </c>
      <c r="I23" s="75" t="s">
        <v>21</v>
      </c>
      <c r="J23" s="54" t="s">
        <v>40</v>
      </c>
      <c r="K23" s="87">
        <v>45533</v>
      </c>
      <c r="L23" s="74">
        <v>1</v>
      </c>
      <c r="M23" s="76" t="s">
        <v>2</v>
      </c>
      <c r="N23" s="77" t="s">
        <v>5</v>
      </c>
    </row>
    <row r="24" spans="2:14" ht="56.25" x14ac:dyDescent="0.25">
      <c r="B24" s="72">
        <f t="shared" ca="1" si="2"/>
        <v>14</v>
      </c>
      <c r="C24" s="56">
        <v>45446</v>
      </c>
      <c r="D24" s="52" t="s">
        <v>21</v>
      </c>
      <c r="E24" s="24" t="s">
        <v>90</v>
      </c>
      <c r="F24" s="24" t="s">
        <v>23</v>
      </c>
      <c r="G24" s="79" t="s">
        <v>91</v>
      </c>
      <c r="H24" s="78" t="s">
        <v>94</v>
      </c>
      <c r="I24" s="75" t="s">
        <v>92</v>
      </c>
      <c r="J24" s="75" t="s">
        <v>93</v>
      </c>
      <c r="K24" s="73">
        <v>45453</v>
      </c>
      <c r="L24" s="74">
        <v>1</v>
      </c>
      <c r="M24" s="76" t="s">
        <v>3</v>
      </c>
      <c r="N24" s="77" t="s">
        <v>5</v>
      </c>
    </row>
    <row r="25" spans="2:14" ht="56.25" x14ac:dyDescent="0.25">
      <c r="B25" s="89">
        <f ca="1">OFFSET(B25,-1,0)+1</f>
        <v>15</v>
      </c>
      <c r="C25" s="90">
        <v>45587</v>
      </c>
      <c r="D25" s="91" t="s">
        <v>21</v>
      </c>
      <c r="E25" s="92" t="s">
        <v>124</v>
      </c>
      <c r="F25" s="92" t="s">
        <v>23</v>
      </c>
      <c r="G25" s="79" t="s">
        <v>112</v>
      </c>
      <c r="H25" s="78" t="s">
        <v>131</v>
      </c>
      <c r="I25" s="75" t="s">
        <v>129</v>
      </c>
      <c r="J25" s="75" t="s">
        <v>23</v>
      </c>
      <c r="K25" s="95">
        <v>45626</v>
      </c>
      <c r="L25" s="96">
        <v>1</v>
      </c>
      <c r="M25" s="76" t="s">
        <v>3</v>
      </c>
      <c r="N25" s="77" t="s">
        <v>5</v>
      </c>
    </row>
    <row r="26" spans="2:14" ht="37.5" x14ac:dyDescent="0.25">
      <c r="B26" s="80">
        <f t="shared" ca="1" si="2"/>
        <v>16</v>
      </c>
      <c r="C26" s="56">
        <v>45461</v>
      </c>
      <c r="D26" s="52" t="s">
        <v>21</v>
      </c>
      <c r="E26" s="24" t="s">
        <v>90</v>
      </c>
      <c r="F26" s="67" t="s">
        <v>23</v>
      </c>
      <c r="G26" s="79" t="s">
        <v>101</v>
      </c>
      <c r="H26" s="78" t="s">
        <v>102</v>
      </c>
      <c r="I26" s="75" t="s">
        <v>21</v>
      </c>
      <c r="J26" s="54" t="s">
        <v>40</v>
      </c>
      <c r="K26" s="76">
        <v>45471</v>
      </c>
      <c r="L26" s="82">
        <v>2</v>
      </c>
      <c r="M26" s="76" t="s">
        <v>3</v>
      </c>
      <c r="N26" s="77" t="s">
        <v>5</v>
      </c>
    </row>
    <row r="27" spans="2:14" ht="37.5" x14ac:dyDescent="0.25">
      <c r="B27" s="80">
        <f t="shared" ca="1" si="2"/>
        <v>17</v>
      </c>
      <c r="C27" s="56">
        <v>45461</v>
      </c>
      <c r="D27" s="52" t="s">
        <v>21</v>
      </c>
      <c r="E27" s="24" t="s">
        <v>90</v>
      </c>
      <c r="F27" s="67" t="s">
        <v>23</v>
      </c>
      <c r="G27" s="85" t="s">
        <v>95</v>
      </c>
      <c r="H27" s="78" t="s">
        <v>100</v>
      </c>
      <c r="I27" s="75" t="s">
        <v>21</v>
      </c>
      <c r="J27" s="54" t="s">
        <v>40</v>
      </c>
      <c r="K27" s="76">
        <v>45471</v>
      </c>
      <c r="L27" s="82">
        <v>2</v>
      </c>
      <c r="M27" s="76" t="s">
        <v>3</v>
      </c>
      <c r="N27" s="77" t="s">
        <v>5</v>
      </c>
    </row>
    <row r="28" spans="2:14" ht="18.75" customHeight="1" x14ac:dyDescent="0.25">
      <c r="B28" s="80">
        <f t="shared" ca="1" si="2"/>
        <v>18</v>
      </c>
      <c r="C28" s="56">
        <v>45461</v>
      </c>
      <c r="D28" s="52" t="s">
        <v>21</v>
      </c>
      <c r="E28" s="24" t="s">
        <v>90</v>
      </c>
      <c r="F28" s="67" t="s">
        <v>23</v>
      </c>
      <c r="G28" s="81" t="s">
        <v>97</v>
      </c>
      <c r="H28" s="78" t="s">
        <v>98</v>
      </c>
      <c r="I28" s="75" t="s">
        <v>21</v>
      </c>
      <c r="J28" s="54" t="s">
        <v>40</v>
      </c>
      <c r="K28" s="83">
        <v>45464</v>
      </c>
      <c r="L28" s="84">
        <v>3</v>
      </c>
      <c r="M28" s="76" t="s">
        <v>3</v>
      </c>
      <c r="N28" s="77" t="s">
        <v>5</v>
      </c>
    </row>
    <row r="29" spans="2:14" ht="93.75" x14ac:dyDescent="0.25">
      <c r="B29" s="80">
        <f t="shared" ca="1" si="2"/>
        <v>19</v>
      </c>
      <c r="C29" s="56">
        <v>45461</v>
      </c>
      <c r="D29" s="52" t="s">
        <v>21</v>
      </c>
      <c r="E29" s="24" t="s">
        <v>90</v>
      </c>
      <c r="F29" s="67" t="s">
        <v>23</v>
      </c>
      <c r="G29" s="79" t="s">
        <v>99</v>
      </c>
      <c r="H29" s="78" t="s">
        <v>113</v>
      </c>
      <c r="I29" s="75" t="s">
        <v>36</v>
      </c>
      <c r="J29" s="54" t="s">
        <v>40</v>
      </c>
      <c r="K29" s="76">
        <v>45595</v>
      </c>
      <c r="L29" s="84">
        <v>2</v>
      </c>
      <c r="M29" s="76" t="s">
        <v>3</v>
      </c>
      <c r="N29" s="77" t="s">
        <v>6</v>
      </c>
    </row>
    <row r="30" spans="2:14" ht="37.5" x14ac:dyDescent="0.25">
      <c r="B30" s="86">
        <f t="shared" ref="B30:B35" ca="1" si="3">OFFSET(B30,-1,0)+1</f>
        <v>20</v>
      </c>
      <c r="C30" s="56">
        <v>45461</v>
      </c>
      <c r="D30" s="52" t="s">
        <v>21</v>
      </c>
      <c r="E30" s="24" t="s">
        <v>90</v>
      </c>
      <c r="F30" s="67" t="s">
        <v>23</v>
      </c>
      <c r="G30" s="79" t="s">
        <v>104</v>
      </c>
      <c r="H30" s="78" t="s">
        <v>105</v>
      </c>
      <c r="I30" s="75" t="s">
        <v>21</v>
      </c>
      <c r="J30" s="75" t="s">
        <v>106</v>
      </c>
      <c r="K30" s="87">
        <v>45506</v>
      </c>
      <c r="L30" s="88">
        <v>1</v>
      </c>
      <c r="M30" s="76" t="s">
        <v>3</v>
      </c>
      <c r="N30" s="77" t="s">
        <v>5</v>
      </c>
    </row>
    <row r="31" spans="2:14" ht="56.25" x14ac:dyDescent="0.25">
      <c r="B31" s="89">
        <f t="shared" ca="1" si="3"/>
        <v>21</v>
      </c>
      <c r="C31" s="90">
        <v>45528</v>
      </c>
      <c r="D31" s="91" t="s">
        <v>21</v>
      </c>
      <c r="E31" s="100" t="s">
        <v>124</v>
      </c>
      <c r="F31" s="100" t="s">
        <v>116</v>
      </c>
      <c r="G31" s="79" t="s">
        <v>117</v>
      </c>
      <c r="H31" s="78" t="s">
        <v>123</v>
      </c>
      <c r="I31" s="75" t="s">
        <v>21</v>
      </c>
      <c r="J31" s="75" t="s">
        <v>120</v>
      </c>
      <c r="K31" s="95">
        <v>45597</v>
      </c>
      <c r="L31" s="96">
        <v>1</v>
      </c>
      <c r="M31" s="76" t="s">
        <v>3</v>
      </c>
      <c r="N31" s="77" t="s">
        <v>5</v>
      </c>
    </row>
    <row r="32" spans="2:14" ht="56.25" x14ac:dyDescent="0.25">
      <c r="B32" s="89">
        <f t="shared" ca="1" si="3"/>
        <v>22</v>
      </c>
      <c r="C32" s="90">
        <v>45565</v>
      </c>
      <c r="D32" s="91" t="s">
        <v>21</v>
      </c>
      <c r="E32" s="100" t="s">
        <v>124</v>
      </c>
      <c r="F32" s="100" t="s">
        <v>116</v>
      </c>
      <c r="G32" s="75" t="s">
        <v>118</v>
      </c>
      <c r="H32" s="78" t="s">
        <v>121</v>
      </c>
      <c r="I32" s="75" t="s">
        <v>122</v>
      </c>
      <c r="J32" s="75" t="s">
        <v>119</v>
      </c>
      <c r="K32" s="95">
        <v>45597</v>
      </c>
      <c r="L32" s="96">
        <v>1</v>
      </c>
      <c r="M32" s="76" t="s">
        <v>3</v>
      </c>
      <c r="N32" s="77" t="s">
        <v>5</v>
      </c>
    </row>
    <row r="33" spans="2:14" ht="150" x14ac:dyDescent="0.25">
      <c r="B33" s="89">
        <f t="shared" ca="1" si="3"/>
        <v>23</v>
      </c>
      <c r="C33" s="90">
        <v>45566</v>
      </c>
      <c r="D33" s="91" t="s">
        <v>21</v>
      </c>
      <c r="E33" s="92" t="s">
        <v>90</v>
      </c>
      <c r="F33" s="92" t="s">
        <v>23</v>
      </c>
      <c r="G33" s="79" t="s">
        <v>108</v>
      </c>
      <c r="H33" s="78" t="s">
        <v>156</v>
      </c>
      <c r="I33" s="75" t="s">
        <v>154</v>
      </c>
      <c r="J33" s="75" t="s">
        <v>111</v>
      </c>
      <c r="K33" s="76">
        <v>45747</v>
      </c>
      <c r="L33" s="96">
        <v>2</v>
      </c>
      <c r="M33" s="76" t="s">
        <v>3</v>
      </c>
      <c r="N33" s="77" t="s">
        <v>5</v>
      </c>
    </row>
    <row r="34" spans="2:14" ht="75" x14ac:dyDescent="0.25">
      <c r="B34" s="97">
        <f t="shared" ca="1" si="3"/>
        <v>24</v>
      </c>
      <c r="C34" s="98">
        <v>45575</v>
      </c>
      <c r="D34" s="91" t="s">
        <v>21</v>
      </c>
      <c r="E34" s="92" t="s">
        <v>124</v>
      </c>
      <c r="F34" s="101" t="s">
        <v>116</v>
      </c>
      <c r="G34" s="102" t="s">
        <v>125</v>
      </c>
      <c r="H34" s="103" t="s">
        <v>126</v>
      </c>
      <c r="I34" s="104" t="s">
        <v>127</v>
      </c>
      <c r="J34" s="104" t="s">
        <v>128</v>
      </c>
      <c r="K34" s="76" t="s">
        <v>96</v>
      </c>
      <c r="L34" s="99">
        <v>3</v>
      </c>
      <c r="M34" s="105" t="s">
        <v>3</v>
      </c>
      <c r="N34" s="106" t="s">
        <v>6</v>
      </c>
    </row>
    <row r="35" spans="2:14" ht="37.5" x14ac:dyDescent="0.25">
      <c r="B35" s="89">
        <f t="shared" ca="1" si="3"/>
        <v>25</v>
      </c>
      <c r="C35" s="90">
        <v>45587</v>
      </c>
      <c r="D35" s="91" t="s">
        <v>21</v>
      </c>
      <c r="E35" s="92" t="s">
        <v>124</v>
      </c>
      <c r="F35" s="92" t="s">
        <v>23</v>
      </c>
      <c r="G35" s="93" t="s">
        <v>45</v>
      </c>
      <c r="H35" s="78" t="s">
        <v>114</v>
      </c>
      <c r="I35" s="75" t="s">
        <v>110</v>
      </c>
      <c r="J35" s="94" t="s">
        <v>109</v>
      </c>
      <c r="K35" s="95">
        <v>45638</v>
      </c>
      <c r="L35" s="96">
        <v>2</v>
      </c>
      <c r="M35" s="76" t="s">
        <v>3</v>
      </c>
      <c r="N35" s="77" t="s">
        <v>5</v>
      </c>
    </row>
    <row r="36" spans="2:14" ht="63" customHeight="1" x14ac:dyDescent="0.25">
      <c r="B36" s="89">
        <f t="shared" ref="B36:B41" ca="1" si="4">OFFSET(B36,-1,0)+1</f>
        <v>26</v>
      </c>
      <c r="C36" s="90">
        <v>45625</v>
      </c>
      <c r="D36" s="91" t="s">
        <v>21</v>
      </c>
      <c r="E36" s="92" t="s">
        <v>124</v>
      </c>
      <c r="F36" s="92" t="s">
        <v>23</v>
      </c>
      <c r="G36" s="79" t="s">
        <v>130</v>
      </c>
      <c r="H36" s="78" t="s">
        <v>141</v>
      </c>
      <c r="I36" s="75" t="s">
        <v>36</v>
      </c>
      <c r="J36" s="75" t="s">
        <v>40</v>
      </c>
      <c r="K36" s="95" t="s">
        <v>96</v>
      </c>
      <c r="L36" s="96">
        <v>2</v>
      </c>
      <c r="M36" s="76" t="s">
        <v>3</v>
      </c>
      <c r="N36" s="77" t="s">
        <v>5</v>
      </c>
    </row>
    <row r="37" spans="2:14" ht="66.75" customHeight="1" x14ac:dyDescent="0.25">
      <c r="B37" s="89">
        <f t="shared" ca="1" si="4"/>
        <v>27</v>
      </c>
      <c r="C37" s="90">
        <v>45622</v>
      </c>
      <c r="D37" s="91" t="s">
        <v>21</v>
      </c>
      <c r="E37" s="92" t="s">
        <v>124</v>
      </c>
      <c r="F37" s="92" t="s">
        <v>116</v>
      </c>
      <c r="G37" s="93" t="s">
        <v>132</v>
      </c>
      <c r="H37" s="78" t="s">
        <v>134</v>
      </c>
      <c r="I37" s="75" t="s">
        <v>133</v>
      </c>
      <c r="J37" s="94" t="s">
        <v>120</v>
      </c>
      <c r="K37" s="95">
        <v>45657</v>
      </c>
      <c r="L37" s="96">
        <v>1</v>
      </c>
      <c r="M37" s="76" t="s">
        <v>3</v>
      </c>
      <c r="N37" s="77" t="s">
        <v>5</v>
      </c>
    </row>
    <row r="38" spans="2:14" ht="57" customHeight="1" x14ac:dyDescent="0.25">
      <c r="B38" s="89">
        <f t="shared" ca="1" si="4"/>
        <v>28</v>
      </c>
      <c r="C38" s="90">
        <v>45639</v>
      </c>
      <c r="D38" s="91" t="s">
        <v>21</v>
      </c>
      <c r="E38" s="92" t="s">
        <v>124</v>
      </c>
      <c r="F38" s="92" t="s">
        <v>116</v>
      </c>
      <c r="G38" s="79" t="s">
        <v>135</v>
      </c>
      <c r="H38" s="78" t="s">
        <v>155</v>
      </c>
      <c r="I38" s="75" t="s">
        <v>136</v>
      </c>
      <c r="J38" s="94" t="s">
        <v>120</v>
      </c>
      <c r="K38" s="95"/>
      <c r="L38" s="96">
        <v>1</v>
      </c>
      <c r="M38" s="76" t="s">
        <v>3</v>
      </c>
      <c r="N38" s="77" t="s">
        <v>4</v>
      </c>
    </row>
    <row r="39" spans="2:14" ht="56.25" x14ac:dyDescent="0.25">
      <c r="B39" s="89">
        <f t="shared" ca="1" si="4"/>
        <v>29</v>
      </c>
      <c r="C39" s="90">
        <v>45685</v>
      </c>
      <c r="D39" s="91" t="s">
        <v>21</v>
      </c>
      <c r="E39" s="92" t="s">
        <v>124</v>
      </c>
      <c r="F39" s="92" t="s">
        <v>116</v>
      </c>
      <c r="G39" s="79" t="s">
        <v>140</v>
      </c>
      <c r="H39" s="78" t="s">
        <v>138</v>
      </c>
      <c r="I39" s="75" t="s">
        <v>21</v>
      </c>
      <c r="J39" s="94" t="s">
        <v>120</v>
      </c>
      <c r="K39" s="95"/>
      <c r="L39" s="96">
        <v>2</v>
      </c>
      <c r="M39" s="76" t="s">
        <v>3</v>
      </c>
      <c r="N39" s="77" t="s">
        <v>4</v>
      </c>
    </row>
    <row r="40" spans="2:14" ht="56.25" x14ac:dyDescent="0.25">
      <c r="B40" s="89">
        <f t="shared" ca="1" si="4"/>
        <v>30</v>
      </c>
      <c r="C40" s="90">
        <v>45685</v>
      </c>
      <c r="D40" s="91" t="s">
        <v>21</v>
      </c>
      <c r="E40" s="92" t="s">
        <v>124</v>
      </c>
      <c r="F40" s="92" t="s">
        <v>116</v>
      </c>
      <c r="G40" s="79" t="s">
        <v>139</v>
      </c>
      <c r="H40" s="78" t="s">
        <v>138</v>
      </c>
      <c r="I40" s="75" t="s">
        <v>21</v>
      </c>
      <c r="J40" s="94" t="s">
        <v>120</v>
      </c>
      <c r="K40" s="95">
        <v>45747</v>
      </c>
      <c r="L40" s="96">
        <v>2</v>
      </c>
      <c r="M40" s="76" t="s">
        <v>3</v>
      </c>
      <c r="N40" s="77" t="s">
        <v>5</v>
      </c>
    </row>
    <row r="41" spans="2:14" ht="56.25" x14ac:dyDescent="0.25">
      <c r="B41" s="89">
        <f t="shared" ca="1" si="4"/>
        <v>31</v>
      </c>
      <c r="C41" s="90">
        <v>45685</v>
      </c>
      <c r="D41" s="91" t="s">
        <v>21</v>
      </c>
      <c r="E41" s="92" t="s">
        <v>124</v>
      </c>
      <c r="F41" s="92" t="s">
        <v>116</v>
      </c>
      <c r="G41" s="79" t="s">
        <v>137</v>
      </c>
      <c r="H41" s="78" t="s">
        <v>37</v>
      </c>
      <c r="I41" s="75" t="s">
        <v>21</v>
      </c>
      <c r="J41" s="94" t="s">
        <v>120</v>
      </c>
      <c r="K41" s="95"/>
      <c r="L41" s="96">
        <v>3</v>
      </c>
      <c r="M41" s="76" t="s">
        <v>3</v>
      </c>
      <c r="N41" s="77" t="s">
        <v>4</v>
      </c>
    </row>
    <row r="42" spans="2:14" ht="56.25" x14ac:dyDescent="0.25">
      <c r="B42" s="89">
        <f ca="1">OFFSET(B42,-1,0)+1</f>
        <v>32</v>
      </c>
      <c r="C42" s="108">
        <v>45714</v>
      </c>
      <c r="D42" s="91" t="s">
        <v>21</v>
      </c>
      <c r="E42" s="100" t="s">
        <v>90</v>
      </c>
      <c r="F42" s="92" t="s">
        <v>116</v>
      </c>
      <c r="G42" s="79" t="s">
        <v>143</v>
      </c>
      <c r="H42" s="107" t="s">
        <v>142</v>
      </c>
      <c r="I42" s="75" t="s">
        <v>21</v>
      </c>
      <c r="J42" s="75" t="s">
        <v>120</v>
      </c>
      <c r="K42" s="95">
        <v>45747</v>
      </c>
      <c r="L42" s="96">
        <v>1</v>
      </c>
      <c r="M42" s="76" t="s">
        <v>3</v>
      </c>
      <c r="N42" s="77" t="s">
        <v>5</v>
      </c>
    </row>
    <row r="43" spans="2:14" ht="56.25" x14ac:dyDescent="0.25">
      <c r="B43" s="89">
        <f ca="1">OFFSET(B43,-1,0)+1</f>
        <v>33</v>
      </c>
      <c r="C43" s="108">
        <v>45714</v>
      </c>
      <c r="D43" s="91" t="s">
        <v>21</v>
      </c>
      <c r="E43" s="100" t="s">
        <v>90</v>
      </c>
      <c r="F43" s="92" t="s">
        <v>116</v>
      </c>
      <c r="G43" s="79" t="s">
        <v>144</v>
      </c>
      <c r="H43" s="78" t="s">
        <v>144</v>
      </c>
      <c r="I43" s="75" t="s">
        <v>21</v>
      </c>
      <c r="J43" s="75" t="s">
        <v>120</v>
      </c>
      <c r="K43" s="95">
        <v>45747</v>
      </c>
      <c r="L43" s="96">
        <v>1</v>
      </c>
      <c r="M43" s="76" t="s">
        <v>3</v>
      </c>
      <c r="N43" s="77" t="s">
        <v>5</v>
      </c>
    </row>
    <row r="44" spans="2:14" ht="56.25" x14ac:dyDescent="0.25">
      <c r="B44" s="97">
        <f ca="1">OFFSET(B44,-1,0)+1</f>
        <v>34</v>
      </c>
      <c r="C44" s="98">
        <v>45722</v>
      </c>
      <c r="D44" s="91" t="s">
        <v>21</v>
      </c>
      <c r="E44" s="100" t="s">
        <v>90</v>
      </c>
      <c r="F44" s="92" t="s">
        <v>116</v>
      </c>
      <c r="G44" s="79" t="s">
        <v>157</v>
      </c>
      <c r="H44" s="78" t="s">
        <v>158</v>
      </c>
      <c r="I44" s="75" t="s">
        <v>21</v>
      </c>
      <c r="J44" s="75" t="s">
        <v>120</v>
      </c>
      <c r="K44" s="114">
        <v>45744</v>
      </c>
      <c r="L44" s="99">
        <v>1</v>
      </c>
      <c r="M44" s="105" t="s">
        <v>3</v>
      </c>
      <c r="N44" s="106" t="s">
        <v>5</v>
      </c>
    </row>
    <row r="45" spans="2:14" ht="56.25" x14ac:dyDescent="0.25">
      <c r="B45" s="97">
        <f t="shared" ref="B45:B46" ca="1" si="5">OFFSET(B45,-1,0)+1</f>
        <v>35</v>
      </c>
      <c r="C45" s="98">
        <v>45734</v>
      </c>
      <c r="D45" s="109" t="s">
        <v>21</v>
      </c>
      <c r="E45" s="101" t="s">
        <v>162</v>
      </c>
      <c r="F45" s="110" t="s">
        <v>116</v>
      </c>
      <c r="G45" s="111" t="s">
        <v>143</v>
      </c>
      <c r="H45" s="112" t="s">
        <v>142</v>
      </c>
      <c r="I45" s="113" t="s">
        <v>21</v>
      </c>
      <c r="J45" s="113" t="s">
        <v>120</v>
      </c>
      <c r="K45" s="114"/>
      <c r="L45" s="99">
        <v>2</v>
      </c>
      <c r="M45" s="114" t="s">
        <v>3</v>
      </c>
      <c r="N45" s="106" t="s">
        <v>5</v>
      </c>
    </row>
    <row r="46" spans="2:14" ht="56.25" x14ac:dyDescent="0.25">
      <c r="B46" s="97">
        <f t="shared" ca="1" si="5"/>
        <v>36</v>
      </c>
      <c r="C46" s="98">
        <v>45734</v>
      </c>
      <c r="D46" s="109" t="s">
        <v>21</v>
      </c>
      <c r="E46" s="101" t="s">
        <v>162</v>
      </c>
      <c r="F46" s="110" t="s">
        <v>116</v>
      </c>
      <c r="G46" s="111" t="s">
        <v>144</v>
      </c>
      <c r="H46" s="112" t="s">
        <v>144</v>
      </c>
      <c r="I46" s="113" t="s">
        <v>21</v>
      </c>
      <c r="J46" s="113" t="s">
        <v>120</v>
      </c>
      <c r="K46" s="114"/>
      <c r="L46" s="99">
        <v>2</v>
      </c>
      <c r="M46" s="114" t="s">
        <v>3</v>
      </c>
      <c r="N46" s="115" t="s">
        <v>4</v>
      </c>
    </row>
    <row r="47" spans="2:14" ht="56.25" x14ac:dyDescent="0.25">
      <c r="B47" s="89">
        <f ca="1">OFFSET(B47,-1,0)+1</f>
        <v>37</v>
      </c>
      <c r="C47" s="108">
        <v>45714</v>
      </c>
      <c r="D47" s="91" t="s">
        <v>21</v>
      </c>
      <c r="E47" s="92" t="s">
        <v>90</v>
      </c>
      <c r="F47" s="92" t="s">
        <v>23</v>
      </c>
      <c r="G47" s="79" t="s">
        <v>146</v>
      </c>
      <c r="H47" s="78" t="s">
        <v>147</v>
      </c>
      <c r="I47" s="75" t="s">
        <v>21</v>
      </c>
      <c r="J47" s="94" t="s">
        <v>148</v>
      </c>
      <c r="K47" s="95">
        <v>45777</v>
      </c>
      <c r="L47" s="96">
        <v>2</v>
      </c>
      <c r="M47" s="76" t="s">
        <v>3</v>
      </c>
      <c r="N47" s="77" t="s">
        <v>5</v>
      </c>
    </row>
    <row r="48" spans="2:14" ht="56.25" x14ac:dyDescent="0.25">
      <c r="B48" s="89">
        <f ca="1">OFFSET(B48,-1,0)+1</f>
        <v>38</v>
      </c>
      <c r="C48" s="90">
        <v>45722</v>
      </c>
      <c r="D48" s="91" t="s">
        <v>21</v>
      </c>
      <c r="E48" s="92" t="s">
        <v>124</v>
      </c>
      <c r="F48" s="92" t="s">
        <v>124</v>
      </c>
      <c r="G48" s="79" t="s">
        <v>145</v>
      </c>
      <c r="H48" s="78" t="s">
        <v>151</v>
      </c>
      <c r="I48" s="75" t="s">
        <v>21</v>
      </c>
      <c r="J48" s="75" t="s">
        <v>149</v>
      </c>
      <c r="K48" s="95">
        <v>45742</v>
      </c>
      <c r="L48" s="96">
        <v>1</v>
      </c>
      <c r="M48" s="76" t="s">
        <v>3</v>
      </c>
      <c r="N48" s="77" t="s">
        <v>5</v>
      </c>
    </row>
    <row r="49" spans="2:14" ht="56.25" x14ac:dyDescent="0.25">
      <c r="B49" s="89">
        <f ca="1">OFFSET(B49,-1,0)+1</f>
        <v>39</v>
      </c>
      <c r="C49" s="90">
        <v>45722</v>
      </c>
      <c r="D49" s="91" t="s">
        <v>21</v>
      </c>
      <c r="E49" s="92" t="s">
        <v>124</v>
      </c>
      <c r="F49" s="92" t="s">
        <v>23</v>
      </c>
      <c r="G49" s="79" t="s">
        <v>27</v>
      </c>
      <c r="H49" s="78" t="s">
        <v>150</v>
      </c>
      <c r="I49" s="75" t="s">
        <v>21</v>
      </c>
      <c r="J49" s="75" t="s">
        <v>148</v>
      </c>
      <c r="K49" s="95">
        <v>45747</v>
      </c>
      <c r="L49" s="96">
        <v>1</v>
      </c>
      <c r="M49" s="76" t="s">
        <v>3</v>
      </c>
      <c r="N49" s="77" t="s">
        <v>5</v>
      </c>
    </row>
    <row r="50" spans="2:14" ht="56.25" x14ac:dyDescent="0.25">
      <c r="B50" s="89">
        <f ca="1">OFFSET(B50,-1,0)+1</f>
        <v>40</v>
      </c>
      <c r="C50" s="90">
        <v>45730</v>
      </c>
      <c r="D50" s="91" t="s">
        <v>21</v>
      </c>
      <c r="E50" s="92" t="s">
        <v>90</v>
      </c>
      <c r="F50" s="92" t="s">
        <v>116</v>
      </c>
      <c r="G50" s="79" t="s">
        <v>152</v>
      </c>
      <c r="H50" s="78" t="s">
        <v>153</v>
      </c>
      <c r="I50" s="75" t="s">
        <v>21</v>
      </c>
      <c r="J50" s="94" t="s">
        <v>120</v>
      </c>
      <c r="K50" s="95"/>
      <c r="L50" s="96">
        <v>3</v>
      </c>
      <c r="M50" s="76" t="s">
        <v>3</v>
      </c>
      <c r="N50" s="77" t="s">
        <v>4</v>
      </c>
    </row>
    <row r="51" spans="2:14" ht="54" customHeight="1" x14ac:dyDescent="0.25">
      <c r="B51" s="89">
        <f ca="1">OFFSET(B51,-1,0)+1</f>
        <v>41</v>
      </c>
      <c r="C51" s="90">
        <v>45714</v>
      </c>
      <c r="D51" s="91" t="s">
        <v>21</v>
      </c>
      <c r="E51" s="100" t="s">
        <v>159</v>
      </c>
      <c r="F51" s="92" t="s">
        <v>23</v>
      </c>
      <c r="G51" s="79" t="s">
        <v>160</v>
      </c>
      <c r="H51" s="78" t="s">
        <v>161</v>
      </c>
      <c r="I51" s="75" t="s">
        <v>28</v>
      </c>
      <c r="J51" s="94" t="s">
        <v>111</v>
      </c>
      <c r="K51" s="95"/>
      <c r="L51" s="96">
        <v>3</v>
      </c>
      <c r="M51" s="76" t="s">
        <v>3</v>
      </c>
      <c r="N51" s="77" t="s">
        <v>5</v>
      </c>
    </row>
    <row r="52" spans="2:14" ht="54" customHeight="1" x14ac:dyDescent="0.25">
      <c r="B52" s="97">
        <f ca="1">OFFSET(B52,-1,0)+1</f>
        <v>42</v>
      </c>
      <c r="C52" s="98"/>
      <c r="D52" s="109"/>
      <c r="E52" s="110"/>
      <c r="F52" s="92" t="s">
        <v>23</v>
      </c>
      <c r="G52" s="102" t="s">
        <v>167</v>
      </c>
      <c r="H52" s="103" t="s">
        <v>168</v>
      </c>
      <c r="I52" s="104" t="s">
        <v>164</v>
      </c>
      <c r="J52" s="104" t="s">
        <v>169</v>
      </c>
      <c r="K52" s="114">
        <v>45832</v>
      </c>
      <c r="L52" s="99">
        <v>3</v>
      </c>
      <c r="M52" s="76" t="s">
        <v>3</v>
      </c>
      <c r="N52" s="77" t="s">
        <v>5</v>
      </c>
    </row>
    <row r="53" spans="2:14" ht="18.75" x14ac:dyDescent="0.25">
      <c r="B53" s="97">
        <f ca="1">OFFSET(B53,-1,0)+1</f>
        <v>43</v>
      </c>
      <c r="C53" s="98"/>
      <c r="D53" s="109"/>
      <c r="E53" s="110"/>
      <c r="F53" s="92" t="s">
        <v>23</v>
      </c>
      <c r="G53" s="102" t="s">
        <v>157</v>
      </c>
      <c r="H53" s="103" t="s">
        <v>163</v>
      </c>
      <c r="I53" s="104" t="s">
        <v>164</v>
      </c>
      <c r="J53" s="104" t="s">
        <v>40</v>
      </c>
      <c r="K53" s="95">
        <v>45833</v>
      </c>
      <c r="L53" s="99">
        <v>1</v>
      </c>
      <c r="M53" s="105" t="s">
        <v>3</v>
      </c>
      <c r="N53" s="106" t="s">
        <v>5</v>
      </c>
    </row>
    <row r="54" spans="2:14" ht="18.75" x14ac:dyDescent="0.25">
      <c r="B54" s="97">
        <f ca="1">OFFSET(B54,-1,0)+1</f>
        <v>44</v>
      </c>
      <c r="C54" s="98"/>
      <c r="D54" s="109"/>
      <c r="E54" s="110"/>
      <c r="F54" s="92" t="s">
        <v>23</v>
      </c>
      <c r="G54" s="102" t="s">
        <v>165</v>
      </c>
      <c r="H54" s="103" t="s">
        <v>166</v>
      </c>
      <c r="I54" s="104" t="s">
        <v>164</v>
      </c>
      <c r="J54" s="104" t="s">
        <v>40</v>
      </c>
      <c r="K54" s="95">
        <v>45833</v>
      </c>
      <c r="L54" s="99">
        <v>1</v>
      </c>
      <c r="M54" s="105" t="s">
        <v>3</v>
      </c>
      <c r="N54" s="106" t="s">
        <v>5</v>
      </c>
    </row>
    <row r="55" spans="2:14" ht="18.75" x14ac:dyDescent="0.25">
      <c r="B55" s="97">
        <f ca="1">OFFSET(B55,-1,0)+1</f>
        <v>45</v>
      </c>
      <c r="C55" s="98"/>
      <c r="D55" s="109"/>
      <c r="E55" s="110"/>
      <c r="F55" s="101" t="s">
        <v>23</v>
      </c>
      <c r="G55" s="102" t="s">
        <v>170</v>
      </c>
      <c r="H55" s="103" t="s">
        <v>171</v>
      </c>
      <c r="I55" s="104" t="s">
        <v>172</v>
      </c>
      <c r="J55" s="104" t="s">
        <v>40</v>
      </c>
      <c r="K55" s="95">
        <v>45838</v>
      </c>
      <c r="L55" s="99">
        <v>2</v>
      </c>
      <c r="M55" s="105" t="s">
        <v>3</v>
      </c>
      <c r="N55" s="106" t="s">
        <v>4</v>
      </c>
    </row>
    <row r="56" spans="2:14" ht="18.75" x14ac:dyDescent="0.25">
      <c r="B56" s="89"/>
    </row>
  </sheetData>
  <mergeCells count="2">
    <mergeCell ref="D2:F2"/>
    <mergeCell ref="H2:M6"/>
  </mergeCells>
  <phoneticPr fontId="0" type="noConversion"/>
  <conditionalFormatting sqref="O12 O16:O24 O26">
    <cfRule type="expression" dxfId="20" priority="3894">
      <formula>$O12="Closed"</formula>
    </cfRule>
  </conditionalFormatting>
  <conditionalFormatting sqref="O11">
    <cfRule type="expression" dxfId="19" priority="3359">
      <formula>$O11="Closed"</formula>
    </cfRule>
  </conditionalFormatting>
  <conditionalFormatting sqref="B11:N55">
    <cfRule type="expression" dxfId="18" priority="3" stopIfTrue="1">
      <formula>OR($N11="Closed",$N11="Cancelled")</formula>
    </cfRule>
  </conditionalFormatting>
  <conditionalFormatting sqref="M11:M55">
    <cfRule type="cellIs" dxfId="17" priority="4" operator="equal">
      <formula>"G"</formula>
    </cfRule>
    <cfRule type="cellIs" dxfId="16" priority="5" operator="equal">
      <formula>"R"</formula>
    </cfRule>
    <cfRule type="cellIs" dxfId="15" priority="6" operator="equal">
      <formula>"A"</formula>
    </cfRule>
  </conditionalFormatting>
  <conditionalFormatting sqref="B56">
    <cfRule type="expression" dxfId="13" priority="1" stopIfTrue="1">
      <formula>OR($N56="Closed",$N56="Cancelled")</formula>
    </cfRule>
  </conditionalFormatting>
  <pageMargins left="0.70866141732283472" right="0.70866141732283472" top="0.74803149606299213" bottom="0.74803149606299213" header="0.31496062992125984" footer="0.31496062992125984"/>
  <pageSetup paperSize="9" scale="41" fitToHeight="0"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3899" id="{ED4B0EE9-38C2-4406-8DC6-9880A0D1C34F}">
            <xm:f>'Report Creation'!#REF!="Closed"</xm:f>
            <x14:dxf>
              <font>
                <color theme="0" tint="-0.499984740745262"/>
              </font>
              <fill>
                <patternFill>
                  <bgColor theme="0" tint="-0.14996795556505021"/>
                </patternFill>
              </fill>
            </x14:dxf>
          </x14:cfRule>
          <xm:sqref>O36:O37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O13"/>
  <sheetViews>
    <sheetView showGridLines="0" zoomScale="70" zoomScaleNormal="70" workbookViewId="0">
      <pane xSplit="2" ySplit="10" topLeftCell="C11" activePane="bottomRight" state="frozen"/>
      <selection pane="topRight" activeCell="C1" sqref="C1"/>
      <selection pane="bottomLeft" activeCell="A11" sqref="A11"/>
      <selection pane="bottomRight" activeCell="H23" sqref="H23"/>
    </sheetView>
  </sheetViews>
  <sheetFormatPr defaultColWidth="8.85546875" defaultRowHeight="15" x14ac:dyDescent="0.25"/>
  <cols>
    <col min="1" max="1" width="2.42578125" style="1" customWidth="1"/>
    <col min="2" max="2" width="13.42578125" bestFit="1" customWidth="1"/>
    <col min="3" max="3" width="29.5703125" bestFit="1" customWidth="1"/>
    <col min="4" max="4" width="19.5703125" bestFit="1" customWidth="1"/>
    <col min="5" max="5" width="36" bestFit="1" customWidth="1"/>
    <col min="6" max="6" width="24.85546875" bestFit="1" customWidth="1"/>
    <col min="7" max="7" width="35.85546875" customWidth="1"/>
    <col min="8" max="8" width="86" style="2" bestFit="1" customWidth="1"/>
    <col min="9" max="9" width="31" style="2" customWidth="1"/>
    <col min="10" max="10" width="25.5703125" style="2" customWidth="1"/>
    <col min="11" max="11" width="19.5703125" style="2" customWidth="1"/>
    <col min="12" max="12" width="22.42578125" style="2" bestFit="1" customWidth="1"/>
    <col min="13" max="13" width="29" style="2" bestFit="1" customWidth="1"/>
    <col min="14" max="14" width="29.28515625" style="2" bestFit="1" customWidth="1"/>
    <col min="15" max="15" width="9.28515625" style="2" customWidth="1"/>
    <col min="16" max="16" width="35" style="1" customWidth="1"/>
    <col min="17" max="19" width="8.85546875" style="1"/>
    <col min="20" max="20" width="12.140625" style="1" bestFit="1" customWidth="1"/>
    <col min="21" max="16384" width="8.85546875" style="1"/>
  </cols>
  <sheetData>
    <row r="1" spans="1:15" ht="7.5" customHeight="1" thickBot="1" x14ac:dyDescent="0.3">
      <c r="A1" s="9"/>
      <c r="B1" s="9"/>
      <c r="C1" s="10"/>
      <c r="D1" s="10"/>
      <c r="E1" s="10"/>
      <c r="F1" s="10"/>
      <c r="G1" s="9"/>
      <c r="H1" s="10"/>
      <c r="I1" s="10"/>
      <c r="J1" s="10"/>
      <c r="K1" s="10"/>
      <c r="L1" s="4"/>
      <c r="M1" s="4"/>
      <c r="N1" s="4"/>
      <c r="O1" s="1"/>
    </row>
    <row r="2" spans="1:15" ht="23.25" customHeight="1" thickBot="1" x14ac:dyDescent="0.3">
      <c r="A2" s="9"/>
      <c r="B2" s="9"/>
      <c r="C2" s="9"/>
      <c r="D2" s="116" t="s">
        <v>0</v>
      </c>
      <c r="E2" s="117"/>
      <c r="F2" s="118"/>
      <c r="G2" s="9"/>
      <c r="H2" s="119"/>
      <c r="I2" s="119"/>
      <c r="J2" s="119"/>
      <c r="K2" s="119"/>
      <c r="L2" s="119"/>
      <c r="M2" s="119"/>
      <c r="O2" s="1"/>
    </row>
    <row r="3" spans="1:15" ht="20.25" customHeight="1" thickBot="1" x14ac:dyDescent="0.3">
      <c r="A3" s="9"/>
      <c r="B3" s="9"/>
      <c r="C3" s="9"/>
      <c r="D3" s="14" t="s">
        <v>1</v>
      </c>
      <c r="E3" s="15" t="s">
        <v>2</v>
      </c>
      <c r="F3" s="15" t="s">
        <v>3</v>
      </c>
      <c r="G3" s="9"/>
      <c r="H3" s="119"/>
      <c r="I3" s="119"/>
      <c r="J3" s="119"/>
      <c r="K3" s="119"/>
      <c r="L3" s="119"/>
      <c r="M3" s="119"/>
    </row>
    <row r="4" spans="1:15" ht="19.5" thickBot="1" x14ac:dyDescent="0.3">
      <c r="A4" s="9"/>
      <c r="B4" s="9"/>
      <c r="C4" s="12" t="s">
        <v>4</v>
      </c>
      <c r="D4" s="16">
        <f>COUNTIFS($M$11:$M$1048576,D$3,$N$11:$N$1048576,"Open")</f>
        <v>0</v>
      </c>
      <c r="E4" s="16">
        <f>COUNTIFS($M$11:$M$1048576,E$3,$N$11:$N$1048576,"Open")</f>
        <v>0</v>
      </c>
      <c r="F4" s="16">
        <f>COUNTIFS($M$11:$M$1048576,F$3,$N$11:$N$1048576,"Open")</f>
        <v>0</v>
      </c>
      <c r="G4" s="9"/>
      <c r="H4" s="119"/>
      <c r="I4" s="119"/>
      <c r="J4" s="119"/>
      <c r="K4" s="119"/>
      <c r="L4" s="119"/>
      <c r="M4" s="119"/>
    </row>
    <row r="5" spans="1:15" ht="19.5" thickBot="1" x14ac:dyDescent="0.3">
      <c r="A5" s="9"/>
      <c r="B5" s="9"/>
      <c r="C5" s="12" t="s">
        <v>5</v>
      </c>
      <c r="D5" s="16">
        <f>COUNTIFS($M$11:$M$1048576,D$3,$N$11:$N$1048576,"Closed")</f>
        <v>0</v>
      </c>
      <c r="E5" s="16">
        <f>COUNTIFS($M$11:$M$1048576,E$3,$N$11:$N$1048576,"Closed")</f>
        <v>0</v>
      </c>
      <c r="F5" s="16">
        <f>COUNTIFS($M$11:$M$1048576,F$3,$N$11:$N$1048576,"Closed")</f>
        <v>3</v>
      </c>
      <c r="G5" s="9"/>
      <c r="H5" s="119"/>
      <c r="I5" s="119"/>
      <c r="J5" s="119"/>
      <c r="K5" s="119"/>
      <c r="L5" s="119"/>
      <c r="M5" s="119"/>
    </row>
    <row r="6" spans="1:15" ht="19.5" thickBot="1" x14ac:dyDescent="0.3">
      <c r="A6" s="9"/>
      <c r="B6" s="9"/>
      <c r="C6" s="12" t="s">
        <v>6</v>
      </c>
      <c r="D6" s="16">
        <f>COUNTIFS($M$11:$M$1048576,D$3,$N$11:$N$1048576,"Cancelled")</f>
        <v>0</v>
      </c>
      <c r="E6" s="16">
        <f>COUNTIFS($M$11:$M$1048576,E$3,$N$11:$N$1048576,"Cancelled")</f>
        <v>0</v>
      </c>
      <c r="F6" s="16">
        <f>COUNTIFS($M$11:$M$1048576,F$3,$N$11:$N$1048576,"Cancelled")</f>
        <v>0</v>
      </c>
      <c r="G6" s="9"/>
      <c r="H6" s="119"/>
      <c r="I6" s="119"/>
      <c r="J6" s="119"/>
      <c r="K6" s="119"/>
      <c r="L6" s="119"/>
      <c r="M6" s="119"/>
      <c r="N6" s="17">
        <f ca="1">TODAY()</f>
        <v>45833</v>
      </c>
    </row>
    <row r="7" spans="1:15" ht="47.25" thickBot="1" x14ac:dyDescent="0.3">
      <c r="A7" s="9"/>
      <c r="B7" s="9"/>
      <c r="C7" s="12" t="s">
        <v>7</v>
      </c>
      <c r="D7" s="16">
        <f>COUNTIFS($M$11:$M$1048576,D$3,$N$11:$N$1048576,"Pending")</f>
        <v>0</v>
      </c>
      <c r="E7" s="16">
        <f>COUNTIFS($M$11:$M$1048576,E$3,$N$11:$N$1048576,"Pending")</f>
        <v>0</v>
      </c>
      <c r="F7" s="16">
        <f>COUNTIFS($M$11:$M$1048576,F$3,$N$11:$N$1048576,"Pending")</f>
        <v>0</v>
      </c>
      <c r="G7" s="9"/>
      <c r="H7" s="9"/>
      <c r="I7" s="9"/>
      <c r="J7" s="9"/>
      <c r="K7" s="5"/>
      <c r="O7" s="1"/>
    </row>
    <row r="8" spans="1:15" ht="15" customHeight="1" x14ac:dyDescent="0.25">
      <c r="B8" s="9"/>
      <c r="C8" s="9"/>
      <c r="D8" s="9"/>
      <c r="E8" s="9"/>
      <c r="F8" s="9"/>
      <c r="G8" s="9"/>
      <c r="H8" s="9"/>
      <c r="I8" s="9"/>
      <c r="J8" s="9"/>
      <c r="K8" s="5"/>
      <c r="O8" s="1"/>
    </row>
    <row r="9" spans="1:15" ht="15" customHeight="1" x14ac:dyDescent="0.25">
      <c r="B9" s="9"/>
      <c r="C9" s="9"/>
      <c r="D9" s="9"/>
      <c r="E9" s="9"/>
      <c r="F9" s="9"/>
      <c r="G9" s="9"/>
      <c r="H9" s="9"/>
      <c r="I9" s="9"/>
      <c r="J9" s="9"/>
      <c r="K9" s="5"/>
      <c r="O9" s="1"/>
    </row>
    <row r="10" spans="1:15" s="3" customFormat="1" ht="67.5" customHeight="1" x14ac:dyDescent="0.25">
      <c r="B10" s="43" t="s">
        <v>8</v>
      </c>
      <c r="C10" s="44" t="s">
        <v>9</v>
      </c>
      <c r="D10" s="44" t="s">
        <v>10</v>
      </c>
      <c r="E10" s="44" t="s">
        <v>11</v>
      </c>
      <c r="F10" s="44" t="s">
        <v>12</v>
      </c>
      <c r="G10" s="44" t="s">
        <v>13</v>
      </c>
      <c r="H10" s="44" t="s">
        <v>14</v>
      </c>
      <c r="I10" s="44" t="s">
        <v>15</v>
      </c>
      <c r="J10" s="46" t="s">
        <v>16</v>
      </c>
      <c r="K10" s="46" t="s">
        <v>17</v>
      </c>
      <c r="L10" s="44" t="s">
        <v>18</v>
      </c>
      <c r="M10" s="44" t="s">
        <v>19</v>
      </c>
      <c r="N10" s="48" t="s">
        <v>20</v>
      </c>
    </row>
    <row r="11" spans="1:15" ht="56.25" x14ac:dyDescent="0.25">
      <c r="B11" s="49">
        <f ca="1">IF(ISERROR(OFFSET(B11,-1,0)+1),1,OFFSET(B11,-1,0)+1)</f>
        <v>1</v>
      </c>
      <c r="C11" s="37">
        <v>45028</v>
      </c>
      <c r="D11" s="38" t="s">
        <v>21</v>
      </c>
      <c r="E11" s="24" t="s">
        <v>46</v>
      </c>
      <c r="F11" s="24" t="s">
        <v>47</v>
      </c>
      <c r="G11" s="65" t="s">
        <v>48</v>
      </c>
      <c r="H11" s="25" t="s">
        <v>49</v>
      </c>
      <c r="I11" s="25" t="s">
        <v>21</v>
      </c>
      <c r="J11" s="25" t="s">
        <v>50</v>
      </c>
      <c r="K11" s="39">
        <v>45038</v>
      </c>
      <c r="L11" s="26">
        <v>3</v>
      </c>
      <c r="M11" s="39" t="s">
        <v>3</v>
      </c>
      <c r="N11" s="50" t="s">
        <v>5</v>
      </c>
    </row>
    <row r="12" spans="1:15" ht="56.25" x14ac:dyDescent="0.25">
      <c r="B12" s="66">
        <f ca="1">IF(ISERROR(OFFSET(B12,-1,0)+1),1,OFFSET(B12,-1,0)+1)</f>
        <v>2</v>
      </c>
      <c r="C12" s="51">
        <v>45027</v>
      </c>
      <c r="D12" s="52" t="s">
        <v>21</v>
      </c>
      <c r="E12" s="67" t="s">
        <v>51</v>
      </c>
      <c r="F12" s="67" t="s">
        <v>52</v>
      </c>
      <c r="G12" s="68" t="s">
        <v>53</v>
      </c>
      <c r="H12" s="54" t="s">
        <v>54</v>
      </c>
      <c r="I12" s="54" t="s">
        <v>21</v>
      </c>
      <c r="J12" s="54" t="s">
        <v>55</v>
      </c>
      <c r="K12" s="69">
        <v>45038</v>
      </c>
      <c r="L12" s="70">
        <v>1</v>
      </c>
      <c r="M12" s="69" t="s">
        <v>3</v>
      </c>
      <c r="N12" s="60" t="s">
        <v>5</v>
      </c>
    </row>
    <row r="13" spans="1:15" ht="112.5" x14ac:dyDescent="0.25">
      <c r="B13" s="66">
        <f ca="1">IF(ISERROR(OFFSET(B13,-1,0)+1),1,OFFSET(B13,-1,0)+1)</f>
        <v>3</v>
      </c>
      <c r="C13" s="51">
        <v>45036</v>
      </c>
      <c r="D13" s="52" t="s">
        <v>21</v>
      </c>
      <c r="E13" s="67" t="s">
        <v>22</v>
      </c>
      <c r="F13" s="67" t="s">
        <v>56</v>
      </c>
      <c r="G13" s="68" t="s">
        <v>57</v>
      </c>
      <c r="H13" s="54" t="s">
        <v>58</v>
      </c>
      <c r="I13" s="54" t="s">
        <v>21</v>
      </c>
      <c r="J13" s="54" t="s">
        <v>59</v>
      </c>
      <c r="K13" s="69">
        <v>45051</v>
      </c>
      <c r="L13" s="70">
        <v>1</v>
      </c>
      <c r="M13" s="69" t="s">
        <v>3</v>
      </c>
      <c r="N13" s="60" t="s">
        <v>5</v>
      </c>
    </row>
  </sheetData>
  <mergeCells count="2">
    <mergeCell ref="D2:F2"/>
    <mergeCell ref="H2:M6"/>
  </mergeCells>
  <conditionalFormatting sqref="B11:N136">
    <cfRule type="expression" dxfId="12" priority="316" stopIfTrue="1">
      <formula>OR($N11="Closed",$N11="Cancelled")</formula>
    </cfRule>
    <cfRule type="cellIs" dxfId="11" priority="317" operator="equal">
      <formula>"G"</formula>
    </cfRule>
    <cfRule type="cellIs" dxfId="10" priority="318" operator="equal">
      <formula>"R"</formula>
    </cfRule>
    <cfRule type="cellIs" dxfId="9" priority="319" operator="equal">
      <formula>"A"</formula>
    </cfRule>
  </conditionalFormatting>
  <pageMargins left="0.7" right="0.7" top="0.75" bottom="0.75" header="0.3" footer="0.3"/>
  <pageSetup orientation="portrait" horizontalDpi="300" verticalDpi="3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fitToPage="1"/>
  </sheetPr>
  <dimension ref="A1:O15"/>
  <sheetViews>
    <sheetView showGridLines="0" zoomScale="70" zoomScaleNormal="70" zoomScalePageLayoutView="75" workbookViewId="0">
      <pane xSplit="2" ySplit="10" topLeftCell="C11" activePane="bottomRight" state="frozen"/>
      <selection pane="topRight" activeCell="B1" sqref="B1"/>
      <selection pane="bottomLeft" activeCell="A14" sqref="A14"/>
      <selection pane="bottomRight" activeCell="H15" sqref="H15"/>
    </sheetView>
  </sheetViews>
  <sheetFormatPr defaultColWidth="8.85546875" defaultRowHeight="15" x14ac:dyDescent="0.25"/>
  <cols>
    <col min="1" max="1" width="2.42578125" style="1" customWidth="1"/>
    <col min="2" max="2" width="13.42578125" bestFit="1" customWidth="1"/>
    <col min="3" max="3" width="29.5703125" bestFit="1" customWidth="1"/>
    <col min="4" max="4" width="19.5703125" bestFit="1" customWidth="1"/>
    <col min="5" max="5" width="36" bestFit="1" customWidth="1"/>
    <col min="6" max="6" width="24.85546875" bestFit="1" customWidth="1"/>
    <col min="7" max="7" width="40.28515625" customWidth="1"/>
    <col min="8" max="8" width="110.7109375" style="21" customWidth="1"/>
    <col min="9" max="9" width="34.7109375" style="2" customWidth="1"/>
    <col min="10" max="10" width="25.5703125" style="2" customWidth="1"/>
    <col min="11" max="11" width="19.5703125" style="2" customWidth="1"/>
    <col min="12" max="12" width="22.42578125" style="41" bestFit="1" customWidth="1"/>
    <col min="13" max="13" width="29" style="2" bestFit="1" customWidth="1"/>
    <col min="14" max="14" width="29.28515625" style="2" bestFit="1" customWidth="1"/>
    <col min="15" max="15" width="9.28515625" style="2" customWidth="1"/>
    <col min="16" max="16" width="35" style="1" customWidth="1"/>
    <col min="17" max="19" width="8.85546875" style="1"/>
    <col min="20" max="20" width="12.140625" style="1" bestFit="1" customWidth="1"/>
    <col min="21" max="16384" width="8.85546875" style="1"/>
  </cols>
  <sheetData>
    <row r="1" spans="1:15" ht="7.5" customHeight="1" thickBot="1" x14ac:dyDescent="0.3">
      <c r="A1" s="9"/>
      <c r="B1" s="9"/>
      <c r="C1" s="10"/>
      <c r="D1" s="10"/>
      <c r="E1" s="10"/>
      <c r="F1" s="10"/>
      <c r="G1" s="9"/>
      <c r="H1" s="18"/>
      <c r="I1" s="10"/>
      <c r="J1" s="10"/>
      <c r="K1" s="10"/>
      <c r="L1" s="40"/>
      <c r="M1" s="4"/>
      <c r="N1" s="4"/>
      <c r="O1" s="1"/>
    </row>
    <row r="2" spans="1:15" ht="23.25" customHeight="1" thickBot="1" x14ac:dyDescent="0.3">
      <c r="A2" s="9"/>
      <c r="B2" s="9"/>
      <c r="C2" s="9"/>
      <c r="D2" s="116" t="s">
        <v>0</v>
      </c>
      <c r="E2" s="117"/>
      <c r="F2" s="118"/>
      <c r="G2" s="9"/>
      <c r="H2" s="119"/>
      <c r="I2" s="119"/>
      <c r="J2" s="119"/>
      <c r="K2" s="119"/>
      <c r="L2" s="119"/>
      <c r="M2" s="119"/>
      <c r="O2" s="1"/>
    </row>
    <row r="3" spans="1:15" ht="20.25" customHeight="1" thickBot="1" x14ac:dyDescent="0.3">
      <c r="A3" s="9"/>
      <c r="B3" s="9"/>
      <c r="C3" s="9"/>
      <c r="D3" s="14" t="s">
        <v>1</v>
      </c>
      <c r="E3" s="15" t="s">
        <v>2</v>
      </c>
      <c r="F3" s="15" t="s">
        <v>3</v>
      </c>
      <c r="G3" s="9"/>
      <c r="H3" s="119"/>
      <c r="I3" s="119"/>
      <c r="J3" s="119"/>
      <c r="K3" s="119"/>
      <c r="L3" s="119"/>
      <c r="M3" s="119"/>
    </row>
    <row r="4" spans="1:15" ht="19.5" thickBot="1" x14ac:dyDescent="0.3">
      <c r="A4" s="9"/>
      <c r="B4" s="9"/>
      <c r="C4" s="12" t="s">
        <v>4</v>
      </c>
      <c r="D4" s="16">
        <f>COUNTIFS($M$11:$M$1048576,D$3,$N$11:$N$1048576,"Open")</f>
        <v>0</v>
      </c>
      <c r="E4" s="16">
        <f>COUNTIFS($M$11:$M$1048576,E$3,$N$11:$N$1048576,"Open")</f>
        <v>0</v>
      </c>
      <c r="F4" s="16">
        <f>COUNTIFS($M$11:$M$1048576,F$3,$N$11:$N$1048576,"Open")</f>
        <v>0</v>
      </c>
      <c r="G4" s="9"/>
      <c r="H4" s="119"/>
      <c r="I4" s="119"/>
      <c r="J4" s="119"/>
      <c r="K4" s="119"/>
      <c r="L4" s="119"/>
      <c r="M4" s="119"/>
    </row>
    <row r="5" spans="1:15" ht="19.5" thickBot="1" x14ac:dyDescent="0.3">
      <c r="A5" s="9"/>
      <c r="B5" s="9"/>
      <c r="C5" s="12" t="s">
        <v>5</v>
      </c>
      <c r="D5" s="16">
        <f>COUNTIFS($M$11:$M$1048576,D$3,$N$11:$N$1048576,"Closed")</f>
        <v>0</v>
      </c>
      <c r="E5" s="16">
        <f>COUNTIFS($M$11:$M$1048576,E$3,$N$11:$N$1048576,"Closed")</f>
        <v>0</v>
      </c>
      <c r="F5" s="16">
        <f>COUNTIFS($M$11:$M$1048576,F$3,$N$11:$N$1048576,"Closed")</f>
        <v>5</v>
      </c>
      <c r="G5" s="9"/>
      <c r="H5" s="119"/>
      <c r="I5" s="119"/>
      <c r="J5" s="119"/>
      <c r="K5" s="119"/>
      <c r="L5" s="119"/>
      <c r="M5" s="119"/>
    </row>
    <row r="6" spans="1:15" ht="19.5" thickBot="1" x14ac:dyDescent="0.3">
      <c r="A6" s="9"/>
      <c r="B6" s="9"/>
      <c r="C6" s="12" t="s">
        <v>6</v>
      </c>
      <c r="D6" s="16">
        <f>COUNTIFS($M$11:$M$1048576,D$3,$N$11:$N$1048576,"Cancelled")</f>
        <v>0</v>
      </c>
      <c r="E6" s="16">
        <f>COUNTIFS($M$11:$M$1048576,E$3,$N$11:$N$1048576,"Cancelled")</f>
        <v>0</v>
      </c>
      <c r="F6" s="16">
        <f>COUNTIFS($M$11:$M$1048576,F$3,$N$11:$N$1048576,"Cancelled")</f>
        <v>0</v>
      </c>
      <c r="G6" s="9"/>
      <c r="H6" s="119"/>
      <c r="I6" s="119"/>
      <c r="J6" s="119"/>
      <c r="K6" s="119"/>
      <c r="L6" s="119"/>
      <c r="M6" s="119"/>
      <c r="N6" s="17">
        <f ca="1">TODAY()</f>
        <v>45833</v>
      </c>
    </row>
    <row r="7" spans="1:15" ht="47.25" thickBot="1" x14ac:dyDescent="0.3">
      <c r="A7" s="9"/>
      <c r="B7" s="9"/>
      <c r="C7" s="12" t="s">
        <v>7</v>
      </c>
      <c r="D7" s="16">
        <f>COUNTIFS($M$11:$M$1048576,D$3,$N$11:$N$1048576,"Pending")</f>
        <v>0</v>
      </c>
      <c r="E7" s="16">
        <f>COUNTIFS($M$11:$M$1048576,E$3,$N$11:$N$1048576,"Pending")</f>
        <v>0</v>
      </c>
      <c r="F7" s="16">
        <f>COUNTIFS($M$11:$M$1048576,F$3,$N$11:$N$1048576,"Pending")</f>
        <v>0</v>
      </c>
      <c r="G7" s="9"/>
      <c r="H7" s="19"/>
      <c r="I7" s="9"/>
      <c r="J7" s="9"/>
      <c r="K7" s="5"/>
      <c r="O7" s="1"/>
    </row>
    <row r="8" spans="1:15" ht="15" customHeight="1" x14ac:dyDescent="0.25">
      <c r="B8" s="9"/>
      <c r="C8" s="9"/>
      <c r="D8" s="9"/>
      <c r="E8" s="9"/>
      <c r="F8" s="9"/>
      <c r="G8" s="9"/>
      <c r="H8" s="19"/>
      <c r="I8" s="9"/>
      <c r="J8" s="9"/>
      <c r="K8" s="5"/>
      <c r="O8" s="1"/>
    </row>
    <row r="9" spans="1:15" ht="15" customHeight="1" thickBot="1" x14ac:dyDescent="0.3">
      <c r="B9" s="9"/>
      <c r="C9" s="9"/>
      <c r="D9" s="9"/>
      <c r="E9" s="9"/>
      <c r="F9" s="9"/>
      <c r="G9" s="9"/>
      <c r="H9" s="19"/>
      <c r="I9" s="9"/>
      <c r="J9" s="9"/>
      <c r="K9" s="5"/>
      <c r="O9" s="1"/>
    </row>
    <row r="10" spans="1:15" s="3" customFormat="1" ht="67.5" customHeight="1" thickBot="1" x14ac:dyDescent="0.3">
      <c r="B10" s="11" t="s">
        <v>8</v>
      </c>
      <c r="C10" s="12" t="s">
        <v>9</v>
      </c>
      <c r="D10" s="12" t="s">
        <v>10</v>
      </c>
      <c r="E10" s="12" t="s">
        <v>11</v>
      </c>
      <c r="F10" s="12" t="s">
        <v>12</v>
      </c>
      <c r="G10" s="12" t="s">
        <v>13</v>
      </c>
      <c r="H10" s="20" t="s">
        <v>14</v>
      </c>
      <c r="I10" s="12" t="s">
        <v>15</v>
      </c>
      <c r="J10" s="13" t="s">
        <v>16</v>
      </c>
      <c r="K10" s="13" t="s">
        <v>17</v>
      </c>
      <c r="L10" s="42" t="s">
        <v>18</v>
      </c>
      <c r="M10" s="12" t="s">
        <v>19</v>
      </c>
      <c r="N10" s="35" t="s">
        <v>20</v>
      </c>
    </row>
    <row r="11" spans="1:15" ht="18" customHeight="1" x14ac:dyDescent="0.25">
      <c r="B11" s="27">
        <v>1</v>
      </c>
      <c r="C11" s="28"/>
      <c r="D11" s="29" t="s">
        <v>60</v>
      </c>
      <c r="E11" s="27" t="s">
        <v>61</v>
      </c>
      <c r="F11" s="27" t="s">
        <v>62</v>
      </c>
      <c r="G11" s="30" t="s">
        <v>63</v>
      </c>
      <c r="H11" s="36" t="s">
        <v>64</v>
      </c>
      <c r="I11" s="30" t="s">
        <v>65</v>
      </c>
      <c r="J11" s="33" t="s">
        <v>66</v>
      </c>
      <c r="K11" s="31">
        <v>44740</v>
      </c>
      <c r="L11" s="34">
        <v>3</v>
      </c>
      <c r="M11" s="31" t="s">
        <v>3</v>
      </c>
      <c r="N11" s="30" t="s">
        <v>5</v>
      </c>
    </row>
    <row r="12" spans="1:15" ht="18.75" x14ac:dyDescent="0.25">
      <c r="B12" s="24">
        <v>2</v>
      </c>
      <c r="C12" s="37"/>
      <c r="D12" s="38" t="s">
        <v>60</v>
      </c>
      <c r="E12" s="24" t="s">
        <v>67</v>
      </c>
      <c r="F12" s="24"/>
      <c r="G12" s="65" t="s">
        <v>68</v>
      </c>
      <c r="H12" s="32" t="s">
        <v>64</v>
      </c>
      <c r="I12" s="25" t="s">
        <v>65</v>
      </c>
      <c r="J12" s="25"/>
      <c r="K12" s="39">
        <v>44740</v>
      </c>
      <c r="L12" s="26">
        <v>3</v>
      </c>
      <c r="M12" s="39" t="s">
        <v>3</v>
      </c>
      <c r="N12" s="25" t="s">
        <v>5</v>
      </c>
    </row>
    <row r="13" spans="1:15" ht="18.75" x14ac:dyDescent="0.25">
      <c r="B13" s="24">
        <v>3</v>
      </c>
      <c r="C13" s="37"/>
      <c r="D13" s="38" t="s">
        <v>60</v>
      </c>
      <c r="E13" s="24" t="s">
        <v>67</v>
      </c>
      <c r="F13" s="24" t="s">
        <v>62</v>
      </c>
      <c r="G13" s="65" t="s">
        <v>69</v>
      </c>
      <c r="H13" s="32" t="s">
        <v>64</v>
      </c>
      <c r="I13" s="25" t="s">
        <v>65</v>
      </c>
      <c r="J13" s="25" t="s">
        <v>70</v>
      </c>
      <c r="K13" s="39">
        <v>44764</v>
      </c>
      <c r="L13" s="26">
        <v>3</v>
      </c>
      <c r="M13" s="39" t="s">
        <v>3</v>
      </c>
      <c r="N13" s="25" t="s">
        <v>5</v>
      </c>
    </row>
    <row r="14" spans="1:15" ht="18.75" x14ac:dyDescent="0.25">
      <c r="B14" s="27">
        <v>4</v>
      </c>
      <c r="C14" s="28"/>
      <c r="D14" s="38" t="s">
        <v>60</v>
      </c>
      <c r="E14" s="27" t="s">
        <v>67</v>
      </c>
      <c r="F14" s="27"/>
      <c r="G14" s="30" t="s">
        <v>68</v>
      </c>
      <c r="H14" s="36" t="s">
        <v>71</v>
      </c>
      <c r="I14" s="30" t="s">
        <v>65</v>
      </c>
      <c r="J14" s="33"/>
      <c r="K14" s="31">
        <v>44777</v>
      </c>
      <c r="L14" s="34">
        <v>3</v>
      </c>
      <c r="M14" s="31" t="s">
        <v>3</v>
      </c>
      <c r="N14" s="30" t="s">
        <v>5</v>
      </c>
    </row>
    <row r="15" spans="1:15" ht="18.75" x14ac:dyDescent="0.25">
      <c r="B15" s="27">
        <v>5</v>
      </c>
      <c r="C15" s="28"/>
      <c r="D15" s="38" t="s">
        <v>60</v>
      </c>
      <c r="E15" s="27" t="s">
        <v>67</v>
      </c>
      <c r="F15" s="27"/>
      <c r="G15" s="30" t="s">
        <v>68</v>
      </c>
      <c r="H15" s="36" t="s">
        <v>72</v>
      </c>
      <c r="I15" s="30" t="s">
        <v>65</v>
      </c>
      <c r="J15" s="33"/>
      <c r="K15" s="31">
        <v>44829</v>
      </c>
      <c r="L15" s="34">
        <v>3</v>
      </c>
      <c r="M15" s="31" t="s">
        <v>3</v>
      </c>
      <c r="N15" s="30" t="s">
        <v>5</v>
      </c>
    </row>
  </sheetData>
  <mergeCells count="2">
    <mergeCell ref="D2:F2"/>
    <mergeCell ref="H2:M6"/>
  </mergeCells>
  <conditionalFormatting sqref="O11">
    <cfRule type="expression" dxfId="8" priority="1002">
      <formula>$O11="Closed"</formula>
    </cfRule>
  </conditionalFormatting>
  <conditionalFormatting sqref="B11:N15">
    <cfRule type="expression" dxfId="7" priority="1004" stopIfTrue="1">
      <formula>OR($N11="Closed",$N11="Cancelled")</formula>
    </cfRule>
    <cfRule type="cellIs" dxfId="6" priority="1005" operator="equal">
      <formula>"G"</formula>
    </cfRule>
    <cfRule type="cellIs" dxfId="5" priority="1006" operator="equal">
      <formula>"R"</formula>
    </cfRule>
    <cfRule type="cellIs" dxfId="4" priority="1007" operator="equal">
      <formula>"A"</formula>
    </cfRule>
  </conditionalFormatting>
  <conditionalFormatting sqref="B13:N13">
    <cfRule type="expression" dxfId="3" priority="1" stopIfTrue="1">
      <formula>OR($N13="Closed",$N13="Cancelled")</formula>
    </cfRule>
    <cfRule type="cellIs" dxfId="2" priority="2" operator="equal">
      <formula>"G"</formula>
    </cfRule>
    <cfRule type="cellIs" dxfId="1" priority="3" operator="equal">
      <formula>"R"</formula>
    </cfRule>
    <cfRule type="cellIs" dxfId="0" priority="4" operator="equal">
      <formula>"A"</formula>
    </cfRule>
  </conditionalFormatting>
  <pageMargins left="0.70866141732283472" right="0.70866141732283472" top="0.74803149606299213" bottom="0.74803149606299213" header="0.31496062992125984" footer="0.31496062992125984"/>
  <pageSetup paperSize="9" scale="41" fitToHeight="0"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D4:E4"/>
  <sheetViews>
    <sheetView workbookViewId="0">
      <selection activeCell="D4" sqref="D4:K5"/>
    </sheetView>
  </sheetViews>
  <sheetFormatPr defaultRowHeight="15" x14ac:dyDescent="0.25"/>
  <sheetData>
    <row r="4" spans="4:5" x14ac:dyDescent="0.25">
      <c r="D4" s="22"/>
      <c r="E4" s="2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2:H7"/>
  <sheetViews>
    <sheetView workbookViewId="0">
      <selection activeCell="A8" sqref="A8"/>
    </sheetView>
  </sheetViews>
  <sheetFormatPr defaultRowHeight="15" x14ac:dyDescent="0.25"/>
  <cols>
    <col min="7" max="7" width="31" customWidth="1"/>
  </cols>
  <sheetData>
    <row r="2" spans="1:8" ht="30.75" thickBot="1" x14ac:dyDescent="0.3">
      <c r="A2" s="2" t="s">
        <v>73</v>
      </c>
      <c r="B2" s="2"/>
      <c r="C2" s="1" t="s">
        <v>18</v>
      </c>
      <c r="D2" s="1" t="s">
        <v>74</v>
      </c>
      <c r="E2" s="1"/>
      <c r="F2" s="1" t="s">
        <v>75</v>
      </c>
      <c r="G2" s="1" t="s">
        <v>74</v>
      </c>
      <c r="H2" s="1"/>
    </row>
    <row r="3" spans="1:8" ht="18.75" x14ac:dyDescent="0.25">
      <c r="A3" s="1" t="s">
        <v>4</v>
      </c>
      <c r="B3" s="2"/>
      <c r="C3" s="1">
        <v>1</v>
      </c>
      <c r="D3" s="1" t="s">
        <v>76</v>
      </c>
      <c r="E3" s="1"/>
      <c r="F3" s="1" t="s">
        <v>1</v>
      </c>
      <c r="G3" s="6" t="s">
        <v>77</v>
      </c>
      <c r="H3" s="1"/>
    </row>
    <row r="4" spans="1:8" ht="18.75" x14ac:dyDescent="0.25">
      <c r="A4" s="1" t="s">
        <v>78</v>
      </c>
      <c r="B4" s="2"/>
      <c r="C4" s="1">
        <v>2</v>
      </c>
      <c r="D4" s="1" t="s">
        <v>79</v>
      </c>
      <c r="E4" s="1"/>
      <c r="F4" s="1" t="s">
        <v>2</v>
      </c>
      <c r="G4" s="7" t="s">
        <v>80</v>
      </c>
      <c r="H4" s="1"/>
    </row>
    <row r="5" spans="1:8" ht="30.75" thickBot="1" x14ac:dyDescent="0.3">
      <c r="A5" s="1" t="s">
        <v>6</v>
      </c>
      <c r="B5" s="2"/>
      <c r="C5" s="1">
        <v>3</v>
      </c>
      <c r="D5" s="1" t="s">
        <v>81</v>
      </c>
      <c r="E5" s="1"/>
      <c r="F5" s="1" t="s">
        <v>3</v>
      </c>
      <c r="G5" s="8" t="s">
        <v>82</v>
      </c>
      <c r="H5" s="1"/>
    </row>
    <row r="6" spans="1:8" x14ac:dyDescent="0.25">
      <c r="A6" s="1" t="s">
        <v>5</v>
      </c>
      <c r="B6" s="1"/>
      <c r="C6" s="1"/>
      <c r="D6" s="1"/>
      <c r="E6" s="1"/>
      <c r="F6" s="1"/>
      <c r="G6" s="1"/>
      <c r="H6" s="1"/>
    </row>
    <row r="7" spans="1:8" x14ac:dyDescent="0.25">
      <c r="A7" s="1" t="s">
        <v>7</v>
      </c>
      <c r="B7" s="1"/>
      <c r="C7" s="1"/>
      <c r="D7" s="1"/>
      <c r="E7" s="1"/>
      <c r="F7" s="1"/>
      <c r="G7" s="1"/>
      <c r="H7" s="1"/>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Action Log</vt:lpstr>
      <vt:lpstr>Report Creation</vt:lpstr>
      <vt:lpstr>Monthly</vt:lpstr>
      <vt:lpstr>Sheet2</vt:lpstr>
      <vt:lpstr>System</vt:lpstr>
      <vt:lpstr>'Action Log'!Print_Titles</vt:lpstr>
      <vt:lpstr>Monthly!Print_Titles</vt:lpstr>
      <vt:lpstr>Monthly!Priority</vt:lpstr>
      <vt:lpstr>Priority</vt:lpstr>
      <vt:lpstr>Monthly!Status</vt:lpstr>
      <vt:lpstr>Status</vt:lpstr>
    </vt:vector>
  </TitlesOfParts>
  <Manager/>
  <Company>Edge Enterprise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Action, Issue &amp; Risk Log</dc:title>
  <dc:subject/>
  <dc:creator>Matt.Cleveland@sitel.com</dc:creator>
  <cp:keywords/>
  <dc:description>07795 555577_x000d_
rich@edge-enterprise.com</dc:description>
  <cp:lastModifiedBy>Ivan Toskov</cp:lastModifiedBy>
  <cp:revision/>
  <dcterms:created xsi:type="dcterms:W3CDTF">2011-03-10T13:18:38Z</dcterms:created>
  <dcterms:modified xsi:type="dcterms:W3CDTF">2025-06-25T07:10:23Z</dcterms:modified>
  <cp:category/>
  <cp:contentStatus/>
</cp:coreProperties>
</file>