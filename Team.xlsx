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nlube001\Desktop\Team Review\"/>
    </mc:Choice>
  </mc:AlternateContent>
  <bookViews>
    <workbookView minimized="1" xWindow="0" yWindow="0" windowWidth="20496" windowHeight="7752" firstSheet="16" activeTab="21"/>
  </bookViews>
  <sheets>
    <sheet name="Ilian" sheetId="1" r:id="rId1"/>
    <sheet name="Ivan" sheetId="3" r:id="rId2"/>
    <sheet name="Vladimir" sheetId="32" r:id="rId3"/>
    <sheet name="Niki" sheetId="8" r:id="rId4"/>
    <sheet name="Diana" sheetId="9" r:id="rId5"/>
    <sheet name="Silve Todo" sheetId="25" r:id="rId6"/>
    <sheet name="Emo" sheetId="10" r:id="rId7"/>
    <sheet name="Silveto P" sheetId="30" r:id="rId8"/>
    <sheet name="Overall" sheetId="4" r:id="rId9"/>
    <sheet name="Jorox" sheetId="17" r:id="rId10"/>
    <sheet name="Xmas bonus" sheetId="14" r:id="rId11"/>
    <sheet name="Bank holidays" sheetId="19" r:id="rId12"/>
    <sheet name="Absence Forms" sheetId="20" r:id="rId13"/>
    <sheet name="Team meeting" sheetId="12" r:id="rId14"/>
    <sheet name="Team meeting new" sheetId="15" r:id="rId15"/>
    <sheet name="Team" sheetId="28" r:id="rId16"/>
    <sheet name="Oracle" sheetId="29" r:id="rId17"/>
    <sheet name="Team UK" sheetId="16" r:id="rId18"/>
    <sheet name="Team UK new" sheetId="13" r:id="rId19"/>
    <sheet name="Telephony Dashboard" sheetId="26" r:id="rId20"/>
    <sheet name="Zaplati" sheetId="24" r:id="rId21"/>
    <sheet name="zaplati 2024" sheetId="31" r:id="rId22"/>
    <sheet name="Trainings" sheetId="23" r:id="rId23"/>
    <sheet name="Team general" sheetId="21" r:id="rId24"/>
    <sheet name="Rumanians" sheetId="18" r:id="rId25"/>
    <sheet name="Marto" sheetId="6" r:id="rId26"/>
    <sheet name="Korfi" sheetId="2" r:id="rId27"/>
    <sheet name="yafur" sheetId="5" r:id="rId28"/>
    <sheet name="Otpuska" sheetId="11" r:id="rId29"/>
    <sheet name="Manager Meeting" sheetId="27" r:id="rId3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31" l="1"/>
  <c r="G21" i="31" s="1"/>
  <c r="F23" i="31"/>
  <c r="G23" i="31" s="1"/>
  <c r="F25" i="31"/>
  <c r="G25" i="31" s="1"/>
  <c r="F24" i="31"/>
  <c r="G24" i="31" s="1"/>
  <c r="D22" i="31"/>
  <c r="F22" i="31" s="1"/>
  <c r="G22" i="31" s="1"/>
  <c r="D4" i="31" l="1"/>
  <c r="F4" i="31" s="1"/>
  <c r="I4" i="31" s="1"/>
  <c r="J4" i="31" s="1"/>
  <c r="D5" i="31"/>
  <c r="H5" i="31" s="1"/>
  <c r="D6" i="31"/>
  <c r="H6" i="31" s="1"/>
  <c r="D7" i="31"/>
  <c r="H7" i="31" s="1"/>
  <c r="D8" i="31"/>
  <c r="H8" i="31" s="1"/>
  <c r="D3" i="31"/>
  <c r="H3" i="31" s="1"/>
  <c r="I5" i="31"/>
  <c r="J5" i="31" s="1"/>
  <c r="F6" i="31"/>
  <c r="I6" i="31" s="1"/>
  <c r="J6" i="31" s="1"/>
  <c r="H4" i="31"/>
  <c r="J2" i="24"/>
  <c r="G8" i="24"/>
  <c r="G7" i="24"/>
  <c r="G6" i="24"/>
  <c r="G5" i="24"/>
  <c r="G4" i="24"/>
  <c r="G3" i="24"/>
  <c r="F3" i="31" l="1"/>
  <c r="I3" i="31" s="1"/>
  <c r="J3" i="31" s="1"/>
  <c r="F8" i="31"/>
  <c r="I8" i="31" s="1"/>
  <c r="J8" i="31" s="1"/>
  <c r="F7" i="31"/>
  <c r="I7" i="31" s="1"/>
  <c r="J7" i="31" s="1"/>
  <c r="N3" i="31"/>
  <c r="G18" i="28"/>
  <c r="N2" i="31" l="1"/>
  <c r="F26" i="24"/>
  <c r="E26" i="24"/>
  <c r="F25" i="24"/>
  <c r="E25" i="24"/>
  <c r="E24" i="24"/>
  <c r="F23" i="24"/>
  <c r="E23" i="24"/>
  <c r="F22" i="24"/>
  <c r="E22" i="24"/>
  <c r="F21" i="24"/>
  <c r="E21" i="24"/>
  <c r="F20" i="24"/>
  <c r="E20" i="24"/>
  <c r="E19" i="24"/>
  <c r="F19" i="24"/>
</calcChain>
</file>

<file path=xl/sharedStrings.xml><?xml version="1.0" encoding="utf-8"?>
<sst xmlns="http://schemas.openxmlformats.org/spreadsheetml/2006/main" count="1653" uniqueCount="1209">
  <si>
    <t>julta nula?</t>
  </si>
  <si>
    <t>action logove - ne sa updatenati properly</t>
  </si>
  <si>
    <t>skill m3x e ok</t>
  </si>
  <si>
    <t>documentaciq ne vijdam</t>
  </si>
  <si>
    <t>action loga sho e cherven</t>
  </si>
  <si>
    <t>2 sedmici bez da go e populval</t>
  </si>
  <si>
    <t>quality loga cvetove komentari nqkva mandja s grozde</t>
  </si>
  <si>
    <t>action log 1 item</t>
  </si>
  <si>
    <t>Joro da mi prati formata za ekipa</t>
  </si>
  <si>
    <t>yafur ko praim</t>
  </si>
  <si>
    <t xml:space="preserve">\\BG279K12FPS01\Administrative$\Reporting\Data_Reporting\Private\1. Projects\5. Kingston\2. Working instructions </t>
  </si>
  <si>
    <t xml:space="preserve">\\10.17.25.15\Administrative$\Reporting\Data_Reporting\Private\temp\YF </t>
  </si>
  <si>
    <t>psa doc</t>
  </si>
  <si>
    <t>q2 zadacha da se svurshi</t>
  </si>
  <si>
    <t>deletion</t>
  </si>
  <si>
    <t>petyk call s korfo</t>
  </si>
  <si>
    <t>hunter 2020</t>
  </si>
  <si>
    <t>hunter agent snapshot</t>
  </si>
  <si>
    <t>hunter quality</t>
  </si>
  <si>
    <t>file for the new month - kris</t>
  </si>
  <si>
    <t>qbr</t>
  </si>
  <si>
    <t>quality dashboard</t>
  </si>
  <si>
    <t>no</t>
  </si>
  <si>
    <t>documentation</t>
  </si>
  <si>
    <t>skill ma3x</t>
  </si>
  <si>
    <t>neshto da podpisva?</t>
  </si>
  <si>
    <t>gmr shark ninja newcastle</t>
  </si>
  <si>
    <t>hunter</t>
  </si>
  <si>
    <t>insight hunter</t>
  </si>
  <si>
    <t>skill matrix</t>
  </si>
  <si>
    <t>psa - peugeot opel</t>
  </si>
  <si>
    <t>September</t>
  </si>
  <si>
    <t>tnt</t>
  </si>
  <si>
    <t>2nd and 3rd tier</t>
  </si>
  <si>
    <t>johnathan</t>
  </si>
  <si>
    <t>ivan heathrow zadacha</t>
  </si>
  <si>
    <t>emt</t>
  </si>
  <si>
    <t>sapos</t>
  </si>
  <si>
    <t>netherlands</t>
  </si>
  <si>
    <t>set up</t>
  </si>
  <si>
    <t>psa</t>
  </si>
  <si>
    <t>sales force - opel</t>
  </si>
  <si>
    <t>mi</t>
  </si>
  <si>
    <t>agent product</t>
  </si>
  <si>
    <t>oracle system calls</t>
  </si>
  <si>
    <t>qa</t>
  </si>
  <si>
    <t>mbr</t>
  </si>
  <si>
    <t>qa dashboard new on Monday</t>
  </si>
  <si>
    <t>no documentation</t>
  </si>
  <si>
    <t>no skill ma3x</t>
  </si>
  <si>
    <t>no absence coverage</t>
  </si>
  <si>
    <t>no action log</t>
  </si>
  <si>
    <t>quarter - set niki pc</t>
  </si>
  <si>
    <t>October</t>
  </si>
  <si>
    <t>27,28 - red no comment</t>
  </si>
  <si>
    <t>18 sept last qa update</t>
  </si>
  <si>
    <t>Ivan skill ma3x - backup</t>
  </si>
  <si>
    <t>NL Small Scorecard</t>
  </si>
  <si>
    <t xml:space="preserve">Cloud Report </t>
  </si>
  <si>
    <t>CMSR</t>
  </si>
  <si>
    <t>COVID AHT</t>
  </si>
  <si>
    <t>Cloud Report and Call Pattern</t>
  </si>
  <si>
    <t>Niki and Emo - action log</t>
  </si>
  <si>
    <t>PSA MI</t>
  </si>
  <si>
    <t>PSA Agent Productivity</t>
  </si>
  <si>
    <t>PSA Repeat Callers</t>
  </si>
  <si>
    <t>PSA QMR</t>
  </si>
  <si>
    <t>PSA Agent Bonus</t>
  </si>
  <si>
    <t>PSA Quality Report</t>
  </si>
  <si>
    <t>no action step or real comment on the progress</t>
  </si>
  <si>
    <t>check documentation</t>
  </si>
  <si>
    <t>q1</t>
  </si>
  <si>
    <t>da se govori nqkoj da ne pozlva tochno tiq kletki</t>
  </si>
  <si>
    <t>koga shte e gotovo</t>
  </si>
  <si>
    <t>emo koga kakvo</t>
  </si>
  <si>
    <t>noviqt mesec i dvete</t>
  </si>
  <si>
    <t>QA</t>
  </si>
  <si>
    <t>ACTION</t>
  </si>
  <si>
    <t>SKILL MA3X</t>
  </si>
  <si>
    <t>OBQSNIH</t>
  </si>
  <si>
    <t>OK</t>
  </si>
  <si>
    <t>JULTO SAMO TIMELINESS</t>
  </si>
  <si>
    <t>BO REPORTI</t>
  </si>
  <si>
    <t>DA CHECKNE</t>
  </si>
  <si>
    <t>coverage</t>
  </si>
  <si>
    <t>ok</t>
  </si>
  <si>
    <t>to update</t>
  </si>
  <si>
    <t>chitra</t>
  </si>
  <si>
    <t>1v1</t>
  </si>
  <si>
    <t>business case</t>
  </si>
  <si>
    <t>test</t>
  </si>
  <si>
    <t>skill ma3x + action log</t>
  </si>
  <si>
    <t>global timeliness QA log</t>
  </si>
  <si>
    <t>December</t>
  </si>
  <si>
    <t>sapos - new format</t>
  </si>
  <si>
    <t>action - more than 2 weeks</t>
  </si>
  <si>
    <t>Qa</t>
  </si>
  <si>
    <t>prehvurlq</t>
  </si>
  <si>
    <t>custommer 1</t>
  </si>
  <si>
    <t>djenezis</t>
  </si>
  <si>
    <t>slavi</t>
  </si>
  <si>
    <t>action log</t>
  </si>
  <si>
    <t>medtronic</t>
  </si>
  <si>
    <t>Jan</t>
  </si>
  <si>
    <t>medtronic qa missing</t>
  </si>
  <si>
    <t>hp report golqmo</t>
  </si>
  <si>
    <t>cmsr ea -2.5 - 3</t>
  </si>
  <si>
    <t>invoicing brother - korfi backup</t>
  </si>
  <si>
    <t>bo reports</t>
  </si>
  <si>
    <t>missing medtronic schedule</t>
  </si>
  <si>
    <t>timeliness to be improved</t>
  </si>
  <si>
    <t>quality log - changes afterwards</t>
  </si>
  <si>
    <t>1 item missing - graphs</t>
  </si>
  <si>
    <t xml:space="preserve">qa log </t>
  </si>
  <si>
    <t>fine but a few tasks missing</t>
  </si>
  <si>
    <t>po spokoen</t>
  </si>
  <si>
    <t>timeliness</t>
  </si>
  <si>
    <t>praznicite</t>
  </si>
  <si>
    <t>shared drive</t>
  </si>
  <si>
    <t>Didi - in progress</t>
  </si>
  <si>
    <t>sapos - ne e zakusnql</t>
  </si>
  <si>
    <t>new version of Ilian</t>
  </si>
  <si>
    <t>screenshots kato ne se puska ot crt-to</t>
  </si>
  <si>
    <t>qa - ok</t>
  </si>
  <si>
    <t>documentation sapos - video,written basis only</t>
  </si>
  <si>
    <t>training with emo and niki done</t>
  </si>
  <si>
    <t>nqma dokazatelstvo za qa loga</t>
  </si>
  <si>
    <t xml:space="preserve">screenshot </t>
  </si>
  <si>
    <t>only when Ivan Is rerunning things</t>
  </si>
  <si>
    <t>no proof</t>
  </si>
  <si>
    <t>1 presentation rdy</t>
  </si>
  <si>
    <t>more stuff</t>
  </si>
  <si>
    <t>1 presentation to go</t>
  </si>
  <si>
    <t>ilian account hp</t>
  </si>
  <si>
    <t>Feb</t>
  </si>
  <si>
    <t xml:space="preserve">packeges </t>
  </si>
  <si>
    <t>loise monthly 3rd march</t>
  </si>
  <si>
    <t>working</t>
  </si>
  <si>
    <t>qbr weekly</t>
  </si>
  <si>
    <t>dani goels</t>
  </si>
  <si>
    <t>April</t>
  </si>
  <si>
    <t>nps</t>
  </si>
  <si>
    <t>stefan</t>
  </si>
  <si>
    <t>kafo</t>
  </si>
  <si>
    <t>bucket mapping</t>
  </si>
  <si>
    <t xml:space="preserve">interval </t>
  </si>
  <si>
    <t xml:space="preserve">aux time </t>
  </si>
  <si>
    <t>backdating, MI</t>
  </si>
  <si>
    <t>transferred</t>
  </si>
  <si>
    <t>qa log</t>
  </si>
  <si>
    <t>action log ok</t>
  </si>
  <si>
    <t>Bo report</t>
  </si>
  <si>
    <t>sse netochnosti v reportite</t>
  </si>
  <si>
    <t>agent data - missing employees no mappings</t>
  </si>
  <si>
    <t xml:space="preserve">brother </t>
  </si>
  <si>
    <t xml:space="preserve">sql </t>
  </si>
  <si>
    <t>not ok</t>
  </si>
  <si>
    <t>to be</t>
  </si>
  <si>
    <t>ramon</t>
  </si>
  <si>
    <t>nishto ne</t>
  </si>
  <si>
    <t>interval</t>
  </si>
  <si>
    <t>sql</t>
  </si>
  <si>
    <t>MI</t>
  </si>
  <si>
    <t>qbr hp weekly reports</t>
  </si>
  <si>
    <t>23 wrote that he worked, but he didn’t</t>
  </si>
  <si>
    <t xml:space="preserve">action log </t>
  </si>
  <si>
    <t>empty</t>
  </si>
  <si>
    <t xml:space="preserve">qa </t>
  </si>
  <si>
    <t>not so much</t>
  </si>
  <si>
    <t>juli</t>
  </si>
  <si>
    <t>sse dd</t>
  </si>
  <si>
    <t>migration to sql ready</t>
  </si>
  <si>
    <t>open event za dashboardite</t>
  </si>
  <si>
    <t>power bi</t>
  </si>
  <si>
    <t>psa mi migration to power bi</t>
  </si>
  <si>
    <t>q3 task</t>
  </si>
  <si>
    <t>July</t>
  </si>
  <si>
    <t>qa all good</t>
  </si>
  <si>
    <t>skill ok</t>
  </si>
  <si>
    <t>action ok</t>
  </si>
  <si>
    <t>documentation ok</t>
  </si>
  <si>
    <t>virgin media</t>
  </si>
  <si>
    <t>26-02</t>
  </si>
  <si>
    <t>Silveto</t>
  </si>
  <si>
    <t>snps</t>
  </si>
  <si>
    <t>brother ok</t>
  </si>
  <si>
    <t>only 1 delay fail</t>
  </si>
  <si>
    <t>zabravq 3ti nov report</t>
  </si>
  <si>
    <t>saposa</t>
  </si>
  <si>
    <t>power bi pro account</t>
  </si>
  <si>
    <t>loise</t>
  </si>
  <si>
    <t>weekly business report</t>
  </si>
  <si>
    <t>19-23</t>
  </si>
  <si>
    <t>9-15.08</t>
  </si>
  <si>
    <t>23-29.08</t>
  </si>
  <si>
    <t>optimizira query</t>
  </si>
  <si>
    <t>jl reporting analyst</t>
  </si>
  <si>
    <t>logical taks</t>
  </si>
  <si>
    <t>reporting analyst</t>
  </si>
  <si>
    <t>logical task</t>
  </si>
  <si>
    <t>vba</t>
  </si>
  <si>
    <t>business analyst</t>
  </si>
  <si>
    <t>in office</t>
  </si>
  <si>
    <t>remote</t>
  </si>
  <si>
    <t>~2hrs</t>
  </si>
  <si>
    <t>yes</t>
  </si>
  <si>
    <t>x</t>
  </si>
  <si>
    <t>moje da ne e s excel ili neshto</t>
  </si>
  <si>
    <t>30-40 min</t>
  </si>
  <si>
    <t>brother</t>
  </si>
  <si>
    <t>1/2 remaining</t>
  </si>
  <si>
    <t>12-22</t>
  </si>
  <si>
    <t>na dve phillips</t>
  </si>
  <si>
    <t>paskal it tqhna hueawejskata chast</t>
  </si>
  <si>
    <t>wfm</t>
  </si>
  <si>
    <t>zadachka</t>
  </si>
  <si>
    <t>user logging page</t>
  </si>
  <si>
    <t>refresh?</t>
  </si>
  <si>
    <t>prevod na butoni</t>
  </si>
  <si>
    <t>distribution list reporti</t>
  </si>
  <si>
    <t>indiici da pratqt danni I novite sourcove</t>
  </si>
  <si>
    <t>silveto shte se obuchava</t>
  </si>
  <si>
    <t>chetvurtuk - petuk</t>
  </si>
  <si>
    <t>dr sedmica</t>
  </si>
  <si>
    <t>11.10 - niki pepi</t>
  </si>
  <si>
    <t>korfi abbott</t>
  </si>
  <si>
    <t>p1 note - workspace</t>
  </si>
  <si>
    <t xml:space="preserve">maintain ot cor </t>
  </si>
  <si>
    <t>ot nas</t>
  </si>
  <si>
    <t xml:space="preserve">request pro account </t>
  </si>
  <si>
    <t>as part of reporting we</t>
  </si>
  <si>
    <t>are developers</t>
  </si>
  <si>
    <t xml:space="preserve">ticket - smc </t>
  </si>
  <si>
    <t>To obtain one, you would need to submit an SMC ticket to the O365 team</t>
  </si>
  <si>
    <t>we work with teresa</t>
  </si>
  <si>
    <t>vsichki ostanali</t>
  </si>
  <si>
    <t>bez slatislav spasov revoke</t>
  </si>
  <si>
    <t>sylvia - dostap do sql servera</t>
  </si>
  <si>
    <t>13-24 september</t>
  </si>
  <si>
    <t>I drugata sedmica</t>
  </si>
  <si>
    <t>14ti</t>
  </si>
  <si>
    <t>12-ti</t>
  </si>
  <si>
    <t>13-ti da se poglednat s joro predi interviewtata</t>
  </si>
  <si>
    <t>timeliness ebalo si e majkata</t>
  </si>
  <si>
    <t>monthly NA</t>
  </si>
  <si>
    <t>documenation - one note?</t>
  </si>
  <si>
    <t>action log?</t>
  </si>
  <si>
    <t>qa log - ok</t>
  </si>
  <si>
    <t>missing</t>
  </si>
  <si>
    <t>power bi - za kandidati</t>
  </si>
  <si>
    <t>hp hyderabad</t>
  </si>
  <si>
    <t>siox</t>
  </si>
  <si>
    <t>ring central</t>
  </si>
  <si>
    <t>manual</t>
  </si>
  <si>
    <t>hyberabad</t>
  </si>
  <si>
    <t>action log - medtronic</t>
  </si>
  <si>
    <t>Ivan</t>
  </si>
  <si>
    <t>24-31</t>
  </si>
  <si>
    <t>raboti</t>
  </si>
  <si>
    <t>pochiva</t>
  </si>
  <si>
    <t>3 dni</t>
  </si>
  <si>
    <t>pochivka</t>
  </si>
  <si>
    <t>24,27,28,3</t>
  </si>
  <si>
    <t>Ilian</t>
  </si>
  <si>
    <t>Diana</t>
  </si>
  <si>
    <t>chaka ot SSE Virgin Media I hunter</t>
  </si>
  <si>
    <t>waverly ne iskat</t>
  </si>
  <si>
    <t>Silvia Todo</t>
  </si>
  <si>
    <t>zavisi ot diana</t>
  </si>
  <si>
    <t>Niki</t>
  </si>
  <si>
    <t>go nqma</t>
  </si>
  <si>
    <t>pisal sum mu</t>
  </si>
  <si>
    <t>Emo</t>
  </si>
  <si>
    <t>Silvia Petrova</t>
  </si>
  <si>
    <t>chat botove - pisane na mashine learning za chat botove</t>
  </si>
  <si>
    <t>ot petyk</t>
  </si>
  <si>
    <t>chaka otgovor</t>
  </si>
  <si>
    <t>Ivan - 1/2</t>
  </si>
  <si>
    <t>joerg schulze</t>
  </si>
  <si>
    <t>chat bots</t>
  </si>
  <si>
    <t>22-24/27-31</t>
  </si>
  <si>
    <t>-</t>
  </si>
  <si>
    <t>24.12, 03.01 - 1/2</t>
  </si>
  <si>
    <t>27.12/28.12 -1/2</t>
  </si>
  <si>
    <t xml:space="preserve">COR's premium gateway-  personal gateway </t>
  </si>
  <si>
    <t>denis hofmann</t>
  </si>
  <si>
    <t>24-Dec</t>
  </si>
  <si>
    <t>MS</t>
  </si>
  <si>
    <t>NL</t>
  </si>
  <si>
    <t>GT</t>
  </si>
  <si>
    <t>28-31</t>
  </si>
  <si>
    <t>03-07</t>
  </si>
  <si>
    <t>Didi - 1/2</t>
  </si>
  <si>
    <t>Working</t>
  </si>
  <si>
    <t>Duration</t>
  </si>
  <si>
    <t>Full day</t>
  </si>
  <si>
    <t>24.12, 03.01</t>
  </si>
  <si>
    <t>coverage both days</t>
  </si>
  <si>
    <t>27.12/28.12</t>
  </si>
  <si>
    <t>24.12/03.01</t>
  </si>
  <si>
    <t>Silvia Todorova</t>
  </si>
  <si>
    <t>Name</t>
  </si>
  <si>
    <t>Diana Tsvetanova Dimitrova</t>
  </si>
  <si>
    <t>Emil Zdravkov Atanassov</t>
  </si>
  <si>
    <t>Ilian Ilkov Kukov</t>
  </si>
  <si>
    <t>Ivan Marchev Donchev</t>
  </si>
  <si>
    <t>Nikolay Georgiev Apostolov</t>
  </si>
  <si>
    <t>Silviya Angelova Todorova</t>
  </si>
  <si>
    <t>Silviya Valerieva Petrova</t>
  </si>
  <si>
    <t>Silvia Petrova - flybe</t>
  </si>
  <si>
    <t>Uspq li da me napravish neshto poveche ot senior finance</t>
  </si>
  <si>
    <t>Moje li da vidq kak se opredelq budjeta za ekipa I vsushtnost dali sme napred ili nazad I do kakva stepen mogat da se vdigat zaplati</t>
  </si>
  <si>
    <t>Smqtam che e logichno v nqkakuv etap da pochna rabotq s Fonso poveche I moje da se pomisli da si e pod men predvid fakta che e za UK</t>
  </si>
  <si>
    <t>ima nqkakvi neshta det ne razbiram kato naprimer za germaniq proekta zashto beshe pri sasho I vladi fonso</t>
  </si>
  <si>
    <t>pyk I na praktika I abbot zashto e pri nego no kakto I da e</t>
  </si>
  <si>
    <t>Interviewta za novi hora - problemyt v nachaloto beshe che se hodi na interviewta bez men za hora koito me interesuvaha</t>
  </si>
  <si>
    <t xml:space="preserve">ot kakto reshihme da hodim na vsichki interview na praktika sme bili samo na takiva kudeto az tursq za men hora - vsichki bukvalno - opredeleno ne mi trqbva pomosht za podbora I predlagam da go napravim taka che da hodim na interview ako se tursi takuv chovek </t>
  </si>
  <si>
    <t>za chastta, ako precenim che e po dobre da sme zaedno, no da ne e zaduljitelno</t>
  </si>
  <si>
    <t>I poslednata chast kogato tursim chovek za poziciq I go namerim ne iskam poveche da izpadame v situacii det da se kazva da ok imash poziciq imash chovek no az sushto iskam da e pri men</t>
  </si>
  <si>
    <t>ne vuznamerqvam da sporq za vseki nov chovek kojto idva I da se prevrushta v edna borba koj shte izvadi po dobri argumenti ili koj zvezdite sa mu progovorili poveche</t>
  </si>
  <si>
    <t>ne e zdravoslovno</t>
  </si>
  <si>
    <t>chovek otkakto sum v aig nikoga nito za den ne sum bil na poziciqta det vsushtnost sum po dokumenti I chestno kazano mi e dosta bolna tema</t>
  </si>
  <si>
    <t xml:space="preserve">nqkakvi hora me burkam s drug nikolai shoto e manager, otivam na sreshti ot ops nagore, predstavqm se kato Team leader pyk pishe sr, I kato se kacha na call me vzemat za liolio dokato ne pochna da govorq </t>
  </si>
  <si>
    <t>no ne iskam vseki pyt da se dokaja I togava da ima uvajenie kym men, a malko I poziciqta da govori vmesto men zashtoto naistina e super nepriqtno I ne mi haresva</t>
  </si>
  <si>
    <t>Moje li da mi pokajesh kakvo vijda Sasho pri poruchvane na novi kompove I ima li neshto koeto ne znam</t>
  </si>
  <si>
    <t>iska mi se da stigna pone purvonachalnata ti zaplata, s koqto si pochnal v sitel predid vsichko koeto pravq</t>
  </si>
  <si>
    <t>Pomisli za uvelichenie na zaplatata predvid vsichko koeto napravih tazi godina I pravq I shte produlja da pravq zashtoto ne smqtam che e malko a inflaciqta se vdiga strashno - pyk I za deca veche pochvam da mislq</t>
  </si>
  <si>
    <t xml:space="preserve">a za poziciite koito I dvamata tursim I otgovarq moje I nie da si izlojim ideite, no I na choveka da mu se </t>
  </si>
  <si>
    <t>dade pravo na izbor I da mu se kaje kakuv e izbora</t>
  </si>
  <si>
    <t>net pari</t>
  </si>
  <si>
    <t>flexy pass voucheri</t>
  </si>
  <si>
    <t>nqma da se vijda finansoveite neshta vuv formite</t>
  </si>
  <si>
    <t>120 - gift</t>
  </si>
  <si>
    <t>1000 za men</t>
  </si>
  <si>
    <t>Bonus/2021 OT recon - Payout</t>
  </si>
  <si>
    <t>Gift Checks</t>
  </si>
  <si>
    <t>Base</t>
  </si>
  <si>
    <t>New Base</t>
  </si>
  <si>
    <t>Nikolai Robert Lubenov</t>
  </si>
  <si>
    <t>Ot Jr. На Rep Analyst</t>
  </si>
  <si>
    <t>Katrin sykes - payroll</t>
  </si>
  <si>
    <t>cqla germaniq</t>
  </si>
  <si>
    <t xml:space="preserve">Dianche - </t>
  </si>
  <si>
    <t xml:space="preserve">Niki  - </t>
  </si>
  <si>
    <t xml:space="preserve">Silveto Todo - </t>
  </si>
  <si>
    <t>Icoach hp new metrics</t>
  </si>
  <si>
    <t>aleksandros</t>
  </si>
  <si>
    <t>sykes - rumyniq</t>
  </si>
  <si>
    <t>papadongonas</t>
  </si>
  <si>
    <t>universal report</t>
  </si>
  <si>
    <t>QBR</t>
  </si>
  <si>
    <t>venues</t>
  </si>
  <si>
    <t>cost centre</t>
  </si>
  <si>
    <t>nordics/netherlands</t>
  </si>
  <si>
    <t>financial work</t>
  </si>
  <si>
    <t>ahmed nasr</t>
  </si>
  <si>
    <t>premium gateway</t>
  </si>
  <si>
    <t>row lvl security</t>
  </si>
  <si>
    <t>analysis server</t>
  </si>
  <si>
    <t>who is managing you sql erver</t>
  </si>
  <si>
    <t>carlene</t>
  </si>
  <si>
    <t>ssis or package creation in other words</t>
  </si>
  <si>
    <t>are you comfortable writing</t>
  </si>
  <si>
    <t xml:space="preserve">sql queries </t>
  </si>
  <si>
    <t>external tools</t>
  </si>
  <si>
    <t>power apps?</t>
  </si>
  <si>
    <t>incremental refresh</t>
  </si>
  <si>
    <t>registries</t>
  </si>
  <si>
    <t>payroll</t>
  </si>
  <si>
    <t>country</t>
  </si>
  <si>
    <t xml:space="preserve">employee </t>
  </si>
  <si>
    <t>location in country</t>
  </si>
  <si>
    <t>grada</t>
  </si>
  <si>
    <t>could be work from home</t>
  </si>
  <si>
    <t>related to the function</t>
  </si>
  <si>
    <t>project code</t>
  </si>
  <si>
    <t>I nie sme finansi</t>
  </si>
  <si>
    <t>7 digit</t>
  </si>
  <si>
    <t>7 * 0 no project</t>
  </si>
  <si>
    <t>payroll in bg by providers</t>
  </si>
  <si>
    <t>successfactor - sap employee data</t>
  </si>
  <si>
    <t>same data as payroll</t>
  </si>
  <si>
    <t>not matching</t>
  </si>
  <si>
    <t>list of HRs</t>
  </si>
  <si>
    <t>which countries or the whole europe</t>
  </si>
  <si>
    <t>run check on a weekly basis</t>
  </si>
  <si>
    <t>success-boost - bo dani</t>
  </si>
  <si>
    <t>payroll = aladin</t>
  </si>
  <si>
    <t>1st import all files from folder in power bi</t>
  </si>
  <si>
    <t>2 Concatenate a column with all other criteria columns</t>
  </si>
  <si>
    <t>3 create a formula to check and interface in power bi</t>
  </si>
  <si>
    <t>some slicers to chose match or not, country, location, cost centre, project code</t>
  </si>
  <si>
    <t>folder on shared drive, where all have access</t>
  </si>
  <si>
    <t>good to write a script in vb(a) to check columns and make all of the files the same and check the column names</t>
  </si>
  <si>
    <t>Sitel Data Management (sitel-world.net)</t>
  </si>
  <si>
    <t>Reguest BO account</t>
  </si>
  <si>
    <t>Sitel Service Management Center (sitel-world.net)</t>
  </si>
  <si>
    <t>Raise a ticket to ask if COR has this dataflow created</t>
  </si>
  <si>
    <t>remove webview2 - add/remove programs -&gt; edge</t>
  </si>
  <si>
    <t xml:space="preserve">Sitel office - </t>
  </si>
  <si>
    <t>skype teams</t>
  </si>
  <si>
    <t>whos giving you so much workload and meetings</t>
  </si>
  <si>
    <t>can you give me a simplified version of your tasks currently, what percetage of the time u are doing finance and realistically how much time can you spare for reporting</t>
  </si>
  <si>
    <t>SALES FORCE?</t>
  </si>
  <si>
    <t>distribution list who left to be removed</t>
  </si>
  <si>
    <t>6. power bi standard reports</t>
  </si>
  <si>
    <t>imenata na workspace</t>
  </si>
  <si>
    <t>vsichki training reporti v sofia training  materials</t>
  </si>
  <si>
    <t>power bi list - nov sheet training reports</t>
  </si>
  <si>
    <t xml:space="preserve">koj iska da prezentira sledvashtata sesiq </t>
  </si>
  <si>
    <t>stava duma za gantt chart - izpolzva se matrixa po mnogo uniklaen nachin, kojto sum siguren che shte uspeem da mu namerim prilojenie</t>
  </si>
  <si>
    <t>Martin-</t>
  </si>
  <si>
    <t xml:space="preserve">Silvia Petrova - </t>
  </si>
  <si>
    <t>Vladi-</t>
  </si>
  <si>
    <t>waitrose - absence report</t>
  </si>
  <si>
    <t>silveto p - automate</t>
  </si>
  <si>
    <t>silveto t</t>
  </si>
  <si>
    <t>gantt charts</t>
  </si>
  <si>
    <t>10 reports at the same, we gave access to a folder - issue with us/europe server</t>
  </si>
  <si>
    <t>service hub - out?</t>
  </si>
  <si>
    <t>brother?</t>
  </si>
  <si>
    <t>elavon report?</t>
  </si>
  <si>
    <t>absence report?</t>
  </si>
  <si>
    <t>waitrose - absence request</t>
  </si>
  <si>
    <t>jl migration?</t>
  </si>
  <si>
    <t>sud email contacted the cor team no other update</t>
  </si>
  <si>
    <t>contact chris</t>
  </si>
  <si>
    <t>power bi report - ready</t>
  </si>
  <si>
    <t>some small adjustements</t>
  </si>
  <si>
    <t>im giving the team some side projects like investigation RLS, power auto, dataflows in power bi service, power forms</t>
  </si>
  <si>
    <t>kronos migration?</t>
  </si>
  <si>
    <t>robert graci</t>
  </si>
  <si>
    <t>sse comments?</t>
  </si>
  <si>
    <t>paul fair- manager elavon</t>
  </si>
  <si>
    <t>virgin dashboard</t>
  </si>
  <si>
    <t>Martin -</t>
  </si>
  <si>
    <t>2 weeks</t>
  </si>
  <si>
    <t>Wednesday</t>
  </si>
  <si>
    <t>email reporting?</t>
  </si>
  <si>
    <t>communications start</t>
  </si>
  <si>
    <t>waitrose - on the agenda</t>
  </si>
  <si>
    <t>melisa reports?</t>
  </si>
  <si>
    <t>niki - rest api</t>
  </si>
  <si>
    <t>show icon za udivitelnata</t>
  </si>
  <si>
    <t>paypal donut</t>
  </si>
  <si>
    <t>html content</t>
  </si>
  <si>
    <t>text enhancer</t>
  </si>
  <si>
    <t xml:space="preserve">ultimate kpi free </t>
  </si>
  <si>
    <t>power kpi</t>
  </si>
  <si>
    <t>diana- RLS, Dax</t>
  </si>
  <si>
    <t>productivity report stellantis</t>
  </si>
  <si>
    <t>1/2</t>
  </si>
  <si>
    <t>off</t>
  </si>
  <si>
    <t>emo negovite I na niki</t>
  </si>
  <si>
    <t>March</t>
  </si>
  <si>
    <t>Martin Sh</t>
  </si>
  <si>
    <t>Martin</t>
  </si>
  <si>
    <t>1</t>
  </si>
  <si>
    <t>Georgi Tsatsev</t>
  </si>
  <si>
    <t>absence report silveto p + unassighed hours + full or part time + tenure</t>
  </si>
  <si>
    <t xml:space="preserve">Niki - </t>
  </si>
  <si>
    <t>absence</t>
  </si>
  <si>
    <t>invoiced hours</t>
  </si>
  <si>
    <t>avaya vs kronos</t>
  </si>
  <si>
    <t>sse</t>
  </si>
  <si>
    <t>agent lvl</t>
  </si>
  <si>
    <t>Diana shte pravi absence reporta za sse &amp; virgin</t>
  </si>
  <si>
    <t xml:space="preserve">Reports </t>
  </si>
  <si>
    <t>da ne e 1-4</t>
  </si>
  <si>
    <t>s tikcheta</t>
  </si>
  <si>
    <t>https://forms.office.com/Pages/DesignPage.aspx?auth_pvr=OrgId&amp;auth_upn=nikolay.lubenov%40sitel.com&amp;origin=OfficeDotCom&amp;lang=en-US&amp;route=Start#FormId=s8gWf-_woUWqgZ1ckMuLpU63bK3D_olNtgtT9foja8hUOUZQU1M1RVpCQkxSUExXQ1VHOVVXOUVXWC4u&amp;Preview=%7B%22PreviousTopView%22%3A%22None%22%7D&amp;TopView=Preview</t>
  </si>
  <si>
    <t>https://sitel.sharepoint.com/sites/PA2/Lists/Leave request list/AllItems.aspx?OR=Teams-HL&amp;CT=1648542249942&amp;params=eyJBcHBOYW1lIjoiVGVhbXMtRGVza3RvcCIsIkFwcFZlcnNpb24iOiIyNy8yMjAzMDcwMTYxMCJ9</t>
  </si>
  <si>
    <t>backup 1</t>
  </si>
  <si>
    <t>dati</t>
  </si>
  <si>
    <t xml:space="preserve">reporti </t>
  </si>
  <si>
    <t>vid otpuska</t>
  </si>
  <si>
    <t>ot koq do koq data</t>
  </si>
  <si>
    <t>broj zamestvashti</t>
  </si>
  <si>
    <t>backup 2</t>
  </si>
  <si>
    <t>backup 3</t>
  </si>
  <si>
    <t>no backup needed</t>
  </si>
  <si>
    <t>s tikche</t>
  </si>
  <si>
    <t>same days as the holiday request</t>
  </si>
  <si>
    <t>kalendar</t>
  </si>
  <si>
    <t>22-25</t>
  </si>
  <si>
    <t>generic account</t>
  </si>
  <si>
    <t>paid leave/ other</t>
  </si>
  <si>
    <t>comment for other</t>
  </si>
  <si>
    <t>General comment</t>
  </si>
  <si>
    <t>sending the email from CRT</t>
  </si>
  <si>
    <t>men ili sasho</t>
  </si>
  <si>
    <t>Joro hard code</t>
  </si>
  <si>
    <t>approve rights?</t>
  </si>
  <si>
    <t>backupa sushto</t>
  </si>
  <si>
    <t>brother prehvurlqne, HP?</t>
  </si>
  <si>
    <t>pokajesh na burzo</t>
  </si>
  <si>
    <t>EMT - Dan e kazal che na vsqkude e implemetirano, vuprosa e dali tochno tiq emaili da se spirat - chakat otgovor</t>
  </si>
  <si>
    <t>pokaje oshte malko po automate</t>
  </si>
  <si>
    <t>nqma ops</t>
  </si>
  <si>
    <t>chakame</t>
  </si>
  <si>
    <t>ogranichavash dannite broq na redovete</t>
  </si>
  <si>
    <t>predi deployment I sled tova</t>
  </si>
  <si>
    <t>Vladi</t>
  </si>
  <si>
    <t>data flow</t>
  </si>
  <si>
    <t>etsa</t>
  </si>
  <si>
    <t>gateway - da moje da se refreshva data flow ot 2 mesta</t>
  </si>
  <si>
    <t>poweshell nqkoj sloji li modula za power bi?</t>
  </si>
  <si>
    <t>Tazi sedmica shte si napravim 1v1 s vseki ot vas za performansa I sluchiloto se poslednite tri meseca - tezi koito veche imat dostatuchno staj za bonus da sa gotovi suvsem skoro da pokazvam maili - vuprosi?</t>
  </si>
  <si>
    <t>Do utre kraq na denq da ste si populnili fajlovete za tova koj koga shte raboti I mi pratete edno mailche stil 22/04 - rabotq - pulen nepulen den</t>
  </si>
  <si>
    <t>shto ne hvanesh na diana dax-a det trqbvashe da pokaje</t>
  </si>
  <si>
    <t>Min sedmica nqmah sreshta s martin f, koeto e problem zashtoto zachestiha sluchaite v koito ni se kazva da napravim neshto I posle se okazva che trqbva da go pravim po drug nachin ili ne trqbva da go pravim</t>
  </si>
  <si>
    <t>koeto ne e dobar nachin na rabota I iskah da go obsudim za da moje da ne se sluchvat poveche takiva absurda, no pytuvashe I shte go ostavim za tazi sedmica</t>
  </si>
  <si>
    <t>May</t>
  </si>
  <si>
    <t>02, 06</t>
  </si>
  <si>
    <t>drugiq Ponedelnik da e ready</t>
  </si>
  <si>
    <t>Virgin Media</t>
  </si>
  <si>
    <t>az</t>
  </si>
  <si>
    <t>02/05,06/05</t>
  </si>
  <si>
    <t>25/04,02/05</t>
  </si>
  <si>
    <t>22/04,25/04</t>
  </si>
  <si>
    <t>Dates</t>
  </si>
  <si>
    <t>Total</t>
  </si>
  <si>
    <t>1 day</t>
  </si>
  <si>
    <t>2 days</t>
  </si>
  <si>
    <t>QA shark ninja</t>
  </si>
  <si>
    <t>tree - word scatter</t>
  </si>
  <si>
    <t>Dnes da se razberat</t>
  </si>
  <si>
    <t>Absence</t>
  </si>
  <si>
    <t>RLS</t>
  </si>
  <si>
    <t>hp social media</t>
  </si>
  <si>
    <t xml:space="preserve">powershell </t>
  </si>
  <si>
    <t>SNPS</t>
  </si>
  <si>
    <t>abandon rate</t>
  </si>
  <si>
    <t>new metrics</t>
  </si>
  <si>
    <t>icoach</t>
  </si>
  <si>
    <t>agent performance/absence/cloud</t>
  </si>
  <si>
    <t>icoach/ fte to be done</t>
  </si>
  <si>
    <t>tepurva</t>
  </si>
  <si>
    <t>shte mahat 1 chovek ot huawei</t>
  </si>
  <si>
    <t>sled mesec dva</t>
  </si>
  <si>
    <t>problemi s contacts per hour</t>
  </si>
  <si>
    <t>sistemata nasha e greshna</t>
  </si>
  <si>
    <t>wfm - prevod</t>
  </si>
  <si>
    <t>ikonka</t>
  </si>
  <si>
    <t>weekend</t>
  </si>
  <si>
    <t>da</t>
  </si>
  <si>
    <t>aleksander</t>
  </si>
  <si>
    <t>Dnes niki novakov shte predstavi edna programa koqto sushto e dosta populqrna osven power bi - kazva se tableu nqkoj sa q chuvali drugi ne, no shte mojem da sravnim nqkoi ot osnovnite fukncionalnosti I ekstri</t>
  </si>
  <si>
    <t>ne ochakvajte che sled tova shte imate znaniqta da rabotite na neq - dokato chovek ne razcuka sam tova nqma kak da stane, no shte imate osnovna ideq za kakvo stava duma</t>
  </si>
  <si>
    <t>subitie s prenoshtuvane e po-trudno I specialno zashtoto trqbva da se vodi kato seminar, inache politikata na firmata ne go podkrepq</t>
  </si>
  <si>
    <t>tepurva shte pravqt reporti I iskat da pocherpat idei moje ili da poglednat workspac-ite koito veche sa suzdadeni- vsichki imat dostap do tqh, ili da se svurjat s nqkoj ot ekipa kato naprimen Diana I Silvetata</t>
  </si>
  <si>
    <t>I tepurva shte q integrirame</t>
  </si>
  <si>
    <t>kazva se Martin Fergusan I moje bi purviqt mu proekt shte bude amazon, no ima mnogo mesta kudeto trqbva da se integrirat quality platformi kato nice, no ne znam dali shte se koncentrira samo na neq</t>
  </si>
  <si>
    <t>Minalata sedmica zapochnahme I nov proekt s Marto, kojto shte se sustoi v izgrajdaneto na power bi report chisto s WFM danni</t>
  </si>
  <si>
    <t>Osven tova, I se poqvi nov vajen proekt spusnat ot visoko nivo, koito iziskva nashata power bi ekspertiza - choveka svurzal se s nas se kazva hari lakshmipati I e fp&amp;a direktor za indiq</t>
  </si>
  <si>
    <t>ne sa mnogo vpechatlqvashti I imam chuvstvoto che v edin moment shte se razrastnem drastichno</t>
  </si>
  <si>
    <t>kogato imame poveche informaciq shte q spodelim, purvonachalnata ideq beshe za kraq na maj no kakto kazah na tozi etap nishto ne e sigurno I shte napravim kakvoto mojem za da usyshtestvim tazi ideq</t>
  </si>
  <si>
    <t>Otnosno novite pozicii v ekipa vse oshte ima golqmo tursene I nujda ot hora, ako imate predlojeniq sa dobre doshli - v momenta ima nqkolko pozicii otvoreni - za buglaria, za uk, generalni za emea I ot tova</t>
  </si>
  <si>
    <t>koeto vijdam I broq na novi hori koito se svruzvat s nas, tazi brojka samo shte raste, kato osnovnite kriterii sa power bi znaniq, sql do nqkakva stepen I angliiski ezik na edno dobro nivo</t>
  </si>
  <si>
    <t xml:space="preserve">tova koeto moga da kaja za UK na tozi etap e che migraciqta ot excel kym power bi se razviva s mnogo burzi tempove, do tuk migrirahme dosta klienti I ima gotovi reporti s interesni funkcionalnosti, za tezi koito </t>
  </si>
  <si>
    <t xml:space="preserve">v germaniq neshtata oshte sa na etap izgrajdane na evropejski datawarehouse podoben na business objects, kojto obache shte e sql server, do kojto imame dostap I shte mojem da izvlichame veche storenata tam informaciq - edin primer kojto </t>
  </si>
  <si>
    <t>vse oshte ochakvam potvurjdenie e za siox dannite, tui kato bi bilo mnogo po udobno, osobeno pri polojenie che imat informaciq za vsichki klienti veche in place</t>
  </si>
  <si>
    <t>shte rabotim sus stefan sapundjic, koito shte organizira procesa po predostavqne na dannite, ot tam te shte budat storevani v spomenatiqt evropejski datawarehouse na nemcite, kato nqkoi ot neshtata veche sam tam I moje bi purviqt proekt shte e amazon</t>
  </si>
  <si>
    <t>shte trqbva da razrabotim globalen power bi report za tqh, sudurjasht finansovi danni v nego - za sega na sreshtata osven men I joro, beshe I Marto, no moje bi shte pomolq I Silviq Petrova da se vkliuchi v zavisimost ot estestvoto na proekta</t>
  </si>
  <si>
    <t>Sushto taka dochuh I za vuzmojnost za razshirqvane na nashite uslugi kym amerikanskiq Pazar, no za tova shte kajem poveche kogato ima qsna informaciq, za sega si mislite za novi hora, tui kato cv-tata koito poluchihme do momenta</t>
  </si>
  <si>
    <t>naj veroqtno bobo I pepi</t>
  </si>
  <si>
    <t>nqkoj neshto da iska da spodeli oshte - preminavame kym prezentaciqta</t>
  </si>
  <si>
    <t>tova e ot men, Korfi mojesh li da spodelish I ti s nqkolko dumi s kakvo  se sbluskvate okolo abott</t>
  </si>
  <si>
    <t>Vladi iordanov kak e pri vas</t>
  </si>
  <si>
    <t>Bobo - lifescan</t>
  </si>
  <si>
    <t>Pepi v bulgaria kak e vremeto</t>
  </si>
  <si>
    <t>Fonso ima li PSA pochva u nas</t>
  </si>
  <si>
    <t>Nqkoj veche sa chuli, drugi mislq che chakat tozi moment s neturpenie, no sme v proces na tursene na mqsto, kudeto mojem da napravim team building samo za nashiq ekip - problema e che udobrqvaneto na takova</t>
  </si>
  <si>
    <t>Sega s nqkolko dumi shte ubobshta kavo se sluchva v UK,germaniq I sveta I sled tova shte dam dumata na  korfi, vladi iordanov kakto I nqkoj po jelanie da razkaje za lifescan I  bulgaria kakvo se sluchva</t>
  </si>
  <si>
    <t>a pyk vladi fonso moje da dade update sa PSA migraciqta kym bulgaria</t>
  </si>
  <si>
    <t>v momenta sme na etap v kojto shte pravim globalni reporti za celiqt UK - primerno absence report kojto e vuv finalnite si etapi veche - liubopitno mi e dali ste imali kazus che tm ne mogat da vijdat employee danni do sega I</t>
  </si>
  <si>
    <t xml:space="preserve"> sega imame request za globalen report kojto da sravnqva avaya I kronos worked hours - diana ima gotov mostra</t>
  </si>
  <si>
    <t>kakva e razlikata mejdu schedulnoto v kronos I na praktika avaya dannite kakvo pokazvat - uchudvashto dannite sa dosta blizki kato cifri</t>
  </si>
  <si>
    <t>ako nqkoj se sbluska s nqkoi ot tezi report moje da si posluji s gotovite reportite</t>
  </si>
  <si>
    <t>za sujalenie moqt counter part v UK, koito sushto e reporting team lead shte smeni poziciqta si I shte stane quality manager za emea I africa, ne znam podrobnosti oshte no nqkoi ot vas moje da rabotqt s nego</t>
  </si>
  <si>
    <t>Georgi</t>
  </si>
  <si>
    <t>Sasho</t>
  </si>
  <si>
    <t>Niki R</t>
  </si>
  <si>
    <t>da razbere kak stavat neshtata</t>
  </si>
  <si>
    <t>cloud visualization</t>
  </si>
  <si>
    <t>icoach fte</t>
  </si>
  <si>
    <t>no QA log</t>
  </si>
  <si>
    <t>hp some power bi</t>
  </si>
  <si>
    <t>bo absence report</t>
  </si>
  <si>
    <t>Dimitar Valev- training problemi</t>
  </si>
  <si>
    <t>sharepoint  migration</t>
  </si>
  <si>
    <t>quality log documentation kakvo shto</t>
  </si>
  <si>
    <t>new comer guide</t>
  </si>
  <si>
    <t>expertizi</t>
  </si>
  <si>
    <t>eqiupment - software, dostapi, programi</t>
  </si>
  <si>
    <t>new comer</t>
  </si>
  <si>
    <t>hristo</t>
  </si>
  <si>
    <t>trainer - onboarding</t>
  </si>
  <si>
    <t>Svetoslav Dimov - Reporting Analytst - Sitel Group | LinkedIn</t>
  </si>
  <si>
    <t>Sreshtite s christopher shte pochnat na 12 septemvri koeto e rojdeniq mi den I principno sigurno nqma da me ima tezi sedmici no da vidim</t>
  </si>
  <si>
    <t>Do togava vsichko si produljava kakto do momenta</t>
  </si>
  <si>
    <t>emo I didi</t>
  </si>
  <si>
    <t>Nikolay Raykov</t>
  </si>
  <si>
    <t>06,22</t>
  </si>
  <si>
    <t>Martin Kacarski</t>
  </si>
  <si>
    <t>IT new</t>
  </si>
  <si>
    <t>python - basic; advanced; expert</t>
  </si>
  <si>
    <t>remote pc- koj izpolzvame</t>
  </si>
  <si>
    <t>onboard trainer/telephony - Niki A</t>
  </si>
  <si>
    <t>Advanced</t>
  </si>
  <si>
    <t>Managing Report Pages</t>
  </si>
  <si>
    <t>Changing Report View Options</t>
  </si>
  <si>
    <t>Working with Visualizations</t>
  </si>
  <si>
    <t>Adding Static Objects to a Report</t>
  </si>
  <si>
    <t>Transforming and Sanitizing Data</t>
  </si>
  <si>
    <t>Using the Query Editor</t>
  </si>
  <si>
    <t>Data Modeling</t>
  </si>
  <si>
    <t>Managing Relationships</t>
  </si>
  <si>
    <t>Working with Power BI Desktop Files</t>
  </si>
  <si>
    <t>Connecting to Data Sources with Power BI Desktop</t>
  </si>
  <si>
    <t>Matrixes, Tables, and Charts</t>
  </si>
  <si>
    <t>Cards, Gauges, and KPIs</t>
  </si>
  <si>
    <t>Slicers</t>
  </si>
  <si>
    <t>Using Workspaces, Dashboards and Reports</t>
  </si>
  <si>
    <t>Creating Custom Dashboards</t>
  </si>
  <si>
    <t>Exploring the Power BI Service Interface</t>
  </si>
  <si>
    <t>Connecting to Databases</t>
  </si>
  <si>
    <t>Understanding Data Refresh</t>
  </si>
  <si>
    <t>Adding Filters to a Power BI Report</t>
  </si>
  <si>
    <t>Adding KPI’s to a Report</t>
  </si>
  <si>
    <t>Sharing Reports and Dashboards</t>
  </si>
  <si>
    <t>Python</t>
  </si>
  <si>
    <t>Function Parameters</t>
  </si>
  <si>
    <t>Multiple Parameters</t>
  </si>
  <si>
    <t>Functions</t>
  </si>
  <si>
    <t>Function Indentation</t>
  </si>
  <si>
    <t>Calling Functions</t>
  </si>
  <si>
    <t>Function Arguments</t>
  </si>
  <si>
    <t>Function Keyword Arguments</t>
  </si>
  <si>
    <t>Returning Multiple Values</t>
  </si>
  <si>
    <t>Python List Comprehension</t>
  </si>
  <si>
    <t>Python For Loop</t>
  </si>
  <si>
    <t>Infinite Loop</t>
  </si>
  <si>
    <t>Python Nested Loops</t>
  </si>
  <si>
    <t>Adding Lists Together</t>
  </si>
  <si>
    <t>Python Lists: Data Types</t>
  </si>
  <si>
    <t>Zero-Indexing</t>
  </si>
  <si>
    <t>List Indices</t>
  </si>
  <si>
    <t>Negative List Indices</t>
  </si>
  <si>
    <t>Modifying 2D Lists</t>
  </si>
  <si>
    <r>
      <t>Equal Operator </t>
    </r>
    <r>
      <rPr>
        <sz val="8.8000000000000007"/>
        <color rgb="FF15141F"/>
        <rFont val="Consolas"/>
        <family val="3"/>
      </rPr>
      <t>==</t>
    </r>
  </si>
  <si>
    <r>
      <t>Not Equals Operator </t>
    </r>
    <r>
      <rPr>
        <sz val="8.8000000000000007"/>
        <color rgb="FF15141F"/>
        <rFont val="Consolas"/>
        <family val="3"/>
      </rPr>
      <t>!=</t>
    </r>
  </si>
  <si>
    <t>Comparison Operators</t>
  </si>
  <si>
    <t>Arithmetic Operations</t>
  </si>
  <si>
    <r>
      <t>Plus-Equals Operator </t>
    </r>
    <r>
      <rPr>
        <sz val="8.8000000000000007"/>
        <color rgb="FF15141F"/>
        <rFont val="Consolas"/>
        <family val="3"/>
      </rPr>
      <t>+=</t>
    </r>
  </si>
  <si>
    <t>Variables</t>
  </si>
  <si>
    <r>
      <t>Modulo Operator </t>
    </r>
    <r>
      <rPr>
        <sz val="8.8000000000000007"/>
        <color rgb="FF15141F"/>
        <rFont val="Consolas"/>
        <family val="3"/>
      </rPr>
      <t>%</t>
    </r>
  </si>
  <si>
    <t>Integers</t>
  </si>
  <si>
    <t>String Concatenation</t>
  </si>
  <si>
    <t>Errors</t>
  </si>
  <si>
    <t>Excel</t>
  </si>
  <si>
    <t>Basic</t>
  </si>
  <si>
    <t>Calculating sums, averages, and totals</t>
  </si>
  <si>
    <t>Counting cells</t>
  </si>
  <si>
    <t>Pivot tables</t>
  </si>
  <si>
    <t>Inserting, editing, and deleting comments</t>
  </si>
  <si>
    <t>Creating borders</t>
  </si>
  <si>
    <t>Wrapping text</t>
  </si>
  <si>
    <t>Merging cells</t>
  </si>
  <si>
    <t>Pasting, sorting, and converting columns to rows</t>
  </si>
  <si>
    <t>Creating graphs and charts</t>
  </si>
  <si>
    <t>Using hyperlinks</t>
  </si>
  <si>
    <t>IF statements, AND and OR</t>
  </si>
  <si>
    <t>Nested, Arrays and Conditions Formulas</t>
  </si>
  <si>
    <t>Scenarios, Goal Seek and other advanced functions</t>
  </si>
  <si>
    <t>Protecting workbooks</t>
  </si>
  <si>
    <t>Powershell</t>
  </si>
  <si>
    <t>SSMS</t>
  </si>
  <si>
    <t>SSIS</t>
  </si>
  <si>
    <t>Exporting Results into a Flat File</t>
  </si>
  <si>
    <t>Re-directing Unmatched rows</t>
  </si>
  <si>
    <t>Data Conversion</t>
  </si>
  <si>
    <t>Error Handling by using Event Handlers</t>
  </si>
  <si>
    <t xml:space="preserve"> IF, COUNTIF, SUMIF, VLOOKUP, HLOOKUP, and AVERAGEIF</t>
  </si>
  <si>
    <t>Pivots Table Formulas and Charts</t>
  </si>
  <si>
    <t>Variables (ByRef and ByVal)</t>
  </si>
  <si>
    <t>Sub and Fuction</t>
  </si>
  <si>
    <t>Range/Cell Difference</t>
  </si>
  <si>
    <t>Copy paste as values</t>
  </si>
  <si>
    <t>search lookin/lookat</t>
  </si>
  <si>
    <t>Class Module</t>
  </si>
  <si>
    <t>Reference</t>
  </si>
  <si>
    <t>loop Formulas</t>
  </si>
  <si>
    <t>Early vs late binding</t>
  </si>
  <si>
    <t>Pivot table macros</t>
  </si>
  <si>
    <t>Charts &amp; Outlook</t>
  </si>
  <si>
    <t>Web Macros</t>
  </si>
  <si>
    <t>Error handling</t>
  </si>
  <si>
    <t>Expert</t>
  </si>
  <si>
    <t>Excel VBA</t>
  </si>
  <si>
    <r>
      <t>or</t>
    </r>
    <r>
      <rPr>
        <sz val="11"/>
        <color theme="1"/>
        <rFont val="Segoe UI"/>
        <family val="2"/>
      </rPr>
      <t> Operator</t>
    </r>
  </si>
  <si>
    <r>
      <t>elif</t>
    </r>
    <r>
      <rPr>
        <sz val="11"/>
        <color theme="1"/>
        <rFont val="Segoe UI"/>
        <family val="2"/>
      </rPr>
      <t> Statement</t>
    </r>
  </si>
  <si>
    <r>
      <t>if</t>
    </r>
    <r>
      <rPr>
        <sz val="11"/>
        <color theme="1"/>
        <rFont val="Segoe UI"/>
        <family val="2"/>
      </rPr>
      <t> Statement</t>
    </r>
  </si>
  <si>
    <r>
      <t>else</t>
    </r>
    <r>
      <rPr>
        <sz val="11"/>
        <color theme="1"/>
        <rFont val="Segoe UI"/>
        <family val="2"/>
      </rPr>
      <t> Statement</t>
    </r>
  </si>
  <si>
    <r>
      <t>and</t>
    </r>
    <r>
      <rPr>
        <sz val="11"/>
        <color theme="1"/>
        <rFont val="Segoe UI"/>
        <family val="2"/>
      </rPr>
      <t> Operator</t>
    </r>
  </si>
  <si>
    <r>
      <t>The Python </t>
    </r>
    <r>
      <rPr>
        <sz val="11"/>
        <color theme="1"/>
        <rFont val="Consolas"/>
        <family val="3"/>
      </rPr>
      <t>continue</t>
    </r>
    <r>
      <rPr>
        <sz val="11"/>
        <color theme="1"/>
        <rFont val="Segoe UI"/>
        <family val="2"/>
      </rPr>
      <t> Keyword</t>
    </r>
  </si>
  <si>
    <r>
      <t>Python </t>
    </r>
    <r>
      <rPr>
        <sz val="11"/>
        <color theme="1"/>
        <rFont val="Consolas"/>
        <family val="3"/>
      </rPr>
      <t>while</t>
    </r>
    <r>
      <rPr>
        <sz val="11"/>
        <color theme="1"/>
        <rFont val="Segoe UI"/>
        <family val="2"/>
      </rPr>
      <t> Loops</t>
    </r>
  </si>
  <si>
    <t>Power Query</t>
  </si>
  <si>
    <t>Row level security</t>
  </si>
  <si>
    <t>Query Editor Options</t>
  </si>
  <si>
    <t>Dax Formulas</t>
  </si>
  <si>
    <r>
      <t>Python Loops with </t>
    </r>
    <r>
      <rPr>
        <sz val="11"/>
        <color rgb="FF15141F"/>
        <rFont val="Calibri"/>
        <family val="2"/>
        <scheme val="minor"/>
      </rPr>
      <t>range()</t>
    </r>
    <r>
      <rPr>
        <sz val="11"/>
        <color rgb="FF5788FA"/>
        <rFont val="Calibri"/>
        <family val="2"/>
        <scheme val="minor"/>
      </rPr>
      <t>.</t>
    </r>
  </si>
  <si>
    <t>On Premises/ Premium Gateway</t>
  </si>
  <si>
    <t>Power Automate</t>
  </si>
  <si>
    <t>Power App</t>
  </si>
  <si>
    <t>Dataflows/Datasets</t>
  </si>
  <si>
    <t>New measure/Quick measure</t>
  </si>
  <si>
    <t>Bookmarks/ Buttons</t>
  </si>
  <si>
    <t>External tools - Dax studio, tabular editor</t>
  </si>
  <si>
    <t>Differences Between Power BI Desktop and Service</t>
  </si>
  <si>
    <r>
      <t>List Method </t>
    </r>
    <r>
      <rPr>
        <sz val="11"/>
        <color rgb="FF15141F"/>
        <rFont val="Consolas"/>
        <family val="3"/>
      </rPr>
      <t>.append()</t>
    </r>
  </si>
  <si>
    <t>Error Handling</t>
  </si>
  <si>
    <t>Name Manager</t>
  </si>
  <si>
    <t>Data Validation</t>
  </si>
  <si>
    <t>Creating recorded macros</t>
  </si>
  <si>
    <t>Create procedures that start automatically</t>
  </si>
  <si>
    <t>Create procedures, variables, objects and user-defined functions.</t>
  </si>
  <si>
    <t>Arrays</t>
  </si>
  <si>
    <t>Define variables</t>
  </si>
  <si>
    <t>Variables and lists</t>
  </si>
  <si>
    <t>Controlling the program flow (if, switch, while, for, foreach)</t>
  </si>
  <si>
    <t>Formatting output</t>
  </si>
  <si>
    <t>Strings</t>
  </si>
  <si>
    <t>Loop Formulas</t>
  </si>
  <si>
    <t>HTML output configuration</t>
  </si>
  <si>
    <t>User interface form</t>
  </si>
  <si>
    <t>Powershell SDK</t>
  </si>
  <si>
    <t>Powershell Process ID</t>
  </si>
  <si>
    <t>Connect to SQL/ exporting or importing records</t>
  </si>
  <si>
    <t>Send emails in Outlook</t>
  </si>
  <si>
    <t>Pipeline specialized commands (Sort, Where, Measure, Select)</t>
  </si>
  <si>
    <t>Power BI</t>
  </si>
  <si>
    <t>BO</t>
  </si>
  <si>
    <t>SQL Server Agent</t>
  </si>
  <si>
    <t>Server, Database, Table</t>
  </si>
  <si>
    <t>Understand oledb and odbc connections</t>
  </si>
  <si>
    <t>Views</t>
  </si>
  <si>
    <t>Triggers</t>
  </si>
  <si>
    <t xml:space="preserve"> Procedures</t>
  </si>
  <si>
    <t>Script View as</t>
  </si>
  <si>
    <t>Case When Else End</t>
  </si>
  <si>
    <t>Convert/Try Convert</t>
  </si>
  <si>
    <t>Declare Variables</t>
  </si>
  <si>
    <t>Table Relationships/Joins</t>
  </si>
  <si>
    <t>Unions</t>
  </si>
  <si>
    <t>Primary/Foreign Key</t>
  </si>
  <si>
    <t>Table Column Formatting/ Difference between null and 0</t>
  </si>
  <si>
    <t>Query Editor - Select, From,Where, Order By</t>
  </si>
  <si>
    <t>Delete/Truncate</t>
  </si>
  <si>
    <t>Working with M code</t>
  </si>
  <si>
    <t>Table/Views/ Procedures naming logic in the database</t>
  </si>
  <si>
    <t>Control Flow,data flow, parameters</t>
  </si>
  <si>
    <t>SSIS Toolbox</t>
  </si>
  <si>
    <t>For Loops</t>
  </si>
  <si>
    <t>Importing Files with changing names</t>
  </si>
  <si>
    <t>Script Task</t>
  </si>
  <si>
    <t>Data Formatting from source file</t>
  </si>
  <si>
    <t>Debugging</t>
  </si>
  <si>
    <t>Importing a file to SQL server - steps</t>
  </si>
  <si>
    <t>Create Parameters</t>
  </si>
  <si>
    <t>Run package with SQL server agent</t>
  </si>
  <si>
    <t>Integration Services</t>
  </si>
  <si>
    <t>Folders, save as</t>
  </si>
  <si>
    <t>Schedule - with email or on shared drive</t>
  </si>
  <si>
    <t>Create variable</t>
  </si>
  <si>
    <t>Purge</t>
  </si>
  <si>
    <t>Merge</t>
  </si>
  <si>
    <t>Filter</t>
  </si>
  <si>
    <t>Export in excel format</t>
  </si>
  <si>
    <t>Universe</t>
  </si>
  <si>
    <t>Result objects and Query Filters</t>
  </si>
  <si>
    <t>Understand the difference between the universes, when to use</t>
  </si>
  <si>
    <t>Report, Folder, Imported document</t>
  </si>
  <si>
    <t>Publications</t>
  </si>
  <si>
    <t>References</t>
  </si>
  <si>
    <t>Adding Layers to a report</t>
  </si>
  <si>
    <t>If, Match</t>
  </si>
  <si>
    <t>Sum, If</t>
  </si>
  <si>
    <t>FormatNumber</t>
  </si>
  <si>
    <t>Currenttime,Currentdate</t>
  </si>
  <si>
    <t>Table formatting and position</t>
  </si>
  <si>
    <t>Objects and variables</t>
  </si>
  <si>
    <t>With and without Timeshift objects</t>
  </si>
  <si>
    <t>History</t>
  </si>
  <si>
    <t>Send, BI inbox</t>
  </si>
  <si>
    <t>Password protection</t>
  </si>
  <si>
    <t>Silviya Todorova</t>
  </si>
  <si>
    <t>Diana Dimitrova</t>
  </si>
  <si>
    <t>Nikolay Apostolov</t>
  </si>
  <si>
    <t>Emil Atanassov</t>
  </si>
  <si>
    <t>Ivan Donchev</t>
  </si>
  <si>
    <t>Ilian Kukov</t>
  </si>
  <si>
    <t>Silviya Petrova</t>
  </si>
  <si>
    <t>ID</t>
  </si>
  <si>
    <t>Salary</t>
  </si>
  <si>
    <t>Percent</t>
  </si>
  <si>
    <t>Amount</t>
  </si>
  <si>
    <t>New Salary</t>
  </si>
  <si>
    <t>Ilian v success mu e 3100 zaplatata a po spomen mislq che beshe 4200</t>
  </si>
  <si>
    <t>Niki Raykov mislq che mu e rano oshte za tova</t>
  </si>
  <si>
    <t>Rounded Salary</t>
  </si>
  <si>
    <t>Silveto Todo sushto trqbva da se vidi dali moje poveche poradi zaplatata I suotvetno shte q pravim li reporting analyst ili e rano</t>
  </si>
  <si>
    <t>Quality</t>
  </si>
  <si>
    <t>Absence - we have reports already; attrition was agreed with Martin Ferguson, that it should be done by Rob Carr</t>
  </si>
  <si>
    <t>if you have any additional projects for Absence we can help</t>
  </si>
  <si>
    <t>Outbound dialer - do you mean a report by account code</t>
  </si>
  <si>
    <t>Telephony - I saw that we have access to it in team but I don't see the workspace in power bi services</t>
  </si>
  <si>
    <t>Would you need some help imrpoving the dashboard - Diana and James have worked together before, if he is the creator</t>
  </si>
  <si>
    <t>we don’t' have a separate report only for OB usually it's part of telephony, cause you have 2 metrics - number of calls and call duration</t>
  </si>
  <si>
    <t>Adherence</t>
  </si>
  <si>
    <t>not really we have a simple BO report</t>
  </si>
  <si>
    <t>CRM - customer relationship management</t>
  </si>
  <si>
    <t>what do you mean?</t>
  </si>
  <si>
    <t>CSAT/NPS</t>
  </si>
  <si>
    <t>Surveys/ Csat</t>
  </si>
  <si>
    <t>Promoter/Passive and detractors</t>
  </si>
  <si>
    <t>Flash reports</t>
  </si>
  <si>
    <t>migration to Power BI</t>
  </si>
  <si>
    <t>PSA power BI QA report</t>
  </si>
  <si>
    <t>data from nice</t>
  </si>
  <si>
    <t>stellantis insights</t>
  </si>
  <si>
    <t>CSAT Power Bi</t>
  </si>
  <si>
    <t>brother csat in power bi</t>
  </si>
  <si>
    <t xml:space="preserve"> IT logger mendatory fields</t>
  </si>
  <si>
    <t>na client based/ what can we turn off</t>
  </si>
  <si>
    <t>Feedback - documented</t>
  </si>
  <si>
    <t>gurmeet.dhillon@sitel.com</t>
  </si>
  <si>
    <t>James</t>
  </si>
  <si>
    <t>Vladimir Alfonso</t>
  </si>
  <si>
    <t>Vladmir Alfonso</t>
  </si>
  <si>
    <t>stuart carter</t>
  </si>
  <si>
    <t>Martin Fergusan</t>
  </si>
  <si>
    <t>Sales Force</t>
  </si>
  <si>
    <t>insso</t>
  </si>
  <si>
    <t>Power BI Elavon</t>
  </si>
  <si>
    <t>ready need to continue in production</t>
  </si>
  <si>
    <t>check if it's in use</t>
  </si>
  <si>
    <t>remove excel</t>
  </si>
  <si>
    <t>Interval Elavon to migrate</t>
  </si>
  <si>
    <t>Documentaciqta koga e updatenato I kak</t>
  </si>
  <si>
    <t>biosence etickon</t>
  </si>
  <si>
    <t>missing documentation</t>
  </si>
  <si>
    <t>skill ma3x main backup - st</t>
  </si>
  <si>
    <t>skill ma3x 2 score on reports that she can</t>
  </si>
  <si>
    <t>overall documentation update</t>
  </si>
  <si>
    <t>hunter ready MI in power bi - david hitching</t>
  </si>
  <si>
    <t>action log - step with wrong</t>
  </si>
  <si>
    <t>brother combined - enola</t>
  </si>
  <si>
    <t>excel and power bi reporta both running</t>
  </si>
  <si>
    <t>reporting list missing from bobo report</t>
  </si>
  <si>
    <t>outbound</t>
  </si>
  <si>
    <t>report</t>
  </si>
  <si>
    <t>1 item I ima greshka v opisanieto</t>
  </si>
  <si>
    <t>documentation tnt and hp</t>
  </si>
  <si>
    <t>BO not imported into BO list</t>
  </si>
  <si>
    <t>action log not closed</t>
  </si>
  <si>
    <t>qa log is wrong</t>
  </si>
  <si>
    <t>social media documentation missing</t>
  </si>
  <si>
    <t>call pattern documentation missing</t>
  </si>
  <si>
    <t>silveto todo - validatetnala ma lipsvat nqkoi</t>
  </si>
  <si>
    <t>absence covarege=skill ma3x not the same</t>
  </si>
  <si>
    <t>saposa e fine</t>
  </si>
  <si>
    <t>attrition</t>
  </si>
  <si>
    <t>sharepoint koga shte pokazvat - drugata sedmica vtornik srqda</t>
  </si>
  <si>
    <t>vacation planner - petuk</t>
  </si>
  <si>
    <t>Brother deadline end of november</t>
  </si>
  <si>
    <t xml:space="preserve">stephen </t>
  </si>
  <si>
    <t>Orbiting</t>
  </si>
  <si>
    <t>kronos vs billed hours</t>
  </si>
  <si>
    <t>difference</t>
  </si>
  <si>
    <t>flash report</t>
  </si>
  <si>
    <t>where do you store it</t>
  </si>
  <si>
    <t>is it going to be in an app</t>
  </si>
  <si>
    <t>abandon target where does it come from</t>
  </si>
  <si>
    <t>definitians are missing</t>
  </si>
  <si>
    <t>occupied time</t>
  </si>
  <si>
    <t>intraday - hourly breakdown?</t>
  </si>
  <si>
    <t>agent lvl import?</t>
  </si>
  <si>
    <t>split interval actual staffing</t>
  </si>
  <si>
    <t>?</t>
  </si>
  <si>
    <t>Powe Automate</t>
  </si>
  <si>
    <t>Power BI visualisations</t>
  </si>
  <si>
    <t>Power BI Dax formulas</t>
  </si>
  <si>
    <t>Security management - access,vba, power bi</t>
  </si>
  <si>
    <t>azure knowledge</t>
  </si>
  <si>
    <t>which tables are with the 15-30 mins John lewis updates - I want to check a couple of things</t>
  </si>
  <si>
    <t>How is the access to the telephony dashboard going?</t>
  </si>
  <si>
    <t>which data can't we have access to</t>
  </si>
  <si>
    <t>access</t>
  </si>
  <si>
    <t>Is the pbix connected directly to the COR's database</t>
  </si>
  <si>
    <t>for which sources</t>
  </si>
  <si>
    <t>who were you communicating with - teresa, ragu or someone else</t>
  </si>
  <si>
    <t>can you send me over the communication</t>
  </si>
  <si>
    <t>which are the tables with the 15 min or 30 min refresh rate regarding the john lewis and waitrose data</t>
  </si>
  <si>
    <t>are there changes in the hierarchy in the UK I see that you are not reporting to dan piper currently</t>
  </si>
  <si>
    <t>SSE -new skills</t>
  </si>
  <si>
    <t>adherence + quality</t>
  </si>
  <si>
    <t>Chrysanthus Maswegho Pekwangko</t>
  </si>
  <si>
    <t>Telephony</t>
  </si>
  <si>
    <t>Flash</t>
  </si>
  <si>
    <t>Csat/nps</t>
  </si>
  <si>
    <t>Attrition</t>
  </si>
  <si>
    <t>Outbound</t>
  </si>
  <si>
    <t>podoben na productivity - da se vidi tehniq I ako ima neshto za dobavqne da se sloji</t>
  </si>
  <si>
    <t>da se pomisli integraciq sushto</t>
  </si>
  <si>
    <t>eu974k12sql04.emea.sitel-world.net</t>
  </si>
  <si>
    <t>TTAdmin</t>
  </si>
  <si>
    <t>NnxdnM9LwSE</t>
  </si>
  <si>
    <t>da se namerqt tablicite s 15 I 30 min import ot gdw - John/Sitel Reporting</t>
  </si>
  <si>
    <t>Silveto Petrova/Niki Raykov</t>
  </si>
  <si>
    <t>Vladi/Silveto Todo</t>
  </si>
  <si>
    <t xml:space="preserve">s Korfi za abbott - edna forma posle nqkolko/ razbrah che ste se chuli - </t>
  </si>
  <si>
    <t>formata shte e po blizo do medtronic I hunter ot do PSA - druj I Silveto v techenie da pomaga</t>
  </si>
  <si>
    <t>Attrition za holandiq</t>
  </si>
  <si>
    <t xml:space="preserve">ima li jelaesh da pomisli nad suzdavaneto na adherence report </t>
  </si>
  <si>
    <t>Otnosno Vacation plannera I migraciqta na sharepoint drugata /po drugata sedmica  kogato veche shte sum na sto procenta mislq da se suberem v ofisa I da napravim edin brain storming session zaedno sus sasho I Joro I da zatvorim zadachkite</t>
  </si>
  <si>
    <t>nqkoj ima li nqkakuv problem s tazi ideq?</t>
  </si>
  <si>
    <t>Andrew Barnes - QA</t>
  </si>
  <si>
    <t>JL exporta go testvahte dnes vsichko tok?</t>
  </si>
  <si>
    <t>Edin spisuk s neshtata koito uploadvame v icoach na sedmica I mesechna baza za uk</t>
  </si>
  <si>
    <t>Niki A</t>
  </si>
  <si>
    <t>Diana/ Vladimir</t>
  </si>
  <si>
    <t>Year end</t>
  </si>
  <si>
    <t>Hunter- Sud kalkulacii - nqma promqna</t>
  </si>
  <si>
    <t>Python drugata sedmica</t>
  </si>
  <si>
    <t>Proverqva ima li danni v sql-a</t>
  </si>
  <si>
    <t>productivity - novi funkcionalnosti</t>
  </si>
  <si>
    <t>invoicing- power bi</t>
  </si>
  <si>
    <t>KPIs icoach</t>
  </si>
  <si>
    <t>mersi za koeto, kogato premine tozi moment shte go podema icoach za sega nishto ne pravim po vurposa</t>
  </si>
  <si>
    <t>oshte ne sum na 100% dobre ta sreshtata v ofisa za sega e drugata sedmica ako vsichki sme zdravi</t>
  </si>
  <si>
    <t>flow za vdigane na ticket</t>
  </si>
  <si>
    <t>Sled eskalaciqta se stigna do izvoda che plana na Chris e bil kakto si I misleh da prekratim poddrujkata na UK v naj skoro vreme</t>
  </si>
  <si>
    <t>S negoviq opit ot 5 meseca vuv firmata e precenil che ot novata godina ot bulgarska strana shte mu trqbva 1,5 FTE, kato s Joro shte napravim vsichko vuzmojno da gi svedem do 0</t>
  </si>
  <si>
    <t>Koeto oznachava che ot tuk nasetne poddrujkata ni za UK stava bare minimum, iskat flash nqma flash iskat it loggera nqma logger</t>
  </si>
  <si>
    <t>BO reporti moje da im pratim, no samo ako izlishno kajat</t>
  </si>
  <si>
    <t xml:space="preserve">Power bi reporti ne se prashtat </t>
  </si>
  <si>
    <t>excelski dashboardi se prashta versiqta v koqto sa iztriti sourcovete I im se kazva otkude idvat danni( point of contact) ot tam da se opravqt</t>
  </si>
  <si>
    <t>Vladi e druga bira I e izkliuchenie, toj shte ima udovolstvieto da produlji rabotata si  s tqh</t>
  </si>
  <si>
    <t>Ot edna strana se radvam che nqma da rabotim poveche s anglichanite, zashtoto vsichko koeto sum vidql ne e bilo ok, ot druga strana 5 godini sme gradili I avtomatizirali, no pyk sega shte prehvurlim znaniqta drugade</t>
  </si>
  <si>
    <t>Tova che nqma da sme svurzani s UK ne oznachava che poziciqta na nqkoj e zastrashena, prosto shte zapochnem drugi novi a moje bi I po dobri proekti I durjavi. Ima planove za vseki edin ot vas, za nqkoj e v nachalna faza za drugi ima konkretni neshta</t>
  </si>
  <si>
    <t>no tova shte si go govorq s vseki edin pootdelno kogato vsichko se potvurdi napulno za da nqma sluhove. Finansite sega pravqt budgeta drugata godina, shtom sa gotovi shte vlezem I v po konrektni komunikacii za tova koj kude shte fitne naj dobre ot vas</t>
  </si>
  <si>
    <t>Shte vidq kak shte napravim prehvurlqneto, ot nas iskam 0 iniciativa I jelanie</t>
  </si>
  <si>
    <t>Skills ma3x new things</t>
  </si>
  <si>
    <t>didi I emo chetvurtuk online</t>
  </si>
  <si>
    <t>\\BG279K12FPS01\Administrative$\Reporting\Data_Reporting\Private\4. Useful files\Programs.txt</t>
  </si>
  <si>
    <t>didi I emo v one note</t>
  </si>
  <si>
    <t>Ilian git and gitlab</t>
  </si>
  <si>
    <t>ilian aurora kvi pari struva</t>
  </si>
  <si>
    <t>new comer guide prez kakvo da se mine osnovnoto/ materiali / ticketi/ it/ telefoniq/ sales force/sharepoint</t>
  </si>
  <si>
    <t>v</t>
  </si>
  <si>
    <t>S UK neshtata otivat v posokata koqto se nadqvame, do kraq na Januari shte namalim brojkata do 1.5 ili ako vsichko se potvurdi ot drugite strani na 0 choveka</t>
  </si>
  <si>
    <t>ima spisuk s reporti koito iskat da mahnem ot 1vi fevruary - nakratko vsichko bez exeter I plymouth, koeto e fine I az tova si misleh</t>
  </si>
  <si>
    <t>spirame sedmichnite sreshti s chris cqlostno koeto e fine</t>
  </si>
  <si>
    <t>Praznicite praznicite pravite li spisucite</t>
  </si>
  <si>
    <t>Shte se zanimava s TUI, kojto e golqm klient v razlichni durjavi v evropa, no rabotata e manual tui che shte se avtomatizira</t>
  </si>
  <si>
    <t>Shte pochne da se zanimava s HP I po-konkretno neshtata na Niki A I silno veroqtno tova da I stane postoqnniq proekt, rabotejki s Emo I dvamata da si stanat napulno zamenimi backupi</t>
  </si>
  <si>
    <t>Shte zapochne da raboti za Bulgaria na tozi etap, pomagajki na Pepi I Hristo da prehvurlqt reportite kum sql servera - tam ima dosta rabota I postoqnni requesti ta shte trqbva spokojstvie</t>
  </si>
  <si>
    <t>smqna na prekiqt rukovoditel nqma da ima ta shte moga I az da pogledna kakvo stava u bulgariata</t>
  </si>
  <si>
    <t>govorihme s nemcite I ot Januari iskat 1 chovek kojto da se zanimava s integraciqta na danni v evropejskiq sql server - paketi I tn ima specifiki, za sega vankata I ilian sa go pravili trqbva da se vzemat opisani pravilata ot tqh</t>
  </si>
  <si>
    <t>Tui kato shte imat nujda ot support UK I exe I ply shte sa poslednite proekti za sega shte gi zatvorish, kogato uspeem a sled tova shte se prisuedinish kym niki R kym nemskite proekti, osven ako ne iznikne neshto</t>
  </si>
  <si>
    <t>po vajno v tozi period, tui kato I Lili(shefkata na Joro) e hvanala edna veriga I shte se razbere dali shte im trqbvat hora</t>
  </si>
  <si>
    <t>Nqma promqna pri vas</t>
  </si>
  <si>
    <t>Minalata sedmica imahme call s Joro I Danny Goeles, kojto e osnovniqt developer na serveri I toolove v germaniq I mina dosta dobre. S nego sum rabotil dosta I znae che sme dosta otgovoren I tehnicheski silen ekip</t>
  </si>
  <si>
    <t>Shte imame account s kojto da dostupvame direktno danni na COR ot backenda I nqma da ima scheduli I paketi, koeto e good news, no I dosta rabota dokato se prehvurli</t>
  </si>
  <si>
    <t>Taka otnostno novite proekti za vseki shte gi kaja cqlostno sega - s nqkoj sum gi komentiral, s drugi ne zashtoto chakah opredeleni resheniq, no taka mislq che shte e naj chisto za da nqma nerazbrali</t>
  </si>
  <si>
    <t>I shte pochnem da rabotim s nego usileno koeto shte vdigne I cqlostnoto nivoto na ekipa, tui kato ima interesni neshta napraveni I praktiki koito ne sme prilagali no nqma da vliza v podrobnosti sega tochno</t>
  </si>
  <si>
    <t>kato imena na koloni/tablici I tn. Edna devojka koqto v momenta e pod vuprosniqt Danny goeles shte mine v nashiqt ekip I po konkretno pod men, tq v momenta pravi takiva neshta, tui che pomaga. Ilianski sushto osnovnata my rabota sega e svurzana s tova</t>
  </si>
  <si>
    <t>Silveto e razvila gotin power flow, za vdigane na ticketi kym COR - moje da se polzva</t>
  </si>
  <si>
    <t>Silveto todo</t>
  </si>
  <si>
    <t>saposa nov chovek</t>
  </si>
  <si>
    <t>genesis- koj beshe</t>
  </si>
  <si>
    <t>Silveto Petrova</t>
  </si>
  <si>
    <t>Silveto Todo</t>
  </si>
  <si>
    <t>tui dannite kak shte se poluchavat</t>
  </si>
  <si>
    <t>26-28.12</t>
  </si>
  <si>
    <t>27.12;28.12</t>
  </si>
  <si>
    <t>26.12;02.01</t>
  </si>
  <si>
    <t>vsichko e na hold</t>
  </si>
  <si>
    <t>kum silveto todo</t>
  </si>
  <si>
    <t>daily report</t>
  </si>
  <si>
    <t>30-1hour</t>
  </si>
  <si>
    <t>monthly cmsr/pbi</t>
  </si>
  <si>
    <t>27;28;29</t>
  </si>
  <si>
    <t>1.5</t>
  </si>
  <si>
    <t>January</t>
  </si>
  <si>
    <t>vankata polovnika da si pusne</t>
  </si>
  <si>
    <t>q1 kakvo marto moje toj da go pravi</t>
  </si>
  <si>
    <t>novi zaplata</t>
  </si>
  <si>
    <t>15% Bonus</t>
  </si>
  <si>
    <t>ot 15.02</t>
  </si>
  <si>
    <t>Oventrop</t>
  </si>
  <si>
    <t>missing info or data</t>
  </si>
  <si>
    <t>Niki Raykov</t>
  </si>
  <si>
    <t>migration to 64 bits; danny; missing accesses</t>
  </si>
  <si>
    <t>Didi</t>
  </si>
  <si>
    <t xml:space="preserve">niki a - </t>
  </si>
  <si>
    <t>tablou</t>
  </si>
  <si>
    <t>alex porras</t>
  </si>
  <si>
    <t>1 mail 3 fajla</t>
  </si>
  <si>
    <t>pdf to csv</t>
  </si>
  <si>
    <t>silviya.todorova@sitel.com</t>
  </si>
  <si>
    <t>To691Um1G91vB6</t>
  </si>
  <si>
    <t>Home - Tableau Server (analytics.tui)</t>
  </si>
  <si>
    <t>imame li dostap</t>
  </si>
  <si>
    <t>otkude idvat</t>
  </si>
  <si>
    <t>niki novakov</t>
  </si>
  <si>
    <t>python za mail na sofronii</t>
  </si>
  <si>
    <t>TUI schedule varna</t>
  </si>
  <si>
    <t>\\10.7.16.12\ssis\Data Sources\CS TUI</t>
  </si>
  <si>
    <t>nad 19 chasa se sravnqva s BO</t>
  </si>
  <si>
    <t>bg-&gt;sofia</t>
  </si>
  <si>
    <t>v BO</t>
  </si>
  <si>
    <t>integration services</t>
  </si>
  <si>
    <t>Tui schedule varna v sql_import</t>
  </si>
  <si>
    <t>tui_daily paketite</t>
  </si>
  <si>
    <t>sravnqva se s</t>
  </si>
  <si>
    <t>nikolay doychev</t>
  </si>
  <si>
    <t>sled 12:30 not billable</t>
  </si>
  <si>
    <t>global-&gt; 5.standard reports-&gt; TUI</t>
  </si>
  <si>
    <t>blegrade</t>
  </si>
  <si>
    <t>Berlin edno I sushto</t>
  </si>
  <si>
    <t xml:space="preserve">nqma vba </t>
  </si>
  <si>
    <t>Belgrade Berlin</t>
  </si>
  <si>
    <t>TUI.de Agent Performance</t>
  </si>
  <si>
    <t>Varna * failove se runnvat</t>
  </si>
  <si>
    <t>tda-database</t>
  </si>
  <si>
    <t>cs_tui_mm</t>
  </si>
  <si>
    <t>ot trite</t>
  </si>
  <si>
    <t>Varna raw data converter</t>
  </si>
  <si>
    <t>Sitel_AWS</t>
  </si>
  <si>
    <t>Varna-database_test</t>
  </si>
  <si>
    <t>ot converter</t>
  </si>
  <si>
    <t>AWS_queues</t>
  </si>
  <si>
    <t>21 chasa</t>
  </si>
  <si>
    <t>Belgrade Berlin Agent productivity</t>
  </si>
  <si>
    <t>Varna Productivity</t>
  </si>
  <si>
    <t>TUI musement MTD- Weekly</t>
  </si>
  <si>
    <t xml:space="preserve"> -&gt; tui minutes varna</t>
  </si>
  <si>
    <t>TUI Weekly Performance</t>
  </si>
  <si>
    <t>&gt;weekly</t>
  </si>
  <si>
    <t>st_weekly-monthlyreport_week</t>
  </si>
  <si>
    <t>staffing kum TL</t>
  </si>
  <si>
    <t>Csat;QA</t>
  </si>
  <si>
    <t>Invoice</t>
  </si>
  <si>
    <t>weekly/monthly</t>
  </si>
  <si>
    <t>Larnaca Weekly</t>
  </si>
  <si>
    <t>quotrix sistema</t>
  </si>
  <si>
    <t>\\EU974K16MFT01\Tui</t>
  </si>
  <si>
    <t>vseki den 2 fajla</t>
  </si>
  <si>
    <t>Raw data converter</t>
  </si>
  <si>
    <t>nov csat report</t>
  </si>
  <si>
    <t>avtomat</t>
  </si>
  <si>
    <t>kur</t>
  </si>
  <si>
    <t>Ricardo Garcia - mapping larnaca</t>
  </si>
  <si>
    <t>emea ssc reporting</t>
  </si>
  <si>
    <t>Client Name</t>
  </si>
  <si>
    <t>Project</t>
  </si>
  <si>
    <t>KPI Name</t>
  </si>
  <si>
    <t>KPI business defintion</t>
  </si>
  <si>
    <t>effective date</t>
  </si>
  <si>
    <t>end date</t>
  </si>
  <si>
    <t>status/active</t>
  </si>
  <si>
    <t>KPI Calculation</t>
  </si>
  <si>
    <t>sharepoint</t>
  </si>
  <si>
    <t xml:space="preserve"> organisational I documentation v edno I ostava samo org.</t>
  </si>
  <si>
    <t>tools v tool links</t>
  </si>
  <si>
    <t>v projects archive I wip</t>
  </si>
  <si>
    <t>file share</t>
  </si>
  <si>
    <t>materials</t>
  </si>
  <si>
    <t>useful l files nov tab</t>
  </si>
  <si>
    <t>tab new comer</t>
  </si>
  <si>
    <t>v_uk_tui_performance</t>
  </si>
  <si>
    <t>Daily agent performance report varna</t>
  </si>
  <si>
    <t>oracle drivers</t>
  </si>
  <si>
    <t>locally and on the server</t>
  </si>
  <si>
    <t>driver package to link with dannys - etl</t>
  </si>
  <si>
    <t>teams - team</t>
  </si>
  <si>
    <t>komentarite v maila</t>
  </si>
  <si>
    <t>I will let the team introduce themselves one by one</t>
  </si>
  <si>
    <t>I will start with</t>
  </si>
  <si>
    <t>Georgi will not join us today since he has another meeting, so we can start whenever you are rdy</t>
  </si>
  <si>
    <t>Joerg I will record the session, if you don't mind</t>
  </si>
  <si>
    <t>Emil</t>
  </si>
  <si>
    <t>Kristian</t>
  </si>
  <si>
    <t>Niki Novakov</t>
  </si>
  <si>
    <t>Boyan</t>
  </si>
  <si>
    <t>Alexander</t>
  </si>
  <si>
    <t>power bi summit</t>
  </si>
  <si>
    <t>Silveto/Niki R - documentation</t>
  </si>
  <si>
    <t>format - instruction generic</t>
  </si>
  <si>
    <t>v where clauzata</t>
  </si>
  <si>
    <t>access fact where bouser_name</t>
  </si>
  <si>
    <t>primary client id</t>
  </si>
  <si>
    <t>abbott prod</t>
  </si>
  <si>
    <t>username: DERPT</t>
  </si>
  <si>
    <t>oledb nov connection</t>
  </si>
  <si>
    <t>password: 2WgVnaIzTcv</t>
  </si>
  <si>
    <t>cs_abbot</t>
  </si>
  <si>
    <t>interval forecast-interval forecast stg</t>
  </si>
  <si>
    <t>IEX Username: WFM_IEX_RPT</t>
  </si>
  <si>
    <t>IEX Username: MVbGKT0Lzg2qq</t>
  </si>
  <si>
    <t>SIOX Username: REPORT_SIOX_ACT_NWG</t>
  </si>
  <si>
    <t>SIOX Password: M1gGR$cEJF</t>
  </si>
  <si>
    <t>=DataProviderSQL([Query 1])</t>
  </si>
  <si>
    <t>imat sedmichni kolove za cmsr s hp, avtomatizirat si neshtata</t>
  </si>
  <si>
    <t>vze neshtata ot niki a I si gi puska bez problem</t>
  </si>
  <si>
    <t>dnes niki r shte mi dade obratna vruzka I shte znaem koga shte e vuzmojno</t>
  </si>
  <si>
    <t>avtomatizirano e kakvoto mojeshe da se avtomatizira, samo sedmichniq manual report ostana</t>
  </si>
  <si>
    <t xml:space="preserve">chakame oventrop vseki moment da izbuhnat, piotr pisa vchera imame li danni; </t>
  </si>
  <si>
    <t>da si populnqt otpuskata ot minalata godinaruchno</t>
  </si>
  <si>
    <t>silveto e napravila kakvoto e bilo iskano, izprati edin mail na danny ako ima neshto da go dava I chakame no shte e sled velikden kat gledam</t>
  </si>
  <si>
    <t>13-24.02</t>
  </si>
  <si>
    <t>audit</t>
  </si>
  <si>
    <t>devabott dk</t>
  </si>
  <si>
    <t>danny da dropne raw germany na servera</t>
  </si>
  <si>
    <t>dolumenti nemski li sa</t>
  </si>
  <si>
    <t>brief</t>
  </si>
  <si>
    <t>check heft kude e populvana</t>
  </si>
  <si>
    <t>shasi nomer</t>
  </si>
  <si>
    <t>Ich hab gesehen dass ihr ein mercedes c klasse 200 hundert verkaufen</t>
  </si>
  <si>
    <t>hat das auto service heft</t>
  </si>
  <si>
    <t>woher kommt das auto, sind die briefe aus deutchland</t>
  </si>
  <si>
    <t>konnt ihr die fahrwerksnummer auf viber schicken</t>
  </si>
  <si>
    <t>shasi</t>
  </si>
  <si>
    <t>Genesys</t>
  </si>
  <si>
    <t>email kum COR -&gt; imame telephony danni za hp v genesys ima li go integrerirano v BO I koj e universa</t>
  </si>
  <si>
    <t>CMSR -&gt; automation</t>
  </si>
  <si>
    <t>preformatirane na bonus formite</t>
  </si>
  <si>
    <t>crt da se arhivirat dannite - silveto petrova</t>
  </si>
  <si>
    <t xml:space="preserve">Silveto Todo </t>
  </si>
  <si>
    <t>Silveto P</t>
  </si>
  <si>
    <t>Emkata pravi power bi versiq na absence report za holandiq, no sega trqbva da go pipne che ima dosta neshta</t>
  </si>
  <si>
    <t>da vzeme neshtata na Silveto todo da moje gi pravi</t>
  </si>
  <si>
    <t>Turciq</t>
  </si>
  <si>
    <t>action loga</t>
  </si>
  <si>
    <t>standartizaciq na paketite</t>
  </si>
  <si>
    <t>pone imam sreshtata petuk ta da vidq kvo stava</t>
  </si>
  <si>
    <t>poela oventrop</t>
  </si>
  <si>
    <t>ima novi neshta ot klienta no sa happy I blagodarqt za usiliqta</t>
  </si>
  <si>
    <t>automate e prehvurlen</t>
  </si>
  <si>
    <t>Ponedelnik v ofisa</t>
  </si>
  <si>
    <t>dviji nqkvi neshta I kat razglejdame logiki iznikvat neshta</t>
  </si>
  <si>
    <t>Tui e fine vsichko, zapoznava se s apps-a</t>
  </si>
  <si>
    <t>nqmashe minutki taz sedmica</t>
  </si>
  <si>
    <t>reporting manager richard jenkinson</t>
  </si>
  <si>
    <t>previous day inbound emails skill set breakdowns</t>
  </si>
  <si>
    <t>chat</t>
  </si>
  <si>
    <t>forecasts</t>
  </si>
  <si>
    <t>accumulative report for the month</t>
  </si>
  <si>
    <t>crm. Telephony chat</t>
  </si>
  <si>
    <t>Max Amount</t>
  </si>
  <si>
    <t>Remaining Amount</t>
  </si>
  <si>
    <t>Current Amount</t>
  </si>
  <si>
    <t>Bonus Amount</t>
  </si>
  <si>
    <t>Final Percent</t>
  </si>
  <si>
    <t>Ramining percent</t>
  </si>
  <si>
    <t>Comment</t>
  </si>
  <si>
    <t>Position no longer  junior</t>
  </si>
  <si>
    <t>P.S. zavlicham firmata s 11 leva</t>
  </si>
  <si>
    <t>18-29/09</t>
  </si>
  <si>
    <t>Oventrop novi danni novi formati novi promeni ot strana na klienta</t>
  </si>
  <si>
    <t>acct mngr medtronic - alekandra surkalovic george de franca</t>
  </si>
  <si>
    <t>na dva dni v meseca Emkata da puska neshtata</t>
  </si>
  <si>
    <t>validation na dokumentaciqta</t>
  </si>
  <si>
    <t>power automate kum to silveto todo I nqkoj za backup na automate</t>
  </si>
  <si>
    <t>nqma quality log nikuv</t>
  </si>
  <si>
    <t>nishto za populvane</t>
  </si>
  <si>
    <t>Absence usability</t>
  </si>
  <si>
    <t xml:space="preserve">nqma quality log </t>
  </si>
  <si>
    <t>but at your convenience next week we can have an introductory meeting about what the nature of the job will be, duties, expectations, etc.</t>
  </si>
  <si>
    <t>Hi Zakari, I wanted to inform you that the person hired for the Klarna project has started work this week. It will take me around two weeks to train him,</t>
  </si>
  <si>
    <t>attrition I global report</t>
  </si>
  <si>
    <t>oventrop ima komuikaciite</t>
  </si>
  <si>
    <t>ne sa implementirani</t>
  </si>
  <si>
    <t>da razbere automate</t>
  </si>
  <si>
    <t>Current Salary</t>
  </si>
  <si>
    <t>Merit</t>
  </si>
  <si>
    <t>Position Change</t>
  </si>
  <si>
    <t>USD/Lev</t>
  </si>
  <si>
    <t>USD Total</t>
  </si>
  <si>
    <t>Georgi Ivanov</t>
  </si>
  <si>
    <t>Ivan Toskov</t>
  </si>
  <si>
    <t>Position</t>
  </si>
  <si>
    <t>Jr BI</t>
  </si>
  <si>
    <t>BI</t>
  </si>
  <si>
    <t>Manager</t>
  </si>
  <si>
    <t>Cost Center</t>
  </si>
  <si>
    <t>Work Location</t>
  </si>
  <si>
    <t>Hire date</t>
  </si>
  <si>
    <t>Last Increase</t>
  </si>
  <si>
    <t>Present in merit?</t>
  </si>
  <si>
    <t>Comments</t>
  </si>
  <si>
    <t>Nikolay Lubenov</t>
  </si>
  <si>
    <t>3210-BG00-4500</t>
  </si>
  <si>
    <t>Medtronic</t>
  </si>
  <si>
    <t>Bulgaria</t>
  </si>
  <si>
    <t>N/A</t>
  </si>
  <si>
    <t>missing in merit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</si>
</sst>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0.0%"/>
  </numFmts>
  <fonts count="32" x14ac:knownFonts="1">
    <font>
      <sz val="11"/>
      <color theme="1"/>
      <name val="Calibri"/>
      <family val="2"/>
      <scheme val="minor"/>
    </font>
    <font>
      <sz val="10"/>
      <color theme="1"/>
      <name val="Segoe UI"/>
      <family val="2"/>
    </font>
    <font>
      <u/>
      <sz val="11"/>
      <color theme="10"/>
      <name val="Calibri"/>
      <family val="2"/>
      <scheme val="minor"/>
    </font>
    <font>
      <sz val="9"/>
      <color rgb="FF1E53A3"/>
      <name val="Segoe UI"/>
      <family val="2"/>
    </font>
    <font>
      <sz val="9"/>
      <color theme="0"/>
      <name val="Segoe UI"/>
      <family val="2"/>
    </font>
    <font>
      <sz val="10"/>
      <color theme="1"/>
      <name val="Times New Roman"/>
      <family val="1"/>
    </font>
    <font>
      <b/>
      <sz val="11"/>
      <color rgb="FFFFFFFF"/>
      <name val="Calibri"/>
      <family val="2"/>
    </font>
    <font>
      <sz val="11"/>
      <color rgb="FF000000"/>
      <name val="Calibri"/>
      <family val="2"/>
    </font>
    <font>
      <sz val="11"/>
      <color theme="0"/>
      <name val="Calibri"/>
      <family val="2"/>
      <scheme val="minor"/>
    </font>
    <font>
      <sz val="8"/>
      <color theme="0"/>
      <name val="Segoe UI"/>
      <family val="2"/>
    </font>
    <font>
      <sz val="10"/>
      <color rgb="FF000000"/>
      <name val="Segoe UI"/>
      <family val="2"/>
    </font>
    <font>
      <sz val="8"/>
      <color rgb="FF242424"/>
      <name val="Segoe UI"/>
      <family val="2"/>
    </font>
    <font>
      <sz val="11"/>
      <name val="Calibri"/>
      <family val="2"/>
      <scheme val="minor"/>
    </font>
    <font>
      <sz val="11"/>
      <color theme="1"/>
      <name val="Calibri"/>
      <family val="2"/>
      <scheme val="minor"/>
    </font>
    <font>
      <sz val="8.8000000000000007"/>
      <color rgb="FF15141F"/>
      <name val="Consolas"/>
      <family val="3"/>
    </font>
    <font>
      <sz val="11"/>
      <color rgb="FF373A3C"/>
      <name val="Arial"/>
      <family val="2"/>
    </font>
    <font>
      <sz val="12"/>
      <color theme="1"/>
      <name val="Calibri"/>
      <family val="2"/>
      <scheme val="minor"/>
    </font>
    <font>
      <b/>
      <sz val="14"/>
      <color theme="1"/>
      <name val="Calibri"/>
      <family val="2"/>
      <scheme val="minor"/>
    </font>
    <font>
      <sz val="11"/>
      <color theme="1"/>
      <name val="Segoe UI"/>
      <family val="2"/>
    </font>
    <font>
      <sz val="11"/>
      <color theme="1"/>
      <name val="Consolas"/>
      <family val="3"/>
    </font>
    <font>
      <sz val="11"/>
      <color rgb="FF15141F"/>
      <name val="Consolas"/>
      <family val="3"/>
    </font>
    <font>
      <sz val="11"/>
      <color rgb="FF15141F"/>
      <name val="Calibri"/>
      <family val="2"/>
      <scheme val="minor"/>
    </font>
    <font>
      <sz val="11"/>
      <color rgb="FF5788FA"/>
      <name val="Calibri"/>
      <family val="2"/>
      <scheme val="minor"/>
    </font>
    <font>
      <sz val="8"/>
      <color rgb="FF000000"/>
      <name val="Segoe UI"/>
      <family val="2"/>
    </font>
    <font>
      <sz val="11"/>
      <color rgb="FFFF0000"/>
      <name val="Calibri"/>
      <family val="2"/>
      <scheme val="minor"/>
    </font>
    <font>
      <b/>
      <sz val="11"/>
      <color theme="0"/>
      <name val="Calibri"/>
      <family val="2"/>
      <scheme val="minor"/>
    </font>
    <font>
      <sz val="11"/>
      <color theme="1"/>
      <name val="Calibri"/>
      <family val="2"/>
      <scheme val="minor"/>
    </font>
    <font>
      <b/>
      <sz val="11"/>
      <color theme="0"/>
      <name val="Calibri"/>
      <family val="2"/>
      <scheme val="minor"/>
    </font>
    <font>
      <b/>
      <sz val="11"/>
      <name val="Calibri"/>
      <family val="2"/>
      <scheme val="minor"/>
    </font>
    <font>
      <b/>
      <sz val="11"/>
      <color theme="1"/>
      <name val="Calibri"/>
      <family val="2"/>
      <scheme val="minor"/>
    </font>
    <font>
      <sz val="11"/>
      <color rgb="FF000000"/>
      <name val="Calibri"/>
      <family val="2"/>
      <scheme val="minor"/>
    </font>
    <font>
      <sz val="8"/>
      <color rgb="FF1D1D1D"/>
      <name val="Arial"/>
      <family val="2"/>
    </font>
  </fonts>
  <fills count="13">
    <fill>
      <patternFill patternType="none"/>
    </fill>
    <fill>
      <patternFill patternType="gray125"/>
    </fill>
    <fill>
      <patternFill patternType="solid">
        <fgColor rgb="FF292929"/>
        <bgColor indexed="64"/>
      </patternFill>
    </fill>
    <fill>
      <patternFill patternType="solid">
        <fgColor rgb="FF5B9BD5"/>
        <bgColor indexed="64"/>
      </patternFill>
    </fill>
    <fill>
      <patternFill patternType="solid">
        <fgColor rgb="FFDDEBF7"/>
        <bgColor indexed="64"/>
      </patternFill>
    </fill>
    <fill>
      <patternFill patternType="solid">
        <fgColor rgb="FF92D05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4"/>
      </patternFill>
    </fill>
    <fill>
      <patternFill patternType="solid">
        <fgColor theme="9" tint="0.79998168889431442"/>
        <bgColor theme="4" tint="0.79998168889431442"/>
      </patternFill>
    </fill>
    <fill>
      <patternFill patternType="solid">
        <fgColor theme="9" tint="0.79998168889431442"/>
        <bgColor indexed="64"/>
      </patternFill>
    </fill>
  </fills>
  <borders count="2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rgb="FF616161"/>
      </left>
      <right style="medium">
        <color rgb="FF616161"/>
      </right>
      <top style="medium">
        <color rgb="FF616161"/>
      </top>
      <bottom style="medium">
        <color rgb="FF616161"/>
      </bottom>
      <diagonal/>
    </border>
    <border>
      <left style="medium">
        <color rgb="FF9BC2E6"/>
      </left>
      <right/>
      <top style="medium">
        <color rgb="FF9BC2E6"/>
      </top>
      <bottom style="medium">
        <color rgb="FF9BC2E6"/>
      </bottom>
      <diagonal/>
    </border>
    <border>
      <left/>
      <right/>
      <top style="medium">
        <color rgb="FF9BC2E6"/>
      </top>
      <bottom style="medium">
        <color rgb="FF9BC2E6"/>
      </bottom>
      <diagonal/>
    </border>
    <border>
      <left/>
      <right style="medium">
        <color rgb="FF9BC2E6"/>
      </right>
      <top style="medium">
        <color rgb="FF9BC2E6"/>
      </top>
      <bottom style="medium">
        <color rgb="FF9BC2E6"/>
      </bottom>
      <diagonal/>
    </border>
    <border>
      <left style="medium">
        <color rgb="FF9BC2E6"/>
      </left>
      <right/>
      <top/>
      <bottom style="medium">
        <color rgb="FF9BC2E6"/>
      </bottom>
      <diagonal/>
    </border>
    <border>
      <left/>
      <right/>
      <top/>
      <bottom style="medium">
        <color rgb="FF9BC2E6"/>
      </bottom>
      <diagonal/>
    </border>
    <border>
      <left/>
      <right style="medium">
        <color rgb="FF9BC2E6"/>
      </right>
      <top/>
      <bottom style="medium">
        <color rgb="FF9BC2E6"/>
      </bottom>
      <diagonal/>
    </border>
    <border>
      <left/>
      <right/>
      <top/>
      <bottom style="medium">
        <color rgb="FF616161"/>
      </bottom>
      <diagonal/>
    </border>
    <border>
      <left/>
      <right style="medium">
        <color rgb="FF616161"/>
      </right>
      <top/>
      <bottom style="medium">
        <color rgb="FF61616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
    <xf numFmtId="0" fontId="0" fillId="0" borderId="0"/>
    <xf numFmtId="0" fontId="2" fillId="0" borderId="0" applyNumberFormat="0" applyFill="0" applyBorder="0" applyAlignment="0" applyProtection="0"/>
    <xf numFmtId="164" fontId="13" fillId="0" borderId="0" applyFont="0" applyFill="0" applyBorder="0" applyAlignment="0" applyProtection="0"/>
    <xf numFmtId="9" fontId="13" fillId="0" borderId="0" applyFont="0" applyFill="0" applyBorder="0" applyAlignment="0" applyProtection="0"/>
  </cellStyleXfs>
  <cellXfs count="98">
    <xf numFmtId="0" fontId="0" fillId="0" borderId="0" xfId="0"/>
    <xf numFmtId="0" fontId="2" fillId="0" borderId="0" xfId="1" applyAlignment="1">
      <alignment vertical="center"/>
    </xf>
    <xf numFmtId="0" fontId="1" fillId="0" borderId="0" xfId="0" applyFont="1" applyAlignment="1">
      <alignment vertical="center"/>
    </xf>
    <xf numFmtId="0" fontId="0" fillId="0" borderId="0"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9" fontId="0" fillId="0" borderId="0" xfId="0" applyNumberFormat="1"/>
    <xf numFmtId="0" fontId="3" fillId="0" borderId="0" xfId="0" applyFont="1"/>
    <xf numFmtId="0" fontId="4" fillId="2" borderId="10" xfId="0" applyFont="1" applyFill="1" applyBorder="1" applyAlignment="1">
      <alignment horizontal="right" vertical="center" wrapText="1"/>
    </xf>
    <xf numFmtId="0" fontId="4" fillId="2" borderId="10" xfId="0" applyFont="1" applyFill="1" applyBorder="1" applyAlignment="1">
      <alignment vertical="center" wrapText="1"/>
    </xf>
    <xf numFmtId="16" fontId="4" fillId="2" borderId="10" xfId="0" applyNumberFormat="1" applyFont="1" applyFill="1" applyBorder="1" applyAlignment="1">
      <alignment horizontal="right" vertical="center" wrapText="1"/>
    </xf>
    <xf numFmtId="0" fontId="6" fillId="3" borderId="11" xfId="0" applyFont="1" applyFill="1" applyBorder="1" applyAlignment="1">
      <alignment vertical="center"/>
    </xf>
    <xf numFmtId="0" fontId="6" fillId="3" borderId="12" xfId="0" applyFont="1" applyFill="1" applyBorder="1" applyAlignment="1">
      <alignment vertical="center"/>
    </xf>
    <xf numFmtId="0" fontId="6" fillId="3" borderId="13" xfId="0" applyFont="1" applyFill="1" applyBorder="1" applyAlignment="1">
      <alignment vertical="center"/>
    </xf>
    <xf numFmtId="0" fontId="7" fillId="4" borderId="14" xfId="0" applyFont="1" applyFill="1" applyBorder="1" applyAlignment="1">
      <alignment vertical="center"/>
    </xf>
    <xf numFmtId="0" fontId="7" fillId="4" borderId="15" xfId="0" applyFont="1" applyFill="1" applyBorder="1" applyAlignment="1">
      <alignment vertical="center"/>
    </xf>
    <xf numFmtId="0" fontId="7" fillId="4" borderId="16" xfId="0" applyFont="1" applyFill="1" applyBorder="1" applyAlignment="1">
      <alignment vertical="center"/>
    </xf>
    <xf numFmtId="0" fontId="7" fillId="0" borderId="14" xfId="0" applyFont="1" applyBorder="1" applyAlignment="1">
      <alignment vertical="center"/>
    </xf>
    <xf numFmtId="0" fontId="7" fillId="0" borderId="15" xfId="0" applyFont="1" applyBorder="1" applyAlignment="1">
      <alignment vertical="center"/>
    </xf>
    <xf numFmtId="0" fontId="5" fillId="0" borderId="16" xfId="0" applyFont="1" applyBorder="1"/>
    <xf numFmtId="0" fontId="7" fillId="0" borderId="16" xfId="0" applyFont="1" applyBorder="1" applyAlignment="1">
      <alignment vertical="center"/>
    </xf>
    <xf numFmtId="0" fontId="5" fillId="4" borderId="16" xfId="0" applyFont="1" applyFill="1" applyBorder="1"/>
    <xf numFmtId="0" fontId="9" fillId="2" borderId="10" xfId="0" applyFont="1" applyFill="1" applyBorder="1" applyAlignment="1">
      <alignment vertical="center" wrapText="1"/>
    </xf>
    <xf numFmtId="3" fontId="4" fillId="2" borderId="10" xfId="0" applyNumberFormat="1" applyFont="1" applyFill="1" applyBorder="1" applyAlignment="1">
      <alignment horizontal="right" vertical="center" wrapText="1"/>
    </xf>
    <xf numFmtId="0" fontId="8" fillId="2" borderId="17" xfId="0" applyFont="1" applyFill="1" applyBorder="1"/>
    <xf numFmtId="0" fontId="8" fillId="2" borderId="18" xfId="0" applyFont="1" applyFill="1" applyBorder="1"/>
    <xf numFmtId="49" fontId="0" fillId="0" borderId="6" xfId="0" applyNumberFormat="1" applyBorder="1"/>
    <xf numFmtId="0" fontId="2" fillId="0" borderId="0" xfId="1"/>
    <xf numFmtId="0" fontId="10" fillId="0" borderId="0" xfId="0" applyFont="1" applyAlignment="1">
      <alignment vertical="center"/>
    </xf>
    <xf numFmtId="0" fontId="11" fillId="0" borderId="0" xfId="0" applyFont="1"/>
    <xf numFmtId="14" fontId="0" fillId="0" borderId="0" xfId="0" applyNumberFormat="1"/>
    <xf numFmtId="0" fontId="0" fillId="5" borderId="0" xfId="0" applyFill="1"/>
    <xf numFmtId="0" fontId="0" fillId="6" borderId="0" xfId="0" applyFill="1"/>
    <xf numFmtId="0" fontId="0" fillId="6" borderId="3" xfId="0" applyFill="1" applyBorder="1"/>
    <xf numFmtId="0" fontId="0" fillId="6" borderId="0" xfId="0" applyFill="1" applyBorder="1"/>
    <xf numFmtId="0" fontId="0" fillId="6" borderId="1" xfId="0" applyFill="1" applyBorder="1"/>
    <xf numFmtId="0" fontId="12" fillId="0" borderId="0" xfId="0" applyFont="1"/>
    <xf numFmtId="16" fontId="0" fillId="0" borderId="0" xfId="0" applyNumberFormat="1"/>
    <xf numFmtId="20" fontId="0" fillId="0" borderId="0" xfId="0" applyNumberFormat="1"/>
    <xf numFmtId="0" fontId="2" fillId="0" borderId="0" xfId="1" applyAlignment="1">
      <alignment horizontal="left" vertical="center" wrapText="1" indent="1"/>
    </xf>
    <xf numFmtId="0" fontId="16" fillId="0" borderId="1" xfId="0" applyFont="1" applyBorder="1"/>
    <xf numFmtId="164" fontId="0" fillId="0" borderId="0" xfId="2" applyFont="1"/>
    <xf numFmtId="0" fontId="17" fillId="7" borderId="0" xfId="0" applyFont="1" applyFill="1"/>
    <xf numFmtId="0" fontId="0" fillId="0" borderId="0" xfId="0" applyFont="1"/>
    <xf numFmtId="0" fontId="2" fillId="0" borderId="1" xfId="1" applyBorder="1" applyAlignment="1">
      <alignment horizontal="left" vertical="center" wrapText="1" indent="1"/>
    </xf>
    <xf numFmtId="0" fontId="15" fillId="0" borderId="1" xfId="0" applyFont="1" applyBorder="1" applyAlignment="1">
      <alignment vertical="center" wrapText="1"/>
    </xf>
    <xf numFmtId="9" fontId="0" fillId="0" borderId="0" xfId="0" applyNumberFormat="1"/>
    <xf numFmtId="0" fontId="24" fillId="6" borderId="0" xfId="0" applyFont="1" applyFill="1"/>
    <xf numFmtId="0" fontId="10" fillId="0" borderId="1" xfId="0" applyFont="1" applyBorder="1" applyAlignment="1">
      <alignment vertical="center"/>
    </xf>
    <xf numFmtId="0" fontId="0" fillId="0" borderId="19" xfId="0" applyFont="1" applyBorder="1"/>
    <xf numFmtId="0" fontId="0" fillId="0" borderId="20" xfId="0" applyFont="1" applyBorder="1"/>
    <xf numFmtId="9" fontId="0" fillId="0" borderId="20" xfId="0" applyNumberFormat="1" applyFont="1" applyBorder="1"/>
    <xf numFmtId="0" fontId="0" fillId="0" borderId="21" xfId="0" applyFont="1" applyBorder="1"/>
    <xf numFmtId="0" fontId="25" fillId="8" borderId="22" xfId="0" applyFont="1" applyFill="1" applyBorder="1"/>
    <xf numFmtId="0" fontId="25" fillId="8" borderId="23" xfId="0" applyFont="1" applyFill="1" applyBorder="1"/>
    <xf numFmtId="10" fontId="25" fillId="8" borderId="24" xfId="0" applyNumberFormat="1" applyFont="1" applyFill="1" applyBorder="1"/>
    <xf numFmtId="0" fontId="0" fillId="9" borderId="22" xfId="0" applyFont="1" applyFill="1" applyBorder="1"/>
    <xf numFmtId="0" fontId="0" fillId="9" borderId="23" xfId="0" applyFont="1" applyFill="1" applyBorder="1"/>
    <xf numFmtId="9" fontId="0" fillId="9" borderId="23" xfId="0" applyNumberFormat="1" applyFont="1" applyFill="1" applyBorder="1"/>
    <xf numFmtId="0" fontId="0" fillId="0" borderId="22" xfId="0" applyFont="1" applyBorder="1"/>
    <xf numFmtId="0" fontId="0" fillId="0" borderId="23" xfId="0" applyFont="1" applyBorder="1"/>
    <xf numFmtId="9" fontId="0" fillId="0" borderId="23" xfId="0" applyNumberFormat="1" applyFont="1" applyBorder="1"/>
    <xf numFmtId="0" fontId="25" fillId="0" borderId="0" xfId="0" applyFont="1" applyFill="1" applyBorder="1"/>
    <xf numFmtId="0" fontId="0" fillId="0" borderId="0" xfId="0" applyFont="1" applyFill="1" applyBorder="1"/>
    <xf numFmtId="0" fontId="0" fillId="0" borderId="0" xfId="0" applyFill="1" applyBorder="1"/>
    <xf numFmtId="0" fontId="25" fillId="8" borderId="0" xfId="0" applyFont="1" applyFill="1" applyBorder="1"/>
    <xf numFmtId="0" fontId="25" fillId="8" borderId="0" xfId="0" applyNumberFormat="1" applyFont="1" applyFill="1" applyBorder="1"/>
    <xf numFmtId="0" fontId="0" fillId="9" borderId="23" xfId="0" applyNumberFormat="1" applyFont="1" applyFill="1" applyBorder="1"/>
    <xf numFmtId="0" fontId="0" fillId="0" borderId="23" xfId="0" applyNumberFormat="1" applyFont="1" applyBorder="1"/>
    <xf numFmtId="0" fontId="0" fillId="0" borderId="20" xfId="0" applyNumberFormat="1" applyFont="1" applyBorder="1"/>
    <xf numFmtId="0" fontId="0" fillId="0" borderId="0" xfId="0" applyNumberFormat="1"/>
    <xf numFmtId="9" fontId="0" fillId="0" borderId="0" xfId="3" applyFont="1"/>
    <xf numFmtId="0" fontId="26" fillId="9" borderId="0" xfId="0" applyFont="1" applyFill="1" applyBorder="1"/>
    <xf numFmtId="0" fontId="26" fillId="0" borderId="0" xfId="0" applyFont="1" applyBorder="1"/>
    <xf numFmtId="0" fontId="27" fillId="8" borderId="0" xfId="0" applyFont="1" applyFill="1" applyBorder="1"/>
    <xf numFmtId="3" fontId="0" fillId="0" borderId="0" xfId="2" applyNumberFormat="1" applyFont="1"/>
    <xf numFmtId="165" fontId="0" fillId="0" borderId="0" xfId="3" applyNumberFormat="1" applyFont="1"/>
    <xf numFmtId="3" fontId="28" fillId="10" borderId="23" xfId="2" applyNumberFormat="1" applyFont="1" applyFill="1" applyBorder="1"/>
    <xf numFmtId="9" fontId="28" fillId="10" borderId="23" xfId="3" applyFont="1" applyFill="1" applyBorder="1"/>
    <xf numFmtId="3" fontId="12" fillId="11" borderId="23" xfId="2" applyNumberFormat="1" applyFont="1" applyFill="1" applyBorder="1"/>
    <xf numFmtId="9" fontId="12" fillId="11" borderId="23" xfId="3" applyFont="1" applyFill="1" applyBorder="1"/>
    <xf numFmtId="3" fontId="12" fillId="12" borderId="23" xfId="2" applyNumberFormat="1" applyFont="1" applyFill="1" applyBorder="1"/>
    <xf numFmtId="9" fontId="12" fillId="12" borderId="23" xfId="3" applyFont="1" applyFill="1" applyBorder="1"/>
    <xf numFmtId="3" fontId="12" fillId="12" borderId="20" xfId="2" applyNumberFormat="1" applyFont="1" applyFill="1" applyBorder="1"/>
    <xf numFmtId="9" fontId="12" fillId="12" borderId="20" xfId="3" applyFont="1" applyFill="1" applyBorder="1"/>
    <xf numFmtId="17" fontId="0" fillId="0" borderId="6" xfId="0" applyNumberFormat="1" applyBorder="1"/>
    <xf numFmtId="0" fontId="0" fillId="0" borderId="0" xfId="0" applyAlignment="1">
      <alignment horizontal="left"/>
    </xf>
    <xf numFmtId="0" fontId="0" fillId="0" borderId="0" xfId="0" applyNumberFormat="1" applyAlignment="1">
      <alignment horizontal="left"/>
    </xf>
    <xf numFmtId="0" fontId="29" fillId="0" borderId="0" xfId="0" applyFont="1" applyAlignment="1">
      <alignment vertical="center" wrapText="1"/>
    </xf>
    <xf numFmtId="0" fontId="30" fillId="0" borderId="0" xfId="0" applyFont="1"/>
    <xf numFmtId="15" fontId="31" fillId="0" borderId="0" xfId="0" applyNumberFormat="1" applyFont="1"/>
  </cellXfs>
  <cellStyles count="4">
    <cellStyle name="Comma" xfId="2" builtinId="3"/>
    <cellStyle name="Hyperlink" xfId="1" builtinId="8"/>
    <cellStyle name="Normal" xfId="0" builtinId="0"/>
    <cellStyle name="Percent" xfId="3" builtinId="5"/>
  </cellStyles>
  <dxfs count="31">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auto="1"/>
        <name val="Calibri"/>
        <scheme val="minor"/>
      </font>
      <numFmt numFmtId="13" formatCode="0%"/>
      <fill>
        <patternFill>
          <bgColor theme="9"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auto="1"/>
        <name val="Calibri"/>
        <scheme val="minor"/>
      </font>
      <numFmt numFmtId="3" formatCode="#,##0"/>
      <fill>
        <patternFill>
          <bgColor theme="9"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3"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border outline="0">
        <left style="thin">
          <color theme="4" tint="0.39997558519241921"/>
        </left>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numFmt numFmtId="13" formatCode="0%"/>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220980</xdr:colOff>
      <xdr:row>36</xdr:row>
      <xdr:rowOff>167640</xdr:rowOff>
    </xdr:from>
    <xdr:to>
      <xdr:col>13</xdr:col>
      <xdr:colOff>125209</xdr:colOff>
      <xdr:row>52</xdr:row>
      <xdr:rowOff>70131</xdr:rowOff>
    </xdr:to>
    <xdr:pic>
      <xdr:nvPicPr>
        <xdr:cNvPr id="2" name="Picture 1"/>
        <xdr:cNvPicPr>
          <a:picLocks noChangeAspect="1"/>
        </xdr:cNvPicPr>
      </xdr:nvPicPr>
      <xdr:blipFill>
        <a:blip xmlns:r="http://schemas.openxmlformats.org/officeDocument/2006/relationships" r:embed="rId1"/>
        <a:stretch>
          <a:fillRect/>
        </a:stretch>
      </xdr:blipFill>
      <xdr:spPr>
        <a:xfrm>
          <a:off x="3977640" y="6751320"/>
          <a:ext cx="4171429" cy="2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25</xdr:row>
      <xdr:rowOff>0</xdr:rowOff>
    </xdr:from>
    <xdr:to>
      <xdr:col>14</xdr:col>
      <xdr:colOff>304800</xdr:colOff>
      <xdr:row>26</xdr:row>
      <xdr:rowOff>121920</xdr:rowOff>
    </xdr:to>
    <xdr:sp macro="" textlink="">
      <xdr:nvSpPr>
        <xdr:cNvPr id="2" name="AutoShape 1" descr="data:image/png;base64,iVBORw0KGgoAAAANSUhEUgAAAmoAAAF3CAYAAAAVcmenAAAgAElEQVR4Aey9vY41ybWmd+6ApCtnZq6ApCF3ZhxpTPIK5uiYctjQBcyRI+80IE/AHGCMsdqQTAIyZKkBWRJoC2gCMmXwIj7h6dbb/X6rVvxk7ty79q56A6iOzIj1+0Rk5Kpd1V/93Ze0EAiBEAiBEAiBEAiBpyTwd08ZVYIKgRAIgRAIgRAIgRD4kkItmyAEQiAEQiAEQiAEnpRACrUnXZiEFQIhEAIhEAIhEAIp1LIHQiAEQiAEQiAEQuBJCaRQe9KFSVghEAIhEAIhEAIhkEIteyAEQiAEQiAEQiAEnpRACrUnXZiEFQIhEAIhEAIhEAIp1LIHQiAEQiAEQiAEQuBJCaRQe9KFSVghEAIhEAIhEAIhkEIteyAEQiAEQiAEQiAEnpRACrUnXZiEFQIhEAIhEAIhEAIp1LIHQuDJCHz77T99+c2vf/Xj1x//+IeniE7x0H///feHY0KHvL777rs3urfafmMwAy9BYLYnXiKBzSBffX8/43m0iX5L7BX24WWF2jff/Onnlwsb85//+T9uQYpQCITA1wSe8WC85WXz1x9++OpsqMXaLba/Jpe7VyGw2hOvksdOnK++v5/xPNrhviPzKvvwskLtX/3Lf/HVYfxv/82/3uEUmRAIgULgGQ/GW142fMfq+uTnzeeQTfv4BFZ74iMRePX9/Yzn0VX741X24SWF2p///OevDmJtzL/85S9X8YydEPg0BJ7xYNQzTX+mmPrHf/wPP54R/Cj3b3/721dreavtr4zl5mUIzPbEqyTBu488+GBi9Fy8+v6+93m0w/Ce++EV9uElhdrf//2//7lQ4yDWxgRAWgiEwDEC9z4Yj0Xzk7SeafrRC+mMXXTuaftsTNELgR0CO3t3R2bH13vJ3Ps8enU+j1iXmws1vjsWaH786Z+u/f53v31EDvERAh+KwL0PxjOw9IzTp1A7QzA6H5HAznOxI/PMbO59Hr06n0es3c2FGv/TgEDzPxTQ/PfVKNzSQiAE9gnc+2Dcj+QXST3j9CnUfuGSq89NYOe52JF5Zor3Po9enc8j1u7mQo2fzQu0ijL/P0BVvI2SkS69XgBsDLfLj1Nle2RnNc7/3cGPYvmUTz65Zqz+zoxsSU6xIee56XfwduVkl1jI0X9MjA1yJh7mR+2or5Edjd8Si2zAhYJ9lE/Hd1eHPeE5y2ftXUb7SDJ17sp1PLqnFBMx+q8M8M0Ne4vYzh6MxKJcWYuuuU/ka2NPywb7UU1j9OJbn1PkR89ppz+zrTn1Z55f6Y76Lib+j1Q/e7gmz24PY7faGO0txfBez9tZfqw1+9LPTfYq+0j7QLnRH5Gv7NxON1f32857gf3oe/6K58yfT4/Tr5FR83Exq7nMnh3ZObuG0p/1xHULJ84NzhN/dsib++5fgDjKkNiP+pjl63Pd+mi+m6trt7MPZe9sf1OhxsZRIjwAan7YMz465JCXPj0PVV1on6//W7/8rXr0iMNt+TVzxFyby7CRa2x66HblsL+KBVvEM8r1iK+aT72/NRbswW3GlnjFSf6P6KDrOctG7V2m+qtzj1jH0Z4ibi/2PTau0fP5UcFV8+d+h5WvFRxq80/IRy+b1XPaHcye52p9akyrfTpjXW35fY3Jufsc17DqzjGXI6/R3sLvKg9skcvo2cfGkWdHua78jvjNeBCr7w98HZWv7BQvvc+t9tuI1ywect75xsZj0vXRIuNILt2zg9+za6iYZ/2Kk89355GfGZ6rX9ez5ijDMz5mOfucxzk7m87uQ/d19vqmQs03ev3u3L8DGz1IBO2QdMhR2bOQvkGQ4+HqDstZ8sB1H9gkHhZe/pgn3mq76vk911pUH68xuxx+XZZ8kFeu3Pu87Ht+Pj/z5Trd9RWxdC8NHmTyYT9oD3geR3XQ9Zy7XBhzGfdX52bM3MZM7pY9VQ8oGMGKcd+PiqU7GEcMGPc9VDlUlvioe96/q2at1BQPveLUWnesql3Xr3HN5m5hrdhHvfslF+VW96/kyLM2zdF3HJTrez1vZ/nVfUpu5IA95ti39GpH5dFzduIkez6n/XbkvVDjufI5I1bsVx8w0rjn0+Vy5Nk5u4ZiOetrDmc4yQbrxDX7hPdrfR4YUzvK8IwP+Vr1vj6+buj53Jl9uPK9O39TocaiKhE/1HHuRRwP2KhJXz2L7K0ecGza3cbLwl9cvlFkQ/DxX+cVk3pka57Y0bz6Tq7GwiauLzPuPR741iYf6jtfVafeXxWLr/8oDpj65j+qg65ypR81l3F/yPsc16NYd+Qqu7pn8Odr6PNVlz1QW93vRws1Pxw53LzpmfRnoj5Pmqt7r7JZPad13vVn6+NzlZezVF4j1pqf9R4T1zVmdJ0nMvwUwVu10e2tmsfZZ//os1P9HuGnwpX82DddcxZH5bHn7Hzd6xxydW24d33fx+Ttc/d4zsTD/dQcOpmdXDzXW9ZQ/kd9tX2WE/vK+bs/f35GZ9kOw1t9eEz1eubf53bWbsSh+jx6f7pQY1MqiXqoEwQFjebp/aH2IF2m2yjI+gFVXz5uq16zuLLPAdo1wEqmbiSN0/MCY2N3bUfOYyGfka3KrRaGO766GH3silj8oITNaH3d7xkd32fkPmrOpR6YPnflOh7dU7vcdw63EQdnXPezihp9dwoXfwn73qvPojOsdhXL7Dl1/dn6+JzzOspaMc16j2n0zWR9mRGTN7cx2luex9ln39d193lzv0f5scbKzfeI5+7XR+XRlX16X/c6V/ei/I72m+c9433Lc6YYZjl0MkefHc/l6BrK/6h32/fixLo6oy4Wn6/7oJOvYzs+qo7fz/z73NF96D5uvT5dqPkmHz3I/iCxKbrmIEbVqB8CRwo1/zHOSG+2yB7bKEdy2pHzWGa2sKcXKnYrtx1fHWcfuyIWX//RBnafXJ/Rma2P23cu9WH3uRn7HTlnd3RPue4sDn8pjw52z92vKSw8D81RSGuca+0xP/z94K7PonTpia9rs+fU9Wfr43PO6yjrLr465jHVfF12FofbGK2p649k5E/rgl1/9s88O+73KD/kPTfWdsboqDz5un1f9zo38jvab573jPctz5nWa5ZDJ3P02fFcjq6h/I96t30FJ77RY88SJ2vje1mculg0R1/3QZU/66Pa8fuZf587ug/dx63Xpwq1+l2mJzO69heCB+3yo0UaPZBup7t2Pfczu3Y7LjdaJOR35DyW0QMn3zPZHV+yM+pn9qvOSHY0XvX9/owOe8Jzdnt+7TJ1H/nclevodmfXinM3f88ZnaPND0ix0EuJb55oHMyKWZ/u+sGtMfmWLL1sak79LL+Z/mjO7bnM7Fqx7PRuZ5QTdrwIqc+u2xjtLc+j6tc4R7Kj8arv967jcc6uXd/3g3T4NI8c6v5A76i8bNJX/rM5xej5OdfRuPTU41N+0DnTpN/lIHs7MqOYfdztzK7ld9W7bedX9VacmPcPZY7G5vJ1HyiWW33ITtfP/M/mZGuXo+TP9KcKNR36nsTOdf0xHgG73miRzoJwPfczu3aILjeK7R45eNz1AdqNyfOo1zP7u7JHbMjmGR24e86yVXuXqWs1m3M7O3Keg8vPruXDdeu6Sobec0bnaMO24pEffSKj75zdhwoMXsLo8cKtTfboK1/JzvKb6Y/m3J7LzK4Vy07vdkY5YceLWvGU/R0bnkfVlx31I9nRuPS63nU8ztl1tcNZ39lhr3Tn+RF5j6Pyn80pRo/LuY7GpafenwF0zrSdOHdkRjH7uNuZXe/m4badX9WfcfI5YuKbRGzxyRpztVaotrn3XNCp7Qof1abfz/zP5mRjl6Pkz/SnCjX/zolKmkBHXzr8SVgvCQ/0niAcIC8qFnz1dTQ25I/m0HFwv/6JCBvd244vl++uncvZWI7YUAxndOpDKlu1n3GZzbmdHTnP4eiect3Zweg/gkTnaOMFqlykr+dQRRk2JcMecB3/kZt8S5aeNenaLL+Z/mjO7R1l3cVXx0Z+q5zHUddtx4brv9fzdis/flxO7tpH5K1PZysv7nfkZ+xmc/LnXH1dRuPSU4+O/KBzpkmffvRc7MiMYvbxW9ew5ue2nV+Vm51HXgsQX2075/eKzxU+alx+P/M/m5ONXY6SP9MfLtT8d11IYrQ5FQwHk5LlIa9NczNbZ0H4g9htohpLvd+JDZ0dOd/sHHDdjw6wVfly723Hl8t311fE4mxZ11E+7v+MTuXRfRdfZeqe3GW2I+c5HN1T/izMXnK+37k+07CvfLwIc1s6APnGwPdE3XPoyBZ95SubHjecvM30R3O3sHbfo2v3W+OVzhV7y9meffadxZnn7eheVf61970Ev+55dJ2ZvPOve2o2J/uj/fbI52wnzh2ZUS6+7letofhdwckL97qG+PG9D4eurfhc4aPzq7GZ/9mc9Edrp/kr+sOFmoMH4KrVB9W/o0f3niDqIVs/nVLsFBndQ7AT224ONRb81eKGe/80jQ1Q225MVc/vr4il2iDumg8+2S96gM/oYMMfVIoLb5UZfORPcrvMduRqDkf2FHG5j27P+cGMbLcHlNesx7Z86SCp7PxZVtE2KiBli77yVRzyg0wtfGb6o7lbWCumWe9+2WO16Kh7q2PjNkZcah5nnv1q48zzdmSv4q9rMPGcxeyoPLbdTmU3m1Nco/3GO8b1u+fMnw9kzz5n7qe+2xSny9Q8JTPKpa77kTWU7VFPLB5bx2l1HvnZzHnijb3h8/jqmsfQMXQbZ310fjXm/uv6zOakP1o7zV/RHy7U/Dv1bmG7oGY69wbh3zXgiwOOzacvctBGqLHvxIbOrpy/GNGBC/ERi8fBHDF1h9+ur5pLvb8ilmqDmHnhkw95ad1985/RgY3nrTWUD62fZNzfkfWRPn214fxu2VP+UONHucCMa8Y8n7MvEH9ZyR7svfk3UZIht67tsPHcyMfbTH82dwtr999du1/lz16r+1dy3UtEc/SzPVP3/Zlnv9og5tXzdpYfa6m9SXFA7nDRM02+zKsdlUdvxm425z4lV/eb70XFWtdVa8488mea2+Aa3nz5s6YY6Ud7xOOtuZxdw5183K9zIoad80jf4ClHYhVnePh+QaZrK4ZX+Oj8akyx09f1mc1J3xnWtZPMrf2hQs0PdhLoDq4uoLrR/JOXR4CoL3r3qWs2S22ao68L6LK7cujUw9Z1dc3m1neq7odrydDPYqp63f2tsWCTjekxddc1zqM67Jf6wLsfXiR+X/3N5pzLrhw6Z/dU/ZTGfXKtQkHjZ18g9ZMP7HWFvx+SyFR24qN4ZjKzA2umP5u7hbViH/Xul2ehsvD50ScZLjNiJ//v9byd2au+lp6jrusZdVQeJrJFX9nN5sTTfdYX5KOes9FZ5vHcmgv5nllDcZr1t3LqPjVTvhR6/g0j411bMbzCR+dXY4qX/up9KB+39ocKNS+4usJmFEwt8PzQm0GSvdkDKZlVzwJQmfthzDW2OUDZsLXtxIbOrpzs88KEpb5jQV+xOBvJe3/Ul+t217fEInvY4CDxYop84F03/lkd1qf6cPszLrM5xUO/KyedM3sKXXLhcHJe7AWtvR9c7M+zzb8TxX7X/AXAmo3aDpvZczrTn80pnrOspd/11a/2MRyYW+1hbFYbnR8fe6/n7Sg/9iLrKRbiMTovj8qv2O1wne037D/qOeP94Wc5z7V/iHFFLuRzdA19382ub+XE+93frewZzhXsErPnP4pjxfAKHyPfHh/xepvNSW61DyV3S3+oULvFUXRDIARC4JkI7BzCzxRvYrmWgH/wQKGRFgLPSiCF2rOuTOIKgRC4K4EUanfF+9TG+bTHPy3kE520EHhWAinUnnVlElcIhMBdCaRQuyvedzXOj970qwQ1EH787D+qpGCjcEsLgWclkELtWVcmcYVACNyVQAq1u+J9V+P6vSF+X4yijd/75Mt/b1PrPyro3jWBOA8BI5BCzWDkMgRC4PMQ0Iuavv4S8eeh8DEzVaHma9xd50eeH3P9P1pWKdQ+2oomnxAIgS0C/uJOobaF7GWE+PEmn6BRsPnvorHmjPE/EiCTFgKvQCCF2iusUmIMgRAIgRAIgRD4lARSqH3KZU/SIRACIRACIRACr0AghdorrFJiDIEQCIEQCIEQ+JQEUqh9ymVP0iEQAiEQAiEQAq9AIIXaK6xSYgyBEAiBEAiBEPiUBFKofcplT9IhEAIhEAIhEAKvQCCF2iusUmIMgRAIgRAIgRD4lARSqH3KZU/SIRACIRACIRACr0AghdorrFJiDIEQCIEQCIEQ+JQEUqh9ymVP0iEQAiEQAiEQAq9AIIXaK6xSYgyBEAiBEAiBEPiUBO5aqL3639Ljb8UpB/4+XFoIhEAIhEAIhEAIPJJACrUJ7RRqEziZCoEQCIEQCIEQuDuBFGoTxCnUJnAyFQIhEAIhEAIhcHcCpwu1P//5z1/+8R//w5d/+2/+9Zfvv/++DVQ/NqQfybSKTzJ470Jth+GToNgK46Pls5V0hEIgBEIgBELgjgROF2o7RdiOzB1zu9n0vQu1V+dTAX+0fGp+uQ+BEAiBEAiBRxNIoTYhnkJtAqeZSqHWQMlQCIRACIRACNxAIIXaBF4KtQmcZiqFWgMlQyEQAiEQAiFwA4FDhZoXLv5S9mtk1Hxcv6PGPL/Xpjmu+d2mWfvrDz/8+Ptwv//db3/W45rfkfvb3/42U13OEdff//2//9nuv/qX/+LLN9/86Ue7nu/on+f4y1/+8vPv6iknevL653/+j2/8u02X92tniIGjPtwp+ZGPsyNHctaauDzXR3ifyaf6y30IhEAIhEAIhEBP4GGFGsWYF2hemHDdFTWE/N13332hsKjyumeOQuZMo4CRndqrYNN4V6gRs+ZHPTl7O1rYnPEhf7P8iLcWhOgd5X00H8WWPgRCIARCIARCYE3gUKHGJzC8mOvLmYJA4/4pjRcvKtIoeJDtioj66RjFndtAh0KC4kX2mOfToqq7Sr3moE/oGHfb8t8VarKBPNeKrebmRehRhmd8kLv0FL/YwZQ58qX3dob30XzcX65DIARCIARCIATmBA4Vam5KBQC9F2cjGeQoZLxx73Z8nsLLP0nzYkc2vKDq5iVX+2qbIqa2GltXqOGT4qZrXqx1uuh47iOGZ33gU/b5EXHX+BGnWmXS8Vzxlj/6UT7ylz4EQiAEQiAEQmBN4GGF2qhY8d+d8k94KBT04qdA6Jp/AjSy3+m57dmncTvFVmefMQoVxU/fNZ8/U9jMfOwUah6TMznL+9Z8PJ5ch0AIhEAIhEAIfPnysELNPy1z8F5QeKHmv+Dv4647K1Rcrl677dGnTej4p2qzQpDfkaPQIU7k/JMnFS81Bu41R78q1I76IBa3T1yjT/+IxZmc5e3+Vvl0PDIWAiEQAiEQAiHwNYGHFWqjF/eoUPNxLwBm11+nNr5z26OiBG0vBNGpjXn/RPBobC4/4nOLDy++5IsfJ5Nz/Z0+ZyLZVV95uPwon6qT+xAIgRAIgRAIgTGBFGrlF+odFcWGio9aqPkcMnyKRgHEJ2vM+adxzHdNtum7wuYKH8TRFWH1/5btZDy+7rrm5DJdPlU+9yEQAiEQAiEQAnMCL1Go8btivPhXX/NUf5n1omT2iZr/3lYt1PzTqu5/RqhF1i/ef7laFTZX+JA3/scBcvX/QYNPA9WcyVneq3zkK30IhEAIhEAIhMAegact1Cgq9OLvCqG99Hopfi9Ntr1YqdJevNRCzQue7tMjL/Lw1TXFQN/ZuMJH9cvvurlf/Rt0V/B2u10+NZbch0AIhEAIhEAIzAlcUqiNfkl958XtxZB/usUnQK4/+p8R+F2ro4Vc/bSr0/fChThmhRpFmTeKHy+y0O+a59cxdBtHffg/veG+4eV+VahdwdvtdvngW+vNp4VpIRACIRACIRACcwKnCzUvIrjmUyq+vKDwF/foExa9uJH1Qo2w/ZMv5vV7YMjxRYGlOOZpvp11v9W2/q9N2Wa+Fmr+Y0nmiZWY6NGr/5PB2wi+/Bw7+h3DW3wQr3hR5FI4EZ/Hxby3W3k7ry6f+injqPj2mHIdAiEQAiEQAp+ZwOlCjZc+BUb9YlzN584UatihGHM73TVFwdHGpzsqyDqb+PUca6HWfWomO9ilMNI9fdfcvsuK4S0+aiHq9rmmYNOnaR7bLbxX+aRQc9K5DoEQCIEQCIE1gdOFGqZ58Xqxw8vff+TlxcHZQg0/6PLpUv3EhmKEGCi6zjT0KC7qp0z6pMcLj1qo4Y9Cx+MiPgod7BKz5z+Kb8XwrA9yIOYzzG7hPcsHLiog4ZYWAiEQAiEQAiEwJ3BToTY3ndkQCIEQCIEQCIEQCIFbCKRQu4VedEMgBEIgBEIgBELgjgRSqN0RbkyHQAiEQAiEQAiEwC0EUqjdQi+6IRACIRACIRACIXBHAinU7gg3pkMgBEIgBEIgBELgFgIp1G6hF90QCIEQCIEQCIEQuCOBFGp3hBvTIRACIRACIRACIXALgRRqt9CLbgiEQAiEQAiEQAjckUAKtTvCjekQCIEQCIEQCIEQuIVACrVb6EU3BEIgBEIgBEIgBO5IIIXaHeHGdAiEQAiEQAiEQAjcQiCF2i30ohsCIRACIRACIRACdySQQu2OcGM6BEIgBEIgBEIgBG4hkELtFnrRDYEQCIEQCIEQCIE7Ekihdke4MR0CIRACIRACIRACtxBIoXYLveiGQAiEQAiEQAiEwB0JpFC7I9yYDoEQCIEQCIEQCIFbCKRQu4VedEMgBEIgBEIgBELgjgRSqN0RbkyHQAiEQAiEQAiEwC0EUqjdQi+6IRACIRACIRACIXBHAinU7gg3pkMgBEIgBEIgBELgFgIp1G6hF90QCIEQCIEQCIEQuCOBFGp3hBvTIRACIRACIRACIXALgRRqt9CLbgiEQAiEQAiEQAjckUAKtTvCjekQCIEQCIEQCIEQuIVACrVb6EU3BEIgBEIgBEIgBO5IIIXaHeHGdAiEQAiEQAiEQAjcQiCF2i30ohsCIRACIRACIRACdySQQu2OcGM6BEIgBEIgBEIgBG4h8K6F2vfff//lN7/+1Y9f33333S15DHX/+Mc/fPnmmz8N50cTR2PDx+9/99ufzZ31+7OBL1++/PWHH35kQ58WAiEQAiEQAiHw+QgcLtS+/faffi6uVGTRn2no3atAUzxnC6ajsaVQE/H0IRACIRACIRACVxE4VahR/HijSDlarD3q06IzhdoVsZ3x60y5viKOajP3IRACIRACIRACr0PgkkKNdCnU+HHhbtOPFu/9Y70zBdMVsZ3xW9mlUKtEch8CIRACIRACn4vAJYXaqKDgx5oUcPrSjzn1CZzG6WkqbjTPj1nVRraYl3/Zw46abNYf2Wq+9vItW4qt+tC49OVndM/4LAfma4y1YMSnM5Gv9CEQAiEQAiEQAh+TwCWFWi1SQEVB4b9cr0JHn7rVIgQd7FCMqKAT8pWtquPFjGz6GHExPmpdbOgrdvQo6NwG14yp1ftVDszX4o84GYMdjWvPQ77Sh0AIhEAIhEAIfEwCpwo1Cgb/8gJGmLzA0BiFjIqZrhiiuPHiR3ozWyoAVcxIR31nk0LQi0jJqu9i05x6yei+Fmb1fpYDNpivBap8jHKT7/QhEAIhEAIhEAIfk8CpQs2Lqa4QUoFB8VG/pCsZL0JqcQNyyVU73MsWvd/7UnU29SNIl/Nr+fTYmNenXh6L9Kofv5c919M1cpqv/rhHro7LZ/oQCIEQCIEQCIGPTeDmQg08FBP+adCo8HCUnYwXN5Lt5DRXe/2oUJ/aMd/ZPFOokSO21BSX7qsfv5fsqODSvGypT6EmEulDIARCIARC4HMSuKRQ0ydNQqgCgwJk1FScePHixY30dmxJlr7a7WweLdRk0/1UG9WP369yGM3LhzPyGHIdAiEQAiEQAiHwsQlcUqiBiE+z/JMsrvkUyhsFnYo3FT9ehHhx43ozW9jxX7BXcSP9zmaVkaz6Gpvu6dXIzfOrfur9LAdsIu/2VLwxJkZce66KJX0IhEAIhEAIhMDHJHBZoabih15NxQkFBl8UI2oqflSEMF6LG8nSj2x5QSM/K5uK1e37dRebPjWUD8lIr8Ze72c5uA3Zp/BVbsqHuRRqopU+BEIgBEIgBD4+gcOF2sdHkgxDIARCIARCIARC4DkIpFB7jnVIFCEQAiEQAiEQAiHwhkAKtTdIMhACIRACIRACIRACz0EghdpzrEOiCIEQCIEQCIEQCIE3BFKovUGSgRAIgRAIgRAIgRB4DgIp1J5jHRJFCIRACIRACIRACLwhkELtDZIMhEAIhEAIhEAIhMBzEEih9hzrkChCIARCIARCIARC4A2BFGpvkGQgBEIgBEIgBEIgBJ6DQAq151iHRBECIRACIRACIRACbwikUHuDJAMhEAIhEAIhEAIh8BwEUqg9xzokihAIgRAIgRAIgRB4QyCF2hskGQiBEAiBEAiBEAiB5yCQQu051iFRhEAIhEAIhEAIhMAbAinU3iDJQAiEQAiEQAiEQAg8B4EUas+xDokiBEIgBEIgBEIgBN4QSKH2BkkGQiAEQiAEQiAEQuA5CKRQe451SBQhEAIhEAIhEAIh8IZACrU3SDIQAiEQAiEQAiEQAs9BIIXac6xDogiBEAiBEAiBEAiBNwRSqL1BkoEQCIEQCIEQCIEQeA4CKdSeYx0SRQiEQAiEQAiEQAi8IZBC7Q2SDIRACIRACIRACITAcxBIofYc65AoQiAEQiAEQiAEQuANgRRqb5BkIARCIARCIARCIASeg0AKtedYh0QRAiEQAiEQAiEQAm8IpFB7gyQDIRACIRACIRACIfAcBFKoPcc6JIoQCIEQCIEQCIEQeEMghdobJBkIgRAIgRAIgRAIgecgkELtOdYhUYRACIRACIRACITAGwIp1N4gyUAIhEAIhEAIhEAIPAeBFGrPsQ6JIgRCIARCIARCIATeEG+yvjIAACAASURBVHjZQu1/+R//yy//63/6w5uEMhACIvDHP/7hyzff/Em3D+m///77L7/59a9+/Pruu++WPonv97/77c9yV8T81x9++NE//bO2o5zO5HEFyzN+oxMCIRACVxI4XKjNCiQKJy+e/vf/+b/9gry3//f/+T++/E//3d99+c///X/hw+01ush2bRZHJ//sY7Ai1/r17HGfiU97wHNlbLd1+6rTfY8XNUXaToGmeD9roXaUk3gd6d9j/Y/EF9kQCIEQ2CHQV0ETzVmBtFOo8XL2Ym7kSi9z/P1f/9v/8EZsFscb4RcY6IoPOMHrmdr//X/+55tjYu28MFORuspTPGCCjVV79Iv6ik+yroh5FYc+zVrxu9f8Kr6r/F7B8qpYYicEQiAEzhI4XAXMCqRVocanaDsvWJLh5Y09irROZxbHWRjvqdcVasRDUUJx9CztikKty4U8u4JcsvJLgce+6PaEZNU/+kWtAuiWHzleEfOqEFKc4vToXv5v4bQT8xUsd/xEJgRCIATuSeBhhRov1p2Xq5KlqOPlrE/WarGiQo2XOy95fbmcdDVX/VddLxRkX5/2YKP7ca0KiM7HzL7yVN8Vaoqf3tvMruKuMs4FW3W+5iY7+hRLhbPyVF9jQ4+v2rCPjVHDHjHttKOF2rff/tPPvzfGj9y8qajR75Wt5nn5d40fYboN2VnZr8VEvccXP0p12/VHqzW/WSHUxamCqfrx353rclasskkcatWWYpas54POGVvoVb7YUZPNykfz6UMgBELgFQg8pFDjxVoLgRkcFT+SUdGge3rGeLljW01FlYqH+vL3QoFrj0lFkQoa2Xcd5N2fih3pEIfkV/YVs3rka4HT5b2yq7g9TnRgIS71nhiQR0ZNdmrxVNdG8uq7+W5M8vSaV3w+110Ta2XVyfGipiDwAoLiw1/mzFHYqFFI+Dz6KjKQcVvSUd8VSCv7KiZko96j7wWTChPFzDwxekOeMRVgPse14vRx2XEdFVUu59fEWvkwv4pZ/t3XWVvVP77VZNPH6vpLNn0IhEAIPCuBX97MmxF2xYNUeYF2BUItmCQ/6qsdFUQuTxzdy1qf3KjwGr38vXCRXffb2ScOL+5mea3sy6d6FU/o6YsCpraV3S5ubIgL19ioBZhkND6yo6KqxuX3+JIdxp2ry3GtdSL/3Ya9bu2rPi9qvrxRdHnh43Ncq4jgWkWRFxRV3u+lO5OXjPSIj4JIrd53BRfy0qmFCnbkYxSH5uWTvrPDOKy8UHWdjq9sVd8es/y7zBlb6Hd8FGNnc7X+0k0fAiEQAs9C4O6FGi9UXtoUB13h0YHoZGtxgV1e2LV5UYAMevWlrmKDufol2c6+8sCnbHSFoOaq7S4WxU+hIt+Mce337nNmt4sbXXFRbPLrvev6tcvM9CVXcyFe9GpTcepFXZXp7o8UaipoZIcXNS93b/o0iXF9aZ6XPWP0q9YVIOis7HuM+NG97Ckm75HTvBc8+FsVMNJTPvVe4/Qej4+P5mTLY9W1GErG4+78SE763ssWPeO69xg7m936u06uQyAEQuDZCBwu1PTC7xKpc/7C1ku5K2zcluRmxQjyo0KixoAsn/Bgjzmaio1ZLJ39rlD70WD5z479ovLjj0zx6Y2YvYjZsdvFjU1xkQ33o2vX9WvN08/0JadPybgnfv8UUjLYJ78zjVzQX7WdF3V9yas4qLb140QVUXWee+l6AbKyX2P0+86e+9W8j3H9DIWaM6jxKW6X8bwl38lprvbd+nQ2U6hVcrkPgRB4dgKH35QUUt2Ll0Trj7y8UGN+5+WMDfRqU4Gg4gpb3cu6xiA7rq9CgrFRw7YKO8l4ocYYhUZnY8e+bKqvrBhnzIuZHbs7XEZxO7suf2ISR8U96tGHFwy92ER+t9Aa2d7VX72oVQi4n9mLXPJeYLhunde9y1T7NUa/V8GFna6N5uVjFafbpKDs/Kx+9FkL11FM7ktcPD7PW7I7tiRLX+12NsXG9XIdAiEQAs9M4HChRjK86HkRe+PlyYveW1d8IOPFh8urCFAx5nNco6siDv/Y8SKAGGQbW5JFtxZZLis/yKvw6gqVkQ2PVz5X9uVTPXqVKXPkjC21ld0VF+zgC04eN3Z9/br80d0pFpGDlWJR7OrxLc4aqz0yYlnniLVjVeVWL2q92L1AoWDhi8a4/yL66iUveypAdD+yj48aY72nEFI8yo+YZBN5n1dxw5jikJ56ycgG4/rxrOvgm0Jt1GqsklvFLC7u64wt7MzWp7NZ1xBObkM5pA+BEAiBZyFwqlAjeBVcvFD56l6co+JDOvVljQ0vFiokFRiMI8sLW4ULNl1XBYV80Xthgg3XZd5zkH2PoRZqzCkm+fHiYmbf7cqO+9e8fNKrzewqbpdxLrJR466+ZUfy3rvtytTlYIKst25dxM5jYMxZug1suqzP+fXOi1oFCi9svlREYEcFjebovbhwX1xL12Vm9tGpMdZ7ZFT4KA5kvHGvOQorxe1xuHy1Kbkaa/VTbXSxSmYWc8fpjC3lqdzr+nQ2U6hphdKHQAi8CoHThdqrJPjZ4pwVWJ+NRfINgRAIgRAIgVcncKhQ0ycf6d/+36Jh8r5MXv1BTPwhEAIhEAIh0BE4VKh1BjL2XATyidpzrUeiCYEQCIEQCIFbCKRQu4XeE+qmUHvCRUlIIRACIRACIXCSQAq1k+CiFgIhEAIhEAIhEAL3JpBC7d6EYz8EQiAEQiAEQiAEThJIoXYSXNRCIARCIARCIARC4N4EUqjdm3Dsh0AIhEAIhEAIhMBJAinUToKLWgiEQAiEQAiEQAjcm0AKtXsTjv0QCIEQCIEQCIEQOEng4YVa/fuB3Z95OZnLJWr6szT6szqXGC1G3pPBPXjfw2ZBdtmt/nwRf26IPyd0j/ZKPO6R/8rm0TW4x/Oyes6zhv0qHl273sqx0br+x7SfQ/oZ99NH4PqI1d1Zu3uzPFyo1b8HqL+zxwO802pCOxB27F4lszrAr/BzLwaw1Hp0Pbndg/c9bF7BubNxzwJN/l6Jh2J+ZH90De7xvKye86xhvyOOrl1v5dhoXf9j2s8h/Yz76SNwvXV1WZfuXamx3XfmvVmeKtRI7qr2bBt4dYDXvPUdZh0/cn8PBhTU/IHu2u7h60qbV/CsOev+6NpK72h/JQ/57rh0Y5J/j34nnivW4Aq+qziu8PEea3BPnytm9/R91PbOXjxq8xb57Kdb6D1G95HvzKMZpVArxI4eRlccCPd4iB+56a6M/wqeZUl/vpVt1vie7UoeilOx656+G/P5R1/vxCOZW9bgCr6r5/wKH4/mf29/V6zdvWOUfcWq+/fus5/eewXW/h/5zlxH87XE5YWaDkB9dEjvrW7Yes+nQPV3hwCInJp0+LgR+8yroeu+qy3JqUfX5fWA+4tkZFP+XR+9WxlUfc+95qs8ar/adDXvqj/Kucpxr/XQXI2fmL3VeeU34um6XMuf5HfWX7K+VmdtoTfKwW2uGCOrVu05sy72f/iH/+arfYs8Nmiztavs0BM/5sRHY4pPetU2zwuti1HxyEYnw9wsd+blW3bqPeM1Lu691bXonnOXl49qV/lKts5Xv/IjrtilrXLeOQerDdnejU1y6msu/on8aO2kq77GRN7exNXXw/24rK6lU+9HNrpYiYtWc/T1kh/p6xnQ+MgfdnfzVg61r/r49HY0bvSrDezBuublfkb7FZlZDG5D1zN5MR2xruOd/7pvRjYVz6qHS7WJjuz6+o/29crH2fnLCzWS8cMM4L5hlLQCrveA8ocHOWxWG4Dq5By0Nr/HI7+yW4Gjz5ge7Lp41aY2drXrPo8yqLkRgxpzfq/x2te4NQ/HaoOcnW/VrTnLlvq6hujP8p/l1/GUH/XK4ej6y7bWFntnbc1ykE1fp8pYuahfMVPskqfvxlZrp9jETjaIj2u3q3vGpMdeVsMXHMRTtjTf9ZKRDjKr3PHtfuv9KmfF6fHU59znuN7Jd+UXxvBxjujQ6H28nhHEpzVSbOgQl9psD65ikw31yPtaMk5MjKl1a6c59au8xBU5NXL19dW4+rreOzYUq2zQr5jIbuWu8VnMO3nPcrxlLRWfx93lX8fQ85hW+5V1Ulu9E25l7blo7Vb7s+OgeHf6GrN0ZLeuP+NqlaXGr+pPFWoA8y9fwBrYanPUBHcOKHQcknzWhWScjeibUbL0yNcNoXj1IlnZlLzbrddVpubs93oA5L/a2r2fbbrKDga+hqucawwef53j3vNf5eeynS3G8FdzYHwVt2w72zO2Vjl0NivjUW4aV6yje8arDGMrBl1srH3lWZ/DTg9/yOkA6+JR/Ool42ugOfWS0T2+/Rmu96ucmV895/KlfiffM35lv/Y158ofeTgTF221B1exVf8dI2Q8DsU4W7tqVzoa77iuno263js2ql/8r5h0dtHrxlcxV/81B/Ggv3Utu/iw62vHfX0X1phGewDdFTtkvK3kRzGPxkexeY4jXY9rdn3LO7OynPk5M3eqUCOoWSNhwPqX5GtC9d7BS8cPKMaqDmN6MNynrrt4JV8PHX9oJCM73sumZBSr+lsYYBtf8iGbR/rZpvOXHjY5dPBHUz6eq65H8TBeba7yH+Un/7NcO3/SU6zeK27J+JqftYXeKIfOpjMe5TZjpthdt47p3nPXtRh0sTGGb288hz7W6SHvh7/8u516LRlfA2RmuVfffi97ytN75DRf/flzXmPk3n34vPKVXfen65lftzXLefccxCf+vK1ic1muJV/HuXcOkqssq94sL7cnvdWzUXXqPXaqDcUqH7rXGnmPPVpndzRe/SF3NO8fnf7//8H32bUcxU08yg032IeDmuuJT7e2mnNmunb7srsj776lR9+Ny57L6drl/VrzR3p48dzV1tmt69/JVDu33F9eqNXNViHXhOr97gFVCwP56TZaB0jydc4PcMnMbErG7dzKQLZgga2aq+Zn/dlNp3xmOVe/dQ1X+Uu/y0/+JdP11R8y0pvF3cmctaW4uhw6m/XBlr76FTPFLnn6Oqb7GYMuNsbYL97Iy8c6PeRVuHTxuD1ddzGucq++/b6zJ1+zmGCE3xEr9+H2lO9Zv7K1yhn+7BlvrAdx1Vb34Cq2qi/5Os69c5DciBnyq7zcnvytno2qU++xU20oVvnQ/Sz2zi763Xj1dyZvxeb9mbXs4sOm9jjXxIttb64nPj6va83N2EmWfkfefbtuNy57Lqdrl/drzR/pz74z8XGr71WclxZqHdC6oWtC9Z7N5C8IEuBwRE6t6jCuTUkMO20kr3iZH8m4/ZpzvUdWNqVX46/3kqOXPWI50s5uup2caxwev+J1mZq/z0le+eneZeq1+9PcTtyyLV/onrUlv/TVbmdzh4HbrPLy4TJ1bIdBFxtj9ZmrzyEyfNWGHLHSajxV1mW0Bp1Ozb3G7PernEfz8qE4aqyrfEd23Q4vb/KrbSfnyh8b9Rx0u7JJXDuxuS7Xo1i79R0xUwxuW5w15munsSqjcfVVp94jV23UWHaYdHax3Y27v+qri6ezofxqL3u7azmzzRyxsnfovVW90R7YYed2d+Srb+mPxkex+f4c6cr2qj/7zsTurb5Xsd2lUGOjqQGYL7WaUL0Hlstr0yKnVnU0zmZ0Xcax5/FIlh47Lq8NxhjXtJVN6ciH4tU9NrDnfmr8fo+evzT9QJAtn/8xyOY/yLCJa3Nfmqs+VjlLT73bXOW/yq/ylA/v3Z+Pr+JWbFpbdM/YWuXQ2ayMPW7FRa9W90zHpRtbMehiY6zuqVooIENMfthXX108yke9ctUa6H6We4253tc48EU+sqnYFYPiJB/FoTn10pnlu/KrefehuPCt+PBZ1xs5xtTEibho3Pua1f0l39Knl28f07X8eazY8DNEMbiM9Ok1T69W86prh1yNXbrqq06972wQY2W8YtLZxXY37jGfzVv5oX/LWnbxyTZxMu97SXNVT3x8fRWX5qRLP9tPK/nqW3ZH4zv7c6RL7spDfroeGd/vkuns+voj18lI/4r+0kKNgARUD6g2sYKtCdV75BiTPtfYpFfrdDSnDeL6mut698Ui6QH3zbqy6fPo3cJA/hU/vcfCPfZXDZmzmw7bnhM+nX/1Xddjlv8qv+rbc5ff6k/jVbfGrb3oNs/YWuXQ2awPtsfM9YyZZH1NlMNqrDLoYmOs7in2jo9Jz/11+8vnFaPip+/WYJW7fMtOvWfc/dacmUeHcb5Gz7nsSx6bbneVb+e35iamdVxcagyKmfjRoaet9iAyHnsXm/viusYkX5JTjN26SqbakI7msUlc3lbPRtWp99jqbHj+itnHKpPOLra78ervTN5icOtadvHJNj15VuajvGoe3KvN2EnG+5n8KObROHZrbMh6G+mSv+fhOn6NTPeMd3br+ncybvvW68OF2q0Oox8CIfB6BO59EL0ekUQcAiEQAo8hkELtMZzjJQRemkAKtZdevgQfAiHwwgRSqL3w4iX0EHgUgRRqjyIdPyEQAiHwNYEUal/zyF0IhEBDIIVaAyVDIRACIfAAAinUHgA5LkIgBEIgBEIgBELgDIEUameoRScEQiAEQiAEQiAEHkAghdoDIMdFCIRACIRACIRACJwhkELtDLXohEAIhEAIhEAIhMADCKRQewDkuAiBEAiBEAiBEAiBMwRSqJ2hFp0QCIEQCIEQCIEQeACBuxZq/AmJ7k8yPCCvS1zUf5Kg3l/i5EWMvNdavpffq5ZFf0KHP2PCnx1Ju4bAFfviMzzP+vNE+hNKt9Kv3CvDen+rv6v1d+KrOV4dQ+yFwFECKdQmxOpDXe8nqh9u6r0Or/fye2YB+Vtx7BFvKdCcxnXXV+yLz/A8p1D7es/trPkVe+trr7kLgdsI3LVQuy2099euD3W9v3eE+jTm3n7ey/5Hy68Wale/JK9cp4/G/gybo8/zKzK7ZQ/u5FsZ1vsz63KVThf/M8V3VZ6x8+VLt9a3cLna3i2xoJtCbUKwPtT1fqJ6ydSzbZZLkjIjHy2/Wqgpv6t+7GTobr5UbDcbemEDR5/nV2SWQu1XX+3Qo2v+lXJunpbA1c/m1fZuBXe4UNODz490+GLjj1p9KI7o8rtt9Xd66otwZu+MPvl4q/H7Pdd81YZfPjrvWo23+nMdbIixevQVg+ZhQlvZlh7ysld/f7Da8Pyk7zGyPrJF7+sl+ZE/xe/6+K9NdjQ+i3E2t7Mf8DHLSTGMet+fXX5Vj9z4qq3uoRpTXbfd3OSniw12Yq155bMTo2zT13VgjWvzfcG8DkZ0d2woVtnVvdutnCSrXjq6n8UtJt1+revTPQfSJ76uzXwjr1hX+fl8x7X6rn7xQ1O8NV/FITure8mpH/nT/IwlMqt52VnFXzlJj77mtIq503X/WnPsiqfGXHeW2yyGI3P4r62yqM8i8rPYqr3uXjaVPyzUqu363Go9PE6XcdayD5PKpcu9i2tkT/Gqr/Y9J8lc1R8u1EgWsGrdhtOcAOv+iO7Oy2dmb0ef2FkoNRbIYdf4/V4LLF16LRx911b+qk7ngxhq3uitbEvP1wtG5KxW7bqs5y5//rAod/Hc8dflp1jUV7+zGGdzu/thlpNiGvXwIl415TfaD5qXPL04Sgeb5KV7ZHSQSG8nN8mq73xrzfz57uRqjLKpnpjRU6vPlXLSPD05ep4rG3VfKHb01ODi+1vj6quNlc+OBTqzPaO4nKn8e7/yLTuz/JiDoTdic64+xzVzHpvb7/KtzFb3R/zhe8ZyNV99jeInZ88Tn+ShVnOaMZKOenRdXjHgg2uaxnTP2Co3tyn5H40t1hC77ufsszhbF8Ux6tlfxO9xiD89c7PzTUylgx/i8WdbTD2GVe6zuDp7bpvr2ZpU2VvvDxVqqwO6BuMb/qguC+EHCLYBj03ayt5Kv8bKfV0cj5/5el99eHyd/TpW/e3ME4MYVHm/r7Y7PfiSA23Fs+ZeHy5s8ODo4Vn5Q77G+GMg5T/udxbjbA6Tda0Yq+u1yqmE9ua22lN+xDZqNa5qox4GsuN6fq35akfj6hWb7um7NWO82l/ZdptcV19dTpIZsdK8bPu+YKyL3fe39LyvNnyO6+qz3iOz2jNdXNVPd199dXZqfke5rp6ZGgNxVmare89t5W/FcjXvvrgexU/M3ipHz2kVs9vhGt1qn+enG8Ov2iy3WQyzOdn2vjLZ2TOz2Nz26LrzIdnRnJ85HdO6ZjUv2fe+yox8o1Nl3Q7XR7lX/aP3hwo1jAONBOvG6xwjoxf3UV1fKNmuL4hZLDv62MUm+fiX/HXxez41HnyywLM281f1us1SY3Kdme1Oj81O3moznq6vuJyZrpGjubzsV3+yo/mur3a4x5f8uM5sbrUfFIvy8L7z5X51XfeDbPJQj1rV8T0k/U6XmLQXV7l1+p1tt+k6sxhdzq9He1F+K5Pu4BvZwE+Ntd4jU/ebx9fZYGzmU7HLju59r+iaeEY+pF/7me9Vfoplh6v7xS4xK16fk00fq3Gs7l2X65E/+RI/79FZzVc/3EvH52q8zNV9UmVGMbtdXVddxhljbb3xzGpMcXrOukZXNhjTvdtibDSH3Ghfye9sz0hG8XjfxeJxcS396sPnqg732Nb55teSrWsmP5pXfzR36Y3saZ5+xd1lb70+XKjJIRuNRRNMjXvfAWZ+R/fIy6ezt6NfN3ddnBp/vdfLhZzQxeesrfxV3RoP8zUG6axsd3p1s8tWx9P1FVf38MmGy2us+pMdzXd9Zwe5Lkbpd3OM4d8bDzH2aYpllpPrdtdub9fmbA8pps6Xc1nl1ul3tt2m68xidDldz/Zi5xc9+RD/mQ3ka6z1Hpm63xSf+qqz8llj171ill3vqw+f8+uV786O56dY3CbXlWud1333zHQ2axyre9mvffUnXyOWq/lqn3vp+FyNlznnyH0nw3iN2e3qutNljLPBG7Y0pjhHuVc99kr33u3im+0r+XX7XPuekcxObNUO99I/Oucc/Vp26pp1fs7kLvudPc3VvuNeZW69P12o4VjJjBaxA6yAV7q+kaXD5sRm16q9lb7k3VZd/Bp/vUeXMfR46PTguU1d7/iTrPpOp4uhk1vlgo8qI7/0sqm1db96kJEZNZeXTPUnH5rv+s6O5KSvGDVOX+dW+2EnJ7ffXbP+xKtWY9B47dEZ7SEOG+zURj7o0Fa5VV3uFZvPzVjPYnQbnV1f9xFnyTC/soG/Gmu9R0Y2PT6/dp0dn1VmlMvIh4/7dbXLXI3dY5Wuy4xikQzzq6Y4JKt716txrO5dt17LPv5G8UtnNS8572Xfx2q8zImR5DoZzcmmGGlcfafLWH03+DN7NLdZDD6na8VG77mO/EqG+ZGM21xdj84w9EZzfr51TBWjfNdc6z1yVWfkG9lOX766XvLwukc7VKgRjG+4mngN0AEf1cUPINUEApu0lb0d/bpQ3LtPjx+f9Z4xGDDOxpotkuKnV6v+NK6+e0i6GHZsd3q+fiueVZ+i2VkRM8yVX5Vn3v1x3+Wn3NW7nVmMszlsrfYDMqucyBc7o8Yc8aoREzqzfYHsbA8pbrdBnOw3NcnoXn49Fs2p79g7a8mpn8UoGXr5pler+xw/vncUi1jt2oCDWhd73W+SVe86Oz4Vp+e22jPuQ35rv+O7s1PzQ2bGtfPr+7na6/Ktcazu3Sd5zvytWK7m3RfXO/EjV/P2nFYxV5+uqznGPG/GvVDjfpbbLIbVHPsBGTXufY8Qm9+LGWNcr2Jj3osq+fFeuckec+JB776YQ97Pt45pXTPFrVzpsat77HLPl9osrmpPOuqxqxwYq/FI7qr+UKGm4JUwvcOvQTngo7rY0ibCD9eAoaft2JvpY0ObRPlocX900BRm2GNxa1N8dbzer/xVee61mcR6FMPKdqfnm2vFs9P32CqDTt79KVe30e0ltzOLcTYnX9jSWnPt+0kyHk/NiXt0Rq3a037q8qo2qi+fr2tL7LXt5FZ1PFdixAZjozaL0XVqvOLgMh4vh7LWT6xWNmqs9R5f3X6rMXi+K5/oVmZ1rDLq4vIYdL3y3dnp8kOOGPjquMofvZhLnl78JVfzrXGs7mXnjD/iwb43j6ebd1muXZ7carzIVI4us8PIfbquxhljfb2xNnXMY/XcZjHM5vC32lfIEB/++BrtmVVsnlt3XePw3Osc8XjrmNY1Q95jhEu1251DVcbjqvY8phV3l73i+lChdoXDj2iDzc3GSQuBswReYQ/dM0YdohyAaSEQAu9H4MizyHuvFlbvF/nH9ZxC7ca1ZVPzAksLgbMEXmEP3TtGvpPNc3R2B0UvBK4jcORZ5FOnfEhxHfuRpRRqIzKb43w34R+XbqpFLAR+JvAKe+jKGLHln5zpO/gc+D9viVyEwEMI5Fl8COabnaRQO4lQP7+mTwuBMwReYQ/dI0a+sdHvxKinWEsLgRB4LIE8i4/lfdZbCrWz5KIXAiEQAiEQAiEQAncmkELtzoBjPgRCIARCIARCIATOEkihdpZc9EIgBEIgBEIgBELgzgRSqN0ZcMyHQAiEQAiEQAiEwFkCKdTOkoteCIRACIRACIRACNyZQAq1OwOO+RAIgRAIgRAIgRA4SyCF2lly0QuBEAiBEAiBEAiBOxNIoXZnwDEfAiEQAiEQAiEQAmcJfNhCTf/a+Vkw0QuBEAiBEAiBEAiB9yaQQu29VyD+QyAEQiAEQiAEQmBA4HChxh9Orn+Tjz9Dwd8MU+OaPz2DnP5EDL3/mZgdGexVG/UPN8uO/tQNsejaffvfFlSc6UMgBEIgBEIgBELgmQncrVCjSKJgUtPfFFPBRIG1kqk62FIRJruyU4vH/OhThNKHQAiEQAiEQAi8KoG7FWoUULXxaRjFF435lQyFXC3A0PVP9UZ2UqhV+rkPgRAIgRAIgRB4NQJ3K9T80zRBYUzjFFi61jy9ZGaFluv6tduZ6btcrkMgBEIgBEIgBELgWQmkUHvW1wA1ZwAAIABJREFUlUlcIRACIRACIRACn57AqUJNP74UPT4F45MtNa79XuM7P7J0GX70ySdjtblMPlGrdHIfAiEQAiEQAiHwUQgcLtT0C/4CoB8xemHGdf39Moo5xtR2ZORL/wMCutihUFMbFWro1EKP+1pkyk76EAiBEAiBEAiBEHg2AocLNRJQkUXhwzXFD72aiicVZ8h5cSUbzM9kkFOxhg35kx+342O6dtsq3FKoiU76EAiBEAiBEAiBZydwqlBbJaVCbSa3IzPTz1wIhEAIhEAIhEAIfHQCKdQ++gonvxAIgRAIgRAIgZclkELtZZcugYdACIRACIRACHx0AinUPvoKJ78QCIEQCIEQCIGXJXCXQu1laSTwEAiBEAiBEAiBEHgiAinUnmgxEkoIhEAIhEAIhEAIOIEUak4j1yEQAiEQAiEQAiHwRARSqD3RYiSUEAiBEAiBEAiBEHACKdScRq5DIARCIARCIARC4IkIpFB7osVIKCEQAiEQAiEQAiHgBFKoOY1ch0AIhEAIhEAIhMATEUih9kSLkVBCIARCIARCIARCwAmkUHMauQ6BEAiBEAiBEAiBJyKQQu2JFiOhhEAIhEAIhEAIhIATSKHmNHIdAiEQAiEQAiEQAk9EIIXaEy1GQgmBEAiBEAiBEAgBJ5BCzWnkOgRCIARCIARCIASeiEAKtSdajIQSAiEQAiEQAiEQAk4ghZrTyHUIhEAIhEAIhEAIPBGBFGpPtBgJJQRCIARCIARCIAScQAo1p5HrEAiBEAiBEAiBEHgiAinUnmgxEkoIhEAIhEAIhEAIOIEUak7jCa7/+sMPX37z6199of+s7Ztv/vTl97/77WdNP3nfQOCPf/zDF/bPrGV/zeicm8u59eXHfZdz69z+idacwKlC7fvvv/+xmPj223/60TqHI9fP/LAeifE98zvKcDevkRzrRmHoX8i+Z3vGFylMYDRqHUcV2+h2TLXW33333RuzyKvgwHan/0apGejiIg/2+KMbORCP8hafGseuXNXj3rl184w94/4axXqERc6tnFt1H7F/cm5VKsfud5/BXblj3n+SPlWosfAcuGr3DFA+bu2PxPie+a1eYpXDbl4jua4IQDbfGf5CWmsCl66o6l78cFUxhA57qhYmyDCugkwe5U++ujWS7Kq/RXdl++j8aA9WO7tyVY97dCvPTu5Vxo6wyLmVc8v3tc4R9pDOEp/PueU0xte7z+Cu3NjTeOZwoabF10sI0/cMcBz6sZndGN87P/mn32m7eY3kuhe5YvA13onlo8rAiEONww6OtfGCnLESz3pYYouCuBbFyGFTrVsjza36W3RXto/Oj/ZgtbMrV/W4R/czFmraY74Pb+HYsZ2NyT/9TtuNbSTX7WvF4Ax2YvmoMjm3rlnZ0R6s1nflqt7O/SWF2syRXjq8ePjylxWJcajyxRwbizYaZ67aqy+5mW4Xp/tl/ujDzqGg3Ojxr7aKFTlydn3Z8wOv2nGG8lX7mled13134DGHvg68GdNZbFXPY2JOeWvdFZP0dM8a15xr3NLRXtr1JR+zHv+wGO0NfNX4qj3F5+Poab3FmnlyQF6t5qrxnX6lq7jETWsxGsdnXfNbn8GdPJBRTNW/szsiM/Nbffj6ysd7MvP9TR6jvTnKUfsOO3yRk1rNva4vcuwT6dLLXs6tX34/MufWbb+y4XtSe1P9MzyDiuUR/V0LNR5mf8jrYQJsHnI/BEl6NK7DwQ8DHZaCNdLVfO3xr5cTczXGKu/3OtD8RSFbO7FKxm3Ci5iUIzIzhq7r1zUvn/Nr7MPMmxgohhHTVWxVT4c5+YiZxnRPHOixrmrI1z1S4z7rSz5GveLTfI2Nce0D5katskJH64oe82qM+33NVXI7/Uq3cpPN0Tj2fH8if+szKJ+rXjH53qjx7Mq4jeoXm1ob5vQ8aI/KR92To/EaIzZvZVaf7xpjzcnvtV+VD3PEqH61vsrHbcLL9VYMXdeva14+59fYh7c3Mci59eXnwll8YFX3vPZB5Sgd+rqOObeczuOuDxdqWlw9DLNQ/cGVHJtFG4YN0m2S0Tj28F8bh4TGR7pVZ3R/ND/5rfZ2Yu1kVBiI74ph9Xv0vjvw8Kk1wt6I6Sq2To+1Ytybr5/8uf86j0yN+6wvj6O79v3KvPZHJwsPvmp+yOolopej2/VcJKf1R9fnO7+zMXQVl3p4qnXcmBuNY6Pb875GI135PNuP7OKbPGdxVxnfXzUecnT+zPt6jeIYjT+CmfZljbvmxv0ontmcr2+nn3Pr/DeY7BtvsO7GuufO9fza9yvj2h8uo2vWk6/qk3mdRzm3ROt9+kOF2myxa/h6cLUJvNeGoO8OzG5c9qof7l3erzvZ2diZ/LqDcSdWyVR9PRj0knF2uibPK1r3ItdLT/Y7pjuxdXqMVfv+EsVn1fOXhGLCBnJqVUd2Vr6kP+rhTa7eGJsdmloj1+Ha83S7YokMdpHzVnP1udX1Srfjhs1u3OOsfl3er6vcLfcju/5SukWG2JSj1tB7bNNGPrpx2evydnm/7mRnYzm3fio06rPeMdV6+LrqGnlap8dYte/Pc6eXc+vrM3q2h+vcRzq3am5n7g8VajjYPRT0QNRCxIPsHgjmu3HZc31du7xfa/5IfzS/zvZOrCOZrlCbMez8HxlbPRDY6pgq/llsnR5jr3LgEacO8dqTx6x1uVNQMC52ro999l6nt7NGbsuvV7qdP/S78S5u+XJ5v9b8Ff3I7j0KtaP7+r2Z5dx6u8O6/aI9fHR9sZVz66ffx3bSObecxv2uDxdqbHAWhw0/azty3YOEzdH4yK9/5zLSncXqcztxS34UD/OjOcU68qMDl/mRjPxf0a9e5PjomO7E1ukxdubAqzoqesTgrC/pd339jlkyO4e9Fw9Vr2Mu+W7fdPKyuepXuh03bI7Gu/iQ176e6a5iXc0TE1+1Vd87MvDu2tl9ja33ZLYTt/IdrSHzozkxHvnJufV2/bvzI+eWduG8/0jn1jzTvdm7FWq4Z1Py4HtjAVTkjQ620Ti62OOwUMMHD4TaSFfztccedtVGB5HmvVd+Ho9s7cbqfOTbc5QP94ttMfRxv655+ZxfYwtmszZiuoqt02NMjOSzHmhVTywlr0IJObWqw/iOL+nXXj58bV1GMTPvcSCjdeTlVRvrwled4x6bzNW2s0ZVR/cr3Y4buqNxrYVzufUZJO/KQ/F7T0yVXd2DuzLoqWGTvNSqTcaZ1zM3YjMavwezGrP2nGJULl2v/HwNlf9urL5P5Zsx2ZQP9+8Mfdyva14+59fYgvesjdZjFVunx5gYyafOAN1XPbHUvM4U5NSqDuM7vqRfe/nQOtR5xcy8x4Gc1rF7FlkXvupczq23Z3xlfsX9XQs1AtRDoYX2zdFtUnRG48xp83f2VrrM14YdfwC1WXcOPGzVeNxWnfPcFQdjyoWHSP7p1WYMJVP7mled1z0xdnFpnn62HrPYOj3GnBH2dXjI50hPnGSDXm2ks/Il/dpjj7hGTWur9VJs6kf7R7x8ffEhO56TfMuXbKuvh6bkvR/pikvHDf3ROHPVZo15puuxca2863h3L7tiCIe6Rkdk5AM74qEx98G85ygfklU/Gmf+SmbYqzGL42jfKUb1NR7Pv8557tJnjBj4yrn1E5Vu/Z0T17ClVxvp+HogW89I6dcee/WZcBmtrfaL1lD9aP/oeUDPm+x4TpqXL9lW/9nOLfG4pT9cqOEM4KMFvSWYZ9H96Pk9C+fEEQIc2t0h35HpXmqd3Gcdy7n1WVc+eT+awJFz64rYThVqu9X9FQG+h42Pnt97MH1Gn/oOr/Z89/gqrcau+1fJgTh3vsNmPVKozXdlzq05n48yq2e89q/yzLMONXbdv0oOR86tK/bdqUKNT9MAWz+evSKgZ7Dx0fN7BsaJIQSOEkihNieWc2vOJ7Mh8KoEThVqr5ps4g6BEHhdAinUXnftEnkIhMB5AinUzrOLZgiEQAiEQAiEQAjclUAKtbvijfEQCIEQCIEQCIEQOE8ghdp5dtEMgRAIgRAIgRAIgbsSSKF2V7wxHgIhEAIhEAIhEALnCaRQO88umiEQAiEQAiEQAiFwVwIp1O6KN8ZDIARCIARCIARC4DyBFGrn2b20pv70R/2TIFcmxT8K6H/O5LP88wqPYHvlOt3DVl37e/iIzRBwAnXPPct5c0UcV9hwVt31I86tZ12jjsczjaVQe+Bq8LDxjwTvPBD+j1fqb6YxNmtH7O/EMPO1M3fLQ7mbi9jUf4DZ+RHrrr2dvFYyR9nuxjaScwb6F76Rfc9W1/49Y5FvmMBn1DqOrCUN3Y6p1rr76wrIw4GG7U7/x8nFf7q4yGN1HizMXj49ilMMLndYDNY95/yL6KHbW9YOR1fEUW1wT1zaf9qnNbFdOfRWtqrtM/erNToS73ue8Wdyv0UnhdqXLz8eeLMD/BbArntkExIPD6Ia1/7plMa9P2L/6EOph8L9Hb0mvt1DezeXEZfKb9fe0Zw6+aNsd2MbycGAOW/cr/aLy3/0a60JXLqiqr5A4AFXFUPosKew4w0Zxuu+lj/56tbI7cyub9Gd2b16bhQn+7BjN/P/6PNmFssor5mOz7Hn6v7w+Z3raoN74tI+q/tSNnflkF/Zkk3191ijI/HunvFXxKmc36tPofaEhZoeGL0k2Bw7m+3IJpeP0QNeN+SO/6pT74lv98DazYXDqhYkys357dqrMZ+5l/9dtruxjeS6F4licAZncvkoOjBi71E4wbE2Dv0ZK/FU4SV9bLH/6h5UYSe5bo00t+pv0V3ZvnJ+FifsK6OZ70efN7NYZnnN9DTHHtk996RT+2qDe+LSvhydNbty+FvZqjHdY41241Ws/syOdK+Is+b+6PvDhRowdOBxuOnLgQmi5ui9yQZ2mGPD0Y7quS425U/23KcOTsnowFUMGqcnDtpIh7ndHJBbNXx6zOLgTG/dbNj3HGVPuc7yHTFSnG7XcxUjjdX7qn+GFXnVF4DsOj/F0PVioTw8jroHqi/s3cK2i0djdV9ovPb495g1j74YiL3WEh21mqOeDearnsfEnJi5PdeTD7i5XcZr3Gd9ycesxz8sRnuDPGp81Z7i83ExVq85OCOvVnPV+E6/0lVcdW1H4/isa1739Ux3FPMszo57jUH8lYf2Fj36suHjHoti1li9r/rM77RZXuhXu8TnTXHUfPVsSrbOiwfzsiHZK3rycpY6B8lHbRTTvdZIfmtPnMSrJuaVoebVd3H+u//6v/rq2ZQszwDyNPGu+Vd/dd7XTHav6E8VakBTQgShBdcCc+8JIesPBdfYqEkd1dPG0iFMLBpz/9j1g6gusnQc6EpnlEPNCzurtrMJuxhXdjVPDPjwBg/GfM3OMHLO3Tr7PtHmVxxXsKrrhO26vvLX9XrQPA+tmbiJEfrk4ywl47aPsnVdv8aPYvHxeo2MP1/Mi4FiH+1XdGfrXvW0D9ERM43pHv91rZHvnneP+6yvyqPeKz6N19gY1z7weCSvvrJCR+zQ87Vi3O+5ntmWj65f6WK3PkvYGY1jD3ntDWTrvh7pdvFpbBWn7wFkxQ597VftobpmyKCjee4fcd7I72ztduKCt5+F6PgarHjg3/WJ65Ym/26D9TgS0z3WyOPxa+IiZrW6XzTe9TXOeo+O7OmZ0P535mImmdWadbGcHTtVqHWbth5MHlAFg35nw3W43tHDb7XFmL8UfPPJBwugRah+kFnpdDnUxZavo71eGtoQ6Ms2sR5t5OI80FfO8rHKV/Iz31UGRmKMnt8rH/mf2Z3N1YcF2Y7fyEbHRrKjOd9fnYw4KLcVW/k728OgPgP4rOyrDP5WsaFT9XaeOXTcvzNTnjXus75kb9QTh8ei/dHJw4OvmjOy2rOsL83tei6S0/oj6/M/Kh/4D7qKSz081TpuzI3GsVHPA+R9jUa68tn1qxzdPjE4H+w5Tz1DnR+NVRli9nX2+25NZGfVr/Kq+l1cxFIbPLBNW/HwXKqdM/fdHlDcWpdVTJKf+a8yNY96P7Plc3qGFavP1esaA/O+F7mva0xcfNV2ZM2q7i33pwo1fxjk3B8yxkichfYvyc4W56getrTZZd9hapE8Dl1rISQjfd1LznvpjHJgHHnJyeZurw04ksc28e025VI3tB9ckvE8da08JFP9HlmvyuxWVsSCf9ZbbcVPcvTKqbLxOZfXtfIY6R9lK7tn+24N6jOhmN2H4tdae488rdNjrNr3Z67TY74WB9iQn05HYytfyM0aeZGrN8ZqPHUemdo8T7crlshj1/ckYzXXand2v9Lt1gh73bjHWX26vF9XudH9Kk4xVwzc1y/80iRTfeGj6kimxtzdoysf0lv1q7zQPxKX/OmdqVxrXh5rzUU2zvTyV8+9o+eW7NQYjrA4k9eRM57YujjrmvK8Iqc2iuvImsnWFf1dCjXfYARZQY0gnNHDFtC9+WEq33VTurxkNKb7mc4oB9kgBvLpilrJjPrRRsTe7OXS2VMuda57KGf5dnaOrteI2S2sWHv0vY34uQzXXU6Smc0pj5HMUbbyebavh05nRzH7nOKfrXunx9jsmcNH1WON6t6tcVcd2Vn58pzqNbrs0+4Lf7PWxcPzzLjYub6ez06v5up6q+uVbucPm914F7f8u7xfa37Vz+J0v7qe7TvJuM/3Om9meRHf0biUU33pz3icWQ/5qX3HFpmj51Zn5yiLs3ntnvHk1cWpXDVf3yGjuI6sWeV+y/2pQo0katNB3EGpUDsIZ/WwxYPkjVg0pgXB/qhV3zs6XQ7Vvuxi70jr/MvWETvIdrYY15owP5JxX9V/vXeb0quM6r3k6GWPWI401rk+ZDv5yAcHC767NprTXh/5Ocq2831kbPUiwVbHfhS/++70GNPzJVl/5jp/dR4ZFT2ycdaX9Lu+84vczn7Toex2pdcxl3y3bzp5tzu7Xul23LA3Gu/iQ177eqZ7Nk5sw4e2s+/EWf7qPeN6ziRT8633kqOXPWJZtRl/2XEbXVzEUpt47/CY5VLtru5H/hQ38yMZt11zr/fIyqb0ah71XnKrfic+2ejiYg7fxMf68uWNOb5qO7JmVfeW+1OFGg86CarxADJGExR6NeY0z1i3OGf1sFUhA9PHPD7FxLxi7BZ9pTPKwf3WTSrftYeN63XxiI/ratP4WHdNrM5f9hnjmrbKVzpipnh0jw3suZ/KyO/R85zPssIGHLzVWH2uXitvcWBecdE7I+aQd39XsK0x6R7fikVjXY8Mccyas3c55e9j2NO6dnqM1bjqM1f1kPe9of2DnFrVYXzHl/RrLx++ti6jmJn3OJDRHvJzTrrkwVed4x6bnqd0dtZIsrVf6XbcsDEa11o4l25fM3akdXGKY+W72nfS0z7UWuqeuLQOirHm6/foEZ/a7nmDfJeX7OzGVfdLzb/ey6/y9Vzku+vZf3VfdnLY830q3oxpX6xiko5i3GWBXbXdvIjL16/6lr2uH8nCCf8wU87SFx9nWXnUe3SJUTxk64r+VKFGgAoSgCTqjWAZ15cWUDKjxTmjhy1fQHwQTx3zeIkLPW8+r0XzsarT5aANobzpZct91WvkPF7Z8QWvDCVTbY3uiVdxaWPW+Gb5Ytfn8X90vZyZ4ldMNZZRHsg5K67r/pNt5zeyx3jNo9r3GOu+Qf8Ktl18NddORvF3cbm8s/dxrn1d8em2Oj3GnBE26jM30hNL2aBXG+msfEm/9tire8NltO7aL4pN/Wj/iBd63mTHc9K8fMm2en8RSLb2I11x6bhhYzTOXLVZY57p1vh0X20qx8pJ8uIouRqDz2Oj2q9nYo3Z77U28kU/ikvxqa9+ZUNrV+dHcXk+3b70eXw4D89FcdVeOdbx0T02lQvxSN+5zGLCrs+jt8tCMe3khSxxYltNsY6eUcmpr3FqvHLWuOJyvaNrJltX9KcLtSucx8aYABvIN2F9+PXdwNjC55jh4e0eoMrvc9BIliEQAp+VwGd7J1xxxvPuUMHt+0aFmo+953UKtfekP/HNBvLvIGpBQqXfbbCJyQ85VbkoycpP4+k/FgEO6+6L52O/cQy+39dvfv13X7qvb745G9N+5kckO86MHWN9xONjZD9KXp/tnXDrGc+HH9joWgq1jkrG3hDQJ2gUInxxmPgnbG8UPumA2MCHazXnp7H0n5HA2WInem+L18+4f5LzsxK49YynGPN3hueZQs1p5DoEQuADEkiR87bICZMPuNGT0gsS4JPH1SfBL1+oveC6JOQQeBECeZmnwMke+HoPvMijmzBD4I4EOBXSQiAEHkogL+OvX8bhER6P3AMPfdjjLARuJpBC7WaERw088kDa8XU0/s8sv8MzMik6sgdebw985nMtuT87AU6UtIcSeOVD/KGgbnT2ypwT++u96LNmWbPVHrjxSIv6pyXAzkp7KIHVw/zq80dhvnq+iT8v6OyB7IFn2gNHz+DIPzsBdlfaQwk80wOdWPKCyR7IHsge+Nh74KEvuDi7AwGe0A/fnut/tT12KP7xj3/35fw/fHnM119/+Okf3qTfPbjO6Ozajtx4Hb7//pd/JPW778ZytzA8s/fYq7//3X3iuSWXo7o193p/1N695FfP30dZj3vxe2+7j1mfD/+KvzRB/vmO0T+Ee6mjA8Y4UQ81/SNx+ltb/nfBRob4R+XQW7Uztlc2mb9HobYb61u5ty+x7l8l1wHyyBfE6tBXTN6f0XH9XL/dDztM2DP3KtDk/8zee8yL5xwz5bXT19zr/Y6NR8isnr+Psh6PYPkePh6zPj+9A3kP+3ub+/oPqXdj+nfHkJ39NZy377qv/xbuzrv6GWQ+XaHmC8wirtq9Fhq7xHJl2431rdwvLxkeUl64fDrihwTjHMCMPfIFsTr0PUZdH9XRJ0HST//12u/wOMp8x2Yn88i91/k/O3bFHqu51/uzsV2t96i9cGvcV6zJrTE8Ur/Ltxt7TEx9ocb7kMKsfnrUjSGL3Ecr1PTXDa6sDe5hi7fEofa28OirZgGggqdIQm/Vdm2v7NR57D5bocanIRRpqwf1kS+IM4f+UZ33O6zWrFdr8SzzYgj7e8b0yL13ZR7ic4vNmnu9v8X2lbpHn78rfR+xdcWaHPH33rJdvt3YY+IcF2p6T/s7sxtjPoWaU3rs9eFCbRRe/VuLLrdbqLmOrimyuiKPTUPlT9PHucSgL+nT10Kt23DYqn747kH26GffTcgfcopLY1/3P71c+T2enR9ddS8IFXn6kWn9naDO9rff/vTpnB8MjMmGPtmjnxUAKx29ONyufOoTRJ9DfqYjXe+rPIx8/go+4q6YyVs+dOAqD/dffc/WeOZjZEfxyDc9cZ2xhd6MpWzWNReHrpeO5mb2JaNeuu6v7m1kKxuX6fgQg3yor3GJo+YVy+ie8VkcVR/5bgy/7Cf5qTa51xy9s5EufZdj51MxuB3n57782uU7vzOeszUZ5as4PYZuTLEgN4sBXb7cHtfkTnx1vLNX9Uexd/n+wz98fdZqzWpOunfe3fr4vBjI5ttcvn4D+V1XlHVj6HTvTbc1ux69S6kNeGf6r1Dx/mRMTfEwxpe/p0d20dV7v8pgjybfsktPHNKTf/pqAxbepKPYsVVlXP7oNTv0kkZgowLllkJNi+RB1jH8Cj5y1Z8gyka34bCBnBr3DlrFoPuRrPczDj/J/XKgjA5Xf9D04GpMD6jr6mCQDA92d8D7QSM70qFHb/yw//KSmOlg1188xOZ+VeS4jZWOy3JNjJ4f+pJRXrfyIebqBx86nD1H+af3Q1UvDpdVnPQjHys7Yug5nrVVc1QuHp+PkZ+vp+cjHX/xzex3ushXf26POWQ897r/xafa93vs+LrUfUqO7rfer+LQPpFP7QXfH/j3e2z6vXQUp3zKJj3ylYfP17i5XzF2fa47v9hwv8goTnQqT+aQd9uzfM/yG8XQ+Rdf30seH/HOzpnZWnX+urEz67OzHp6Hv5/qdX2XMt+NMd69N6u97n71LvX3s96zKtxUIPl7F3u0Hbu8j6kH1NBhTPa7XD0e+XEdxlTkyS469d0PL/ct2TP9ZYXazHktnGay3VzdINibAajwK/hqD58sIHJqdWEYX/mV7rz/6UCrh9bXD9YvB1p9kOvhIT0ODR0qfq15Hm5s6b6zo4Nk9+DC1kpH8/Jb7zXu/Uzm6OEqu87ErzVf+cDKeUmu4+ZzlR0vLH/hS5Z+5mNmR3xc5oytFcvOJnsMfp6HX6OjfFf2XW/Eo/ob8fc1FZ9qf3ZfdTwPxaa8uN+JAxnsIk8e6BOnxrivNn1N0XOZzqfirnro8tXlwZjm6Stjn+P6jF/FJVv1XnZr3DVfsdrhJ1/qq0/fI8jUZ1569Ku9C5NZ7NU3NruxM+tzfD3GbyQVRl4IdWNY6N6bY8u/zKzepe6Pd7AKMSygS7HWtZVdbPk7XTbIQz5qrYAMOl5fjGJwHp0v4kbmisYTe/dG0h2wXcddEeUbCzvIANS/ZL+Cd8CScR9aPLel61vy+MnXLw9sfdD9oNC1P8jdg97J1QMJGT+UZKf6nx1OR3TwxWHiX4pTdnSvfqYjGfUwwXZ94Yxso+ccV3yqvPzKfuXGvOY8Z13XOGXPY9LYjh3JeBxnbaHXsSSeziYvTOQVb+2rzsz+Spd596e8qx737ncm57qzPef2jth3Pa7xIX3iohDRmO9Dxaw94z12NO9rjt3ZMyu/Xgx6fMzz5Yw1pv6I3xlP2al2PU9dEyNyR/jJ7iwG5mQbefgTl3RrjywxuQ4yykXxei9ZybjNbgz5I+sjG8f2gd5y4573W32n1rHuvTm2+NPM7rtU728vbKSrT7/cl+b0XvZe7+j63pe+f+AiO5qjd71uXrIu59ea16eBur+lZ5fevd1aqKniJtCuSmWRAKVW4VaI3YbrCrVug8jH+f6ng4GHmwPSH+Tu2h9kPaQrOX8BSNYPqZGd2aG/q1MPtqpKzK7VAAAa7UlEQVRX74lvpaMcak+e6Oqg62xLxzmu+KDj8rIxs6+5eoBKt+tnPmZ2Ol9nbSmuypLxzubspT7SYbyzL9/qV/6Ut+S9d92ZnHRWe87toeP3M/su588c/rADP2T0rCke2Rytu+Ylr152RnoeDzr1nrHZmu76XfGsdnQ/ipu4jvBDfhWDWCGLf/Yk16uvund3YpeM2+7G6nrUe/R9fTobyCi3nuf8bcX7s35q1Y1178255V9+jLp6l6qomb3H3Zfe8TO79b0v/RRqIlH6Wws1zAGdxcSWbyotmLvUomusLhgbjsLMm8eowhDb17efDgaKi52Doj64HEY8rH4AcI0tHmhdc8i5DP6wxZge6mpHB0L3sO/odIeIbCqWKlPvkas60u166SvmK/jgp3KX75H9ER/pdX3nY8dOzXkU744tj6va7eJbrU2nIx/VvsbVd7rV34i/73/5kd3ad/PVT42l3u/EIf7Y1jcTPoZNxaZxYtOY96N5xc28y+u6xl3vkZMN6Xi/43eHZ5UZ2e187/Cr9kd5kT/2OB/rGem+67XsE/dO7JJ3O91YXY96X/MY+dYaMu8+f7oev8W692c3hoUzhdrOu9Rl6ruZgrF7D7vOKDve+3zV5nl0udZ6YRSD26k6+Kx1SI3jyD2rekkjmVr8yLAXQRqj90R9vLsmaWDgx5tA+2Ii43IVoj5mlR3ZQE6NmN0G4+i5H8l6j86Iw09yvzxI+k6tPlgc6nrg6oPL4cJLQvPo1qJPMrKrAwJbGuMaO7rXAVBta55+pSM/9NLDXudHMjs6skWPvB+wOqAko9yv4KOXq2zTM1YZKR7NuTxzytXHua5rq/mVHTHzHM/YWrHsbFbeilm966zsS0e962qs+ttZX+3lEXfx8/m6T2ss9X4nDnLgGfcikjFs1THGV+uOXvcs1f0odvKFXY3VPBivjCWrfuV3h2e3Jqt88b/LbycG5Sr+/vwoV/XY03MtPWe/ir3Ltxur61HvO9+r9UCHWH+J399QX1/r3eej3Rjz9X1d792GX6/epf5+lm8KMZp0dc+Y3q+ac1/+jla94B/sVJ2u4PN45I/3useAHfJXqzqMf4hCTYCU6E4PLADVxuIwpy8ttuQ6iFpEdLjGBr03Lars1nmX1TWy2kga+7r/5dDkgdKBz4OlLx5E5vjqHtyq4/Ku5/bQqXLcS4YDUQfJ7ABb6dTYdIAqLnodcvjG146O9BWj4pYNzdNXezVvZDwPrisfxvwFN7OPruY9N2LrfEt25mNmR0x9nc7YWrHsbO681MVtZV8c1O/621lf5+ec5KvaEFPN11jqPXLVBjLSVy8Z3bteF5fH3e0ffGjv7zyzNe56TzyrNUVm5Vd5KrbKExuem3L3sS5f2UVfXxqTjTo+iwHZzo9sqMe27Kiv/lax+7x061hdj3pPPN36rNaDmOH0Uz5fv4H8rr4rmevGGPfC7Oj7e/Qu1XvYY5Ksxur73d+vku3e0dhm3mW8uJJ9nycv6WmevsZQa4FO5ykLNU9q51qfkO3IfiwZPTzpdSimz17IHnitPaBCTAXIK61f92nmK8XfxTpfj/EbtCvKujEseKH2Cu/vrngak3juGU6Hd2lUsSz252uvdSB3h0LGsobZA597D/BpDQXPq+0DCppXjHvFeb4e47csnxTVT5m6MSx4ofYK7+8UauN1z8xpAq936K0Oj8xnTbMHXn8P8GM2/+RMn97wI7lXW19y+eVHgq8XP7yPr0f/UtKP8/gETa0b8x8NvtKHKynUtKrp70jgNQ+RVzu4E+977rMjj897xvm5fVPY6Pe01FOsvdKzo98No3+luLtY365H/39GHnm6PqJsCrWPuKofIqfXP4S6gyljo3X9EJv2xZIYrUXGr39OX2xrJNwQuBMBTpe0ENggkBfRtS+iDeQRCQH7vx2v3X+Pep6zhCEQArcSSKF2K8HovxCBe7+cXghFQv0kBO695/MK+SQbKWm+I4E8Ze8IP65DIARCIARCIARCYEYghdqMTuZCIARCIARCIARC4B0JpFB7R/hxHQIhEAIhEAIhEAIzAu9aqF35v8/yb73Uf7hvlvhHmtvhuCPzTExeLd4z7HZyvHJf7/g7k8er6Hz2/F9lnRJnCITA1wRuKtT097W8/9r8/O7Kg3PnhYY//kE//Z0y+lVDHj1v3T8KuDvmdrjGtvOr1zsx7nDckamxvef9q8V7htVOjjv7etf3jr9dW68o99nzf8U1S8whEAI//f/ehznw8qCg8H/RGCOM7xQWcnjPg7P7e2X42y3UlCN5olcbduoneLtj1ZbuO33NzfodjjsyMx+Pnnu1eM/weXSOj/Z3hsk9dT57/vdkG9shEAL3I3D4EzX+hATFyxXtngfnLYWadCk6KdiIszbJ+PjumOv4dQq1X2jcc2/84uV9rx6d46P9vS/dt94/e/5viWQkBELgFQgcLtT8D7POEuzkKEQ4LNXqwal7FYP6MSAFkJpk9IkXNmka51pz0qeffdLHvOzIj/pnKNSI3XPh2pty3+HmelWee7UZE/zxVRtrPuLosmf2BnaJifXYaZIXNxXRvg9m+Yup2yHu3Sb96qPbyzsyO36v2CfVRl3nGiv3asp5xUxrobVxHzP78tP1j9hTnd+MhUAIhMC9CRwq1HSI+8tuFOCZg5MDu76MdejLp2T8BUEMekkoHr0MdD/r8Ymfrj1DoUZs/oKvMYmJFzEdtzrvhYfWVn5mTDq23VjHk7Gje0Mvb8U2sqtx5a57ehUF2kfIzPIXU+TUkHeGGu966bu84lIMuzJuo/OlMew7I/TwobbjD07+bHn+XN/KrFtL+VjZVx5df+891fnMWAiEQAg8gsChQu2eL2OS5UXiLxYB4BDWYT6SYdxfaEdilZ+ury87ydTChvHdMdmofX1R1Xnd19xGTCo358MLWQWD7DLvMhrv+vpivEUX++Tua6/1VK70u60WG+jJjnJe5d8xpcgg753W6aNX18Rzlt0qs7sm0levnHW/ikn7V4ykp/4KZt3a7NqXXNfX/YjMlXuq85mxEAiBEHgEgVOF2ugg94CPHJzS40XSvZS8CBjJ1PH6kpKPoz2+sT1qvHhqEbE7Vm3OCjXmsOtf0q+5a3zETWzclq5nucoufX0Jol85uLxf7+4N5I7YxYdyq3vUixDJKGfvlX/HVJ8GeS6j604f2dGauJ0dGZf36yv2CTzEQbavYCYbdW3woTlfC13XWBST9/fcU+4n1yEQAiHwaAKHCjWC4/D0H42MAt49OHkpqd3ycqu6Ovhl+2xPfKMXRcdid6yLZ1SoYdNjqLnV3GV79MKXfvfClO6qV+GD3JFPmpDf3RvkRe6+R1ZxKbcqp3jpJTPLv2P67IXaFftE3FQki/0VzGRDPrzX3GxNXL5e33NPVV+5D4EQCIFHEjhcqHFwcyiuGjIUHt7Q9YKjvgy593np+iFcdSRTx3Xwa/5sX2OWnc7+7phs1L4r1DqbtWA4yk1FC7ZvafglFhjR77Yje0Ox1r008iX5mpuYMT+ScZt1PzEnGy43ut5dE+Rq29nvVeeqfeJ2ZfNKZhSTdW3wubMmHlu9vueeqr5yHwIhEAKPJHC4UCM4DkUO3Np4YXPg0nixuowOfX8x1Zch9+j4Sx+bbqfqKIY6fuTgx/6oEHiWQs1fbsRbmXB/hFvlqjWTnxkTMcef1kxjO/3RvaG9M1qj6rPGpL1ATtqfq/zrfsLH0UJtZ012ZIh11cRI64c8tvlSE5fRPkHXGdd8r2AmG1oHYpNPzSlezXlOPufXV+wpWCkWt53rEAiBEHhPAqcKNQLWwaiXAT0vAm96MWgOHZfh2l9CuteBjR5FoTfJ+BjX3bjb8RdD1cXP6IDGBrZr04vRx3fHXMeviaHmy3xlXf0od8+32pGM+3N5rZHmZ0wkQ48cdo424kFXfld7Q0VDzWvk1+2jo2LN98Es/46XYhj59HHpu48a+xEZtz26vnWfiJHWhd554dfz0dopHuWje/qOWY2Te7WZfcmMevwrdq6P7il0PZaRn4yHQAiEwCMJnC7U7hFkd9Dfw88VNmuxhM3dsSv8x8YxAlqbWngcs7Iv/Up7eT+rSIZACIRACDyaQAq1k8T5zrt+QrI7dtLly6jpU43a82nJFa3a1f3Mfrc2t8Qin7VXDPco1Kov3cvnLfk8u65yrf1nyP3Z1ybxhUAI3JdACrUTfHnp88LgUxq13THJp78fAYok/+RMn6bxY7hHtXsUao+KPX5CIARCIASeh0AKtedZi0RyEQEVzf7pixfVF7mZmkmhNsWTyRAIgRAIgU0CT1WobcYcsRAIgRAIgRAIgRD4FARSqH2KZU6SIRACIRACIRACr0gghdorrlpiDoEQCIEQCIEQ+BQEUqh9imVOkiEQAiEQAiEQAq9IIIXaK65aYg6BEAiBEAiBEPgUBFKofYplTpIhEAIhEAIhEAKvSCCF2iuuWmIOgRAIgRAIgRD4FARSqH2KZU6SIRACIRACIRACr0gghdorrlpiDoEQCIEQCIEQ+BQEUqh9imVOkiEQAiEQAiEQAq9IIIXaK65aYg6BEAiBEAiBEPgUBFKofYplTpIhEAIhEAIhEAKvSCCF2iuuWmIOgRAIgRAIgRD4FARSqH2KZU6SIRACIRACIRACr0gghdorrlpiDoEQCIEQCIEQ+BQEUqh9imVOkiEQAiEQAiEQAq9IIIXaK65aYg6BEAiBEAiBEPgUBFKofYplTpIhEAIhEAIhEAKvSOBTF2rff//9l9/8+lc/fn333Xd3Wb8//vEPX7755k+HbT8itsNBXaxwls3FYcTcExPg2fn973770AjvtS//+sMPP5419Lvtilh2/L76eVP3yRXcdtcociFwbwKHC7Vvv/2nHw8b+q7xgIzmOvn3HKNIu1eBprzOHhj3jG0WEweeF5asJfLedPDvvEDRJZeuzeLo5J99TM+Gin/1zx73mfi0B5Qj/ZECpNtXXRz1BdzJXD12r30pZkc4XRHLjl/W795nIes0Ow9uWce6T1bcxMT3L9dHWmejW1u4uh+KYm87dnZk3KZf13Nptc6reLG9I+MxzNbD3znaH87Lrytfn9O1+/0o16cLNaBUaEABNBvjiqbv8q6wVW1o43c5VNlb7mcbdGT33rHNYvKHhvi6Fyprj9yqKQ/8dYfDLI6V7Wec71jBCV7P1K54rlg7f3b0MljlKR4wwcYztnvtSz0Pzm2V/xWxrPyu5lcx7s7LDzl158GunR25FbdHPQMqaLTmuvdijVg1T27ds7Qj03FBj6/dpvgUj+49Xo3NZKo/Yhi9Mxjv5uAw+jBA54jHhU/GFVeN4ZXvTxVqWvwOInMAvqJd8TCN4pDtey/qbIO+V2yzmOpDw1oir8aa+73Gux5d7PFgdzqzODp7zz5WWSleipJ6oGjuPXrt/at9kydrPWryyzPHvuj2xEj3keP32pfkDaMjZ84Vsaz8+rrck/PqPLjS94obOXfvr1tjqM8APsjb2yo2ZKsd19f1SoZn8WiOO/HuyChG9bOc6ztHOnDr4lehKLnP0J8u1IDDRuk2YR0TWOR9c7FA3PvBhS5jmpNOldPiaANI3n2v/Lpt7J2xhZ4OQtnDjppsKi/JaL72ykNy9Go1n7qJ5Us2nIVs0EvOx3SNLl9q2FA+9LrW/KwnPg5E8eHam+KoebmcdMWj+q+63KvJvrOvzJDFn+zTu4+ZfflR76w0pvjpvc3sKu4q41ywVedrbrLj+0HXnm+NDT1noLixP9pTyGCTmHYacXQ+qq5y0Lh4Kv6ZjZXsaN3l0/cN/mqr/GvuVV/+xBuenY7npFjc961+3Va3HzRf/ezsL+l2Pfow0LrU/axcq1+Xk4zi1n7UuPzWe42rx0fNR3O39P4MKE+tt+wS88q325Fe7VcyMBCfqqt7bEhmJ94dGdn2frYerCVftY04wY71+0ztpkJND5RvxLo5KmwttB4+X0DNyR4ybKRZQ7/bsCu/si1f+Dhrq/rXxnebPsZGw9eodbGhjx+PV4eV7Izi17x65LoHg/n60OBX8qvDRfbplYPGZEP39IrXY6l5ztgi6zFp/+Db7SOnhrz70x6WDnKSX9mXTfXIk5O3Lu+V3R0u2Di7H+raeLxcd/PdmOtp3venz9dr1qCyqjLcV36z/VD1Z7KzdRd/GKvVZ3a1hlof6dNjw9eM+/rCQc+51Pyv8Osxcd2tneL39WTNiF9NnGoOmvdePjRW82Jc9vz5rHFIpvqs9uq9/KqXXfLRl+bO9spRzHRf7Wnv1XHdS092NO79jgx5SU45OlvsMQ4LmmTdD9ce745M1ed+th7EVONCh7h4RrzBhJhnbFz+o1zfVKgBgQXgS41rLTxjHVRfGIFnA1Td0aaQL/rqX3Mrv7LtC37GluJ3O4phFB8bv25A1+liI596OKHjh/0ofretmLoHgzlfG+79QOv8V9u6r3b8YZfMKF5ywu+K7WqNO/uV/YgrMa7sKw/1zgpdvljL2lZ2u7ixIS5cY6Nbj539oP1V4/J7t8N4XU+X1Tr5c+/z3TX2yHPVkEGWJj+jZ81trWRH/LDR8e/2TY3DGXX2xV16lTG+YehcPH/mV3tnx69z4rrGJT9n91e1z72z4R7bxOqt48687/uRTOVU791Pd018HdtOthvTfvNnQFyrfJe7ZDo7mlN/RKbmxL3HKJv0O/HuyLhNXc/Wo+4N6RAna+9t5N9lPuL1zYUaUHzxWRBtBEFlvn4hp4Y882cWpdsAO34lo0OTWM7aQo/4PSfl1tmcPajo1dh0L5veu32/dpl6PZOrDw1rg/z/144ZqEqywkD0///6cR5bUBTRdubOwh23hLu2GivJid0jq5iJ5aTBI22ZQ0dtFYfHgM3EVkxYyz/20CZ95cG6NPwMKDatpfYUi/aIlcb4VyyaO9Gd4ma/uEhDmt77Xn92m91+2WUu5M2+bHp3va5pM43JJdlMdpkD410NXGNlq/ynurM/fTI3nZvV2Vjp6wdWfl+9qEn3p36dEc/SVVwapx1jZ+PPk63PTeeHOT83Kz2d+/Tv+rk3x267evYL4cpmml+9AyuOfpZcb6Xzqg32OmvOl3l85O+s9E/iPbGRnve7enh9fc8Uq/zrrLr9zc8fuajp4AGPggCYdgpV+9nrTft9Lp+nA6B9u2JONu9qKSZeAD4+HDy1SVP5yib7jE3jtGPs+v482Wpu9WKwnmvUEl0az+S34+p22OaftLBbxZsxYJtsxWQXy6Tv7KWBfjat7fRzj7PSGvnjU+1Ed4qb/eIiDWl673v92W12+2VH3sROI/7p446+bLTvtCcX9j+1VQ55HnY6afuU/+RzOjers7HSF1PtIy4/G+SQZ8hjka72Z85az/n0m+vaJ12N046xx+PPk63m9N3IbwFjNNRWejr32K1scj7H8rHr2UOsrzT2rN6BFXd85Pu001E8JzaypScuaunNz7HP83wS74lN6jL2Gub6am3ixF7yyvcmNW8bf+SiBhQOkf502FXUPCwO0W04vNqLze6DIQ18Umhvrunz/ixtbNXe1dJ++tSdNHcvy6TB3PTSMe8f+8kXNtlWLwB2rscYW3TVeF59mGSTddT8xMa1ZZcxaN73n9R44pHsV1xP9BWX+mTFPHPO60SXuJ+4rOJ2dlP+xCSOinvVsx9evF/5YWRuinGllfOn+1c5oKc8/B1OPxqn7Yof9pNPPzdPNVytS0PxTu9JcvFYVrrKcbWefmWvPtkwv+Jzcr6kq37Kk7X0S678ZTvx6ZzYn+PUnMbknOd8stNc1krz3nvsmic2vgtqJzonNtJTn36Yxy8xrdpJvCc2qb/zO+ntYoXFLof0fcP4Yxc1YHDQ+ctDyJw31nlJaf5C5Yu7+vC4lu/3eYq585u+MpZTLXQ8X30UtX+KL21kq36KDR/ko488tnlgJ1/SzB4t7L2lHmv4TTtekmQrnSl2rdGzV7zQRcc/jl63J7ZuKx9os4828Uj20nCuik9r0qZ3fZ/XWrJinpzRUnvSfeIiX++eh5P3Ch+wUiyKXT2+xVlz2WMjlrkGg4lV2mEjdk/nwfc+2aoGU93dpzRX50br9H42kpuYe82wZ6xGzIydS8aiuLXnHb++l2f5TRYeK3b49h/IjC11V9pu98r3gH0rnzmfY/cpHZ/D3nNjjbF/m9yeZ/jAbteyxnmOTnVOfGUc8qW66gx6Tuj6O3oS74lNxqI84ewtz5Sv4SdronXmiT0beso3c0vbbxp/9KKmg+GFB4Y+LoDjT8WiT9iyFUSNsVMBtEaPBjZT873uF9vp4/SOlg4/+vrzOCdNcZpiXsXGvF4Q+UHb2+TL1/NZh32lhz0+0w/z2pMfKmxXL5f02EtTvF4n3/vEFg3fi67HKv3/nf35Z2KfXP387vRdl+cVK/mkV9vpKm63cS7SyLg9d2ykI3vvXdvPq9vwDFNsvU110XnwGJhzlq6Bptv6mj97DpPfVewntslPsbpPxaIaakzvDPPssY6OuFA/xeQxuw3PxECvxnPy/4Rf6dNP30Lmk4/HxfoUm+vKZjq7spMP2ZKb55d7Vz5zPsfyp959TLVTrWSfvdZVX+/x7U05ysbXTnRObFzTn3Vu5du/QdgxT3zedvHK7sRGtt5TT8VCn6zcFh9Z/1x3rdRjnLn5/m96fvmi9k3JNdYS+EYCTz8y35hTYy6BJwK/6dxzodldIp5y6XoJfJJAL2qfpFmtEvgAgd/0g/WBdCpRAkcEftO553/c8n+fjpKoUQn8BQK9qP0FqJUsgZ8Q+E0/WD/Jo3tL4BUCPfev0Krtv0SgF7V/qdrN9SsI9AfrK8rUID9MoOf+w0Ardw2BXtSuKWUTKYESKIESKIESuI1AL2q3VbT5lEAJlEAJlEAJXEOgF7VrStlESqAESqAESqAEbiPQi9ptFW0+JVACJVACJVAC1xDoRe2aUjaREiiBEiiBEiiB2wj0onZbRZtPCZRACZRACZTANQR6UbumlE2kBEqgBEqgBErgNgK9qN1W0eZTAiVQAiVQAiVwDYFe1K4pZRMpgRIogRIogRK4jUAvardVtPmUQAmUQAmUQAlcQ6AXtWtK2URKoARKoARKoARuI9CL2m0VbT4lUAIlUAIlUALXEOhF7ZpSNpESKIESKIESKIHbCPSidltFm08JlEAJlEAJlMA1BHpRu6aUTaQESqAESqAESuA2Av8BQdbtz+NjHJAAAAAASUVORK5CYII="/>
        <xdr:cNvSpPr>
          <a:spLocks noChangeAspect="1" noChangeArrowheads="1"/>
        </xdr:cNvSpPr>
      </xdr:nvSpPr>
      <xdr:spPr bwMode="auto">
        <a:xfrm>
          <a:off x="8465820" y="4587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49</xdr:row>
      <xdr:rowOff>0</xdr:rowOff>
    </xdr:from>
    <xdr:to>
      <xdr:col>14</xdr:col>
      <xdr:colOff>304800</xdr:colOff>
      <xdr:row>50</xdr:row>
      <xdr:rowOff>121920</xdr:rowOff>
    </xdr:to>
    <xdr:sp macro="" textlink="">
      <xdr:nvSpPr>
        <xdr:cNvPr id="2049" name="AutoShape 1" descr="data:image/png;base64,iVBORw0KGgoAAAANSUhEUgAAAmoAAAF3CAYAAAAVcmenAAAgAElEQVR4Aey9vY41ybWmd+6ApCtnZq6ApCF3ZhxpTPIK5uiYctjQBcyRI+80IE/AHGCMsdqQTAIyZKkBWRJoC2gCMmXwIj7h6dbb/X6rVvxk7ty79q56A6iOzIj1+0Rk5Kpd1V/93Ze0EAiBEAiBEAiBEAiBpyTwd08ZVYIKgRAIgRAIgRAIgRD4kkItmyAEQiAEQiAEQiAEnpRACrUnXZiEFQIhEAIhEAIhEAIp1LIHQiAEQiAEQiAEQuBJCaRQe9KFSVghEAIhEAIhEAIhkEIteyAEQiAEQiAEQiAEnpRACrUnXZiEFQIhEAIhEAIhEAIp1LIHQiAEQiAEQiAEQuBJCaRQe9KFSVghEAIhEAIhEAIhkEIteyAEQiAEQiAEQiAEnpRACrUnXZiEFQIhEAIhEAIhEAIp1LIHQuDJCHz77T99+c2vf/Xj1x//+IeniE7x0H///feHY0KHvL777rs3urfafmMwAy9BYLYnXiKBzSBffX8/43m0iX5L7BX24WWF2jff/Onnlwsb85//+T9uQYpQCITA1wSe8WC85WXz1x9++OpsqMXaLba/Jpe7VyGw2hOvksdOnK++v5/xPNrhviPzKvvwskLtX/3Lf/HVYfxv/82/3uEUmRAIgULgGQ/GW142fMfq+uTnzeeQTfv4BFZ74iMRePX9/Yzn0VX741X24SWF2p///OevDmJtzL/85S9X8YydEPg0BJ7xYNQzTX+mmPrHf/wPP54R/Cj3b3/721dreavtr4zl5mUIzPbEqyTBu488+GBi9Fy8+v6+93m0w/Ce++EV9uElhdrf//2//7lQ4yDWxgRAWgiEwDEC9z4Yj0Xzk7SeafrRC+mMXXTuaftsTNELgR0CO3t3R2bH13vJ3Ps8enU+j1iXmws1vjsWaH786Z+u/f53v31EDvERAh+KwL0PxjOw9IzTp1A7QzA6H5HAznOxI/PMbO59Hr06n0es3c2FGv/TgEDzPxTQ/PfVKNzSQiAE9gnc+2Dcj+QXST3j9CnUfuGSq89NYOe52JF5Zor3Po9enc8j1u7mQo2fzQu0ijL/P0BVvI2SkS69XgBsDLfLj1Nle2RnNc7/3cGPYvmUTz65Zqz+zoxsSU6xIee56XfwduVkl1jI0X9MjA1yJh7mR+2or5Edjd8Si2zAhYJ9lE/Hd1eHPeE5y2ftXUb7SDJ17sp1PLqnFBMx+q8M8M0Ne4vYzh6MxKJcWYuuuU/ka2NPywb7UU1j9OJbn1PkR89ppz+zrTn1Z55f6Y76Lib+j1Q/e7gmz24PY7faGO0txfBez9tZfqw1+9LPTfYq+0j7QLnRH5Gv7NxON1f32857gf3oe/6K58yfT4/Tr5FR83Exq7nMnh3ZObuG0p/1xHULJ84NzhN/dsib++5fgDjKkNiP+pjl63Pd+mi+m6trt7MPZe9sf1OhxsZRIjwAan7YMz465JCXPj0PVV1on6//W7/8rXr0iMNt+TVzxFyby7CRa2x66HblsL+KBVvEM8r1iK+aT72/NRbswW3GlnjFSf6P6KDrOctG7V2m+qtzj1jH0Z4ibi/2PTau0fP5UcFV8+d+h5WvFRxq80/IRy+b1XPaHcye52p9akyrfTpjXW35fY3Jufsc17DqzjGXI6/R3sLvKg9skcvo2cfGkWdHua78jvjNeBCr7w98HZWv7BQvvc+t9tuI1ywect75xsZj0vXRIuNILt2zg9+za6iYZ/2Kk89355GfGZ6rX9ez5ijDMz5mOfucxzk7m87uQ/d19vqmQs03ev3u3L8DGz1IBO2QdMhR2bOQvkGQ4+HqDstZ8sB1H9gkHhZe/pgn3mq76vk911pUH68xuxx+XZZ8kFeu3Pu87Ht+Pj/z5Trd9RWxdC8NHmTyYT9oD3geR3XQ9Zy7XBhzGfdX52bM3MZM7pY9VQ8oGMGKcd+PiqU7GEcMGPc9VDlUlvioe96/q2at1BQPveLUWnesql3Xr3HN5m5hrdhHvfslF+VW96/kyLM2zdF3HJTrez1vZ/nVfUpu5IA95ti39GpH5dFzduIkez6n/XbkvVDjufI5I1bsVx8w0rjn0+Vy5Nk5u4ZiOetrDmc4yQbrxDX7hPdrfR4YUzvK8IwP+Vr1vj6+buj53Jl9uPK9O39TocaiKhE/1HHuRRwP2KhJXz2L7K0ecGza3cbLwl9cvlFkQ/DxX+cVk3pka57Y0bz6Tq7GwiauLzPuPR741iYf6jtfVafeXxWLr/8oDpj65j+qg65ypR81l3F/yPsc16NYd+Qqu7pn8Odr6PNVlz1QW93vRws1Pxw53LzpmfRnoj5Pmqt7r7JZPad13vVn6+NzlZezVF4j1pqf9R4T1zVmdJ0nMvwUwVu10e2tmsfZZ//os1P9HuGnwpX82DddcxZH5bHn7Hzd6xxydW24d33fx+Ttc/d4zsTD/dQcOpmdXDzXW9ZQ/kd9tX2WE/vK+bs/f35GZ9kOw1t9eEz1eubf53bWbsSh+jx6f7pQY1MqiXqoEwQFjebp/aH2IF2m2yjI+gFVXz5uq16zuLLPAdo1wEqmbiSN0/MCY2N3bUfOYyGfka3KrRaGO766GH3silj8oITNaH3d7xkd32fkPmrOpR6YPnflOh7dU7vcdw63EQdnXPezihp9dwoXfwn73qvPojOsdhXL7Dl1/dn6+JzzOspaMc16j2n0zWR9mRGTN7cx2luex9ln39d193lzv0f5scbKzfeI5+7XR+XRlX16X/c6V/ei/I72m+c9433Lc6YYZjl0MkefHc/l6BrK/6h32/fixLo6oy4Wn6/7oJOvYzs+qo7fz/z73NF96D5uvT5dqPkmHz3I/iCxKbrmIEbVqB8CRwo1/zHOSG+2yB7bKEdy2pHzWGa2sKcXKnYrtx1fHWcfuyIWX//RBnafXJ/Rma2P23cu9WH3uRn7HTlnd3RPue4sDn8pjw52z92vKSw8D81RSGuca+0xP/z94K7PonTpia9rs+fU9Wfr43PO6yjrLr465jHVfF12FofbGK2p649k5E/rgl1/9s88O+73KD/kPTfWdsboqDz5un1f9zo38jvab573jPctz5nWa5ZDJ3P02fFcjq6h/I96t30FJ77RY88SJ2vje1mculg0R1/3QZU/66Pa8fuZf587ug/dx63Xpwq1+l2mJzO69heCB+3yo0UaPZBup7t2Pfczu3Y7LjdaJOR35DyW0QMn3zPZHV+yM+pn9qvOSHY0XvX9/owOe8Jzdnt+7TJ1H/nclevodmfXinM3f88ZnaPND0ix0EuJb55oHMyKWZ/u+sGtMfmWLL1sak79LL+Z/mjO7bnM7Fqx7PRuZ5QTdrwIqc+u2xjtLc+j6tc4R7Kj8arv967jcc6uXd/3g3T4NI8c6v5A76i8bNJX/rM5xej5OdfRuPTU41N+0DnTpN/lIHs7MqOYfdztzK7ld9W7bedX9VacmPcPZY7G5vJ1HyiWW33ITtfP/M/mZGuXo+TP9KcKNR36nsTOdf0xHgG73miRzoJwPfczu3aILjeK7R45eNz1AdqNyfOo1zP7u7JHbMjmGR24e86yVXuXqWs1m3M7O3Keg8vPruXDdeu6Sobec0bnaMO24pEffSKj75zdhwoMXsLo8cKtTfboK1/JzvKb6Y/m3J7LzK4Vy07vdkY5YceLWvGU/R0bnkfVlx31I9nRuPS63nU8ztl1tcNZ39lhr3Tn+RF5j6Pyn80pRo/LuY7GpafenwF0zrSdOHdkRjH7uNuZXe/m4badX9WfcfI5YuKbRGzxyRpztVaotrn3XNCp7Qof1abfz/zP5mRjl6Pkz/SnCjX/zolKmkBHXzr8SVgvCQ/0niAcIC8qFnz1dTQ25I/m0HFwv/6JCBvd244vl++uncvZWI7YUAxndOpDKlu1n3GZzbmdHTnP4eiect3Zweg/gkTnaOMFqlykr+dQRRk2JcMecB3/kZt8S5aeNenaLL+Z/mjO7R1l3cVXx0Z+q5zHUddtx4brv9fzdis/flxO7tpH5K1PZysv7nfkZ+xmc/LnXH1dRuPSU4+O/KBzpkmffvRc7MiMYvbxW9ew5ue2nV+Vm51HXgsQX2075/eKzxU+alx+P/M/m5ONXY6SP9MfLtT8d11IYrQ5FQwHk5LlIa9NczNbZ0H4g9htohpLvd+JDZ0dOd/sHHDdjw6wVfly723Hl8t311fE4mxZ11E+7v+MTuXRfRdfZeqe3GW2I+c5HN1T/izMXnK+37k+07CvfLwIc1s6APnGwPdE3XPoyBZ95SubHjecvM30R3O3sHbfo2v3W+OVzhV7y9meffadxZnn7eheVf61970Ev+55dJ2ZvPOve2o2J/uj/fbI52wnzh2ZUS6+7letofhdwckL97qG+PG9D4eurfhc4aPzq7GZ/9mc9Edrp/kr+sOFmoMH4KrVB9W/o0f3niDqIVs/nVLsFBndQ7AT224ONRb81eKGe/80jQ1Q225MVc/vr4il2iDumg8+2S96gM/oYMMfVIoLb5UZfORPcrvMduRqDkf2FHG5j27P+cGMbLcHlNesx7Z86SCp7PxZVtE2KiBli77yVRzyg0wtfGb6o7lbWCumWe9+2WO16Kh7q2PjNkZcah5nnv1q48zzdmSv4q9rMPGcxeyoPLbdTmU3m1Nco/3GO8b1u+fMnw9kzz5n7qe+2xSny9Q8JTPKpa77kTWU7VFPLB5bx2l1HvnZzHnijb3h8/jqmsfQMXQbZ310fjXm/uv6zOakP1o7zV/RHy7U/Dv1bmG7oGY69wbh3zXgiwOOzacvctBGqLHvxIbOrpy/GNGBC/ERi8fBHDF1h9+ur5pLvb8ilmqDmHnhkw95ad1985/RgY3nrTWUD62fZNzfkfWRPn214fxu2VP+UONHucCMa8Y8n7MvEH9ZyR7svfk3UZIht67tsPHcyMfbTH82dwtr999du1/lz16r+1dy3UtEc/SzPVP3/Zlnv9og5tXzdpYfa6m9SXFA7nDRM02+zKsdlUdvxm425z4lV/eb70XFWtdVa8488mea2+Aa3nz5s6YY6Ud7xOOtuZxdw5183K9zIoad80jf4ClHYhVnePh+QaZrK4ZX+Oj8akyx09f1mc1J3xnWtZPMrf2hQs0PdhLoDq4uoLrR/JOXR4CoL3r3qWs2S22ao68L6LK7cujUw9Z1dc3m1neq7odrydDPYqp63f2tsWCTjekxddc1zqM67Jf6wLsfXiR+X/3N5pzLrhw6Z/dU/ZTGfXKtQkHjZ18g9ZMP7HWFvx+SyFR24qN4ZjKzA2umP5u7hbViH/Xul2ehsvD50ScZLjNiJ//v9byd2au+lp6jrusZdVQeJrJFX9nN5sTTfdYX5KOes9FZ5vHcmgv5nllDcZr1t3LqPjVTvhR6/g0j411bMbzCR+dXY4qX/up9KB+39ocKNS+4usJmFEwt8PzQm0GSvdkDKZlVzwJQmfthzDW2OUDZsLXtxIbOrpzs88KEpb5jQV+xOBvJe3/Ul+t217fEInvY4CDxYop84F03/lkd1qf6cPszLrM5xUO/KyedM3sKXXLhcHJe7AWtvR9c7M+zzb8TxX7X/AXAmo3aDpvZczrTn80pnrOspd/11a/2MRyYW+1hbFYbnR8fe6/n7Sg/9iLrKRbiMTovj8qv2O1wne037D/qOeP94Wc5z7V/iHFFLuRzdA19382ub+XE+93frewZzhXsErPnP4pjxfAKHyPfHh/xepvNSW61DyV3S3+oULvFUXRDIARC4JkI7BzCzxRvYrmWgH/wQKGRFgLPSiCF2rOuTOIKgRC4K4EUanfF+9TG+bTHPy3kE520EHhWAinUnnVlElcIhMBdCaRQuyvedzXOj970qwQ1EH787D+qpGCjcEsLgWclkELtWVcmcYVACNyVQAq1u+J9V+P6vSF+X4yijd/75Mt/b1PrPyro3jWBOA8BI5BCzWDkMgRC4PMQ0Iuavv4S8eeh8DEzVaHma9xd50eeH3P9P1pWKdQ+2oomnxAIgS0C/uJOobaF7GWE+PEmn6BRsPnvorHmjPE/EiCTFgKvQCCF2iusUmIMgRAIgRAIgRD4lARSqH3KZU/SIRACIRACIRACr0AghdorrFJiDIEQCIEQCIEQ+JQEUqh9ymVP0iEQAiEQAiEQAq9AIIXaK6xSYgyBEAiBEAiBEPiUBFKofcplT9IhEAIhEAIhEAKvQCCF2iusUmIMgRAIgRAIgRD4lARSqH3KZU/SIRACIRACIRACr0AghdorrFJiDIEQCIEQCIEQ+JQEUqh9ymVP0iEQAiEQAiEQAq9AIIXaK6xSYgyBEAiBEAiBEPiUBO5aqL3639Ljb8UpB/4+XFoIhEAIhEAIhEAIPJJACrUJ7RRqEziZCoEQCIEQCIEQuDuBFGoTxCnUJnAyFQIhEAIhEAIhcHcCpwu1P//5z1/+8R//w5d/+2/+9Zfvv/++DVQ/NqQfybSKTzJ470Jth+GToNgK46Pls5V0hEIgBEIgBELgjgROF2o7RdiOzB1zu9n0vQu1V+dTAX+0fGp+uQ+BEAiBEAiBRxNIoTYhnkJtAqeZSqHWQMlQCIRACIRACNxAIIXaBF4KtQmcZiqFWgMlQyEQAiEQAiFwA4FDhZoXLv5S9mtk1Hxcv6PGPL/Xpjmu+d2mWfvrDz/8+Ptwv//db3/W45rfkfvb3/42U13OEdff//2//9nuv/qX/+LLN9/86Ue7nu/on+f4y1/+8vPv6iknevL653/+j2/8u02X92tniIGjPtwp+ZGPsyNHctaauDzXR3ifyaf6y30IhEAIhEAIhEBP4GGFGsWYF2hemHDdFTWE/N13332hsKjyumeOQuZMo4CRndqrYNN4V6gRs+ZHPTl7O1rYnPEhf7P8iLcWhOgd5X00H8WWPgRCIARCIARCYE3gUKHGJzC8mOvLmYJA4/4pjRcvKtIoeJDtioj66RjFndtAh0KC4kX2mOfToqq7Sr3moE/oGHfb8t8VarKBPNeKrebmRehRhmd8kLv0FL/YwZQ58qX3dob30XzcX65DIARCIARCIATmBA4Vam5KBQC9F2cjGeQoZLxx73Z8nsLLP0nzYkc2vKDq5iVX+2qbIqa2GltXqOGT4qZrXqx1uuh47iOGZ33gU/b5EXHX+BGnWmXS8Vzxlj/6UT7ylz4EQiAEQiAEQmBN4GGF2qhY8d+d8k94KBT04qdA6Jp/AjSy3+m57dmncTvFVmefMQoVxU/fNZ8/U9jMfOwUah6TMznL+9Z8PJ5ch0AIhEAIhEAIfPnysELNPy1z8F5QeKHmv+Dv4647K1Rcrl677dGnTej4p2qzQpDfkaPQIU7k/JMnFS81Bu41R78q1I76IBa3T1yjT/+IxZmc5e3+Vvl0PDIWAiEQAiEQAiHwNYGHFWqjF/eoUPNxLwBm11+nNr5z26OiBG0vBNGpjXn/RPBobC4/4nOLDy++5IsfJ5Nz/Z0+ZyLZVV95uPwon6qT+xAIgRAIgRAIgTGBFGrlF+odFcWGio9aqPkcMnyKRgHEJ2vM+adxzHdNtum7wuYKH8TRFWH1/5btZDy+7rrm5DJdPlU+9yEQAiEQAiEQAnMCL1Go8btivPhXX/NUf5n1omT2iZr/3lYt1PzTqu5/RqhF1i/ef7laFTZX+JA3/scBcvX/QYNPA9WcyVneq3zkK30IhEAIhEAIhMAegact1Cgq9OLvCqG99Hopfi9Ntr1YqdJevNRCzQue7tMjL/Lw1TXFQN/ZuMJH9cvvurlf/Rt0V/B2u10+NZbch0AIhEAIhEAIzAlcUqiNfkl958XtxZB/usUnQK4/+p8R+F2ro4Vc/bSr0/fChThmhRpFmTeKHy+y0O+a59cxdBtHffg/veG+4eV+VahdwdvtdvngW+vNp4VpIRACIRACIRACcwKnCzUvIrjmUyq+vKDwF/foExa9uJH1Qo2w/ZMv5vV7YMjxRYGlOOZpvp11v9W2/q9N2Wa+Fmr+Y0nmiZWY6NGr/5PB2wi+/Bw7+h3DW3wQr3hR5FI4EZ/Hxby3W3k7ry6f+injqPj2mHIdAiEQAiEQAp+ZwOlCjZc+BUb9YlzN584UatihGHM73TVFwdHGpzsqyDqb+PUca6HWfWomO9ilMNI9fdfcvsuK4S0+aiHq9rmmYNOnaR7bLbxX+aRQc9K5DoEQCIEQCIE1gdOFGqZ58Xqxw8vff+TlxcHZQg0/6PLpUv3EhmKEGCi6zjT0KC7qp0z6pMcLj1qo4Y9Cx+MiPgod7BKz5z+Kb8XwrA9yIOYzzG7hPcsHLiog4ZYWAiEQAiEQAiEwJ3BToTY3ndkQCIEQCIEQCIEQCIFbCKRQu4VedEMgBEIgBEIgBELgjgRSqN0RbkyHQAiEQAiEQAiEwC0EUqjdQi+6IRACIRACIRACIXBHAinU7gg3pkMgBEIgBEIgBELgFgIp1G6hF90QCIEQCIEQCIEQuCOBFGp3hBvTIRACIRACIRACIXALgRRqt9CLbgiEQAiEQAiEQAjckUAKtTvCjekQCIEQCIEQCIEQuIVACrVb6EU3BEIgBEIgBEIgBO5IIIXaHeHGdAiEQAiEQAiEQAjcQiCF2i30ohsCIRACIRACIRACdySQQu2OcGM6BEIgBEIgBEIgBG4hkELtFnrRDYEQCIEQCIEQCIE7Ekihdke4MR0CIRACIRACIRACtxBIoXYLveiGQAiEQAiEQAiEwB0JpFC7I9yYDoEQCIEQCIEQCIFbCKRQu4VedEMgBEIgBEIgBELgjgRSqN0RbkyHQAiEQAiEQAiEwC0EUqjdQi+6IRACIRACIRACIXBHAinU7gg3pkMgBEIgBEIgBELgFgIp1G6hF90QCIEQCIEQCIEQuCOBFGp3hBvTIRACIRACIRACIXALgRRqt9CLbgiEQAiEQAiEQAjckUAKtTvCjekQCIEQCIEQCIEQuIVACrVb6EU3BEIgBEIgBEIgBO5IIIXaHeHGdAiEQAiEQAiEQAjcQiCF2i30ohsCIRACIRACIRACdySQQu2OcGM6BEIgBEIgBEIgBG4h8K6F2vfff//lN7/+1Y9f33333S15DHX/+Mc/fPnmmz8N50cTR2PDx+9/99ufzZ31+7OBL1++/PWHH35kQ58WAiEQAiEQAiHw+QgcLtS+/faffi6uVGTRn2no3atAUzxnC6ajsaVQE/H0IRACIRACIRACVxE4VahR/HijSDlarD3q06IzhdoVsZ3x60y5viKOajP3IRACIRACIRACr0PgkkKNdCnU+HHhbtOPFu/9Y70zBdMVsZ3xW9mlUKtEch8CIRACIRACn4vAJYXaqKDgx5oUcPrSjzn1CZzG6WkqbjTPj1nVRraYl3/Zw46abNYf2Wq+9vItW4qt+tC49OVndM/4LAfma4y1YMSnM5Gv9CEQAiEQAiEQAh+TwCWFWi1SQEVB4b9cr0JHn7rVIgQd7FCMqKAT8pWtquPFjGz6GHExPmpdbOgrdvQo6NwG14yp1ftVDszX4o84GYMdjWvPQ77Sh0AIhEAIhEAIfEwCpwo1Cgb/8gJGmLzA0BiFjIqZrhiiuPHiR3ozWyoAVcxIR31nk0LQi0jJqu9i05x6yei+Fmb1fpYDNpivBap8jHKT7/QhEAIhEAIhEAIfk8CpQs2Lqa4QUoFB8VG/pCsZL0JqcQNyyVU73MsWvd/7UnU29SNIl/Nr+fTYmNenXh6L9Kofv5c919M1cpqv/rhHro7LZ/oQCIEQCIEQCIGPTeDmQg08FBP+adCo8HCUnYwXN5Lt5DRXe/2oUJ/aMd/ZPFOokSO21BSX7qsfv5fsqODSvGypT6EmEulDIARCIARC4HMSuKRQ0ydNQqgCgwJk1FScePHixY30dmxJlr7a7WweLdRk0/1UG9WP369yGM3LhzPyGHIdAiEQAiEQAiHwsQlcUqiBiE+z/JMsrvkUyhsFnYo3FT9ehHhx43ozW9jxX7BXcSP9zmaVkaz6Gpvu6dXIzfOrfur9LAdsIu/2VLwxJkZce66KJX0IhEAIhEAIhMDHJHBZoabih15NxQkFBl8UI2oqflSEMF6LG8nSj2x5QSM/K5uK1e37dRebPjWUD8lIr8Ze72c5uA3Zp/BVbsqHuRRqopU+BEIgBEIgBD4+gcOF2sdHkgxDIARCIARCIARC4DkIpFB7jnVIFCEQAiEQAiEQAiHwhkAKtTdIMhACIRACIRACIRACz0EghdpzrEOiCIEQCIEQCIEQCIE3BFKovUGSgRAIgRAIgRAIgRB4DgIp1J5jHRJFCIRACIRACIRACLwhkELtDZIMhEAIhEAIhEAIhMBzEEih9hzrkChCIARCIARCIARC4A2BFGpvkGQgBEIgBEIgBEIgBJ6DQAq151iHRBECIRACIRACIRACbwikUHuDJAMhEAIhEAIhEAIh8BwEUqg9xzokihAIgRAIgRAIgRB4QyCF2hskGQiBEAiBEAiBEAiB5yCQQu051iFRhEAIhEAIhEAIhMAbAinU3iDJQAiEQAiEQAiEQAg8B4EUas+xDokiBEIgBEIgBEIgBN4QSKH2BkkGQiAEQiAEQiAEQuA5CKRQe451SBQhEAIhEAIhEAIh8IZACrU3SDIQAiEQAiEQAiEQAs9BIIXac6xDogiBEAiBEAiBEAiBNwRSqL1BkoEQCIEQCIEQCIEQeA4CKdSeYx0SRQiEQAiEQAiEQAi8IZBC7Q2SDIRACIRACIRACITAcxBIofYc65AoQiAEQiAEQiAEQuANgRRqb5BkIARCIARCIARCIASeg0AKtedYh0QRAiEQAiEQAiEQAm8IpFB7gyQDIRACIRACIRACIfAcBFKoPcc6JIoQCIEQCIEQCIEQeEMghdobJBkIgRAIgRAIgRAIgecgkELtOdYhUYRACIRACIRACITAGwIp1N4gyUAIhEAIhEAIhEAIPAeBFGrPsQ6JIgRCIARCIARCIATeEG+yvjIAACAASURBVHjZQu1/+R//yy//63/6w5uEMhACIvDHP/7hyzff/Em3D+m///77L7/59a9+/Pruu++WPonv97/77c9yV8T81x9++NE//bO2o5zO5HEFyzN+oxMCIRACVxI4XKjNCiQKJy+e/vf/+b/9gry3//f/+T++/E//3d99+c///X/hw+01ush2bRZHJ//sY7Ai1/r17HGfiU97wHNlbLd1+6rTfY8XNUXaToGmeD9roXaUk3gd6d9j/Y/EF9kQCIEQ2CHQV0ETzVmBtFOo8XL2Ym7kSi9z/P1f/9v/8EZsFscb4RcY6IoPOMHrmdr//X/+55tjYu28MFORuspTPGCCjVV79Iv6ik+yroh5FYc+zVrxu9f8Kr6r/F7B8qpYYicEQiAEzhI4XAXMCqRVocanaDsvWJLh5Y09irROZxbHWRjvqdcVasRDUUJx9CztikKty4U8u4JcsvJLgce+6PaEZNU/+kWtAuiWHzleEfOqEFKc4vToXv5v4bQT8xUsd/xEJgRCIATuSeBhhRov1p2Xq5KlqOPlrE/WarGiQo2XOy95fbmcdDVX/VddLxRkX5/2YKP7ca0KiM7HzL7yVN8Vaoqf3tvMruKuMs4FW3W+5iY7+hRLhbPyVF9jQ4+v2rCPjVHDHjHttKOF2rff/tPPvzfGj9y8qajR75Wt5nn5d40fYboN2VnZr8VEvccXP0p12/VHqzW/WSHUxamCqfrx353rclasskkcatWWYpas54POGVvoVb7YUZPNykfz6UMgBELgFQg8pFDjxVoLgRkcFT+SUdGge3rGeLljW01FlYqH+vL3QoFrj0lFkQoa2Xcd5N2fih3pEIfkV/YVs3rka4HT5b2yq7g9TnRgIS71nhiQR0ZNdmrxVNdG8uq7+W5M8vSaV3w+110Ta2XVyfGipiDwAoLiw1/mzFHYqFFI+Dz6KjKQcVvSUd8VSCv7KiZko96j7wWTChPFzDwxekOeMRVgPse14vRx2XEdFVUu59fEWvkwv4pZ/t3XWVvVP77VZNPH6vpLNn0IhEAIPCuBX97MmxF2xYNUeYF2BUItmCQ/6qsdFUQuTxzdy1qf3KjwGr38vXCRXffb2ScOL+5mea3sy6d6FU/o6YsCpraV3S5ubIgL19ioBZhkND6yo6KqxuX3+JIdxp2ry3GtdSL/3Ya9bu2rPi9qvrxRdHnh43Ncq4jgWkWRFxRV3u+lO5OXjPSIj4JIrd53BRfy0qmFCnbkYxSH5uWTvrPDOKy8UHWdjq9sVd8es/y7zBlb6Hd8FGNnc7X+0k0fAiEQAs9C4O6FGi9UXtoUB13h0YHoZGtxgV1e2LV5UYAMevWlrmKDufol2c6+8sCnbHSFoOaq7S4WxU+hIt+Mce337nNmt4sbXXFRbPLrvev6tcvM9CVXcyFe9GpTcepFXZXp7o8UaipoZIcXNS93b/o0iXF9aZ6XPWP0q9YVIOis7HuM+NG97Ckm75HTvBc8+FsVMNJTPvVe4/Qej4+P5mTLY9W1GErG4+78SE763ssWPeO69xg7m936u06uQyAEQuDZCBwu1PTC7xKpc/7C1ku5K2zcluRmxQjyo0KixoAsn/Bgjzmaio1ZLJ39rlD70WD5z479ovLjj0zx6Y2YvYjZsdvFjU1xkQ33o2vX9WvN08/0JadPybgnfv8UUjLYJ78zjVzQX7WdF3V9yas4qLb140QVUXWee+l6AbKyX2P0+86e+9W8j3H9DIWaM6jxKW6X8bwl38lprvbd+nQ2U6hVcrkPgRB4dgKH35QUUt2Ll0Trj7y8UGN+5+WMDfRqU4Gg4gpb3cu6xiA7rq9CgrFRw7YKO8l4ocYYhUZnY8e+bKqvrBhnzIuZHbs7XEZxO7suf2ISR8U96tGHFwy92ER+t9Aa2d7VX72oVQi4n9mLXPJeYLhunde9y1T7NUa/V8GFna6N5uVjFafbpKDs/Kx+9FkL11FM7ktcPD7PW7I7tiRLX+12NsXG9XIdAiEQAs9M4HChRjK86HkRe+PlyYveW1d8IOPFh8urCFAx5nNco6siDv/Y8SKAGGQbW5JFtxZZLis/yKvw6gqVkQ2PVz5X9uVTPXqVKXPkjC21ld0VF+zgC04eN3Z9/br80d0pFpGDlWJR7OrxLc4aqz0yYlnniLVjVeVWL2q92L1AoWDhi8a4/yL66iUveypAdD+yj48aY72nEFI8yo+YZBN5n1dxw5jikJ56ycgG4/rxrOvgm0Jt1GqsklvFLC7u64wt7MzWp7NZ1xBObkM5pA+BEAiBZyFwqlAjeBVcvFD56l6co+JDOvVljQ0vFiokFRiMI8sLW4ULNl1XBYV80Xthgg3XZd5zkH2PoRZqzCkm+fHiYmbf7cqO+9e8fNKrzewqbpdxLrJR466+ZUfy3rvtytTlYIKst25dxM5jYMxZug1suqzP+fXOi1oFCi9svlREYEcFjebovbhwX1xL12Vm9tGpMdZ7ZFT4KA5kvHGvOQorxe1xuHy1Kbkaa/VTbXSxSmYWc8fpjC3lqdzr+nQ2U6hphdKHQAi8CoHThdqrJPjZ4pwVWJ+NRfINgRAIgRAIgVcncKhQ0ycf6d/+36Jh8r5MXv1BTPwhEAIhEAIh0BE4VKh1BjL2XATyidpzrUeiCYEQCIEQCIFbCKRQu4XeE+qmUHvCRUlIIRACIRACIXCSQAq1k+CiFgIhEAIhEAIhEAL3JpBC7d6EYz8EQiAEQiAEQiAEThJIoXYSXNRCIARCIARCIARC4N4EUqjdm3Dsh0AIhEAIhEAIhMBJAinUToKLWgiEQAiEQAiEQAjcm0AKtXsTjv0QCIEQCIEQCIEQOEng4YVa/fuB3Z95OZnLJWr6szT6szqXGC1G3pPBPXjfw2ZBdtmt/nwRf26IPyd0j/ZKPO6R/8rm0TW4x/Oyes6zhv0qHl273sqx0br+x7SfQ/oZ99NH4PqI1d1Zu3uzPFyo1b8HqL+zxwO802pCOxB27F4lszrAr/BzLwaw1Hp0Pbndg/c9bF7BubNxzwJN/l6Jh2J+ZH90De7xvKye86xhvyOOrl1v5dhoXf9j2s8h/Yz76SNwvXV1WZfuXamx3XfmvVmeKtRI7qr2bBt4dYDXvPUdZh0/cn8PBhTU/IHu2u7h60qbV/CsOev+6NpK72h/JQ/57rh0Y5J/j34nnivW4Aq+qziu8PEea3BPnytm9/R91PbOXjxq8xb57Kdb6D1G95HvzKMZpVArxI4eRlccCPd4iB+56a6M/wqeZUl/vpVt1vie7UoeilOx656+G/P5R1/vxCOZW9bgCr6r5/wKH4/mf29/V6zdvWOUfcWq+/fus5/eewXW/h/5zlxH87XE5YWaDkB9dEjvrW7Yes+nQPV3hwCInJp0+LgR+8yroeu+qy3JqUfX5fWA+4tkZFP+XR+9WxlUfc+95qs8ar/adDXvqj/Kucpxr/XQXI2fmL3VeeU34um6XMuf5HfWX7K+VmdtoTfKwW2uGCOrVu05sy72f/iH/+arfYs8Nmiztavs0BM/5sRHY4pPetU2zwuti1HxyEYnw9wsd+blW3bqPeM1Lu691bXonnOXl49qV/lKts5Xv/IjrtilrXLeOQerDdnejU1y6msu/on8aO2kq77GRN7exNXXw/24rK6lU+9HNrpYiYtWc/T1kh/p6xnQ+MgfdnfzVg61r/r49HY0bvSrDezBuublfkb7FZlZDG5D1zN5MR2xruOd/7pvRjYVz6qHS7WJjuz6+o/29crH2fnLCzWS8cMM4L5hlLQCrveA8ocHOWxWG4Dq5By0Nr/HI7+yW4Gjz5ge7Lp41aY2drXrPo8yqLkRgxpzfq/x2te4NQ/HaoOcnW/VrTnLlvq6hujP8p/l1/GUH/XK4ej6y7bWFntnbc1ykE1fp8pYuahfMVPskqfvxlZrp9jETjaIj2u3q3vGpMdeVsMXHMRTtjTf9ZKRDjKr3PHtfuv9KmfF6fHU59znuN7Jd+UXxvBxjujQ6H28nhHEpzVSbOgQl9psD65ikw31yPtaMk5MjKl1a6c59au8xBU5NXL19dW4+rreOzYUq2zQr5jIbuWu8VnMO3nPcrxlLRWfx93lX8fQ85hW+5V1Ulu9E25l7blo7Vb7s+OgeHf6GrN0ZLeuP+NqlaXGr+pPFWoA8y9fwBrYanPUBHcOKHQcknzWhWScjeibUbL0yNcNoXj1IlnZlLzbrddVpubs93oA5L/a2r2fbbrKDga+hqucawwef53j3vNf5eeynS3G8FdzYHwVt2w72zO2Vjl0NivjUW4aV6yje8arDGMrBl1srH3lWZ/DTg9/yOkA6+JR/Ool42ugOfWS0T2+/Rmu96ucmV895/KlfiffM35lv/Y158ofeTgTF221B1exVf8dI2Q8DsU4W7tqVzoa77iuno263js2ql/8r5h0dtHrxlcxV/81B/Ggv3Utu/iw62vHfX0X1phGewDdFTtkvK3kRzGPxkexeY4jXY9rdn3LO7OynPk5M3eqUCOoWSNhwPqX5GtC9d7BS8cPKMaqDmN6MNynrrt4JV8PHX9oJCM73sumZBSr+lsYYBtf8iGbR/rZpvOXHjY5dPBHUz6eq65H8TBeba7yH+Un/7NcO3/SU6zeK27J+JqftYXeKIfOpjMe5TZjpthdt47p3nPXtRh0sTGGb288hz7W6SHvh7/8u516LRlfA2RmuVfffi97ytN75DRf/flzXmPk3n34vPKVXfen65lftzXLefccxCf+vK1ic1muJV/HuXcOkqssq94sL7cnvdWzUXXqPXaqDcUqH7rXGnmPPVpndzRe/SF3NO8fnf7//8H32bUcxU08yg032IeDmuuJT7e2mnNmunb7srsj776lR9+Ny57L6drl/VrzR3p48dzV1tmt69/JVDu33F9eqNXNViHXhOr97gFVCwP56TZaB0jydc4PcMnMbErG7dzKQLZgga2aq+Zn/dlNp3xmOVe/dQ1X+Uu/y0/+JdP11R8y0pvF3cmctaW4uhw6m/XBlr76FTPFLnn6Oqb7GYMuNsbYL97Iy8c6PeRVuHTxuD1ddzGucq++/b6zJ1+zmGCE3xEr9+H2lO9Zv7K1yhn+7BlvrAdx1Vb34Cq2qi/5Os69c5DciBnyq7zcnvytno2qU++xU20oVvnQ/Sz2zi763Xj1dyZvxeb9mbXs4sOm9jjXxIttb64nPj6va83N2EmWfkfefbtuNy57Lqdrl/drzR/pz74z8XGr71WclxZqHdC6oWtC9Z7N5C8IEuBwRE6t6jCuTUkMO20kr3iZH8m4/ZpzvUdWNqVX46/3kqOXPWI50s5uup2caxwev+J1mZq/z0le+eneZeq1+9PcTtyyLV/onrUlv/TVbmdzh4HbrPLy4TJ1bIdBFxtj9ZmrzyEyfNWGHLHSajxV1mW0Bp1Ozb3G7PernEfz8qE4aqyrfEd23Q4vb/KrbSfnyh8b9Rx0u7JJXDuxuS7Xo1i79R0xUwxuW5w15munsSqjcfVVp94jV23UWHaYdHax3Y27v+qri6ezofxqL3u7azmzzRyxsnfovVW90R7YYed2d+Srb+mPxkex+f4c6cr2qj/7zsTurb5Xsd2lUGOjqQGYL7WaUL0Hlstr0yKnVnU0zmZ0Xcax5/FIlh47Lq8NxhjXtJVN6ciH4tU9NrDnfmr8fo+evzT9QJAtn/8xyOY/yLCJa3Nfmqs+VjlLT73bXOW/yq/ylA/v3Z+Pr+JWbFpbdM/YWuXQ2ayMPW7FRa9W90zHpRtbMehiY6zuqVooIENMfthXX108yke9ctUa6H6We4253tc48EU+sqnYFYPiJB/FoTn10pnlu/KrefehuPCt+PBZ1xs5xtTEibho3Pua1f0l39Knl28f07X8eazY8DNEMbiM9Ok1T69W86prh1yNXbrqq06972wQY2W8YtLZxXY37jGfzVv5oX/LWnbxyTZxMu97SXNVT3x8fRWX5qRLP9tPK/nqW3ZH4zv7c6RL7spDfroeGd/vkuns+voj18lI/4r+0kKNgARUD6g2sYKtCdV75BiTPtfYpFfrdDSnDeL6mut698Ui6QH3zbqy6fPo3cJA/hU/vcfCPfZXDZmzmw7bnhM+nX/1Xddjlv8qv+rbc5ff6k/jVbfGrb3oNs/YWuXQ2awPtsfM9YyZZH1NlMNqrDLoYmOs7in2jo9Jz/11+8vnFaPip+/WYJW7fMtOvWfc/dacmUeHcb5Gz7nsSx6bbneVb+e35iamdVxcagyKmfjRoaet9iAyHnsXm/viusYkX5JTjN26SqbakI7msUlc3lbPRtWp99jqbHj+itnHKpPOLra78ervTN5icOtadvHJNj15VuajvGoe3KvN2EnG+5n8KObROHZrbMh6G+mSv+fhOn6NTPeMd3br+ncybvvW68OF2q0Oox8CIfB6BO59EL0ekUQcAiEQAo8hkELtMZzjJQRemkAKtZdevgQfAiHwwgRSqL3w4iX0EHgUgRRqjyIdPyEQAiHwNYEUal/zyF0IhEBDIIVaAyVDIRACIfAAAinUHgA5LkIgBEIgBEIgBELgDIEUameoRScEQiAEQiAEQiAEHkAghdoDIMdFCIRACIRACIRACJwhkELtDLXohEAIhEAIhEAIhMADCKRQewDkuAiBEAiBEAiBEAiBMwRSqJ2hFp0QCIEQCIEQCIEQeACBuxZq/AmJ7k8yPCCvS1zUf5Kg3l/i5EWMvNdavpffq5ZFf0KHP2PCnx1Ju4bAFfviMzzP+vNE+hNKt9Kv3CvDen+rv6v1d+KrOV4dQ+yFwFECKdQmxOpDXe8nqh9u6r0Or/fye2YB+Vtx7BFvKdCcxnXXV+yLz/A8p1D7es/trPkVe+trr7kLgdsI3LVQuy2099euD3W9v3eE+jTm3n7ey/5Hy68Wale/JK9cp4/G/gybo8/zKzK7ZQ/u5FsZ1vsz63KVThf/M8V3VZ6x8+VLt9a3cLna3i2xoJtCbUKwPtT1fqJ6ydSzbZZLkjIjHy2/Wqgpv6t+7GTobr5UbDcbemEDR5/nV2SWQu1XX+3Qo2v+lXJunpbA1c/m1fZuBXe4UNODz490+GLjj1p9KI7o8rtt9Xd66otwZu+MPvl4q/H7Pdd81YZfPjrvWo23+nMdbIixevQVg+ZhQlvZlh7ysld/f7Da8Pyk7zGyPrJF7+sl+ZE/xe/6+K9NdjQ+i3E2t7Mf8DHLSTGMet+fXX5Vj9z4qq3uoRpTXbfd3OSniw12Yq155bMTo2zT13VgjWvzfcG8DkZ0d2woVtnVvdutnCSrXjq6n8UtJt1+revTPQfSJ76uzXwjr1hX+fl8x7X6rn7xQ1O8NV/FITure8mpH/nT/IwlMqt52VnFXzlJj77mtIq503X/WnPsiqfGXHeW2yyGI3P4r62yqM8i8rPYqr3uXjaVPyzUqu363Go9PE6XcdayD5PKpcu9i2tkT/Gqr/Y9J8lc1R8u1EgWsGrdhtOcAOv+iO7Oy2dmb0ef2FkoNRbIYdf4/V4LLF16LRx911b+qk7ngxhq3uitbEvP1wtG5KxW7bqs5y5//rAod/Hc8dflp1jUV7+zGGdzu/thlpNiGvXwIl415TfaD5qXPL04Sgeb5KV7ZHSQSG8nN8mq73xrzfz57uRqjLKpnpjRU6vPlXLSPD05ep4rG3VfKHb01ODi+1vj6quNlc+OBTqzPaO4nKn8e7/yLTuz/JiDoTdic64+xzVzHpvb7/KtzFb3R/zhe8ZyNV99jeInZ88Tn+ShVnOaMZKOenRdXjHgg2uaxnTP2Co3tyn5H40t1hC77ufsszhbF8Ux6tlfxO9xiD89c7PzTUylgx/i8WdbTD2GVe6zuDp7bpvr2ZpU2VvvDxVqqwO6BuMb/qguC+EHCLYBj03ayt5Kv8bKfV0cj5/5el99eHyd/TpW/e3ME4MYVHm/r7Y7PfiSA23Fs+ZeHy5s8ODo4Vn5Q77G+GMg5T/udxbjbA6Tda0Yq+u1yqmE9ua22lN+xDZqNa5qox4GsuN6fq35akfj6hWb7um7NWO82l/ZdptcV19dTpIZsdK8bPu+YKyL3fe39LyvNnyO6+qz3iOz2jNdXNVPd199dXZqfke5rp6ZGgNxVmare89t5W/FcjXvvrgexU/M3ipHz2kVs9vhGt1qn+enG8Ov2iy3WQyzOdn2vjLZ2TOz2Nz26LrzIdnRnJ85HdO6ZjUv2fe+yox8o1Nl3Q7XR7lX/aP3hwo1jAONBOvG6xwjoxf3UV1fKNmuL4hZLDv62MUm+fiX/HXxez41HnyywLM281f1us1SY3Kdme1Oj81O3moznq6vuJyZrpGjubzsV3+yo/mur3a4x5f8uM5sbrUfFIvy8L7z5X51XfeDbPJQj1rV8T0k/U6XmLQXV7l1+p1tt+k6sxhdzq9He1F+K5Pu4BvZwE+Ntd4jU/ebx9fZYGzmU7HLju59r+iaeEY+pF/7me9Vfoplh6v7xS4xK16fk00fq3Gs7l2X65E/+RI/79FZzVc/3EvH52q8zNV9UmVGMbtdXVddxhljbb3xzGpMcXrOukZXNhjTvdtibDSH3Ghfye9sz0hG8XjfxeJxcS396sPnqg732Nb55teSrWsmP5pXfzR36Y3saZ5+xd1lb70+XKjJIRuNRRNMjXvfAWZ+R/fIy6ezt6NfN3ddnBp/vdfLhZzQxeesrfxV3RoP8zUG6axsd3p1s8tWx9P1FVf38MmGy2us+pMdzXd9Zwe5Lkbpd3OM4d8bDzH2aYpllpPrdtdub9fmbA8pps6Xc1nl1ul3tt2m68xidDldz/Zi5xc9+RD/mQ3ka6z1Hpm63xSf+qqz8llj171ill3vqw+f8+uV786O56dY3CbXlWud1333zHQ2axyre9mvffUnXyOWq/lqn3vp+FyNlznnyH0nw3iN2e3qutNljLPBG7Y0pjhHuVc99kr33u3im+0r+XX7XPuekcxObNUO99I/Oucc/Vp26pp1fs7kLvudPc3VvuNeZW69P12o4VjJjBaxA6yAV7q+kaXD5sRm16q9lb7k3VZd/Bp/vUeXMfR46PTguU1d7/iTrPpOp4uhk1vlgo8qI7/0sqm1db96kJEZNZeXTPUnH5rv+s6O5KSvGDVOX+dW+2EnJ7ffXbP+xKtWY9B47dEZ7SEOG+zURj7o0Fa5VV3uFZvPzVjPYnQbnV1f9xFnyTC/soG/Gmu9R0Y2PT6/dp0dn1VmlMvIh4/7dbXLXI3dY5Wuy4xikQzzq6Y4JKt716txrO5dt17LPv5G8UtnNS8572Xfx2q8zImR5DoZzcmmGGlcfafLWH03+DN7NLdZDD6na8VG77mO/EqG+ZGM21xdj84w9EZzfr51TBWjfNdc6z1yVWfkG9lOX766XvLwukc7VKgRjG+4mngN0AEf1cUPINUEApu0lb0d/bpQ3LtPjx+f9Z4xGDDOxpotkuKnV6v+NK6+e0i6GHZsd3q+fiueVZ+i2VkRM8yVX5Vn3v1x3+Wn3NW7nVmMszlsrfYDMqucyBc7o8Yc8aoREzqzfYHsbA8pbrdBnOw3NcnoXn49Fs2p79g7a8mpn8UoGXr5pler+xw/vncUi1jt2oCDWhd73W+SVe86Oz4Vp+e22jPuQ35rv+O7s1PzQ2bGtfPr+7na6/Ktcazu3Sd5zvytWK7m3RfXO/EjV/P2nFYxV5+uqznGPG/GvVDjfpbbLIbVHPsBGTXufY8Qm9+LGWNcr2Jj3osq+fFeuckec+JB776YQ97Pt45pXTPFrVzpsat77HLPl9osrmpPOuqxqxwYq/FI7qr+UKGm4JUwvcOvQTngo7rY0ibCD9eAoaft2JvpY0ObRPlocX900BRm2GNxa1N8dbzer/xVee61mcR6FMPKdqfnm2vFs9P32CqDTt79KVe30e0ltzOLcTYnX9jSWnPt+0kyHk/NiXt0Rq3a037q8qo2qi+fr2tL7LXt5FZ1PFdixAZjozaL0XVqvOLgMh4vh7LWT6xWNmqs9R5f3X6rMXi+K5/oVmZ1rDLq4vIYdL3y3dnp8kOOGPjquMofvZhLnl78JVfzrXGs7mXnjD/iwb43j6ebd1muXZ7carzIVI4us8PIfbquxhljfb2xNnXMY/XcZjHM5vC32lfIEB/++BrtmVVsnlt3XePw3Osc8XjrmNY1Q95jhEu1251DVcbjqvY8phV3l73i+lChdoXDj2iDzc3GSQuBswReYQ/dM0YdohyAaSEQAu9H4MizyHuvFlbvF/nH9ZxC7ca1ZVPzAksLgbMEXmEP3TtGvpPNc3R2B0UvBK4jcORZ5FOnfEhxHfuRpRRqIzKb43w34R+XbqpFLAR+JvAKe+jKGLHln5zpO/gc+D9viVyEwEMI5Fl8COabnaRQO4lQP7+mTwuBMwReYQ/dI0a+sdHvxKinWEsLgRB4LIE8i4/lfdZbCrWz5KIXAiEQAiEQAiEQAncmkELtzoBjPgRCIARCIARCIATOEkihdpZc9EIgBEIgBEIgBELgzgRSqN0ZcMyHQAiEQAiEQAiEwFkCKdTOkoteCIRACIRACIRACNyZQAq1OwOO+RAIgRAIgRAIgRA4SyCF2lly0QuBEAiBEAiBEAiBOxNIoXZnwDEfAiEQAiEQAiEQAmcJfNhCTf/a+Vkw0QuBEAiBEAiBEAiB9yaQQu29VyD+QyAEQiAEQiAEQmBA4HChxh9Orn+Tjz9Dwd8MU+OaPz2DnP5EDL3/mZgdGexVG/UPN8uO/tQNsejaffvfFlSc6UMgBEIgBEIgBELgmQncrVCjSKJgUtPfFFPBRIG1kqk62FIRJruyU4vH/OhThNKHQAiEQAiEQAi8KoG7FWoUULXxaRjFF435lQyFXC3A0PVP9UZ2UqhV+rkPgRAIgRAIgRB4NQJ3K9T80zRBYUzjFFi61jy9ZGaFluv6tduZ6btcrkMgBEIgBEIgBELgWQmkUHvW1wA1ZwAAIABJREFUlUlcIRACIRACIRACn57AqUJNP74UPT4F45MtNa79XuM7P7J0GX70ySdjtblMPlGrdHIfAiEQAiEQAiHwUQgcLtT0C/4CoB8xemHGdf39Moo5xtR2ZORL/wMCutihUFMbFWro1EKP+1pkyk76EAiBEAiBEAiBEHg2AocLNRJQkUXhwzXFD72aiicVZ8h5cSUbzM9kkFOxhg35kx+342O6dtsq3FKoiU76EAiBEAiBEAiBZydwqlBbJaVCbSa3IzPTz1wIhEAIhEAIhEAIfHQCKdQ++gonvxAIgRAIgRAIgZclkELtZZcugYdACIRACIRACHx0AinUPvoKJ78QCIEQCIEQCIGXJXCXQu1laSTwEAiBEAiBEAiBEHgiAinUnmgxEkoIhEAIhEAIhEAIOIEUak4j1yEQAiEQAiEQAiHwRARSqD3RYiSUEAiBEAiBEAiBEHACKdScRq5DIARCIARCIARC4IkIpFB7osVIKCEQAiEQAiEQAiHgBFKoOY1ch0AIhEAIhEAIhMATEUih9kSLkVBCIARCIARCIARCwAmkUHMauQ6BEAiBEAiBEAiBJyKQQu2JFiOhhEAIhEAIhEAIhIATSKHmNHIdAiEQAiEQAiEQAk9EIIXaEy1GQgmBEAiBEAiBEAgBJ5BCzWnkOgRCIARCIARCIASeiEAKtSdajIQSAiEQAiEQAiEQAk4ghZrTyHUIhEAIhEAIhEAIPBGBFGpPtBgJJQRCIARCIARCIAScQAo1p5HrEAiBEAiBEAiBEHgiAinUnmgxEkoIhEAIhEAIhEAIOIEUak7jCa7/+sMPX37z6199of+s7Ztv/vTl97/77WdNP3nfQOCPf/zDF/bPrGV/zeicm8u59eXHfZdz69z+idacwKlC7fvvv/+xmPj223/60TqHI9fP/LAeifE98zvKcDevkRzrRmHoX8i+Z3vGFylMYDRqHUcV2+h2TLXW33333RuzyKvgwHan/0apGejiIg/2+KMbORCP8hafGseuXNXj3rl184w94/4axXqERc6tnFt1H7F/cm5VKsfud5/BXblj3n+SPlWosfAcuGr3DFA+bu2PxPie+a1eYpXDbl4jua4IQDbfGf5CWmsCl66o6l78cFUxhA57qhYmyDCugkwe5U++ujWS7Kq/RXdl++j8aA9WO7tyVY97dCvPTu5Vxo6wyLmVc8v3tc4R9pDOEp/PueU0xte7z+Cu3NjTeOZwoabF10sI0/cMcBz6sZndGN87P/mn32m7eY3kuhe5YvA13onlo8rAiEONww6OtfGCnLESz3pYYouCuBbFyGFTrVsjza36W3RXto/Oj/ZgtbMrV/W4R/czFmraY74Pb+HYsZ2NyT/9TtuNbSTX7WvF4Ax2YvmoMjm3rlnZ0R6s1nflqt7O/SWF2syRXjq8ePjylxWJcajyxRwbizYaZ67aqy+5mW4Xp/tl/ujDzqGg3Ojxr7aKFTlydn3Z8wOv2nGG8lX7mled13134DGHvg68GdNZbFXPY2JOeWvdFZP0dM8a15xr3NLRXtr1JR+zHv+wGO0NfNX4qj3F5+Poab3FmnlyQF6t5qrxnX6lq7jETWsxGsdnXfNbn8GdPJBRTNW/szsiM/Nbffj6ysd7MvP9TR6jvTnKUfsOO3yRk1rNva4vcuwT6dLLXs6tX34/MufWbb+y4XtSe1P9MzyDiuUR/V0LNR5mf8jrYQJsHnI/BEl6NK7DwQ8DHZaCNdLVfO3xr5cTczXGKu/3OtD8RSFbO7FKxm3Ci5iUIzIzhq7r1zUvn/Nr7MPMmxgohhHTVWxVT4c5+YiZxnRPHOixrmrI1z1S4z7rSz5GveLTfI2Nce0D5katskJH64oe82qM+33NVXI7/Uq3cpPN0Tj2fH8if+szKJ+rXjH53qjx7Mq4jeoXm1ob5vQ8aI/KR92To/EaIzZvZVaf7xpjzcnvtV+VD3PEqH61vsrHbcLL9VYMXdeva14+59fYh7c3Mci59eXnwll8YFX3vPZB5Sgd+rqOObeczuOuDxdqWlw9DLNQ/cGVHJtFG4YN0m2S0Tj28F8bh4TGR7pVZ3R/ND/5rfZ2Yu1kVBiI74ph9Xv0vjvw8Kk1wt6I6Sq2To+1Ytybr5/8uf86j0yN+6wvj6O79v3KvPZHJwsPvmp+yOolopej2/VcJKf1R9fnO7+zMXQVl3p4qnXcmBuNY6Pb875GI135PNuP7OKbPGdxVxnfXzUecnT+zPt6jeIYjT+CmfZljbvmxv0ontmcr2+nn3Pr/DeY7BtvsO7GuufO9fza9yvj2h8uo2vWk6/qk3mdRzm3ROt9+kOF2myxa/h6cLUJvNeGoO8OzG5c9qof7l3erzvZ2diZ/LqDcSdWyVR9PRj0knF2uibPK1r3ItdLT/Y7pjuxdXqMVfv+EsVn1fOXhGLCBnJqVUd2Vr6kP+rhTa7eGJsdmloj1+Ha83S7YokMdpHzVnP1udX1Srfjhs1u3OOsfl3er6vcLfcju/5SukWG2JSj1tB7bNNGPrpx2evydnm/7mRnYzm3fio06rPeMdV6+LrqGnlap8dYte/Pc6eXc+vrM3q2h+vcRzq3am5n7g8VajjYPRT0QNRCxIPsHgjmu3HZc31du7xfa/5IfzS/zvZOrCOZrlCbMez8HxlbPRDY6pgq/llsnR5jr3LgEacO8dqTx6x1uVNQMC52ro999l6nt7NGbsuvV7qdP/S78S5u+XJ5v9b8Ff3I7j0KtaP7+r2Z5dx6u8O6/aI9fHR9sZVz66ffx3bSObecxv2uDxdqbHAWhw0/azty3YOEzdH4yK9/5zLSncXqcztxS34UD/OjOcU68qMDl/mRjPxf0a9e5PjomO7E1ukxdubAqzoqesTgrC/pd339jlkyO4e9Fw9Vr2Mu+W7fdPKyuepXuh03bI7Gu/iQ176e6a5iXc0TE1+1Vd87MvDu2tl9ja33ZLYTt/IdrSHzozkxHvnJufV2/bvzI+eWduG8/0jn1jzTvdm7FWq4Z1Py4HtjAVTkjQ620Ti62OOwUMMHD4TaSFfztccedtVGB5HmvVd+Ho9s7cbqfOTbc5QP94ttMfRxv655+ZxfYwtmszZiuoqt02NMjOSzHmhVTywlr0IJObWqw/iOL+nXXj58bV1GMTPvcSCjdeTlVRvrwled4x6bzNW2s0ZVR/cr3Y4buqNxrYVzufUZJO/KQ/F7T0yVXd2DuzLoqWGTvNSqTcaZ1zM3YjMavwezGrP2nGJULl2v/HwNlf9urL5P5Zsx2ZQP9+8Mfdyva14+59fYgvesjdZjFVunx5gYyafOAN1XPbHUvM4U5NSqDuM7vqRfe/nQOtR5xcy8x4Gc1rF7FlkXvupczq23Z3xlfsX9XQs1AtRDoYX2zdFtUnRG48xp83f2VrrM14YdfwC1WXcOPGzVeNxWnfPcFQdjyoWHSP7p1WYMJVP7mled1z0xdnFpnn62HrPYOj3GnBH2dXjI50hPnGSDXm2ks/Il/dpjj7hGTWur9VJs6kf7R7x8ffEhO56TfMuXbKuvh6bkvR/pikvHDf3ROHPVZo15puuxca2863h3L7tiCIe6Rkdk5AM74qEx98G85ygfklU/Gmf+SmbYqzGL42jfKUb1NR7Pv8557tJnjBj4yrn1E5Vu/Z0T17ClVxvp+HogW89I6dcee/WZcBmtrfaL1lD9aP/oeUDPm+x4TpqXL9lW/9nOLfG4pT9cqOEM4KMFvSWYZ9H96Pk9C+fEEQIc2t0h35HpXmqd3Gcdy7n1WVc+eT+awJFz64rYThVqu9X9FQG+h42Pnt97MH1Gn/oOr/Z89/gqrcau+1fJgTh3vsNmPVKozXdlzq05n48yq2e89q/yzLMONXbdv0oOR86tK/bdqUKNT9MAWz+evSKgZ7Dx0fN7BsaJIQSOEkihNieWc2vOJ7Mh8KoEThVqr5ps4g6BEHhdAinUXnftEnkIhMB5AinUzrOLZgiEQAiEQAiEQAjclUAKtbvijfEQCIEQCIEQCIEQOE8ghdp5dtEMgRAIgRAIgRAIgbsSSKF2V7wxHgIhEAIhEAIhEALnCaRQO88umiEQAiEQAiEQAiFwVwIp1O6KN8ZDIARCIARCIARC4DyBFGrn2b20pv70R/2TIFcmxT8K6H/O5LP88wqPYHvlOt3DVl37e/iIzRBwAnXPPct5c0UcV9hwVt31I86tZ12jjsczjaVQe+Bq8LDxjwTvPBD+j1fqb6YxNmtH7O/EMPO1M3fLQ7mbi9jUf4DZ+RHrrr2dvFYyR9nuxjaScwb6F76Rfc9W1/49Y5FvmMBn1DqOrCUN3Y6p1rr76wrIw4GG7U7/x8nFf7q4yGN1HizMXj49ilMMLndYDNY95/yL6KHbW9YOR1fEUW1wT1zaf9qnNbFdOfRWtqrtM/erNToS73ue8Wdyv0UnhdqXLz8eeLMD/BbArntkExIPD6Ia1/7plMa9P2L/6EOph8L9Hb0mvt1DezeXEZfKb9fe0Zw6+aNsd2MbycGAOW/cr/aLy3/0a60JXLqiqr5A4AFXFUPosKew4w0Zxuu+lj/56tbI7cyub9Gd2b16bhQn+7BjN/P/6PNmFssor5mOz7Hn6v7w+Z3raoN74tI+q/tSNnflkF/Zkk3191ijI/HunvFXxKmc36tPofaEhZoeGL0k2Bw7m+3IJpeP0QNeN+SO/6pT74lv98DazYXDqhYkys357dqrMZ+5l/9dtruxjeS6F4licAZncvkoOjBi71E4wbE2Dv0ZK/FU4SV9bLH/6h5UYSe5bo00t+pv0V3ZvnJ+FifsK6OZ70efN7NYZnnN9DTHHtk996RT+2qDe+LSvhydNbty+FvZqjHdY41241Ws/syOdK+Is+b+6PvDhRowdOBxuOnLgQmi5ui9yQZ2mGPD0Y7quS425U/23KcOTsnowFUMGqcnDtpIh7ndHJBbNXx6zOLgTG/dbNj3HGVPuc7yHTFSnG7XcxUjjdX7qn+GFXnVF4DsOj/F0PVioTw8jroHqi/s3cK2i0djdV9ovPb495g1j74YiL3WEh21mqOeDearnsfEnJi5PdeTD7i5XcZr3Gd9ycesxz8sRnuDPGp81Z7i83ExVq85OCOvVnPV+E6/0lVcdW1H4/isa1739Ux3FPMszo57jUH8lYf2Fj36suHjHoti1li9r/rM77RZXuhXu8TnTXHUfPVsSrbOiwfzsiHZK3rycpY6B8lHbRTTvdZIfmtPnMSrJuaVoebVd3H+u//6v/rq2ZQszwDyNPGu+Vd/dd7XTHav6E8VakBTQgShBdcCc+8JIesPBdfYqEkd1dPG0iFMLBpz/9j1g6gusnQc6EpnlEPNCzurtrMJuxhXdjVPDPjwBg/GfM3OMHLO3Tr7PtHmVxxXsKrrhO26vvLX9XrQPA+tmbiJEfrk4ywl47aPsnVdv8aPYvHxeo2MP1/Mi4FiH+1XdGfrXvW0D9ERM43pHv91rZHvnneP+6yvyqPeKz6N19gY1z7weCSvvrJCR+zQ87Vi3O+5ntmWj65f6WK3PkvYGY1jD3ntDWTrvh7pdvFpbBWn7wFkxQ597VftobpmyKCjee4fcd7I72ztduKCt5+F6PgarHjg3/WJ65Ym/26D9TgS0z3WyOPxa+IiZrW6XzTe9TXOeo+O7OmZ0P535mImmdWadbGcHTtVqHWbth5MHlAFg35nw3W43tHDb7XFmL8UfPPJBwugRah+kFnpdDnUxZavo71eGtoQ6Ms2sR5t5OI80FfO8rHKV/Iz31UGRmKMnt8rH/mf2Z3N1YcF2Y7fyEbHRrKjOd9fnYw4KLcVW/k728OgPgP4rOyrDP5WsaFT9XaeOXTcvzNTnjXus75kb9QTh8ei/dHJw4OvmjOy2rOsL83tei6S0/oj6/M/Kh/4D7qKSz081TpuzI3GsVHPA+R9jUa68tn1qxzdPjE4H+w5Tz1DnR+NVRli9nX2+25NZGfVr/Kq+l1cxFIbPLBNW/HwXKqdM/fdHlDcWpdVTJKf+a8yNY96P7Plc3qGFavP1esaA/O+F7mva0xcfNV2ZM2q7i33pwo1fxjk3B8yxkichfYvyc4W56getrTZZd9hapE8Dl1rISQjfd1LznvpjHJgHHnJyeZurw04ksc28e025VI3tB9ckvE8da08JFP9HlmvyuxWVsSCf9ZbbcVPcvTKqbLxOZfXtfIY6R9lK7tn+24N6jOhmN2H4tdae488rdNjrNr3Z67TY74WB9iQn05HYytfyM0aeZGrN8ZqPHUemdo8T7crlshj1/ckYzXXand2v9Lt1gh73bjHWX26vF9XudH9Kk4xVwzc1y/80iRTfeGj6kimxtzdoysf0lv1q7zQPxKX/OmdqVxrXh5rzUU2zvTyV8+9o+eW7NQYjrA4k9eRM57YujjrmvK8Iqc2iuvImsnWFf1dCjXfYARZQY0gnNHDFtC9+WEq33VTurxkNKb7mc4oB9kgBvLpilrJjPrRRsTe7OXS2VMuda57KGf5dnaOrteI2S2sWHv0vY34uQzXXU6Smc0pj5HMUbbyebavh05nRzH7nOKfrXunx9jsmcNH1WON6t6tcVcd2Vn58pzqNbrs0+4Lf7PWxcPzzLjYub6ez06v5up6q+uVbucPm914F7f8u7xfa37Vz+J0v7qe7TvJuM/3Om9meRHf0biUU33pz3icWQ/5qX3HFpmj51Zn5yiLs3ntnvHk1cWpXDVf3yGjuI6sWeV+y/2pQo0katNB3EGpUDsIZ/WwxYPkjVg0pgXB/qhV3zs6XQ7Vvuxi70jr/MvWETvIdrYY15owP5JxX9V/vXeb0quM6r3k6GWPWI401rk+ZDv5yAcHC767NprTXh/5Ocq2831kbPUiwVbHfhS/++70GNPzJVl/5jp/dR4ZFT2ycdaX9Lu+84vczn7Toex2pdcxl3y3bzp5tzu7Xul23LA3Gu/iQ177eqZ7Nk5sw4e2s+/EWf7qPeN6ziRT8633kqOXPWJZtRl/2XEbXVzEUpt47/CY5VLtru5H/hQ38yMZt11zr/fIyqb0ah71XnKrfic+2ejiYg7fxMf68uWNOb5qO7JmVfeW+1OFGg86CarxADJGExR6NeY0z1i3OGf1sFUhA9PHPD7FxLxi7BZ9pTPKwf3WTSrftYeN63XxiI/ratP4WHdNrM5f9hnjmrbKVzpipnh0jw3suZ/KyO/R85zPssIGHLzVWH2uXitvcWBecdE7I+aQd39XsK0x6R7fikVjXY8Mccyas3c55e9j2NO6dnqM1bjqM1f1kPe9of2DnFrVYXzHl/RrLx++ti6jmJn3OJDRHvJzTrrkwVed4x6bnqd0dtZIsrVf6XbcsDEa11o4l25fM3akdXGKY+W72nfS0z7UWuqeuLQOirHm6/foEZ/a7nmDfJeX7OzGVfdLzb/ey6/y9Vzku+vZf3VfdnLY830q3oxpX6xiko5i3GWBXbXdvIjL16/6lr2uH8nCCf8wU87SFx9nWXnUe3SJUTxk64r+VKFGgAoSgCTqjWAZ15cWUDKjxTmjhy1fQHwQTx3zeIkLPW8+r0XzsarT5aANobzpZct91WvkPF7Z8QWvDCVTbY3uiVdxaWPW+Gb5Ytfn8X90vZyZ4ldMNZZRHsg5K67r/pNt5zeyx3jNo9r3GOu+Qf8Ktl18NddORvF3cbm8s/dxrn1d8em2Oj3GnBE26jM30hNL2aBXG+msfEm/9tire8NltO7aL4pN/Wj/iBd63mTHc9K8fMm2en8RSLb2I11x6bhhYzTOXLVZY57p1vh0X20qx8pJ8uIouRqDz2Oj2q9nYo3Z77U28kU/ikvxqa9+ZUNrV+dHcXk+3b70eXw4D89FcdVeOdbx0T02lQvxSN+5zGLCrs+jt8tCMe3khSxxYltNsY6eUcmpr3FqvHLWuOJyvaNrJltX9KcLtSucx8aYABvIN2F9+PXdwNjC55jh4e0eoMrvc9BIliEQAp+VwGd7J1xxxvPuUMHt+0aFmo+953UKtfekP/HNBvLvIGpBQqXfbbCJyQ85VbkoycpP4+k/FgEO6+6L52O/cQy+39dvfv13X7qvb745G9N+5kckO86MHWN9xONjZD9KXp/tnXDrGc+HH9joWgq1jkrG3hDQJ2gUInxxmPgnbG8UPumA2MCHazXnp7H0n5HA2WInem+L18+4f5LzsxK49YynGPN3hueZQs1p5DoEQuADEkiR87bICZMPuNGT0gsS4JPH1SfBL1+oveC6JOQQeBECeZmnwMke+HoPvMijmzBD4I4EOBXSQiAEHkogL+OvX8bhER6P3AMPfdjjLARuJpBC7WaERw088kDa8XU0/s8sv8MzMik6sgdebw985nMtuT87AU6UtIcSeOVD/KGgbnT2ypwT++u96LNmWbPVHrjxSIv6pyXAzkp7KIHVw/zq80dhvnq+iT8v6OyB7IFn2gNHz+DIPzsBdlfaQwk80wOdWPKCyR7IHsge+Nh74KEvuDi7AwGe0A/fnut/tT12KP7xj3/35fw/fHnM119/+Okf3qTfPbjO6Ozajtx4Hb7//pd/JPW778ZytzA8s/fYq7//3X3iuSWXo7o193p/1N695FfP30dZj3vxe2+7j1mfD/+KvzRB/vmO0T+Ee6mjA8Y4UQ81/SNx+ltb/nfBRob4R+XQW7Uztlc2mb9HobYb61u5ty+x7l8l1wHyyBfE6tBXTN6f0XH9XL/dDztM2DP3KtDk/8zee8yL5xwz5bXT19zr/Y6NR8isnr+Psh6PYPkePh6zPj+9A3kP+3ub+/oPqXdj+nfHkJ39NZy377qv/xbuzrv6GWQ+XaHmC8wirtq9Fhq7xHJl2431rdwvLxkeUl64fDrihwTjHMCMPfIFsTr0PUZdH9XRJ0HST//12u/wOMp8x2Yn88i91/k/O3bFHqu51/uzsV2t96i9cGvcV6zJrTE8Ur/Ltxt7TEx9ocb7kMKsfnrUjSGL3Ecr1PTXDa6sDe5hi7fEofa28OirZgGggqdIQm/Vdm2v7NR57D5bocanIRRpqwf1kS+IM4f+UZ33O6zWrFdr8SzzYgj7e8b0yL13ZR7ic4vNmnu9v8X2lbpHn78rfR+xdcWaHPH33rJdvt3YY+IcF2p6T/s7sxtjPoWaU3rs9eFCbRRe/VuLLrdbqLmOrimyuiKPTUPlT9PHucSgL+nT10Kt23DYqn747kH26GffTcgfcopLY1/3P71c+T2enR9ddS8IFXn6kWn9naDO9rff/vTpnB8MjMmGPtmjnxUAKx29ONyufOoTRJ9DfqYjXe+rPIx8/go+4q6YyVs+dOAqD/dffc/WeOZjZEfxyDc9cZ2xhd6MpWzWNReHrpeO5mb2JaNeuu6v7m1kKxuX6fgQg3yor3GJo+YVy+ie8VkcVR/5bgy/7Cf5qTa51xy9s5EufZdj51MxuB3n57782uU7vzOeszUZ5as4PYZuTLEgN4sBXb7cHtfkTnx1vLNX9Uexd/n+wz98fdZqzWpOunfe3fr4vBjI5ttcvn4D+V1XlHVj6HTvTbc1ux69S6kNeGf6r1Dx/mRMTfEwxpe/p0d20dV7v8pgjybfsktPHNKTf/pqAxbepKPYsVVlXP7oNTv0kkZgowLllkJNi+RB1jH8Cj5y1Z8gyka34bCBnBr3DlrFoPuRrPczDj/J/XKgjA5Xf9D04GpMD6jr6mCQDA92d8D7QSM70qFHb/yw//KSmOlg1188xOZ+VeS4jZWOy3JNjJ4f+pJRXrfyIebqBx86nD1H+af3Q1UvDpdVnPQjHys7Yug5nrVVc1QuHp+PkZ+vp+cjHX/xzex3ushXf26POWQ897r/xafa93vs+LrUfUqO7rfer+LQPpFP7QXfH/j3e2z6vXQUp3zKJj3ylYfP17i5XzF2fa47v9hwv8goTnQqT+aQd9uzfM/yG8XQ+Rdf30seH/HOzpnZWnX+urEz67OzHp6Hv5/qdX2XMt+NMd69N6u97n71LvX3s96zKtxUIPl7F3u0Hbu8j6kH1NBhTPa7XD0e+XEdxlTkyS469d0PL/ct2TP9ZYXazHktnGay3VzdINibAajwK/hqD58sIHJqdWEYX/mV7rz/6UCrh9bXD9YvB1p9kOvhIT0ODR0qfq15Hm5s6b6zo4Nk9+DC1kpH8/Jb7zXu/Uzm6OEqu87ErzVf+cDKeUmu4+ZzlR0vLH/hS5Z+5mNmR3xc5oytFcvOJnsMfp6HX6OjfFf2XW/Eo/ob8fc1FZ9qf3ZfdTwPxaa8uN+JAxnsIk8e6BOnxrivNn1N0XOZzqfirnro8tXlwZjm6Stjn+P6jF/FJVv1XnZr3DVfsdrhJ1/qq0/fI8jUZ1569Ku9C5NZ7NU3NruxM+tzfD3GbyQVRl4IdWNY6N6bY8u/zKzepe6Pd7AKMSygS7HWtZVdbPk7XTbIQz5qrYAMOl5fjGJwHp0v4kbmisYTe/dG0h2wXcddEeUbCzvIANS/ZL+Cd8CScR9aPLel61vy+MnXLw9sfdD9oNC1P8jdg97J1QMJGT+UZKf6nx1OR3TwxWHiX4pTdnSvfqYjGfUwwXZ94Yxso+ccV3yqvPzKfuXGvOY8Z13XOGXPY9LYjh3JeBxnbaHXsSSeziYvTOQVb+2rzsz+Spd596e8qx737ncm57qzPef2jth3Pa7xIX3iohDRmO9Dxaw94z12NO9rjt3ZMyu/Xgx6fMzz5Yw1pv6I3xlP2al2PU9dEyNyR/jJ7iwG5mQbefgTl3RrjywxuQ4yykXxei9ZybjNbgz5I+sjG8f2gd5y4573W32n1rHuvTm2+NPM7rtU728vbKSrT7/cl+b0XvZe7+j63pe+f+AiO5qjd71uXrIu59ea16eBur+lZ5fevd1aqKniJtCuSmWRAKVW4VaI3YbrCrVug8jH+f6ng4GHmwPSH+Tu2h9kPaQrOX8BSNYPqZGd2aG/q1MPtqpKzK7VAAAa7UlEQVRX74lvpaMcak+e6Oqg62xLxzmu+KDj8rIxs6+5eoBKt+tnPmZ2Ol9nbSmuypLxzubspT7SYbyzL9/qV/6Ut+S9d92ZnHRWe87toeP3M/su588c/rADP2T0rCke2Rytu+Ylr152RnoeDzr1nrHZmu76XfGsdnQ/ipu4jvBDfhWDWCGLf/Yk16uvund3YpeM2+7G6nrUe/R9fTobyCi3nuf8bcX7s35q1Y1178255V9+jLp6l6qomb3H3Zfe8TO79b0v/RRqIlH6Wws1zAGdxcSWbyotmLvUomusLhgbjsLMm8eowhDb17efDgaKi52Doj64HEY8rH4AcI0tHmhdc8i5DP6wxZge6mpHB0L3sO/odIeIbCqWKlPvkas60u166SvmK/jgp3KX75H9ER/pdX3nY8dOzXkU744tj6va7eJbrU2nIx/VvsbVd7rV34i/73/5kd3ad/PVT42l3u/EIf7Y1jcTPoZNxaZxYtOY96N5xc28y+u6xl3vkZMN6Xi/43eHZ5UZ2e187/Cr9kd5kT/2OB/rGem+67XsE/dO7JJ3O91YXY96X/MY+dYaMu8+f7oev8W692c3hoUzhdrOu9Rl6ruZgrF7D7vOKDve+3zV5nl0udZ6YRSD26k6+Kx1SI3jyD2rekkjmVr8yLAXQRqj90R9vLsmaWDgx5tA+2Ii43IVoj5mlR3ZQE6NmN0G4+i5H8l6j86Iw09yvzxI+k6tPlgc6nrg6oPL4cJLQvPo1qJPMrKrAwJbGuMaO7rXAVBta55+pSM/9NLDXudHMjs6skWPvB+wOqAko9yv4KOXq2zTM1YZKR7NuTxzytXHua5rq/mVHTHzHM/YWrHsbFbeilm966zsS0e962qs+ttZX+3lEXfx8/m6T2ss9X4nDnLgGfcikjFs1THGV+uOXvcs1f0odvKFXY3VPBivjCWrfuV3h2e3Jqt88b/LbycG5Sr+/vwoV/XY03MtPWe/ir3Ltxur61HvO9+r9UCHWH+J399QX1/r3eej3Rjz9X1d792GX6/epf5+lm8KMZp0dc+Y3q+ac1/+jla94B/sVJ2u4PN45I/3useAHfJXqzqMf4hCTYCU6E4PLADVxuIwpy8ttuQ6iFpEdLjGBr03Lars1nmX1TWy2kga+7r/5dDkgdKBz4OlLx5E5vjqHtyq4/Ku5/bQqXLcS4YDUQfJ7ABb6dTYdIAqLnodcvjG146O9BWj4pYNzdNXezVvZDwPrisfxvwFN7OPruY9N2LrfEt25mNmR0x9nc7YWrHsbO681MVtZV8c1O/621lf5+ec5KvaEFPN11jqPXLVBjLSVy8Z3bteF5fH3e0ffGjv7zyzNe56TzyrNUVm5Vd5KrbKExuem3L3sS5f2UVfXxqTjTo+iwHZzo9sqMe27Kiv/lax+7x061hdj3pPPN36rNaDmOH0Uz5fv4H8rr4rmevGGPfC7Oj7e/Qu1XvYY5Ksxur73d+vku3e0dhm3mW8uJJ9nycv6WmevsZQa4FO5ykLNU9q51qfkO3IfiwZPTzpdSimz17IHnitPaBCTAXIK61f92nmK8XfxTpfj/EbtCvKujEseKH2Cu/vrngak3juGU6Hd2lUsSz252uvdSB3h0LGsobZA597D/BpDQXPq+0DCppXjHvFeb4e47csnxTVT5m6MSx4ofYK7+8UauN1z8xpAq936K0Oj8xnTbMHXn8P8GM2/+RMn97wI7lXW19y+eVHgq8XP7yPr0f/UtKP8/gETa0b8x8NvtKHKynUtKrp70jgNQ+RVzu4E+977rMjj897xvm5fVPY6Pe01FOsvdKzo98No3+luLtY365H/39GHnm6PqJsCrWPuKofIqfXP4S6gyljo3X9EJv2xZIYrUXGr39OX2xrJNwQuBMBTpe0ENggkBfRtS+iDeQRCQH7vx2v3X+Pep6zhCEQArcSSKF2K8HovxCBe7+cXghFQv0kBO695/MK+SQbKWm+I4E8Ze8IP65DIARCIARCIARCYEYghdqMTuZCIARCIARCIARC4B0JpFB7R/hxHQIhEAIhEAIhEAIzAu9aqF35v8/yb73Uf7hvlvhHmtvhuCPzTExeLd4z7HZyvHJf7/g7k8er6Hz2/F9lnRJnCITA1wRuKtT097W8/9r8/O7Kg3PnhYY//kE//Z0y+lVDHj1v3T8KuDvmdrjGtvOr1zsx7nDckamxvef9q8V7htVOjjv7etf3jr9dW68o99nzf8U1S8whEAI//f/ehznw8qCg8H/RGCOM7xQWcnjPg7P7e2X42y3UlCN5olcbduoneLtj1ZbuO33NzfodjjsyMx+Pnnu1eM/weXSOj/Z3hsk9dT57/vdkG9shEAL3I3D4EzX+hATFyxXtngfnLYWadCk6KdiIszbJ+PjumOv4dQq1X2jcc2/84uV9rx6d46P9vS/dt94/e/5viWQkBELgFQgcLtT8D7POEuzkKEQ4LNXqwal7FYP6MSAFkJpk9IkXNmka51pz0qeffdLHvOzIj/pnKNSI3XPh2pty3+HmelWee7UZE/zxVRtrPuLosmf2BnaJifXYaZIXNxXRvg9m+Yup2yHu3Sb96qPbyzsyO36v2CfVRl3nGiv3asp5xUxrobVxHzP78tP1j9hTnd+MhUAIhMC9CRwq1HSI+8tuFOCZg5MDu76MdejLp2T8BUEMekkoHr0MdD/r8Ymfrj1DoUZs/oKvMYmJFzEdtzrvhYfWVn5mTDq23VjHk7Gje0Mvb8U2sqtx5a57ehUF2kfIzPIXU+TUkHeGGu966bu84lIMuzJuo/OlMew7I/TwobbjD07+bHn+XN/KrFtL+VjZVx5df+891fnMWAiEQAg8gsChQu2eL2OS5UXiLxYB4BDWYT6SYdxfaEdilZ+ury87ydTChvHdMdmofX1R1Xnd19xGTCo358MLWQWD7DLvMhrv+vpivEUX++Tua6/1VK70u60WG+jJjnJe5d8xpcgg753W6aNX18Rzlt0qs7sm0levnHW/ikn7V4ykp/4KZt3a7NqXXNfX/YjMlXuq85mxEAiBEHgEgVOF2ugg94CPHJzS40XSvZS8CBjJ1PH6kpKPoz2+sT1qvHhqEbE7Vm3OCjXmsOtf0q+5a3zETWzclq5nucoufX0Jol85uLxf7+4N5I7YxYdyq3vUixDJKGfvlX/HVJ8GeS6j604f2dGauJ0dGZf36yv2CTzEQbavYCYbdW3woTlfC13XWBST9/fcU+4n1yEQAiHwaAKHCjWC4/D0H42MAt49OHkpqd3ycqu6Ovhl+2xPfKMXRcdid6yLZ1SoYdNjqLnV3GV79MKXfvfClO6qV+GD3JFPmpDf3RvkRe6+R1ZxKbcqp3jpJTPLv2P67IXaFftE3FQki/0VzGRDPrzX3GxNXL5e33NPVV+5D4EQCIFHEjhcqHFwcyiuGjIUHt7Q9YKjvgy593np+iFcdSRTx3Xwa/5sX2OWnc7+7phs1L4r1DqbtWA4yk1FC7ZvafglFhjR77Yje0Ox1r008iX5mpuYMT+ScZt1PzEnGy43ut5dE+Rq29nvVeeqfeJ2ZfNKZhSTdW3wubMmHlu9vueeqr5yHwIhEAKPJHC4UCM4DkUO3Np4YXPg0nixuowOfX8x1Zch9+j4Sx+bbqfqKIY6fuTgx/6oEHiWQs1fbsRbmXB/hFvlqjWTnxkTMcef1kxjO/3RvaG9M1qj6rPGpL1ATtqfq/zrfsLH0UJtZ012ZIh11cRI64c8tvlSE5fRPkHXGdd8r2AmG1oHYpNPzSlezXlOPufXV+wpWCkWt53rEAiBEHhPAqcKNQLWwaiXAT0vAm96MWgOHZfh2l9CuteBjR5FoTfJ+BjX3bjb8RdD1cXP6IDGBrZr04vRx3fHXMeviaHmy3xlXf0od8+32pGM+3N5rZHmZ0wkQ48cdo424kFXfld7Q0VDzWvk1+2jo2LN98Es/46XYhj59HHpu48a+xEZtz26vnWfiJHWhd554dfz0dopHuWje/qOWY2Te7WZfcmMevwrdq6P7il0PZaRn4yHQAiEwCMJnC7U7hFkd9Dfw88VNmuxhM3dsSv8x8YxAlqbWngcs7Iv/Up7eT+rSIZACIRACDyaQAq1k8T5zrt+QrI7dtLly6jpU43a82nJFa3a1f3Mfrc2t8Qin7VXDPco1Kov3cvnLfk8u65yrf1nyP3Z1ybxhUAI3JdACrUTfHnp88LgUxq13THJp78fAYok/+RMn6bxY7hHtXsUao+KPX5CIARCIASeh0AKtedZi0RyEQEVzf7pixfVF7mZmkmhNsWTyRAIgRAIgU0CT1WobcYcsRAIgRAIgRAIgRD4FARSqH2KZU6SIRACIRACIRACr0gghdorrlpiDoEQCIEQCIEQ+BQEUqh9imVOkiEQAiEQAiEQAq9IIIXaK65aYg6BEAiBEAiBEPgUBFKofYplTpIhEAIhEAIhEAKvSCCF2iuuWmIOgRAIgRAIgRD4FARSqH2KZU6SIRACIRACIRACr0gghdorrlpiDoEQCIEQCIEQ+BQEUqh9imVOkiEQAiEQAiEQAq9IIIXaK65aYg6BEAiBEAiBEPgUBFKofYplTpIhEAIhEAIhEAKvSCCF2iuuWmIOgRAIgRAIgRD4FARSqH2KZU6SIRACIRACIRACr0gghdorrlpiDoEQCIEQCIEQ+BQEUqh9imVOkiEQAiEQAiEQAq9IIIXaK65aYg6BEAiBEAiBEPgUBFKofYplTpIhEAIhEAIhEAKvSOBTF2rff//9l9/8+lc/fn333Xd3Wb8//vEPX7755k+HbT8itsNBXaxwls3FYcTcExPg2fn973770AjvtS//+sMPP5419Lvtilh2/L76eVP3yRXcdtcociFwbwKHC7Vvv/2nHw8b+q7xgIzmOvn3HKNIu1eBprzOHhj3jG0WEweeF5asJfLedPDvvEDRJZeuzeLo5J99TM+Gin/1zx73mfi0B5Qj/ZECpNtXXRz1BdzJXD12r30pZkc4XRHLjl/W795nIes0Ow9uWce6T1bcxMT3L9dHWmejW1u4uh+KYm87dnZk3KZf13Nptc6reLG9I+MxzNbD3znaH87Lrytfn9O1+/0o16cLNaBUaEABNBvjiqbv8q6wVW1o43c5VNlb7mcbdGT33rHNYvKHhvi6Fyprj9yqKQ/8dYfDLI6V7Wec71jBCV7P1K54rlg7f3b0MljlKR4wwcYztnvtSz0Pzm2V/xWxrPyu5lcx7s7LDzl158GunR25FbdHPQMqaLTmuvdijVg1T27ds7Qj03FBj6/dpvgUj+49Xo3NZKo/Yhi9Mxjv5uAw+jBA54jHhU/GFVeN4ZXvTxVqWvwOInMAvqJd8TCN4pDtey/qbIO+V2yzmOpDw1oir8aa+73Gux5d7PFgdzqzODp7zz5WWSleipJ6oGjuPXrt/at9kydrPWryyzPHvuj2xEj3keP32pfkDaMjZ84Vsaz8+rrck/PqPLjS94obOXfvr1tjqM8APsjb2yo2ZKsd19f1SoZn8WiOO/HuyChG9bOc6ztHOnDr4lehKLnP0J8u1IDDRuk2YR0TWOR9c7FA3PvBhS5jmpNOldPiaANI3n2v/Lpt7J2xhZ4OQtnDjppsKi/JaL72ykNy9Go1n7qJ5Us2nIVs0EvOx3SNLl9q2FA+9LrW/KwnPg5E8eHam+KoebmcdMWj+q+63KvJvrOvzJDFn+zTu4+ZfflR76w0pvjpvc3sKu4q41ywVedrbrLj+0HXnm+NDT1noLixP9pTyGCTmHYacXQ+qq5y0Lh4Kv6ZjZXsaN3l0/cN/mqr/GvuVV/+xBuenY7npFjc961+3Va3HzRf/ezsL+l2Pfow0LrU/axcq1+Xk4zi1n7UuPzWe42rx0fNR3O39P4MKE+tt+wS88q325Fe7VcyMBCfqqt7bEhmJ94dGdn2frYerCVftY04wY71+0ztpkJND5RvxLo5KmwttB4+X0DNyR4ybKRZQ7/bsCu/si1f+Dhrq/rXxnebPsZGw9eodbGhjx+PV4eV7Izi17x65LoHg/n60OBX8qvDRfbplYPGZEP39IrXY6l5ztgi6zFp/+Db7SOnhrz70x6WDnKSX9mXTfXIk5O3Lu+V3R0u2Di7H+raeLxcd/PdmOtp3venz9dr1qCyqjLcV36z/VD1Z7KzdRd/GKvVZ3a1hlof6dNjw9eM+/rCQc+51Pyv8Osxcd2tneL39WTNiF9NnGoOmvdePjRW82Jc9vz5rHFIpvqs9uq9/KqXXfLRl+bO9spRzHRf7Wnv1XHdS092NO79jgx5SU45OlvsMQ4LmmTdD9ce745M1ed+th7EVONCh7h4RrzBhJhnbFz+o1zfVKgBgQXgS41rLTxjHVRfGIFnA1Td0aaQL/rqX3Mrv7LtC37GluJ3O4phFB8bv25A1+liI596OKHjh/0ofretmLoHgzlfG+79QOv8V9u6r3b8YZfMKF5ywu+K7WqNO/uV/YgrMa7sKw/1zgpdvljL2lZ2u7ixIS5cY6Nbj539oP1V4/J7t8N4XU+X1Tr5c+/z3TX2yHPVkEGWJj+jZ81trWRH/LDR8e/2TY3DGXX2xV16lTG+YehcPH/mV3tnx69z4rrGJT9n91e1z72z4R7bxOqt48687/uRTOVU791Pd018HdtOthvTfvNnQFyrfJe7ZDo7mlN/RKbmxL3HKJv0O/HuyLhNXc/Wo+4N6RAna+9t5N9lPuL1zYUaUHzxWRBtBEFlvn4hp4Y882cWpdsAO34lo0OTWM7aQo/4PSfl1tmcPajo1dh0L5veu32/dpl6PZOrDw1rg/z/144ZqEqywkD0///6cR5bUBTRdubOwh23hLu2GivJid0jq5iJ5aTBI22ZQ0dtFYfHgM3EVkxYyz/20CZ95cG6NPwMKDatpfYUi/aIlcb4VyyaO9Gd4ma/uEhDmt77Xn92m91+2WUu5M2+bHp3va5pM43JJdlMdpkD410NXGNlq/ynurM/fTI3nZvV2Vjp6wdWfl+9qEn3p36dEc/SVVwapx1jZ+PPk63PTeeHOT83Kz2d+/Tv+rk3x267evYL4cpmml+9AyuOfpZcb6Xzqg32OmvOl3l85O+s9E/iPbGRnve7enh9fc8Uq/zrrLr9zc8fuajp4AGPggCYdgpV+9nrTft9Lp+nA6B9u2JONu9qKSZeAD4+HDy1SVP5yib7jE3jtGPs+v482Wpu9WKwnmvUEl0az+S34+p22OaftLBbxZsxYJtsxWQXy6Tv7KWBfjat7fRzj7PSGvnjU+1Ed4qb/eIiDWl673v92W12+2VH3sROI/7p446+bLTvtCcX9j+1VQ55HnY6afuU/+RzOjers7HSF1PtIy4/G+SQZ8hjka72Z85az/n0m+vaJ12N046xx+PPk63m9N3IbwFjNNRWejr32K1scj7H8rHr2UOsrzT2rN6BFXd85Pu001E8JzaypScuaunNz7HP83wS74lN6jL2Gub6am3ixF7yyvcmNW8bf+SiBhQOkf502FXUPCwO0W04vNqLze6DIQ18Umhvrunz/ixtbNXe1dJ++tSdNHcvy6TB3PTSMe8f+8kXNtlWLwB2rscYW3TVeF59mGSTddT8xMa1ZZcxaN73n9R44pHsV1xP9BWX+mTFPHPO60SXuJ+4rOJ2dlP+xCSOinvVsx9evF/5YWRuinGllfOn+1c5oKc8/B1OPxqn7Yof9pNPPzdPNVytS0PxTu9JcvFYVrrKcbWefmWvPtkwv+Jzcr6kq37Kk7X0S678ZTvx6ZzYn+PUnMbknOd8stNc1krz3nvsmic2vgtqJzonNtJTn36Yxy8xrdpJvCc2qb/zO+ntYoXFLof0fcP4Yxc1YHDQ+ctDyJw31nlJaf5C5Yu7+vC4lu/3eYq585u+MpZTLXQ8X30UtX+KL21kq36KDR/ko488tnlgJ1/SzB4t7L2lHmv4TTtekmQrnSl2rdGzV7zQRcc/jl63J7ZuKx9os4828Uj20nCuik9r0qZ3fZ/XWrJinpzRUnvSfeIiX++eh5P3Ch+wUiyKXT2+xVlz2WMjlrkGg4lV2mEjdk/nwfc+2aoGU93dpzRX50br9H42kpuYe82wZ6xGzIydS8aiuLXnHb++l2f5TRYeK3b49h/IjC11V9pu98r3gH0rnzmfY/cpHZ/D3nNjjbF/m9yeZ/jAbteyxnmOTnVOfGUc8qW66gx6Tuj6O3oS74lNxqI84ewtz5Sv4SdronXmiT0beso3c0vbbxp/9KKmg+GFB4Y+LoDjT8WiT9iyFUSNsVMBtEaPBjZT873uF9vp4/SOlg4/+vrzOCdNcZpiXsXGvF4Q+UHb2+TL1/NZh32lhz0+0w/z2pMfKmxXL5f02EtTvF4n3/vEFg3fi67HKv3/nf35Z2KfXP387vRdl+cVK/mkV9vpKm63cS7SyLg9d2ykI3vvXdvPq9vwDFNsvU110XnwGJhzlq6Bptv6mj97DpPfVewntslPsbpPxaIaakzvDPPssY6OuFA/xeQxuw3PxECvxnPy/4Rf6dNP30Lmk4/HxfoUm+vKZjq7spMP2ZKb55d7Vz5zPsfyp959TLVTrWSfvdZVX+/x7U05ysbXTnRObFzTn3Vu5du/QdgxT3zedvHK7sRGtt5TT8VCn6zcFh9Z/1x3rdRjnLn5/m96fvmi9k3JNdYS+EYCTz8y35hTYy6BJwK/6dxzodldIp5y6XoJfJJAL2qfpFmtEvgAgd/0g/WBdCpRAkcEftO553/c8n+fjpKoUQn8BQK9qP0FqJUsgZ8Q+E0/WD/Jo3tL4BUCPfev0Krtv0SgF7V/qdrN9SsI9AfrK8rUID9MoOf+w0Ardw2BXtSuKWUTKYESKIESKIESuI1AL2q3VbT5lEAJlEAJlEAJXEOgF7VrStlESqAESqAESqAEbiPQi9ptFW0+JVACJVACJVAC1xDoRe2aUjaREiiBEiiBEiiB2wj0onZbRZtPCZRACZRACZTANQR6UbumlE2kBEqgBEqgBErgNgK9qN1W0eZTAiVQAiVQAiVwDYFe1K4pZRMpgRIogRIogRK4jUAvardVtPmUQAmUQAmUQAlcQ6AXtWtK2URKoARKoARKoARuI9CL2m0VbT4lUAIlUAIlUALXEOhF7ZpSNpESKIESKIESKIHbCPSidltFm08JlEAJlEAJlMA1BHpRu6aUTaQESqAESqAESuA2Av8BQdbtz+NjHJAAAAAASUVORK5CYII="/>
        <xdr:cNvSpPr>
          <a:spLocks noChangeAspect="1" noChangeArrowheads="1"/>
        </xdr:cNvSpPr>
      </xdr:nvSpPr>
      <xdr:spPr bwMode="auto">
        <a:xfrm>
          <a:off x="8465820" y="4587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31</xdr:row>
      <xdr:rowOff>53340</xdr:rowOff>
    </xdr:from>
    <xdr:to>
      <xdr:col>16</xdr:col>
      <xdr:colOff>15240</xdr:colOff>
      <xdr:row>53</xdr:row>
      <xdr:rowOff>111269</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2796540"/>
          <a:ext cx="12024360" cy="40812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55</xdr:row>
          <xdr:rowOff>7620</xdr:rowOff>
        </xdr:from>
        <xdr:to>
          <xdr:col>1</xdr:col>
          <xdr:colOff>396240</xdr:colOff>
          <xdr:row>56</xdr:row>
          <xdr:rowOff>0</xdr:rowOff>
        </xdr:to>
        <xdr:sp macro="" textlink="">
          <xdr:nvSpPr>
            <xdr:cNvPr id="22539" name="Check Box 11" hidden="1">
              <a:extLst>
                <a:ext uri="{63B3BB69-23CF-44E3-9099-C40C66FF867C}">
                  <a14:compatExt spid="_x0000_s225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56</xdr:row>
          <xdr:rowOff>7620</xdr:rowOff>
        </xdr:from>
        <xdr:to>
          <xdr:col>1</xdr:col>
          <xdr:colOff>396240</xdr:colOff>
          <xdr:row>57</xdr:row>
          <xdr:rowOff>0</xdr:rowOff>
        </xdr:to>
        <xdr:sp macro="" textlink="">
          <xdr:nvSpPr>
            <xdr:cNvPr id="22540" name="Check Box 12" hidden="1">
              <a:extLst>
                <a:ext uri="{63B3BB69-23CF-44E3-9099-C40C66FF867C}">
                  <a14:compatExt spid="_x0000_s225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57</xdr:row>
          <xdr:rowOff>7620</xdr:rowOff>
        </xdr:from>
        <xdr:to>
          <xdr:col>1</xdr:col>
          <xdr:colOff>396240</xdr:colOff>
          <xdr:row>58</xdr:row>
          <xdr:rowOff>0</xdr:rowOff>
        </xdr:to>
        <xdr:sp macro="" textlink="">
          <xdr:nvSpPr>
            <xdr:cNvPr id="22541" name="Check Box 13" hidden="1">
              <a:extLst>
                <a:ext uri="{63B3BB69-23CF-44E3-9099-C40C66FF867C}">
                  <a14:compatExt spid="_x0000_s225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58</xdr:row>
          <xdr:rowOff>7620</xdr:rowOff>
        </xdr:from>
        <xdr:to>
          <xdr:col>1</xdr:col>
          <xdr:colOff>396240</xdr:colOff>
          <xdr:row>59</xdr:row>
          <xdr:rowOff>0</xdr:rowOff>
        </xdr:to>
        <xdr:sp macro="" textlink="">
          <xdr:nvSpPr>
            <xdr:cNvPr id="22542" name="Check Box 14" hidden="1">
              <a:extLst>
                <a:ext uri="{63B3BB69-23CF-44E3-9099-C40C66FF867C}">
                  <a14:compatExt spid="_x0000_s225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55</xdr:row>
          <xdr:rowOff>7620</xdr:rowOff>
        </xdr:from>
        <xdr:to>
          <xdr:col>7</xdr:col>
          <xdr:colOff>396240</xdr:colOff>
          <xdr:row>56</xdr:row>
          <xdr:rowOff>0</xdr:rowOff>
        </xdr:to>
        <xdr:sp macro="" textlink="">
          <xdr:nvSpPr>
            <xdr:cNvPr id="22543" name="Check Box 15" hidden="1">
              <a:extLst>
                <a:ext uri="{63B3BB69-23CF-44E3-9099-C40C66FF867C}">
                  <a14:compatExt spid="_x0000_s225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56</xdr:row>
          <xdr:rowOff>7620</xdr:rowOff>
        </xdr:from>
        <xdr:to>
          <xdr:col>7</xdr:col>
          <xdr:colOff>396240</xdr:colOff>
          <xdr:row>57</xdr:row>
          <xdr:rowOff>0</xdr:rowOff>
        </xdr:to>
        <xdr:sp macro="" textlink="">
          <xdr:nvSpPr>
            <xdr:cNvPr id="22544" name="Check Box 16" hidden="1">
              <a:extLst>
                <a:ext uri="{63B3BB69-23CF-44E3-9099-C40C66FF867C}">
                  <a14:compatExt spid="_x0000_s225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57</xdr:row>
          <xdr:rowOff>7620</xdr:rowOff>
        </xdr:from>
        <xdr:to>
          <xdr:col>7</xdr:col>
          <xdr:colOff>396240</xdr:colOff>
          <xdr:row>58</xdr:row>
          <xdr:rowOff>0</xdr:rowOff>
        </xdr:to>
        <xdr:sp macro="" textlink="">
          <xdr:nvSpPr>
            <xdr:cNvPr id="22545" name="Check Box 17" hidden="1">
              <a:extLst>
                <a:ext uri="{63B3BB69-23CF-44E3-9099-C40C66FF867C}">
                  <a14:compatExt spid="_x0000_s225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58</xdr:row>
          <xdr:rowOff>7620</xdr:rowOff>
        </xdr:from>
        <xdr:to>
          <xdr:col>7</xdr:col>
          <xdr:colOff>396240</xdr:colOff>
          <xdr:row>59</xdr:row>
          <xdr:rowOff>0</xdr:rowOff>
        </xdr:to>
        <xdr:sp macro="" textlink="">
          <xdr:nvSpPr>
            <xdr:cNvPr id="22546" name="Check Box 18" hidden="1">
              <a:extLst>
                <a:ext uri="{63B3BB69-23CF-44E3-9099-C40C66FF867C}">
                  <a14:compatExt spid="_x0000_s225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59</xdr:row>
          <xdr:rowOff>7620</xdr:rowOff>
        </xdr:from>
        <xdr:to>
          <xdr:col>7</xdr:col>
          <xdr:colOff>396240</xdr:colOff>
          <xdr:row>60</xdr:row>
          <xdr:rowOff>0</xdr:rowOff>
        </xdr:to>
        <xdr:sp macro="" textlink="">
          <xdr:nvSpPr>
            <xdr:cNvPr id="22547" name="Check Box 19" hidden="1">
              <a:extLst>
                <a:ext uri="{63B3BB69-23CF-44E3-9099-C40C66FF867C}">
                  <a14:compatExt spid="_x0000_s225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60</xdr:row>
          <xdr:rowOff>7620</xdr:rowOff>
        </xdr:from>
        <xdr:to>
          <xdr:col>7</xdr:col>
          <xdr:colOff>396240</xdr:colOff>
          <xdr:row>61</xdr:row>
          <xdr:rowOff>0</xdr:rowOff>
        </xdr:to>
        <xdr:sp macro="" textlink="">
          <xdr:nvSpPr>
            <xdr:cNvPr id="22548" name="Check Box 20" hidden="1">
              <a:extLst>
                <a:ext uri="{63B3BB69-23CF-44E3-9099-C40C66FF867C}">
                  <a14:compatExt spid="_x0000_s225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61</xdr:row>
          <xdr:rowOff>7620</xdr:rowOff>
        </xdr:from>
        <xdr:to>
          <xdr:col>7</xdr:col>
          <xdr:colOff>396240</xdr:colOff>
          <xdr:row>62</xdr:row>
          <xdr:rowOff>0</xdr:rowOff>
        </xdr:to>
        <xdr:sp macro="" textlink="">
          <xdr:nvSpPr>
            <xdr:cNvPr id="22549" name="Check Box 21" hidden="1">
              <a:extLst>
                <a:ext uri="{63B3BB69-23CF-44E3-9099-C40C66FF867C}">
                  <a14:compatExt spid="_x0000_s225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55</xdr:row>
          <xdr:rowOff>7620</xdr:rowOff>
        </xdr:from>
        <xdr:to>
          <xdr:col>10</xdr:col>
          <xdr:colOff>396240</xdr:colOff>
          <xdr:row>56</xdr:row>
          <xdr:rowOff>0</xdr:rowOff>
        </xdr:to>
        <xdr:sp macro="" textlink="">
          <xdr:nvSpPr>
            <xdr:cNvPr id="22550" name="Check Box 22" hidden="1">
              <a:extLst>
                <a:ext uri="{63B3BB69-23CF-44E3-9099-C40C66FF867C}">
                  <a14:compatExt spid="_x0000_s225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56</xdr:row>
          <xdr:rowOff>7620</xdr:rowOff>
        </xdr:from>
        <xdr:to>
          <xdr:col>10</xdr:col>
          <xdr:colOff>396240</xdr:colOff>
          <xdr:row>57</xdr:row>
          <xdr:rowOff>0</xdr:rowOff>
        </xdr:to>
        <xdr:sp macro="" textlink="">
          <xdr:nvSpPr>
            <xdr:cNvPr id="22551" name="Check Box 23" hidden="1">
              <a:extLst>
                <a:ext uri="{63B3BB69-23CF-44E3-9099-C40C66FF867C}">
                  <a14:compatExt spid="_x0000_s225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57</xdr:row>
          <xdr:rowOff>7620</xdr:rowOff>
        </xdr:from>
        <xdr:to>
          <xdr:col>10</xdr:col>
          <xdr:colOff>396240</xdr:colOff>
          <xdr:row>58</xdr:row>
          <xdr:rowOff>0</xdr:rowOff>
        </xdr:to>
        <xdr:sp macro="" textlink="">
          <xdr:nvSpPr>
            <xdr:cNvPr id="22552" name="Check Box 24" hidden="1">
              <a:extLst>
                <a:ext uri="{63B3BB69-23CF-44E3-9099-C40C66FF867C}">
                  <a14:compatExt spid="_x0000_s225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58</xdr:row>
          <xdr:rowOff>7620</xdr:rowOff>
        </xdr:from>
        <xdr:to>
          <xdr:col>10</xdr:col>
          <xdr:colOff>396240</xdr:colOff>
          <xdr:row>59</xdr:row>
          <xdr:rowOff>0</xdr:rowOff>
        </xdr:to>
        <xdr:sp macro="" textlink="">
          <xdr:nvSpPr>
            <xdr:cNvPr id="22553" name="Check Box 25" hidden="1">
              <a:extLst>
                <a:ext uri="{63B3BB69-23CF-44E3-9099-C40C66FF867C}">
                  <a14:compatExt spid="_x0000_s225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59</xdr:row>
          <xdr:rowOff>7620</xdr:rowOff>
        </xdr:from>
        <xdr:to>
          <xdr:col>10</xdr:col>
          <xdr:colOff>396240</xdr:colOff>
          <xdr:row>60</xdr:row>
          <xdr:rowOff>0</xdr:rowOff>
        </xdr:to>
        <xdr:sp macro="" textlink="">
          <xdr:nvSpPr>
            <xdr:cNvPr id="22554" name="Check Box 26" hidden="1">
              <a:extLst>
                <a:ext uri="{63B3BB69-23CF-44E3-9099-C40C66FF867C}">
                  <a14:compatExt spid="_x0000_s225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60</xdr:row>
          <xdr:rowOff>7620</xdr:rowOff>
        </xdr:from>
        <xdr:to>
          <xdr:col>10</xdr:col>
          <xdr:colOff>396240</xdr:colOff>
          <xdr:row>61</xdr:row>
          <xdr:rowOff>0</xdr:rowOff>
        </xdr:to>
        <xdr:sp macro="" textlink="">
          <xdr:nvSpPr>
            <xdr:cNvPr id="22555" name="Check Box 27" hidden="1">
              <a:extLst>
                <a:ext uri="{63B3BB69-23CF-44E3-9099-C40C66FF867C}">
                  <a14:compatExt spid="_x0000_s225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41</xdr:row>
          <xdr:rowOff>7620</xdr:rowOff>
        </xdr:from>
        <xdr:to>
          <xdr:col>6</xdr:col>
          <xdr:colOff>396240</xdr:colOff>
          <xdr:row>42</xdr:row>
          <xdr:rowOff>0</xdr:rowOff>
        </xdr:to>
        <xdr:sp macro="" textlink="">
          <xdr:nvSpPr>
            <xdr:cNvPr id="22556" name="Check Box 28" hidden="1">
              <a:extLst>
                <a:ext uri="{63B3BB69-23CF-44E3-9099-C40C66FF867C}">
                  <a14:compatExt spid="_x0000_s225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42</xdr:row>
          <xdr:rowOff>7620</xdr:rowOff>
        </xdr:from>
        <xdr:to>
          <xdr:col>6</xdr:col>
          <xdr:colOff>396240</xdr:colOff>
          <xdr:row>43</xdr:row>
          <xdr:rowOff>0</xdr:rowOff>
        </xdr:to>
        <xdr:sp macro="" textlink="">
          <xdr:nvSpPr>
            <xdr:cNvPr id="22557" name="Check Box 29" hidden="1">
              <a:extLst>
                <a:ext uri="{63B3BB69-23CF-44E3-9099-C40C66FF867C}">
                  <a14:compatExt spid="_x0000_s225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43</xdr:row>
          <xdr:rowOff>7620</xdr:rowOff>
        </xdr:from>
        <xdr:to>
          <xdr:col>6</xdr:col>
          <xdr:colOff>396240</xdr:colOff>
          <xdr:row>44</xdr:row>
          <xdr:rowOff>0</xdr:rowOff>
        </xdr:to>
        <xdr:sp macro="" textlink="">
          <xdr:nvSpPr>
            <xdr:cNvPr id="22558" name="Check Box 30" hidden="1">
              <a:extLst>
                <a:ext uri="{63B3BB69-23CF-44E3-9099-C40C66FF867C}">
                  <a14:compatExt spid="_x0000_s225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44</xdr:row>
          <xdr:rowOff>7620</xdr:rowOff>
        </xdr:from>
        <xdr:to>
          <xdr:col>6</xdr:col>
          <xdr:colOff>396240</xdr:colOff>
          <xdr:row>45</xdr:row>
          <xdr:rowOff>0</xdr:rowOff>
        </xdr:to>
        <xdr:sp macro="" textlink="">
          <xdr:nvSpPr>
            <xdr:cNvPr id="22559" name="Check Box 31" hidden="1">
              <a:extLst>
                <a:ext uri="{63B3BB69-23CF-44E3-9099-C40C66FF867C}">
                  <a14:compatExt spid="_x0000_s225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45</xdr:row>
          <xdr:rowOff>7620</xdr:rowOff>
        </xdr:from>
        <xdr:to>
          <xdr:col>6</xdr:col>
          <xdr:colOff>396240</xdr:colOff>
          <xdr:row>46</xdr:row>
          <xdr:rowOff>0</xdr:rowOff>
        </xdr:to>
        <xdr:sp macro="" textlink="">
          <xdr:nvSpPr>
            <xdr:cNvPr id="22560" name="Check Box 32" hidden="1">
              <a:extLst>
                <a:ext uri="{63B3BB69-23CF-44E3-9099-C40C66FF867C}">
                  <a14:compatExt spid="_x0000_s225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41</xdr:row>
          <xdr:rowOff>7620</xdr:rowOff>
        </xdr:from>
        <xdr:to>
          <xdr:col>1</xdr:col>
          <xdr:colOff>396240</xdr:colOff>
          <xdr:row>42</xdr:row>
          <xdr:rowOff>0</xdr:rowOff>
        </xdr:to>
        <xdr:sp macro="" textlink="">
          <xdr:nvSpPr>
            <xdr:cNvPr id="22561" name="Check Box 33" hidden="1">
              <a:extLst>
                <a:ext uri="{63B3BB69-23CF-44E3-9099-C40C66FF867C}">
                  <a14:compatExt spid="_x0000_s225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42</xdr:row>
          <xdr:rowOff>15240</xdr:rowOff>
        </xdr:from>
        <xdr:to>
          <xdr:col>1</xdr:col>
          <xdr:colOff>396240</xdr:colOff>
          <xdr:row>43</xdr:row>
          <xdr:rowOff>7620</xdr:rowOff>
        </xdr:to>
        <xdr:sp macro="" textlink="">
          <xdr:nvSpPr>
            <xdr:cNvPr id="22562" name="Check Box 34" hidden="1">
              <a:extLst>
                <a:ext uri="{63B3BB69-23CF-44E3-9099-C40C66FF867C}">
                  <a14:compatExt spid="_x0000_s225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43</xdr:row>
          <xdr:rowOff>7620</xdr:rowOff>
        </xdr:from>
        <xdr:to>
          <xdr:col>1</xdr:col>
          <xdr:colOff>396240</xdr:colOff>
          <xdr:row>44</xdr:row>
          <xdr:rowOff>0</xdr:rowOff>
        </xdr:to>
        <xdr:sp macro="" textlink="">
          <xdr:nvSpPr>
            <xdr:cNvPr id="22564" name="Check Box 36" hidden="1">
              <a:extLst>
                <a:ext uri="{63B3BB69-23CF-44E3-9099-C40C66FF867C}">
                  <a14:compatExt spid="_x0000_s225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44</xdr:row>
          <xdr:rowOff>7620</xdr:rowOff>
        </xdr:from>
        <xdr:to>
          <xdr:col>1</xdr:col>
          <xdr:colOff>396240</xdr:colOff>
          <xdr:row>45</xdr:row>
          <xdr:rowOff>0</xdr:rowOff>
        </xdr:to>
        <xdr:sp macro="" textlink="">
          <xdr:nvSpPr>
            <xdr:cNvPr id="22565" name="Check Box 37" hidden="1">
              <a:extLst>
                <a:ext uri="{63B3BB69-23CF-44E3-9099-C40C66FF867C}">
                  <a14:compatExt spid="_x0000_s225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45</xdr:row>
          <xdr:rowOff>7620</xdr:rowOff>
        </xdr:from>
        <xdr:to>
          <xdr:col>1</xdr:col>
          <xdr:colOff>396240</xdr:colOff>
          <xdr:row>46</xdr:row>
          <xdr:rowOff>0</xdr:rowOff>
        </xdr:to>
        <xdr:sp macro="" textlink="">
          <xdr:nvSpPr>
            <xdr:cNvPr id="22566" name="Check Box 38" hidden="1">
              <a:extLst>
                <a:ext uri="{63B3BB69-23CF-44E3-9099-C40C66FF867C}">
                  <a14:compatExt spid="_x0000_s225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46</xdr:row>
          <xdr:rowOff>7620</xdr:rowOff>
        </xdr:from>
        <xdr:to>
          <xdr:col>1</xdr:col>
          <xdr:colOff>396240</xdr:colOff>
          <xdr:row>47</xdr:row>
          <xdr:rowOff>0</xdr:rowOff>
        </xdr:to>
        <xdr:sp macro="" textlink="">
          <xdr:nvSpPr>
            <xdr:cNvPr id="22567" name="Check Box 39" hidden="1">
              <a:extLst>
                <a:ext uri="{63B3BB69-23CF-44E3-9099-C40C66FF867C}">
                  <a14:compatExt spid="_x0000_s225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47</xdr:row>
          <xdr:rowOff>7620</xdr:rowOff>
        </xdr:from>
        <xdr:to>
          <xdr:col>1</xdr:col>
          <xdr:colOff>396240</xdr:colOff>
          <xdr:row>48</xdr:row>
          <xdr:rowOff>0</xdr:rowOff>
        </xdr:to>
        <xdr:sp macro="" textlink="">
          <xdr:nvSpPr>
            <xdr:cNvPr id="22568" name="Check Box 40" hidden="1">
              <a:extLst>
                <a:ext uri="{63B3BB69-23CF-44E3-9099-C40C66FF867C}">
                  <a14:compatExt spid="_x0000_s225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48</xdr:row>
          <xdr:rowOff>7620</xdr:rowOff>
        </xdr:from>
        <xdr:to>
          <xdr:col>1</xdr:col>
          <xdr:colOff>396240</xdr:colOff>
          <xdr:row>49</xdr:row>
          <xdr:rowOff>0</xdr:rowOff>
        </xdr:to>
        <xdr:sp macro="" textlink="">
          <xdr:nvSpPr>
            <xdr:cNvPr id="22569" name="Check Box 41" hidden="1">
              <a:extLst>
                <a:ext uri="{63B3BB69-23CF-44E3-9099-C40C66FF867C}">
                  <a14:compatExt spid="_x0000_s225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49</xdr:row>
          <xdr:rowOff>7620</xdr:rowOff>
        </xdr:from>
        <xdr:to>
          <xdr:col>1</xdr:col>
          <xdr:colOff>396240</xdr:colOff>
          <xdr:row>50</xdr:row>
          <xdr:rowOff>0</xdr:rowOff>
        </xdr:to>
        <xdr:sp macro="" textlink="">
          <xdr:nvSpPr>
            <xdr:cNvPr id="22570" name="Check Box 42" hidden="1">
              <a:extLst>
                <a:ext uri="{63B3BB69-23CF-44E3-9099-C40C66FF867C}">
                  <a14:compatExt spid="_x0000_s225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50</xdr:row>
          <xdr:rowOff>7620</xdr:rowOff>
        </xdr:from>
        <xdr:to>
          <xdr:col>1</xdr:col>
          <xdr:colOff>396240</xdr:colOff>
          <xdr:row>51</xdr:row>
          <xdr:rowOff>0</xdr:rowOff>
        </xdr:to>
        <xdr:sp macro="" textlink="">
          <xdr:nvSpPr>
            <xdr:cNvPr id="22571" name="Check Box 43" hidden="1">
              <a:extLst>
                <a:ext uri="{63B3BB69-23CF-44E3-9099-C40C66FF867C}">
                  <a14:compatExt spid="_x0000_s225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51</xdr:row>
          <xdr:rowOff>7620</xdr:rowOff>
        </xdr:from>
        <xdr:to>
          <xdr:col>1</xdr:col>
          <xdr:colOff>396240</xdr:colOff>
          <xdr:row>52</xdr:row>
          <xdr:rowOff>0</xdr:rowOff>
        </xdr:to>
        <xdr:sp macro="" textlink="">
          <xdr:nvSpPr>
            <xdr:cNvPr id="22572" name="Check Box 44" hidden="1">
              <a:extLst>
                <a:ext uri="{63B3BB69-23CF-44E3-9099-C40C66FF867C}">
                  <a14:compatExt spid="_x0000_s225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22</xdr:row>
          <xdr:rowOff>7620</xdr:rowOff>
        </xdr:from>
        <xdr:to>
          <xdr:col>1</xdr:col>
          <xdr:colOff>396240</xdr:colOff>
          <xdr:row>22</xdr:row>
          <xdr:rowOff>182880</xdr:rowOff>
        </xdr:to>
        <xdr:sp macro="" textlink="">
          <xdr:nvSpPr>
            <xdr:cNvPr id="22573" name="Check Box 45" hidden="1">
              <a:extLst>
                <a:ext uri="{63B3BB69-23CF-44E3-9099-C40C66FF867C}">
                  <a14:compatExt spid="_x0000_s225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23</xdr:row>
          <xdr:rowOff>7620</xdr:rowOff>
        </xdr:from>
        <xdr:to>
          <xdr:col>1</xdr:col>
          <xdr:colOff>396240</xdr:colOff>
          <xdr:row>23</xdr:row>
          <xdr:rowOff>182880</xdr:rowOff>
        </xdr:to>
        <xdr:sp macro="" textlink="">
          <xdr:nvSpPr>
            <xdr:cNvPr id="22574" name="Check Box 46" hidden="1">
              <a:extLst>
                <a:ext uri="{63B3BB69-23CF-44E3-9099-C40C66FF867C}">
                  <a14:compatExt spid="_x0000_s225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24</xdr:row>
          <xdr:rowOff>7620</xdr:rowOff>
        </xdr:from>
        <xdr:to>
          <xdr:col>1</xdr:col>
          <xdr:colOff>396240</xdr:colOff>
          <xdr:row>25</xdr:row>
          <xdr:rowOff>0</xdr:rowOff>
        </xdr:to>
        <xdr:sp macro="" textlink="">
          <xdr:nvSpPr>
            <xdr:cNvPr id="22575" name="Check Box 47" hidden="1">
              <a:extLst>
                <a:ext uri="{63B3BB69-23CF-44E3-9099-C40C66FF867C}">
                  <a14:compatExt spid="_x0000_s225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25</xdr:row>
          <xdr:rowOff>7620</xdr:rowOff>
        </xdr:from>
        <xdr:to>
          <xdr:col>1</xdr:col>
          <xdr:colOff>396240</xdr:colOff>
          <xdr:row>26</xdr:row>
          <xdr:rowOff>0</xdr:rowOff>
        </xdr:to>
        <xdr:sp macro="" textlink="">
          <xdr:nvSpPr>
            <xdr:cNvPr id="22576" name="Check Box 48" hidden="1">
              <a:extLst>
                <a:ext uri="{63B3BB69-23CF-44E3-9099-C40C66FF867C}">
                  <a14:compatExt spid="_x0000_s225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26</xdr:row>
          <xdr:rowOff>7620</xdr:rowOff>
        </xdr:from>
        <xdr:to>
          <xdr:col>1</xdr:col>
          <xdr:colOff>396240</xdr:colOff>
          <xdr:row>27</xdr:row>
          <xdr:rowOff>0</xdr:rowOff>
        </xdr:to>
        <xdr:sp macro="" textlink="">
          <xdr:nvSpPr>
            <xdr:cNvPr id="22577" name="Check Box 49" hidden="1">
              <a:extLst>
                <a:ext uri="{63B3BB69-23CF-44E3-9099-C40C66FF867C}">
                  <a14:compatExt spid="_x0000_s225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27</xdr:row>
          <xdr:rowOff>7620</xdr:rowOff>
        </xdr:from>
        <xdr:to>
          <xdr:col>1</xdr:col>
          <xdr:colOff>396240</xdr:colOff>
          <xdr:row>27</xdr:row>
          <xdr:rowOff>182880</xdr:rowOff>
        </xdr:to>
        <xdr:sp macro="" textlink="">
          <xdr:nvSpPr>
            <xdr:cNvPr id="22578" name="Check Box 50" hidden="1">
              <a:extLst>
                <a:ext uri="{63B3BB69-23CF-44E3-9099-C40C66FF867C}">
                  <a14:compatExt spid="_x0000_s225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28</xdr:row>
          <xdr:rowOff>7620</xdr:rowOff>
        </xdr:from>
        <xdr:to>
          <xdr:col>1</xdr:col>
          <xdr:colOff>396240</xdr:colOff>
          <xdr:row>28</xdr:row>
          <xdr:rowOff>182880</xdr:rowOff>
        </xdr:to>
        <xdr:sp macro="" textlink="">
          <xdr:nvSpPr>
            <xdr:cNvPr id="22579" name="Check Box 51" hidden="1">
              <a:extLst>
                <a:ext uri="{63B3BB69-23CF-44E3-9099-C40C66FF867C}">
                  <a14:compatExt spid="_x0000_s225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29</xdr:row>
          <xdr:rowOff>7620</xdr:rowOff>
        </xdr:from>
        <xdr:to>
          <xdr:col>1</xdr:col>
          <xdr:colOff>396240</xdr:colOff>
          <xdr:row>29</xdr:row>
          <xdr:rowOff>182880</xdr:rowOff>
        </xdr:to>
        <xdr:sp macro="" textlink="">
          <xdr:nvSpPr>
            <xdr:cNvPr id="22580" name="Check Box 52" hidden="1">
              <a:extLst>
                <a:ext uri="{63B3BB69-23CF-44E3-9099-C40C66FF867C}">
                  <a14:compatExt spid="_x0000_s225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30</xdr:row>
          <xdr:rowOff>7620</xdr:rowOff>
        </xdr:from>
        <xdr:to>
          <xdr:col>1</xdr:col>
          <xdr:colOff>396240</xdr:colOff>
          <xdr:row>31</xdr:row>
          <xdr:rowOff>0</xdr:rowOff>
        </xdr:to>
        <xdr:sp macro="" textlink="">
          <xdr:nvSpPr>
            <xdr:cNvPr id="22581" name="Check Box 53" hidden="1">
              <a:extLst>
                <a:ext uri="{63B3BB69-23CF-44E3-9099-C40C66FF867C}">
                  <a14:compatExt spid="_x0000_s225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31</xdr:row>
          <xdr:rowOff>7620</xdr:rowOff>
        </xdr:from>
        <xdr:to>
          <xdr:col>1</xdr:col>
          <xdr:colOff>396240</xdr:colOff>
          <xdr:row>32</xdr:row>
          <xdr:rowOff>0</xdr:rowOff>
        </xdr:to>
        <xdr:sp macro="" textlink="">
          <xdr:nvSpPr>
            <xdr:cNvPr id="22582" name="Check Box 54" hidden="1">
              <a:extLst>
                <a:ext uri="{63B3BB69-23CF-44E3-9099-C40C66FF867C}">
                  <a14:compatExt spid="_x0000_s225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32</xdr:row>
          <xdr:rowOff>7620</xdr:rowOff>
        </xdr:from>
        <xdr:to>
          <xdr:col>1</xdr:col>
          <xdr:colOff>396240</xdr:colOff>
          <xdr:row>32</xdr:row>
          <xdr:rowOff>182880</xdr:rowOff>
        </xdr:to>
        <xdr:sp macro="" textlink="">
          <xdr:nvSpPr>
            <xdr:cNvPr id="22583" name="Check Box 55" hidden="1">
              <a:extLst>
                <a:ext uri="{63B3BB69-23CF-44E3-9099-C40C66FF867C}">
                  <a14:compatExt spid="_x0000_s225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33</xdr:row>
          <xdr:rowOff>7620</xdr:rowOff>
        </xdr:from>
        <xdr:to>
          <xdr:col>1</xdr:col>
          <xdr:colOff>396240</xdr:colOff>
          <xdr:row>34</xdr:row>
          <xdr:rowOff>0</xdr:rowOff>
        </xdr:to>
        <xdr:sp macro="" textlink="">
          <xdr:nvSpPr>
            <xdr:cNvPr id="22584" name="Check Box 56" hidden="1">
              <a:extLst>
                <a:ext uri="{63B3BB69-23CF-44E3-9099-C40C66FF867C}">
                  <a14:compatExt spid="_x0000_s225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34</xdr:row>
          <xdr:rowOff>7620</xdr:rowOff>
        </xdr:from>
        <xdr:to>
          <xdr:col>1</xdr:col>
          <xdr:colOff>396240</xdr:colOff>
          <xdr:row>35</xdr:row>
          <xdr:rowOff>0</xdr:rowOff>
        </xdr:to>
        <xdr:sp macro="" textlink="">
          <xdr:nvSpPr>
            <xdr:cNvPr id="22585" name="Check Box 57" hidden="1">
              <a:extLst>
                <a:ext uri="{63B3BB69-23CF-44E3-9099-C40C66FF867C}">
                  <a14:compatExt spid="_x0000_s225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35</xdr:row>
          <xdr:rowOff>7620</xdr:rowOff>
        </xdr:from>
        <xdr:to>
          <xdr:col>1</xdr:col>
          <xdr:colOff>396240</xdr:colOff>
          <xdr:row>35</xdr:row>
          <xdr:rowOff>182880</xdr:rowOff>
        </xdr:to>
        <xdr:sp macro="" textlink="">
          <xdr:nvSpPr>
            <xdr:cNvPr id="22586" name="Check Box 58" hidden="1">
              <a:extLst>
                <a:ext uri="{63B3BB69-23CF-44E3-9099-C40C66FF867C}">
                  <a14:compatExt spid="_x0000_s225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36</xdr:row>
          <xdr:rowOff>7620</xdr:rowOff>
        </xdr:from>
        <xdr:to>
          <xdr:col>1</xdr:col>
          <xdr:colOff>396240</xdr:colOff>
          <xdr:row>37</xdr:row>
          <xdr:rowOff>0</xdr:rowOff>
        </xdr:to>
        <xdr:sp macro="" textlink="">
          <xdr:nvSpPr>
            <xdr:cNvPr id="22587" name="Check Box 59" hidden="1">
              <a:extLst>
                <a:ext uri="{63B3BB69-23CF-44E3-9099-C40C66FF867C}">
                  <a14:compatExt spid="_x0000_s225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22</xdr:row>
          <xdr:rowOff>7620</xdr:rowOff>
        </xdr:from>
        <xdr:to>
          <xdr:col>4</xdr:col>
          <xdr:colOff>396240</xdr:colOff>
          <xdr:row>22</xdr:row>
          <xdr:rowOff>182880</xdr:rowOff>
        </xdr:to>
        <xdr:sp macro="" textlink="">
          <xdr:nvSpPr>
            <xdr:cNvPr id="22588" name="Check Box 60" hidden="1">
              <a:extLst>
                <a:ext uri="{63B3BB69-23CF-44E3-9099-C40C66FF867C}">
                  <a14:compatExt spid="_x0000_s225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23</xdr:row>
          <xdr:rowOff>7620</xdr:rowOff>
        </xdr:from>
        <xdr:to>
          <xdr:col>4</xdr:col>
          <xdr:colOff>396240</xdr:colOff>
          <xdr:row>23</xdr:row>
          <xdr:rowOff>182880</xdr:rowOff>
        </xdr:to>
        <xdr:sp macro="" textlink="">
          <xdr:nvSpPr>
            <xdr:cNvPr id="22589" name="Check Box 61" hidden="1">
              <a:extLst>
                <a:ext uri="{63B3BB69-23CF-44E3-9099-C40C66FF867C}">
                  <a14:compatExt spid="_x0000_s225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24</xdr:row>
          <xdr:rowOff>7620</xdr:rowOff>
        </xdr:from>
        <xdr:to>
          <xdr:col>4</xdr:col>
          <xdr:colOff>396240</xdr:colOff>
          <xdr:row>25</xdr:row>
          <xdr:rowOff>0</xdr:rowOff>
        </xdr:to>
        <xdr:sp macro="" textlink="">
          <xdr:nvSpPr>
            <xdr:cNvPr id="22590" name="Check Box 62" hidden="1">
              <a:extLst>
                <a:ext uri="{63B3BB69-23CF-44E3-9099-C40C66FF867C}">
                  <a14:compatExt spid="_x0000_s225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26</xdr:row>
          <xdr:rowOff>7620</xdr:rowOff>
        </xdr:from>
        <xdr:to>
          <xdr:col>4</xdr:col>
          <xdr:colOff>396240</xdr:colOff>
          <xdr:row>27</xdr:row>
          <xdr:rowOff>0</xdr:rowOff>
        </xdr:to>
        <xdr:sp macro="" textlink="">
          <xdr:nvSpPr>
            <xdr:cNvPr id="22591" name="Check Box 63" hidden="1">
              <a:extLst>
                <a:ext uri="{63B3BB69-23CF-44E3-9099-C40C66FF867C}">
                  <a14:compatExt spid="_x0000_s225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27</xdr:row>
          <xdr:rowOff>7620</xdr:rowOff>
        </xdr:from>
        <xdr:to>
          <xdr:col>4</xdr:col>
          <xdr:colOff>396240</xdr:colOff>
          <xdr:row>27</xdr:row>
          <xdr:rowOff>182880</xdr:rowOff>
        </xdr:to>
        <xdr:sp macro="" textlink="">
          <xdr:nvSpPr>
            <xdr:cNvPr id="22592" name="Check Box 64" hidden="1">
              <a:extLst>
                <a:ext uri="{63B3BB69-23CF-44E3-9099-C40C66FF867C}">
                  <a14:compatExt spid="_x0000_s225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25</xdr:row>
          <xdr:rowOff>7620</xdr:rowOff>
        </xdr:from>
        <xdr:to>
          <xdr:col>4</xdr:col>
          <xdr:colOff>396240</xdr:colOff>
          <xdr:row>26</xdr:row>
          <xdr:rowOff>0</xdr:rowOff>
        </xdr:to>
        <xdr:sp macro="" textlink="">
          <xdr:nvSpPr>
            <xdr:cNvPr id="22593" name="Check Box 65" hidden="1">
              <a:extLst>
                <a:ext uri="{63B3BB69-23CF-44E3-9099-C40C66FF867C}">
                  <a14:compatExt spid="_x0000_s225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28</xdr:row>
          <xdr:rowOff>7620</xdr:rowOff>
        </xdr:from>
        <xdr:to>
          <xdr:col>4</xdr:col>
          <xdr:colOff>396240</xdr:colOff>
          <xdr:row>28</xdr:row>
          <xdr:rowOff>182880</xdr:rowOff>
        </xdr:to>
        <xdr:sp macro="" textlink="">
          <xdr:nvSpPr>
            <xdr:cNvPr id="22594" name="Check Box 66" hidden="1">
              <a:extLst>
                <a:ext uri="{63B3BB69-23CF-44E3-9099-C40C66FF867C}">
                  <a14:compatExt spid="_x0000_s225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29</xdr:row>
          <xdr:rowOff>7620</xdr:rowOff>
        </xdr:from>
        <xdr:to>
          <xdr:col>4</xdr:col>
          <xdr:colOff>396240</xdr:colOff>
          <xdr:row>29</xdr:row>
          <xdr:rowOff>182880</xdr:rowOff>
        </xdr:to>
        <xdr:sp macro="" textlink="">
          <xdr:nvSpPr>
            <xdr:cNvPr id="22595" name="Check Box 67" hidden="1">
              <a:extLst>
                <a:ext uri="{63B3BB69-23CF-44E3-9099-C40C66FF867C}">
                  <a14:compatExt spid="_x0000_s225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30</xdr:row>
          <xdr:rowOff>7620</xdr:rowOff>
        </xdr:from>
        <xdr:to>
          <xdr:col>4</xdr:col>
          <xdr:colOff>396240</xdr:colOff>
          <xdr:row>31</xdr:row>
          <xdr:rowOff>0</xdr:rowOff>
        </xdr:to>
        <xdr:sp macro="" textlink="">
          <xdr:nvSpPr>
            <xdr:cNvPr id="22596" name="Check Box 68" hidden="1">
              <a:extLst>
                <a:ext uri="{63B3BB69-23CF-44E3-9099-C40C66FF867C}">
                  <a14:compatExt spid="_x0000_s225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32</xdr:row>
          <xdr:rowOff>7620</xdr:rowOff>
        </xdr:from>
        <xdr:to>
          <xdr:col>4</xdr:col>
          <xdr:colOff>396240</xdr:colOff>
          <xdr:row>32</xdr:row>
          <xdr:rowOff>182880</xdr:rowOff>
        </xdr:to>
        <xdr:sp macro="" textlink="">
          <xdr:nvSpPr>
            <xdr:cNvPr id="22597" name="Check Box 69" hidden="1">
              <a:extLst>
                <a:ext uri="{63B3BB69-23CF-44E3-9099-C40C66FF867C}">
                  <a14:compatExt spid="_x0000_s225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31</xdr:row>
          <xdr:rowOff>7620</xdr:rowOff>
        </xdr:from>
        <xdr:to>
          <xdr:col>4</xdr:col>
          <xdr:colOff>396240</xdr:colOff>
          <xdr:row>32</xdr:row>
          <xdr:rowOff>0</xdr:rowOff>
        </xdr:to>
        <xdr:sp macro="" textlink="">
          <xdr:nvSpPr>
            <xdr:cNvPr id="22598" name="Check Box 70" hidden="1">
              <a:extLst>
                <a:ext uri="{63B3BB69-23CF-44E3-9099-C40C66FF867C}">
                  <a14:compatExt spid="_x0000_s225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33</xdr:row>
          <xdr:rowOff>7620</xdr:rowOff>
        </xdr:from>
        <xdr:to>
          <xdr:col>4</xdr:col>
          <xdr:colOff>396240</xdr:colOff>
          <xdr:row>34</xdr:row>
          <xdr:rowOff>0</xdr:rowOff>
        </xdr:to>
        <xdr:sp macro="" textlink="">
          <xdr:nvSpPr>
            <xdr:cNvPr id="22599" name="Check Box 71" hidden="1">
              <a:extLst>
                <a:ext uri="{63B3BB69-23CF-44E3-9099-C40C66FF867C}">
                  <a14:compatExt spid="_x0000_s225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34</xdr:row>
          <xdr:rowOff>7620</xdr:rowOff>
        </xdr:from>
        <xdr:to>
          <xdr:col>4</xdr:col>
          <xdr:colOff>396240</xdr:colOff>
          <xdr:row>35</xdr:row>
          <xdr:rowOff>0</xdr:rowOff>
        </xdr:to>
        <xdr:sp macro="" textlink="">
          <xdr:nvSpPr>
            <xdr:cNvPr id="22600" name="Check Box 72" hidden="1">
              <a:extLst>
                <a:ext uri="{63B3BB69-23CF-44E3-9099-C40C66FF867C}">
                  <a14:compatExt spid="_x0000_s226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35</xdr:row>
          <xdr:rowOff>7620</xdr:rowOff>
        </xdr:from>
        <xdr:to>
          <xdr:col>4</xdr:col>
          <xdr:colOff>396240</xdr:colOff>
          <xdr:row>35</xdr:row>
          <xdr:rowOff>182880</xdr:rowOff>
        </xdr:to>
        <xdr:sp macro="" textlink="">
          <xdr:nvSpPr>
            <xdr:cNvPr id="22601" name="Check Box 73" hidden="1">
              <a:extLst>
                <a:ext uri="{63B3BB69-23CF-44E3-9099-C40C66FF867C}">
                  <a14:compatExt spid="_x0000_s226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36</xdr:row>
          <xdr:rowOff>7620</xdr:rowOff>
        </xdr:from>
        <xdr:to>
          <xdr:col>4</xdr:col>
          <xdr:colOff>396240</xdr:colOff>
          <xdr:row>37</xdr:row>
          <xdr:rowOff>0</xdr:rowOff>
        </xdr:to>
        <xdr:sp macro="" textlink="">
          <xdr:nvSpPr>
            <xdr:cNvPr id="22602" name="Check Box 74" hidden="1">
              <a:extLst>
                <a:ext uri="{63B3BB69-23CF-44E3-9099-C40C66FF867C}">
                  <a14:compatExt spid="_x0000_s226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22</xdr:row>
          <xdr:rowOff>7620</xdr:rowOff>
        </xdr:from>
        <xdr:to>
          <xdr:col>9</xdr:col>
          <xdr:colOff>396240</xdr:colOff>
          <xdr:row>22</xdr:row>
          <xdr:rowOff>182880</xdr:rowOff>
        </xdr:to>
        <xdr:sp macro="" textlink="">
          <xdr:nvSpPr>
            <xdr:cNvPr id="22603" name="Check Box 75" hidden="1">
              <a:extLst>
                <a:ext uri="{63B3BB69-23CF-44E3-9099-C40C66FF867C}">
                  <a14:compatExt spid="_x0000_s226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23</xdr:row>
          <xdr:rowOff>7620</xdr:rowOff>
        </xdr:from>
        <xdr:to>
          <xdr:col>9</xdr:col>
          <xdr:colOff>396240</xdr:colOff>
          <xdr:row>23</xdr:row>
          <xdr:rowOff>182880</xdr:rowOff>
        </xdr:to>
        <xdr:sp macro="" textlink="">
          <xdr:nvSpPr>
            <xdr:cNvPr id="22604" name="Check Box 76" hidden="1">
              <a:extLst>
                <a:ext uri="{63B3BB69-23CF-44E3-9099-C40C66FF867C}">
                  <a14:compatExt spid="_x0000_s226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24</xdr:row>
          <xdr:rowOff>7620</xdr:rowOff>
        </xdr:from>
        <xdr:to>
          <xdr:col>9</xdr:col>
          <xdr:colOff>396240</xdr:colOff>
          <xdr:row>25</xdr:row>
          <xdr:rowOff>0</xdr:rowOff>
        </xdr:to>
        <xdr:sp macro="" textlink="">
          <xdr:nvSpPr>
            <xdr:cNvPr id="22605" name="Check Box 77" hidden="1">
              <a:extLst>
                <a:ext uri="{63B3BB69-23CF-44E3-9099-C40C66FF867C}">
                  <a14:compatExt spid="_x0000_s226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25</xdr:row>
          <xdr:rowOff>7620</xdr:rowOff>
        </xdr:from>
        <xdr:to>
          <xdr:col>9</xdr:col>
          <xdr:colOff>396240</xdr:colOff>
          <xdr:row>26</xdr:row>
          <xdr:rowOff>0</xdr:rowOff>
        </xdr:to>
        <xdr:sp macro="" textlink="">
          <xdr:nvSpPr>
            <xdr:cNvPr id="22606" name="Check Box 78" hidden="1">
              <a:extLst>
                <a:ext uri="{63B3BB69-23CF-44E3-9099-C40C66FF867C}">
                  <a14:compatExt spid="_x0000_s226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26</xdr:row>
          <xdr:rowOff>7620</xdr:rowOff>
        </xdr:from>
        <xdr:to>
          <xdr:col>9</xdr:col>
          <xdr:colOff>396240</xdr:colOff>
          <xdr:row>27</xdr:row>
          <xdr:rowOff>0</xdr:rowOff>
        </xdr:to>
        <xdr:sp macro="" textlink="">
          <xdr:nvSpPr>
            <xdr:cNvPr id="22607" name="Check Box 79" hidden="1">
              <a:extLst>
                <a:ext uri="{63B3BB69-23CF-44E3-9099-C40C66FF867C}">
                  <a14:compatExt spid="_x0000_s226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27</xdr:row>
          <xdr:rowOff>7620</xdr:rowOff>
        </xdr:from>
        <xdr:to>
          <xdr:col>9</xdr:col>
          <xdr:colOff>396240</xdr:colOff>
          <xdr:row>27</xdr:row>
          <xdr:rowOff>182880</xdr:rowOff>
        </xdr:to>
        <xdr:sp macro="" textlink="">
          <xdr:nvSpPr>
            <xdr:cNvPr id="22608" name="Check Box 80" hidden="1">
              <a:extLst>
                <a:ext uri="{63B3BB69-23CF-44E3-9099-C40C66FF867C}">
                  <a14:compatExt spid="_x0000_s226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28</xdr:row>
          <xdr:rowOff>7620</xdr:rowOff>
        </xdr:from>
        <xdr:to>
          <xdr:col>9</xdr:col>
          <xdr:colOff>396240</xdr:colOff>
          <xdr:row>28</xdr:row>
          <xdr:rowOff>182880</xdr:rowOff>
        </xdr:to>
        <xdr:sp macro="" textlink="">
          <xdr:nvSpPr>
            <xdr:cNvPr id="22609" name="Check Box 81" hidden="1">
              <a:extLst>
                <a:ext uri="{63B3BB69-23CF-44E3-9099-C40C66FF867C}">
                  <a14:compatExt spid="_x0000_s226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xdr:row>
          <xdr:rowOff>7620</xdr:rowOff>
        </xdr:from>
        <xdr:to>
          <xdr:col>1</xdr:col>
          <xdr:colOff>396240</xdr:colOff>
          <xdr:row>3</xdr:row>
          <xdr:rowOff>0</xdr:rowOff>
        </xdr:to>
        <xdr:sp macro="" textlink="">
          <xdr:nvSpPr>
            <xdr:cNvPr id="22610" name="Check Box 82" hidden="1">
              <a:extLst>
                <a:ext uri="{63B3BB69-23CF-44E3-9099-C40C66FF867C}">
                  <a14:compatExt spid="_x0000_s226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xdr:row>
          <xdr:rowOff>7620</xdr:rowOff>
        </xdr:from>
        <xdr:to>
          <xdr:col>1</xdr:col>
          <xdr:colOff>396240</xdr:colOff>
          <xdr:row>4</xdr:row>
          <xdr:rowOff>0</xdr:rowOff>
        </xdr:to>
        <xdr:sp macro="" textlink="">
          <xdr:nvSpPr>
            <xdr:cNvPr id="22611" name="Check Box 83" hidden="1">
              <a:extLst>
                <a:ext uri="{63B3BB69-23CF-44E3-9099-C40C66FF867C}">
                  <a14:compatExt spid="_x0000_s226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xdr:row>
          <xdr:rowOff>7620</xdr:rowOff>
        </xdr:from>
        <xdr:to>
          <xdr:col>1</xdr:col>
          <xdr:colOff>396240</xdr:colOff>
          <xdr:row>5</xdr:row>
          <xdr:rowOff>0</xdr:rowOff>
        </xdr:to>
        <xdr:sp macro="" textlink="">
          <xdr:nvSpPr>
            <xdr:cNvPr id="22612" name="Check Box 84" hidden="1">
              <a:extLst>
                <a:ext uri="{63B3BB69-23CF-44E3-9099-C40C66FF867C}">
                  <a14:compatExt spid="_x0000_s226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7620</xdr:rowOff>
        </xdr:from>
        <xdr:to>
          <xdr:col>1</xdr:col>
          <xdr:colOff>396240</xdr:colOff>
          <xdr:row>6</xdr:row>
          <xdr:rowOff>0</xdr:rowOff>
        </xdr:to>
        <xdr:sp macro="" textlink="">
          <xdr:nvSpPr>
            <xdr:cNvPr id="22613" name="Check Box 85" hidden="1">
              <a:extLst>
                <a:ext uri="{63B3BB69-23CF-44E3-9099-C40C66FF867C}">
                  <a14:compatExt spid="_x0000_s226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xdr:row>
          <xdr:rowOff>7620</xdr:rowOff>
        </xdr:from>
        <xdr:to>
          <xdr:col>1</xdr:col>
          <xdr:colOff>396240</xdr:colOff>
          <xdr:row>7</xdr:row>
          <xdr:rowOff>0</xdr:rowOff>
        </xdr:to>
        <xdr:sp macro="" textlink="">
          <xdr:nvSpPr>
            <xdr:cNvPr id="22614" name="Check Box 86" hidden="1">
              <a:extLst>
                <a:ext uri="{63B3BB69-23CF-44E3-9099-C40C66FF867C}">
                  <a14:compatExt spid="_x0000_s226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7</xdr:row>
          <xdr:rowOff>7620</xdr:rowOff>
        </xdr:from>
        <xdr:to>
          <xdr:col>1</xdr:col>
          <xdr:colOff>396240</xdr:colOff>
          <xdr:row>8</xdr:row>
          <xdr:rowOff>0</xdr:rowOff>
        </xdr:to>
        <xdr:sp macro="" textlink="">
          <xdr:nvSpPr>
            <xdr:cNvPr id="22615" name="Check Box 87" hidden="1">
              <a:extLst>
                <a:ext uri="{63B3BB69-23CF-44E3-9099-C40C66FF867C}">
                  <a14:compatExt spid="_x0000_s226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xdr:row>
          <xdr:rowOff>7620</xdr:rowOff>
        </xdr:from>
        <xdr:to>
          <xdr:col>1</xdr:col>
          <xdr:colOff>396240</xdr:colOff>
          <xdr:row>9</xdr:row>
          <xdr:rowOff>0</xdr:rowOff>
        </xdr:to>
        <xdr:sp macro="" textlink="">
          <xdr:nvSpPr>
            <xdr:cNvPr id="22616" name="Check Box 88" hidden="1">
              <a:extLst>
                <a:ext uri="{63B3BB69-23CF-44E3-9099-C40C66FF867C}">
                  <a14:compatExt spid="_x0000_s226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xdr:row>
          <xdr:rowOff>7620</xdr:rowOff>
        </xdr:from>
        <xdr:to>
          <xdr:col>1</xdr:col>
          <xdr:colOff>396240</xdr:colOff>
          <xdr:row>10</xdr:row>
          <xdr:rowOff>0</xdr:rowOff>
        </xdr:to>
        <xdr:sp macro="" textlink="">
          <xdr:nvSpPr>
            <xdr:cNvPr id="22617" name="Check Box 89" hidden="1">
              <a:extLst>
                <a:ext uri="{63B3BB69-23CF-44E3-9099-C40C66FF867C}">
                  <a14:compatExt spid="_x0000_s226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xdr:row>
          <xdr:rowOff>7620</xdr:rowOff>
        </xdr:from>
        <xdr:to>
          <xdr:col>1</xdr:col>
          <xdr:colOff>396240</xdr:colOff>
          <xdr:row>11</xdr:row>
          <xdr:rowOff>0</xdr:rowOff>
        </xdr:to>
        <xdr:sp macro="" textlink="">
          <xdr:nvSpPr>
            <xdr:cNvPr id="22618" name="Check Box 90" hidden="1">
              <a:extLst>
                <a:ext uri="{63B3BB69-23CF-44E3-9099-C40C66FF867C}">
                  <a14:compatExt spid="_x0000_s226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7620</xdr:rowOff>
        </xdr:from>
        <xdr:to>
          <xdr:col>1</xdr:col>
          <xdr:colOff>396240</xdr:colOff>
          <xdr:row>12</xdr:row>
          <xdr:rowOff>0</xdr:rowOff>
        </xdr:to>
        <xdr:sp macro="" textlink="">
          <xdr:nvSpPr>
            <xdr:cNvPr id="22619" name="Check Box 91" hidden="1">
              <a:extLst>
                <a:ext uri="{63B3BB69-23CF-44E3-9099-C40C66FF867C}">
                  <a14:compatExt spid="_x0000_s226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12</xdr:row>
          <xdr:rowOff>7620</xdr:rowOff>
        </xdr:from>
        <xdr:to>
          <xdr:col>1</xdr:col>
          <xdr:colOff>396240</xdr:colOff>
          <xdr:row>13</xdr:row>
          <xdr:rowOff>0</xdr:rowOff>
        </xdr:to>
        <xdr:sp macro="" textlink="">
          <xdr:nvSpPr>
            <xdr:cNvPr id="22620" name="Check Box 92" hidden="1">
              <a:extLst>
                <a:ext uri="{63B3BB69-23CF-44E3-9099-C40C66FF867C}">
                  <a14:compatExt spid="_x0000_s226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13</xdr:row>
          <xdr:rowOff>7620</xdr:rowOff>
        </xdr:from>
        <xdr:to>
          <xdr:col>1</xdr:col>
          <xdr:colOff>396240</xdr:colOff>
          <xdr:row>14</xdr:row>
          <xdr:rowOff>0</xdr:rowOff>
        </xdr:to>
        <xdr:sp macro="" textlink="">
          <xdr:nvSpPr>
            <xdr:cNvPr id="22621" name="Check Box 93" hidden="1">
              <a:extLst>
                <a:ext uri="{63B3BB69-23CF-44E3-9099-C40C66FF867C}">
                  <a14:compatExt spid="_x0000_s226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14</xdr:row>
          <xdr:rowOff>7620</xdr:rowOff>
        </xdr:from>
        <xdr:to>
          <xdr:col>1</xdr:col>
          <xdr:colOff>396240</xdr:colOff>
          <xdr:row>15</xdr:row>
          <xdr:rowOff>0</xdr:rowOff>
        </xdr:to>
        <xdr:sp macro="" textlink="">
          <xdr:nvSpPr>
            <xdr:cNvPr id="22622" name="Check Box 94" hidden="1">
              <a:extLst>
                <a:ext uri="{63B3BB69-23CF-44E3-9099-C40C66FF867C}">
                  <a14:compatExt spid="_x0000_s226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15</xdr:row>
          <xdr:rowOff>7620</xdr:rowOff>
        </xdr:from>
        <xdr:to>
          <xdr:col>1</xdr:col>
          <xdr:colOff>396240</xdr:colOff>
          <xdr:row>16</xdr:row>
          <xdr:rowOff>0</xdr:rowOff>
        </xdr:to>
        <xdr:sp macro="" textlink="">
          <xdr:nvSpPr>
            <xdr:cNvPr id="22623" name="Check Box 95" hidden="1">
              <a:extLst>
                <a:ext uri="{63B3BB69-23CF-44E3-9099-C40C66FF867C}">
                  <a14:compatExt spid="_x0000_s226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16</xdr:row>
          <xdr:rowOff>7620</xdr:rowOff>
        </xdr:from>
        <xdr:to>
          <xdr:col>1</xdr:col>
          <xdr:colOff>396240</xdr:colOff>
          <xdr:row>17</xdr:row>
          <xdr:rowOff>0</xdr:rowOff>
        </xdr:to>
        <xdr:sp macro="" textlink="">
          <xdr:nvSpPr>
            <xdr:cNvPr id="22624" name="Check Box 96" hidden="1">
              <a:extLst>
                <a:ext uri="{63B3BB69-23CF-44E3-9099-C40C66FF867C}">
                  <a14:compatExt spid="_x0000_s226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17</xdr:row>
          <xdr:rowOff>7620</xdr:rowOff>
        </xdr:from>
        <xdr:to>
          <xdr:col>1</xdr:col>
          <xdr:colOff>396240</xdr:colOff>
          <xdr:row>18</xdr:row>
          <xdr:rowOff>0</xdr:rowOff>
        </xdr:to>
        <xdr:sp macro="" textlink="">
          <xdr:nvSpPr>
            <xdr:cNvPr id="22625" name="Check Box 97" hidden="1">
              <a:extLst>
                <a:ext uri="{63B3BB69-23CF-44E3-9099-C40C66FF867C}">
                  <a14:compatExt spid="_x0000_s226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2</xdr:row>
          <xdr:rowOff>7620</xdr:rowOff>
        </xdr:from>
        <xdr:to>
          <xdr:col>6</xdr:col>
          <xdr:colOff>396240</xdr:colOff>
          <xdr:row>3</xdr:row>
          <xdr:rowOff>0</xdr:rowOff>
        </xdr:to>
        <xdr:sp macro="" textlink="">
          <xdr:nvSpPr>
            <xdr:cNvPr id="22626" name="Check Box 98" hidden="1">
              <a:extLst>
                <a:ext uri="{63B3BB69-23CF-44E3-9099-C40C66FF867C}">
                  <a14:compatExt spid="_x0000_s226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3</xdr:row>
          <xdr:rowOff>7620</xdr:rowOff>
        </xdr:from>
        <xdr:to>
          <xdr:col>6</xdr:col>
          <xdr:colOff>396240</xdr:colOff>
          <xdr:row>4</xdr:row>
          <xdr:rowOff>0</xdr:rowOff>
        </xdr:to>
        <xdr:sp macro="" textlink="">
          <xdr:nvSpPr>
            <xdr:cNvPr id="22627" name="Check Box 99" hidden="1">
              <a:extLst>
                <a:ext uri="{63B3BB69-23CF-44E3-9099-C40C66FF867C}">
                  <a14:compatExt spid="_x0000_s226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5</xdr:row>
          <xdr:rowOff>7620</xdr:rowOff>
        </xdr:from>
        <xdr:to>
          <xdr:col>6</xdr:col>
          <xdr:colOff>396240</xdr:colOff>
          <xdr:row>6</xdr:row>
          <xdr:rowOff>0</xdr:rowOff>
        </xdr:to>
        <xdr:sp macro="" textlink="">
          <xdr:nvSpPr>
            <xdr:cNvPr id="22628" name="Check Box 100" hidden="1">
              <a:extLst>
                <a:ext uri="{63B3BB69-23CF-44E3-9099-C40C66FF867C}">
                  <a14:compatExt spid="_x0000_s226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xdr:row>
          <xdr:rowOff>7620</xdr:rowOff>
        </xdr:from>
        <xdr:to>
          <xdr:col>6</xdr:col>
          <xdr:colOff>396240</xdr:colOff>
          <xdr:row>5</xdr:row>
          <xdr:rowOff>0</xdr:rowOff>
        </xdr:to>
        <xdr:sp macro="" textlink="">
          <xdr:nvSpPr>
            <xdr:cNvPr id="22629" name="Check Box 101" hidden="1">
              <a:extLst>
                <a:ext uri="{63B3BB69-23CF-44E3-9099-C40C66FF867C}">
                  <a14:compatExt spid="_x0000_s226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xdr:row>
          <xdr:rowOff>7620</xdr:rowOff>
        </xdr:from>
        <xdr:to>
          <xdr:col>6</xdr:col>
          <xdr:colOff>396240</xdr:colOff>
          <xdr:row>7</xdr:row>
          <xdr:rowOff>0</xdr:rowOff>
        </xdr:to>
        <xdr:sp macro="" textlink="">
          <xdr:nvSpPr>
            <xdr:cNvPr id="22630" name="Check Box 102" hidden="1">
              <a:extLst>
                <a:ext uri="{63B3BB69-23CF-44E3-9099-C40C66FF867C}">
                  <a14:compatExt spid="_x0000_s226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7</xdr:row>
          <xdr:rowOff>7620</xdr:rowOff>
        </xdr:from>
        <xdr:to>
          <xdr:col>6</xdr:col>
          <xdr:colOff>396240</xdr:colOff>
          <xdr:row>8</xdr:row>
          <xdr:rowOff>0</xdr:rowOff>
        </xdr:to>
        <xdr:sp macro="" textlink="">
          <xdr:nvSpPr>
            <xdr:cNvPr id="22631" name="Check Box 103" hidden="1">
              <a:extLst>
                <a:ext uri="{63B3BB69-23CF-44E3-9099-C40C66FF867C}">
                  <a14:compatExt spid="_x0000_s226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8</xdr:row>
          <xdr:rowOff>7620</xdr:rowOff>
        </xdr:from>
        <xdr:to>
          <xdr:col>6</xdr:col>
          <xdr:colOff>396240</xdr:colOff>
          <xdr:row>9</xdr:row>
          <xdr:rowOff>0</xdr:rowOff>
        </xdr:to>
        <xdr:sp macro="" textlink="">
          <xdr:nvSpPr>
            <xdr:cNvPr id="22632" name="Check Box 104" hidden="1">
              <a:extLst>
                <a:ext uri="{63B3BB69-23CF-44E3-9099-C40C66FF867C}">
                  <a14:compatExt spid="_x0000_s226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9</xdr:row>
          <xdr:rowOff>7620</xdr:rowOff>
        </xdr:from>
        <xdr:to>
          <xdr:col>6</xdr:col>
          <xdr:colOff>396240</xdr:colOff>
          <xdr:row>10</xdr:row>
          <xdr:rowOff>0</xdr:rowOff>
        </xdr:to>
        <xdr:sp macro="" textlink="">
          <xdr:nvSpPr>
            <xdr:cNvPr id="22633" name="Check Box 105" hidden="1">
              <a:extLst>
                <a:ext uri="{63B3BB69-23CF-44E3-9099-C40C66FF867C}">
                  <a14:compatExt spid="_x0000_s226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10</xdr:row>
          <xdr:rowOff>7620</xdr:rowOff>
        </xdr:from>
        <xdr:to>
          <xdr:col>6</xdr:col>
          <xdr:colOff>396240</xdr:colOff>
          <xdr:row>11</xdr:row>
          <xdr:rowOff>0</xdr:rowOff>
        </xdr:to>
        <xdr:sp macro="" textlink="">
          <xdr:nvSpPr>
            <xdr:cNvPr id="22634" name="Check Box 106" hidden="1">
              <a:extLst>
                <a:ext uri="{63B3BB69-23CF-44E3-9099-C40C66FF867C}">
                  <a14:compatExt spid="_x0000_s226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11</xdr:row>
          <xdr:rowOff>7620</xdr:rowOff>
        </xdr:from>
        <xdr:to>
          <xdr:col>6</xdr:col>
          <xdr:colOff>396240</xdr:colOff>
          <xdr:row>12</xdr:row>
          <xdr:rowOff>0</xdr:rowOff>
        </xdr:to>
        <xdr:sp macro="" textlink="">
          <xdr:nvSpPr>
            <xdr:cNvPr id="22635" name="Check Box 107" hidden="1">
              <a:extLst>
                <a:ext uri="{63B3BB69-23CF-44E3-9099-C40C66FF867C}">
                  <a14:compatExt spid="_x0000_s226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12</xdr:row>
          <xdr:rowOff>7620</xdr:rowOff>
        </xdr:from>
        <xdr:to>
          <xdr:col>6</xdr:col>
          <xdr:colOff>396240</xdr:colOff>
          <xdr:row>13</xdr:row>
          <xdr:rowOff>0</xdr:rowOff>
        </xdr:to>
        <xdr:sp macro="" textlink="">
          <xdr:nvSpPr>
            <xdr:cNvPr id="22636" name="Check Box 108" hidden="1">
              <a:extLst>
                <a:ext uri="{63B3BB69-23CF-44E3-9099-C40C66FF867C}">
                  <a14:compatExt spid="_x0000_s226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2</xdr:row>
          <xdr:rowOff>7620</xdr:rowOff>
        </xdr:from>
        <xdr:to>
          <xdr:col>11</xdr:col>
          <xdr:colOff>396240</xdr:colOff>
          <xdr:row>3</xdr:row>
          <xdr:rowOff>0</xdr:rowOff>
        </xdr:to>
        <xdr:sp macro="" textlink="">
          <xdr:nvSpPr>
            <xdr:cNvPr id="22637" name="Check Box 109" hidden="1">
              <a:extLst>
                <a:ext uri="{63B3BB69-23CF-44E3-9099-C40C66FF867C}">
                  <a14:compatExt spid="_x0000_s226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3</xdr:row>
          <xdr:rowOff>7620</xdr:rowOff>
        </xdr:from>
        <xdr:to>
          <xdr:col>11</xdr:col>
          <xdr:colOff>396240</xdr:colOff>
          <xdr:row>4</xdr:row>
          <xdr:rowOff>0</xdr:rowOff>
        </xdr:to>
        <xdr:sp macro="" textlink="">
          <xdr:nvSpPr>
            <xdr:cNvPr id="22638" name="Check Box 110" hidden="1">
              <a:extLst>
                <a:ext uri="{63B3BB69-23CF-44E3-9099-C40C66FF867C}">
                  <a14:compatExt spid="_x0000_s226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4</xdr:row>
          <xdr:rowOff>7620</xdr:rowOff>
        </xdr:from>
        <xdr:to>
          <xdr:col>11</xdr:col>
          <xdr:colOff>396240</xdr:colOff>
          <xdr:row>5</xdr:row>
          <xdr:rowOff>0</xdr:rowOff>
        </xdr:to>
        <xdr:sp macro="" textlink="">
          <xdr:nvSpPr>
            <xdr:cNvPr id="22639" name="Check Box 111" hidden="1">
              <a:extLst>
                <a:ext uri="{63B3BB69-23CF-44E3-9099-C40C66FF867C}">
                  <a14:compatExt spid="_x0000_s226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5</xdr:row>
          <xdr:rowOff>7620</xdr:rowOff>
        </xdr:from>
        <xdr:to>
          <xdr:col>11</xdr:col>
          <xdr:colOff>396240</xdr:colOff>
          <xdr:row>6</xdr:row>
          <xdr:rowOff>0</xdr:rowOff>
        </xdr:to>
        <xdr:sp macro="" textlink="">
          <xdr:nvSpPr>
            <xdr:cNvPr id="22640" name="Check Box 112" hidden="1">
              <a:extLst>
                <a:ext uri="{63B3BB69-23CF-44E3-9099-C40C66FF867C}">
                  <a14:compatExt spid="_x0000_s226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6</xdr:row>
          <xdr:rowOff>7620</xdr:rowOff>
        </xdr:from>
        <xdr:to>
          <xdr:col>11</xdr:col>
          <xdr:colOff>396240</xdr:colOff>
          <xdr:row>7</xdr:row>
          <xdr:rowOff>0</xdr:rowOff>
        </xdr:to>
        <xdr:sp macro="" textlink="">
          <xdr:nvSpPr>
            <xdr:cNvPr id="22641" name="Check Box 113" hidden="1">
              <a:extLst>
                <a:ext uri="{63B3BB69-23CF-44E3-9099-C40C66FF867C}">
                  <a14:compatExt spid="_x0000_s226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7</xdr:row>
          <xdr:rowOff>7620</xdr:rowOff>
        </xdr:from>
        <xdr:to>
          <xdr:col>11</xdr:col>
          <xdr:colOff>396240</xdr:colOff>
          <xdr:row>8</xdr:row>
          <xdr:rowOff>0</xdr:rowOff>
        </xdr:to>
        <xdr:sp macro="" textlink="">
          <xdr:nvSpPr>
            <xdr:cNvPr id="22642" name="Check Box 114" hidden="1">
              <a:extLst>
                <a:ext uri="{63B3BB69-23CF-44E3-9099-C40C66FF867C}">
                  <a14:compatExt spid="_x0000_s226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46</xdr:row>
          <xdr:rowOff>7620</xdr:rowOff>
        </xdr:from>
        <xdr:to>
          <xdr:col>6</xdr:col>
          <xdr:colOff>396240</xdr:colOff>
          <xdr:row>47</xdr:row>
          <xdr:rowOff>0</xdr:rowOff>
        </xdr:to>
        <xdr:sp macro="" textlink="">
          <xdr:nvSpPr>
            <xdr:cNvPr id="22643" name="Check Box 115" hidden="1">
              <a:extLst>
                <a:ext uri="{63B3BB69-23CF-44E3-9099-C40C66FF867C}">
                  <a14:compatExt spid="_x0000_s226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47</xdr:row>
          <xdr:rowOff>7620</xdr:rowOff>
        </xdr:from>
        <xdr:to>
          <xdr:col>6</xdr:col>
          <xdr:colOff>396240</xdr:colOff>
          <xdr:row>48</xdr:row>
          <xdr:rowOff>0</xdr:rowOff>
        </xdr:to>
        <xdr:sp macro="" textlink="">
          <xdr:nvSpPr>
            <xdr:cNvPr id="22644" name="Check Box 116" hidden="1">
              <a:extLst>
                <a:ext uri="{63B3BB69-23CF-44E3-9099-C40C66FF867C}">
                  <a14:compatExt spid="_x0000_s226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48</xdr:row>
          <xdr:rowOff>7620</xdr:rowOff>
        </xdr:from>
        <xdr:to>
          <xdr:col>6</xdr:col>
          <xdr:colOff>396240</xdr:colOff>
          <xdr:row>49</xdr:row>
          <xdr:rowOff>0</xdr:rowOff>
        </xdr:to>
        <xdr:sp macro="" textlink="">
          <xdr:nvSpPr>
            <xdr:cNvPr id="22645" name="Check Box 117" hidden="1">
              <a:extLst>
                <a:ext uri="{63B3BB69-23CF-44E3-9099-C40C66FF867C}">
                  <a14:compatExt spid="_x0000_s226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49</xdr:row>
          <xdr:rowOff>7620</xdr:rowOff>
        </xdr:from>
        <xdr:to>
          <xdr:col>6</xdr:col>
          <xdr:colOff>396240</xdr:colOff>
          <xdr:row>50</xdr:row>
          <xdr:rowOff>0</xdr:rowOff>
        </xdr:to>
        <xdr:sp macro="" textlink="">
          <xdr:nvSpPr>
            <xdr:cNvPr id="22646" name="Check Box 118" hidden="1">
              <a:extLst>
                <a:ext uri="{63B3BB69-23CF-44E3-9099-C40C66FF867C}">
                  <a14:compatExt spid="_x0000_s226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59</xdr:row>
          <xdr:rowOff>7620</xdr:rowOff>
        </xdr:from>
        <xdr:to>
          <xdr:col>1</xdr:col>
          <xdr:colOff>396240</xdr:colOff>
          <xdr:row>60</xdr:row>
          <xdr:rowOff>0</xdr:rowOff>
        </xdr:to>
        <xdr:sp macro="" textlink="">
          <xdr:nvSpPr>
            <xdr:cNvPr id="22647" name="Check Box 119" hidden="1">
              <a:extLst>
                <a:ext uri="{63B3BB69-23CF-44E3-9099-C40C66FF867C}">
                  <a14:compatExt spid="_x0000_s226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66</xdr:row>
          <xdr:rowOff>7620</xdr:rowOff>
        </xdr:from>
        <xdr:to>
          <xdr:col>1</xdr:col>
          <xdr:colOff>396240</xdr:colOff>
          <xdr:row>67</xdr:row>
          <xdr:rowOff>0</xdr:rowOff>
        </xdr:to>
        <xdr:sp macro="" textlink="">
          <xdr:nvSpPr>
            <xdr:cNvPr id="22648" name="Check Box 120" hidden="1">
              <a:extLst>
                <a:ext uri="{63B3BB69-23CF-44E3-9099-C40C66FF867C}">
                  <a14:compatExt spid="_x0000_s226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67</xdr:row>
          <xdr:rowOff>7620</xdr:rowOff>
        </xdr:from>
        <xdr:to>
          <xdr:col>1</xdr:col>
          <xdr:colOff>396240</xdr:colOff>
          <xdr:row>68</xdr:row>
          <xdr:rowOff>0</xdr:rowOff>
        </xdr:to>
        <xdr:sp macro="" textlink="">
          <xdr:nvSpPr>
            <xdr:cNvPr id="22649" name="Check Box 121" hidden="1">
              <a:extLst>
                <a:ext uri="{63B3BB69-23CF-44E3-9099-C40C66FF867C}">
                  <a14:compatExt spid="_x0000_s226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68</xdr:row>
          <xdr:rowOff>7620</xdr:rowOff>
        </xdr:from>
        <xdr:to>
          <xdr:col>1</xdr:col>
          <xdr:colOff>396240</xdr:colOff>
          <xdr:row>69</xdr:row>
          <xdr:rowOff>0</xdr:rowOff>
        </xdr:to>
        <xdr:sp macro="" textlink="">
          <xdr:nvSpPr>
            <xdr:cNvPr id="22650" name="Check Box 122" hidden="1">
              <a:extLst>
                <a:ext uri="{63B3BB69-23CF-44E3-9099-C40C66FF867C}">
                  <a14:compatExt spid="_x0000_s226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69</xdr:row>
          <xdr:rowOff>7620</xdr:rowOff>
        </xdr:from>
        <xdr:to>
          <xdr:col>1</xdr:col>
          <xdr:colOff>396240</xdr:colOff>
          <xdr:row>70</xdr:row>
          <xdr:rowOff>0</xdr:rowOff>
        </xdr:to>
        <xdr:sp macro="" textlink="">
          <xdr:nvSpPr>
            <xdr:cNvPr id="22651" name="Check Box 123" hidden="1">
              <a:extLst>
                <a:ext uri="{63B3BB69-23CF-44E3-9099-C40C66FF867C}">
                  <a14:compatExt spid="_x0000_s226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70</xdr:row>
          <xdr:rowOff>7620</xdr:rowOff>
        </xdr:from>
        <xdr:to>
          <xdr:col>1</xdr:col>
          <xdr:colOff>396240</xdr:colOff>
          <xdr:row>71</xdr:row>
          <xdr:rowOff>0</xdr:rowOff>
        </xdr:to>
        <xdr:sp macro="" textlink="">
          <xdr:nvSpPr>
            <xdr:cNvPr id="22652" name="Check Box 124" hidden="1">
              <a:extLst>
                <a:ext uri="{63B3BB69-23CF-44E3-9099-C40C66FF867C}">
                  <a14:compatExt spid="_x0000_s226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71</xdr:row>
          <xdr:rowOff>7620</xdr:rowOff>
        </xdr:from>
        <xdr:to>
          <xdr:col>1</xdr:col>
          <xdr:colOff>396240</xdr:colOff>
          <xdr:row>72</xdr:row>
          <xdr:rowOff>0</xdr:rowOff>
        </xdr:to>
        <xdr:sp macro="" textlink="">
          <xdr:nvSpPr>
            <xdr:cNvPr id="22653" name="Check Box 125" hidden="1">
              <a:extLst>
                <a:ext uri="{63B3BB69-23CF-44E3-9099-C40C66FF867C}">
                  <a14:compatExt spid="_x0000_s226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66</xdr:row>
          <xdr:rowOff>7620</xdr:rowOff>
        </xdr:from>
        <xdr:to>
          <xdr:col>6</xdr:col>
          <xdr:colOff>396240</xdr:colOff>
          <xdr:row>67</xdr:row>
          <xdr:rowOff>0</xdr:rowOff>
        </xdr:to>
        <xdr:sp macro="" textlink="">
          <xdr:nvSpPr>
            <xdr:cNvPr id="22654" name="Check Box 126" hidden="1">
              <a:extLst>
                <a:ext uri="{63B3BB69-23CF-44E3-9099-C40C66FF867C}">
                  <a14:compatExt spid="_x0000_s226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67</xdr:row>
          <xdr:rowOff>7620</xdr:rowOff>
        </xdr:from>
        <xdr:to>
          <xdr:col>6</xdr:col>
          <xdr:colOff>396240</xdr:colOff>
          <xdr:row>68</xdr:row>
          <xdr:rowOff>0</xdr:rowOff>
        </xdr:to>
        <xdr:sp macro="" textlink="">
          <xdr:nvSpPr>
            <xdr:cNvPr id="22655" name="Check Box 127" hidden="1">
              <a:extLst>
                <a:ext uri="{63B3BB69-23CF-44E3-9099-C40C66FF867C}">
                  <a14:compatExt spid="_x0000_s226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68</xdr:row>
          <xdr:rowOff>7620</xdr:rowOff>
        </xdr:from>
        <xdr:to>
          <xdr:col>6</xdr:col>
          <xdr:colOff>396240</xdr:colOff>
          <xdr:row>69</xdr:row>
          <xdr:rowOff>0</xdr:rowOff>
        </xdr:to>
        <xdr:sp macro="" textlink="">
          <xdr:nvSpPr>
            <xdr:cNvPr id="22656" name="Check Box 128" hidden="1">
              <a:extLst>
                <a:ext uri="{63B3BB69-23CF-44E3-9099-C40C66FF867C}">
                  <a14:compatExt spid="_x0000_s226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69</xdr:row>
          <xdr:rowOff>7620</xdr:rowOff>
        </xdr:from>
        <xdr:to>
          <xdr:col>6</xdr:col>
          <xdr:colOff>396240</xdr:colOff>
          <xdr:row>70</xdr:row>
          <xdr:rowOff>0</xdr:rowOff>
        </xdr:to>
        <xdr:sp macro="" textlink="">
          <xdr:nvSpPr>
            <xdr:cNvPr id="22657" name="Check Box 129" hidden="1">
              <a:extLst>
                <a:ext uri="{63B3BB69-23CF-44E3-9099-C40C66FF867C}">
                  <a14:compatExt spid="_x0000_s226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71</xdr:row>
          <xdr:rowOff>7620</xdr:rowOff>
        </xdr:from>
        <xdr:to>
          <xdr:col>6</xdr:col>
          <xdr:colOff>396240</xdr:colOff>
          <xdr:row>72</xdr:row>
          <xdr:rowOff>0</xdr:rowOff>
        </xdr:to>
        <xdr:sp macro="" textlink="">
          <xdr:nvSpPr>
            <xdr:cNvPr id="22658" name="Check Box 130" hidden="1">
              <a:extLst>
                <a:ext uri="{63B3BB69-23CF-44E3-9099-C40C66FF867C}">
                  <a14:compatExt spid="_x0000_s226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70</xdr:row>
          <xdr:rowOff>7620</xdr:rowOff>
        </xdr:from>
        <xdr:to>
          <xdr:col>6</xdr:col>
          <xdr:colOff>396240</xdr:colOff>
          <xdr:row>71</xdr:row>
          <xdr:rowOff>0</xdr:rowOff>
        </xdr:to>
        <xdr:sp macro="" textlink="">
          <xdr:nvSpPr>
            <xdr:cNvPr id="22659" name="Check Box 131" hidden="1">
              <a:extLst>
                <a:ext uri="{63B3BB69-23CF-44E3-9099-C40C66FF867C}">
                  <a14:compatExt spid="_x0000_s226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72</xdr:row>
          <xdr:rowOff>7620</xdr:rowOff>
        </xdr:from>
        <xdr:to>
          <xdr:col>6</xdr:col>
          <xdr:colOff>396240</xdr:colOff>
          <xdr:row>73</xdr:row>
          <xdr:rowOff>0</xdr:rowOff>
        </xdr:to>
        <xdr:sp macro="" textlink="">
          <xdr:nvSpPr>
            <xdr:cNvPr id="22660" name="Check Box 132" hidden="1">
              <a:extLst>
                <a:ext uri="{63B3BB69-23CF-44E3-9099-C40C66FF867C}">
                  <a14:compatExt spid="_x0000_s226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73</xdr:row>
          <xdr:rowOff>7620</xdr:rowOff>
        </xdr:from>
        <xdr:to>
          <xdr:col>6</xdr:col>
          <xdr:colOff>396240</xdr:colOff>
          <xdr:row>74</xdr:row>
          <xdr:rowOff>0</xdr:rowOff>
        </xdr:to>
        <xdr:sp macro="" textlink="">
          <xdr:nvSpPr>
            <xdr:cNvPr id="22661" name="Check Box 133" hidden="1">
              <a:extLst>
                <a:ext uri="{63B3BB69-23CF-44E3-9099-C40C66FF867C}">
                  <a14:compatExt spid="_x0000_s226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78</xdr:row>
          <xdr:rowOff>7620</xdr:rowOff>
        </xdr:from>
        <xdr:to>
          <xdr:col>1</xdr:col>
          <xdr:colOff>396240</xdr:colOff>
          <xdr:row>79</xdr:row>
          <xdr:rowOff>0</xdr:rowOff>
        </xdr:to>
        <xdr:sp macro="" textlink="">
          <xdr:nvSpPr>
            <xdr:cNvPr id="22662" name="Check Box 134" hidden="1">
              <a:extLst>
                <a:ext uri="{63B3BB69-23CF-44E3-9099-C40C66FF867C}">
                  <a14:compatExt spid="_x0000_s226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79</xdr:row>
          <xdr:rowOff>7620</xdr:rowOff>
        </xdr:from>
        <xdr:to>
          <xdr:col>1</xdr:col>
          <xdr:colOff>396240</xdr:colOff>
          <xdr:row>80</xdr:row>
          <xdr:rowOff>0</xdr:rowOff>
        </xdr:to>
        <xdr:sp macro="" textlink="">
          <xdr:nvSpPr>
            <xdr:cNvPr id="22663" name="Check Box 135" hidden="1">
              <a:extLst>
                <a:ext uri="{63B3BB69-23CF-44E3-9099-C40C66FF867C}">
                  <a14:compatExt spid="_x0000_s226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80</xdr:row>
          <xdr:rowOff>7620</xdr:rowOff>
        </xdr:from>
        <xdr:to>
          <xdr:col>1</xdr:col>
          <xdr:colOff>396240</xdr:colOff>
          <xdr:row>81</xdr:row>
          <xdr:rowOff>0</xdr:rowOff>
        </xdr:to>
        <xdr:sp macro="" textlink="">
          <xdr:nvSpPr>
            <xdr:cNvPr id="22664" name="Check Box 136" hidden="1">
              <a:extLst>
                <a:ext uri="{63B3BB69-23CF-44E3-9099-C40C66FF867C}">
                  <a14:compatExt spid="_x0000_s226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81</xdr:row>
          <xdr:rowOff>7620</xdr:rowOff>
        </xdr:from>
        <xdr:to>
          <xdr:col>1</xdr:col>
          <xdr:colOff>396240</xdr:colOff>
          <xdr:row>82</xdr:row>
          <xdr:rowOff>0</xdr:rowOff>
        </xdr:to>
        <xdr:sp macro="" textlink="">
          <xdr:nvSpPr>
            <xdr:cNvPr id="22665" name="Check Box 137" hidden="1">
              <a:extLst>
                <a:ext uri="{63B3BB69-23CF-44E3-9099-C40C66FF867C}">
                  <a14:compatExt spid="_x0000_s226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82</xdr:row>
          <xdr:rowOff>7620</xdr:rowOff>
        </xdr:from>
        <xdr:to>
          <xdr:col>1</xdr:col>
          <xdr:colOff>396240</xdr:colOff>
          <xdr:row>83</xdr:row>
          <xdr:rowOff>0</xdr:rowOff>
        </xdr:to>
        <xdr:sp macro="" textlink="">
          <xdr:nvSpPr>
            <xdr:cNvPr id="22666" name="Check Box 138" hidden="1">
              <a:extLst>
                <a:ext uri="{63B3BB69-23CF-44E3-9099-C40C66FF867C}">
                  <a14:compatExt spid="_x0000_s226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83</xdr:row>
          <xdr:rowOff>7620</xdr:rowOff>
        </xdr:from>
        <xdr:to>
          <xdr:col>1</xdr:col>
          <xdr:colOff>396240</xdr:colOff>
          <xdr:row>84</xdr:row>
          <xdr:rowOff>0</xdr:rowOff>
        </xdr:to>
        <xdr:sp macro="" textlink="">
          <xdr:nvSpPr>
            <xdr:cNvPr id="22667" name="Check Box 139" hidden="1">
              <a:extLst>
                <a:ext uri="{63B3BB69-23CF-44E3-9099-C40C66FF867C}">
                  <a14:compatExt spid="_x0000_s226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84</xdr:row>
          <xdr:rowOff>7620</xdr:rowOff>
        </xdr:from>
        <xdr:to>
          <xdr:col>1</xdr:col>
          <xdr:colOff>396240</xdr:colOff>
          <xdr:row>85</xdr:row>
          <xdr:rowOff>0</xdr:rowOff>
        </xdr:to>
        <xdr:sp macro="" textlink="">
          <xdr:nvSpPr>
            <xdr:cNvPr id="22668" name="Check Box 140" hidden="1">
              <a:extLst>
                <a:ext uri="{63B3BB69-23CF-44E3-9099-C40C66FF867C}">
                  <a14:compatExt spid="_x0000_s226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85</xdr:row>
          <xdr:rowOff>7620</xdr:rowOff>
        </xdr:from>
        <xdr:to>
          <xdr:col>1</xdr:col>
          <xdr:colOff>396240</xdr:colOff>
          <xdr:row>86</xdr:row>
          <xdr:rowOff>0</xdr:rowOff>
        </xdr:to>
        <xdr:sp macro="" textlink="">
          <xdr:nvSpPr>
            <xdr:cNvPr id="22669" name="Check Box 141" hidden="1">
              <a:extLst>
                <a:ext uri="{63B3BB69-23CF-44E3-9099-C40C66FF867C}">
                  <a14:compatExt spid="_x0000_s226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86</xdr:row>
          <xdr:rowOff>7620</xdr:rowOff>
        </xdr:from>
        <xdr:to>
          <xdr:col>1</xdr:col>
          <xdr:colOff>396240</xdr:colOff>
          <xdr:row>87</xdr:row>
          <xdr:rowOff>0</xdr:rowOff>
        </xdr:to>
        <xdr:sp macro="" textlink="">
          <xdr:nvSpPr>
            <xdr:cNvPr id="22670" name="Check Box 142" hidden="1">
              <a:extLst>
                <a:ext uri="{63B3BB69-23CF-44E3-9099-C40C66FF867C}">
                  <a14:compatExt spid="_x0000_s226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87</xdr:row>
          <xdr:rowOff>7620</xdr:rowOff>
        </xdr:from>
        <xdr:to>
          <xdr:col>1</xdr:col>
          <xdr:colOff>396240</xdr:colOff>
          <xdr:row>88</xdr:row>
          <xdr:rowOff>0</xdr:rowOff>
        </xdr:to>
        <xdr:sp macro="" textlink="">
          <xdr:nvSpPr>
            <xdr:cNvPr id="22671" name="Check Box 143" hidden="1">
              <a:extLst>
                <a:ext uri="{63B3BB69-23CF-44E3-9099-C40C66FF867C}">
                  <a14:compatExt spid="_x0000_s226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78</xdr:row>
          <xdr:rowOff>7620</xdr:rowOff>
        </xdr:from>
        <xdr:to>
          <xdr:col>4</xdr:col>
          <xdr:colOff>396240</xdr:colOff>
          <xdr:row>79</xdr:row>
          <xdr:rowOff>0</xdr:rowOff>
        </xdr:to>
        <xdr:sp macro="" textlink="">
          <xdr:nvSpPr>
            <xdr:cNvPr id="22672" name="Check Box 144" hidden="1">
              <a:extLst>
                <a:ext uri="{63B3BB69-23CF-44E3-9099-C40C66FF867C}">
                  <a14:compatExt spid="_x0000_s226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79</xdr:row>
          <xdr:rowOff>7620</xdr:rowOff>
        </xdr:from>
        <xdr:to>
          <xdr:col>4</xdr:col>
          <xdr:colOff>396240</xdr:colOff>
          <xdr:row>80</xdr:row>
          <xdr:rowOff>0</xdr:rowOff>
        </xdr:to>
        <xdr:sp macro="" textlink="">
          <xdr:nvSpPr>
            <xdr:cNvPr id="22673" name="Check Box 145" hidden="1">
              <a:extLst>
                <a:ext uri="{63B3BB69-23CF-44E3-9099-C40C66FF867C}">
                  <a14:compatExt spid="_x0000_s226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80</xdr:row>
          <xdr:rowOff>7620</xdr:rowOff>
        </xdr:from>
        <xdr:to>
          <xdr:col>4</xdr:col>
          <xdr:colOff>396240</xdr:colOff>
          <xdr:row>81</xdr:row>
          <xdr:rowOff>0</xdr:rowOff>
        </xdr:to>
        <xdr:sp macro="" textlink="">
          <xdr:nvSpPr>
            <xdr:cNvPr id="22674" name="Check Box 146" hidden="1">
              <a:extLst>
                <a:ext uri="{63B3BB69-23CF-44E3-9099-C40C66FF867C}">
                  <a14:compatExt spid="_x0000_s226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81</xdr:row>
          <xdr:rowOff>7620</xdr:rowOff>
        </xdr:from>
        <xdr:to>
          <xdr:col>4</xdr:col>
          <xdr:colOff>396240</xdr:colOff>
          <xdr:row>82</xdr:row>
          <xdr:rowOff>0</xdr:rowOff>
        </xdr:to>
        <xdr:sp macro="" textlink="">
          <xdr:nvSpPr>
            <xdr:cNvPr id="22675" name="Check Box 147" hidden="1">
              <a:extLst>
                <a:ext uri="{63B3BB69-23CF-44E3-9099-C40C66FF867C}">
                  <a14:compatExt spid="_x0000_s226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82</xdr:row>
          <xdr:rowOff>7620</xdr:rowOff>
        </xdr:from>
        <xdr:to>
          <xdr:col>4</xdr:col>
          <xdr:colOff>396240</xdr:colOff>
          <xdr:row>83</xdr:row>
          <xdr:rowOff>0</xdr:rowOff>
        </xdr:to>
        <xdr:sp macro="" textlink="">
          <xdr:nvSpPr>
            <xdr:cNvPr id="22676" name="Check Box 148" hidden="1">
              <a:extLst>
                <a:ext uri="{63B3BB69-23CF-44E3-9099-C40C66FF867C}">
                  <a14:compatExt spid="_x0000_s226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83</xdr:row>
          <xdr:rowOff>7620</xdr:rowOff>
        </xdr:from>
        <xdr:to>
          <xdr:col>4</xdr:col>
          <xdr:colOff>396240</xdr:colOff>
          <xdr:row>84</xdr:row>
          <xdr:rowOff>0</xdr:rowOff>
        </xdr:to>
        <xdr:sp macro="" textlink="">
          <xdr:nvSpPr>
            <xdr:cNvPr id="22677" name="Check Box 149" hidden="1">
              <a:extLst>
                <a:ext uri="{63B3BB69-23CF-44E3-9099-C40C66FF867C}">
                  <a14:compatExt spid="_x0000_s226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84</xdr:row>
          <xdr:rowOff>7620</xdr:rowOff>
        </xdr:from>
        <xdr:to>
          <xdr:col>4</xdr:col>
          <xdr:colOff>396240</xdr:colOff>
          <xdr:row>85</xdr:row>
          <xdr:rowOff>0</xdr:rowOff>
        </xdr:to>
        <xdr:sp macro="" textlink="">
          <xdr:nvSpPr>
            <xdr:cNvPr id="22678" name="Check Box 150" hidden="1">
              <a:extLst>
                <a:ext uri="{63B3BB69-23CF-44E3-9099-C40C66FF867C}">
                  <a14:compatExt spid="_x0000_s226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85</xdr:row>
          <xdr:rowOff>7620</xdr:rowOff>
        </xdr:from>
        <xdr:to>
          <xdr:col>4</xdr:col>
          <xdr:colOff>396240</xdr:colOff>
          <xdr:row>86</xdr:row>
          <xdr:rowOff>0</xdr:rowOff>
        </xdr:to>
        <xdr:sp macro="" textlink="">
          <xdr:nvSpPr>
            <xdr:cNvPr id="22679" name="Check Box 151" hidden="1">
              <a:extLst>
                <a:ext uri="{63B3BB69-23CF-44E3-9099-C40C66FF867C}">
                  <a14:compatExt spid="_x0000_s226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92</xdr:row>
          <xdr:rowOff>7620</xdr:rowOff>
        </xdr:from>
        <xdr:to>
          <xdr:col>1</xdr:col>
          <xdr:colOff>396240</xdr:colOff>
          <xdr:row>93</xdr:row>
          <xdr:rowOff>0</xdr:rowOff>
        </xdr:to>
        <xdr:sp macro="" textlink="">
          <xdr:nvSpPr>
            <xdr:cNvPr id="22680" name="Check Box 152" hidden="1">
              <a:extLst>
                <a:ext uri="{63B3BB69-23CF-44E3-9099-C40C66FF867C}">
                  <a14:compatExt spid="_x0000_s226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93</xdr:row>
          <xdr:rowOff>7620</xdr:rowOff>
        </xdr:from>
        <xdr:to>
          <xdr:col>1</xdr:col>
          <xdr:colOff>396240</xdr:colOff>
          <xdr:row>94</xdr:row>
          <xdr:rowOff>0</xdr:rowOff>
        </xdr:to>
        <xdr:sp macro="" textlink="">
          <xdr:nvSpPr>
            <xdr:cNvPr id="22681" name="Check Box 153" hidden="1">
              <a:extLst>
                <a:ext uri="{63B3BB69-23CF-44E3-9099-C40C66FF867C}">
                  <a14:compatExt spid="_x0000_s226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94</xdr:row>
          <xdr:rowOff>7620</xdr:rowOff>
        </xdr:from>
        <xdr:to>
          <xdr:col>1</xdr:col>
          <xdr:colOff>396240</xdr:colOff>
          <xdr:row>95</xdr:row>
          <xdr:rowOff>0</xdr:rowOff>
        </xdr:to>
        <xdr:sp macro="" textlink="">
          <xdr:nvSpPr>
            <xdr:cNvPr id="22682" name="Check Box 154" hidden="1">
              <a:extLst>
                <a:ext uri="{63B3BB69-23CF-44E3-9099-C40C66FF867C}">
                  <a14:compatExt spid="_x0000_s226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95</xdr:row>
          <xdr:rowOff>7620</xdr:rowOff>
        </xdr:from>
        <xdr:to>
          <xdr:col>1</xdr:col>
          <xdr:colOff>396240</xdr:colOff>
          <xdr:row>96</xdr:row>
          <xdr:rowOff>0</xdr:rowOff>
        </xdr:to>
        <xdr:sp macro="" textlink="">
          <xdr:nvSpPr>
            <xdr:cNvPr id="22683" name="Check Box 155" hidden="1">
              <a:extLst>
                <a:ext uri="{63B3BB69-23CF-44E3-9099-C40C66FF867C}">
                  <a14:compatExt spid="_x0000_s226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96</xdr:row>
          <xdr:rowOff>7620</xdr:rowOff>
        </xdr:from>
        <xdr:to>
          <xdr:col>1</xdr:col>
          <xdr:colOff>396240</xdr:colOff>
          <xdr:row>97</xdr:row>
          <xdr:rowOff>0</xdr:rowOff>
        </xdr:to>
        <xdr:sp macro="" textlink="">
          <xdr:nvSpPr>
            <xdr:cNvPr id="22684" name="Check Box 156" hidden="1">
              <a:extLst>
                <a:ext uri="{63B3BB69-23CF-44E3-9099-C40C66FF867C}">
                  <a14:compatExt spid="_x0000_s226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97</xdr:row>
          <xdr:rowOff>7620</xdr:rowOff>
        </xdr:from>
        <xdr:to>
          <xdr:col>1</xdr:col>
          <xdr:colOff>396240</xdr:colOff>
          <xdr:row>98</xdr:row>
          <xdr:rowOff>0</xdr:rowOff>
        </xdr:to>
        <xdr:sp macro="" textlink="">
          <xdr:nvSpPr>
            <xdr:cNvPr id="22685" name="Check Box 157" hidden="1">
              <a:extLst>
                <a:ext uri="{63B3BB69-23CF-44E3-9099-C40C66FF867C}">
                  <a14:compatExt spid="_x0000_s226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98</xdr:row>
          <xdr:rowOff>7620</xdr:rowOff>
        </xdr:from>
        <xdr:to>
          <xdr:col>1</xdr:col>
          <xdr:colOff>396240</xdr:colOff>
          <xdr:row>99</xdr:row>
          <xdr:rowOff>0</xdr:rowOff>
        </xdr:to>
        <xdr:sp macro="" textlink="">
          <xdr:nvSpPr>
            <xdr:cNvPr id="22686" name="Check Box 158" hidden="1">
              <a:extLst>
                <a:ext uri="{63B3BB69-23CF-44E3-9099-C40C66FF867C}">
                  <a14:compatExt spid="_x0000_s226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92</xdr:row>
          <xdr:rowOff>7620</xdr:rowOff>
        </xdr:from>
        <xdr:to>
          <xdr:col>4</xdr:col>
          <xdr:colOff>396240</xdr:colOff>
          <xdr:row>93</xdr:row>
          <xdr:rowOff>0</xdr:rowOff>
        </xdr:to>
        <xdr:sp macro="" textlink="">
          <xdr:nvSpPr>
            <xdr:cNvPr id="22687" name="Check Box 159" hidden="1">
              <a:extLst>
                <a:ext uri="{63B3BB69-23CF-44E3-9099-C40C66FF867C}">
                  <a14:compatExt spid="_x0000_s226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93</xdr:row>
          <xdr:rowOff>7620</xdr:rowOff>
        </xdr:from>
        <xdr:to>
          <xdr:col>4</xdr:col>
          <xdr:colOff>396240</xdr:colOff>
          <xdr:row>94</xdr:row>
          <xdr:rowOff>0</xdr:rowOff>
        </xdr:to>
        <xdr:sp macro="" textlink="">
          <xdr:nvSpPr>
            <xdr:cNvPr id="22688" name="Check Box 160" hidden="1">
              <a:extLst>
                <a:ext uri="{63B3BB69-23CF-44E3-9099-C40C66FF867C}">
                  <a14:compatExt spid="_x0000_s226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94</xdr:row>
          <xdr:rowOff>7620</xdr:rowOff>
        </xdr:from>
        <xdr:to>
          <xdr:col>4</xdr:col>
          <xdr:colOff>396240</xdr:colOff>
          <xdr:row>95</xdr:row>
          <xdr:rowOff>0</xdr:rowOff>
        </xdr:to>
        <xdr:sp macro="" textlink="">
          <xdr:nvSpPr>
            <xdr:cNvPr id="22689" name="Check Box 161" hidden="1">
              <a:extLst>
                <a:ext uri="{63B3BB69-23CF-44E3-9099-C40C66FF867C}">
                  <a14:compatExt spid="_x0000_s226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95</xdr:row>
          <xdr:rowOff>7620</xdr:rowOff>
        </xdr:from>
        <xdr:to>
          <xdr:col>4</xdr:col>
          <xdr:colOff>396240</xdr:colOff>
          <xdr:row>96</xdr:row>
          <xdr:rowOff>0</xdr:rowOff>
        </xdr:to>
        <xdr:sp macro="" textlink="">
          <xdr:nvSpPr>
            <xdr:cNvPr id="22690" name="Check Box 162" hidden="1">
              <a:extLst>
                <a:ext uri="{63B3BB69-23CF-44E3-9099-C40C66FF867C}">
                  <a14:compatExt spid="_x0000_s226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96</xdr:row>
          <xdr:rowOff>7620</xdr:rowOff>
        </xdr:from>
        <xdr:to>
          <xdr:col>4</xdr:col>
          <xdr:colOff>396240</xdr:colOff>
          <xdr:row>97</xdr:row>
          <xdr:rowOff>0</xdr:rowOff>
        </xdr:to>
        <xdr:sp macro="" textlink="">
          <xdr:nvSpPr>
            <xdr:cNvPr id="22691" name="Check Box 163" hidden="1">
              <a:extLst>
                <a:ext uri="{63B3BB69-23CF-44E3-9099-C40C66FF867C}">
                  <a14:compatExt spid="_x0000_s226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97</xdr:row>
          <xdr:rowOff>7620</xdr:rowOff>
        </xdr:from>
        <xdr:to>
          <xdr:col>4</xdr:col>
          <xdr:colOff>396240</xdr:colOff>
          <xdr:row>98</xdr:row>
          <xdr:rowOff>0</xdr:rowOff>
        </xdr:to>
        <xdr:sp macro="" textlink="">
          <xdr:nvSpPr>
            <xdr:cNvPr id="22692" name="Check Box 164" hidden="1">
              <a:extLst>
                <a:ext uri="{63B3BB69-23CF-44E3-9099-C40C66FF867C}">
                  <a14:compatExt spid="_x0000_s226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92</xdr:row>
          <xdr:rowOff>7620</xdr:rowOff>
        </xdr:from>
        <xdr:to>
          <xdr:col>8</xdr:col>
          <xdr:colOff>396240</xdr:colOff>
          <xdr:row>93</xdr:row>
          <xdr:rowOff>0</xdr:rowOff>
        </xdr:to>
        <xdr:sp macro="" textlink="">
          <xdr:nvSpPr>
            <xdr:cNvPr id="22693" name="Check Box 165" hidden="1">
              <a:extLst>
                <a:ext uri="{63B3BB69-23CF-44E3-9099-C40C66FF867C}">
                  <a14:compatExt spid="_x0000_s226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76200</xdr:colOff>
          <xdr:row>93</xdr:row>
          <xdr:rowOff>7620</xdr:rowOff>
        </xdr:from>
        <xdr:to>
          <xdr:col>8</xdr:col>
          <xdr:colOff>396240</xdr:colOff>
          <xdr:row>94</xdr:row>
          <xdr:rowOff>0</xdr:rowOff>
        </xdr:to>
        <xdr:sp macro="" textlink="">
          <xdr:nvSpPr>
            <xdr:cNvPr id="22694" name="Check Box 166" hidden="1">
              <a:extLst>
                <a:ext uri="{63B3BB69-23CF-44E3-9099-C40C66FF867C}">
                  <a14:compatExt spid="_x0000_s226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103</xdr:row>
          <xdr:rowOff>7620</xdr:rowOff>
        </xdr:from>
        <xdr:to>
          <xdr:col>1</xdr:col>
          <xdr:colOff>396240</xdr:colOff>
          <xdr:row>104</xdr:row>
          <xdr:rowOff>0</xdr:rowOff>
        </xdr:to>
        <xdr:sp macro="" textlink="">
          <xdr:nvSpPr>
            <xdr:cNvPr id="22695" name="Check Box 167" hidden="1">
              <a:extLst>
                <a:ext uri="{63B3BB69-23CF-44E3-9099-C40C66FF867C}">
                  <a14:compatExt spid="_x0000_s226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104</xdr:row>
          <xdr:rowOff>7620</xdr:rowOff>
        </xdr:from>
        <xdr:to>
          <xdr:col>1</xdr:col>
          <xdr:colOff>396240</xdr:colOff>
          <xdr:row>105</xdr:row>
          <xdr:rowOff>0</xdr:rowOff>
        </xdr:to>
        <xdr:sp macro="" textlink="">
          <xdr:nvSpPr>
            <xdr:cNvPr id="22696" name="Check Box 168" hidden="1">
              <a:extLst>
                <a:ext uri="{63B3BB69-23CF-44E3-9099-C40C66FF867C}">
                  <a14:compatExt spid="_x0000_s226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105</xdr:row>
          <xdr:rowOff>7620</xdr:rowOff>
        </xdr:from>
        <xdr:to>
          <xdr:col>1</xdr:col>
          <xdr:colOff>396240</xdr:colOff>
          <xdr:row>106</xdr:row>
          <xdr:rowOff>0</xdr:rowOff>
        </xdr:to>
        <xdr:sp macro="" textlink="">
          <xdr:nvSpPr>
            <xdr:cNvPr id="22697" name="Check Box 169" hidden="1">
              <a:extLst>
                <a:ext uri="{63B3BB69-23CF-44E3-9099-C40C66FF867C}">
                  <a14:compatExt spid="_x0000_s226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106</xdr:row>
          <xdr:rowOff>7620</xdr:rowOff>
        </xdr:from>
        <xdr:to>
          <xdr:col>1</xdr:col>
          <xdr:colOff>396240</xdr:colOff>
          <xdr:row>107</xdr:row>
          <xdr:rowOff>0</xdr:rowOff>
        </xdr:to>
        <xdr:sp macro="" textlink="">
          <xdr:nvSpPr>
            <xdr:cNvPr id="22698" name="Check Box 170" hidden="1">
              <a:extLst>
                <a:ext uri="{63B3BB69-23CF-44E3-9099-C40C66FF867C}">
                  <a14:compatExt spid="_x0000_s226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107</xdr:row>
          <xdr:rowOff>7620</xdr:rowOff>
        </xdr:from>
        <xdr:to>
          <xdr:col>1</xdr:col>
          <xdr:colOff>396240</xdr:colOff>
          <xdr:row>108</xdr:row>
          <xdr:rowOff>0</xdr:rowOff>
        </xdr:to>
        <xdr:sp macro="" textlink="">
          <xdr:nvSpPr>
            <xdr:cNvPr id="22699" name="Check Box 171" hidden="1">
              <a:extLst>
                <a:ext uri="{63B3BB69-23CF-44E3-9099-C40C66FF867C}">
                  <a14:compatExt spid="_x0000_s226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108</xdr:row>
          <xdr:rowOff>7620</xdr:rowOff>
        </xdr:from>
        <xdr:to>
          <xdr:col>1</xdr:col>
          <xdr:colOff>396240</xdr:colOff>
          <xdr:row>109</xdr:row>
          <xdr:rowOff>0</xdr:rowOff>
        </xdr:to>
        <xdr:sp macro="" textlink="">
          <xdr:nvSpPr>
            <xdr:cNvPr id="22700" name="Check Box 172" hidden="1">
              <a:extLst>
                <a:ext uri="{63B3BB69-23CF-44E3-9099-C40C66FF867C}">
                  <a14:compatExt spid="_x0000_s227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109</xdr:row>
          <xdr:rowOff>7620</xdr:rowOff>
        </xdr:from>
        <xdr:to>
          <xdr:col>1</xdr:col>
          <xdr:colOff>396240</xdr:colOff>
          <xdr:row>110</xdr:row>
          <xdr:rowOff>0</xdr:rowOff>
        </xdr:to>
        <xdr:sp macro="" textlink="">
          <xdr:nvSpPr>
            <xdr:cNvPr id="22701" name="Check Box 173" hidden="1">
              <a:extLst>
                <a:ext uri="{63B3BB69-23CF-44E3-9099-C40C66FF867C}">
                  <a14:compatExt spid="_x0000_s227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110</xdr:row>
          <xdr:rowOff>7620</xdr:rowOff>
        </xdr:from>
        <xdr:to>
          <xdr:col>1</xdr:col>
          <xdr:colOff>396240</xdr:colOff>
          <xdr:row>111</xdr:row>
          <xdr:rowOff>0</xdr:rowOff>
        </xdr:to>
        <xdr:sp macro="" textlink="">
          <xdr:nvSpPr>
            <xdr:cNvPr id="22702" name="Check Box 174" hidden="1">
              <a:extLst>
                <a:ext uri="{63B3BB69-23CF-44E3-9099-C40C66FF867C}">
                  <a14:compatExt spid="_x0000_s227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111</xdr:row>
          <xdr:rowOff>7620</xdr:rowOff>
        </xdr:from>
        <xdr:to>
          <xdr:col>1</xdr:col>
          <xdr:colOff>396240</xdr:colOff>
          <xdr:row>112</xdr:row>
          <xdr:rowOff>0</xdr:rowOff>
        </xdr:to>
        <xdr:sp macro="" textlink="">
          <xdr:nvSpPr>
            <xdr:cNvPr id="22703" name="Check Box 175" hidden="1">
              <a:extLst>
                <a:ext uri="{63B3BB69-23CF-44E3-9099-C40C66FF867C}">
                  <a14:compatExt spid="_x0000_s227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112</xdr:row>
          <xdr:rowOff>7620</xdr:rowOff>
        </xdr:from>
        <xdr:to>
          <xdr:col>1</xdr:col>
          <xdr:colOff>396240</xdr:colOff>
          <xdr:row>113</xdr:row>
          <xdr:rowOff>0</xdr:rowOff>
        </xdr:to>
        <xdr:sp macro="" textlink="">
          <xdr:nvSpPr>
            <xdr:cNvPr id="22704" name="Check Box 176" hidden="1">
              <a:extLst>
                <a:ext uri="{63B3BB69-23CF-44E3-9099-C40C66FF867C}">
                  <a14:compatExt spid="_x0000_s227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113</xdr:row>
          <xdr:rowOff>7620</xdr:rowOff>
        </xdr:from>
        <xdr:to>
          <xdr:col>1</xdr:col>
          <xdr:colOff>396240</xdr:colOff>
          <xdr:row>114</xdr:row>
          <xdr:rowOff>0</xdr:rowOff>
        </xdr:to>
        <xdr:sp macro="" textlink="">
          <xdr:nvSpPr>
            <xdr:cNvPr id="22705" name="Check Box 177" hidden="1">
              <a:extLst>
                <a:ext uri="{63B3BB69-23CF-44E3-9099-C40C66FF867C}">
                  <a14:compatExt spid="_x0000_s227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114</xdr:row>
          <xdr:rowOff>7620</xdr:rowOff>
        </xdr:from>
        <xdr:to>
          <xdr:col>1</xdr:col>
          <xdr:colOff>396240</xdr:colOff>
          <xdr:row>115</xdr:row>
          <xdr:rowOff>0</xdr:rowOff>
        </xdr:to>
        <xdr:sp macro="" textlink="">
          <xdr:nvSpPr>
            <xdr:cNvPr id="22706" name="Check Box 178" hidden="1">
              <a:extLst>
                <a:ext uri="{63B3BB69-23CF-44E3-9099-C40C66FF867C}">
                  <a14:compatExt spid="_x0000_s227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115</xdr:row>
          <xdr:rowOff>7620</xdr:rowOff>
        </xdr:from>
        <xdr:to>
          <xdr:col>1</xdr:col>
          <xdr:colOff>396240</xdr:colOff>
          <xdr:row>116</xdr:row>
          <xdr:rowOff>0</xdr:rowOff>
        </xdr:to>
        <xdr:sp macro="" textlink="">
          <xdr:nvSpPr>
            <xdr:cNvPr id="22707" name="Check Box 179" hidden="1">
              <a:extLst>
                <a:ext uri="{63B3BB69-23CF-44E3-9099-C40C66FF867C}">
                  <a14:compatExt spid="_x0000_s227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103</xdr:row>
          <xdr:rowOff>7620</xdr:rowOff>
        </xdr:from>
        <xdr:to>
          <xdr:col>5</xdr:col>
          <xdr:colOff>396240</xdr:colOff>
          <xdr:row>104</xdr:row>
          <xdr:rowOff>0</xdr:rowOff>
        </xdr:to>
        <xdr:sp macro="" textlink="">
          <xdr:nvSpPr>
            <xdr:cNvPr id="22708" name="Check Box 180" hidden="1">
              <a:extLst>
                <a:ext uri="{63B3BB69-23CF-44E3-9099-C40C66FF867C}">
                  <a14:compatExt spid="_x0000_s227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104</xdr:row>
          <xdr:rowOff>7620</xdr:rowOff>
        </xdr:from>
        <xdr:to>
          <xdr:col>5</xdr:col>
          <xdr:colOff>396240</xdr:colOff>
          <xdr:row>105</xdr:row>
          <xdr:rowOff>0</xdr:rowOff>
        </xdr:to>
        <xdr:sp macro="" textlink="">
          <xdr:nvSpPr>
            <xdr:cNvPr id="22709" name="Check Box 181" hidden="1">
              <a:extLst>
                <a:ext uri="{63B3BB69-23CF-44E3-9099-C40C66FF867C}">
                  <a14:compatExt spid="_x0000_s227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105</xdr:row>
          <xdr:rowOff>7620</xdr:rowOff>
        </xdr:from>
        <xdr:to>
          <xdr:col>5</xdr:col>
          <xdr:colOff>396240</xdr:colOff>
          <xdr:row>106</xdr:row>
          <xdr:rowOff>0</xdr:rowOff>
        </xdr:to>
        <xdr:sp macro="" textlink="">
          <xdr:nvSpPr>
            <xdr:cNvPr id="22710" name="Check Box 182" hidden="1">
              <a:extLst>
                <a:ext uri="{63B3BB69-23CF-44E3-9099-C40C66FF867C}">
                  <a14:compatExt spid="_x0000_s227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106</xdr:row>
          <xdr:rowOff>7620</xdr:rowOff>
        </xdr:from>
        <xdr:to>
          <xdr:col>5</xdr:col>
          <xdr:colOff>396240</xdr:colOff>
          <xdr:row>107</xdr:row>
          <xdr:rowOff>0</xdr:rowOff>
        </xdr:to>
        <xdr:sp macro="" textlink="">
          <xdr:nvSpPr>
            <xdr:cNvPr id="22711" name="Check Box 183" hidden="1">
              <a:extLst>
                <a:ext uri="{63B3BB69-23CF-44E3-9099-C40C66FF867C}">
                  <a14:compatExt spid="_x0000_s227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107</xdr:row>
          <xdr:rowOff>7620</xdr:rowOff>
        </xdr:from>
        <xdr:to>
          <xdr:col>5</xdr:col>
          <xdr:colOff>396240</xdr:colOff>
          <xdr:row>108</xdr:row>
          <xdr:rowOff>0</xdr:rowOff>
        </xdr:to>
        <xdr:sp macro="" textlink="">
          <xdr:nvSpPr>
            <xdr:cNvPr id="22712" name="Check Box 184" hidden="1">
              <a:extLst>
                <a:ext uri="{63B3BB69-23CF-44E3-9099-C40C66FF867C}">
                  <a14:compatExt spid="_x0000_s227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108</xdr:row>
          <xdr:rowOff>7620</xdr:rowOff>
        </xdr:from>
        <xdr:to>
          <xdr:col>5</xdr:col>
          <xdr:colOff>396240</xdr:colOff>
          <xdr:row>109</xdr:row>
          <xdr:rowOff>0</xdr:rowOff>
        </xdr:to>
        <xdr:sp macro="" textlink="">
          <xdr:nvSpPr>
            <xdr:cNvPr id="22713" name="Check Box 185" hidden="1">
              <a:extLst>
                <a:ext uri="{63B3BB69-23CF-44E3-9099-C40C66FF867C}">
                  <a14:compatExt spid="_x0000_s227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109</xdr:row>
          <xdr:rowOff>7620</xdr:rowOff>
        </xdr:from>
        <xdr:to>
          <xdr:col>5</xdr:col>
          <xdr:colOff>396240</xdr:colOff>
          <xdr:row>110</xdr:row>
          <xdr:rowOff>0</xdr:rowOff>
        </xdr:to>
        <xdr:sp macro="" textlink="">
          <xdr:nvSpPr>
            <xdr:cNvPr id="22714" name="Check Box 186" hidden="1">
              <a:extLst>
                <a:ext uri="{63B3BB69-23CF-44E3-9099-C40C66FF867C}">
                  <a14:compatExt spid="_x0000_s227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110</xdr:row>
          <xdr:rowOff>7620</xdr:rowOff>
        </xdr:from>
        <xdr:to>
          <xdr:col>5</xdr:col>
          <xdr:colOff>396240</xdr:colOff>
          <xdr:row>111</xdr:row>
          <xdr:rowOff>0</xdr:rowOff>
        </xdr:to>
        <xdr:sp macro="" textlink="">
          <xdr:nvSpPr>
            <xdr:cNvPr id="22715" name="Check Box 187" hidden="1">
              <a:extLst>
                <a:ext uri="{63B3BB69-23CF-44E3-9099-C40C66FF867C}">
                  <a14:compatExt spid="_x0000_s227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103</xdr:row>
          <xdr:rowOff>7620</xdr:rowOff>
        </xdr:from>
        <xdr:to>
          <xdr:col>11</xdr:col>
          <xdr:colOff>396240</xdr:colOff>
          <xdr:row>104</xdr:row>
          <xdr:rowOff>0</xdr:rowOff>
        </xdr:to>
        <xdr:sp macro="" textlink="">
          <xdr:nvSpPr>
            <xdr:cNvPr id="22716" name="Check Box 188" hidden="1">
              <a:extLst>
                <a:ext uri="{63B3BB69-23CF-44E3-9099-C40C66FF867C}">
                  <a14:compatExt spid="_x0000_s227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76200</xdr:colOff>
          <xdr:row>104</xdr:row>
          <xdr:rowOff>7620</xdr:rowOff>
        </xdr:from>
        <xdr:to>
          <xdr:col>11</xdr:col>
          <xdr:colOff>396240</xdr:colOff>
          <xdr:row>105</xdr:row>
          <xdr:rowOff>0</xdr:rowOff>
        </xdr:to>
        <xdr:sp macro="" textlink="">
          <xdr:nvSpPr>
            <xdr:cNvPr id="22717" name="Check Box 189" hidden="1">
              <a:extLst>
                <a:ext uri="{63B3BB69-23CF-44E3-9099-C40C66FF867C}">
                  <a14:compatExt spid="_x0000_s227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50</xdr:row>
          <xdr:rowOff>7620</xdr:rowOff>
        </xdr:from>
        <xdr:to>
          <xdr:col>6</xdr:col>
          <xdr:colOff>396240</xdr:colOff>
          <xdr:row>51</xdr:row>
          <xdr:rowOff>0</xdr:rowOff>
        </xdr:to>
        <xdr:sp macro="" textlink="">
          <xdr:nvSpPr>
            <xdr:cNvPr id="22718" name="Check Box 190" hidden="1">
              <a:extLst>
                <a:ext uri="{63B3BB69-23CF-44E3-9099-C40C66FF867C}">
                  <a14:compatExt spid="_x0000_s227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60</xdr:row>
          <xdr:rowOff>7620</xdr:rowOff>
        </xdr:from>
        <xdr:to>
          <xdr:col>1</xdr:col>
          <xdr:colOff>396240</xdr:colOff>
          <xdr:row>61</xdr:row>
          <xdr:rowOff>0</xdr:rowOff>
        </xdr:to>
        <xdr:sp macro="" textlink="">
          <xdr:nvSpPr>
            <xdr:cNvPr id="22719" name="Check Box 191" hidden="1">
              <a:extLst>
                <a:ext uri="{63B3BB69-23CF-44E3-9099-C40C66FF867C}">
                  <a14:compatExt spid="_x0000_s227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Check Box 11</a:t>
              </a:r>
            </a:p>
          </xdr:txBody>
        </xdr:sp>
        <xdr:clientData/>
      </xdr:twoCellAnchor>
    </mc:Choice>
    <mc:Fallback/>
  </mc:AlternateContent>
</xdr:wsDr>
</file>

<file path=xl/tables/table1.xml><?xml version="1.0" encoding="utf-8"?>
<table xmlns="http://schemas.openxmlformats.org/spreadsheetml/2006/main" id="1" name="Table1" displayName="Table1" ref="A1:C8" totalsRowShown="0">
  <autoFilter ref="A1:C8"/>
  <tableColumns count="3">
    <tableColumn id="1" name="Name"/>
    <tableColumn id="2" name="Working"/>
    <tableColumn id="3" name="Duratio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B1:C8" totalsRowShown="0">
  <autoFilter ref="B1:C8"/>
  <tableColumns count="2">
    <tableColumn id="1" name="Name"/>
    <tableColumn id="2" name="Working" dataDxfId="30"/>
  </tableColumns>
  <tableStyleInfo name="TableStyleMedium2" showFirstColumn="0" showLastColumn="0" showRowStripes="1" showColumnStripes="0"/>
</table>
</file>

<file path=xl/tables/table3.xml><?xml version="1.0" encoding="utf-8"?>
<table xmlns="http://schemas.openxmlformats.org/spreadsheetml/2006/main" id="3" name="Table24" displayName="Table24" ref="G1:J8" totalsRowShown="0">
  <autoFilter ref="G1:J8"/>
  <tableColumns count="4">
    <tableColumn id="1" name="Name"/>
    <tableColumn id="2" name="Working" dataDxfId="29"/>
    <tableColumn id="3" name="Dates"/>
    <tableColumn id="4" name="Total"/>
  </tableColumns>
  <tableStyleInfo name="TableStyleMedium2" showFirstColumn="0" showLastColumn="0" showRowStripes="1" showColumnStripes="0"/>
</table>
</file>

<file path=xl/tables/table4.xml><?xml version="1.0" encoding="utf-8"?>
<table xmlns="http://schemas.openxmlformats.org/spreadsheetml/2006/main" id="4" name="Table245" displayName="Table245" ref="N1:Q8" totalsRowShown="0">
  <autoFilter ref="N1:Q8"/>
  <tableColumns count="4">
    <tableColumn id="1" name="Name"/>
    <tableColumn id="2" name="Working" dataDxfId="28"/>
    <tableColumn id="3" name="Dates"/>
    <tableColumn id="4" name="Total"/>
  </tableColumns>
  <tableStyleInfo name="TableStyleMedium2" showFirstColumn="0" showLastColumn="0" showRowStripes="1" showColumnStripes="0"/>
</table>
</file>

<file path=xl/tables/table5.xml><?xml version="1.0" encoding="utf-8"?>
<table xmlns="http://schemas.openxmlformats.org/spreadsheetml/2006/main" id="5" name="Table2456" displayName="Table2456" ref="U1:X9" totalsRowShown="0">
  <autoFilter ref="U1:X9"/>
  <tableColumns count="4">
    <tableColumn id="1" name="Name"/>
    <tableColumn id="2" name="Working" dataDxfId="27"/>
    <tableColumn id="3" name="Dates"/>
    <tableColumn id="4" name="Total" dataDxfId="26"/>
  </tableColumns>
  <tableStyleInfo name="TableStyleMedium2" showFirstColumn="0" showLastColumn="0" showRowStripes="1" showColumnStripes="0"/>
</table>
</file>

<file path=xl/tables/table6.xml><?xml version="1.0" encoding="utf-8"?>
<table xmlns="http://schemas.openxmlformats.org/spreadsheetml/2006/main" id="7" name="Table24568" displayName="Table24568" ref="AB1:AE9" totalsRowShown="0">
  <autoFilter ref="AB1:AE9"/>
  <tableColumns count="4">
    <tableColumn id="1" name="Name"/>
    <tableColumn id="2" name="Working" dataDxfId="25"/>
    <tableColumn id="3" name="Dates"/>
    <tableColumn id="4" name="Total" dataDxfId="24"/>
  </tableColumns>
  <tableStyleInfo name="TableStyleMedium2" showFirstColumn="0" showLastColumn="0" showRowStripes="1" showColumnStripes="0"/>
</table>
</file>

<file path=xl/tables/table7.xml><?xml version="1.0" encoding="utf-8"?>
<table xmlns="http://schemas.openxmlformats.org/spreadsheetml/2006/main" id="6" name="Table6" displayName="Table6" ref="A18:G26" totalsRowShown="0">
  <autoFilter ref="A18:G26"/>
  <tableColumns count="7">
    <tableColumn id="1" name="Name"/>
    <tableColumn id="2" name="ID"/>
    <tableColumn id="3" name="Salary"/>
    <tableColumn id="4" name="Percent" dataDxfId="23"/>
    <tableColumn id="5" name="Amount">
      <calculatedColumnFormula>D19*C19</calculatedColumnFormula>
    </tableColumn>
    <tableColumn id="6" name="New Salary">
      <calculatedColumnFormula>C19+D19*C19</calculatedColumnFormula>
    </tableColumn>
    <tableColumn id="7" name="Rounded Salary"/>
  </tableColumns>
  <tableStyleInfo name="TableStyleMedium2" showFirstColumn="0" showLastColumn="0" showRowStripes="1" showColumnStripes="0"/>
</table>
</file>

<file path=xl/tables/table8.xml><?xml version="1.0" encoding="utf-8"?>
<table xmlns="http://schemas.openxmlformats.org/spreadsheetml/2006/main" id="9" name="Table9" displayName="Table9" ref="A2:K8" totalsRowShown="0" headerRowDxfId="22" dataDxfId="21" tableBorderDxfId="20">
  <autoFilter ref="A2:K8"/>
  <tableColumns count="11">
    <tableColumn id="1" name="Name" dataDxfId="19"/>
    <tableColumn id="2" name="ID" dataDxfId="18"/>
    <tableColumn id="3" name="Salary" dataDxfId="17"/>
    <tableColumn id="4" name="Max Amount" dataDxfId="16">
      <calculatedColumnFormula>0.06*Table9[[#This Row],[Salary]]</calculatedColumnFormula>
    </tableColumn>
    <tableColumn id="5" name="Percent" dataDxfId="15"/>
    <tableColumn id="9" name="Current Amount" dataDxfId="14">
      <calculatedColumnFormula>Table9[[#This Row],[Percent]]*Table9[[#This Row],[Salary]]</calculatedColumnFormula>
    </tableColumn>
    <tableColumn id="10" name="Bonus Amount" dataDxfId="13"/>
    <tableColumn id="6" name="Remaining Amount" dataDxfId="12">
      <calculatedColumnFormula>D3-(E3*C3)</calculatedColumnFormula>
    </tableColumn>
    <tableColumn id="7" name="New Salary" dataDxfId="11" dataCellStyle="Comma">
      <calculatedColumnFormula>C3+Table9[[#This Row],[Current Amount]]+Table9[[#This Row],[Bonus Amount]]</calculatedColumnFormula>
    </tableColumn>
    <tableColumn id="11" name="Final Percent" dataDxfId="10" dataCellStyle="Percent">
      <calculatedColumnFormula>1-(Table9[[#This Row],[Salary]]/Table9[[#This Row],[New Salary]])</calculatedColumnFormula>
    </tableColumn>
    <tableColumn id="12" name="Comment" dataDxfId="9"/>
  </tableColumns>
  <tableStyleInfo name="TableStyleMedium2" showFirstColumn="0" showLastColumn="0" showRowStripes="1" showColumnStripes="0"/>
</table>
</file>

<file path=xl/tables/table9.xml><?xml version="1.0" encoding="utf-8"?>
<table xmlns="http://schemas.openxmlformats.org/spreadsheetml/2006/main" id="8" name="Table8" displayName="Table8" ref="A20:G25" totalsRowShown="0" headerRowDxfId="8" dataDxfId="7">
  <autoFilter ref="A20:G25"/>
  <tableColumns count="7">
    <tableColumn id="1" name="Name" dataDxfId="6"/>
    <tableColumn id="2" name="Position" dataDxfId="5"/>
    <tableColumn id="3" name="Current Salary" dataDxfId="4"/>
    <tableColumn id="4" name="Merit" dataDxfId="3"/>
    <tableColumn id="5" name="Position Change" dataDxfId="2"/>
    <tableColumn id="6" name="Total" dataDxfId="1">
      <calculatedColumnFormula>SUM(C21:E21)</calculatedColumnFormula>
    </tableColumn>
    <tableColumn id="7" name="USD Total" dataDxfId="0">
      <calculatedColumnFormula>F21*$I$21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linkedin.com/in/svetoslav-dimov-49938a220/"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5" Type="http://schemas.openxmlformats.org/officeDocument/2006/relationships/table" Target="../tables/table6.xml"/><Relationship Id="rId4"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itel.sharepoint.com/sites/PA2/Lists/Leave%20request%20list/AllItems.aspx?OR=Teams%2DHL&amp;CT=1648542249942&amp;params=eyJBcHBOYW1lIjoiVGVhbXMtRGVza3RvcCIsIkFwcFZlcnNpb24iOiIyNy8yMjAzMDcwMTYxMCJ9"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ommunity.powerbi.com/t5/Service/Data-refresh-using-Gateway-instead-of-Azure-service-for-SQL/m-p/897085"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nalytics.tui/" TargetMode="External"/><Relationship Id="rId1" Type="http://schemas.openxmlformats.org/officeDocument/2006/relationships/hyperlink" Target="mailto:silviya.todorova@sitel.com"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itsmc.nac.sitel-world.net/SMC/SupportRequest/UpdateTicket.aspx?TicketId=7343886" TargetMode="External"/><Relationship Id="rId1" Type="http://schemas.openxmlformats.org/officeDocument/2006/relationships/hyperlink" Target="https://sitel-my.sharepoint.com/:w:/p/martin_ferguson/EegcsccwnrRFpTaz05q0BKEBAmqDQWeqfJ46js_6WohPoQ"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38" Type="http://schemas.openxmlformats.org/officeDocument/2006/relationships/ctrlProp" Target="../ctrlProps/ctrlProp135.xml"/><Relationship Id="rId154" Type="http://schemas.openxmlformats.org/officeDocument/2006/relationships/ctrlProp" Target="../ctrlProps/ctrlProp151.xml"/><Relationship Id="rId159" Type="http://schemas.openxmlformats.org/officeDocument/2006/relationships/ctrlProp" Target="../ctrlProps/ctrlProp156.xml"/><Relationship Id="rId175" Type="http://schemas.openxmlformats.org/officeDocument/2006/relationships/ctrlProp" Target="../ctrlProps/ctrlProp172.xml"/><Relationship Id="rId170" Type="http://schemas.openxmlformats.org/officeDocument/2006/relationships/ctrlProp" Target="../ctrlProps/ctrlProp167.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144" Type="http://schemas.openxmlformats.org/officeDocument/2006/relationships/ctrlProp" Target="../ctrlProps/ctrlProp141.xml"/><Relationship Id="rId149" Type="http://schemas.openxmlformats.org/officeDocument/2006/relationships/ctrlProp" Target="../ctrlProps/ctrlProp146.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160" Type="http://schemas.openxmlformats.org/officeDocument/2006/relationships/ctrlProp" Target="../ctrlProps/ctrlProp157.xml"/><Relationship Id="rId165" Type="http://schemas.openxmlformats.org/officeDocument/2006/relationships/ctrlProp" Target="../ctrlProps/ctrlProp162.xml"/><Relationship Id="rId181" Type="http://schemas.openxmlformats.org/officeDocument/2006/relationships/ctrlProp" Target="../ctrlProps/ctrlProp178.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50" Type="http://schemas.openxmlformats.org/officeDocument/2006/relationships/ctrlProp" Target="../ctrlProps/ctrlProp147.xml"/><Relationship Id="rId155" Type="http://schemas.openxmlformats.org/officeDocument/2006/relationships/ctrlProp" Target="../ctrlProps/ctrlProp152.xml"/><Relationship Id="rId171" Type="http://schemas.openxmlformats.org/officeDocument/2006/relationships/ctrlProp" Target="../ctrlProps/ctrlProp168.xml"/><Relationship Id="rId176" Type="http://schemas.openxmlformats.org/officeDocument/2006/relationships/ctrlProp" Target="../ctrlProps/ctrlProp173.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61" Type="http://schemas.openxmlformats.org/officeDocument/2006/relationships/ctrlProp" Target="../ctrlProps/ctrlProp158.xml"/><Relationship Id="rId166" Type="http://schemas.openxmlformats.org/officeDocument/2006/relationships/ctrlProp" Target="../ctrlProps/ctrlProp163.xml"/><Relationship Id="rId182" Type="http://schemas.openxmlformats.org/officeDocument/2006/relationships/ctrlProp" Target="../ctrlProps/ctrlProp179.xml"/><Relationship Id="rId1" Type="http://schemas.openxmlformats.org/officeDocument/2006/relationships/printerSettings" Target="../printerSettings/printerSettings8.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77" Type="http://schemas.openxmlformats.org/officeDocument/2006/relationships/ctrlProp" Target="../ctrlProps/ctrlProp174.xml"/><Relationship Id="rId4" Type="http://schemas.openxmlformats.org/officeDocument/2006/relationships/ctrlProp" Target="../ctrlProps/ctrlProp1.xml"/><Relationship Id="rId9" Type="http://schemas.openxmlformats.org/officeDocument/2006/relationships/ctrlProp" Target="../ctrlProps/ctrlProp6.xml"/><Relationship Id="rId172" Type="http://schemas.openxmlformats.org/officeDocument/2006/relationships/ctrlProp" Target="../ctrlProps/ctrlProp169.xml"/><Relationship Id="rId180" Type="http://schemas.openxmlformats.org/officeDocument/2006/relationships/ctrlProp" Target="../ctrlProps/ctrlProp177.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 Type="http://schemas.openxmlformats.org/officeDocument/2006/relationships/drawing" Target="../drawings/drawing5.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s>
</file>

<file path=xl/worksheets/_rels/sheet25.xml.rels><?xml version="1.0" encoding="UTF-8" standalone="yes"?>
<Relationships xmlns="http://schemas.openxmlformats.org/package/2006/relationships"><Relationship Id="rId2" Type="http://schemas.openxmlformats.org/officeDocument/2006/relationships/hyperlink" Target="http://itsmc.nac.sitel-world.net/SMC/SupportRequest/CreateTicket.aspx" TargetMode="External"/><Relationship Id="rId1" Type="http://schemas.openxmlformats.org/officeDocument/2006/relationships/hyperlink" Target="http://corservices.nac.sitel-world.net/cormapping/BusObj/RequestAccount.aspx"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file:///\\BG279K12FPS01\Administrative$\Reporting\Data_Reporting\Private\1.%20Projects\5.%20Kingston\2.%20Working%20instructions"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1" Type="http://schemas.openxmlformats.org/officeDocument/2006/relationships/hyperlink" Target="file:///\\BG279K12FPS01\Administrative$\Reporting\Data_Reporting\Private\4.%20Useful%20files\Programs.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Q21"/>
  <sheetViews>
    <sheetView topLeftCell="AB1" workbookViewId="0">
      <selection activeCell="AQ1" sqref="AQ1"/>
    </sheetView>
  </sheetViews>
  <sheetFormatPr defaultRowHeight="14.4" x14ac:dyDescent="0.3"/>
  <cols>
    <col min="15" max="15" width="8.88671875" style="8"/>
    <col min="16" max="18" width="8.88671875" style="3"/>
    <col min="19" max="19" width="8.88671875" style="9"/>
    <col min="22" max="22" width="8.88671875" style="9"/>
    <col min="29" max="29" width="8.88671875" style="9"/>
    <col min="33" max="33" width="8.88671875" style="9"/>
    <col min="38" max="38" width="8.88671875" style="9"/>
    <col min="42" max="42" width="8.88671875" style="9"/>
  </cols>
  <sheetData>
    <row r="1" spans="1:43" x14ac:dyDescent="0.3">
      <c r="O1" s="5" t="s">
        <v>53</v>
      </c>
      <c r="P1" s="6"/>
      <c r="Q1" s="6"/>
      <c r="R1" s="6"/>
      <c r="S1" s="7"/>
      <c r="U1" t="s">
        <v>93</v>
      </c>
      <c r="X1" t="s">
        <v>103</v>
      </c>
      <c r="AI1" t="s">
        <v>176</v>
      </c>
      <c r="AK1" t="s">
        <v>214</v>
      </c>
      <c r="AM1" t="s">
        <v>340</v>
      </c>
      <c r="AO1" t="s">
        <v>341</v>
      </c>
      <c r="AQ1" t="s">
        <v>542</v>
      </c>
    </row>
    <row r="2" spans="1:43" x14ac:dyDescent="0.3">
      <c r="A2" s="5"/>
      <c r="B2" s="6" t="s">
        <v>0</v>
      </c>
      <c r="C2" s="6"/>
      <c r="D2" s="6"/>
      <c r="E2" s="6"/>
      <c r="F2" s="6"/>
      <c r="G2" s="6"/>
      <c r="H2" s="6"/>
      <c r="I2" s="6" t="s">
        <v>12</v>
      </c>
      <c r="J2" s="6"/>
      <c r="K2" s="6"/>
      <c r="L2" s="7"/>
      <c r="O2" s="8" t="s">
        <v>55</v>
      </c>
      <c r="T2" t="s">
        <v>94</v>
      </c>
      <c r="X2" t="s">
        <v>119</v>
      </c>
      <c r="AE2" t="s">
        <v>133</v>
      </c>
      <c r="AK2" t="s">
        <v>215</v>
      </c>
    </row>
    <row r="3" spans="1:43" x14ac:dyDescent="0.3">
      <c r="A3" s="8"/>
      <c r="B3" s="3" t="s">
        <v>1</v>
      </c>
      <c r="C3" s="3"/>
      <c r="D3" s="3"/>
      <c r="E3" s="3"/>
      <c r="F3" s="3"/>
      <c r="G3" s="3"/>
      <c r="H3" s="3"/>
      <c r="I3" s="3" t="s">
        <v>13</v>
      </c>
      <c r="J3" s="3"/>
      <c r="K3" s="3"/>
      <c r="L3" s="9"/>
      <c r="T3" t="s">
        <v>95</v>
      </c>
      <c r="X3" t="s">
        <v>120</v>
      </c>
      <c r="AA3" t="s">
        <v>121</v>
      </c>
      <c r="AI3" t="s">
        <v>192</v>
      </c>
      <c r="AK3" t="s">
        <v>216</v>
      </c>
      <c r="AQ3" t="s">
        <v>543</v>
      </c>
    </row>
    <row r="4" spans="1:43" x14ac:dyDescent="0.3">
      <c r="A4" s="8"/>
      <c r="B4" s="3" t="s">
        <v>2</v>
      </c>
      <c r="C4" s="3"/>
      <c r="D4" s="3"/>
      <c r="E4" s="3"/>
      <c r="F4" s="3"/>
      <c r="G4" s="3"/>
      <c r="H4" s="3"/>
      <c r="I4" s="3" t="s">
        <v>14</v>
      </c>
      <c r="J4" s="3"/>
      <c r="K4" s="3"/>
      <c r="L4" s="9"/>
      <c r="X4" t="s">
        <v>123</v>
      </c>
      <c r="AE4" t="s">
        <v>167</v>
      </c>
      <c r="AF4" t="s">
        <v>85</v>
      </c>
      <c r="AI4" t="s">
        <v>193</v>
      </c>
      <c r="AK4" t="s">
        <v>217</v>
      </c>
    </row>
    <row r="5" spans="1:43" x14ac:dyDescent="0.3">
      <c r="A5" s="8"/>
      <c r="B5" s="3" t="s">
        <v>3</v>
      </c>
      <c r="C5" s="3"/>
      <c r="D5" s="3"/>
      <c r="E5" s="3"/>
      <c r="F5" s="3"/>
      <c r="G5" s="3"/>
      <c r="H5" s="3"/>
      <c r="I5" s="3"/>
      <c r="J5" s="3"/>
      <c r="K5" s="3"/>
      <c r="L5" s="9"/>
      <c r="O5" s="8" t="s">
        <v>57</v>
      </c>
      <c r="X5" t="s">
        <v>101</v>
      </c>
      <c r="Y5" t="s">
        <v>85</v>
      </c>
      <c r="AE5" t="s">
        <v>101</v>
      </c>
      <c r="AF5" t="s">
        <v>168</v>
      </c>
      <c r="AK5" t="s">
        <v>218</v>
      </c>
    </row>
    <row r="6" spans="1:43" x14ac:dyDescent="0.3">
      <c r="A6" s="8"/>
      <c r="B6" s="3"/>
      <c r="C6" s="3"/>
      <c r="D6" s="3"/>
      <c r="E6" s="3"/>
      <c r="F6" s="3"/>
      <c r="G6" s="3"/>
      <c r="H6" s="3"/>
      <c r="I6" s="3"/>
      <c r="J6" s="3"/>
      <c r="K6" s="3"/>
      <c r="L6" s="9"/>
      <c r="O6" s="8" t="s">
        <v>58</v>
      </c>
      <c r="X6" t="s">
        <v>24</v>
      </c>
      <c r="Y6" t="s">
        <v>85</v>
      </c>
      <c r="AI6" t="s">
        <v>194</v>
      </c>
    </row>
    <row r="7" spans="1:43" x14ac:dyDescent="0.3">
      <c r="A7" s="10"/>
      <c r="B7" s="4"/>
      <c r="C7" s="4"/>
      <c r="D7" s="4"/>
      <c r="E7" s="4"/>
      <c r="F7" s="4"/>
      <c r="G7" s="4"/>
      <c r="H7" s="4"/>
      <c r="I7" s="4"/>
      <c r="J7" s="4"/>
      <c r="K7" s="3"/>
      <c r="L7" s="9"/>
      <c r="O7" s="8" t="s">
        <v>59</v>
      </c>
      <c r="X7" t="s">
        <v>124</v>
      </c>
    </row>
    <row r="8" spans="1:43" x14ac:dyDescent="0.3">
      <c r="A8" s="8"/>
      <c r="B8" s="3"/>
      <c r="C8" s="3"/>
      <c r="D8" s="3"/>
      <c r="E8" s="3"/>
      <c r="F8" s="3"/>
      <c r="G8" s="3"/>
      <c r="H8" s="3"/>
      <c r="I8" s="3"/>
      <c r="J8" s="3"/>
      <c r="K8" s="3"/>
      <c r="L8" s="9"/>
      <c r="O8" s="8" t="s">
        <v>60</v>
      </c>
      <c r="Y8" t="s">
        <v>125</v>
      </c>
      <c r="AI8" t="s">
        <v>195</v>
      </c>
    </row>
    <row r="9" spans="1:43" x14ac:dyDescent="0.3">
      <c r="A9" s="8" t="s">
        <v>37</v>
      </c>
      <c r="B9" s="3"/>
      <c r="C9" s="3"/>
      <c r="D9" s="3"/>
      <c r="E9" s="3"/>
      <c r="F9" s="3"/>
      <c r="G9" s="3"/>
      <c r="H9" s="3"/>
      <c r="I9" s="3"/>
      <c r="J9" s="3"/>
      <c r="K9" s="3"/>
      <c r="L9" s="9"/>
      <c r="O9" s="8" t="s">
        <v>61</v>
      </c>
    </row>
    <row r="10" spans="1:43" x14ac:dyDescent="0.3">
      <c r="A10" s="8" t="s">
        <v>38</v>
      </c>
      <c r="B10" s="3"/>
      <c r="C10" s="3"/>
      <c r="D10" s="3"/>
      <c r="E10" s="3"/>
      <c r="F10" s="3"/>
      <c r="G10" s="3"/>
      <c r="H10" s="3"/>
      <c r="I10" s="3"/>
      <c r="J10" s="3"/>
      <c r="K10" s="3"/>
      <c r="L10" s="9"/>
    </row>
    <row r="11" spans="1:43" x14ac:dyDescent="0.3">
      <c r="A11" s="8" t="s">
        <v>39</v>
      </c>
      <c r="B11" s="3"/>
      <c r="C11" s="3"/>
      <c r="D11" s="3"/>
      <c r="E11" s="3"/>
      <c r="F11" s="3"/>
      <c r="G11" s="3"/>
      <c r="H11" s="3"/>
      <c r="I11" s="3"/>
      <c r="J11" s="3"/>
      <c r="K11" s="3"/>
      <c r="L11" s="9"/>
      <c r="O11" s="8" t="s">
        <v>62</v>
      </c>
    </row>
    <row r="12" spans="1:43" x14ac:dyDescent="0.3">
      <c r="A12" s="8"/>
      <c r="B12" s="3"/>
      <c r="C12" s="3"/>
      <c r="D12" s="3"/>
      <c r="E12" s="3"/>
      <c r="F12" s="3"/>
      <c r="G12" s="3"/>
      <c r="H12" s="3"/>
      <c r="I12" s="3"/>
      <c r="J12" s="3"/>
      <c r="K12" s="3"/>
      <c r="L12" s="9"/>
    </row>
    <row r="13" spans="1:43" x14ac:dyDescent="0.3">
      <c r="A13" s="8" t="s">
        <v>52</v>
      </c>
      <c r="B13" s="3"/>
      <c r="C13" s="3"/>
      <c r="D13" s="3"/>
      <c r="E13" s="3"/>
      <c r="F13" s="3"/>
      <c r="G13" s="3"/>
      <c r="H13" s="3"/>
      <c r="I13" s="3"/>
      <c r="J13" s="3"/>
      <c r="K13" s="3"/>
      <c r="L13" s="9"/>
    </row>
    <row r="14" spans="1:43" x14ac:dyDescent="0.3">
      <c r="A14" s="8"/>
      <c r="B14" s="3"/>
      <c r="C14" s="3"/>
      <c r="D14" s="3"/>
      <c r="E14" s="3"/>
      <c r="F14" s="3"/>
      <c r="G14" s="3"/>
      <c r="H14" s="3"/>
      <c r="I14" s="3"/>
      <c r="J14" s="3"/>
      <c r="K14" s="3"/>
      <c r="L14" s="9"/>
    </row>
    <row r="15" spans="1:43" x14ac:dyDescent="0.3">
      <c r="A15" s="10"/>
      <c r="B15" s="4"/>
      <c r="C15" s="4"/>
      <c r="D15" s="4"/>
      <c r="E15" s="4"/>
      <c r="F15" s="4"/>
      <c r="G15" s="4"/>
      <c r="H15" s="4"/>
      <c r="I15" s="4"/>
      <c r="J15" s="4"/>
      <c r="K15" s="4"/>
      <c r="L15" s="11"/>
      <c r="O15" s="8" t="s">
        <v>72</v>
      </c>
    </row>
    <row r="17" spans="1:15" x14ac:dyDescent="0.3">
      <c r="O17" s="8" t="s">
        <v>73</v>
      </c>
    </row>
    <row r="19" spans="1:15" x14ac:dyDescent="0.3">
      <c r="A19" t="s">
        <v>87</v>
      </c>
      <c r="O19" s="8" t="s">
        <v>74</v>
      </c>
    </row>
    <row r="21" spans="1:15" x14ac:dyDescent="0.3">
      <c r="O21" s="8"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B16"/>
  <sheetViews>
    <sheetView topLeftCell="AJ1" workbookViewId="0">
      <selection activeCell="BB3" sqref="BB3"/>
    </sheetView>
  </sheetViews>
  <sheetFormatPr defaultRowHeight="14.4" x14ac:dyDescent="0.3"/>
  <cols>
    <col min="13" max="13" width="8.88671875" style="9"/>
    <col min="20" max="20" width="8.88671875" style="9"/>
    <col min="23" max="23" width="8.88671875" style="9"/>
    <col min="31" max="31" width="11.5546875" style="9" customWidth="1"/>
    <col min="35" max="35" width="8.88671875" style="9"/>
    <col min="43" max="43" width="8.88671875" style="9"/>
    <col min="46" max="46" width="8.88671875" style="9"/>
    <col min="50" max="50" width="8.88671875" style="9"/>
    <col min="52" max="52" width="8.88671875" style="9"/>
  </cols>
  <sheetData>
    <row r="1" spans="1:54" x14ac:dyDescent="0.3">
      <c r="A1" s="5"/>
      <c r="B1" s="6"/>
      <c r="C1" s="6"/>
      <c r="D1" s="6"/>
      <c r="E1" s="6"/>
      <c r="F1" s="6"/>
      <c r="G1" s="6"/>
      <c r="H1" s="6"/>
      <c r="I1" s="6"/>
      <c r="J1" s="6"/>
      <c r="K1" s="7"/>
      <c r="AG1" t="s">
        <v>140</v>
      </c>
      <c r="AK1" t="s">
        <v>169</v>
      </c>
      <c r="AO1" t="s">
        <v>213</v>
      </c>
      <c r="AZ1" s="92">
        <v>45017</v>
      </c>
      <c r="BB1" t="s">
        <v>53</v>
      </c>
    </row>
    <row r="2" spans="1:54" x14ac:dyDescent="0.3">
      <c r="A2" s="8"/>
      <c r="B2" s="3" t="s">
        <v>6</v>
      </c>
      <c r="C2" s="3"/>
      <c r="D2" s="3"/>
      <c r="E2" s="3"/>
      <c r="F2" s="3"/>
      <c r="G2" s="3"/>
      <c r="H2" s="3"/>
      <c r="I2" s="3"/>
      <c r="J2" s="3"/>
      <c r="K2" s="9"/>
      <c r="N2" t="s">
        <v>53</v>
      </c>
      <c r="U2" t="s">
        <v>93</v>
      </c>
      <c r="X2" t="s">
        <v>103</v>
      </c>
      <c r="AB2" t="s">
        <v>117</v>
      </c>
      <c r="AR2" t="s">
        <v>243</v>
      </c>
      <c r="AV2" t="s">
        <v>538</v>
      </c>
    </row>
    <row r="3" spans="1:54" x14ac:dyDescent="0.3">
      <c r="A3" s="8"/>
      <c r="B3" s="3" t="s">
        <v>7</v>
      </c>
      <c r="C3" s="3"/>
      <c r="D3" s="3"/>
      <c r="E3" s="3"/>
      <c r="F3" s="3"/>
      <c r="G3" s="3"/>
      <c r="H3" s="3"/>
      <c r="I3" s="3"/>
      <c r="J3" s="3"/>
      <c r="K3" s="9"/>
      <c r="N3" t="s">
        <v>54</v>
      </c>
      <c r="U3" t="s">
        <v>96</v>
      </c>
      <c r="Y3" t="s">
        <v>115</v>
      </c>
      <c r="AB3" t="s">
        <v>118</v>
      </c>
      <c r="AG3" t="s">
        <v>96</v>
      </c>
      <c r="AH3" t="s">
        <v>85</v>
      </c>
      <c r="AK3" t="s">
        <v>170</v>
      </c>
      <c r="AL3" t="s">
        <v>171</v>
      </c>
      <c r="AV3" t="s">
        <v>539</v>
      </c>
    </row>
    <row r="4" spans="1:54" x14ac:dyDescent="0.3">
      <c r="A4" s="8"/>
      <c r="B4" s="3"/>
      <c r="C4" s="3"/>
      <c r="D4" s="3"/>
      <c r="E4" s="3"/>
      <c r="F4" s="3"/>
      <c r="G4" s="3"/>
      <c r="H4" s="3"/>
      <c r="I4" s="3"/>
      <c r="J4" s="3"/>
      <c r="K4" s="9"/>
      <c r="N4" t="s">
        <v>56</v>
      </c>
      <c r="U4" t="s">
        <v>101</v>
      </c>
      <c r="Y4" t="s">
        <v>116</v>
      </c>
      <c r="AB4" t="s">
        <v>122</v>
      </c>
      <c r="AG4" t="s">
        <v>101</v>
      </c>
      <c r="AH4" t="s">
        <v>159</v>
      </c>
      <c r="AK4" t="s">
        <v>172</v>
      </c>
      <c r="AR4" t="s">
        <v>244</v>
      </c>
      <c r="AV4" t="s">
        <v>540</v>
      </c>
    </row>
    <row r="5" spans="1:54" x14ac:dyDescent="0.3">
      <c r="A5" s="8"/>
      <c r="B5" s="3"/>
      <c r="C5" s="3"/>
      <c r="D5" s="3"/>
      <c r="E5" s="3"/>
      <c r="F5" s="3"/>
      <c r="G5" s="3"/>
      <c r="H5" s="3"/>
      <c r="I5" s="3"/>
      <c r="J5" s="3"/>
      <c r="K5" s="9"/>
      <c r="AB5" t="s">
        <v>40</v>
      </c>
      <c r="AK5" t="s">
        <v>173</v>
      </c>
      <c r="AV5" t="s">
        <v>541</v>
      </c>
    </row>
    <row r="6" spans="1:54" x14ac:dyDescent="0.3">
      <c r="A6" s="10"/>
      <c r="B6" s="4"/>
      <c r="C6" s="4"/>
      <c r="D6" s="4"/>
      <c r="E6" s="4"/>
      <c r="F6" s="4"/>
      <c r="G6" s="4"/>
      <c r="H6" s="4"/>
      <c r="I6" s="4"/>
      <c r="J6" s="4"/>
      <c r="K6" s="11"/>
      <c r="U6" t="s">
        <v>97</v>
      </c>
      <c r="V6" t="s">
        <v>98</v>
      </c>
      <c r="X6" t="s">
        <v>45</v>
      </c>
      <c r="Y6" t="s">
        <v>129</v>
      </c>
      <c r="AB6" t="s">
        <v>126</v>
      </c>
      <c r="AG6" t="s">
        <v>160</v>
      </c>
      <c r="AR6" t="s">
        <v>245</v>
      </c>
    </row>
    <row r="7" spans="1:54" x14ac:dyDescent="0.3">
      <c r="A7" s="8" t="s">
        <v>40</v>
      </c>
      <c r="B7" s="3"/>
      <c r="C7" s="3" t="s">
        <v>41</v>
      </c>
      <c r="D7" s="3"/>
      <c r="E7" s="3"/>
      <c r="F7" s="3"/>
      <c r="G7" s="3"/>
      <c r="H7" s="3"/>
      <c r="I7" s="3"/>
      <c r="J7" s="3"/>
      <c r="K7" s="9"/>
      <c r="N7" t="s">
        <v>63</v>
      </c>
      <c r="P7" t="s">
        <v>69</v>
      </c>
      <c r="V7" t="s">
        <v>99</v>
      </c>
      <c r="X7" t="s">
        <v>101</v>
      </c>
      <c r="AG7" t="s">
        <v>161</v>
      </c>
      <c r="AK7" t="s">
        <v>174</v>
      </c>
      <c r="AN7" t="s">
        <v>175</v>
      </c>
    </row>
    <row r="8" spans="1:54" x14ac:dyDescent="0.3">
      <c r="A8" s="8"/>
      <c r="B8" s="3"/>
      <c r="C8" s="3"/>
      <c r="D8" s="3"/>
      <c r="E8" s="3"/>
      <c r="F8" s="3"/>
      <c r="G8" s="3"/>
      <c r="H8" s="3"/>
      <c r="I8" s="3"/>
      <c r="J8" s="3"/>
      <c r="K8" s="9"/>
      <c r="N8" t="s">
        <v>64</v>
      </c>
      <c r="X8" t="s">
        <v>48</v>
      </c>
      <c r="AB8" t="s">
        <v>127</v>
      </c>
      <c r="AC8" t="s">
        <v>128</v>
      </c>
      <c r="AG8" t="s">
        <v>162</v>
      </c>
      <c r="AR8" t="s">
        <v>246</v>
      </c>
    </row>
    <row r="9" spans="1:54" x14ac:dyDescent="0.3">
      <c r="A9" s="8" t="s">
        <v>42</v>
      </c>
      <c r="B9" s="3"/>
      <c r="C9" s="3" t="s">
        <v>44</v>
      </c>
      <c r="D9" s="3"/>
      <c r="E9" s="3"/>
      <c r="F9" s="3" t="s">
        <v>48</v>
      </c>
      <c r="G9" s="3"/>
      <c r="H9" s="3"/>
      <c r="I9" s="3"/>
      <c r="J9" s="3"/>
      <c r="K9" s="9"/>
      <c r="N9" t="s">
        <v>65</v>
      </c>
      <c r="Q9" t="s">
        <v>71</v>
      </c>
      <c r="U9" t="s">
        <v>100</v>
      </c>
      <c r="V9" t="s">
        <v>40</v>
      </c>
      <c r="X9" t="s">
        <v>49</v>
      </c>
    </row>
    <row r="10" spans="1:54" x14ac:dyDescent="0.3">
      <c r="A10" s="8" t="s">
        <v>43</v>
      </c>
      <c r="B10" s="3"/>
      <c r="C10" s="3"/>
      <c r="D10" s="3"/>
      <c r="E10" s="3"/>
      <c r="F10" s="3" t="s">
        <v>49</v>
      </c>
      <c r="G10" s="3"/>
      <c r="H10" s="3"/>
      <c r="I10" s="3"/>
      <c r="J10" s="3"/>
      <c r="K10" s="9"/>
      <c r="N10" t="s">
        <v>66</v>
      </c>
      <c r="AR10" t="s">
        <v>247</v>
      </c>
    </row>
    <row r="11" spans="1:54" x14ac:dyDescent="0.3">
      <c r="A11" s="8" t="s">
        <v>45</v>
      </c>
      <c r="B11" s="3"/>
      <c r="C11" s="3"/>
      <c r="D11" s="3"/>
      <c r="E11" s="3"/>
      <c r="F11" s="3" t="s">
        <v>50</v>
      </c>
      <c r="G11" s="3"/>
      <c r="H11" s="3"/>
      <c r="I11" s="3"/>
      <c r="J11" s="3"/>
      <c r="K11" s="9"/>
      <c r="N11" t="s">
        <v>67</v>
      </c>
      <c r="U11" t="s">
        <v>48</v>
      </c>
    </row>
    <row r="12" spans="1:54" x14ac:dyDescent="0.3">
      <c r="A12" s="8" t="s">
        <v>46</v>
      </c>
      <c r="B12" s="3"/>
      <c r="C12" s="3"/>
      <c r="D12" s="3"/>
      <c r="E12" s="3"/>
      <c r="F12" s="3" t="s">
        <v>51</v>
      </c>
      <c r="G12" s="3"/>
      <c r="H12" s="3"/>
      <c r="I12" s="3"/>
      <c r="J12" s="3"/>
      <c r="K12" s="9"/>
      <c r="N12" t="s">
        <v>68</v>
      </c>
      <c r="AR12" t="s">
        <v>24</v>
      </c>
      <c r="AS12" t="s">
        <v>248</v>
      </c>
    </row>
    <row r="13" spans="1:54" x14ac:dyDescent="0.3">
      <c r="A13" s="10" t="s">
        <v>47</v>
      </c>
      <c r="B13" s="4"/>
      <c r="C13" s="4"/>
      <c r="D13" s="4"/>
      <c r="E13" s="4"/>
      <c r="F13" s="4"/>
      <c r="G13" s="4"/>
      <c r="H13" s="4"/>
      <c r="I13" s="4"/>
      <c r="J13" s="4"/>
      <c r="K13" s="11"/>
      <c r="U13" t="s">
        <v>102</v>
      </c>
    </row>
    <row r="14" spans="1:54" x14ac:dyDescent="0.3">
      <c r="N14" t="s">
        <v>70</v>
      </c>
    </row>
    <row r="15" spans="1:54" x14ac:dyDescent="0.3">
      <c r="X15" t="s">
        <v>130</v>
      </c>
      <c r="Z15" t="s">
        <v>131</v>
      </c>
    </row>
    <row r="16" spans="1:54" x14ac:dyDescent="0.3">
      <c r="X16"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J14" sqref="J14"/>
    </sheetView>
  </sheetViews>
  <sheetFormatPr defaultRowHeight="14.4" x14ac:dyDescent="0.3"/>
  <sheetData>
    <row r="1" spans="1:2" x14ac:dyDescent="0.3">
      <c r="A1" t="s">
        <v>53</v>
      </c>
    </row>
    <row r="3" spans="1:2" x14ac:dyDescent="0.3">
      <c r="A3" t="s">
        <v>1179</v>
      </c>
    </row>
    <row r="6" spans="1:2" x14ac:dyDescent="0.3">
      <c r="B6" t="s">
        <v>1181</v>
      </c>
    </row>
    <row r="7" spans="1:2" x14ac:dyDescent="0.3">
      <c r="B7" t="s">
        <v>1180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O19"/>
  <sheetViews>
    <sheetView topLeftCell="AA1" workbookViewId="0">
      <selection activeCell="AO11" sqref="AO11"/>
    </sheetView>
  </sheetViews>
  <sheetFormatPr defaultRowHeight="14.4" x14ac:dyDescent="0.3"/>
  <cols>
    <col min="6" max="6" width="8.88671875" style="9"/>
    <col min="7" max="7" width="8.88671875" style="12"/>
    <col min="14" max="14" width="8.88671875" style="9"/>
    <col min="20" max="20" width="8.88671875" style="9"/>
    <col min="23" max="23" width="8.88671875" style="9"/>
    <col min="30" max="30" width="8.88671875" style="9"/>
    <col min="32" max="32" width="8.88671875" style="9"/>
    <col min="36" max="36" width="8.88671875" style="9"/>
    <col min="39" max="39" width="8.88671875" style="9"/>
  </cols>
  <sheetData>
    <row r="1" spans="1:41" x14ac:dyDescent="0.3">
      <c r="A1" t="s">
        <v>76</v>
      </c>
      <c r="C1" t="s">
        <v>22</v>
      </c>
      <c r="G1" s="12" t="s">
        <v>93</v>
      </c>
      <c r="I1" t="s">
        <v>103</v>
      </c>
      <c r="P1" t="s">
        <v>134</v>
      </c>
      <c r="AN1" t="s">
        <v>53</v>
      </c>
    </row>
    <row r="2" spans="1:41" x14ac:dyDescent="0.3">
      <c r="A2" t="s">
        <v>77</v>
      </c>
      <c r="C2" t="s">
        <v>85</v>
      </c>
      <c r="I2" t="s">
        <v>101</v>
      </c>
      <c r="J2" t="s">
        <v>104</v>
      </c>
      <c r="M2" t="s">
        <v>105</v>
      </c>
      <c r="P2" t="s">
        <v>135</v>
      </c>
    </row>
    <row r="3" spans="1:41" x14ac:dyDescent="0.3">
      <c r="A3" t="s">
        <v>78</v>
      </c>
      <c r="C3" t="s">
        <v>86</v>
      </c>
      <c r="I3" t="s">
        <v>45</v>
      </c>
      <c r="J3" t="s">
        <v>85</v>
      </c>
      <c r="AN3" t="s">
        <v>860</v>
      </c>
      <c r="AO3" t="s">
        <v>861</v>
      </c>
    </row>
    <row r="4" spans="1:41" x14ac:dyDescent="0.3">
      <c r="A4" t="s">
        <v>82</v>
      </c>
      <c r="C4" t="s">
        <v>85</v>
      </c>
      <c r="I4" t="s">
        <v>24</v>
      </c>
      <c r="J4" t="s">
        <v>106</v>
      </c>
      <c r="L4" t="s">
        <v>107</v>
      </c>
      <c r="P4" t="s">
        <v>136</v>
      </c>
      <c r="S4" t="s">
        <v>137</v>
      </c>
      <c r="V4" t="s">
        <v>140</v>
      </c>
      <c r="Y4" t="s">
        <v>176</v>
      </c>
      <c r="AA4" t="s">
        <v>219</v>
      </c>
      <c r="AE4" t="s">
        <v>351</v>
      </c>
    </row>
    <row r="5" spans="1:41" x14ac:dyDescent="0.3">
      <c r="A5" t="s">
        <v>84</v>
      </c>
      <c r="C5" t="s">
        <v>86</v>
      </c>
      <c r="I5" t="s">
        <v>108</v>
      </c>
      <c r="J5" t="s">
        <v>109</v>
      </c>
      <c r="P5" t="s">
        <v>138</v>
      </c>
      <c r="V5" t="s">
        <v>154</v>
      </c>
      <c r="W5" s="9" t="s">
        <v>155</v>
      </c>
      <c r="AA5" t="s">
        <v>220</v>
      </c>
      <c r="AL5" t="s">
        <v>586</v>
      </c>
      <c r="AN5" t="s">
        <v>862</v>
      </c>
    </row>
    <row r="6" spans="1:41" x14ac:dyDescent="0.3">
      <c r="V6" t="s">
        <v>37</v>
      </c>
      <c r="W6" s="9" t="s">
        <v>157</v>
      </c>
      <c r="Y6" t="s">
        <v>185</v>
      </c>
      <c r="AA6" t="s">
        <v>221</v>
      </c>
      <c r="AH6" t="s">
        <v>529</v>
      </c>
      <c r="AL6" t="s">
        <v>587</v>
      </c>
    </row>
    <row r="7" spans="1:41" x14ac:dyDescent="0.3">
      <c r="AH7" t="s">
        <v>530</v>
      </c>
      <c r="AL7" t="s">
        <v>588</v>
      </c>
      <c r="AN7" t="s">
        <v>863</v>
      </c>
    </row>
    <row r="8" spans="1:41" x14ac:dyDescent="0.3">
      <c r="V8" t="s">
        <v>158</v>
      </c>
      <c r="Y8" t="s">
        <v>184</v>
      </c>
    </row>
    <row r="9" spans="1:41" x14ac:dyDescent="0.3">
      <c r="Y9" t="s">
        <v>186</v>
      </c>
      <c r="AN9" t="s">
        <v>864</v>
      </c>
    </row>
    <row r="10" spans="1:41" x14ac:dyDescent="0.3">
      <c r="AH10" t="s">
        <v>173</v>
      </c>
      <c r="AI10" t="s">
        <v>531</v>
      </c>
    </row>
    <row r="11" spans="1:41" x14ac:dyDescent="0.3">
      <c r="Y11" t="s">
        <v>253</v>
      </c>
      <c r="AA11" t="s">
        <v>254</v>
      </c>
      <c r="AI11" t="s">
        <v>532</v>
      </c>
    </row>
    <row r="12" spans="1:41" x14ac:dyDescent="0.3">
      <c r="V12" t="s">
        <v>45</v>
      </c>
      <c r="W12" s="9" t="s">
        <v>85</v>
      </c>
    </row>
    <row r="13" spans="1:41" x14ac:dyDescent="0.3">
      <c r="V13" t="s">
        <v>101</v>
      </c>
      <c r="W13" s="9" t="s">
        <v>156</v>
      </c>
      <c r="Y13" t="s">
        <v>250</v>
      </c>
    </row>
    <row r="15" spans="1:41" x14ac:dyDescent="0.3">
      <c r="Y15" t="s">
        <v>251</v>
      </c>
    </row>
    <row r="17" spans="25:25" x14ac:dyDescent="0.3">
      <c r="Y17" t="s">
        <v>252</v>
      </c>
    </row>
    <row r="19" spans="25:25" x14ac:dyDescent="0.3">
      <c r="Y19" t="s">
        <v>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N12"/>
  <sheetViews>
    <sheetView topLeftCell="T1" workbookViewId="0">
      <selection activeCell="AN3" sqref="AN3"/>
    </sheetView>
  </sheetViews>
  <sheetFormatPr defaultRowHeight="14.4" x14ac:dyDescent="0.3"/>
  <cols>
    <col min="5" max="5" width="8.88671875" style="9"/>
    <col min="6" max="6" width="8.88671875" style="12"/>
    <col min="11" max="11" width="8.88671875" style="9"/>
    <col min="22" max="22" width="8.88671875" style="9"/>
    <col min="25" max="25" width="8.88671875" style="9"/>
    <col min="27" max="27" width="13.109375" style="9" customWidth="1"/>
    <col min="32" max="32" width="8.88671875" style="9"/>
    <col min="38" max="38" width="8.88671875" style="9"/>
  </cols>
  <sheetData>
    <row r="1" spans="1:40" x14ac:dyDescent="0.3">
      <c r="A1" t="s">
        <v>76</v>
      </c>
      <c r="C1" t="s">
        <v>81</v>
      </c>
      <c r="F1" s="12" t="s">
        <v>93</v>
      </c>
      <c r="H1" t="s">
        <v>103</v>
      </c>
      <c r="M1" t="s">
        <v>140</v>
      </c>
      <c r="X1" t="s">
        <v>176</v>
      </c>
      <c r="AA1" s="9" t="s">
        <v>212</v>
      </c>
      <c r="AC1" t="s">
        <v>140</v>
      </c>
      <c r="AG1" t="s">
        <v>53</v>
      </c>
      <c r="AN1" t="s">
        <v>140</v>
      </c>
    </row>
    <row r="2" spans="1:40" x14ac:dyDescent="0.3">
      <c r="A2" t="s">
        <v>77</v>
      </c>
      <c r="C2" t="s">
        <v>80</v>
      </c>
      <c r="H2" t="s">
        <v>113</v>
      </c>
      <c r="I2" t="s">
        <v>85</v>
      </c>
    </row>
    <row r="3" spans="1:40" x14ac:dyDescent="0.3">
      <c r="A3" t="s">
        <v>78</v>
      </c>
      <c r="C3" t="s">
        <v>79</v>
      </c>
      <c r="H3" t="s">
        <v>101</v>
      </c>
      <c r="I3" t="s">
        <v>114</v>
      </c>
      <c r="M3" t="s">
        <v>141</v>
      </c>
      <c r="X3" t="s">
        <v>177</v>
      </c>
      <c r="AC3" t="s">
        <v>524</v>
      </c>
      <c r="AE3" t="s">
        <v>525</v>
      </c>
      <c r="AG3" t="s">
        <v>844</v>
      </c>
      <c r="AI3" t="s">
        <v>845</v>
      </c>
    </row>
    <row r="4" spans="1:40" x14ac:dyDescent="0.3">
      <c r="A4" t="s">
        <v>82</v>
      </c>
      <c r="C4" t="s">
        <v>83</v>
      </c>
      <c r="H4" t="s">
        <v>24</v>
      </c>
      <c r="I4" t="s">
        <v>85</v>
      </c>
      <c r="M4" t="s">
        <v>144</v>
      </c>
      <c r="O4" t="s">
        <v>142</v>
      </c>
      <c r="P4" t="s">
        <v>143</v>
      </c>
      <c r="R4" t="s">
        <v>152</v>
      </c>
      <c r="X4" t="s">
        <v>178</v>
      </c>
      <c r="AC4" t="s">
        <v>515</v>
      </c>
      <c r="AE4" t="s">
        <v>526</v>
      </c>
      <c r="AG4" t="s">
        <v>846</v>
      </c>
      <c r="AI4" t="s">
        <v>847</v>
      </c>
    </row>
    <row r="5" spans="1:40" x14ac:dyDescent="0.3">
      <c r="A5" t="s">
        <v>84</v>
      </c>
      <c r="M5" t="s">
        <v>145</v>
      </c>
      <c r="N5" t="s">
        <v>146</v>
      </c>
      <c r="R5" t="s">
        <v>153</v>
      </c>
      <c r="X5" t="s">
        <v>179</v>
      </c>
      <c r="AC5" t="s">
        <v>527</v>
      </c>
      <c r="AE5" t="s">
        <v>528</v>
      </c>
    </row>
    <row r="6" spans="1:40" x14ac:dyDescent="0.3">
      <c r="M6" t="s">
        <v>148</v>
      </c>
      <c r="X6" t="s">
        <v>180</v>
      </c>
      <c r="AG6" t="s">
        <v>848</v>
      </c>
    </row>
    <row r="7" spans="1:40" x14ac:dyDescent="0.3">
      <c r="M7" t="s">
        <v>147</v>
      </c>
    </row>
    <row r="8" spans="1:40" x14ac:dyDescent="0.3">
      <c r="X8" t="s">
        <v>181</v>
      </c>
    </row>
    <row r="9" spans="1:40" x14ac:dyDescent="0.3">
      <c r="M9" t="s">
        <v>149</v>
      </c>
      <c r="N9" t="s">
        <v>85</v>
      </c>
    </row>
    <row r="10" spans="1:40" x14ac:dyDescent="0.3">
      <c r="M10" t="s">
        <v>150</v>
      </c>
      <c r="X10" s="13" t="s">
        <v>182</v>
      </c>
    </row>
    <row r="11" spans="1:40" x14ac:dyDescent="0.3">
      <c r="M11" t="s">
        <v>151</v>
      </c>
      <c r="N11" t="s">
        <v>85</v>
      </c>
    </row>
    <row r="12" spans="1:40" x14ac:dyDescent="0.3">
      <c r="M12" t="s">
        <v>24</v>
      </c>
      <c r="N12" t="s">
        <v>85</v>
      </c>
      <c r="X12" t="s">
        <v>183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T15"/>
  <sheetViews>
    <sheetView workbookViewId="0">
      <selection activeCell="T8" sqref="T8"/>
    </sheetView>
  </sheetViews>
  <sheetFormatPr defaultRowHeight="14.4" x14ac:dyDescent="0.3"/>
  <cols>
    <col min="4" max="4" width="11.5546875" style="9" customWidth="1"/>
    <col min="7" max="7" width="8.88671875" style="9"/>
    <col min="10" max="10" width="8.88671875" style="9"/>
    <col min="18" max="18" width="8.88671875" style="9"/>
  </cols>
  <sheetData>
    <row r="1" spans="1:20" x14ac:dyDescent="0.3">
      <c r="A1" t="s">
        <v>53</v>
      </c>
      <c r="F1" t="s">
        <v>995</v>
      </c>
      <c r="I1" t="s">
        <v>140</v>
      </c>
      <c r="L1" t="s">
        <v>53</v>
      </c>
      <c r="T1" t="s">
        <v>995</v>
      </c>
    </row>
    <row r="2" spans="1:20" x14ac:dyDescent="0.3">
      <c r="A2" t="s">
        <v>849</v>
      </c>
      <c r="T2" t="s">
        <v>1183</v>
      </c>
    </row>
    <row r="3" spans="1:20" x14ac:dyDescent="0.3">
      <c r="A3" t="s">
        <v>850</v>
      </c>
      <c r="C3" t="s">
        <v>851</v>
      </c>
      <c r="I3" t="s">
        <v>1135</v>
      </c>
      <c r="J3" s="9" t="s">
        <v>1136</v>
      </c>
      <c r="L3" t="s">
        <v>1171</v>
      </c>
      <c r="T3" t="s">
        <v>1184</v>
      </c>
    </row>
    <row r="4" spans="1:20" x14ac:dyDescent="0.3">
      <c r="A4" t="s">
        <v>852</v>
      </c>
    </row>
    <row r="5" spans="1:20" x14ac:dyDescent="0.3">
      <c r="A5" t="s">
        <v>853</v>
      </c>
      <c r="I5" t="s">
        <v>1137</v>
      </c>
      <c r="L5" t="s">
        <v>1172</v>
      </c>
    </row>
    <row r="6" spans="1:20" x14ac:dyDescent="0.3">
      <c r="A6" t="s">
        <v>854</v>
      </c>
    </row>
    <row r="7" spans="1:20" x14ac:dyDescent="0.3">
      <c r="L7" t="s">
        <v>1173</v>
      </c>
    </row>
    <row r="8" spans="1:20" x14ac:dyDescent="0.3">
      <c r="A8" t="s">
        <v>855</v>
      </c>
    </row>
    <row r="9" spans="1:20" x14ac:dyDescent="0.3">
      <c r="L9" t="s">
        <v>1174</v>
      </c>
    </row>
    <row r="10" spans="1:20" x14ac:dyDescent="0.3">
      <c r="A10" t="s">
        <v>856</v>
      </c>
    </row>
    <row r="11" spans="1:20" x14ac:dyDescent="0.3">
      <c r="L11" t="s">
        <v>1175</v>
      </c>
    </row>
    <row r="12" spans="1:20" x14ac:dyDescent="0.3">
      <c r="A12" t="s">
        <v>857</v>
      </c>
    </row>
    <row r="13" spans="1:20" x14ac:dyDescent="0.3">
      <c r="A13" t="s">
        <v>858</v>
      </c>
    </row>
    <row r="15" spans="1:20" x14ac:dyDescent="0.3">
      <c r="A15" t="s">
        <v>859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X19"/>
  <sheetViews>
    <sheetView topLeftCell="AC1" workbookViewId="0">
      <selection activeCell="AK19" sqref="AK19"/>
    </sheetView>
  </sheetViews>
  <sheetFormatPr defaultRowHeight="14.4" x14ac:dyDescent="0.3"/>
  <cols>
    <col min="4" max="4" width="8.88671875" style="9"/>
    <col min="5" max="5" width="8.88671875" style="12"/>
    <col min="6" max="6" width="10.21875" customWidth="1"/>
    <col min="13" max="13" width="8.88671875" style="9"/>
    <col min="19" max="19" width="8.88671875" style="9"/>
    <col min="23" max="23" width="8.88671875" style="9"/>
    <col min="25" max="25" width="8.88671875" style="9"/>
    <col min="29" max="29" width="8.88671875" style="9"/>
    <col min="34" max="34" width="8.88671875" style="9"/>
    <col min="38" max="38" width="8.88671875" style="9"/>
    <col min="42" max="42" width="8.88671875" style="9"/>
    <col min="48" max="48" width="8.88671875" style="9"/>
  </cols>
  <sheetData>
    <row r="1" spans="1:50" x14ac:dyDescent="0.3">
      <c r="A1" t="s">
        <v>76</v>
      </c>
      <c r="C1" t="s">
        <v>22</v>
      </c>
      <c r="E1" s="12" t="s">
        <v>93</v>
      </c>
      <c r="G1" t="s">
        <v>103</v>
      </c>
      <c r="O1" t="s">
        <v>140</v>
      </c>
      <c r="U1" t="s">
        <v>176</v>
      </c>
      <c r="X1" t="s">
        <v>210</v>
      </c>
      <c r="Z1" t="s">
        <v>345</v>
      </c>
      <c r="AM1" t="s">
        <v>53</v>
      </c>
      <c r="AR1" t="s">
        <v>53</v>
      </c>
      <c r="AW1" t="s">
        <v>995</v>
      </c>
    </row>
    <row r="2" spans="1:50" x14ac:dyDescent="0.3">
      <c r="A2" t="s">
        <v>77</v>
      </c>
      <c r="C2" t="s">
        <v>85</v>
      </c>
      <c r="G2" t="s">
        <v>111</v>
      </c>
      <c r="K2" t="s">
        <v>110</v>
      </c>
      <c r="U2" t="s">
        <v>187</v>
      </c>
      <c r="Y2" s="33" t="s">
        <v>211</v>
      </c>
      <c r="Z2" t="s">
        <v>346</v>
      </c>
      <c r="AB2" t="s">
        <v>347</v>
      </c>
      <c r="AE2" t="s">
        <v>533</v>
      </c>
      <c r="AG2" t="s">
        <v>534</v>
      </c>
      <c r="AJ2" t="s">
        <v>583</v>
      </c>
    </row>
    <row r="3" spans="1:50" x14ac:dyDescent="0.3">
      <c r="A3" t="s">
        <v>78</v>
      </c>
      <c r="C3" t="s">
        <v>86</v>
      </c>
      <c r="G3" t="s">
        <v>101</v>
      </c>
      <c r="H3" t="s">
        <v>112</v>
      </c>
      <c r="O3" t="s">
        <v>163</v>
      </c>
      <c r="U3" t="s">
        <v>188</v>
      </c>
      <c r="Z3" t="s">
        <v>348</v>
      </c>
      <c r="AM3" t="s">
        <v>865</v>
      </c>
      <c r="AR3" t="s">
        <v>1176</v>
      </c>
      <c r="AU3" t="s">
        <v>1177</v>
      </c>
      <c r="AX3" t="s">
        <v>1182</v>
      </c>
    </row>
    <row r="4" spans="1:50" x14ac:dyDescent="0.3">
      <c r="A4" t="s">
        <v>82</v>
      </c>
      <c r="C4" t="s">
        <v>85</v>
      </c>
      <c r="G4" t="s">
        <v>24</v>
      </c>
      <c r="H4" t="s">
        <v>85</v>
      </c>
      <c r="U4" t="s">
        <v>189</v>
      </c>
      <c r="AE4" t="s">
        <v>535</v>
      </c>
      <c r="AJ4" t="s">
        <v>584</v>
      </c>
      <c r="AM4" t="s">
        <v>866</v>
      </c>
    </row>
    <row r="5" spans="1:50" x14ac:dyDescent="0.3">
      <c r="Z5" t="s">
        <v>349</v>
      </c>
      <c r="AH5" s="9" t="s">
        <v>537</v>
      </c>
      <c r="AR5" t="s">
        <v>1178</v>
      </c>
      <c r="AX5" t="s">
        <v>1185</v>
      </c>
    </row>
    <row r="6" spans="1:50" x14ac:dyDescent="0.3">
      <c r="Z6" t="s">
        <v>350</v>
      </c>
      <c r="AE6" t="s">
        <v>536</v>
      </c>
      <c r="AJ6" t="s">
        <v>585</v>
      </c>
      <c r="AM6" t="s">
        <v>867</v>
      </c>
    </row>
    <row r="7" spans="1:50" x14ac:dyDescent="0.3">
      <c r="O7" t="s">
        <v>45</v>
      </c>
      <c r="P7" t="s">
        <v>164</v>
      </c>
      <c r="U7" t="s">
        <v>190</v>
      </c>
    </row>
    <row r="8" spans="1:50" x14ac:dyDescent="0.3">
      <c r="O8" t="s">
        <v>165</v>
      </c>
      <c r="P8" t="s">
        <v>166</v>
      </c>
      <c r="U8" t="s">
        <v>191</v>
      </c>
      <c r="AM8" t="s">
        <v>868</v>
      </c>
    </row>
    <row r="10" spans="1:50" x14ac:dyDescent="0.3">
      <c r="AM10" t="s">
        <v>869</v>
      </c>
    </row>
    <row r="12" spans="1:50" x14ac:dyDescent="0.3">
      <c r="AM12" t="s">
        <v>870</v>
      </c>
    </row>
    <row r="19" spans="10:12" x14ac:dyDescent="0.3">
      <c r="J19">
        <v>10</v>
      </c>
      <c r="K19">
        <v>50</v>
      </c>
      <c r="L19">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
  <sheetViews>
    <sheetView workbookViewId="0">
      <selection activeCell="J14" sqref="J14"/>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T23"/>
  <sheetViews>
    <sheetView workbookViewId="0">
      <selection activeCell="E18" sqref="E18"/>
    </sheetView>
  </sheetViews>
  <sheetFormatPr defaultRowHeight="14.4" x14ac:dyDescent="0.3"/>
  <cols>
    <col min="32" max="32" width="8.88671875" style="9"/>
    <col min="33" max="33" width="12.109375" customWidth="1"/>
    <col min="36" max="36" width="15.44140625" bestFit="1" customWidth="1"/>
  </cols>
  <sheetData>
    <row r="1" spans="1:46" x14ac:dyDescent="0.3">
      <c r="Q1" t="s">
        <v>202</v>
      </c>
      <c r="R1" t="s">
        <v>203</v>
      </c>
      <c r="U1" t="s">
        <v>222</v>
      </c>
      <c r="AH1" t="s">
        <v>259</v>
      </c>
      <c r="AI1" t="s">
        <v>261</v>
      </c>
      <c r="AJ1" t="s">
        <v>258</v>
      </c>
      <c r="AK1" t="s">
        <v>262</v>
      </c>
      <c r="AR1" t="s">
        <v>285</v>
      </c>
    </row>
    <row r="2" spans="1:46" x14ac:dyDescent="0.3">
      <c r="A2" t="s">
        <v>8</v>
      </c>
      <c r="F2" t="s">
        <v>88</v>
      </c>
      <c r="J2" t="s">
        <v>139</v>
      </c>
      <c r="M2" t="s">
        <v>196</v>
      </c>
      <c r="O2" t="s">
        <v>90</v>
      </c>
      <c r="U2" t="s">
        <v>223</v>
      </c>
      <c r="Z2" t="s">
        <v>238</v>
      </c>
      <c r="AE2" t="s">
        <v>249</v>
      </c>
      <c r="AG2" t="s">
        <v>256</v>
      </c>
      <c r="AH2" t="s">
        <v>257</v>
      </c>
      <c r="AI2" t="s">
        <v>260</v>
      </c>
      <c r="AJ2">
        <v>3.01</v>
      </c>
      <c r="AR2" t="s">
        <v>278</v>
      </c>
      <c r="AT2" t="s">
        <v>279</v>
      </c>
    </row>
    <row r="3" spans="1:46" x14ac:dyDescent="0.3">
      <c r="A3" t="s">
        <v>9</v>
      </c>
      <c r="F3" t="s">
        <v>89</v>
      </c>
      <c r="H3" t="s">
        <v>90</v>
      </c>
      <c r="O3" t="s">
        <v>89</v>
      </c>
      <c r="AG3" t="s">
        <v>263</v>
      </c>
      <c r="AH3" t="s">
        <v>262</v>
      </c>
      <c r="AJ3" t="s">
        <v>281</v>
      </c>
    </row>
    <row r="4" spans="1:46" x14ac:dyDescent="0.3">
      <c r="F4" t="s">
        <v>91</v>
      </c>
      <c r="O4" t="s">
        <v>197</v>
      </c>
      <c r="Q4" t="s">
        <v>207</v>
      </c>
      <c r="U4" t="s">
        <v>224</v>
      </c>
      <c r="Z4">
        <v>8</v>
      </c>
      <c r="AG4" t="s">
        <v>264</v>
      </c>
      <c r="AJ4" t="s">
        <v>282</v>
      </c>
      <c r="AK4" t="s">
        <v>265</v>
      </c>
      <c r="AO4" t="s">
        <v>266</v>
      </c>
    </row>
    <row r="5" spans="1:46" x14ac:dyDescent="0.3">
      <c r="F5" t="s">
        <v>92</v>
      </c>
      <c r="AG5" t="s">
        <v>267</v>
      </c>
      <c r="AJ5" t="s">
        <v>283</v>
      </c>
      <c r="AO5" t="s">
        <v>268</v>
      </c>
    </row>
    <row r="6" spans="1:46" x14ac:dyDescent="0.3">
      <c r="M6" t="s">
        <v>198</v>
      </c>
      <c r="O6" t="s">
        <v>90</v>
      </c>
      <c r="Q6" t="s">
        <v>208</v>
      </c>
      <c r="U6" t="s">
        <v>225</v>
      </c>
      <c r="Z6" t="s">
        <v>239</v>
      </c>
      <c r="AB6" t="s">
        <v>240</v>
      </c>
      <c r="AG6" t="s">
        <v>269</v>
      </c>
      <c r="AJ6" t="s">
        <v>271</v>
      </c>
      <c r="AO6" t="s">
        <v>270</v>
      </c>
    </row>
    <row r="7" spans="1:46" x14ac:dyDescent="0.3">
      <c r="A7" s="34" t="s">
        <v>598</v>
      </c>
      <c r="O7" t="s">
        <v>89</v>
      </c>
      <c r="U7" t="s">
        <v>226</v>
      </c>
      <c r="AG7" t="s">
        <v>272</v>
      </c>
      <c r="AH7" t="s">
        <v>280</v>
      </c>
      <c r="AJ7" t="s">
        <v>281</v>
      </c>
      <c r="AO7" t="s">
        <v>276</v>
      </c>
    </row>
    <row r="8" spans="1:46" x14ac:dyDescent="0.3">
      <c r="O8" t="s">
        <v>161</v>
      </c>
      <c r="U8" t="s">
        <v>227</v>
      </c>
      <c r="Z8" t="s">
        <v>241</v>
      </c>
      <c r="AG8" t="s">
        <v>273</v>
      </c>
      <c r="AH8" t="s">
        <v>262</v>
      </c>
      <c r="AJ8" t="s">
        <v>281</v>
      </c>
    </row>
    <row r="9" spans="1:46" x14ac:dyDescent="0.3">
      <c r="O9" t="s">
        <v>200</v>
      </c>
      <c r="U9" t="s">
        <v>228</v>
      </c>
      <c r="Z9" t="s">
        <v>242</v>
      </c>
    </row>
    <row r="10" spans="1:46" x14ac:dyDescent="0.3">
      <c r="O10" t="s">
        <v>173</v>
      </c>
    </row>
    <row r="11" spans="1:46" x14ac:dyDescent="0.3">
      <c r="O11" t="s">
        <v>199</v>
      </c>
      <c r="U11" t="s">
        <v>229</v>
      </c>
      <c r="AG11" t="s">
        <v>274</v>
      </c>
    </row>
    <row r="12" spans="1:46" x14ac:dyDescent="0.3">
      <c r="U12" t="s">
        <v>232</v>
      </c>
      <c r="AG12" t="s">
        <v>275</v>
      </c>
    </row>
    <row r="13" spans="1:46" x14ac:dyDescent="0.3">
      <c r="M13" t="s">
        <v>201</v>
      </c>
      <c r="O13" t="s">
        <v>90</v>
      </c>
      <c r="Q13" t="s">
        <v>205</v>
      </c>
      <c r="R13" t="s">
        <v>206</v>
      </c>
    </row>
    <row r="14" spans="1:46" ht="15" thickBot="1" x14ac:dyDescent="0.35">
      <c r="O14" t="s">
        <v>89</v>
      </c>
      <c r="Q14" t="s">
        <v>205</v>
      </c>
      <c r="R14" t="s">
        <v>204</v>
      </c>
      <c r="U14" t="s">
        <v>230</v>
      </c>
    </row>
    <row r="15" spans="1:46" ht="15" thickBot="1" x14ac:dyDescent="0.35">
      <c r="B15" t="s">
        <v>1170</v>
      </c>
      <c r="O15" t="s">
        <v>199</v>
      </c>
      <c r="U15" t="s">
        <v>231</v>
      </c>
      <c r="AG15" s="18" t="s">
        <v>301</v>
      </c>
      <c r="AH15" s="19" t="s">
        <v>293</v>
      </c>
      <c r="AI15" s="20" t="s">
        <v>294</v>
      </c>
    </row>
    <row r="16" spans="1:46" ht="15" thickBot="1" x14ac:dyDescent="0.35">
      <c r="O16" t="s">
        <v>161</v>
      </c>
      <c r="U16" t="s">
        <v>234</v>
      </c>
      <c r="AG16" s="21" t="s">
        <v>256</v>
      </c>
      <c r="AH16" s="22">
        <v>3.01</v>
      </c>
      <c r="AI16" s="23" t="s">
        <v>295</v>
      </c>
    </row>
    <row r="17" spans="13:35" ht="15" thickBot="1" x14ac:dyDescent="0.35">
      <c r="O17" t="s">
        <v>200</v>
      </c>
      <c r="U17" s="14" t="s">
        <v>233</v>
      </c>
      <c r="AG17" s="24" t="s">
        <v>263</v>
      </c>
      <c r="AH17" s="25" t="s">
        <v>281</v>
      </c>
      <c r="AI17" s="26"/>
    </row>
    <row r="18" spans="13:35" ht="15" thickBot="1" x14ac:dyDescent="0.35">
      <c r="O18" t="s">
        <v>173</v>
      </c>
      <c r="AG18" s="21" t="s">
        <v>264</v>
      </c>
      <c r="AH18" s="22" t="s">
        <v>296</v>
      </c>
      <c r="AI18" s="23" t="s">
        <v>297</v>
      </c>
    </row>
    <row r="19" spans="13:35" ht="15" thickBot="1" x14ac:dyDescent="0.35">
      <c r="U19" t="s">
        <v>235</v>
      </c>
      <c r="AG19" s="24" t="s">
        <v>300</v>
      </c>
      <c r="AH19" s="25" t="s">
        <v>298</v>
      </c>
      <c r="AI19" s="27" t="s">
        <v>297</v>
      </c>
    </row>
    <row r="20" spans="13:35" ht="15" thickBot="1" x14ac:dyDescent="0.35">
      <c r="M20" t="s">
        <v>209</v>
      </c>
      <c r="AG20" s="21" t="s">
        <v>269</v>
      </c>
      <c r="AH20" s="22" t="s">
        <v>299</v>
      </c>
      <c r="AI20" s="23" t="s">
        <v>297</v>
      </c>
    </row>
    <row r="21" spans="13:35" ht="15" thickBot="1" x14ac:dyDescent="0.35">
      <c r="U21" t="s">
        <v>236</v>
      </c>
      <c r="AG21" s="24" t="s">
        <v>272</v>
      </c>
      <c r="AH21" s="25" t="s">
        <v>281</v>
      </c>
      <c r="AI21" s="26"/>
    </row>
    <row r="22" spans="13:35" ht="15" thickBot="1" x14ac:dyDescent="0.35">
      <c r="AG22" s="21" t="s">
        <v>273</v>
      </c>
      <c r="AH22" s="22" t="s">
        <v>281</v>
      </c>
      <c r="AI22" s="28"/>
    </row>
    <row r="23" spans="13:35" x14ac:dyDescent="0.3">
      <c r="U23" t="s">
        <v>237</v>
      </c>
    </row>
  </sheetData>
  <hyperlinks>
    <hyperlink ref="A7" r:id="rId1" display="https://www.linkedin.com/in/svetoslav-dimov-49938a22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T21"/>
  <sheetViews>
    <sheetView workbookViewId="0">
      <selection activeCell="G19" sqref="G19"/>
    </sheetView>
  </sheetViews>
  <sheetFormatPr defaultRowHeight="14.4" x14ac:dyDescent="0.3"/>
  <sheetData>
    <row r="2" spans="2:20" x14ac:dyDescent="0.3">
      <c r="B2" t="s">
        <v>312</v>
      </c>
      <c r="P2" t="s">
        <v>313</v>
      </c>
    </row>
    <row r="3" spans="2:20" x14ac:dyDescent="0.3">
      <c r="P3" t="s">
        <v>314</v>
      </c>
    </row>
    <row r="4" spans="2:20" x14ac:dyDescent="0.3">
      <c r="B4" t="s">
        <v>315</v>
      </c>
    </row>
    <row r="5" spans="2:20" x14ac:dyDescent="0.3">
      <c r="D5" t="s">
        <v>316</v>
      </c>
    </row>
    <row r="6" spans="2:20" x14ac:dyDescent="0.3">
      <c r="D6" t="s">
        <v>317</v>
      </c>
    </row>
    <row r="8" spans="2:20" x14ac:dyDescent="0.3">
      <c r="B8" t="s">
        <v>318</v>
      </c>
    </row>
    <row r="9" spans="2:20" x14ac:dyDescent="0.3">
      <c r="B9" t="s">
        <v>319</v>
      </c>
      <c r="R9" t="s">
        <v>320</v>
      </c>
      <c r="T9" t="s">
        <v>327</v>
      </c>
    </row>
    <row r="10" spans="2:20" x14ac:dyDescent="0.3">
      <c r="T10" t="s">
        <v>328</v>
      </c>
    </row>
    <row r="12" spans="2:20" x14ac:dyDescent="0.3">
      <c r="B12" t="s">
        <v>310</v>
      </c>
      <c r="H12" t="s">
        <v>321</v>
      </c>
    </row>
    <row r="13" spans="2:20" x14ac:dyDescent="0.3">
      <c r="H13" t="s">
        <v>322</v>
      </c>
    </row>
    <row r="14" spans="2:20" x14ac:dyDescent="0.3">
      <c r="H14" t="s">
        <v>323</v>
      </c>
    </row>
    <row r="16" spans="2:20" x14ac:dyDescent="0.3">
      <c r="B16" t="s">
        <v>324</v>
      </c>
    </row>
    <row r="18" spans="2:2" x14ac:dyDescent="0.3">
      <c r="B18" t="s">
        <v>311</v>
      </c>
    </row>
    <row r="20" spans="2:2" x14ac:dyDescent="0.3">
      <c r="B20" t="s">
        <v>326</v>
      </c>
    </row>
    <row r="21" spans="2:2" x14ac:dyDescent="0.3">
      <c r="B21" t="s">
        <v>325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A20"/>
  <sheetViews>
    <sheetView workbookViewId="0">
      <selection activeCell="U1" sqref="U1:Z7"/>
    </sheetView>
  </sheetViews>
  <sheetFormatPr defaultRowHeight="14.4" x14ac:dyDescent="0.3"/>
  <cols>
    <col min="1" max="1" width="13.5546875" bestFit="1" customWidth="1"/>
    <col min="2" max="2" width="15.44140625" bestFit="1" customWidth="1"/>
    <col min="3" max="3" width="16.88671875" bestFit="1" customWidth="1"/>
  </cols>
  <sheetData>
    <row r="1" spans="1:27" x14ac:dyDescent="0.3">
      <c r="A1" t="s">
        <v>301</v>
      </c>
      <c r="B1" t="s">
        <v>293</v>
      </c>
      <c r="C1" t="s">
        <v>294</v>
      </c>
      <c r="F1" t="s">
        <v>288</v>
      </c>
      <c r="G1" t="s">
        <v>302</v>
      </c>
      <c r="J1">
        <v>16</v>
      </c>
      <c r="K1">
        <v>440</v>
      </c>
      <c r="L1" t="s">
        <v>332</v>
      </c>
      <c r="M1">
        <v>3000</v>
      </c>
      <c r="P1" t="s">
        <v>329</v>
      </c>
      <c r="R1" t="s">
        <v>330</v>
      </c>
    </row>
    <row r="2" spans="1:27" x14ac:dyDescent="0.3">
      <c r="A2" t="s">
        <v>256</v>
      </c>
      <c r="B2" s="13">
        <v>3.01</v>
      </c>
      <c r="C2" t="s">
        <v>295</v>
      </c>
      <c r="F2" t="s">
        <v>288</v>
      </c>
      <c r="G2" t="s">
        <v>303</v>
      </c>
      <c r="J2">
        <v>13</v>
      </c>
      <c r="K2">
        <v>370</v>
      </c>
      <c r="M2">
        <v>2600</v>
      </c>
      <c r="AA2" t="s">
        <v>453</v>
      </c>
    </row>
    <row r="3" spans="1:27" x14ac:dyDescent="0.3">
      <c r="A3" t="s">
        <v>263</v>
      </c>
      <c r="B3" t="s">
        <v>281</v>
      </c>
      <c r="F3" t="s">
        <v>288</v>
      </c>
      <c r="G3" t="s">
        <v>304</v>
      </c>
      <c r="J3">
        <v>13</v>
      </c>
      <c r="K3">
        <v>370</v>
      </c>
      <c r="P3" t="s">
        <v>331</v>
      </c>
    </row>
    <row r="4" spans="1:27" x14ac:dyDescent="0.3">
      <c r="A4" t="s">
        <v>264</v>
      </c>
      <c r="B4" t="s">
        <v>296</v>
      </c>
      <c r="C4" t="s">
        <v>297</v>
      </c>
      <c r="F4" t="s">
        <v>288</v>
      </c>
      <c r="G4" t="s">
        <v>305</v>
      </c>
      <c r="J4">
        <v>14</v>
      </c>
      <c r="K4">
        <v>400</v>
      </c>
      <c r="M4">
        <v>3500</v>
      </c>
    </row>
    <row r="5" spans="1:27" x14ac:dyDescent="0.3">
      <c r="A5" t="s">
        <v>300</v>
      </c>
      <c r="B5" t="s">
        <v>298</v>
      </c>
      <c r="C5" t="s">
        <v>297</v>
      </c>
      <c r="F5" t="s">
        <v>288</v>
      </c>
      <c r="G5" t="s">
        <v>306</v>
      </c>
      <c r="J5">
        <v>16</v>
      </c>
      <c r="K5">
        <v>400</v>
      </c>
      <c r="M5">
        <v>3000</v>
      </c>
    </row>
    <row r="6" spans="1:27" x14ac:dyDescent="0.3">
      <c r="A6" t="s">
        <v>269</v>
      </c>
      <c r="B6">
        <v>24.12</v>
      </c>
      <c r="C6" t="s">
        <v>84</v>
      </c>
      <c r="F6" t="s">
        <v>288</v>
      </c>
      <c r="G6" t="s">
        <v>307</v>
      </c>
      <c r="J6">
        <v>14</v>
      </c>
      <c r="K6">
        <v>400</v>
      </c>
    </row>
    <row r="7" spans="1:27" x14ac:dyDescent="0.3">
      <c r="A7" t="s">
        <v>272</v>
      </c>
      <c r="B7">
        <v>3.01</v>
      </c>
      <c r="C7" t="s">
        <v>84</v>
      </c>
      <c r="F7" t="s">
        <v>288</v>
      </c>
      <c r="G7" t="s">
        <v>308</v>
      </c>
      <c r="J7">
        <v>14</v>
      </c>
      <c r="K7">
        <v>400</v>
      </c>
    </row>
    <row r="8" spans="1:27" x14ac:dyDescent="0.3">
      <c r="A8" t="s">
        <v>273</v>
      </c>
      <c r="B8" t="s">
        <v>281</v>
      </c>
      <c r="Z8" s="13"/>
    </row>
    <row r="9" spans="1:27" x14ac:dyDescent="0.3">
      <c r="K9" t="s">
        <v>333</v>
      </c>
    </row>
    <row r="11" spans="1:27" ht="15" thickBot="1" x14ac:dyDescent="0.35">
      <c r="V11" t="s">
        <v>455</v>
      </c>
    </row>
    <row r="12" spans="1:27" ht="27" thickBot="1" x14ac:dyDescent="0.35">
      <c r="B12" s="16" t="s">
        <v>301</v>
      </c>
      <c r="C12" s="16" t="s">
        <v>334</v>
      </c>
      <c r="D12" s="16" t="s">
        <v>335</v>
      </c>
      <c r="E12" s="29"/>
      <c r="F12" s="29"/>
      <c r="G12" s="16" t="s">
        <v>336</v>
      </c>
      <c r="H12" s="16" t="s">
        <v>337</v>
      </c>
      <c r="I12" s="29"/>
    </row>
    <row r="13" spans="1:27" ht="27" thickBot="1" x14ac:dyDescent="0.35">
      <c r="B13" s="16" t="s">
        <v>338</v>
      </c>
      <c r="C13" s="15">
        <v>880</v>
      </c>
      <c r="D13" s="15">
        <v>120</v>
      </c>
      <c r="E13" s="30">
        <v>1000</v>
      </c>
      <c r="F13" s="16"/>
      <c r="G13" s="29"/>
      <c r="H13" s="29"/>
      <c r="I13" s="29"/>
    </row>
    <row r="14" spans="1:27" ht="27" thickBot="1" x14ac:dyDescent="0.35">
      <c r="B14" s="16" t="s">
        <v>302</v>
      </c>
      <c r="C14" s="15">
        <v>320</v>
      </c>
      <c r="D14" s="15">
        <v>120</v>
      </c>
      <c r="E14" s="15">
        <v>440</v>
      </c>
      <c r="F14" s="16"/>
      <c r="G14" s="15">
        <v>2800</v>
      </c>
      <c r="H14" s="15">
        <v>3000</v>
      </c>
      <c r="I14" s="29"/>
    </row>
    <row r="15" spans="1:27" ht="40.200000000000003" thickBot="1" x14ac:dyDescent="0.35">
      <c r="B15" s="16" t="s">
        <v>303</v>
      </c>
      <c r="C15" s="15">
        <v>250</v>
      </c>
      <c r="D15" s="15">
        <v>120</v>
      </c>
      <c r="E15" s="15">
        <v>370</v>
      </c>
      <c r="F15" s="16"/>
      <c r="G15" s="15">
        <v>2200</v>
      </c>
      <c r="H15" s="15">
        <v>2600</v>
      </c>
      <c r="I15" s="16" t="s">
        <v>339</v>
      </c>
    </row>
    <row r="16" spans="1:27" ht="15" thickBot="1" x14ac:dyDescent="0.35">
      <c r="B16" s="16" t="s">
        <v>304</v>
      </c>
      <c r="C16" s="15">
        <v>250</v>
      </c>
      <c r="D16" s="15">
        <v>120</v>
      </c>
      <c r="E16" s="15">
        <v>370</v>
      </c>
      <c r="F16" s="16"/>
      <c r="G16" s="29"/>
      <c r="H16" s="29"/>
      <c r="I16" s="29"/>
    </row>
    <row r="17" spans="2:9" ht="27" thickBot="1" x14ac:dyDescent="0.35">
      <c r="B17" s="16" t="s">
        <v>305</v>
      </c>
      <c r="C17" s="15">
        <v>280</v>
      </c>
      <c r="D17" s="15">
        <v>120</v>
      </c>
      <c r="E17" s="15">
        <v>400</v>
      </c>
      <c r="F17" s="16"/>
      <c r="G17" s="15">
        <v>3300</v>
      </c>
      <c r="H17" s="15">
        <v>3500</v>
      </c>
      <c r="I17" s="29"/>
    </row>
    <row r="18" spans="2:9" ht="27" thickBot="1" x14ac:dyDescent="0.35">
      <c r="B18" s="16" t="s">
        <v>306</v>
      </c>
      <c r="C18" s="15">
        <v>280</v>
      </c>
      <c r="D18" s="15">
        <v>120</v>
      </c>
      <c r="E18" s="15">
        <v>400</v>
      </c>
      <c r="F18" s="16"/>
      <c r="G18" s="15">
        <v>2800</v>
      </c>
      <c r="H18" s="15">
        <v>3000</v>
      </c>
      <c r="I18" s="29"/>
    </row>
    <row r="19" spans="2:9" ht="27" thickBot="1" x14ac:dyDescent="0.35">
      <c r="B19" s="16" t="s">
        <v>307</v>
      </c>
      <c r="C19" s="15">
        <v>280</v>
      </c>
      <c r="D19" s="15">
        <v>120</v>
      </c>
      <c r="E19" s="15">
        <v>400</v>
      </c>
      <c r="F19" s="16"/>
      <c r="G19" s="29"/>
      <c r="H19" s="29"/>
      <c r="I19" s="29"/>
    </row>
    <row r="20" spans="2:9" ht="27" thickBot="1" x14ac:dyDescent="0.35">
      <c r="B20" s="16" t="s">
        <v>308</v>
      </c>
      <c r="C20" s="15">
        <v>280</v>
      </c>
      <c r="D20" s="15">
        <v>120</v>
      </c>
      <c r="E20" s="15">
        <v>400</v>
      </c>
      <c r="F20" s="31"/>
      <c r="G20" s="31"/>
      <c r="H20" s="31"/>
      <c r="I20" s="32"/>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E17"/>
  <sheetViews>
    <sheetView topLeftCell="P1" workbookViewId="0">
      <selection activeCell="AC7" sqref="AC7"/>
    </sheetView>
  </sheetViews>
  <sheetFormatPr defaultRowHeight="14.4" x14ac:dyDescent="0.3"/>
  <cols>
    <col min="1" max="1" width="10.5546875" bestFit="1" customWidth="1"/>
    <col min="2" max="2" width="24.21875" bestFit="1" customWidth="1"/>
    <col min="3" max="3" width="9.6640625" customWidth="1"/>
    <col min="7" max="7" width="24.21875" bestFit="1" customWidth="1"/>
    <col min="8" max="8" width="10.33203125" bestFit="1" customWidth="1"/>
    <col min="9" max="9" width="12.33203125" bestFit="1" customWidth="1"/>
    <col min="14" max="14" width="24.21875" bestFit="1" customWidth="1"/>
    <col min="16" max="16" width="11" bestFit="1" customWidth="1"/>
    <col min="21" max="21" width="24.21875" bestFit="1" customWidth="1"/>
    <col min="28" max="28" width="24.21875" bestFit="1" customWidth="1"/>
    <col min="30" max="30" width="10.6640625" bestFit="1" customWidth="1"/>
  </cols>
  <sheetData>
    <row r="1" spans="1:31" x14ac:dyDescent="0.3">
      <c r="B1" t="s">
        <v>301</v>
      </c>
      <c r="C1" t="s">
        <v>293</v>
      </c>
      <c r="G1" t="s">
        <v>301</v>
      </c>
      <c r="H1" t="s">
        <v>293</v>
      </c>
      <c r="I1" t="s">
        <v>520</v>
      </c>
      <c r="J1" t="s">
        <v>521</v>
      </c>
      <c r="N1" t="s">
        <v>301</v>
      </c>
      <c r="O1" t="s">
        <v>293</v>
      </c>
      <c r="P1" t="s">
        <v>520</v>
      </c>
      <c r="Q1" t="s">
        <v>521</v>
      </c>
      <c r="U1" t="s">
        <v>301</v>
      </c>
      <c r="V1" t="s">
        <v>293</v>
      </c>
      <c r="W1" t="s">
        <v>520</v>
      </c>
      <c r="X1" t="s">
        <v>521</v>
      </c>
      <c r="AB1" t="s">
        <v>301</v>
      </c>
      <c r="AC1" t="s">
        <v>293</v>
      </c>
      <c r="AD1" t="s">
        <v>520</v>
      </c>
      <c r="AE1" t="s">
        <v>521</v>
      </c>
    </row>
    <row r="2" spans="1:31" x14ac:dyDescent="0.3">
      <c r="A2" t="s">
        <v>454</v>
      </c>
      <c r="B2" t="s">
        <v>302</v>
      </c>
      <c r="C2" s="13" t="s">
        <v>451</v>
      </c>
      <c r="F2" t="s">
        <v>140</v>
      </c>
      <c r="G2" t="s">
        <v>302</v>
      </c>
      <c r="H2" s="13" t="s">
        <v>451</v>
      </c>
      <c r="I2" t="s">
        <v>517</v>
      </c>
      <c r="J2" t="s">
        <v>522</v>
      </c>
      <c r="M2" s="44">
        <v>44706</v>
      </c>
      <c r="N2" t="s">
        <v>302</v>
      </c>
      <c r="O2" s="13" t="s">
        <v>451</v>
      </c>
      <c r="Q2" t="s">
        <v>522</v>
      </c>
      <c r="T2" s="44">
        <v>44810</v>
      </c>
      <c r="U2" t="s">
        <v>302</v>
      </c>
      <c r="V2" s="13" t="s">
        <v>451</v>
      </c>
      <c r="W2" s="44">
        <v>44810</v>
      </c>
      <c r="X2" s="13" t="s">
        <v>451</v>
      </c>
      <c r="AA2" s="44" t="s">
        <v>985</v>
      </c>
      <c r="AB2" t="s">
        <v>302</v>
      </c>
      <c r="AC2" s="13" t="s">
        <v>451</v>
      </c>
      <c r="AD2" s="44" t="s">
        <v>986</v>
      </c>
      <c r="AE2" s="13" t="s">
        <v>457</v>
      </c>
    </row>
    <row r="3" spans="1:31" x14ac:dyDescent="0.3">
      <c r="A3" s="37">
        <v>44623</v>
      </c>
      <c r="B3" t="s">
        <v>303</v>
      </c>
      <c r="C3" s="13" t="s">
        <v>451</v>
      </c>
      <c r="F3" t="s">
        <v>484</v>
      </c>
      <c r="G3" t="s">
        <v>303</v>
      </c>
      <c r="H3" s="13" t="s">
        <v>451</v>
      </c>
      <c r="I3" t="s">
        <v>517</v>
      </c>
      <c r="J3" t="s">
        <v>522</v>
      </c>
      <c r="N3" t="s">
        <v>303</v>
      </c>
      <c r="O3" s="13" t="s">
        <v>451</v>
      </c>
      <c r="Q3" t="s">
        <v>522</v>
      </c>
      <c r="T3" s="44">
        <v>44826</v>
      </c>
      <c r="U3" t="s">
        <v>303</v>
      </c>
      <c r="V3" s="13" t="s">
        <v>451</v>
      </c>
      <c r="W3" s="44">
        <v>44810</v>
      </c>
      <c r="X3" s="13" t="s">
        <v>451</v>
      </c>
      <c r="AA3" s="44">
        <v>2.0099999999999998</v>
      </c>
      <c r="AB3" t="s">
        <v>303</v>
      </c>
      <c r="AC3" s="13" t="s">
        <v>451</v>
      </c>
      <c r="AD3" s="44" t="s">
        <v>986</v>
      </c>
      <c r="AE3" s="13" t="s">
        <v>457</v>
      </c>
    </row>
    <row r="4" spans="1:31" x14ac:dyDescent="0.3">
      <c r="B4" t="s">
        <v>304</v>
      </c>
      <c r="C4" s="13" t="s">
        <v>452</v>
      </c>
      <c r="G4" t="s">
        <v>304</v>
      </c>
      <c r="H4" s="13" t="s">
        <v>281</v>
      </c>
      <c r="I4" t="s">
        <v>281</v>
      </c>
      <c r="N4" t="s">
        <v>304</v>
      </c>
      <c r="O4" s="13" t="s">
        <v>452</v>
      </c>
      <c r="P4" t="s">
        <v>281</v>
      </c>
      <c r="U4" t="s">
        <v>304</v>
      </c>
      <c r="V4" s="13" t="s">
        <v>452</v>
      </c>
      <c r="W4" t="s">
        <v>281</v>
      </c>
      <c r="X4" s="13"/>
      <c r="AB4" t="s">
        <v>304</v>
      </c>
      <c r="AC4" s="13" t="s">
        <v>452</v>
      </c>
      <c r="AE4" s="13"/>
    </row>
    <row r="5" spans="1:31" x14ac:dyDescent="0.3">
      <c r="B5" t="s">
        <v>305</v>
      </c>
      <c r="C5" s="13" t="s">
        <v>457</v>
      </c>
      <c r="F5" t="s">
        <v>512</v>
      </c>
      <c r="G5" t="s">
        <v>305</v>
      </c>
      <c r="H5" s="13" t="s">
        <v>457</v>
      </c>
      <c r="I5" t="s">
        <v>518</v>
      </c>
      <c r="J5" t="s">
        <v>523</v>
      </c>
      <c r="N5" t="s">
        <v>305</v>
      </c>
      <c r="O5" s="13" t="s">
        <v>452</v>
      </c>
      <c r="Q5" t="s">
        <v>522</v>
      </c>
      <c r="U5" t="s">
        <v>305</v>
      </c>
      <c r="V5" s="13" t="s">
        <v>452</v>
      </c>
      <c r="W5" t="s">
        <v>281</v>
      </c>
      <c r="X5" s="13"/>
      <c r="AB5" t="s">
        <v>305</v>
      </c>
      <c r="AC5" s="13" t="s">
        <v>452</v>
      </c>
      <c r="AE5" s="13"/>
    </row>
    <row r="6" spans="1:31" x14ac:dyDescent="0.3">
      <c r="B6" t="s">
        <v>306</v>
      </c>
      <c r="C6" s="13" t="s">
        <v>452</v>
      </c>
      <c r="F6" t="s">
        <v>513</v>
      </c>
      <c r="G6" t="s">
        <v>306</v>
      </c>
      <c r="H6" s="13" t="s">
        <v>451</v>
      </c>
      <c r="I6" t="s">
        <v>519</v>
      </c>
      <c r="J6" t="s">
        <v>522</v>
      </c>
      <c r="N6" t="s">
        <v>306</v>
      </c>
      <c r="O6" s="13" t="s">
        <v>452</v>
      </c>
      <c r="Q6" t="s">
        <v>522</v>
      </c>
      <c r="U6" t="s">
        <v>306</v>
      </c>
      <c r="V6" s="13" t="s">
        <v>451</v>
      </c>
      <c r="W6" s="44">
        <v>44826</v>
      </c>
      <c r="X6" s="13" t="s">
        <v>451</v>
      </c>
      <c r="AB6" t="s">
        <v>306</v>
      </c>
      <c r="AC6" s="13" t="s">
        <v>451</v>
      </c>
      <c r="AD6" s="44" t="s">
        <v>993</v>
      </c>
      <c r="AE6" s="13" t="s">
        <v>994</v>
      </c>
    </row>
    <row r="7" spans="1:31" x14ac:dyDescent="0.3">
      <c r="B7" t="s">
        <v>307</v>
      </c>
      <c r="C7" s="13" t="s">
        <v>452</v>
      </c>
      <c r="G7" t="s">
        <v>307</v>
      </c>
      <c r="H7" s="13" t="s">
        <v>451</v>
      </c>
      <c r="I7" t="s">
        <v>519</v>
      </c>
      <c r="J7" t="s">
        <v>522</v>
      </c>
      <c r="N7" t="s">
        <v>307</v>
      </c>
      <c r="O7" s="13" t="s">
        <v>452</v>
      </c>
      <c r="Q7" t="s">
        <v>522</v>
      </c>
      <c r="U7" t="s">
        <v>307</v>
      </c>
      <c r="V7" s="13" t="s">
        <v>451</v>
      </c>
      <c r="W7" s="44">
        <v>44826</v>
      </c>
      <c r="X7" s="13" t="s">
        <v>451</v>
      </c>
      <c r="AB7" t="s">
        <v>307</v>
      </c>
      <c r="AC7" s="13" t="s">
        <v>451</v>
      </c>
      <c r="AD7" s="44" t="s">
        <v>987</v>
      </c>
      <c r="AE7" s="13" t="s">
        <v>457</v>
      </c>
    </row>
    <row r="8" spans="1:31" x14ac:dyDescent="0.3">
      <c r="B8" t="s">
        <v>308</v>
      </c>
      <c r="C8" s="13" t="s">
        <v>452</v>
      </c>
      <c r="G8" t="s">
        <v>308</v>
      </c>
      <c r="H8" s="13" t="s">
        <v>451</v>
      </c>
      <c r="I8" t="s">
        <v>519</v>
      </c>
      <c r="J8" t="s">
        <v>522</v>
      </c>
      <c r="N8" t="s">
        <v>308</v>
      </c>
      <c r="O8" s="13" t="s">
        <v>451</v>
      </c>
      <c r="P8" s="44">
        <v>44675</v>
      </c>
      <c r="Q8" t="s">
        <v>522</v>
      </c>
      <c r="U8" t="s">
        <v>308</v>
      </c>
      <c r="V8" s="13" t="s">
        <v>452</v>
      </c>
      <c r="W8" s="44" t="s">
        <v>281</v>
      </c>
      <c r="X8" s="13"/>
      <c r="AB8" t="s">
        <v>308</v>
      </c>
      <c r="AC8" s="13" t="s">
        <v>451</v>
      </c>
      <c r="AD8" s="44" t="s">
        <v>986</v>
      </c>
      <c r="AE8" s="13" t="s">
        <v>457</v>
      </c>
    </row>
    <row r="9" spans="1:31" x14ac:dyDescent="0.3">
      <c r="U9" t="s">
        <v>602</v>
      </c>
      <c r="V9" s="13" t="s">
        <v>457</v>
      </c>
      <c r="W9" t="s">
        <v>603</v>
      </c>
      <c r="X9" s="13">
        <v>1</v>
      </c>
      <c r="AB9" t="s">
        <v>602</v>
      </c>
      <c r="AC9" s="13" t="s">
        <v>451</v>
      </c>
      <c r="AD9">
        <v>26.12</v>
      </c>
      <c r="AE9" s="13" t="s">
        <v>451</v>
      </c>
    </row>
    <row r="13" spans="1:31" x14ac:dyDescent="0.3">
      <c r="I13" t="s">
        <v>544</v>
      </c>
      <c r="U13" t="s">
        <v>456</v>
      </c>
      <c r="V13">
        <v>1</v>
      </c>
      <c r="AB13" t="s">
        <v>456</v>
      </c>
    </row>
    <row r="14" spans="1:31" x14ac:dyDescent="0.3">
      <c r="B14" t="s">
        <v>456</v>
      </c>
      <c r="C14">
        <v>1</v>
      </c>
      <c r="G14" t="s">
        <v>456</v>
      </c>
      <c r="H14">
        <v>2</v>
      </c>
      <c r="I14" t="s">
        <v>545</v>
      </c>
      <c r="N14" t="s">
        <v>456</v>
      </c>
      <c r="O14">
        <v>1</v>
      </c>
      <c r="U14" t="s">
        <v>580</v>
      </c>
      <c r="V14">
        <v>2</v>
      </c>
      <c r="AB14" t="s">
        <v>580</v>
      </c>
    </row>
    <row r="15" spans="1:31" x14ac:dyDescent="0.3">
      <c r="B15" t="s">
        <v>458</v>
      </c>
      <c r="C15">
        <v>1</v>
      </c>
      <c r="G15" t="s">
        <v>458</v>
      </c>
      <c r="H15">
        <v>2</v>
      </c>
      <c r="N15" t="s">
        <v>580</v>
      </c>
      <c r="O15">
        <v>1</v>
      </c>
      <c r="U15" t="s">
        <v>516</v>
      </c>
      <c r="V15">
        <v>2</v>
      </c>
      <c r="AB15" t="s">
        <v>516</v>
      </c>
    </row>
    <row r="16" spans="1:31" x14ac:dyDescent="0.3">
      <c r="B16" t="s">
        <v>516</v>
      </c>
      <c r="C16">
        <v>0</v>
      </c>
      <c r="G16" t="s">
        <v>516</v>
      </c>
      <c r="H16">
        <v>2</v>
      </c>
      <c r="I16" s="13" t="s">
        <v>451</v>
      </c>
      <c r="N16" t="s">
        <v>516</v>
      </c>
      <c r="O16">
        <v>1</v>
      </c>
      <c r="U16" t="s">
        <v>581</v>
      </c>
      <c r="V16">
        <v>2</v>
      </c>
      <c r="AB16" t="s">
        <v>581</v>
      </c>
    </row>
    <row r="17" spans="7:15" x14ac:dyDescent="0.3">
      <c r="G17" t="s">
        <v>546</v>
      </c>
      <c r="H17">
        <v>2</v>
      </c>
      <c r="N17" t="s">
        <v>581</v>
      </c>
      <c r="O17">
        <v>1</v>
      </c>
    </row>
  </sheetData>
  <pageMargins left="0.7" right="0.7" top="0.75" bottom="0.75" header="0.3" footer="0.3"/>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S43"/>
  <sheetViews>
    <sheetView workbookViewId="0">
      <selection activeCell="F37" sqref="F37"/>
    </sheetView>
  </sheetViews>
  <sheetFormatPr defaultRowHeight="14.4" x14ac:dyDescent="0.3"/>
  <cols>
    <col min="5" max="5" width="10.33203125" customWidth="1"/>
  </cols>
  <sheetData>
    <row r="2" spans="1:8" x14ac:dyDescent="0.3">
      <c r="A2" t="s">
        <v>467</v>
      </c>
      <c r="C2" t="s">
        <v>468</v>
      </c>
    </row>
    <row r="3" spans="1:8" x14ac:dyDescent="0.3">
      <c r="C3" t="s">
        <v>469</v>
      </c>
    </row>
    <row r="12" spans="1:8" x14ac:dyDescent="0.3">
      <c r="A12" t="s">
        <v>470</v>
      </c>
    </row>
    <row r="14" spans="1:8" x14ac:dyDescent="0.3">
      <c r="A14" s="34" t="s">
        <v>471</v>
      </c>
    </row>
    <row r="16" spans="1:8" x14ac:dyDescent="0.3">
      <c r="H16" t="s">
        <v>485</v>
      </c>
    </row>
    <row r="17" spans="1:6" x14ac:dyDescent="0.3">
      <c r="A17" t="s">
        <v>475</v>
      </c>
      <c r="C17" t="s">
        <v>486</v>
      </c>
      <c r="F17" t="s">
        <v>487</v>
      </c>
    </row>
    <row r="18" spans="1:6" x14ac:dyDescent="0.3">
      <c r="A18" t="s">
        <v>476</v>
      </c>
    </row>
    <row r="20" spans="1:6" x14ac:dyDescent="0.3">
      <c r="A20" t="s">
        <v>477</v>
      </c>
    </row>
    <row r="22" spans="1:6" x14ac:dyDescent="0.3">
      <c r="A22" t="s">
        <v>479</v>
      </c>
      <c r="C22" t="s">
        <v>482</v>
      </c>
      <c r="F22" t="s">
        <v>481</v>
      </c>
    </row>
    <row r="23" spans="1:6" x14ac:dyDescent="0.3">
      <c r="C23" t="s">
        <v>473</v>
      </c>
      <c r="D23" t="s">
        <v>483</v>
      </c>
    </row>
    <row r="24" spans="1:6" x14ac:dyDescent="0.3">
      <c r="C24" t="s">
        <v>474</v>
      </c>
      <c r="D24" t="s">
        <v>469</v>
      </c>
    </row>
    <row r="26" spans="1:6" x14ac:dyDescent="0.3">
      <c r="A26" t="s">
        <v>478</v>
      </c>
      <c r="C26" t="s">
        <v>482</v>
      </c>
      <c r="F26" t="s">
        <v>481</v>
      </c>
    </row>
    <row r="27" spans="1:6" x14ac:dyDescent="0.3">
      <c r="C27" t="s">
        <v>473</v>
      </c>
      <c r="D27" t="s">
        <v>483</v>
      </c>
    </row>
    <row r="28" spans="1:6" x14ac:dyDescent="0.3">
      <c r="C28" t="s">
        <v>474</v>
      </c>
      <c r="D28" t="s">
        <v>469</v>
      </c>
    </row>
    <row r="30" spans="1:6" x14ac:dyDescent="0.3">
      <c r="A30" t="s">
        <v>472</v>
      </c>
      <c r="C30" t="s">
        <v>482</v>
      </c>
      <c r="F30" t="s">
        <v>481</v>
      </c>
    </row>
    <row r="31" spans="1:6" x14ac:dyDescent="0.3">
      <c r="C31" t="s">
        <v>473</v>
      </c>
      <c r="D31" t="s">
        <v>483</v>
      </c>
    </row>
    <row r="32" spans="1:6" x14ac:dyDescent="0.3">
      <c r="C32" t="s">
        <v>474</v>
      </c>
      <c r="D32" t="s">
        <v>469</v>
      </c>
    </row>
    <row r="34" spans="1:19" x14ac:dyDescent="0.3">
      <c r="A34" t="s">
        <v>480</v>
      </c>
    </row>
    <row r="36" spans="1:19" x14ac:dyDescent="0.3">
      <c r="A36" t="s">
        <v>488</v>
      </c>
    </row>
    <row r="40" spans="1:19" x14ac:dyDescent="0.3">
      <c r="D40" t="s">
        <v>489</v>
      </c>
      <c r="P40" t="s">
        <v>490</v>
      </c>
      <c r="S40" t="s">
        <v>492</v>
      </c>
    </row>
    <row r="41" spans="1:19" x14ac:dyDescent="0.3">
      <c r="P41" t="s">
        <v>491</v>
      </c>
    </row>
    <row r="43" spans="1:19" x14ac:dyDescent="0.3">
      <c r="P43" t="s">
        <v>493</v>
      </c>
    </row>
  </sheetData>
  <hyperlinks>
    <hyperlink ref="A14" r:id="rId1" display="https://sitel.sharepoint.com/sites/PA2/Lists/Leave request list/AllItems.aspx?OR=Teams%2DHL&amp;CT=1648542249942&amp;params=eyJBcHBOYW1lIjoiVGVhbXMtRGVza3RvcCIsIkFwcFZlcnNpb24iOiIyNy8yMjAzMDcwMTYxMCJ9"/>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R48"/>
  <sheetViews>
    <sheetView topLeftCell="A42" workbookViewId="0">
      <selection activeCell="C49" sqref="C49"/>
    </sheetView>
  </sheetViews>
  <sheetFormatPr defaultRowHeight="14.4" x14ac:dyDescent="0.3"/>
  <cols>
    <col min="1" max="1" width="7.88671875" customWidth="1"/>
  </cols>
  <sheetData>
    <row r="2" spans="1:18" x14ac:dyDescent="0.3">
      <c r="A2" t="s">
        <v>506</v>
      </c>
    </row>
    <row r="4" spans="1:18" x14ac:dyDescent="0.3">
      <c r="A4" t="s">
        <v>507</v>
      </c>
    </row>
    <row r="5" spans="1:18" ht="15" x14ac:dyDescent="0.3">
      <c r="I5" s="35"/>
    </row>
    <row r="6" spans="1:18" ht="15" x14ac:dyDescent="0.3">
      <c r="A6" t="s">
        <v>508</v>
      </c>
      <c r="I6" s="35"/>
    </row>
    <row r="7" spans="1:18" ht="15" x14ac:dyDescent="0.3">
      <c r="I7" s="35"/>
    </row>
    <row r="8" spans="1:18" ht="15" x14ac:dyDescent="0.3">
      <c r="A8" t="s">
        <v>510</v>
      </c>
      <c r="I8" s="35"/>
    </row>
    <row r="9" spans="1:18" ht="15" x14ac:dyDescent="0.3">
      <c r="A9" t="s">
        <v>511</v>
      </c>
      <c r="I9" s="35"/>
    </row>
    <row r="10" spans="1:18" ht="15" x14ac:dyDescent="0.3">
      <c r="I10" s="35"/>
    </row>
    <row r="11" spans="1:18" x14ac:dyDescent="0.3">
      <c r="F11" s="38" t="s">
        <v>415</v>
      </c>
      <c r="G11" s="38"/>
      <c r="I11" s="38" t="s">
        <v>416</v>
      </c>
      <c r="J11" s="38" t="s">
        <v>417</v>
      </c>
      <c r="L11" t="s">
        <v>442</v>
      </c>
      <c r="N11" t="s">
        <v>449</v>
      </c>
      <c r="Q11" t="s">
        <v>500</v>
      </c>
    </row>
    <row r="12" spans="1:18" x14ac:dyDescent="0.3">
      <c r="Q12" t="s">
        <v>501</v>
      </c>
    </row>
    <row r="13" spans="1:18" x14ac:dyDescent="0.3">
      <c r="Q13" t="s">
        <v>502</v>
      </c>
      <c r="R13" t="s">
        <v>503</v>
      </c>
    </row>
    <row r="15" spans="1:18" x14ac:dyDescent="0.3">
      <c r="A15" t="s">
        <v>460</v>
      </c>
      <c r="C15" t="s">
        <v>494</v>
      </c>
      <c r="F15" t="s">
        <v>514</v>
      </c>
    </row>
    <row r="17" spans="1:16" x14ac:dyDescent="0.3">
      <c r="A17" t="s">
        <v>342</v>
      </c>
      <c r="G17" t="s">
        <v>464</v>
      </c>
      <c r="H17" t="s">
        <v>462</v>
      </c>
      <c r="J17" t="s">
        <v>463</v>
      </c>
      <c r="M17" t="s">
        <v>181</v>
      </c>
    </row>
    <row r="18" spans="1:16" x14ac:dyDescent="0.3">
      <c r="C18" t="s">
        <v>466</v>
      </c>
      <c r="H18" t="s">
        <v>495</v>
      </c>
    </row>
    <row r="20" spans="1:16" x14ac:dyDescent="0.3">
      <c r="A20" t="s">
        <v>411</v>
      </c>
      <c r="C20" t="s">
        <v>461</v>
      </c>
      <c r="E20" t="s">
        <v>465</v>
      </c>
      <c r="I20" t="s">
        <v>459</v>
      </c>
      <c r="P20" t="s">
        <v>496</v>
      </c>
    </row>
    <row r="21" spans="1:16" x14ac:dyDescent="0.3">
      <c r="H21" s="39" t="s">
        <v>505</v>
      </c>
      <c r="I21" s="39"/>
      <c r="J21" s="39"/>
      <c r="K21" s="39"/>
      <c r="L21" s="39"/>
      <c r="P21" t="s">
        <v>504</v>
      </c>
    </row>
    <row r="22" spans="1:16" x14ac:dyDescent="0.3">
      <c r="A22" t="s">
        <v>412</v>
      </c>
      <c r="C22" t="s">
        <v>497</v>
      </c>
    </row>
    <row r="24" spans="1:16" x14ac:dyDescent="0.3">
      <c r="A24" t="s">
        <v>344</v>
      </c>
      <c r="C24" t="s">
        <v>27</v>
      </c>
      <c r="D24" t="s">
        <v>498</v>
      </c>
      <c r="E24" t="s">
        <v>499</v>
      </c>
      <c r="G24" t="s">
        <v>509</v>
      </c>
    </row>
    <row r="26" spans="1:16" x14ac:dyDescent="0.3">
      <c r="A26" t="s">
        <v>413</v>
      </c>
      <c r="C26" t="s">
        <v>450</v>
      </c>
    </row>
    <row r="27" spans="1:16" x14ac:dyDescent="0.3">
      <c r="G27" t="s">
        <v>1138</v>
      </c>
    </row>
    <row r="28" spans="1:16" x14ac:dyDescent="0.3">
      <c r="G28" s="34" t="s">
        <v>1139</v>
      </c>
    </row>
    <row r="30" spans="1:16" x14ac:dyDescent="0.3">
      <c r="A30" t="s">
        <v>502</v>
      </c>
      <c r="C30" s="36" t="s">
        <v>1145</v>
      </c>
      <c r="E30" t="s">
        <v>1146</v>
      </c>
      <c r="H30" t="s">
        <v>1147</v>
      </c>
    </row>
    <row r="32" spans="1:16" x14ac:dyDescent="0.3">
      <c r="A32" t="s">
        <v>1140</v>
      </c>
      <c r="C32" s="34" t="s">
        <v>1148</v>
      </c>
      <c r="E32" t="s">
        <v>1149</v>
      </c>
      <c r="K32" t="s">
        <v>1150</v>
      </c>
    </row>
    <row r="34" spans="1:14" x14ac:dyDescent="0.3">
      <c r="A34" t="s">
        <v>1141</v>
      </c>
      <c r="C34" t="s">
        <v>1151</v>
      </c>
      <c r="F34" t="s">
        <v>1152</v>
      </c>
    </row>
    <row r="36" spans="1:14" x14ac:dyDescent="0.3">
      <c r="A36" t="s">
        <v>582</v>
      </c>
      <c r="C36" t="s">
        <v>1153</v>
      </c>
    </row>
    <row r="38" spans="1:14" x14ac:dyDescent="0.3">
      <c r="A38" t="s">
        <v>272</v>
      </c>
      <c r="C38" t="s">
        <v>1142</v>
      </c>
      <c r="N38" t="s">
        <v>1143</v>
      </c>
    </row>
    <row r="41" spans="1:14" x14ac:dyDescent="0.3">
      <c r="A41" t="s">
        <v>1144</v>
      </c>
      <c r="C41" t="s">
        <v>1154</v>
      </c>
    </row>
    <row r="43" spans="1:14" x14ac:dyDescent="0.3">
      <c r="A43" t="s">
        <v>1155</v>
      </c>
    </row>
    <row r="46" spans="1:14" x14ac:dyDescent="0.3">
      <c r="A46" t="s">
        <v>1156</v>
      </c>
    </row>
    <row r="47" spans="1:14" x14ac:dyDescent="0.3">
      <c r="A47" t="s">
        <v>1157</v>
      </c>
      <c r="B47" t="s">
        <v>1158</v>
      </c>
      <c r="E47" t="s">
        <v>1159</v>
      </c>
    </row>
    <row r="48" spans="1:14" x14ac:dyDescent="0.3">
      <c r="C48" t="s">
        <v>1160</v>
      </c>
    </row>
  </sheetData>
  <hyperlinks>
    <hyperlink ref="G25" r:id="rId1" location="M84583" display="https://community.powerbi.com/t5/Service/Data-refresh-using-Gateway-instead-of-Azure-service-for-SQL/m-p/897085 - M84583"/>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Q145"/>
  <sheetViews>
    <sheetView topLeftCell="A122" workbookViewId="0">
      <selection activeCell="K146" sqref="K146"/>
    </sheetView>
  </sheetViews>
  <sheetFormatPr defaultRowHeight="14.4" x14ac:dyDescent="0.3"/>
  <cols>
    <col min="1" max="1" width="7.88671875" customWidth="1"/>
    <col min="9" max="9" width="7.44140625" bestFit="1" customWidth="1"/>
    <col min="10" max="10" width="10.5546875" customWidth="1"/>
  </cols>
  <sheetData>
    <row r="1" spans="1:1" x14ac:dyDescent="0.3">
      <c r="A1" t="s">
        <v>942</v>
      </c>
    </row>
    <row r="2" spans="1:1" x14ac:dyDescent="0.3">
      <c r="A2" t="s">
        <v>943</v>
      </c>
    </row>
    <row r="3" spans="1:1" ht="16.8" customHeight="1" x14ac:dyDescent="0.3">
      <c r="A3" t="s">
        <v>944</v>
      </c>
    </row>
    <row r="4" spans="1:1" ht="16.8" customHeight="1" x14ac:dyDescent="0.3">
      <c r="A4" t="s">
        <v>949</v>
      </c>
    </row>
    <row r="5" spans="1:1" ht="16.8" customHeight="1" x14ac:dyDescent="0.3">
      <c r="A5" t="s">
        <v>950</v>
      </c>
    </row>
    <row r="6" spans="1:1" ht="16.8" customHeight="1" x14ac:dyDescent="0.3">
      <c r="A6" t="s">
        <v>951</v>
      </c>
    </row>
    <row r="7" spans="1:1" ht="16.8" customHeight="1" x14ac:dyDescent="0.3"/>
    <row r="8" spans="1:1" ht="16.8" customHeight="1" x14ac:dyDescent="0.3">
      <c r="A8" t="s">
        <v>952</v>
      </c>
    </row>
    <row r="9" spans="1:1" ht="16.8" customHeight="1" x14ac:dyDescent="0.3">
      <c r="A9" t="s">
        <v>945</v>
      </c>
    </row>
    <row r="10" spans="1:1" ht="16.8" customHeight="1" x14ac:dyDescent="0.3">
      <c r="A10" t="s">
        <v>946</v>
      </c>
    </row>
    <row r="11" spans="1:1" ht="16.8" customHeight="1" x14ac:dyDescent="0.3">
      <c r="A11" t="s">
        <v>947</v>
      </c>
    </row>
    <row r="12" spans="1:1" ht="16.8" customHeight="1" x14ac:dyDescent="0.3"/>
    <row r="13" spans="1:1" ht="16.8" customHeight="1" x14ac:dyDescent="0.3"/>
    <row r="14" spans="1:1" ht="16.8" customHeight="1" x14ac:dyDescent="0.3">
      <c r="A14" t="s">
        <v>948</v>
      </c>
    </row>
    <row r="15" spans="1:1" ht="16.8" customHeight="1" x14ac:dyDescent="0.3"/>
    <row r="16" spans="1:1" ht="16.8" customHeight="1" x14ac:dyDescent="0.3"/>
    <row r="18" spans="1:16" x14ac:dyDescent="0.3">
      <c r="A18" t="s">
        <v>929</v>
      </c>
      <c r="J18" t="s">
        <v>939</v>
      </c>
    </row>
    <row r="20" spans="1:16" x14ac:dyDescent="0.3">
      <c r="A20" t="s">
        <v>940</v>
      </c>
      <c r="L20" t="s">
        <v>934</v>
      </c>
      <c r="P20" t="s">
        <v>941</v>
      </c>
    </row>
    <row r="21" spans="1:16" ht="15" x14ac:dyDescent="0.3">
      <c r="I21" s="35"/>
    </row>
    <row r="22" spans="1:16" ht="15" x14ac:dyDescent="0.3">
      <c r="A22" t="s">
        <v>908</v>
      </c>
      <c r="C22" t="s">
        <v>913</v>
      </c>
      <c r="I22" s="35"/>
      <c r="K22" t="s">
        <v>931</v>
      </c>
    </row>
    <row r="23" spans="1:16" ht="15" x14ac:dyDescent="0.3">
      <c r="A23" t="s">
        <v>912</v>
      </c>
      <c r="C23" t="s">
        <v>914</v>
      </c>
      <c r="I23" s="35"/>
    </row>
    <row r="24" spans="1:16" ht="15" x14ac:dyDescent="0.3">
      <c r="I24" s="35"/>
    </row>
    <row r="25" spans="1:16" ht="15" x14ac:dyDescent="0.3">
      <c r="A25" t="s">
        <v>909</v>
      </c>
      <c r="C25" t="s">
        <v>918</v>
      </c>
      <c r="I25" s="35"/>
      <c r="K25" t="s">
        <v>919</v>
      </c>
      <c r="N25" t="s">
        <v>915</v>
      </c>
    </row>
    <row r="26" spans="1:16" ht="15" x14ac:dyDescent="0.3">
      <c r="I26" s="35"/>
      <c r="N26" t="s">
        <v>916</v>
      </c>
    </row>
    <row r="27" spans="1:16" ht="15" x14ac:dyDescent="0.3">
      <c r="A27" t="s">
        <v>910</v>
      </c>
      <c r="I27" s="35"/>
      <c r="K27" t="s">
        <v>920</v>
      </c>
      <c r="N27" t="s">
        <v>917</v>
      </c>
    </row>
    <row r="28" spans="1:16" ht="15" x14ac:dyDescent="0.3">
      <c r="I28" s="35"/>
    </row>
    <row r="29" spans="1:16" ht="15" x14ac:dyDescent="0.3">
      <c r="A29" t="s">
        <v>812</v>
      </c>
      <c r="C29" t="s">
        <v>921</v>
      </c>
      <c r="I29" s="35"/>
      <c r="K29" t="s">
        <v>920</v>
      </c>
    </row>
    <row r="30" spans="1:16" ht="15" x14ac:dyDescent="0.3">
      <c r="C30" t="s">
        <v>922</v>
      </c>
      <c r="I30" s="35"/>
    </row>
    <row r="31" spans="1:16" ht="15" x14ac:dyDescent="0.3">
      <c r="I31" s="35"/>
    </row>
    <row r="32" spans="1:16" x14ac:dyDescent="0.3">
      <c r="A32" t="s">
        <v>819</v>
      </c>
      <c r="C32" t="s">
        <v>924</v>
      </c>
      <c r="K32" t="s">
        <v>930</v>
      </c>
    </row>
    <row r="34" spans="1:13" x14ac:dyDescent="0.3">
      <c r="A34" t="s">
        <v>911</v>
      </c>
      <c r="C34" t="s">
        <v>923</v>
      </c>
      <c r="K34" t="s">
        <v>272</v>
      </c>
      <c r="M34" t="s">
        <v>932</v>
      </c>
    </row>
    <row r="36" spans="1:13" x14ac:dyDescent="0.3">
      <c r="A36" t="s">
        <v>925</v>
      </c>
    </row>
    <row r="37" spans="1:13" x14ac:dyDescent="0.3">
      <c r="A37" t="s">
        <v>926</v>
      </c>
    </row>
    <row r="38" spans="1:13" ht="13.2" customHeight="1" x14ac:dyDescent="0.3"/>
    <row r="39" spans="1:13" x14ac:dyDescent="0.3">
      <c r="A39" s="43" t="s">
        <v>460</v>
      </c>
      <c r="C39" t="s">
        <v>875</v>
      </c>
      <c r="H39" t="s">
        <v>935</v>
      </c>
    </row>
    <row r="41" spans="1:13" x14ac:dyDescent="0.3">
      <c r="A41" t="s">
        <v>342</v>
      </c>
      <c r="C41" t="s">
        <v>933</v>
      </c>
    </row>
    <row r="43" spans="1:13" x14ac:dyDescent="0.3">
      <c r="A43" t="s">
        <v>412</v>
      </c>
      <c r="C43" t="s">
        <v>928</v>
      </c>
    </row>
    <row r="45" spans="1:13" x14ac:dyDescent="0.3">
      <c r="A45" t="s">
        <v>344</v>
      </c>
      <c r="E45" t="s">
        <v>831</v>
      </c>
      <c r="G45" t="s">
        <v>209</v>
      </c>
    </row>
    <row r="47" spans="1:13" x14ac:dyDescent="0.3">
      <c r="A47" t="s">
        <v>413</v>
      </c>
      <c r="C47" t="s">
        <v>927</v>
      </c>
      <c r="F47" t="s">
        <v>936</v>
      </c>
      <c r="J47" t="s">
        <v>937</v>
      </c>
    </row>
    <row r="49" spans="1:12" x14ac:dyDescent="0.3">
      <c r="A49" t="s">
        <v>272</v>
      </c>
      <c r="C49" t="s">
        <v>873</v>
      </c>
      <c r="J49" s="34" t="s">
        <v>871</v>
      </c>
      <c r="L49" t="s">
        <v>872</v>
      </c>
    </row>
    <row r="51" spans="1:12" x14ac:dyDescent="0.3">
      <c r="A51" t="s">
        <v>582</v>
      </c>
      <c r="C51" t="s">
        <v>833</v>
      </c>
      <c r="F51" t="s">
        <v>874</v>
      </c>
    </row>
    <row r="52" spans="1:12" x14ac:dyDescent="0.3">
      <c r="F52" s="45"/>
    </row>
    <row r="54" spans="1:12" x14ac:dyDescent="0.3">
      <c r="C54" s="34"/>
    </row>
    <row r="56" spans="1:12" x14ac:dyDescent="0.3">
      <c r="A56" s="39" t="s">
        <v>589</v>
      </c>
      <c r="B56" s="39"/>
      <c r="C56" s="39"/>
    </row>
    <row r="58" spans="1:12" x14ac:dyDescent="0.3">
      <c r="A58" s="39" t="s">
        <v>590</v>
      </c>
      <c r="B58" s="39"/>
      <c r="C58" s="39"/>
      <c r="E58" t="s">
        <v>601</v>
      </c>
    </row>
    <row r="60" spans="1:12" x14ac:dyDescent="0.3">
      <c r="A60" t="s">
        <v>591</v>
      </c>
      <c r="E60" t="s">
        <v>592</v>
      </c>
    </row>
    <row r="62" spans="1:12" x14ac:dyDescent="0.3">
      <c r="A62" t="s">
        <v>593</v>
      </c>
    </row>
    <row r="64" spans="1:12" x14ac:dyDescent="0.3">
      <c r="A64" t="s">
        <v>597</v>
      </c>
    </row>
    <row r="66" spans="1:13" x14ac:dyDescent="0.3">
      <c r="A66" s="39" t="s">
        <v>599</v>
      </c>
      <c r="B66" s="39"/>
      <c r="C66" s="39"/>
      <c r="D66" s="39"/>
      <c r="E66" s="39"/>
      <c r="F66" s="39"/>
      <c r="G66" s="39"/>
      <c r="H66" s="39"/>
      <c r="I66" s="39"/>
      <c r="J66" s="39"/>
      <c r="K66" s="39"/>
      <c r="L66" s="39"/>
      <c r="M66" s="39"/>
    </row>
    <row r="67" spans="1:13" x14ac:dyDescent="0.3">
      <c r="A67" s="39" t="s">
        <v>600</v>
      </c>
      <c r="B67" s="39"/>
      <c r="C67" s="39"/>
      <c r="D67" s="39"/>
      <c r="E67" s="39"/>
      <c r="F67" s="39"/>
      <c r="G67" s="39"/>
      <c r="H67" s="39"/>
      <c r="I67" s="39"/>
      <c r="J67" s="39"/>
      <c r="K67" s="39"/>
      <c r="L67" s="39"/>
      <c r="M67" s="39"/>
    </row>
    <row r="69" spans="1:13" x14ac:dyDescent="0.3">
      <c r="A69" s="39" t="s">
        <v>594</v>
      </c>
      <c r="B69" s="39"/>
      <c r="C69" s="39"/>
      <c r="D69" s="39"/>
      <c r="F69" t="s">
        <v>595</v>
      </c>
      <c r="H69">
        <v>23.09</v>
      </c>
      <c r="I69" t="s">
        <v>596</v>
      </c>
    </row>
    <row r="73" spans="1:13" x14ac:dyDescent="0.3">
      <c r="B73" t="s">
        <v>604</v>
      </c>
      <c r="D73" t="s">
        <v>605</v>
      </c>
    </row>
    <row r="75" spans="1:13" x14ac:dyDescent="0.3">
      <c r="A75" t="s">
        <v>606</v>
      </c>
    </row>
    <row r="77" spans="1:13" x14ac:dyDescent="0.3">
      <c r="A77" t="s">
        <v>607</v>
      </c>
    </row>
    <row r="79" spans="1:13" x14ac:dyDescent="0.3">
      <c r="A79" t="s">
        <v>608</v>
      </c>
    </row>
    <row r="80" spans="1:13" s="4" customFormat="1" x14ac:dyDescent="0.3"/>
    <row r="82" spans="1:3" x14ac:dyDescent="0.3">
      <c r="A82" t="s">
        <v>961</v>
      </c>
    </row>
    <row r="83" spans="1:3" x14ac:dyDescent="0.3">
      <c r="A83" t="s">
        <v>962</v>
      </c>
    </row>
    <row r="84" spans="1:3" x14ac:dyDescent="0.3">
      <c r="A84" t="s">
        <v>963</v>
      </c>
    </row>
    <row r="86" spans="1:3" x14ac:dyDescent="0.3">
      <c r="A86" t="s">
        <v>973</v>
      </c>
    </row>
    <row r="87" spans="1:3" x14ac:dyDescent="0.3">
      <c r="A87" t="s">
        <v>976</v>
      </c>
    </row>
    <row r="88" spans="1:3" x14ac:dyDescent="0.3">
      <c r="A88" t="s">
        <v>974</v>
      </c>
    </row>
    <row r="90" spans="1:3" x14ac:dyDescent="0.3">
      <c r="A90" t="s">
        <v>964</v>
      </c>
    </row>
    <row r="92" spans="1:3" x14ac:dyDescent="0.3">
      <c r="A92" t="s">
        <v>975</v>
      </c>
    </row>
    <row r="93" spans="1:3" x14ac:dyDescent="0.3">
      <c r="A93" s="43" t="s">
        <v>930</v>
      </c>
      <c r="B93" t="s">
        <v>965</v>
      </c>
    </row>
    <row r="95" spans="1:3" x14ac:dyDescent="0.3">
      <c r="A95" t="s">
        <v>344</v>
      </c>
      <c r="C95" t="s">
        <v>966</v>
      </c>
    </row>
    <row r="97" spans="1:11" x14ac:dyDescent="0.3">
      <c r="A97" t="s">
        <v>342</v>
      </c>
      <c r="B97" t="s">
        <v>967</v>
      </c>
    </row>
    <row r="98" spans="1:11" x14ac:dyDescent="0.3">
      <c r="B98" t="s">
        <v>968</v>
      </c>
    </row>
    <row r="100" spans="1:11" x14ac:dyDescent="0.3">
      <c r="A100" t="s">
        <v>582</v>
      </c>
      <c r="B100" t="s">
        <v>969</v>
      </c>
    </row>
    <row r="101" spans="1:11" x14ac:dyDescent="0.3">
      <c r="B101" t="s">
        <v>977</v>
      </c>
    </row>
    <row r="103" spans="1:11" x14ac:dyDescent="0.3">
      <c r="A103" t="s">
        <v>412</v>
      </c>
      <c r="C103" t="s">
        <v>970</v>
      </c>
    </row>
    <row r="104" spans="1:11" x14ac:dyDescent="0.3">
      <c r="C104" t="s">
        <v>971</v>
      </c>
    </row>
    <row r="106" spans="1:11" x14ac:dyDescent="0.3">
      <c r="A106" t="s">
        <v>413</v>
      </c>
    </row>
    <row r="107" spans="1:11" x14ac:dyDescent="0.3">
      <c r="B107" t="s">
        <v>972</v>
      </c>
    </row>
    <row r="108" spans="1:11" x14ac:dyDescent="0.3">
      <c r="A108" t="s">
        <v>272</v>
      </c>
    </row>
    <row r="111" spans="1:11" ht="15" x14ac:dyDescent="0.3">
      <c r="A111" t="s">
        <v>908</v>
      </c>
      <c r="C111" t="s">
        <v>913</v>
      </c>
      <c r="I111" s="35"/>
      <c r="K111" t="s">
        <v>931</v>
      </c>
    </row>
    <row r="112" spans="1:11" ht="15" x14ac:dyDescent="0.3">
      <c r="A112" t="s">
        <v>912</v>
      </c>
      <c r="C112" t="s">
        <v>914</v>
      </c>
      <c r="I112" s="35"/>
    </row>
    <row r="113" spans="1:16" ht="15" x14ac:dyDescent="0.3">
      <c r="I113" s="35"/>
    </row>
    <row r="114" spans="1:16" ht="15" x14ac:dyDescent="0.3">
      <c r="A114" t="s">
        <v>909</v>
      </c>
      <c r="C114" t="s">
        <v>918</v>
      </c>
      <c r="I114" s="35"/>
      <c r="K114" t="s">
        <v>919</v>
      </c>
      <c r="N114" t="s">
        <v>915</v>
      </c>
    </row>
    <row r="115" spans="1:16" ht="15" x14ac:dyDescent="0.3">
      <c r="C115" t="s">
        <v>978</v>
      </c>
      <c r="I115" s="35"/>
      <c r="N115" t="s">
        <v>916</v>
      </c>
    </row>
    <row r="116" spans="1:16" ht="15" x14ac:dyDescent="0.3">
      <c r="A116" t="s">
        <v>910</v>
      </c>
      <c r="I116" s="35"/>
      <c r="K116" t="s">
        <v>920</v>
      </c>
      <c r="N116" t="s">
        <v>917</v>
      </c>
    </row>
    <row r="117" spans="1:16" ht="15" x14ac:dyDescent="0.3">
      <c r="I117" s="35"/>
    </row>
    <row r="118" spans="1:16" ht="15" x14ac:dyDescent="0.3">
      <c r="A118" t="s">
        <v>812</v>
      </c>
      <c r="C118" t="s">
        <v>921</v>
      </c>
      <c r="I118" s="35"/>
      <c r="K118" t="s">
        <v>920</v>
      </c>
    </row>
    <row r="119" spans="1:16" ht="15" x14ac:dyDescent="0.3">
      <c r="C119" t="s">
        <v>922</v>
      </c>
      <c r="I119" s="35"/>
    </row>
    <row r="120" spans="1:16" ht="15" x14ac:dyDescent="0.3">
      <c r="I120" s="35"/>
      <c r="P120" t="s">
        <v>1124</v>
      </c>
    </row>
    <row r="121" spans="1:16" ht="15" x14ac:dyDescent="0.3">
      <c r="A121" t="s">
        <v>527</v>
      </c>
      <c r="I121" s="35"/>
      <c r="K121" t="s">
        <v>979</v>
      </c>
    </row>
    <row r="122" spans="1:16" ht="15" x14ac:dyDescent="0.3">
      <c r="I122" s="35"/>
    </row>
    <row r="123" spans="1:16" x14ac:dyDescent="0.3">
      <c r="A123" t="s">
        <v>819</v>
      </c>
      <c r="C123" t="s">
        <v>924</v>
      </c>
      <c r="K123" t="s">
        <v>930</v>
      </c>
    </row>
    <row r="125" spans="1:16" x14ac:dyDescent="0.3">
      <c r="A125" t="s">
        <v>911</v>
      </c>
      <c r="C125" t="s">
        <v>923</v>
      </c>
      <c r="K125" t="s">
        <v>272</v>
      </c>
      <c r="M125" t="s">
        <v>932</v>
      </c>
    </row>
    <row r="129" spans="1:17" x14ac:dyDescent="0.3">
      <c r="A129" t="s">
        <v>930</v>
      </c>
      <c r="C129" t="s">
        <v>984</v>
      </c>
      <c r="I129" t="s">
        <v>1117</v>
      </c>
    </row>
    <row r="131" spans="1:17" x14ac:dyDescent="0.3">
      <c r="A131" t="s">
        <v>983</v>
      </c>
      <c r="I131" t="s">
        <v>1116</v>
      </c>
    </row>
    <row r="133" spans="1:17" x14ac:dyDescent="0.3">
      <c r="A133" t="s">
        <v>582</v>
      </c>
      <c r="I133" t="s">
        <v>1118</v>
      </c>
    </row>
    <row r="135" spans="1:17" x14ac:dyDescent="0.3">
      <c r="A135" t="s">
        <v>982</v>
      </c>
      <c r="D135" t="s">
        <v>1125</v>
      </c>
      <c r="I135" t="s">
        <v>1119</v>
      </c>
      <c r="Q135" t="s">
        <v>1120</v>
      </c>
    </row>
    <row r="136" spans="1:17" x14ac:dyDescent="0.3">
      <c r="I136" t="s">
        <v>1121</v>
      </c>
    </row>
    <row r="137" spans="1:17" x14ac:dyDescent="0.3">
      <c r="A137" t="s">
        <v>272</v>
      </c>
      <c r="C137" t="s">
        <v>980</v>
      </c>
      <c r="F137" t="s">
        <v>981</v>
      </c>
      <c r="I137" t="s">
        <v>1115</v>
      </c>
    </row>
    <row r="139" spans="1:17" x14ac:dyDescent="0.3">
      <c r="C139" t="s">
        <v>992</v>
      </c>
      <c r="H139" t="s">
        <v>1123</v>
      </c>
      <c r="I139" t="s">
        <v>1122</v>
      </c>
    </row>
    <row r="140" spans="1:17" x14ac:dyDescent="0.3">
      <c r="C140" t="s">
        <v>534</v>
      </c>
    </row>
    <row r="142" spans="1:17" x14ac:dyDescent="0.3">
      <c r="L142">
        <v>19500</v>
      </c>
    </row>
    <row r="143" spans="1:17" x14ac:dyDescent="0.3">
      <c r="K143" t="s">
        <v>1127</v>
      </c>
      <c r="L143" t="s">
        <v>1126</v>
      </c>
    </row>
    <row r="144" spans="1:17" x14ac:dyDescent="0.3">
      <c r="K144" t="s">
        <v>1128</v>
      </c>
    </row>
    <row r="145" spans="11:11" x14ac:dyDescent="0.3">
      <c r="K145" t="s">
        <v>1129</v>
      </c>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BF48"/>
  <sheetViews>
    <sheetView topLeftCell="A25" workbookViewId="0">
      <selection activeCell="D47" sqref="D47"/>
    </sheetView>
  </sheetViews>
  <sheetFormatPr defaultRowHeight="14.4" x14ac:dyDescent="0.3"/>
  <cols>
    <col min="2" max="2" width="19.77734375" bestFit="1" customWidth="1"/>
    <col min="21" max="21" width="8.88671875" style="9"/>
    <col min="40" max="40" width="10.88671875" style="9" customWidth="1"/>
    <col min="58" max="58" width="8.88671875" style="9"/>
  </cols>
  <sheetData>
    <row r="1" spans="1:58" x14ac:dyDescent="0.3">
      <c r="A1" t="s">
        <v>982</v>
      </c>
      <c r="C1" t="s">
        <v>1001</v>
      </c>
      <c r="E1" t="s">
        <v>1002</v>
      </c>
      <c r="H1" t="s">
        <v>1004</v>
      </c>
    </row>
    <row r="2" spans="1:58" x14ac:dyDescent="0.3">
      <c r="AO2" t="s">
        <v>1045</v>
      </c>
      <c r="AR2" t="s">
        <v>1062</v>
      </c>
      <c r="AS2" t="s">
        <v>1046</v>
      </c>
      <c r="AU2" t="s">
        <v>1063</v>
      </c>
      <c r="AW2" t="s">
        <v>1061</v>
      </c>
      <c r="AY2">
        <v>20.03</v>
      </c>
    </row>
    <row r="3" spans="1:58" x14ac:dyDescent="0.3">
      <c r="A3" t="s">
        <v>1003</v>
      </c>
      <c r="C3" t="s">
        <v>1082</v>
      </c>
      <c r="AO3" t="s">
        <v>1047</v>
      </c>
      <c r="AR3" t="s">
        <v>1048</v>
      </c>
      <c r="AU3">
        <v>30.03</v>
      </c>
    </row>
    <row r="5" spans="1:58" x14ac:dyDescent="0.3">
      <c r="AJ5" t="s">
        <v>1052</v>
      </c>
      <c r="AL5" t="s">
        <v>1053</v>
      </c>
      <c r="AM5" t="s">
        <v>1057</v>
      </c>
      <c r="AO5" t="s">
        <v>1049</v>
      </c>
      <c r="AR5" t="s">
        <v>1050</v>
      </c>
      <c r="AS5" t="s">
        <v>1051</v>
      </c>
      <c r="AU5">
        <v>30.03</v>
      </c>
    </row>
    <row r="6" spans="1:58" x14ac:dyDescent="0.3">
      <c r="A6" t="s">
        <v>930</v>
      </c>
      <c r="AO6" t="s">
        <v>1054</v>
      </c>
      <c r="AQ6" t="s">
        <v>1055</v>
      </c>
      <c r="AU6">
        <v>30.03</v>
      </c>
    </row>
    <row r="7" spans="1:58" x14ac:dyDescent="0.3">
      <c r="AJ7" t="s">
        <v>1058</v>
      </c>
      <c r="AL7" t="s">
        <v>1059</v>
      </c>
      <c r="AO7" t="s">
        <v>1060</v>
      </c>
      <c r="AQ7" t="s">
        <v>1056</v>
      </c>
      <c r="AU7">
        <v>30.03</v>
      </c>
    </row>
    <row r="9" spans="1:58" x14ac:dyDescent="0.3">
      <c r="AG9" t="s">
        <v>1022</v>
      </c>
      <c r="AI9" t="s">
        <v>1023</v>
      </c>
      <c r="AM9" t="s">
        <v>1026</v>
      </c>
      <c r="AO9" t="s">
        <v>1029</v>
      </c>
      <c r="AS9" t="s">
        <v>1030</v>
      </c>
      <c r="AV9" t="s">
        <v>1032</v>
      </c>
      <c r="AY9" t="s">
        <v>1035</v>
      </c>
    </row>
    <row r="10" spans="1:58" x14ac:dyDescent="0.3">
      <c r="A10" t="s">
        <v>983</v>
      </c>
      <c r="C10" t="s">
        <v>1006</v>
      </c>
      <c r="D10" t="s">
        <v>1007</v>
      </c>
      <c r="E10" t="s">
        <v>1010</v>
      </c>
      <c r="F10" s="34" t="s">
        <v>1011</v>
      </c>
      <c r="H10" t="s">
        <v>1012</v>
      </c>
      <c r="K10" t="s">
        <v>1008</v>
      </c>
      <c r="L10" t="s">
        <v>1009</v>
      </c>
      <c r="N10" t="s">
        <v>1014</v>
      </c>
      <c r="P10" t="s">
        <v>1015</v>
      </c>
      <c r="R10" t="s">
        <v>1016</v>
      </c>
      <c r="S10" t="s">
        <v>1017</v>
      </c>
      <c r="V10" t="s">
        <v>742</v>
      </c>
      <c r="W10" t="s">
        <v>1018</v>
      </c>
      <c r="Z10" t="s">
        <v>1019</v>
      </c>
      <c r="AD10" t="s">
        <v>1020</v>
      </c>
      <c r="AG10" t="s">
        <v>1021</v>
      </c>
      <c r="AI10" t="s">
        <v>1024</v>
      </c>
      <c r="AM10" t="s">
        <v>1027</v>
      </c>
      <c r="AS10" t="s">
        <v>1031</v>
      </c>
      <c r="AV10" t="s">
        <v>1033</v>
      </c>
      <c r="AY10" t="s">
        <v>1036</v>
      </c>
      <c r="BA10" t="s">
        <v>1037</v>
      </c>
      <c r="BC10" t="s">
        <v>1038</v>
      </c>
    </row>
    <row r="11" spans="1:58" x14ac:dyDescent="0.3">
      <c r="F11" s="34" t="s">
        <v>1013</v>
      </c>
      <c r="AI11" t="s">
        <v>1025</v>
      </c>
      <c r="AM11" t="s">
        <v>1028</v>
      </c>
      <c r="AO11" t="s">
        <v>1064</v>
      </c>
      <c r="AV11" t="s">
        <v>1034</v>
      </c>
      <c r="AY11" t="s">
        <v>1039</v>
      </c>
      <c r="BB11" t="s">
        <v>1040</v>
      </c>
    </row>
    <row r="12" spans="1:58" x14ac:dyDescent="0.3">
      <c r="A12" t="s">
        <v>272</v>
      </c>
      <c r="AY12" t="s">
        <v>1041</v>
      </c>
      <c r="BB12" t="s">
        <v>1042</v>
      </c>
      <c r="BD12" t="s">
        <v>1043</v>
      </c>
      <c r="BF12" s="9" t="s">
        <v>1044</v>
      </c>
    </row>
    <row r="13" spans="1:58" x14ac:dyDescent="0.3">
      <c r="AY13" t="s">
        <v>1083</v>
      </c>
    </row>
    <row r="14" spans="1:58" x14ac:dyDescent="0.3">
      <c r="A14" t="s">
        <v>256</v>
      </c>
    </row>
    <row r="16" spans="1:58" x14ac:dyDescent="0.3">
      <c r="A16" t="s">
        <v>263</v>
      </c>
    </row>
    <row r="18" spans="1:58" x14ac:dyDescent="0.3">
      <c r="A18" t="s">
        <v>1005</v>
      </c>
      <c r="G18">
        <f>180000/157</f>
        <v>1146.4968152866243</v>
      </c>
    </row>
    <row r="19" spans="1:58" x14ac:dyDescent="0.3">
      <c r="AP19" t="s">
        <v>1084</v>
      </c>
    </row>
    <row r="20" spans="1:58" x14ac:dyDescent="0.3">
      <c r="AP20" t="s">
        <v>1085</v>
      </c>
    </row>
    <row r="21" spans="1:58" x14ac:dyDescent="0.3">
      <c r="AP21" t="s">
        <v>1086</v>
      </c>
      <c r="AU21" t="s">
        <v>1087</v>
      </c>
    </row>
    <row r="22" spans="1:58" x14ac:dyDescent="0.3">
      <c r="B22" t="s">
        <v>1065</v>
      </c>
    </row>
    <row r="23" spans="1:58" x14ac:dyDescent="0.3">
      <c r="AP23" t="s">
        <v>1088</v>
      </c>
    </row>
    <row r="24" spans="1:58" s="4" customFormat="1" ht="15" customHeight="1" x14ac:dyDescent="0.3">
      <c r="U24" s="11"/>
      <c r="AN24" s="11"/>
      <c r="BF24" s="11"/>
    </row>
    <row r="25" spans="1:58" x14ac:dyDescent="0.3">
      <c r="B25" t="s">
        <v>1066</v>
      </c>
      <c r="C25" t="s">
        <v>1067</v>
      </c>
      <c r="D25" t="s">
        <v>1068</v>
      </c>
      <c r="E25" t="s">
        <v>1069</v>
      </c>
      <c r="F25" t="s">
        <v>1073</v>
      </c>
      <c r="G25" t="s">
        <v>1070</v>
      </c>
      <c r="H25" t="s">
        <v>1071</v>
      </c>
      <c r="I25" t="s">
        <v>1072</v>
      </c>
      <c r="J25" t="s">
        <v>1072</v>
      </c>
    </row>
    <row r="27" spans="1:58" s="4" customFormat="1" x14ac:dyDescent="0.3">
      <c r="U27" s="11"/>
      <c r="AN27" s="11"/>
      <c r="BF27" s="11"/>
    </row>
    <row r="28" spans="1:58" x14ac:dyDescent="0.3">
      <c r="B28" t="s">
        <v>1074</v>
      </c>
      <c r="C28" t="s">
        <v>1075</v>
      </c>
    </row>
    <row r="29" spans="1:58" x14ac:dyDescent="0.3">
      <c r="B29" t="s">
        <v>1076</v>
      </c>
    </row>
    <row r="30" spans="1:58" x14ac:dyDescent="0.3">
      <c r="AP30" t="s">
        <v>1091</v>
      </c>
    </row>
    <row r="31" spans="1:58" x14ac:dyDescent="0.3">
      <c r="B31" t="s">
        <v>1081</v>
      </c>
    </row>
    <row r="32" spans="1:58" x14ac:dyDescent="0.3">
      <c r="AP32" t="s">
        <v>1089</v>
      </c>
    </row>
    <row r="33" spans="2:58" x14ac:dyDescent="0.3">
      <c r="B33" t="s">
        <v>1080</v>
      </c>
      <c r="E33" t="s">
        <v>1078</v>
      </c>
      <c r="G33" t="s">
        <v>1079</v>
      </c>
    </row>
    <row r="34" spans="2:58" x14ac:dyDescent="0.3">
      <c r="AP34" t="s">
        <v>1090</v>
      </c>
    </row>
    <row r="35" spans="2:58" x14ac:dyDescent="0.3">
      <c r="B35" t="s">
        <v>1077</v>
      </c>
    </row>
    <row r="36" spans="2:58" x14ac:dyDescent="0.3">
      <c r="AP36" t="s">
        <v>1092</v>
      </c>
    </row>
    <row r="37" spans="2:58" s="4" customFormat="1" x14ac:dyDescent="0.3">
      <c r="U37" s="11"/>
      <c r="AN37" s="11"/>
      <c r="BF37" s="11"/>
    </row>
    <row r="38" spans="2:58" x14ac:dyDescent="0.3">
      <c r="AP38" t="s">
        <v>1097</v>
      </c>
      <c r="AV38" t="s">
        <v>1098</v>
      </c>
    </row>
    <row r="39" spans="2:58" x14ac:dyDescent="0.3">
      <c r="B39" t="s">
        <v>1099</v>
      </c>
      <c r="D39" t="s">
        <v>1100</v>
      </c>
      <c r="AP39" t="s">
        <v>1096</v>
      </c>
    </row>
    <row r="40" spans="2:58" x14ac:dyDescent="0.3">
      <c r="AP40" t="s">
        <v>1093</v>
      </c>
    </row>
    <row r="41" spans="2:58" x14ac:dyDescent="0.3">
      <c r="AP41" t="s">
        <v>580</v>
      </c>
    </row>
    <row r="42" spans="2:58" x14ac:dyDescent="0.3">
      <c r="AP42" t="s">
        <v>263</v>
      </c>
    </row>
    <row r="43" spans="2:58" x14ac:dyDescent="0.3">
      <c r="AP43" t="s">
        <v>1094</v>
      </c>
    </row>
    <row r="44" spans="2:58" x14ac:dyDescent="0.3">
      <c r="AP44" t="s">
        <v>456</v>
      </c>
    </row>
    <row r="45" spans="2:58" x14ac:dyDescent="0.3">
      <c r="D45">
        <v>326</v>
      </c>
      <c r="AP45" t="s">
        <v>1095</v>
      </c>
    </row>
    <row r="46" spans="2:58" x14ac:dyDescent="0.3">
      <c r="D46">
        <v>368</v>
      </c>
    </row>
    <row r="48" spans="2:58" x14ac:dyDescent="0.3">
      <c r="D48">
        <v>193</v>
      </c>
    </row>
  </sheetData>
  <hyperlinks>
    <hyperlink ref="F10" r:id="rId1"/>
    <hyperlink ref="F11" r:id="rId2" location="/site/TCOExternal/home" display="https://analytics.tui/ - /site/TCOExternal/home"/>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J23"/>
  <sheetViews>
    <sheetView workbookViewId="0">
      <selection activeCell="J19" sqref="J19"/>
    </sheetView>
  </sheetViews>
  <sheetFormatPr defaultRowHeight="14.4" x14ac:dyDescent="0.3"/>
  <sheetData>
    <row r="1" spans="1:10" x14ac:dyDescent="0.3">
      <c r="A1" t="s">
        <v>1101</v>
      </c>
    </row>
    <row r="2" spans="1:10" x14ac:dyDescent="0.3">
      <c r="A2" t="s">
        <v>1102</v>
      </c>
      <c r="J2" t="s">
        <v>678</v>
      </c>
    </row>
    <row r="3" spans="1:10" x14ac:dyDescent="0.3">
      <c r="A3" t="s">
        <v>1103</v>
      </c>
    </row>
    <row r="4" spans="1:10" x14ac:dyDescent="0.3">
      <c r="J4" t="s">
        <v>1104</v>
      </c>
    </row>
    <row r="5" spans="1:10" x14ac:dyDescent="0.3">
      <c r="J5" t="s">
        <v>908</v>
      </c>
    </row>
    <row r="7" spans="1:10" x14ac:dyDescent="0.3">
      <c r="A7" t="s">
        <v>1105</v>
      </c>
      <c r="J7" t="s">
        <v>1106</v>
      </c>
    </row>
    <row r="9" spans="1:10" x14ac:dyDescent="0.3">
      <c r="A9" t="s">
        <v>1107</v>
      </c>
      <c r="J9" t="s">
        <v>1108</v>
      </c>
    </row>
    <row r="10" spans="1:10" x14ac:dyDescent="0.3">
      <c r="J10" t="s">
        <v>1109</v>
      </c>
    </row>
    <row r="13" spans="1:10" x14ac:dyDescent="0.3">
      <c r="J13" t="s">
        <v>1114</v>
      </c>
    </row>
    <row r="15" spans="1:10" x14ac:dyDescent="0.3">
      <c r="A15" t="s">
        <v>1110</v>
      </c>
    </row>
    <row r="17" spans="1:1" x14ac:dyDescent="0.3">
      <c r="A17" t="s">
        <v>1111</v>
      </c>
    </row>
    <row r="21" spans="1:1" x14ac:dyDescent="0.3">
      <c r="A21" t="s">
        <v>1112</v>
      </c>
    </row>
    <row r="23" spans="1:1" x14ac:dyDescent="0.3">
      <c r="A23" t="s">
        <v>1113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2:Q44"/>
  <sheetViews>
    <sheetView workbookViewId="0">
      <selection activeCell="L18" sqref="L18"/>
    </sheetView>
  </sheetViews>
  <sheetFormatPr defaultRowHeight="14.4" x14ac:dyDescent="0.3"/>
  <cols>
    <col min="1" max="1" width="7.88671875" customWidth="1"/>
  </cols>
  <sheetData>
    <row r="2" spans="1:17" ht="15" x14ac:dyDescent="0.3">
      <c r="I2" s="35"/>
    </row>
    <row r="3" spans="1:17" x14ac:dyDescent="0.3">
      <c r="A3" t="s">
        <v>284</v>
      </c>
      <c r="F3" t="s">
        <v>418</v>
      </c>
      <c r="Q3" t="s">
        <v>431</v>
      </c>
    </row>
    <row r="5" spans="1:17" x14ac:dyDescent="0.3">
      <c r="A5" t="s">
        <v>343</v>
      </c>
      <c r="C5" t="s">
        <v>419</v>
      </c>
      <c r="F5" t="s">
        <v>420</v>
      </c>
    </row>
    <row r="7" spans="1:17" x14ac:dyDescent="0.3">
      <c r="A7" t="s">
        <v>342</v>
      </c>
      <c r="C7" t="s">
        <v>421</v>
      </c>
      <c r="E7" t="s">
        <v>432</v>
      </c>
      <c r="H7" t="s">
        <v>433</v>
      </c>
      <c r="K7" t="s">
        <v>434</v>
      </c>
      <c r="M7" t="s">
        <v>439</v>
      </c>
      <c r="P7" t="s">
        <v>441</v>
      </c>
    </row>
    <row r="9" spans="1:17" x14ac:dyDescent="0.3">
      <c r="A9" t="s">
        <v>435</v>
      </c>
      <c r="C9" t="s">
        <v>436</v>
      </c>
      <c r="D9" t="s">
        <v>422</v>
      </c>
      <c r="F9" t="s">
        <v>423</v>
      </c>
      <c r="I9" t="s">
        <v>424</v>
      </c>
      <c r="K9" t="s">
        <v>437</v>
      </c>
      <c r="M9" t="s">
        <v>438</v>
      </c>
      <c r="O9" t="s">
        <v>440</v>
      </c>
    </row>
    <row r="11" spans="1:17" x14ac:dyDescent="0.3">
      <c r="A11" t="s">
        <v>309</v>
      </c>
      <c r="D11" t="s">
        <v>427</v>
      </c>
      <c r="G11" t="s">
        <v>428</v>
      </c>
    </row>
    <row r="13" spans="1:17" x14ac:dyDescent="0.3">
      <c r="A13" t="s">
        <v>344</v>
      </c>
      <c r="D13" t="s">
        <v>425</v>
      </c>
    </row>
    <row r="15" spans="1:17" x14ac:dyDescent="0.3">
      <c r="A15" t="s">
        <v>403</v>
      </c>
      <c r="F15" t="s">
        <v>426</v>
      </c>
    </row>
    <row r="17" spans="1:17" x14ac:dyDescent="0.3">
      <c r="A17" t="s">
        <v>429</v>
      </c>
      <c r="P17" t="s">
        <v>1130</v>
      </c>
    </row>
    <row r="18" spans="1:17" x14ac:dyDescent="0.3">
      <c r="P18" t="s">
        <v>1132</v>
      </c>
    </row>
    <row r="19" spans="1:17" x14ac:dyDescent="0.3">
      <c r="A19" t="s">
        <v>430</v>
      </c>
    </row>
    <row r="20" spans="1:17" x14ac:dyDescent="0.3">
      <c r="P20" t="s">
        <v>1131</v>
      </c>
    </row>
    <row r="21" spans="1:17" x14ac:dyDescent="0.3">
      <c r="P21" t="s">
        <v>1133</v>
      </c>
    </row>
    <row r="22" spans="1:17" x14ac:dyDescent="0.3">
      <c r="D22" t="s">
        <v>443</v>
      </c>
      <c r="Q22" t="s">
        <v>1134</v>
      </c>
    </row>
    <row r="23" spans="1:17" x14ac:dyDescent="0.3">
      <c r="C23" s="36"/>
      <c r="D23" t="s">
        <v>444</v>
      </c>
      <c r="F23" t="s">
        <v>445</v>
      </c>
      <c r="H23" t="s">
        <v>446</v>
      </c>
      <c r="J23" t="s">
        <v>447</v>
      </c>
      <c r="L23" t="s">
        <v>448</v>
      </c>
    </row>
    <row r="26" spans="1:17" x14ac:dyDescent="0.3">
      <c r="C26" s="34"/>
    </row>
    <row r="34" spans="1:5" x14ac:dyDescent="0.3">
      <c r="A34" t="s">
        <v>404</v>
      </c>
    </row>
    <row r="36" spans="1:5" x14ac:dyDescent="0.3">
      <c r="A36" t="s">
        <v>405</v>
      </c>
      <c r="E36" t="s">
        <v>406</v>
      </c>
    </row>
    <row r="38" spans="1:5" x14ac:dyDescent="0.3">
      <c r="A38" t="s">
        <v>407</v>
      </c>
    </row>
    <row r="40" spans="1:5" x14ac:dyDescent="0.3">
      <c r="A40" t="s">
        <v>408</v>
      </c>
    </row>
    <row r="42" spans="1:5" x14ac:dyDescent="0.3">
      <c r="A42" t="s">
        <v>409</v>
      </c>
      <c r="E42" t="s">
        <v>410</v>
      </c>
    </row>
    <row r="44" spans="1:5" x14ac:dyDescent="0.3">
      <c r="A44" t="s">
        <v>414</v>
      </c>
    </row>
  </sheetData>
  <hyperlinks>
    <hyperlink ref="I5" r:id="rId1" display="https://sitel-my.sharepoint.com/:w:/p/martin_ferguson/EegcsccwnrRFpTaz05q0BKEBAmqDQWeqfJ46js_6WohPoQ"/>
    <hyperlink ref="C28" r:id="rId2" display="http://itsmc.nac.sitel-world.net/SMC/SupportRequest/UpdateTicket.aspx?TicketId=734388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U57"/>
  <sheetViews>
    <sheetView workbookViewId="0">
      <selection activeCell="O19" sqref="O19"/>
    </sheetView>
  </sheetViews>
  <sheetFormatPr defaultRowHeight="14.4" x14ac:dyDescent="0.3"/>
  <cols>
    <col min="1" max="1" width="7.88671875" customWidth="1"/>
    <col min="2" max="2" width="10.5546875" bestFit="1" customWidth="1"/>
  </cols>
  <sheetData>
    <row r="1" spans="1:21" x14ac:dyDescent="0.3">
      <c r="A1" t="s">
        <v>816</v>
      </c>
      <c r="K1" t="s">
        <v>817</v>
      </c>
    </row>
    <row r="2" spans="1:21" x14ac:dyDescent="0.3">
      <c r="C2" t="s">
        <v>834</v>
      </c>
      <c r="Q2" t="s">
        <v>835</v>
      </c>
    </row>
    <row r="4" spans="1:21" ht="15" x14ac:dyDescent="0.3">
      <c r="A4" t="s">
        <v>812</v>
      </c>
      <c r="D4" t="s">
        <v>828</v>
      </c>
      <c r="G4" t="s">
        <v>829</v>
      </c>
      <c r="I4" s="35"/>
      <c r="J4" t="s">
        <v>836</v>
      </c>
      <c r="Q4" t="s">
        <v>837</v>
      </c>
      <c r="R4" t="s">
        <v>838</v>
      </c>
    </row>
    <row r="5" spans="1:21" ht="15" x14ac:dyDescent="0.3">
      <c r="I5" s="35"/>
    </row>
    <row r="6" spans="1:21" x14ac:dyDescent="0.3">
      <c r="A6" t="s">
        <v>813</v>
      </c>
      <c r="L6" t="s">
        <v>814</v>
      </c>
    </row>
    <row r="8" spans="1:21" x14ac:dyDescent="0.3">
      <c r="A8" t="s">
        <v>815</v>
      </c>
      <c r="G8" t="s">
        <v>818</v>
      </c>
    </row>
    <row r="9" spans="1:21" x14ac:dyDescent="0.3">
      <c r="U9" s="54" t="s">
        <v>938</v>
      </c>
    </row>
    <row r="10" spans="1:21" x14ac:dyDescent="0.3">
      <c r="A10" t="s">
        <v>819</v>
      </c>
      <c r="C10" t="s">
        <v>820</v>
      </c>
    </row>
    <row r="12" spans="1:21" x14ac:dyDescent="0.3">
      <c r="A12" t="s">
        <v>821</v>
      </c>
      <c r="F12" t="s">
        <v>822</v>
      </c>
      <c r="I12" t="s">
        <v>843</v>
      </c>
    </row>
    <row r="14" spans="1:21" ht="15" x14ac:dyDescent="0.3">
      <c r="A14" t="s">
        <v>823</v>
      </c>
      <c r="C14" t="s">
        <v>824</v>
      </c>
      <c r="E14" t="s">
        <v>825</v>
      </c>
      <c r="I14" t="s">
        <v>830</v>
      </c>
      <c r="K14" t="s">
        <v>173</v>
      </c>
      <c r="M14" s="35" t="s">
        <v>832</v>
      </c>
      <c r="R14" t="s">
        <v>839</v>
      </c>
    </row>
    <row r="16" spans="1:21" x14ac:dyDescent="0.3">
      <c r="A16" t="s">
        <v>826</v>
      </c>
      <c r="C16" t="s">
        <v>827</v>
      </c>
    </row>
    <row r="20" spans="1:14" x14ac:dyDescent="0.3">
      <c r="A20" t="s">
        <v>842</v>
      </c>
      <c r="J20" t="s">
        <v>840</v>
      </c>
      <c r="M20" t="s">
        <v>841</v>
      </c>
    </row>
    <row r="21" spans="1:14" s="4" customFormat="1" ht="15" x14ac:dyDescent="0.3">
      <c r="N21" s="55"/>
    </row>
    <row r="22" spans="1:14" ht="15" x14ac:dyDescent="0.3">
      <c r="B22" t="s">
        <v>464</v>
      </c>
      <c r="C22" t="s">
        <v>876</v>
      </c>
      <c r="N22" s="35"/>
    </row>
    <row r="23" spans="1:14" x14ac:dyDescent="0.3">
      <c r="B23" t="s">
        <v>32</v>
      </c>
      <c r="C23" t="s">
        <v>877</v>
      </c>
      <c r="E23" t="s">
        <v>878</v>
      </c>
      <c r="G23" t="s">
        <v>879</v>
      </c>
    </row>
    <row r="24" spans="1:14" x14ac:dyDescent="0.3">
      <c r="B24" t="s">
        <v>880</v>
      </c>
      <c r="D24" t="s">
        <v>881</v>
      </c>
    </row>
    <row r="26" spans="1:14" x14ac:dyDescent="0.3">
      <c r="J26" t="s">
        <v>904</v>
      </c>
    </row>
    <row r="28" spans="1:14" x14ac:dyDescent="0.3">
      <c r="B28" t="s">
        <v>29</v>
      </c>
    </row>
    <row r="29" spans="1:14" x14ac:dyDescent="0.3">
      <c r="B29" s="37" t="s">
        <v>895</v>
      </c>
    </row>
    <row r="30" spans="1:14" x14ac:dyDescent="0.3">
      <c r="B30" t="s">
        <v>896</v>
      </c>
    </row>
    <row r="35" spans="2:4" x14ac:dyDescent="0.3">
      <c r="B35" t="s">
        <v>898</v>
      </c>
    </row>
    <row r="36" spans="2:4" x14ac:dyDescent="0.3">
      <c r="B36" t="s">
        <v>899</v>
      </c>
    </row>
    <row r="37" spans="2:4" x14ac:dyDescent="0.3">
      <c r="B37" t="s">
        <v>900</v>
      </c>
    </row>
    <row r="38" spans="2:4" x14ac:dyDescent="0.3">
      <c r="B38" t="s">
        <v>897</v>
      </c>
    </row>
    <row r="39" spans="2:4" x14ac:dyDescent="0.3">
      <c r="B39" t="s">
        <v>901</v>
      </c>
    </row>
    <row r="40" spans="2:4" x14ac:dyDescent="0.3">
      <c r="B40" t="s">
        <v>902</v>
      </c>
    </row>
    <row r="43" spans="2:4" x14ac:dyDescent="0.3">
      <c r="B43" t="s">
        <v>903</v>
      </c>
    </row>
    <row r="46" spans="2:4" x14ac:dyDescent="0.3">
      <c r="B46" t="s">
        <v>906</v>
      </c>
      <c r="D46" t="s">
        <v>907</v>
      </c>
    </row>
    <row r="48" spans="2:4" x14ac:dyDescent="0.3">
      <c r="B48" t="s">
        <v>905</v>
      </c>
    </row>
    <row r="50" spans="2:3" s="4" customFormat="1" x14ac:dyDescent="0.3"/>
    <row r="52" spans="2:3" x14ac:dyDescent="0.3">
      <c r="B52" t="s">
        <v>988</v>
      </c>
    </row>
    <row r="54" spans="2:3" x14ac:dyDescent="0.3">
      <c r="B54" t="s">
        <v>989</v>
      </c>
    </row>
    <row r="57" spans="2:3" x14ac:dyDescent="0.3">
      <c r="B57" t="s">
        <v>990</v>
      </c>
      <c r="C57" t="s">
        <v>991</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B2:E13"/>
  <sheetViews>
    <sheetView workbookViewId="0">
      <selection activeCell="B4" sqref="B4"/>
    </sheetView>
  </sheetViews>
  <sheetFormatPr defaultRowHeight="14.4" x14ac:dyDescent="0.3"/>
  <sheetData>
    <row r="2" spans="2:5" x14ac:dyDescent="0.3">
      <c r="B2" t="s">
        <v>882</v>
      </c>
    </row>
    <row r="3" spans="2:5" x14ac:dyDescent="0.3">
      <c r="B3" t="s">
        <v>883</v>
      </c>
    </row>
    <row r="4" spans="2:5" x14ac:dyDescent="0.3">
      <c r="B4" t="s">
        <v>884</v>
      </c>
      <c r="E4" t="s">
        <v>885</v>
      </c>
    </row>
    <row r="10" spans="2:5" x14ac:dyDescent="0.3">
      <c r="B10" t="s">
        <v>886</v>
      </c>
    </row>
    <row r="11" spans="2:5" x14ac:dyDescent="0.3">
      <c r="B11" t="s">
        <v>887</v>
      </c>
    </row>
    <row r="13" spans="2:5" x14ac:dyDescent="0.3">
      <c r="B13" t="s">
        <v>888</v>
      </c>
      <c r="E13" t="s">
        <v>889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2:O31"/>
  <sheetViews>
    <sheetView workbookViewId="0">
      <selection sqref="A1:J10"/>
    </sheetView>
  </sheetViews>
  <sheetFormatPr defaultRowHeight="14.4" x14ac:dyDescent="0.3"/>
  <cols>
    <col min="1" max="1" width="15.88671875" bestFit="1" customWidth="1"/>
    <col min="4" max="4" width="12" bestFit="1" customWidth="1"/>
    <col min="5" max="5" width="9.33203125" customWidth="1"/>
    <col min="6" max="6" width="17.44140625" bestFit="1" customWidth="1"/>
    <col min="7" max="7" width="17.21875" customWidth="1"/>
    <col min="8" max="8" width="14.33203125" bestFit="1" customWidth="1"/>
  </cols>
  <sheetData>
    <row r="2" spans="1:10" x14ac:dyDescent="0.3">
      <c r="A2" s="60" t="s">
        <v>301</v>
      </c>
      <c r="B2" s="61" t="s">
        <v>803</v>
      </c>
      <c r="C2" s="61" t="s">
        <v>804</v>
      </c>
      <c r="D2" s="61" t="s">
        <v>1161</v>
      </c>
      <c r="E2" s="61" t="s">
        <v>805</v>
      </c>
      <c r="F2" s="72" t="s">
        <v>1162</v>
      </c>
      <c r="G2" s="61" t="s">
        <v>807</v>
      </c>
      <c r="H2" s="61" t="s">
        <v>810</v>
      </c>
      <c r="I2" s="69"/>
      <c r="J2" s="62">
        <f>0.36-SUM(E3:E8)</f>
        <v>0.06</v>
      </c>
    </row>
    <row r="3" spans="1:10" x14ac:dyDescent="0.3">
      <c r="A3" s="63" t="s">
        <v>796</v>
      </c>
      <c r="B3" s="64">
        <v>1349054</v>
      </c>
      <c r="C3" s="64">
        <v>2500</v>
      </c>
      <c r="D3" s="64">
        <v>150</v>
      </c>
      <c r="E3" s="65">
        <v>0.06</v>
      </c>
      <c r="F3" s="64"/>
      <c r="G3" s="64">
        <f t="shared" ref="G3:G8" si="0">C3+E3*C3</f>
        <v>2650</v>
      </c>
      <c r="H3" s="64">
        <v>2300</v>
      </c>
      <c r="I3" s="70"/>
    </row>
    <row r="4" spans="1:10" x14ac:dyDescent="0.3">
      <c r="A4" s="66" t="s">
        <v>838</v>
      </c>
      <c r="B4" s="67">
        <v>1242711</v>
      </c>
      <c r="C4" s="67">
        <v>4000</v>
      </c>
      <c r="D4" s="67">
        <v>240</v>
      </c>
      <c r="E4" s="68">
        <v>0.06</v>
      </c>
      <c r="F4" s="67"/>
      <c r="G4" s="67">
        <f t="shared" si="0"/>
        <v>4240</v>
      </c>
      <c r="H4" s="67">
        <v>3250</v>
      </c>
      <c r="I4" s="70"/>
    </row>
    <row r="5" spans="1:10" x14ac:dyDescent="0.3">
      <c r="A5" s="63" t="s">
        <v>799</v>
      </c>
      <c r="B5" s="64">
        <v>1245575</v>
      </c>
      <c r="C5" s="64">
        <v>2800</v>
      </c>
      <c r="D5" s="64">
        <v>168</v>
      </c>
      <c r="E5" s="65">
        <v>0.06</v>
      </c>
      <c r="F5" s="64"/>
      <c r="G5" s="64">
        <f t="shared" si="0"/>
        <v>2968</v>
      </c>
      <c r="H5" s="64">
        <v>2700</v>
      </c>
      <c r="I5" s="70"/>
    </row>
    <row r="6" spans="1:10" x14ac:dyDescent="0.3">
      <c r="A6" s="66" t="s">
        <v>800</v>
      </c>
      <c r="B6" s="67">
        <v>1035151</v>
      </c>
      <c r="C6" s="67">
        <v>3750</v>
      </c>
      <c r="D6" s="67">
        <v>225</v>
      </c>
      <c r="E6" s="68">
        <v>0.06</v>
      </c>
      <c r="F6" s="67"/>
      <c r="G6" s="67">
        <f t="shared" si="0"/>
        <v>3975</v>
      </c>
      <c r="H6" s="67">
        <v>3700</v>
      </c>
      <c r="I6" s="70"/>
    </row>
    <row r="7" spans="1:10" x14ac:dyDescent="0.3">
      <c r="A7" s="63" t="s">
        <v>802</v>
      </c>
      <c r="B7" s="64">
        <v>1398636</v>
      </c>
      <c r="C7" s="64">
        <v>3600</v>
      </c>
      <c r="D7" s="64">
        <v>216</v>
      </c>
      <c r="E7" s="65">
        <v>0</v>
      </c>
      <c r="F7" s="64"/>
      <c r="G7" s="64">
        <f t="shared" si="0"/>
        <v>3600</v>
      </c>
      <c r="H7" s="64">
        <v>3400</v>
      </c>
      <c r="I7" s="70"/>
    </row>
    <row r="8" spans="1:10" x14ac:dyDescent="0.3">
      <c r="A8" s="56" t="s">
        <v>602</v>
      </c>
      <c r="B8" s="57">
        <v>1564139</v>
      </c>
      <c r="C8" s="57">
        <v>4000</v>
      </c>
      <c r="D8" s="57">
        <v>240</v>
      </c>
      <c r="E8" s="58">
        <v>0.06</v>
      </c>
      <c r="F8" s="57"/>
      <c r="G8" s="57">
        <f t="shared" si="0"/>
        <v>4240</v>
      </c>
      <c r="H8" s="57">
        <v>3750</v>
      </c>
      <c r="I8" s="70"/>
      <c r="J8" s="59"/>
    </row>
    <row r="9" spans="1:10" x14ac:dyDescent="0.3">
      <c r="I9" s="71"/>
    </row>
    <row r="18" spans="1:15" x14ac:dyDescent="0.3">
      <c r="A18" t="s">
        <v>301</v>
      </c>
      <c r="B18" t="s">
        <v>803</v>
      </c>
      <c r="C18" t="s">
        <v>804</v>
      </c>
      <c r="D18" t="s">
        <v>805</v>
      </c>
      <c r="E18" t="s">
        <v>806</v>
      </c>
      <c r="F18" t="s">
        <v>807</v>
      </c>
      <c r="G18" t="s">
        <v>810</v>
      </c>
    </row>
    <row r="19" spans="1:15" x14ac:dyDescent="0.3">
      <c r="A19" t="s">
        <v>796</v>
      </c>
      <c r="B19">
        <v>1349054</v>
      </c>
      <c r="C19">
        <v>2200</v>
      </c>
      <c r="D19" s="53">
        <v>0.05</v>
      </c>
      <c r="E19">
        <f>D19*C19</f>
        <v>110</v>
      </c>
      <c r="F19">
        <f>C19+D19*C19</f>
        <v>2310</v>
      </c>
      <c r="G19">
        <v>2300</v>
      </c>
    </row>
    <row r="20" spans="1:15" x14ac:dyDescent="0.3">
      <c r="A20" t="s">
        <v>797</v>
      </c>
      <c r="B20">
        <v>1242711</v>
      </c>
      <c r="C20">
        <v>3000</v>
      </c>
      <c r="D20" s="53">
        <v>0.08</v>
      </c>
      <c r="E20">
        <f t="shared" ref="E20:E26" si="1">D20*C20</f>
        <v>240</v>
      </c>
      <c r="F20">
        <f t="shared" ref="F20:F26" si="2">C20+D20*C20</f>
        <v>3240</v>
      </c>
      <c r="G20">
        <v>3250</v>
      </c>
    </row>
    <row r="21" spans="1:15" x14ac:dyDescent="0.3">
      <c r="A21" t="s">
        <v>798</v>
      </c>
      <c r="B21">
        <v>1239985</v>
      </c>
      <c r="C21">
        <v>3000</v>
      </c>
      <c r="D21" s="53">
        <v>0.05</v>
      </c>
      <c r="E21">
        <f t="shared" si="1"/>
        <v>150</v>
      </c>
      <c r="F21">
        <f t="shared" si="2"/>
        <v>3150</v>
      </c>
      <c r="G21">
        <v>3500</v>
      </c>
      <c r="H21" t="s">
        <v>999</v>
      </c>
      <c r="J21" t="s">
        <v>1000</v>
      </c>
    </row>
    <row r="22" spans="1:15" x14ac:dyDescent="0.3">
      <c r="A22" t="s">
        <v>799</v>
      </c>
      <c r="B22">
        <v>1245575</v>
      </c>
      <c r="C22">
        <v>2600</v>
      </c>
      <c r="D22" s="53">
        <v>0.04</v>
      </c>
      <c r="E22">
        <f t="shared" si="1"/>
        <v>104</v>
      </c>
      <c r="F22">
        <f t="shared" si="2"/>
        <v>2704</v>
      </c>
      <c r="G22">
        <v>2700</v>
      </c>
      <c r="M22" t="s">
        <v>996</v>
      </c>
    </row>
    <row r="23" spans="1:15" x14ac:dyDescent="0.3">
      <c r="A23" t="s">
        <v>800</v>
      </c>
      <c r="B23">
        <v>1035151</v>
      </c>
      <c r="C23">
        <v>3500</v>
      </c>
      <c r="D23" s="53">
        <v>0.06</v>
      </c>
      <c r="E23">
        <f t="shared" si="1"/>
        <v>210</v>
      </c>
      <c r="F23">
        <f t="shared" si="2"/>
        <v>3710</v>
      </c>
      <c r="G23">
        <v>3700</v>
      </c>
      <c r="M23" t="s">
        <v>997</v>
      </c>
    </row>
    <row r="24" spans="1:15" x14ac:dyDescent="0.3">
      <c r="A24" t="s">
        <v>801</v>
      </c>
      <c r="B24">
        <v>1066835</v>
      </c>
      <c r="C24">
        <v>4200</v>
      </c>
      <c r="D24" s="53">
        <v>0</v>
      </c>
      <c r="E24">
        <f t="shared" si="1"/>
        <v>0</v>
      </c>
      <c r="F24">
        <v>4400</v>
      </c>
      <c r="G24">
        <v>4400</v>
      </c>
    </row>
    <row r="25" spans="1:15" x14ac:dyDescent="0.3">
      <c r="A25" t="s">
        <v>802</v>
      </c>
      <c r="B25">
        <v>1398636</v>
      </c>
      <c r="C25">
        <v>3200</v>
      </c>
      <c r="D25" s="53">
        <v>7.0000000000000007E-2</v>
      </c>
      <c r="E25">
        <f t="shared" si="1"/>
        <v>224.00000000000003</v>
      </c>
      <c r="F25">
        <f t="shared" si="2"/>
        <v>3424</v>
      </c>
      <c r="G25">
        <v>3400</v>
      </c>
      <c r="M25" t="s">
        <v>582</v>
      </c>
      <c r="N25">
        <v>6.02</v>
      </c>
      <c r="O25" t="s">
        <v>261</v>
      </c>
    </row>
    <row r="26" spans="1:15" x14ac:dyDescent="0.3">
      <c r="A26" t="s">
        <v>602</v>
      </c>
      <c r="B26">
        <v>1564139</v>
      </c>
      <c r="C26">
        <v>3750</v>
      </c>
      <c r="D26" s="53">
        <v>0</v>
      </c>
      <c r="E26">
        <f t="shared" si="1"/>
        <v>0</v>
      </c>
      <c r="F26">
        <f t="shared" si="2"/>
        <v>3750</v>
      </c>
      <c r="G26">
        <v>3750</v>
      </c>
    </row>
    <row r="27" spans="1:15" x14ac:dyDescent="0.3">
      <c r="M27" s="44">
        <v>45017</v>
      </c>
      <c r="N27" t="s">
        <v>998</v>
      </c>
    </row>
    <row r="29" spans="1:15" x14ac:dyDescent="0.3">
      <c r="B29" t="s">
        <v>808</v>
      </c>
    </row>
    <row r="30" spans="1:15" x14ac:dyDescent="0.3">
      <c r="B30" t="s">
        <v>809</v>
      </c>
    </row>
    <row r="31" spans="1:15" x14ac:dyDescent="0.3">
      <c r="B31" t="s">
        <v>811</v>
      </c>
    </row>
  </sheetData>
  <pageMargins left="0.7" right="0.7" top="0.75" bottom="0.75" header="0.3" footer="0.3"/>
  <pageSetup paperSize="9" orientation="portrait" r:id="rId1"/>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N35"/>
  <sheetViews>
    <sheetView tabSelected="1" topLeftCell="A16" workbookViewId="0">
      <selection activeCell="D16" sqref="D16"/>
    </sheetView>
  </sheetViews>
  <sheetFormatPr defaultRowHeight="14.4" x14ac:dyDescent="0.3"/>
  <cols>
    <col min="1" max="1" width="14.44140625" bestFit="1" customWidth="1"/>
    <col min="2" max="2" width="14.88671875" customWidth="1"/>
    <col min="4" max="4" width="15.88671875" customWidth="1"/>
    <col min="5" max="5" width="9.33203125" customWidth="1"/>
    <col min="6" max="6" width="17" style="77" bestFit="1" customWidth="1"/>
    <col min="7" max="7" width="15.88671875" style="77" bestFit="1" customWidth="1"/>
    <col min="8" max="8" width="19.6640625" bestFit="1" customWidth="1"/>
    <col min="9" max="9" width="12.21875" style="82" customWidth="1"/>
    <col min="10" max="10" width="12.21875" style="78" customWidth="1"/>
    <col min="11" max="11" width="21.5546875" bestFit="1" customWidth="1"/>
    <col min="13" max="13" width="16.44140625" bestFit="1" customWidth="1"/>
    <col min="14" max="14" width="26.77734375" bestFit="1" customWidth="1"/>
  </cols>
  <sheetData>
    <row r="1" spans="1:14" x14ac:dyDescent="0.3">
      <c r="A1" s="44">
        <v>45566</v>
      </c>
    </row>
    <row r="2" spans="1:14" x14ac:dyDescent="0.3">
      <c r="A2" s="61" t="s">
        <v>301</v>
      </c>
      <c r="B2" s="61" t="s">
        <v>803</v>
      </c>
      <c r="C2" s="61" t="s">
        <v>804</v>
      </c>
      <c r="D2" s="61" t="s">
        <v>1161</v>
      </c>
      <c r="E2" s="61" t="s">
        <v>805</v>
      </c>
      <c r="F2" s="73" t="s">
        <v>1163</v>
      </c>
      <c r="G2" s="73" t="s">
        <v>1164</v>
      </c>
      <c r="H2" s="72" t="s">
        <v>1162</v>
      </c>
      <c r="I2" s="84" t="s">
        <v>807</v>
      </c>
      <c r="J2" s="85" t="s">
        <v>1165</v>
      </c>
      <c r="K2" s="81" t="s">
        <v>1167</v>
      </c>
      <c r="L2" s="69"/>
      <c r="M2" s="70" t="s">
        <v>1166</v>
      </c>
      <c r="N2" s="83">
        <f>SUM(J3:J8)-0.36</f>
        <v>-1.1124794745484001E-3</v>
      </c>
    </row>
    <row r="3" spans="1:14" x14ac:dyDescent="0.3">
      <c r="A3" s="64" t="s">
        <v>796</v>
      </c>
      <c r="B3" s="64">
        <v>1349054</v>
      </c>
      <c r="C3" s="64">
        <v>2500</v>
      </c>
      <c r="D3" s="64">
        <f>0.06*Table9[[#This Row],[Salary]]</f>
        <v>150</v>
      </c>
      <c r="E3" s="65">
        <v>0.06</v>
      </c>
      <c r="F3" s="74">
        <f>Table9[[#This Row],[Percent]]*Table9[[#This Row],[Salary]]</f>
        <v>150</v>
      </c>
      <c r="G3" s="74">
        <v>350</v>
      </c>
      <c r="H3" s="64">
        <f t="shared" ref="H3:H8" si="0">D3-(E3*C3)</f>
        <v>0</v>
      </c>
      <c r="I3" s="86">
        <f>C3+Table9[[#This Row],[Current Amount]]+Table9[[#This Row],[Bonus Amount]]</f>
        <v>3000</v>
      </c>
      <c r="J3" s="87">
        <f>1-(Table9[[#This Row],[Salary]]/Table9[[#This Row],[New Salary]])</f>
        <v>0.16666666666666663</v>
      </c>
      <c r="K3" s="79" t="s">
        <v>1168</v>
      </c>
      <c r="L3" s="70"/>
      <c r="M3" s="70" t="s">
        <v>1162</v>
      </c>
      <c r="N3">
        <f>SUM(Table9[Max Amount])-SUM(Table9[Current Amount])-SUM(Table9[Bonus Amount])</f>
        <v>-11</v>
      </c>
    </row>
    <row r="4" spans="1:14" x14ac:dyDescent="0.3">
      <c r="A4" s="67" t="s">
        <v>838</v>
      </c>
      <c r="B4" s="67">
        <v>1242711</v>
      </c>
      <c r="C4" s="67">
        <v>4000</v>
      </c>
      <c r="D4" s="67">
        <f>0.06*Table9[[#This Row],[Salary]]</f>
        <v>240</v>
      </c>
      <c r="E4" s="68">
        <v>0.05</v>
      </c>
      <c r="F4" s="75">
        <f>Table9[[#This Row],[Percent]]*Table9[[#This Row],[Salary]]</f>
        <v>200</v>
      </c>
      <c r="G4" s="75"/>
      <c r="H4" s="67">
        <f t="shared" si="0"/>
        <v>40</v>
      </c>
      <c r="I4" s="88">
        <f>C4+Table9[[#This Row],[Current Amount]]+Table9[[#This Row],[Bonus Amount]]</f>
        <v>4200</v>
      </c>
      <c r="J4" s="89">
        <f>1-(Table9[[#This Row],[Salary]]/Table9[[#This Row],[New Salary]])</f>
        <v>4.7619047619047672E-2</v>
      </c>
      <c r="K4" s="80"/>
      <c r="L4" s="70"/>
      <c r="M4" s="70"/>
      <c r="N4" t="s">
        <v>1169</v>
      </c>
    </row>
    <row r="5" spans="1:14" hidden="1" x14ac:dyDescent="0.3">
      <c r="A5" s="64" t="s">
        <v>799</v>
      </c>
      <c r="B5" s="64">
        <v>1245575</v>
      </c>
      <c r="C5" s="64">
        <v>2800</v>
      </c>
      <c r="D5" s="64">
        <f>0.06*Table9[[#This Row],[Salary]]</f>
        <v>168</v>
      </c>
      <c r="E5" s="65">
        <v>3.5999999999999997E-2</v>
      </c>
      <c r="F5" s="74">
        <v>100</v>
      </c>
      <c r="G5" s="74"/>
      <c r="H5" s="64">
        <f t="shared" si="0"/>
        <v>67.2</v>
      </c>
      <c r="I5" s="86">
        <f>C5+Table9[[#This Row],[Current Amount]]+Table9[[#This Row],[Bonus Amount]]</f>
        <v>2900</v>
      </c>
      <c r="J5" s="87">
        <f>1-(Table9[[#This Row],[Salary]]/Table9[[#This Row],[New Salary]])</f>
        <v>3.4482758620689613E-2</v>
      </c>
      <c r="K5" s="79"/>
      <c r="L5" s="70"/>
      <c r="M5" s="70"/>
    </row>
    <row r="6" spans="1:14" x14ac:dyDescent="0.3">
      <c r="A6" s="67" t="s">
        <v>800</v>
      </c>
      <c r="B6" s="67">
        <v>1035151</v>
      </c>
      <c r="C6" s="67">
        <v>3750</v>
      </c>
      <c r="D6" s="67">
        <f>0.06*Table9[[#This Row],[Salary]]</f>
        <v>225</v>
      </c>
      <c r="E6" s="68">
        <v>0.06</v>
      </c>
      <c r="F6" s="75">
        <f>Table9[[#This Row],[Percent]]*Table9[[#This Row],[Salary]]</f>
        <v>225</v>
      </c>
      <c r="G6" s="75">
        <v>25</v>
      </c>
      <c r="H6" s="67">
        <f t="shared" si="0"/>
        <v>0</v>
      </c>
      <c r="I6" s="88">
        <f>C6+Table9[[#This Row],[Current Amount]]+Table9[[#This Row],[Bonus Amount]]</f>
        <v>4000</v>
      </c>
      <c r="J6" s="89">
        <f>1-(Table9[[#This Row],[Salary]]/Table9[[#This Row],[New Salary]])</f>
        <v>6.25E-2</v>
      </c>
      <c r="K6" s="80"/>
      <c r="L6" s="70"/>
      <c r="M6" s="70"/>
    </row>
    <row r="7" spans="1:14" x14ac:dyDescent="0.3">
      <c r="A7" s="64" t="s">
        <v>802</v>
      </c>
      <c r="B7" s="64">
        <v>1398636</v>
      </c>
      <c r="C7" s="64">
        <v>3600</v>
      </c>
      <c r="D7" s="64">
        <f>0.06*Table9[[#This Row],[Salary]]</f>
        <v>216</v>
      </c>
      <c r="E7" s="65">
        <v>0</v>
      </c>
      <c r="F7" s="74">
        <f>Table9[[#This Row],[Percent]]*Table9[[#This Row],[Salary]]</f>
        <v>0</v>
      </c>
      <c r="G7" s="74"/>
      <c r="H7" s="64">
        <f t="shared" si="0"/>
        <v>216</v>
      </c>
      <c r="I7" s="86">
        <f>C7+Table9[[#This Row],[Current Amount]]+Table9[[#This Row],[Bonus Amount]]</f>
        <v>3600</v>
      </c>
      <c r="J7" s="87">
        <f>1-(Table9[[#This Row],[Salary]]/Table9[[#This Row],[New Salary]])</f>
        <v>0</v>
      </c>
      <c r="K7" s="79"/>
      <c r="L7" s="70"/>
      <c r="M7" s="70"/>
    </row>
    <row r="8" spans="1:14" x14ac:dyDescent="0.3">
      <c r="A8" s="57" t="s">
        <v>602</v>
      </c>
      <c r="B8" s="57">
        <v>1564139</v>
      </c>
      <c r="C8" s="57">
        <v>4000</v>
      </c>
      <c r="D8" s="57">
        <f>0.06*Table9[[#This Row],[Salary]]</f>
        <v>240</v>
      </c>
      <c r="E8" s="58">
        <v>0.05</v>
      </c>
      <c r="F8" s="76">
        <f>Table9[[#This Row],[Percent]]*Table9[[#This Row],[Salary]]</f>
        <v>200</v>
      </c>
      <c r="G8" s="76"/>
      <c r="H8" s="57">
        <f t="shared" si="0"/>
        <v>40</v>
      </c>
      <c r="I8" s="90">
        <f>C8+Table9[[#This Row],[Current Amount]]+Table9[[#This Row],[Bonus Amount]]</f>
        <v>4200</v>
      </c>
      <c r="J8" s="91">
        <f>1-(Table9[[#This Row],[Salary]]/Table9[[#This Row],[New Salary]])</f>
        <v>4.7619047619047672E-2</v>
      </c>
      <c r="K8" s="80"/>
      <c r="L8" s="70"/>
      <c r="M8" s="70"/>
      <c r="N8" s="59"/>
    </row>
    <row r="9" spans="1:14" x14ac:dyDescent="0.3">
      <c r="L9" s="71"/>
      <c r="M9" s="71"/>
    </row>
    <row r="18" spans="1:9" x14ac:dyDescent="0.3">
      <c r="A18" s="44">
        <v>45474</v>
      </c>
      <c r="E18">
        <v>3480</v>
      </c>
    </row>
    <row r="20" spans="1:9" x14ac:dyDescent="0.3">
      <c r="A20" s="93" t="s">
        <v>301</v>
      </c>
      <c r="B20" s="93" t="s">
        <v>1193</v>
      </c>
      <c r="C20" s="93" t="s">
        <v>1186</v>
      </c>
      <c r="D20" s="93" t="s">
        <v>1187</v>
      </c>
      <c r="E20" s="93" t="s">
        <v>1188</v>
      </c>
      <c r="F20" s="93" t="s">
        <v>521</v>
      </c>
      <c r="G20" s="94" t="s">
        <v>1190</v>
      </c>
      <c r="I20" s="77" t="s">
        <v>1189</v>
      </c>
    </row>
    <row r="21" spans="1:9" x14ac:dyDescent="0.3">
      <c r="A21" s="93" t="s">
        <v>796</v>
      </c>
      <c r="B21" s="93" t="s">
        <v>1194</v>
      </c>
      <c r="C21" s="93">
        <v>2500</v>
      </c>
      <c r="D21" s="93">
        <v>220</v>
      </c>
      <c r="E21" s="94">
        <v>980</v>
      </c>
      <c r="F21" s="94">
        <f>SUM(C21:E21)</f>
        <v>3700</v>
      </c>
      <c r="G21" s="94">
        <f t="shared" ref="G21:G22" si="1">F21*$I$21</f>
        <v>2035.0000000000002</v>
      </c>
      <c r="I21" s="77">
        <v>0.55000000000000004</v>
      </c>
    </row>
    <row r="22" spans="1:9" x14ac:dyDescent="0.3">
      <c r="A22" s="93" t="s">
        <v>838</v>
      </c>
      <c r="B22" s="93" t="s">
        <v>1195</v>
      </c>
      <c r="C22" s="93">
        <v>4000</v>
      </c>
      <c r="D22" s="93">
        <f>3600/12</f>
        <v>300</v>
      </c>
      <c r="E22" s="94"/>
      <c r="F22" s="94">
        <f t="shared" ref="F22" si="2">SUM(C22:E22)</f>
        <v>4300</v>
      </c>
      <c r="G22" s="94">
        <f t="shared" si="1"/>
        <v>2365</v>
      </c>
    </row>
    <row r="23" spans="1:9" x14ac:dyDescent="0.3">
      <c r="A23" s="93" t="s">
        <v>602</v>
      </c>
      <c r="B23" s="93" t="s">
        <v>1195</v>
      </c>
      <c r="C23" s="93">
        <v>4000</v>
      </c>
      <c r="D23" s="93"/>
      <c r="E23" s="94"/>
      <c r="F23" s="94">
        <f>SUM(C23:E23)</f>
        <v>4000</v>
      </c>
      <c r="G23" s="94">
        <f>F23*$I$21</f>
        <v>2200</v>
      </c>
    </row>
    <row r="24" spans="1:9" x14ac:dyDescent="0.3">
      <c r="A24" s="93" t="s">
        <v>1191</v>
      </c>
      <c r="B24" s="93" t="s">
        <v>1194</v>
      </c>
      <c r="C24" s="93">
        <v>3300</v>
      </c>
      <c r="D24" s="93"/>
      <c r="E24" s="94"/>
      <c r="F24" s="94">
        <f>SUM(C24:E24)</f>
        <v>3300</v>
      </c>
      <c r="G24" s="94">
        <f>F24*$I$21</f>
        <v>1815.0000000000002</v>
      </c>
    </row>
    <row r="25" spans="1:9" x14ac:dyDescent="0.3">
      <c r="A25" s="93" t="s">
        <v>1192</v>
      </c>
      <c r="B25" s="93" t="s">
        <v>1194</v>
      </c>
      <c r="C25" s="93">
        <v>3300</v>
      </c>
      <c r="D25" s="93"/>
      <c r="E25" s="94"/>
      <c r="F25" s="94">
        <f>SUM(C25:E25)</f>
        <v>3300</v>
      </c>
      <c r="G25" s="94">
        <f>F25*$I$21</f>
        <v>1815.0000000000002</v>
      </c>
    </row>
    <row r="34" spans="4:12" ht="28.8" x14ac:dyDescent="0.3">
      <c r="D34" s="95" t="s">
        <v>301</v>
      </c>
      <c r="E34" s="95" t="s">
        <v>1196</v>
      </c>
      <c r="F34" s="95" t="s">
        <v>1197</v>
      </c>
      <c r="G34" s="95" t="s">
        <v>1198</v>
      </c>
      <c r="H34" s="95" t="s">
        <v>1067</v>
      </c>
      <c r="I34" s="95" t="s">
        <v>1199</v>
      </c>
      <c r="J34" s="95" t="s">
        <v>1200</v>
      </c>
      <c r="K34" s="95" t="s">
        <v>1201</v>
      </c>
      <c r="L34" s="95" t="s">
        <v>1202</v>
      </c>
    </row>
    <row r="35" spans="4:12" x14ac:dyDescent="0.3">
      <c r="D35" t="s">
        <v>602</v>
      </c>
      <c r="E35" t="s">
        <v>1203</v>
      </c>
      <c r="F35" s="96" t="s">
        <v>1204</v>
      </c>
      <c r="G35" s="77" t="s">
        <v>1206</v>
      </c>
      <c r="H35" s="77" t="s">
        <v>1205</v>
      </c>
      <c r="I35" s="97">
        <v>44704</v>
      </c>
      <c r="J35" s="78" t="s">
        <v>1207</v>
      </c>
      <c r="K35" t="s">
        <v>22</v>
      </c>
      <c r="L35" t="s">
        <v>1208</v>
      </c>
    </row>
  </sheetData>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S124"/>
  <sheetViews>
    <sheetView topLeftCell="A115" workbookViewId="0">
      <selection activeCell="J17" sqref="J17"/>
    </sheetView>
  </sheetViews>
  <sheetFormatPr defaultRowHeight="14.4" x14ac:dyDescent="0.3"/>
  <cols>
    <col min="1" max="1" width="52.77734375" customWidth="1"/>
    <col min="4" max="4" width="28.88671875" customWidth="1"/>
    <col min="10" max="10" width="17" bestFit="1" customWidth="1"/>
    <col min="11" max="11" width="16.6640625" customWidth="1"/>
  </cols>
  <sheetData>
    <row r="1" spans="1:9" ht="18" x14ac:dyDescent="0.35">
      <c r="A1" s="49" t="s">
        <v>741</v>
      </c>
    </row>
    <row r="2" spans="1:9" ht="15.6" x14ac:dyDescent="0.3">
      <c r="A2" s="47" t="s">
        <v>661</v>
      </c>
      <c r="D2" s="47" t="s">
        <v>609</v>
      </c>
      <c r="I2" s="47" t="s">
        <v>698</v>
      </c>
    </row>
    <row r="3" spans="1:9" x14ac:dyDescent="0.3">
      <c r="A3" t="s">
        <v>610</v>
      </c>
      <c r="D3" t="s">
        <v>719</v>
      </c>
      <c r="I3" t="s">
        <v>708</v>
      </c>
    </row>
    <row r="4" spans="1:9" x14ac:dyDescent="0.3">
      <c r="A4" t="s">
        <v>611</v>
      </c>
      <c r="D4" t="s">
        <v>625</v>
      </c>
      <c r="I4" t="s">
        <v>759</v>
      </c>
    </row>
    <row r="5" spans="1:9" x14ac:dyDescent="0.3">
      <c r="A5" t="s">
        <v>612</v>
      </c>
      <c r="D5" t="s">
        <v>626</v>
      </c>
      <c r="I5" t="s">
        <v>710</v>
      </c>
    </row>
    <row r="6" spans="1:9" x14ac:dyDescent="0.3">
      <c r="A6" t="s">
        <v>613</v>
      </c>
      <c r="D6" t="s">
        <v>627</v>
      </c>
      <c r="I6" t="s">
        <v>713</v>
      </c>
    </row>
    <row r="7" spans="1:9" x14ac:dyDescent="0.3">
      <c r="A7" t="s">
        <v>614</v>
      </c>
      <c r="D7" t="s">
        <v>712</v>
      </c>
      <c r="I7" t="s">
        <v>714</v>
      </c>
    </row>
    <row r="8" spans="1:9" x14ac:dyDescent="0.3">
      <c r="A8" t="s">
        <v>615</v>
      </c>
      <c r="D8" t="s">
        <v>628</v>
      </c>
      <c r="I8" t="s">
        <v>718</v>
      </c>
    </row>
    <row r="9" spans="1:9" x14ac:dyDescent="0.3">
      <c r="A9" t="s">
        <v>616</v>
      </c>
      <c r="D9" t="s">
        <v>629</v>
      </c>
    </row>
    <row r="10" spans="1:9" x14ac:dyDescent="0.3">
      <c r="A10" t="s">
        <v>617</v>
      </c>
      <c r="D10" t="s">
        <v>630</v>
      </c>
    </row>
    <row r="11" spans="1:9" x14ac:dyDescent="0.3">
      <c r="A11" t="s">
        <v>618</v>
      </c>
      <c r="D11" t="s">
        <v>709</v>
      </c>
    </row>
    <row r="12" spans="1:9" x14ac:dyDescent="0.3">
      <c r="A12" t="s">
        <v>619</v>
      </c>
      <c r="D12" t="s">
        <v>715</v>
      </c>
    </row>
    <row r="13" spans="1:9" x14ac:dyDescent="0.3">
      <c r="A13" t="s">
        <v>620</v>
      </c>
      <c r="D13" t="s">
        <v>717</v>
      </c>
    </row>
    <row r="14" spans="1:9" x14ac:dyDescent="0.3">
      <c r="A14" t="s">
        <v>621</v>
      </c>
    </row>
    <row r="15" spans="1:9" x14ac:dyDescent="0.3">
      <c r="A15" t="s">
        <v>622</v>
      </c>
    </row>
    <row r="16" spans="1:9" x14ac:dyDescent="0.3">
      <c r="A16" t="s">
        <v>623</v>
      </c>
    </row>
    <row r="17" spans="1:19" x14ac:dyDescent="0.3">
      <c r="A17" t="s">
        <v>624</v>
      </c>
    </row>
    <row r="18" spans="1:19" x14ac:dyDescent="0.3">
      <c r="A18" t="s">
        <v>716</v>
      </c>
    </row>
    <row r="19" spans="1:19" s="4" customFormat="1" x14ac:dyDescent="0.3"/>
    <row r="21" spans="1:19" ht="18" x14ac:dyDescent="0.35">
      <c r="A21" s="49" t="s">
        <v>631</v>
      </c>
    </row>
    <row r="22" spans="1:19" ht="15.6" x14ac:dyDescent="0.3">
      <c r="A22" s="47" t="s">
        <v>661</v>
      </c>
      <c r="D22" s="47" t="s">
        <v>609</v>
      </c>
      <c r="G22" s="47" t="s">
        <v>698</v>
      </c>
    </row>
    <row r="23" spans="1:19" ht="16.8" x14ac:dyDescent="0.4">
      <c r="A23" s="50" t="s">
        <v>701</v>
      </c>
      <c r="D23" t="s">
        <v>632</v>
      </c>
      <c r="G23" t="s">
        <v>644</v>
      </c>
    </row>
    <row r="24" spans="1:19" ht="16.8" x14ac:dyDescent="0.4">
      <c r="A24" s="50" t="s">
        <v>700</v>
      </c>
      <c r="D24" t="s">
        <v>633</v>
      </c>
      <c r="G24" t="s">
        <v>645</v>
      </c>
    </row>
    <row r="25" spans="1:19" x14ac:dyDescent="0.3">
      <c r="A25" t="s">
        <v>650</v>
      </c>
      <c r="D25" t="s">
        <v>634</v>
      </c>
      <c r="G25" s="50" t="s">
        <v>720</v>
      </c>
    </row>
    <row r="26" spans="1:19" x14ac:dyDescent="0.3">
      <c r="A26" t="s">
        <v>651</v>
      </c>
      <c r="D26" t="s">
        <v>635</v>
      </c>
      <c r="G26" t="s">
        <v>646</v>
      </c>
    </row>
    <row r="27" spans="1:19" x14ac:dyDescent="0.3">
      <c r="A27" t="s">
        <v>652</v>
      </c>
      <c r="D27" t="s">
        <v>636</v>
      </c>
      <c r="G27" t="s">
        <v>647</v>
      </c>
    </row>
    <row r="28" spans="1:19" ht="16.8" x14ac:dyDescent="0.4">
      <c r="A28" s="50" t="s">
        <v>702</v>
      </c>
      <c r="D28" t="s">
        <v>637</v>
      </c>
      <c r="G28" t="s">
        <v>648</v>
      </c>
    </row>
    <row r="29" spans="1:19" ht="16.8" x14ac:dyDescent="0.4">
      <c r="A29" s="50" t="s">
        <v>703</v>
      </c>
      <c r="D29" t="s">
        <v>638</v>
      </c>
      <c r="G29" t="s">
        <v>649</v>
      </c>
    </row>
    <row r="30" spans="1:19" ht="16.8" x14ac:dyDescent="0.4">
      <c r="A30" s="50" t="s">
        <v>704</v>
      </c>
      <c r="D30" t="s">
        <v>639</v>
      </c>
    </row>
    <row r="31" spans="1:19" x14ac:dyDescent="0.3">
      <c r="A31" t="s">
        <v>653</v>
      </c>
      <c r="D31" t="s">
        <v>640</v>
      </c>
      <c r="S31" s="3"/>
    </row>
    <row r="32" spans="1:19" x14ac:dyDescent="0.3">
      <c r="A32" t="s">
        <v>654</v>
      </c>
      <c r="D32" t="s">
        <v>641</v>
      </c>
      <c r="S32" s="3"/>
    </row>
    <row r="33" spans="1:19" ht="16.8" x14ac:dyDescent="0.4">
      <c r="A33" t="s">
        <v>655</v>
      </c>
      <c r="D33" s="50" t="s">
        <v>705</v>
      </c>
      <c r="S33" s="3"/>
    </row>
    <row r="34" spans="1:19" x14ac:dyDescent="0.3">
      <c r="A34" t="s">
        <v>656</v>
      </c>
      <c r="D34" s="50" t="s">
        <v>711</v>
      </c>
      <c r="S34" s="3"/>
    </row>
    <row r="35" spans="1:19" x14ac:dyDescent="0.3">
      <c r="A35" t="s">
        <v>657</v>
      </c>
      <c r="D35" s="50" t="s">
        <v>642</v>
      </c>
      <c r="S35" s="3"/>
    </row>
    <row r="36" spans="1:19" ht="16.8" x14ac:dyDescent="0.4">
      <c r="A36" t="s">
        <v>658</v>
      </c>
      <c r="D36" s="50" t="s">
        <v>706</v>
      </c>
      <c r="S36" s="3"/>
    </row>
    <row r="37" spans="1:19" x14ac:dyDescent="0.3">
      <c r="A37" t="s">
        <v>659</v>
      </c>
      <c r="D37" t="s">
        <v>643</v>
      </c>
      <c r="S37" s="3"/>
    </row>
    <row r="38" spans="1:19" s="4" customFormat="1" x14ac:dyDescent="0.3"/>
    <row r="40" spans="1:19" ht="18" x14ac:dyDescent="0.35">
      <c r="A40" s="49" t="s">
        <v>660</v>
      </c>
    </row>
    <row r="41" spans="1:19" ht="15.6" x14ac:dyDescent="0.3">
      <c r="A41" s="47" t="s">
        <v>661</v>
      </c>
      <c r="D41" s="47" t="s">
        <v>609</v>
      </c>
    </row>
    <row r="42" spans="1:19" x14ac:dyDescent="0.3">
      <c r="A42" t="s">
        <v>662</v>
      </c>
      <c r="D42" t="s">
        <v>684</v>
      </c>
    </row>
    <row r="43" spans="1:19" x14ac:dyDescent="0.3">
      <c r="A43" t="s">
        <v>663</v>
      </c>
      <c r="D43" t="s">
        <v>675</v>
      </c>
    </row>
    <row r="44" spans="1:19" x14ac:dyDescent="0.3">
      <c r="A44" t="s">
        <v>683</v>
      </c>
      <c r="D44" t="s">
        <v>672</v>
      </c>
    </row>
    <row r="45" spans="1:19" x14ac:dyDescent="0.3">
      <c r="A45" t="s">
        <v>664</v>
      </c>
      <c r="D45" t="s">
        <v>673</v>
      </c>
    </row>
    <row r="46" spans="1:19" x14ac:dyDescent="0.3">
      <c r="A46" t="s">
        <v>665</v>
      </c>
      <c r="D46" t="s">
        <v>674</v>
      </c>
    </row>
    <row r="47" spans="1:19" x14ac:dyDescent="0.3">
      <c r="A47" t="s">
        <v>666</v>
      </c>
      <c r="D47" t="s">
        <v>707</v>
      </c>
    </row>
    <row r="48" spans="1:19" x14ac:dyDescent="0.3">
      <c r="A48" t="s">
        <v>667</v>
      </c>
      <c r="D48" t="s">
        <v>721</v>
      </c>
    </row>
    <row r="49" spans="1:10" x14ac:dyDescent="0.3">
      <c r="A49" t="s">
        <v>668</v>
      </c>
      <c r="D49" t="s">
        <v>722</v>
      </c>
    </row>
    <row r="50" spans="1:10" x14ac:dyDescent="0.3">
      <c r="A50" t="s">
        <v>669</v>
      </c>
      <c r="D50" t="s">
        <v>723</v>
      </c>
    </row>
    <row r="51" spans="1:10" x14ac:dyDescent="0.3">
      <c r="A51" t="s">
        <v>670</v>
      </c>
      <c r="D51" t="s">
        <v>795</v>
      </c>
    </row>
    <row r="52" spans="1:10" x14ac:dyDescent="0.3">
      <c r="A52" t="s">
        <v>671</v>
      </c>
    </row>
    <row r="54" spans="1:10" ht="18" x14ac:dyDescent="0.35">
      <c r="A54" s="49" t="s">
        <v>699</v>
      </c>
    </row>
    <row r="55" spans="1:10" ht="15.6" x14ac:dyDescent="0.3">
      <c r="A55" s="47" t="s">
        <v>661</v>
      </c>
      <c r="D55" s="47" t="s">
        <v>609</v>
      </c>
      <c r="J55" s="47" t="s">
        <v>698</v>
      </c>
    </row>
    <row r="56" spans="1:10" x14ac:dyDescent="0.3">
      <c r="A56" s="48" t="s">
        <v>724</v>
      </c>
      <c r="D56" t="s">
        <v>685</v>
      </c>
      <c r="J56" t="s">
        <v>690</v>
      </c>
    </row>
    <row r="57" spans="1:10" x14ac:dyDescent="0.3">
      <c r="A57" s="48" t="s">
        <v>728</v>
      </c>
      <c r="D57" t="s">
        <v>686</v>
      </c>
      <c r="J57" t="s">
        <v>727</v>
      </c>
    </row>
    <row r="58" spans="1:10" x14ac:dyDescent="0.3">
      <c r="A58" s="48" t="s">
        <v>687</v>
      </c>
      <c r="D58" t="s">
        <v>726</v>
      </c>
      <c r="J58" t="s">
        <v>693</v>
      </c>
    </row>
    <row r="59" spans="1:10" x14ac:dyDescent="0.3">
      <c r="A59" s="48" t="s">
        <v>688</v>
      </c>
      <c r="D59" t="s">
        <v>725</v>
      </c>
      <c r="J59" t="s">
        <v>694</v>
      </c>
    </row>
    <row r="60" spans="1:10" x14ac:dyDescent="0.3">
      <c r="A60" s="48" t="s">
        <v>689</v>
      </c>
      <c r="D60" t="s">
        <v>691</v>
      </c>
      <c r="J60" t="s">
        <v>695</v>
      </c>
    </row>
    <row r="61" spans="1:10" x14ac:dyDescent="0.3">
      <c r="A61" t="s">
        <v>795</v>
      </c>
      <c r="D61" t="s">
        <v>692</v>
      </c>
      <c r="J61" t="s">
        <v>696</v>
      </c>
    </row>
    <row r="62" spans="1:10" s="3" customFormat="1" x14ac:dyDescent="0.3">
      <c r="D62" s="3" t="s">
        <v>697</v>
      </c>
    </row>
    <row r="63" spans="1:10" s="4" customFormat="1" ht="13.8" customHeight="1" x14ac:dyDescent="0.3"/>
    <row r="65" spans="1:4" ht="18" x14ac:dyDescent="0.35">
      <c r="A65" s="49" t="s">
        <v>676</v>
      </c>
    </row>
    <row r="66" spans="1:4" ht="15.6" x14ac:dyDescent="0.3">
      <c r="A66" s="47" t="s">
        <v>661</v>
      </c>
      <c r="D66" s="47" t="s">
        <v>609</v>
      </c>
    </row>
    <row r="67" spans="1:4" x14ac:dyDescent="0.3">
      <c r="A67" t="s">
        <v>732</v>
      </c>
      <c r="D67" t="s">
        <v>738</v>
      </c>
    </row>
    <row r="68" spans="1:4" x14ac:dyDescent="0.3">
      <c r="A68" t="s">
        <v>733</v>
      </c>
      <c r="D68" t="s">
        <v>727</v>
      </c>
    </row>
    <row r="69" spans="1:4" x14ac:dyDescent="0.3">
      <c r="A69" t="s">
        <v>729</v>
      </c>
      <c r="D69" t="s">
        <v>739</v>
      </c>
    </row>
    <row r="70" spans="1:4" x14ac:dyDescent="0.3">
      <c r="A70" t="s">
        <v>730</v>
      </c>
      <c r="D70" t="s">
        <v>734</v>
      </c>
    </row>
    <row r="71" spans="1:4" x14ac:dyDescent="0.3">
      <c r="A71" t="s">
        <v>740</v>
      </c>
      <c r="D71" t="s">
        <v>721</v>
      </c>
    </row>
    <row r="72" spans="1:4" x14ac:dyDescent="0.3">
      <c r="A72" t="s">
        <v>731</v>
      </c>
      <c r="D72" t="s">
        <v>737</v>
      </c>
    </row>
    <row r="73" spans="1:4" x14ac:dyDescent="0.3">
      <c r="A73" s="46"/>
      <c r="D73" t="s">
        <v>735</v>
      </c>
    </row>
    <row r="74" spans="1:4" x14ac:dyDescent="0.3">
      <c r="A74" s="46"/>
      <c r="D74" t="s">
        <v>736</v>
      </c>
    </row>
    <row r="75" spans="1:4" s="4" customFormat="1" x14ac:dyDescent="0.3">
      <c r="A75" s="51"/>
    </row>
    <row r="77" spans="1:4" ht="18" x14ac:dyDescent="0.35">
      <c r="A77" s="49" t="s">
        <v>677</v>
      </c>
    </row>
    <row r="78" spans="1:4" ht="15.6" x14ac:dyDescent="0.3">
      <c r="A78" s="47" t="s">
        <v>661</v>
      </c>
      <c r="D78" s="47" t="s">
        <v>609</v>
      </c>
    </row>
    <row r="79" spans="1:4" x14ac:dyDescent="0.3">
      <c r="A79" t="s">
        <v>744</v>
      </c>
      <c r="D79" t="s">
        <v>754</v>
      </c>
    </row>
    <row r="80" spans="1:4" x14ac:dyDescent="0.3">
      <c r="A80" t="s">
        <v>745</v>
      </c>
      <c r="D80" t="s">
        <v>752</v>
      </c>
    </row>
    <row r="81" spans="1:7" x14ac:dyDescent="0.3">
      <c r="A81" t="s">
        <v>756</v>
      </c>
      <c r="D81" t="s">
        <v>758</v>
      </c>
    </row>
    <row r="82" spans="1:7" x14ac:dyDescent="0.3">
      <c r="A82" t="s">
        <v>749</v>
      </c>
      <c r="D82" t="s">
        <v>746</v>
      </c>
    </row>
    <row r="83" spans="1:7" x14ac:dyDescent="0.3">
      <c r="A83" t="s">
        <v>757</v>
      </c>
      <c r="D83" t="s">
        <v>747</v>
      </c>
    </row>
    <row r="84" spans="1:7" x14ac:dyDescent="0.3">
      <c r="A84" t="s">
        <v>760</v>
      </c>
      <c r="D84" t="s">
        <v>748</v>
      </c>
    </row>
    <row r="85" spans="1:7" x14ac:dyDescent="0.3">
      <c r="A85" t="s">
        <v>753</v>
      </c>
      <c r="D85" t="s">
        <v>733</v>
      </c>
    </row>
    <row r="86" spans="1:7" x14ac:dyDescent="0.3">
      <c r="A86" t="s">
        <v>750</v>
      </c>
      <c r="D86" t="s">
        <v>743</v>
      </c>
    </row>
    <row r="87" spans="1:7" x14ac:dyDescent="0.3">
      <c r="A87" t="s">
        <v>751</v>
      </c>
    </row>
    <row r="88" spans="1:7" x14ac:dyDescent="0.3">
      <c r="A88" t="s">
        <v>755</v>
      </c>
    </row>
    <row r="89" spans="1:7" s="4" customFormat="1" x14ac:dyDescent="0.3">
      <c r="A89" s="52"/>
    </row>
    <row r="91" spans="1:7" ht="18" x14ac:dyDescent="0.35">
      <c r="A91" s="49" t="s">
        <v>678</v>
      </c>
    </row>
    <row r="92" spans="1:7" ht="15.6" x14ac:dyDescent="0.3">
      <c r="A92" s="47" t="s">
        <v>661</v>
      </c>
      <c r="D92" s="47" t="s">
        <v>609</v>
      </c>
      <c r="G92" s="47" t="s">
        <v>698</v>
      </c>
    </row>
    <row r="93" spans="1:7" x14ac:dyDescent="0.3">
      <c r="A93" t="s">
        <v>761</v>
      </c>
      <c r="D93" t="s">
        <v>769</v>
      </c>
      <c r="G93" t="s">
        <v>765</v>
      </c>
    </row>
    <row r="94" spans="1:7" x14ac:dyDescent="0.3">
      <c r="A94" t="s">
        <v>762</v>
      </c>
      <c r="D94" t="s">
        <v>764</v>
      </c>
      <c r="G94" t="s">
        <v>771</v>
      </c>
    </row>
    <row r="95" spans="1:7" x14ac:dyDescent="0.3">
      <c r="A95" t="s">
        <v>766</v>
      </c>
      <c r="D95" t="s">
        <v>763</v>
      </c>
    </row>
    <row r="96" spans="1:7" x14ac:dyDescent="0.3">
      <c r="A96" t="s">
        <v>768</v>
      </c>
      <c r="D96" t="s">
        <v>767</v>
      </c>
    </row>
    <row r="97" spans="1:8" x14ac:dyDescent="0.3">
      <c r="A97" t="s">
        <v>681</v>
      </c>
      <c r="D97" t="s">
        <v>679</v>
      </c>
    </row>
    <row r="98" spans="1:8" x14ac:dyDescent="0.3">
      <c r="A98" t="s">
        <v>682</v>
      </c>
      <c r="D98" t="s">
        <v>770</v>
      </c>
    </row>
    <row r="99" spans="1:8" x14ac:dyDescent="0.3">
      <c r="A99" t="s">
        <v>680</v>
      </c>
    </row>
    <row r="100" spans="1:8" s="4" customFormat="1" x14ac:dyDescent="0.3"/>
    <row r="102" spans="1:8" ht="18" x14ac:dyDescent="0.35">
      <c r="A102" s="49" t="s">
        <v>742</v>
      </c>
    </row>
    <row r="103" spans="1:8" ht="15.6" x14ac:dyDescent="0.3">
      <c r="A103" s="47" t="s">
        <v>661</v>
      </c>
      <c r="D103" s="47" t="s">
        <v>609</v>
      </c>
      <c r="H103" s="47" t="s">
        <v>698</v>
      </c>
    </row>
    <row r="104" spans="1:8" x14ac:dyDescent="0.3">
      <c r="A104" t="s">
        <v>772</v>
      </c>
      <c r="D104" t="s">
        <v>773</v>
      </c>
      <c r="H104" t="s">
        <v>781</v>
      </c>
    </row>
    <row r="105" spans="1:8" x14ac:dyDescent="0.3">
      <c r="A105" t="s">
        <v>782</v>
      </c>
      <c r="D105" t="s">
        <v>774</v>
      </c>
      <c r="H105" t="s">
        <v>783</v>
      </c>
    </row>
    <row r="106" spans="1:8" x14ac:dyDescent="0.3">
      <c r="A106" t="s">
        <v>790</v>
      </c>
      <c r="D106" t="s">
        <v>776</v>
      </c>
    </row>
    <row r="107" spans="1:8" x14ac:dyDescent="0.3">
      <c r="A107" t="s">
        <v>791</v>
      </c>
      <c r="D107" t="s">
        <v>780</v>
      </c>
    </row>
    <row r="108" spans="1:8" x14ac:dyDescent="0.3">
      <c r="A108" t="s">
        <v>775</v>
      </c>
      <c r="D108" t="s">
        <v>792</v>
      </c>
    </row>
    <row r="109" spans="1:8" x14ac:dyDescent="0.3">
      <c r="A109" t="s">
        <v>777</v>
      </c>
      <c r="D109" t="s">
        <v>784</v>
      </c>
    </row>
    <row r="110" spans="1:8" x14ac:dyDescent="0.3">
      <c r="A110" t="s">
        <v>779</v>
      </c>
      <c r="D110" t="s">
        <v>793</v>
      </c>
    </row>
    <row r="111" spans="1:8" x14ac:dyDescent="0.3">
      <c r="A111" t="s">
        <v>778</v>
      </c>
      <c r="D111" t="s">
        <v>794</v>
      </c>
    </row>
    <row r="112" spans="1:8" x14ac:dyDescent="0.3">
      <c r="A112" t="s">
        <v>785</v>
      </c>
    </row>
    <row r="113" spans="1:1" x14ac:dyDescent="0.3">
      <c r="A113" t="s">
        <v>786</v>
      </c>
    </row>
    <row r="114" spans="1:1" x14ac:dyDescent="0.3">
      <c r="A114" t="s">
        <v>787</v>
      </c>
    </row>
    <row r="115" spans="1:1" x14ac:dyDescent="0.3">
      <c r="A115" t="s">
        <v>788</v>
      </c>
    </row>
    <row r="116" spans="1:1" x14ac:dyDescent="0.3">
      <c r="A116" t="s">
        <v>789</v>
      </c>
    </row>
    <row r="119" spans="1:1" x14ac:dyDescent="0.3">
      <c r="A119" t="s">
        <v>890</v>
      </c>
    </row>
    <row r="121" spans="1:1" x14ac:dyDescent="0.3">
      <c r="A121" t="s">
        <v>891</v>
      </c>
    </row>
    <row r="122" spans="1:1" x14ac:dyDescent="0.3">
      <c r="A122" t="s">
        <v>892</v>
      </c>
    </row>
    <row r="123" spans="1:1" x14ac:dyDescent="0.3">
      <c r="A123" t="s">
        <v>893</v>
      </c>
    </row>
    <row r="124" spans="1:1" x14ac:dyDescent="0.3">
      <c r="A124" t="s">
        <v>894</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2539" r:id="rId4" name="Check Box 11">
              <controlPr defaultSize="0" autoFill="0" autoLine="0" autoPict="0">
                <anchor moveWithCells="1">
                  <from>
                    <xdr:col>1</xdr:col>
                    <xdr:colOff>76200</xdr:colOff>
                    <xdr:row>55</xdr:row>
                    <xdr:rowOff>7620</xdr:rowOff>
                  </from>
                  <to>
                    <xdr:col>1</xdr:col>
                    <xdr:colOff>396240</xdr:colOff>
                    <xdr:row>56</xdr:row>
                    <xdr:rowOff>0</xdr:rowOff>
                  </to>
                </anchor>
              </controlPr>
            </control>
          </mc:Choice>
        </mc:AlternateContent>
        <mc:AlternateContent xmlns:mc="http://schemas.openxmlformats.org/markup-compatibility/2006">
          <mc:Choice Requires="x14">
            <control shapeId="22540" r:id="rId5" name="Check Box 12">
              <controlPr defaultSize="0" autoFill="0" autoLine="0" autoPict="0">
                <anchor moveWithCells="1">
                  <from>
                    <xdr:col>1</xdr:col>
                    <xdr:colOff>76200</xdr:colOff>
                    <xdr:row>56</xdr:row>
                    <xdr:rowOff>7620</xdr:rowOff>
                  </from>
                  <to>
                    <xdr:col>1</xdr:col>
                    <xdr:colOff>396240</xdr:colOff>
                    <xdr:row>57</xdr:row>
                    <xdr:rowOff>0</xdr:rowOff>
                  </to>
                </anchor>
              </controlPr>
            </control>
          </mc:Choice>
        </mc:AlternateContent>
        <mc:AlternateContent xmlns:mc="http://schemas.openxmlformats.org/markup-compatibility/2006">
          <mc:Choice Requires="x14">
            <control shapeId="22541" r:id="rId6" name="Check Box 13">
              <controlPr defaultSize="0" autoFill="0" autoLine="0" autoPict="0">
                <anchor moveWithCells="1">
                  <from>
                    <xdr:col>1</xdr:col>
                    <xdr:colOff>76200</xdr:colOff>
                    <xdr:row>57</xdr:row>
                    <xdr:rowOff>7620</xdr:rowOff>
                  </from>
                  <to>
                    <xdr:col>1</xdr:col>
                    <xdr:colOff>396240</xdr:colOff>
                    <xdr:row>58</xdr:row>
                    <xdr:rowOff>0</xdr:rowOff>
                  </to>
                </anchor>
              </controlPr>
            </control>
          </mc:Choice>
        </mc:AlternateContent>
        <mc:AlternateContent xmlns:mc="http://schemas.openxmlformats.org/markup-compatibility/2006">
          <mc:Choice Requires="x14">
            <control shapeId="22542" r:id="rId7" name="Check Box 14">
              <controlPr defaultSize="0" autoFill="0" autoLine="0" autoPict="0">
                <anchor moveWithCells="1">
                  <from>
                    <xdr:col>1</xdr:col>
                    <xdr:colOff>76200</xdr:colOff>
                    <xdr:row>58</xdr:row>
                    <xdr:rowOff>7620</xdr:rowOff>
                  </from>
                  <to>
                    <xdr:col>1</xdr:col>
                    <xdr:colOff>396240</xdr:colOff>
                    <xdr:row>59</xdr:row>
                    <xdr:rowOff>0</xdr:rowOff>
                  </to>
                </anchor>
              </controlPr>
            </control>
          </mc:Choice>
        </mc:AlternateContent>
        <mc:AlternateContent xmlns:mc="http://schemas.openxmlformats.org/markup-compatibility/2006">
          <mc:Choice Requires="x14">
            <control shapeId="22543" r:id="rId8" name="Check Box 15">
              <controlPr defaultSize="0" autoFill="0" autoLine="0" autoPict="0">
                <anchor moveWithCells="1">
                  <from>
                    <xdr:col>7</xdr:col>
                    <xdr:colOff>76200</xdr:colOff>
                    <xdr:row>55</xdr:row>
                    <xdr:rowOff>7620</xdr:rowOff>
                  </from>
                  <to>
                    <xdr:col>7</xdr:col>
                    <xdr:colOff>396240</xdr:colOff>
                    <xdr:row>56</xdr:row>
                    <xdr:rowOff>0</xdr:rowOff>
                  </to>
                </anchor>
              </controlPr>
            </control>
          </mc:Choice>
        </mc:AlternateContent>
        <mc:AlternateContent xmlns:mc="http://schemas.openxmlformats.org/markup-compatibility/2006">
          <mc:Choice Requires="x14">
            <control shapeId="22544" r:id="rId9" name="Check Box 16">
              <controlPr defaultSize="0" autoFill="0" autoLine="0" autoPict="0">
                <anchor moveWithCells="1">
                  <from>
                    <xdr:col>7</xdr:col>
                    <xdr:colOff>76200</xdr:colOff>
                    <xdr:row>56</xdr:row>
                    <xdr:rowOff>7620</xdr:rowOff>
                  </from>
                  <to>
                    <xdr:col>7</xdr:col>
                    <xdr:colOff>396240</xdr:colOff>
                    <xdr:row>57</xdr:row>
                    <xdr:rowOff>0</xdr:rowOff>
                  </to>
                </anchor>
              </controlPr>
            </control>
          </mc:Choice>
        </mc:AlternateContent>
        <mc:AlternateContent xmlns:mc="http://schemas.openxmlformats.org/markup-compatibility/2006">
          <mc:Choice Requires="x14">
            <control shapeId="22545" r:id="rId10" name="Check Box 17">
              <controlPr defaultSize="0" autoFill="0" autoLine="0" autoPict="0">
                <anchor moveWithCells="1">
                  <from>
                    <xdr:col>7</xdr:col>
                    <xdr:colOff>76200</xdr:colOff>
                    <xdr:row>57</xdr:row>
                    <xdr:rowOff>7620</xdr:rowOff>
                  </from>
                  <to>
                    <xdr:col>7</xdr:col>
                    <xdr:colOff>396240</xdr:colOff>
                    <xdr:row>58</xdr:row>
                    <xdr:rowOff>0</xdr:rowOff>
                  </to>
                </anchor>
              </controlPr>
            </control>
          </mc:Choice>
        </mc:AlternateContent>
        <mc:AlternateContent xmlns:mc="http://schemas.openxmlformats.org/markup-compatibility/2006">
          <mc:Choice Requires="x14">
            <control shapeId="22546" r:id="rId11" name="Check Box 18">
              <controlPr defaultSize="0" autoFill="0" autoLine="0" autoPict="0">
                <anchor moveWithCells="1">
                  <from>
                    <xdr:col>7</xdr:col>
                    <xdr:colOff>76200</xdr:colOff>
                    <xdr:row>58</xdr:row>
                    <xdr:rowOff>7620</xdr:rowOff>
                  </from>
                  <to>
                    <xdr:col>7</xdr:col>
                    <xdr:colOff>396240</xdr:colOff>
                    <xdr:row>59</xdr:row>
                    <xdr:rowOff>0</xdr:rowOff>
                  </to>
                </anchor>
              </controlPr>
            </control>
          </mc:Choice>
        </mc:AlternateContent>
        <mc:AlternateContent xmlns:mc="http://schemas.openxmlformats.org/markup-compatibility/2006">
          <mc:Choice Requires="x14">
            <control shapeId="22547" r:id="rId12" name="Check Box 19">
              <controlPr defaultSize="0" autoFill="0" autoLine="0" autoPict="0">
                <anchor moveWithCells="1">
                  <from>
                    <xdr:col>7</xdr:col>
                    <xdr:colOff>76200</xdr:colOff>
                    <xdr:row>59</xdr:row>
                    <xdr:rowOff>7620</xdr:rowOff>
                  </from>
                  <to>
                    <xdr:col>7</xdr:col>
                    <xdr:colOff>396240</xdr:colOff>
                    <xdr:row>60</xdr:row>
                    <xdr:rowOff>0</xdr:rowOff>
                  </to>
                </anchor>
              </controlPr>
            </control>
          </mc:Choice>
        </mc:AlternateContent>
        <mc:AlternateContent xmlns:mc="http://schemas.openxmlformats.org/markup-compatibility/2006">
          <mc:Choice Requires="x14">
            <control shapeId="22548" r:id="rId13" name="Check Box 20">
              <controlPr defaultSize="0" autoFill="0" autoLine="0" autoPict="0">
                <anchor moveWithCells="1">
                  <from>
                    <xdr:col>7</xdr:col>
                    <xdr:colOff>76200</xdr:colOff>
                    <xdr:row>60</xdr:row>
                    <xdr:rowOff>7620</xdr:rowOff>
                  </from>
                  <to>
                    <xdr:col>7</xdr:col>
                    <xdr:colOff>396240</xdr:colOff>
                    <xdr:row>61</xdr:row>
                    <xdr:rowOff>0</xdr:rowOff>
                  </to>
                </anchor>
              </controlPr>
            </control>
          </mc:Choice>
        </mc:AlternateContent>
        <mc:AlternateContent xmlns:mc="http://schemas.openxmlformats.org/markup-compatibility/2006">
          <mc:Choice Requires="x14">
            <control shapeId="22549" r:id="rId14" name="Check Box 21">
              <controlPr defaultSize="0" autoFill="0" autoLine="0" autoPict="0">
                <anchor moveWithCells="1">
                  <from>
                    <xdr:col>7</xdr:col>
                    <xdr:colOff>76200</xdr:colOff>
                    <xdr:row>61</xdr:row>
                    <xdr:rowOff>7620</xdr:rowOff>
                  </from>
                  <to>
                    <xdr:col>7</xdr:col>
                    <xdr:colOff>396240</xdr:colOff>
                    <xdr:row>62</xdr:row>
                    <xdr:rowOff>0</xdr:rowOff>
                  </to>
                </anchor>
              </controlPr>
            </control>
          </mc:Choice>
        </mc:AlternateContent>
        <mc:AlternateContent xmlns:mc="http://schemas.openxmlformats.org/markup-compatibility/2006">
          <mc:Choice Requires="x14">
            <control shapeId="22550" r:id="rId15" name="Check Box 22">
              <controlPr defaultSize="0" autoFill="0" autoLine="0" autoPict="0">
                <anchor moveWithCells="1">
                  <from>
                    <xdr:col>10</xdr:col>
                    <xdr:colOff>76200</xdr:colOff>
                    <xdr:row>55</xdr:row>
                    <xdr:rowOff>7620</xdr:rowOff>
                  </from>
                  <to>
                    <xdr:col>10</xdr:col>
                    <xdr:colOff>396240</xdr:colOff>
                    <xdr:row>56</xdr:row>
                    <xdr:rowOff>0</xdr:rowOff>
                  </to>
                </anchor>
              </controlPr>
            </control>
          </mc:Choice>
        </mc:AlternateContent>
        <mc:AlternateContent xmlns:mc="http://schemas.openxmlformats.org/markup-compatibility/2006">
          <mc:Choice Requires="x14">
            <control shapeId="22551" r:id="rId16" name="Check Box 23">
              <controlPr defaultSize="0" autoFill="0" autoLine="0" autoPict="0">
                <anchor moveWithCells="1">
                  <from>
                    <xdr:col>10</xdr:col>
                    <xdr:colOff>76200</xdr:colOff>
                    <xdr:row>56</xdr:row>
                    <xdr:rowOff>7620</xdr:rowOff>
                  </from>
                  <to>
                    <xdr:col>10</xdr:col>
                    <xdr:colOff>396240</xdr:colOff>
                    <xdr:row>57</xdr:row>
                    <xdr:rowOff>0</xdr:rowOff>
                  </to>
                </anchor>
              </controlPr>
            </control>
          </mc:Choice>
        </mc:AlternateContent>
        <mc:AlternateContent xmlns:mc="http://schemas.openxmlformats.org/markup-compatibility/2006">
          <mc:Choice Requires="x14">
            <control shapeId="22552" r:id="rId17" name="Check Box 24">
              <controlPr defaultSize="0" autoFill="0" autoLine="0" autoPict="0">
                <anchor moveWithCells="1">
                  <from>
                    <xdr:col>10</xdr:col>
                    <xdr:colOff>76200</xdr:colOff>
                    <xdr:row>57</xdr:row>
                    <xdr:rowOff>7620</xdr:rowOff>
                  </from>
                  <to>
                    <xdr:col>10</xdr:col>
                    <xdr:colOff>396240</xdr:colOff>
                    <xdr:row>58</xdr:row>
                    <xdr:rowOff>0</xdr:rowOff>
                  </to>
                </anchor>
              </controlPr>
            </control>
          </mc:Choice>
        </mc:AlternateContent>
        <mc:AlternateContent xmlns:mc="http://schemas.openxmlformats.org/markup-compatibility/2006">
          <mc:Choice Requires="x14">
            <control shapeId="22553" r:id="rId18" name="Check Box 25">
              <controlPr defaultSize="0" autoFill="0" autoLine="0" autoPict="0">
                <anchor moveWithCells="1">
                  <from>
                    <xdr:col>10</xdr:col>
                    <xdr:colOff>76200</xdr:colOff>
                    <xdr:row>58</xdr:row>
                    <xdr:rowOff>7620</xdr:rowOff>
                  </from>
                  <to>
                    <xdr:col>10</xdr:col>
                    <xdr:colOff>396240</xdr:colOff>
                    <xdr:row>59</xdr:row>
                    <xdr:rowOff>0</xdr:rowOff>
                  </to>
                </anchor>
              </controlPr>
            </control>
          </mc:Choice>
        </mc:AlternateContent>
        <mc:AlternateContent xmlns:mc="http://schemas.openxmlformats.org/markup-compatibility/2006">
          <mc:Choice Requires="x14">
            <control shapeId="22554" r:id="rId19" name="Check Box 26">
              <controlPr defaultSize="0" autoFill="0" autoLine="0" autoPict="0">
                <anchor moveWithCells="1">
                  <from>
                    <xdr:col>10</xdr:col>
                    <xdr:colOff>76200</xdr:colOff>
                    <xdr:row>59</xdr:row>
                    <xdr:rowOff>7620</xdr:rowOff>
                  </from>
                  <to>
                    <xdr:col>10</xdr:col>
                    <xdr:colOff>396240</xdr:colOff>
                    <xdr:row>60</xdr:row>
                    <xdr:rowOff>0</xdr:rowOff>
                  </to>
                </anchor>
              </controlPr>
            </control>
          </mc:Choice>
        </mc:AlternateContent>
        <mc:AlternateContent xmlns:mc="http://schemas.openxmlformats.org/markup-compatibility/2006">
          <mc:Choice Requires="x14">
            <control shapeId="22555" r:id="rId20" name="Check Box 27">
              <controlPr defaultSize="0" autoFill="0" autoLine="0" autoPict="0">
                <anchor moveWithCells="1">
                  <from>
                    <xdr:col>10</xdr:col>
                    <xdr:colOff>76200</xdr:colOff>
                    <xdr:row>60</xdr:row>
                    <xdr:rowOff>7620</xdr:rowOff>
                  </from>
                  <to>
                    <xdr:col>10</xdr:col>
                    <xdr:colOff>396240</xdr:colOff>
                    <xdr:row>61</xdr:row>
                    <xdr:rowOff>0</xdr:rowOff>
                  </to>
                </anchor>
              </controlPr>
            </control>
          </mc:Choice>
        </mc:AlternateContent>
        <mc:AlternateContent xmlns:mc="http://schemas.openxmlformats.org/markup-compatibility/2006">
          <mc:Choice Requires="x14">
            <control shapeId="22556" r:id="rId21" name="Check Box 28">
              <controlPr defaultSize="0" autoFill="0" autoLine="0" autoPict="0">
                <anchor moveWithCells="1">
                  <from>
                    <xdr:col>6</xdr:col>
                    <xdr:colOff>76200</xdr:colOff>
                    <xdr:row>41</xdr:row>
                    <xdr:rowOff>7620</xdr:rowOff>
                  </from>
                  <to>
                    <xdr:col>6</xdr:col>
                    <xdr:colOff>396240</xdr:colOff>
                    <xdr:row>42</xdr:row>
                    <xdr:rowOff>0</xdr:rowOff>
                  </to>
                </anchor>
              </controlPr>
            </control>
          </mc:Choice>
        </mc:AlternateContent>
        <mc:AlternateContent xmlns:mc="http://schemas.openxmlformats.org/markup-compatibility/2006">
          <mc:Choice Requires="x14">
            <control shapeId="22557" r:id="rId22" name="Check Box 29">
              <controlPr defaultSize="0" autoFill="0" autoLine="0" autoPict="0">
                <anchor moveWithCells="1">
                  <from>
                    <xdr:col>6</xdr:col>
                    <xdr:colOff>76200</xdr:colOff>
                    <xdr:row>42</xdr:row>
                    <xdr:rowOff>7620</xdr:rowOff>
                  </from>
                  <to>
                    <xdr:col>6</xdr:col>
                    <xdr:colOff>396240</xdr:colOff>
                    <xdr:row>43</xdr:row>
                    <xdr:rowOff>0</xdr:rowOff>
                  </to>
                </anchor>
              </controlPr>
            </control>
          </mc:Choice>
        </mc:AlternateContent>
        <mc:AlternateContent xmlns:mc="http://schemas.openxmlformats.org/markup-compatibility/2006">
          <mc:Choice Requires="x14">
            <control shapeId="22558" r:id="rId23" name="Check Box 30">
              <controlPr defaultSize="0" autoFill="0" autoLine="0" autoPict="0">
                <anchor moveWithCells="1">
                  <from>
                    <xdr:col>6</xdr:col>
                    <xdr:colOff>76200</xdr:colOff>
                    <xdr:row>43</xdr:row>
                    <xdr:rowOff>7620</xdr:rowOff>
                  </from>
                  <to>
                    <xdr:col>6</xdr:col>
                    <xdr:colOff>396240</xdr:colOff>
                    <xdr:row>44</xdr:row>
                    <xdr:rowOff>0</xdr:rowOff>
                  </to>
                </anchor>
              </controlPr>
            </control>
          </mc:Choice>
        </mc:AlternateContent>
        <mc:AlternateContent xmlns:mc="http://schemas.openxmlformats.org/markup-compatibility/2006">
          <mc:Choice Requires="x14">
            <control shapeId="22559" r:id="rId24" name="Check Box 31">
              <controlPr defaultSize="0" autoFill="0" autoLine="0" autoPict="0">
                <anchor moveWithCells="1">
                  <from>
                    <xdr:col>6</xdr:col>
                    <xdr:colOff>76200</xdr:colOff>
                    <xdr:row>44</xdr:row>
                    <xdr:rowOff>7620</xdr:rowOff>
                  </from>
                  <to>
                    <xdr:col>6</xdr:col>
                    <xdr:colOff>396240</xdr:colOff>
                    <xdr:row>45</xdr:row>
                    <xdr:rowOff>0</xdr:rowOff>
                  </to>
                </anchor>
              </controlPr>
            </control>
          </mc:Choice>
        </mc:AlternateContent>
        <mc:AlternateContent xmlns:mc="http://schemas.openxmlformats.org/markup-compatibility/2006">
          <mc:Choice Requires="x14">
            <control shapeId="22560" r:id="rId25" name="Check Box 32">
              <controlPr defaultSize="0" autoFill="0" autoLine="0" autoPict="0">
                <anchor moveWithCells="1">
                  <from>
                    <xdr:col>6</xdr:col>
                    <xdr:colOff>76200</xdr:colOff>
                    <xdr:row>45</xdr:row>
                    <xdr:rowOff>7620</xdr:rowOff>
                  </from>
                  <to>
                    <xdr:col>6</xdr:col>
                    <xdr:colOff>396240</xdr:colOff>
                    <xdr:row>46</xdr:row>
                    <xdr:rowOff>0</xdr:rowOff>
                  </to>
                </anchor>
              </controlPr>
            </control>
          </mc:Choice>
        </mc:AlternateContent>
        <mc:AlternateContent xmlns:mc="http://schemas.openxmlformats.org/markup-compatibility/2006">
          <mc:Choice Requires="x14">
            <control shapeId="22561" r:id="rId26" name="Check Box 33">
              <controlPr defaultSize="0" autoFill="0" autoLine="0" autoPict="0">
                <anchor moveWithCells="1">
                  <from>
                    <xdr:col>1</xdr:col>
                    <xdr:colOff>76200</xdr:colOff>
                    <xdr:row>41</xdr:row>
                    <xdr:rowOff>7620</xdr:rowOff>
                  </from>
                  <to>
                    <xdr:col>1</xdr:col>
                    <xdr:colOff>396240</xdr:colOff>
                    <xdr:row>42</xdr:row>
                    <xdr:rowOff>0</xdr:rowOff>
                  </to>
                </anchor>
              </controlPr>
            </control>
          </mc:Choice>
        </mc:AlternateContent>
        <mc:AlternateContent xmlns:mc="http://schemas.openxmlformats.org/markup-compatibility/2006">
          <mc:Choice Requires="x14">
            <control shapeId="22562" r:id="rId27" name="Check Box 34">
              <controlPr defaultSize="0" autoFill="0" autoLine="0" autoPict="0">
                <anchor moveWithCells="1">
                  <from>
                    <xdr:col>1</xdr:col>
                    <xdr:colOff>76200</xdr:colOff>
                    <xdr:row>42</xdr:row>
                    <xdr:rowOff>15240</xdr:rowOff>
                  </from>
                  <to>
                    <xdr:col>1</xdr:col>
                    <xdr:colOff>396240</xdr:colOff>
                    <xdr:row>43</xdr:row>
                    <xdr:rowOff>7620</xdr:rowOff>
                  </to>
                </anchor>
              </controlPr>
            </control>
          </mc:Choice>
        </mc:AlternateContent>
        <mc:AlternateContent xmlns:mc="http://schemas.openxmlformats.org/markup-compatibility/2006">
          <mc:Choice Requires="x14">
            <control shapeId="22564" r:id="rId28" name="Check Box 36">
              <controlPr defaultSize="0" autoFill="0" autoLine="0" autoPict="0">
                <anchor moveWithCells="1">
                  <from>
                    <xdr:col>1</xdr:col>
                    <xdr:colOff>76200</xdr:colOff>
                    <xdr:row>43</xdr:row>
                    <xdr:rowOff>7620</xdr:rowOff>
                  </from>
                  <to>
                    <xdr:col>1</xdr:col>
                    <xdr:colOff>396240</xdr:colOff>
                    <xdr:row>44</xdr:row>
                    <xdr:rowOff>0</xdr:rowOff>
                  </to>
                </anchor>
              </controlPr>
            </control>
          </mc:Choice>
        </mc:AlternateContent>
        <mc:AlternateContent xmlns:mc="http://schemas.openxmlformats.org/markup-compatibility/2006">
          <mc:Choice Requires="x14">
            <control shapeId="22565" r:id="rId29" name="Check Box 37">
              <controlPr defaultSize="0" autoFill="0" autoLine="0" autoPict="0">
                <anchor moveWithCells="1">
                  <from>
                    <xdr:col>1</xdr:col>
                    <xdr:colOff>76200</xdr:colOff>
                    <xdr:row>44</xdr:row>
                    <xdr:rowOff>7620</xdr:rowOff>
                  </from>
                  <to>
                    <xdr:col>1</xdr:col>
                    <xdr:colOff>396240</xdr:colOff>
                    <xdr:row>45</xdr:row>
                    <xdr:rowOff>0</xdr:rowOff>
                  </to>
                </anchor>
              </controlPr>
            </control>
          </mc:Choice>
        </mc:AlternateContent>
        <mc:AlternateContent xmlns:mc="http://schemas.openxmlformats.org/markup-compatibility/2006">
          <mc:Choice Requires="x14">
            <control shapeId="22566" r:id="rId30" name="Check Box 38">
              <controlPr defaultSize="0" autoFill="0" autoLine="0" autoPict="0">
                <anchor moveWithCells="1">
                  <from>
                    <xdr:col>1</xdr:col>
                    <xdr:colOff>76200</xdr:colOff>
                    <xdr:row>45</xdr:row>
                    <xdr:rowOff>7620</xdr:rowOff>
                  </from>
                  <to>
                    <xdr:col>1</xdr:col>
                    <xdr:colOff>396240</xdr:colOff>
                    <xdr:row>46</xdr:row>
                    <xdr:rowOff>0</xdr:rowOff>
                  </to>
                </anchor>
              </controlPr>
            </control>
          </mc:Choice>
        </mc:AlternateContent>
        <mc:AlternateContent xmlns:mc="http://schemas.openxmlformats.org/markup-compatibility/2006">
          <mc:Choice Requires="x14">
            <control shapeId="22567" r:id="rId31" name="Check Box 39">
              <controlPr defaultSize="0" autoFill="0" autoLine="0" autoPict="0">
                <anchor moveWithCells="1">
                  <from>
                    <xdr:col>1</xdr:col>
                    <xdr:colOff>76200</xdr:colOff>
                    <xdr:row>46</xdr:row>
                    <xdr:rowOff>7620</xdr:rowOff>
                  </from>
                  <to>
                    <xdr:col>1</xdr:col>
                    <xdr:colOff>396240</xdr:colOff>
                    <xdr:row>47</xdr:row>
                    <xdr:rowOff>0</xdr:rowOff>
                  </to>
                </anchor>
              </controlPr>
            </control>
          </mc:Choice>
        </mc:AlternateContent>
        <mc:AlternateContent xmlns:mc="http://schemas.openxmlformats.org/markup-compatibility/2006">
          <mc:Choice Requires="x14">
            <control shapeId="22568" r:id="rId32" name="Check Box 40">
              <controlPr defaultSize="0" autoFill="0" autoLine="0" autoPict="0">
                <anchor moveWithCells="1">
                  <from>
                    <xdr:col>1</xdr:col>
                    <xdr:colOff>76200</xdr:colOff>
                    <xdr:row>47</xdr:row>
                    <xdr:rowOff>7620</xdr:rowOff>
                  </from>
                  <to>
                    <xdr:col>1</xdr:col>
                    <xdr:colOff>396240</xdr:colOff>
                    <xdr:row>48</xdr:row>
                    <xdr:rowOff>0</xdr:rowOff>
                  </to>
                </anchor>
              </controlPr>
            </control>
          </mc:Choice>
        </mc:AlternateContent>
        <mc:AlternateContent xmlns:mc="http://schemas.openxmlformats.org/markup-compatibility/2006">
          <mc:Choice Requires="x14">
            <control shapeId="22569" r:id="rId33" name="Check Box 41">
              <controlPr defaultSize="0" autoFill="0" autoLine="0" autoPict="0">
                <anchor moveWithCells="1">
                  <from>
                    <xdr:col>1</xdr:col>
                    <xdr:colOff>76200</xdr:colOff>
                    <xdr:row>48</xdr:row>
                    <xdr:rowOff>7620</xdr:rowOff>
                  </from>
                  <to>
                    <xdr:col>1</xdr:col>
                    <xdr:colOff>396240</xdr:colOff>
                    <xdr:row>49</xdr:row>
                    <xdr:rowOff>0</xdr:rowOff>
                  </to>
                </anchor>
              </controlPr>
            </control>
          </mc:Choice>
        </mc:AlternateContent>
        <mc:AlternateContent xmlns:mc="http://schemas.openxmlformats.org/markup-compatibility/2006">
          <mc:Choice Requires="x14">
            <control shapeId="22570" r:id="rId34" name="Check Box 42">
              <controlPr defaultSize="0" autoFill="0" autoLine="0" autoPict="0">
                <anchor moveWithCells="1">
                  <from>
                    <xdr:col>1</xdr:col>
                    <xdr:colOff>76200</xdr:colOff>
                    <xdr:row>49</xdr:row>
                    <xdr:rowOff>7620</xdr:rowOff>
                  </from>
                  <to>
                    <xdr:col>1</xdr:col>
                    <xdr:colOff>396240</xdr:colOff>
                    <xdr:row>50</xdr:row>
                    <xdr:rowOff>0</xdr:rowOff>
                  </to>
                </anchor>
              </controlPr>
            </control>
          </mc:Choice>
        </mc:AlternateContent>
        <mc:AlternateContent xmlns:mc="http://schemas.openxmlformats.org/markup-compatibility/2006">
          <mc:Choice Requires="x14">
            <control shapeId="22571" r:id="rId35" name="Check Box 43">
              <controlPr defaultSize="0" autoFill="0" autoLine="0" autoPict="0">
                <anchor moveWithCells="1">
                  <from>
                    <xdr:col>1</xdr:col>
                    <xdr:colOff>76200</xdr:colOff>
                    <xdr:row>50</xdr:row>
                    <xdr:rowOff>7620</xdr:rowOff>
                  </from>
                  <to>
                    <xdr:col>1</xdr:col>
                    <xdr:colOff>396240</xdr:colOff>
                    <xdr:row>51</xdr:row>
                    <xdr:rowOff>0</xdr:rowOff>
                  </to>
                </anchor>
              </controlPr>
            </control>
          </mc:Choice>
        </mc:AlternateContent>
        <mc:AlternateContent xmlns:mc="http://schemas.openxmlformats.org/markup-compatibility/2006">
          <mc:Choice Requires="x14">
            <control shapeId="22572" r:id="rId36" name="Check Box 44">
              <controlPr defaultSize="0" autoFill="0" autoLine="0" autoPict="0">
                <anchor moveWithCells="1">
                  <from>
                    <xdr:col>1</xdr:col>
                    <xdr:colOff>76200</xdr:colOff>
                    <xdr:row>51</xdr:row>
                    <xdr:rowOff>7620</xdr:rowOff>
                  </from>
                  <to>
                    <xdr:col>1</xdr:col>
                    <xdr:colOff>396240</xdr:colOff>
                    <xdr:row>52</xdr:row>
                    <xdr:rowOff>0</xdr:rowOff>
                  </to>
                </anchor>
              </controlPr>
            </control>
          </mc:Choice>
        </mc:AlternateContent>
        <mc:AlternateContent xmlns:mc="http://schemas.openxmlformats.org/markup-compatibility/2006">
          <mc:Choice Requires="x14">
            <control shapeId="22573" r:id="rId37" name="Check Box 45">
              <controlPr defaultSize="0" autoFill="0" autoLine="0" autoPict="0">
                <anchor moveWithCells="1">
                  <from>
                    <xdr:col>1</xdr:col>
                    <xdr:colOff>76200</xdr:colOff>
                    <xdr:row>22</xdr:row>
                    <xdr:rowOff>7620</xdr:rowOff>
                  </from>
                  <to>
                    <xdr:col>1</xdr:col>
                    <xdr:colOff>396240</xdr:colOff>
                    <xdr:row>22</xdr:row>
                    <xdr:rowOff>182880</xdr:rowOff>
                  </to>
                </anchor>
              </controlPr>
            </control>
          </mc:Choice>
        </mc:AlternateContent>
        <mc:AlternateContent xmlns:mc="http://schemas.openxmlformats.org/markup-compatibility/2006">
          <mc:Choice Requires="x14">
            <control shapeId="22574" r:id="rId38" name="Check Box 46">
              <controlPr defaultSize="0" autoFill="0" autoLine="0" autoPict="0">
                <anchor moveWithCells="1">
                  <from>
                    <xdr:col>1</xdr:col>
                    <xdr:colOff>76200</xdr:colOff>
                    <xdr:row>23</xdr:row>
                    <xdr:rowOff>7620</xdr:rowOff>
                  </from>
                  <to>
                    <xdr:col>1</xdr:col>
                    <xdr:colOff>396240</xdr:colOff>
                    <xdr:row>23</xdr:row>
                    <xdr:rowOff>182880</xdr:rowOff>
                  </to>
                </anchor>
              </controlPr>
            </control>
          </mc:Choice>
        </mc:AlternateContent>
        <mc:AlternateContent xmlns:mc="http://schemas.openxmlformats.org/markup-compatibility/2006">
          <mc:Choice Requires="x14">
            <control shapeId="22575" r:id="rId39" name="Check Box 47">
              <controlPr defaultSize="0" autoFill="0" autoLine="0" autoPict="0">
                <anchor moveWithCells="1">
                  <from>
                    <xdr:col>1</xdr:col>
                    <xdr:colOff>76200</xdr:colOff>
                    <xdr:row>24</xdr:row>
                    <xdr:rowOff>7620</xdr:rowOff>
                  </from>
                  <to>
                    <xdr:col>1</xdr:col>
                    <xdr:colOff>396240</xdr:colOff>
                    <xdr:row>25</xdr:row>
                    <xdr:rowOff>0</xdr:rowOff>
                  </to>
                </anchor>
              </controlPr>
            </control>
          </mc:Choice>
        </mc:AlternateContent>
        <mc:AlternateContent xmlns:mc="http://schemas.openxmlformats.org/markup-compatibility/2006">
          <mc:Choice Requires="x14">
            <control shapeId="22576" r:id="rId40" name="Check Box 48">
              <controlPr defaultSize="0" autoFill="0" autoLine="0" autoPict="0">
                <anchor moveWithCells="1">
                  <from>
                    <xdr:col>1</xdr:col>
                    <xdr:colOff>76200</xdr:colOff>
                    <xdr:row>25</xdr:row>
                    <xdr:rowOff>7620</xdr:rowOff>
                  </from>
                  <to>
                    <xdr:col>1</xdr:col>
                    <xdr:colOff>396240</xdr:colOff>
                    <xdr:row>26</xdr:row>
                    <xdr:rowOff>0</xdr:rowOff>
                  </to>
                </anchor>
              </controlPr>
            </control>
          </mc:Choice>
        </mc:AlternateContent>
        <mc:AlternateContent xmlns:mc="http://schemas.openxmlformats.org/markup-compatibility/2006">
          <mc:Choice Requires="x14">
            <control shapeId="22577" r:id="rId41" name="Check Box 49">
              <controlPr defaultSize="0" autoFill="0" autoLine="0" autoPict="0">
                <anchor moveWithCells="1">
                  <from>
                    <xdr:col>1</xdr:col>
                    <xdr:colOff>76200</xdr:colOff>
                    <xdr:row>26</xdr:row>
                    <xdr:rowOff>7620</xdr:rowOff>
                  </from>
                  <to>
                    <xdr:col>1</xdr:col>
                    <xdr:colOff>396240</xdr:colOff>
                    <xdr:row>27</xdr:row>
                    <xdr:rowOff>0</xdr:rowOff>
                  </to>
                </anchor>
              </controlPr>
            </control>
          </mc:Choice>
        </mc:AlternateContent>
        <mc:AlternateContent xmlns:mc="http://schemas.openxmlformats.org/markup-compatibility/2006">
          <mc:Choice Requires="x14">
            <control shapeId="22578" r:id="rId42" name="Check Box 50">
              <controlPr defaultSize="0" autoFill="0" autoLine="0" autoPict="0">
                <anchor moveWithCells="1">
                  <from>
                    <xdr:col>1</xdr:col>
                    <xdr:colOff>76200</xdr:colOff>
                    <xdr:row>27</xdr:row>
                    <xdr:rowOff>7620</xdr:rowOff>
                  </from>
                  <to>
                    <xdr:col>1</xdr:col>
                    <xdr:colOff>396240</xdr:colOff>
                    <xdr:row>27</xdr:row>
                    <xdr:rowOff>182880</xdr:rowOff>
                  </to>
                </anchor>
              </controlPr>
            </control>
          </mc:Choice>
        </mc:AlternateContent>
        <mc:AlternateContent xmlns:mc="http://schemas.openxmlformats.org/markup-compatibility/2006">
          <mc:Choice Requires="x14">
            <control shapeId="22579" r:id="rId43" name="Check Box 51">
              <controlPr defaultSize="0" autoFill="0" autoLine="0" autoPict="0">
                <anchor moveWithCells="1">
                  <from>
                    <xdr:col>1</xdr:col>
                    <xdr:colOff>76200</xdr:colOff>
                    <xdr:row>28</xdr:row>
                    <xdr:rowOff>7620</xdr:rowOff>
                  </from>
                  <to>
                    <xdr:col>1</xdr:col>
                    <xdr:colOff>396240</xdr:colOff>
                    <xdr:row>28</xdr:row>
                    <xdr:rowOff>182880</xdr:rowOff>
                  </to>
                </anchor>
              </controlPr>
            </control>
          </mc:Choice>
        </mc:AlternateContent>
        <mc:AlternateContent xmlns:mc="http://schemas.openxmlformats.org/markup-compatibility/2006">
          <mc:Choice Requires="x14">
            <control shapeId="22580" r:id="rId44" name="Check Box 52">
              <controlPr defaultSize="0" autoFill="0" autoLine="0" autoPict="0">
                <anchor moveWithCells="1">
                  <from>
                    <xdr:col>1</xdr:col>
                    <xdr:colOff>76200</xdr:colOff>
                    <xdr:row>29</xdr:row>
                    <xdr:rowOff>7620</xdr:rowOff>
                  </from>
                  <to>
                    <xdr:col>1</xdr:col>
                    <xdr:colOff>396240</xdr:colOff>
                    <xdr:row>29</xdr:row>
                    <xdr:rowOff>182880</xdr:rowOff>
                  </to>
                </anchor>
              </controlPr>
            </control>
          </mc:Choice>
        </mc:AlternateContent>
        <mc:AlternateContent xmlns:mc="http://schemas.openxmlformats.org/markup-compatibility/2006">
          <mc:Choice Requires="x14">
            <control shapeId="22581" r:id="rId45" name="Check Box 53">
              <controlPr defaultSize="0" autoFill="0" autoLine="0" autoPict="0">
                <anchor moveWithCells="1">
                  <from>
                    <xdr:col>1</xdr:col>
                    <xdr:colOff>76200</xdr:colOff>
                    <xdr:row>30</xdr:row>
                    <xdr:rowOff>7620</xdr:rowOff>
                  </from>
                  <to>
                    <xdr:col>1</xdr:col>
                    <xdr:colOff>396240</xdr:colOff>
                    <xdr:row>31</xdr:row>
                    <xdr:rowOff>0</xdr:rowOff>
                  </to>
                </anchor>
              </controlPr>
            </control>
          </mc:Choice>
        </mc:AlternateContent>
        <mc:AlternateContent xmlns:mc="http://schemas.openxmlformats.org/markup-compatibility/2006">
          <mc:Choice Requires="x14">
            <control shapeId="22582" r:id="rId46" name="Check Box 54">
              <controlPr defaultSize="0" autoFill="0" autoLine="0" autoPict="0">
                <anchor moveWithCells="1">
                  <from>
                    <xdr:col>1</xdr:col>
                    <xdr:colOff>76200</xdr:colOff>
                    <xdr:row>31</xdr:row>
                    <xdr:rowOff>7620</xdr:rowOff>
                  </from>
                  <to>
                    <xdr:col>1</xdr:col>
                    <xdr:colOff>396240</xdr:colOff>
                    <xdr:row>32</xdr:row>
                    <xdr:rowOff>0</xdr:rowOff>
                  </to>
                </anchor>
              </controlPr>
            </control>
          </mc:Choice>
        </mc:AlternateContent>
        <mc:AlternateContent xmlns:mc="http://schemas.openxmlformats.org/markup-compatibility/2006">
          <mc:Choice Requires="x14">
            <control shapeId="22583" r:id="rId47" name="Check Box 55">
              <controlPr defaultSize="0" autoFill="0" autoLine="0" autoPict="0">
                <anchor moveWithCells="1">
                  <from>
                    <xdr:col>1</xdr:col>
                    <xdr:colOff>76200</xdr:colOff>
                    <xdr:row>32</xdr:row>
                    <xdr:rowOff>7620</xdr:rowOff>
                  </from>
                  <to>
                    <xdr:col>1</xdr:col>
                    <xdr:colOff>396240</xdr:colOff>
                    <xdr:row>32</xdr:row>
                    <xdr:rowOff>182880</xdr:rowOff>
                  </to>
                </anchor>
              </controlPr>
            </control>
          </mc:Choice>
        </mc:AlternateContent>
        <mc:AlternateContent xmlns:mc="http://schemas.openxmlformats.org/markup-compatibility/2006">
          <mc:Choice Requires="x14">
            <control shapeId="22584" r:id="rId48" name="Check Box 56">
              <controlPr defaultSize="0" autoFill="0" autoLine="0" autoPict="0">
                <anchor moveWithCells="1">
                  <from>
                    <xdr:col>1</xdr:col>
                    <xdr:colOff>76200</xdr:colOff>
                    <xdr:row>33</xdr:row>
                    <xdr:rowOff>7620</xdr:rowOff>
                  </from>
                  <to>
                    <xdr:col>1</xdr:col>
                    <xdr:colOff>396240</xdr:colOff>
                    <xdr:row>34</xdr:row>
                    <xdr:rowOff>0</xdr:rowOff>
                  </to>
                </anchor>
              </controlPr>
            </control>
          </mc:Choice>
        </mc:AlternateContent>
        <mc:AlternateContent xmlns:mc="http://schemas.openxmlformats.org/markup-compatibility/2006">
          <mc:Choice Requires="x14">
            <control shapeId="22585" r:id="rId49" name="Check Box 57">
              <controlPr defaultSize="0" autoFill="0" autoLine="0" autoPict="0">
                <anchor moveWithCells="1">
                  <from>
                    <xdr:col>1</xdr:col>
                    <xdr:colOff>76200</xdr:colOff>
                    <xdr:row>34</xdr:row>
                    <xdr:rowOff>7620</xdr:rowOff>
                  </from>
                  <to>
                    <xdr:col>1</xdr:col>
                    <xdr:colOff>396240</xdr:colOff>
                    <xdr:row>35</xdr:row>
                    <xdr:rowOff>0</xdr:rowOff>
                  </to>
                </anchor>
              </controlPr>
            </control>
          </mc:Choice>
        </mc:AlternateContent>
        <mc:AlternateContent xmlns:mc="http://schemas.openxmlformats.org/markup-compatibility/2006">
          <mc:Choice Requires="x14">
            <control shapeId="22586" r:id="rId50" name="Check Box 58">
              <controlPr defaultSize="0" autoFill="0" autoLine="0" autoPict="0">
                <anchor moveWithCells="1">
                  <from>
                    <xdr:col>1</xdr:col>
                    <xdr:colOff>76200</xdr:colOff>
                    <xdr:row>35</xdr:row>
                    <xdr:rowOff>7620</xdr:rowOff>
                  </from>
                  <to>
                    <xdr:col>1</xdr:col>
                    <xdr:colOff>396240</xdr:colOff>
                    <xdr:row>35</xdr:row>
                    <xdr:rowOff>182880</xdr:rowOff>
                  </to>
                </anchor>
              </controlPr>
            </control>
          </mc:Choice>
        </mc:AlternateContent>
        <mc:AlternateContent xmlns:mc="http://schemas.openxmlformats.org/markup-compatibility/2006">
          <mc:Choice Requires="x14">
            <control shapeId="22587" r:id="rId51" name="Check Box 59">
              <controlPr defaultSize="0" autoFill="0" autoLine="0" autoPict="0">
                <anchor moveWithCells="1">
                  <from>
                    <xdr:col>1</xdr:col>
                    <xdr:colOff>76200</xdr:colOff>
                    <xdr:row>36</xdr:row>
                    <xdr:rowOff>7620</xdr:rowOff>
                  </from>
                  <to>
                    <xdr:col>1</xdr:col>
                    <xdr:colOff>396240</xdr:colOff>
                    <xdr:row>37</xdr:row>
                    <xdr:rowOff>0</xdr:rowOff>
                  </to>
                </anchor>
              </controlPr>
            </control>
          </mc:Choice>
        </mc:AlternateContent>
        <mc:AlternateContent xmlns:mc="http://schemas.openxmlformats.org/markup-compatibility/2006">
          <mc:Choice Requires="x14">
            <control shapeId="22588" r:id="rId52" name="Check Box 60">
              <controlPr defaultSize="0" autoFill="0" autoLine="0" autoPict="0">
                <anchor moveWithCells="1">
                  <from>
                    <xdr:col>4</xdr:col>
                    <xdr:colOff>76200</xdr:colOff>
                    <xdr:row>22</xdr:row>
                    <xdr:rowOff>7620</xdr:rowOff>
                  </from>
                  <to>
                    <xdr:col>4</xdr:col>
                    <xdr:colOff>396240</xdr:colOff>
                    <xdr:row>22</xdr:row>
                    <xdr:rowOff>182880</xdr:rowOff>
                  </to>
                </anchor>
              </controlPr>
            </control>
          </mc:Choice>
        </mc:AlternateContent>
        <mc:AlternateContent xmlns:mc="http://schemas.openxmlformats.org/markup-compatibility/2006">
          <mc:Choice Requires="x14">
            <control shapeId="22589" r:id="rId53" name="Check Box 61">
              <controlPr defaultSize="0" autoFill="0" autoLine="0" autoPict="0">
                <anchor moveWithCells="1">
                  <from>
                    <xdr:col>4</xdr:col>
                    <xdr:colOff>76200</xdr:colOff>
                    <xdr:row>23</xdr:row>
                    <xdr:rowOff>7620</xdr:rowOff>
                  </from>
                  <to>
                    <xdr:col>4</xdr:col>
                    <xdr:colOff>396240</xdr:colOff>
                    <xdr:row>23</xdr:row>
                    <xdr:rowOff>182880</xdr:rowOff>
                  </to>
                </anchor>
              </controlPr>
            </control>
          </mc:Choice>
        </mc:AlternateContent>
        <mc:AlternateContent xmlns:mc="http://schemas.openxmlformats.org/markup-compatibility/2006">
          <mc:Choice Requires="x14">
            <control shapeId="22590" r:id="rId54" name="Check Box 62">
              <controlPr defaultSize="0" autoFill="0" autoLine="0" autoPict="0">
                <anchor moveWithCells="1">
                  <from>
                    <xdr:col>4</xdr:col>
                    <xdr:colOff>76200</xdr:colOff>
                    <xdr:row>24</xdr:row>
                    <xdr:rowOff>7620</xdr:rowOff>
                  </from>
                  <to>
                    <xdr:col>4</xdr:col>
                    <xdr:colOff>396240</xdr:colOff>
                    <xdr:row>25</xdr:row>
                    <xdr:rowOff>0</xdr:rowOff>
                  </to>
                </anchor>
              </controlPr>
            </control>
          </mc:Choice>
        </mc:AlternateContent>
        <mc:AlternateContent xmlns:mc="http://schemas.openxmlformats.org/markup-compatibility/2006">
          <mc:Choice Requires="x14">
            <control shapeId="22591" r:id="rId55" name="Check Box 63">
              <controlPr defaultSize="0" autoFill="0" autoLine="0" autoPict="0">
                <anchor moveWithCells="1">
                  <from>
                    <xdr:col>4</xdr:col>
                    <xdr:colOff>76200</xdr:colOff>
                    <xdr:row>26</xdr:row>
                    <xdr:rowOff>7620</xdr:rowOff>
                  </from>
                  <to>
                    <xdr:col>4</xdr:col>
                    <xdr:colOff>396240</xdr:colOff>
                    <xdr:row>27</xdr:row>
                    <xdr:rowOff>0</xdr:rowOff>
                  </to>
                </anchor>
              </controlPr>
            </control>
          </mc:Choice>
        </mc:AlternateContent>
        <mc:AlternateContent xmlns:mc="http://schemas.openxmlformats.org/markup-compatibility/2006">
          <mc:Choice Requires="x14">
            <control shapeId="22592" r:id="rId56" name="Check Box 64">
              <controlPr defaultSize="0" autoFill="0" autoLine="0" autoPict="0">
                <anchor moveWithCells="1">
                  <from>
                    <xdr:col>4</xdr:col>
                    <xdr:colOff>76200</xdr:colOff>
                    <xdr:row>27</xdr:row>
                    <xdr:rowOff>7620</xdr:rowOff>
                  </from>
                  <to>
                    <xdr:col>4</xdr:col>
                    <xdr:colOff>396240</xdr:colOff>
                    <xdr:row>27</xdr:row>
                    <xdr:rowOff>182880</xdr:rowOff>
                  </to>
                </anchor>
              </controlPr>
            </control>
          </mc:Choice>
        </mc:AlternateContent>
        <mc:AlternateContent xmlns:mc="http://schemas.openxmlformats.org/markup-compatibility/2006">
          <mc:Choice Requires="x14">
            <control shapeId="22593" r:id="rId57" name="Check Box 65">
              <controlPr defaultSize="0" autoFill="0" autoLine="0" autoPict="0">
                <anchor moveWithCells="1">
                  <from>
                    <xdr:col>4</xdr:col>
                    <xdr:colOff>76200</xdr:colOff>
                    <xdr:row>25</xdr:row>
                    <xdr:rowOff>7620</xdr:rowOff>
                  </from>
                  <to>
                    <xdr:col>4</xdr:col>
                    <xdr:colOff>396240</xdr:colOff>
                    <xdr:row>26</xdr:row>
                    <xdr:rowOff>0</xdr:rowOff>
                  </to>
                </anchor>
              </controlPr>
            </control>
          </mc:Choice>
        </mc:AlternateContent>
        <mc:AlternateContent xmlns:mc="http://schemas.openxmlformats.org/markup-compatibility/2006">
          <mc:Choice Requires="x14">
            <control shapeId="22594" r:id="rId58" name="Check Box 66">
              <controlPr defaultSize="0" autoFill="0" autoLine="0" autoPict="0">
                <anchor moveWithCells="1">
                  <from>
                    <xdr:col>4</xdr:col>
                    <xdr:colOff>76200</xdr:colOff>
                    <xdr:row>28</xdr:row>
                    <xdr:rowOff>7620</xdr:rowOff>
                  </from>
                  <to>
                    <xdr:col>4</xdr:col>
                    <xdr:colOff>396240</xdr:colOff>
                    <xdr:row>28</xdr:row>
                    <xdr:rowOff>182880</xdr:rowOff>
                  </to>
                </anchor>
              </controlPr>
            </control>
          </mc:Choice>
        </mc:AlternateContent>
        <mc:AlternateContent xmlns:mc="http://schemas.openxmlformats.org/markup-compatibility/2006">
          <mc:Choice Requires="x14">
            <control shapeId="22595" r:id="rId59" name="Check Box 67">
              <controlPr defaultSize="0" autoFill="0" autoLine="0" autoPict="0">
                <anchor moveWithCells="1">
                  <from>
                    <xdr:col>4</xdr:col>
                    <xdr:colOff>76200</xdr:colOff>
                    <xdr:row>29</xdr:row>
                    <xdr:rowOff>7620</xdr:rowOff>
                  </from>
                  <to>
                    <xdr:col>4</xdr:col>
                    <xdr:colOff>396240</xdr:colOff>
                    <xdr:row>29</xdr:row>
                    <xdr:rowOff>182880</xdr:rowOff>
                  </to>
                </anchor>
              </controlPr>
            </control>
          </mc:Choice>
        </mc:AlternateContent>
        <mc:AlternateContent xmlns:mc="http://schemas.openxmlformats.org/markup-compatibility/2006">
          <mc:Choice Requires="x14">
            <control shapeId="22596" r:id="rId60" name="Check Box 68">
              <controlPr defaultSize="0" autoFill="0" autoLine="0" autoPict="0">
                <anchor moveWithCells="1">
                  <from>
                    <xdr:col>4</xdr:col>
                    <xdr:colOff>76200</xdr:colOff>
                    <xdr:row>30</xdr:row>
                    <xdr:rowOff>7620</xdr:rowOff>
                  </from>
                  <to>
                    <xdr:col>4</xdr:col>
                    <xdr:colOff>396240</xdr:colOff>
                    <xdr:row>31</xdr:row>
                    <xdr:rowOff>0</xdr:rowOff>
                  </to>
                </anchor>
              </controlPr>
            </control>
          </mc:Choice>
        </mc:AlternateContent>
        <mc:AlternateContent xmlns:mc="http://schemas.openxmlformats.org/markup-compatibility/2006">
          <mc:Choice Requires="x14">
            <control shapeId="22597" r:id="rId61" name="Check Box 69">
              <controlPr defaultSize="0" autoFill="0" autoLine="0" autoPict="0">
                <anchor moveWithCells="1">
                  <from>
                    <xdr:col>4</xdr:col>
                    <xdr:colOff>76200</xdr:colOff>
                    <xdr:row>32</xdr:row>
                    <xdr:rowOff>7620</xdr:rowOff>
                  </from>
                  <to>
                    <xdr:col>4</xdr:col>
                    <xdr:colOff>396240</xdr:colOff>
                    <xdr:row>32</xdr:row>
                    <xdr:rowOff>182880</xdr:rowOff>
                  </to>
                </anchor>
              </controlPr>
            </control>
          </mc:Choice>
        </mc:AlternateContent>
        <mc:AlternateContent xmlns:mc="http://schemas.openxmlformats.org/markup-compatibility/2006">
          <mc:Choice Requires="x14">
            <control shapeId="22598" r:id="rId62" name="Check Box 70">
              <controlPr defaultSize="0" autoFill="0" autoLine="0" autoPict="0">
                <anchor moveWithCells="1">
                  <from>
                    <xdr:col>4</xdr:col>
                    <xdr:colOff>76200</xdr:colOff>
                    <xdr:row>31</xdr:row>
                    <xdr:rowOff>7620</xdr:rowOff>
                  </from>
                  <to>
                    <xdr:col>4</xdr:col>
                    <xdr:colOff>396240</xdr:colOff>
                    <xdr:row>32</xdr:row>
                    <xdr:rowOff>0</xdr:rowOff>
                  </to>
                </anchor>
              </controlPr>
            </control>
          </mc:Choice>
        </mc:AlternateContent>
        <mc:AlternateContent xmlns:mc="http://schemas.openxmlformats.org/markup-compatibility/2006">
          <mc:Choice Requires="x14">
            <control shapeId="22599" r:id="rId63" name="Check Box 71">
              <controlPr defaultSize="0" autoFill="0" autoLine="0" autoPict="0">
                <anchor moveWithCells="1">
                  <from>
                    <xdr:col>4</xdr:col>
                    <xdr:colOff>76200</xdr:colOff>
                    <xdr:row>33</xdr:row>
                    <xdr:rowOff>7620</xdr:rowOff>
                  </from>
                  <to>
                    <xdr:col>4</xdr:col>
                    <xdr:colOff>396240</xdr:colOff>
                    <xdr:row>34</xdr:row>
                    <xdr:rowOff>0</xdr:rowOff>
                  </to>
                </anchor>
              </controlPr>
            </control>
          </mc:Choice>
        </mc:AlternateContent>
        <mc:AlternateContent xmlns:mc="http://schemas.openxmlformats.org/markup-compatibility/2006">
          <mc:Choice Requires="x14">
            <control shapeId="22600" r:id="rId64" name="Check Box 72">
              <controlPr defaultSize="0" autoFill="0" autoLine="0" autoPict="0">
                <anchor moveWithCells="1">
                  <from>
                    <xdr:col>4</xdr:col>
                    <xdr:colOff>76200</xdr:colOff>
                    <xdr:row>34</xdr:row>
                    <xdr:rowOff>7620</xdr:rowOff>
                  </from>
                  <to>
                    <xdr:col>4</xdr:col>
                    <xdr:colOff>396240</xdr:colOff>
                    <xdr:row>35</xdr:row>
                    <xdr:rowOff>0</xdr:rowOff>
                  </to>
                </anchor>
              </controlPr>
            </control>
          </mc:Choice>
        </mc:AlternateContent>
        <mc:AlternateContent xmlns:mc="http://schemas.openxmlformats.org/markup-compatibility/2006">
          <mc:Choice Requires="x14">
            <control shapeId="22601" r:id="rId65" name="Check Box 73">
              <controlPr defaultSize="0" autoFill="0" autoLine="0" autoPict="0">
                <anchor moveWithCells="1">
                  <from>
                    <xdr:col>4</xdr:col>
                    <xdr:colOff>76200</xdr:colOff>
                    <xdr:row>35</xdr:row>
                    <xdr:rowOff>7620</xdr:rowOff>
                  </from>
                  <to>
                    <xdr:col>4</xdr:col>
                    <xdr:colOff>396240</xdr:colOff>
                    <xdr:row>35</xdr:row>
                    <xdr:rowOff>182880</xdr:rowOff>
                  </to>
                </anchor>
              </controlPr>
            </control>
          </mc:Choice>
        </mc:AlternateContent>
        <mc:AlternateContent xmlns:mc="http://schemas.openxmlformats.org/markup-compatibility/2006">
          <mc:Choice Requires="x14">
            <control shapeId="22602" r:id="rId66" name="Check Box 74">
              <controlPr defaultSize="0" autoFill="0" autoLine="0" autoPict="0">
                <anchor moveWithCells="1">
                  <from>
                    <xdr:col>4</xdr:col>
                    <xdr:colOff>76200</xdr:colOff>
                    <xdr:row>36</xdr:row>
                    <xdr:rowOff>7620</xdr:rowOff>
                  </from>
                  <to>
                    <xdr:col>4</xdr:col>
                    <xdr:colOff>396240</xdr:colOff>
                    <xdr:row>37</xdr:row>
                    <xdr:rowOff>0</xdr:rowOff>
                  </to>
                </anchor>
              </controlPr>
            </control>
          </mc:Choice>
        </mc:AlternateContent>
        <mc:AlternateContent xmlns:mc="http://schemas.openxmlformats.org/markup-compatibility/2006">
          <mc:Choice Requires="x14">
            <control shapeId="22603" r:id="rId67" name="Check Box 75">
              <controlPr defaultSize="0" autoFill="0" autoLine="0" autoPict="0">
                <anchor moveWithCells="1">
                  <from>
                    <xdr:col>9</xdr:col>
                    <xdr:colOff>76200</xdr:colOff>
                    <xdr:row>22</xdr:row>
                    <xdr:rowOff>7620</xdr:rowOff>
                  </from>
                  <to>
                    <xdr:col>9</xdr:col>
                    <xdr:colOff>396240</xdr:colOff>
                    <xdr:row>22</xdr:row>
                    <xdr:rowOff>182880</xdr:rowOff>
                  </to>
                </anchor>
              </controlPr>
            </control>
          </mc:Choice>
        </mc:AlternateContent>
        <mc:AlternateContent xmlns:mc="http://schemas.openxmlformats.org/markup-compatibility/2006">
          <mc:Choice Requires="x14">
            <control shapeId="22604" r:id="rId68" name="Check Box 76">
              <controlPr defaultSize="0" autoFill="0" autoLine="0" autoPict="0">
                <anchor moveWithCells="1">
                  <from>
                    <xdr:col>9</xdr:col>
                    <xdr:colOff>76200</xdr:colOff>
                    <xdr:row>23</xdr:row>
                    <xdr:rowOff>7620</xdr:rowOff>
                  </from>
                  <to>
                    <xdr:col>9</xdr:col>
                    <xdr:colOff>396240</xdr:colOff>
                    <xdr:row>23</xdr:row>
                    <xdr:rowOff>182880</xdr:rowOff>
                  </to>
                </anchor>
              </controlPr>
            </control>
          </mc:Choice>
        </mc:AlternateContent>
        <mc:AlternateContent xmlns:mc="http://schemas.openxmlformats.org/markup-compatibility/2006">
          <mc:Choice Requires="x14">
            <control shapeId="22605" r:id="rId69" name="Check Box 77">
              <controlPr defaultSize="0" autoFill="0" autoLine="0" autoPict="0">
                <anchor moveWithCells="1">
                  <from>
                    <xdr:col>9</xdr:col>
                    <xdr:colOff>76200</xdr:colOff>
                    <xdr:row>24</xdr:row>
                    <xdr:rowOff>7620</xdr:rowOff>
                  </from>
                  <to>
                    <xdr:col>9</xdr:col>
                    <xdr:colOff>396240</xdr:colOff>
                    <xdr:row>25</xdr:row>
                    <xdr:rowOff>0</xdr:rowOff>
                  </to>
                </anchor>
              </controlPr>
            </control>
          </mc:Choice>
        </mc:AlternateContent>
        <mc:AlternateContent xmlns:mc="http://schemas.openxmlformats.org/markup-compatibility/2006">
          <mc:Choice Requires="x14">
            <control shapeId="22606" r:id="rId70" name="Check Box 78">
              <controlPr defaultSize="0" autoFill="0" autoLine="0" autoPict="0">
                <anchor moveWithCells="1">
                  <from>
                    <xdr:col>9</xdr:col>
                    <xdr:colOff>76200</xdr:colOff>
                    <xdr:row>25</xdr:row>
                    <xdr:rowOff>7620</xdr:rowOff>
                  </from>
                  <to>
                    <xdr:col>9</xdr:col>
                    <xdr:colOff>396240</xdr:colOff>
                    <xdr:row>26</xdr:row>
                    <xdr:rowOff>0</xdr:rowOff>
                  </to>
                </anchor>
              </controlPr>
            </control>
          </mc:Choice>
        </mc:AlternateContent>
        <mc:AlternateContent xmlns:mc="http://schemas.openxmlformats.org/markup-compatibility/2006">
          <mc:Choice Requires="x14">
            <control shapeId="22607" r:id="rId71" name="Check Box 79">
              <controlPr defaultSize="0" autoFill="0" autoLine="0" autoPict="0">
                <anchor moveWithCells="1">
                  <from>
                    <xdr:col>9</xdr:col>
                    <xdr:colOff>76200</xdr:colOff>
                    <xdr:row>26</xdr:row>
                    <xdr:rowOff>7620</xdr:rowOff>
                  </from>
                  <to>
                    <xdr:col>9</xdr:col>
                    <xdr:colOff>396240</xdr:colOff>
                    <xdr:row>27</xdr:row>
                    <xdr:rowOff>0</xdr:rowOff>
                  </to>
                </anchor>
              </controlPr>
            </control>
          </mc:Choice>
        </mc:AlternateContent>
        <mc:AlternateContent xmlns:mc="http://schemas.openxmlformats.org/markup-compatibility/2006">
          <mc:Choice Requires="x14">
            <control shapeId="22608" r:id="rId72" name="Check Box 80">
              <controlPr defaultSize="0" autoFill="0" autoLine="0" autoPict="0">
                <anchor moveWithCells="1">
                  <from>
                    <xdr:col>9</xdr:col>
                    <xdr:colOff>76200</xdr:colOff>
                    <xdr:row>27</xdr:row>
                    <xdr:rowOff>7620</xdr:rowOff>
                  </from>
                  <to>
                    <xdr:col>9</xdr:col>
                    <xdr:colOff>396240</xdr:colOff>
                    <xdr:row>27</xdr:row>
                    <xdr:rowOff>182880</xdr:rowOff>
                  </to>
                </anchor>
              </controlPr>
            </control>
          </mc:Choice>
        </mc:AlternateContent>
        <mc:AlternateContent xmlns:mc="http://schemas.openxmlformats.org/markup-compatibility/2006">
          <mc:Choice Requires="x14">
            <control shapeId="22609" r:id="rId73" name="Check Box 81">
              <controlPr defaultSize="0" autoFill="0" autoLine="0" autoPict="0">
                <anchor moveWithCells="1">
                  <from>
                    <xdr:col>9</xdr:col>
                    <xdr:colOff>76200</xdr:colOff>
                    <xdr:row>28</xdr:row>
                    <xdr:rowOff>7620</xdr:rowOff>
                  </from>
                  <to>
                    <xdr:col>9</xdr:col>
                    <xdr:colOff>396240</xdr:colOff>
                    <xdr:row>28</xdr:row>
                    <xdr:rowOff>182880</xdr:rowOff>
                  </to>
                </anchor>
              </controlPr>
            </control>
          </mc:Choice>
        </mc:AlternateContent>
        <mc:AlternateContent xmlns:mc="http://schemas.openxmlformats.org/markup-compatibility/2006">
          <mc:Choice Requires="x14">
            <control shapeId="22610" r:id="rId74" name="Check Box 82">
              <controlPr defaultSize="0" autoFill="0" autoLine="0" autoPict="0">
                <anchor moveWithCells="1">
                  <from>
                    <xdr:col>1</xdr:col>
                    <xdr:colOff>76200</xdr:colOff>
                    <xdr:row>2</xdr:row>
                    <xdr:rowOff>7620</xdr:rowOff>
                  </from>
                  <to>
                    <xdr:col>1</xdr:col>
                    <xdr:colOff>396240</xdr:colOff>
                    <xdr:row>3</xdr:row>
                    <xdr:rowOff>0</xdr:rowOff>
                  </to>
                </anchor>
              </controlPr>
            </control>
          </mc:Choice>
        </mc:AlternateContent>
        <mc:AlternateContent xmlns:mc="http://schemas.openxmlformats.org/markup-compatibility/2006">
          <mc:Choice Requires="x14">
            <control shapeId="22611" r:id="rId75" name="Check Box 83">
              <controlPr defaultSize="0" autoFill="0" autoLine="0" autoPict="0">
                <anchor moveWithCells="1">
                  <from>
                    <xdr:col>1</xdr:col>
                    <xdr:colOff>76200</xdr:colOff>
                    <xdr:row>3</xdr:row>
                    <xdr:rowOff>7620</xdr:rowOff>
                  </from>
                  <to>
                    <xdr:col>1</xdr:col>
                    <xdr:colOff>396240</xdr:colOff>
                    <xdr:row>4</xdr:row>
                    <xdr:rowOff>0</xdr:rowOff>
                  </to>
                </anchor>
              </controlPr>
            </control>
          </mc:Choice>
        </mc:AlternateContent>
        <mc:AlternateContent xmlns:mc="http://schemas.openxmlformats.org/markup-compatibility/2006">
          <mc:Choice Requires="x14">
            <control shapeId="22612" r:id="rId76" name="Check Box 84">
              <controlPr defaultSize="0" autoFill="0" autoLine="0" autoPict="0">
                <anchor moveWithCells="1">
                  <from>
                    <xdr:col>1</xdr:col>
                    <xdr:colOff>76200</xdr:colOff>
                    <xdr:row>4</xdr:row>
                    <xdr:rowOff>7620</xdr:rowOff>
                  </from>
                  <to>
                    <xdr:col>1</xdr:col>
                    <xdr:colOff>396240</xdr:colOff>
                    <xdr:row>5</xdr:row>
                    <xdr:rowOff>0</xdr:rowOff>
                  </to>
                </anchor>
              </controlPr>
            </control>
          </mc:Choice>
        </mc:AlternateContent>
        <mc:AlternateContent xmlns:mc="http://schemas.openxmlformats.org/markup-compatibility/2006">
          <mc:Choice Requires="x14">
            <control shapeId="22613" r:id="rId77" name="Check Box 85">
              <controlPr defaultSize="0" autoFill="0" autoLine="0" autoPict="0">
                <anchor moveWithCells="1">
                  <from>
                    <xdr:col>1</xdr:col>
                    <xdr:colOff>76200</xdr:colOff>
                    <xdr:row>5</xdr:row>
                    <xdr:rowOff>7620</xdr:rowOff>
                  </from>
                  <to>
                    <xdr:col>1</xdr:col>
                    <xdr:colOff>396240</xdr:colOff>
                    <xdr:row>6</xdr:row>
                    <xdr:rowOff>0</xdr:rowOff>
                  </to>
                </anchor>
              </controlPr>
            </control>
          </mc:Choice>
        </mc:AlternateContent>
        <mc:AlternateContent xmlns:mc="http://schemas.openxmlformats.org/markup-compatibility/2006">
          <mc:Choice Requires="x14">
            <control shapeId="22614" r:id="rId78" name="Check Box 86">
              <controlPr defaultSize="0" autoFill="0" autoLine="0" autoPict="0">
                <anchor moveWithCells="1">
                  <from>
                    <xdr:col>1</xdr:col>
                    <xdr:colOff>76200</xdr:colOff>
                    <xdr:row>6</xdr:row>
                    <xdr:rowOff>7620</xdr:rowOff>
                  </from>
                  <to>
                    <xdr:col>1</xdr:col>
                    <xdr:colOff>396240</xdr:colOff>
                    <xdr:row>7</xdr:row>
                    <xdr:rowOff>0</xdr:rowOff>
                  </to>
                </anchor>
              </controlPr>
            </control>
          </mc:Choice>
        </mc:AlternateContent>
        <mc:AlternateContent xmlns:mc="http://schemas.openxmlformats.org/markup-compatibility/2006">
          <mc:Choice Requires="x14">
            <control shapeId="22615" r:id="rId79" name="Check Box 87">
              <controlPr defaultSize="0" autoFill="0" autoLine="0" autoPict="0">
                <anchor moveWithCells="1">
                  <from>
                    <xdr:col>1</xdr:col>
                    <xdr:colOff>76200</xdr:colOff>
                    <xdr:row>7</xdr:row>
                    <xdr:rowOff>7620</xdr:rowOff>
                  </from>
                  <to>
                    <xdr:col>1</xdr:col>
                    <xdr:colOff>396240</xdr:colOff>
                    <xdr:row>8</xdr:row>
                    <xdr:rowOff>0</xdr:rowOff>
                  </to>
                </anchor>
              </controlPr>
            </control>
          </mc:Choice>
        </mc:AlternateContent>
        <mc:AlternateContent xmlns:mc="http://schemas.openxmlformats.org/markup-compatibility/2006">
          <mc:Choice Requires="x14">
            <control shapeId="22616" r:id="rId80" name="Check Box 88">
              <controlPr defaultSize="0" autoFill="0" autoLine="0" autoPict="0">
                <anchor moveWithCells="1">
                  <from>
                    <xdr:col>1</xdr:col>
                    <xdr:colOff>76200</xdr:colOff>
                    <xdr:row>8</xdr:row>
                    <xdr:rowOff>7620</xdr:rowOff>
                  </from>
                  <to>
                    <xdr:col>1</xdr:col>
                    <xdr:colOff>396240</xdr:colOff>
                    <xdr:row>9</xdr:row>
                    <xdr:rowOff>0</xdr:rowOff>
                  </to>
                </anchor>
              </controlPr>
            </control>
          </mc:Choice>
        </mc:AlternateContent>
        <mc:AlternateContent xmlns:mc="http://schemas.openxmlformats.org/markup-compatibility/2006">
          <mc:Choice Requires="x14">
            <control shapeId="22617" r:id="rId81" name="Check Box 89">
              <controlPr defaultSize="0" autoFill="0" autoLine="0" autoPict="0">
                <anchor moveWithCells="1">
                  <from>
                    <xdr:col>1</xdr:col>
                    <xdr:colOff>76200</xdr:colOff>
                    <xdr:row>9</xdr:row>
                    <xdr:rowOff>7620</xdr:rowOff>
                  </from>
                  <to>
                    <xdr:col>1</xdr:col>
                    <xdr:colOff>396240</xdr:colOff>
                    <xdr:row>10</xdr:row>
                    <xdr:rowOff>0</xdr:rowOff>
                  </to>
                </anchor>
              </controlPr>
            </control>
          </mc:Choice>
        </mc:AlternateContent>
        <mc:AlternateContent xmlns:mc="http://schemas.openxmlformats.org/markup-compatibility/2006">
          <mc:Choice Requires="x14">
            <control shapeId="22618" r:id="rId82" name="Check Box 90">
              <controlPr defaultSize="0" autoFill="0" autoLine="0" autoPict="0">
                <anchor moveWithCells="1">
                  <from>
                    <xdr:col>1</xdr:col>
                    <xdr:colOff>76200</xdr:colOff>
                    <xdr:row>10</xdr:row>
                    <xdr:rowOff>7620</xdr:rowOff>
                  </from>
                  <to>
                    <xdr:col>1</xdr:col>
                    <xdr:colOff>396240</xdr:colOff>
                    <xdr:row>11</xdr:row>
                    <xdr:rowOff>0</xdr:rowOff>
                  </to>
                </anchor>
              </controlPr>
            </control>
          </mc:Choice>
        </mc:AlternateContent>
        <mc:AlternateContent xmlns:mc="http://schemas.openxmlformats.org/markup-compatibility/2006">
          <mc:Choice Requires="x14">
            <control shapeId="22619" r:id="rId83" name="Check Box 91">
              <controlPr defaultSize="0" autoFill="0" autoLine="0" autoPict="0">
                <anchor moveWithCells="1">
                  <from>
                    <xdr:col>1</xdr:col>
                    <xdr:colOff>76200</xdr:colOff>
                    <xdr:row>11</xdr:row>
                    <xdr:rowOff>7620</xdr:rowOff>
                  </from>
                  <to>
                    <xdr:col>1</xdr:col>
                    <xdr:colOff>396240</xdr:colOff>
                    <xdr:row>12</xdr:row>
                    <xdr:rowOff>0</xdr:rowOff>
                  </to>
                </anchor>
              </controlPr>
            </control>
          </mc:Choice>
        </mc:AlternateContent>
        <mc:AlternateContent xmlns:mc="http://schemas.openxmlformats.org/markup-compatibility/2006">
          <mc:Choice Requires="x14">
            <control shapeId="22620" r:id="rId84" name="Check Box 92">
              <controlPr defaultSize="0" autoFill="0" autoLine="0" autoPict="0">
                <anchor moveWithCells="1">
                  <from>
                    <xdr:col>1</xdr:col>
                    <xdr:colOff>76200</xdr:colOff>
                    <xdr:row>12</xdr:row>
                    <xdr:rowOff>7620</xdr:rowOff>
                  </from>
                  <to>
                    <xdr:col>1</xdr:col>
                    <xdr:colOff>396240</xdr:colOff>
                    <xdr:row>13</xdr:row>
                    <xdr:rowOff>0</xdr:rowOff>
                  </to>
                </anchor>
              </controlPr>
            </control>
          </mc:Choice>
        </mc:AlternateContent>
        <mc:AlternateContent xmlns:mc="http://schemas.openxmlformats.org/markup-compatibility/2006">
          <mc:Choice Requires="x14">
            <control shapeId="22621" r:id="rId85" name="Check Box 93">
              <controlPr defaultSize="0" autoFill="0" autoLine="0" autoPict="0">
                <anchor moveWithCells="1">
                  <from>
                    <xdr:col>1</xdr:col>
                    <xdr:colOff>76200</xdr:colOff>
                    <xdr:row>13</xdr:row>
                    <xdr:rowOff>7620</xdr:rowOff>
                  </from>
                  <to>
                    <xdr:col>1</xdr:col>
                    <xdr:colOff>396240</xdr:colOff>
                    <xdr:row>14</xdr:row>
                    <xdr:rowOff>0</xdr:rowOff>
                  </to>
                </anchor>
              </controlPr>
            </control>
          </mc:Choice>
        </mc:AlternateContent>
        <mc:AlternateContent xmlns:mc="http://schemas.openxmlformats.org/markup-compatibility/2006">
          <mc:Choice Requires="x14">
            <control shapeId="22622" r:id="rId86" name="Check Box 94">
              <controlPr defaultSize="0" autoFill="0" autoLine="0" autoPict="0">
                <anchor moveWithCells="1">
                  <from>
                    <xdr:col>1</xdr:col>
                    <xdr:colOff>76200</xdr:colOff>
                    <xdr:row>14</xdr:row>
                    <xdr:rowOff>7620</xdr:rowOff>
                  </from>
                  <to>
                    <xdr:col>1</xdr:col>
                    <xdr:colOff>396240</xdr:colOff>
                    <xdr:row>15</xdr:row>
                    <xdr:rowOff>0</xdr:rowOff>
                  </to>
                </anchor>
              </controlPr>
            </control>
          </mc:Choice>
        </mc:AlternateContent>
        <mc:AlternateContent xmlns:mc="http://schemas.openxmlformats.org/markup-compatibility/2006">
          <mc:Choice Requires="x14">
            <control shapeId="22623" r:id="rId87" name="Check Box 95">
              <controlPr defaultSize="0" autoFill="0" autoLine="0" autoPict="0">
                <anchor moveWithCells="1">
                  <from>
                    <xdr:col>1</xdr:col>
                    <xdr:colOff>76200</xdr:colOff>
                    <xdr:row>15</xdr:row>
                    <xdr:rowOff>7620</xdr:rowOff>
                  </from>
                  <to>
                    <xdr:col>1</xdr:col>
                    <xdr:colOff>396240</xdr:colOff>
                    <xdr:row>16</xdr:row>
                    <xdr:rowOff>0</xdr:rowOff>
                  </to>
                </anchor>
              </controlPr>
            </control>
          </mc:Choice>
        </mc:AlternateContent>
        <mc:AlternateContent xmlns:mc="http://schemas.openxmlformats.org/markup-compatibility/2006">
          <mc:Choice Requires="x14">
            <control shapeId="22624" r:id="rId88" name="Check Box 96">
              <controlPr defaultSize="0" autoFill="0" autoLine="0" autoPict="0">
                <anchor moveWithCells="1">
                  <from>
                    <xdr:col>1</xdr:col>
                    <xdr:colOff>76200</xdr:colOff>
                    <xdr:row>16</xdr:row>
                    <xdr:rowOff>7620</xdr:rowOff>
                  </from>
                  <to>
                    <xdr:col>1</xdr:col>
                    <xdr:colOff>396240</xdr:colOff>
                    <xdr:row>17</xdr:row>
                    <xdr:rowOff>0</xdr:rowOff>
                  </to>
                </anchor>
              </controlPr>
            </control>
          </mc:Choice>
        </mc:AlternateContent>
        <mc:AlternateContent xmlns:mc="http://schemas.openxmlformats.org/markup-compatibility/2006">
          <mc:Choice Requires="x14">
            <control shapeId="22625" r:id="rId89" name="Check Box 97">
              <controlPr defaultSize="0" autoFill="0" autoLine="0" autoPict="0">
                <anchor moveWithCells="1">
                  <from>
                    <xdr:col>1</xdr:col>
                    <xdr:colOff>76200</xdr:colOff>
                    <xdr:row>17</xdr:row>
                    <xdr:rowOff>7620</xdr:rowOff>
                  </from>
                  <to>
                    <xdr:col>1</xdr:col>
                    <xdr:colOff>396240</xdr:colOff>
                    <xdr:row>18</xdr:row>
                    <xdr:rowOff>0</xdr:rowOff>
                  </to>
                </anchor>
              </controlPr>
            </control>
          </mc:Choice>
        </mc:AlternateContent>
        <mc:AlternateContent xmlns:mc="http://schemas.openxmlformats.org/markup-compatibility/2006">
          <mc:Choice Requires="x14">
            <control shapeId="22626" r:id="rId90" name="Check Box 98">
              <controlPr defaultSize="0" autoFill="0" autoLine="0" autoPict="0">
                <anchor moveWithCells="1">
                  <from>
                    <xdr:col>6</xdr:col>
                    <xdr:colOff>76200</xdr:colOff>
                    <xdr:row>2</xdr:row>
                    <xdr:rowOff>7620</xdr:rowOff>
                  </from>
                  <to>
                    <xdr:col>6</xdr:col>
                    <xdr:colOff>396240</xdr:colOff>
                    <xdr:row>3</xdr:row>
                    <xdr:rowOff>0</xdr:rowOff>
                  </to>
                </anchor>
              </controlPr>
            </control>
          </mc:Choice>
        </mc:AlternateContent>
        <mc:AlternateContent xmlns:mc="http://schemas.openxmlformats.org/markup-compatibility/2006">
          <mc:Choice Requires="x14">
            <control shapeId="22627" r:id="rId91" name="Check Box 99">
              <controlPr defaultSize="0" autoFill="0" autoLine="0" autoPict="0">
                <anchor moveWithCells="1">
                  <from>
                    <xdr:col>6</xdr:col>
                    <xdr:colOff>76200</xdr:colOff>
                    <xdr:row>3</xdr:row>
                    <xdr:rowOff>7620</xdr:rowOff>
                  </from>
                  <to>
                    <xdr:col>6</xdr:col>
                    <xdr:colOff>396240</xdr:colOff>
                    <xdr:row>4</xdr:row>
                    <xdr:rowOff>0</xdr:rowOff>
                  </to>
                </anchor>
              </controlPr>
            </control>
          </mc:Choice>
        </mc:AlternateContent>
        <mc:AlternateContent xmlns:mc="http://schemas.openxmlformats.org/markup-compatibility/2006">
          <mc:Choice Requires="x14">
            <control shapeId="22628" r:id="rId92" name="Check Box 100">
              <controlPr defaultSize="0" autoFill="0" autoLine="0" autoPict="0">
                <anchor moveWithCells="1">
                  <from>
                    <xdr:col>6</xdr:col>
                    <xdr:colOff>76200</xdr:colOff>
                    <xdr:row>5</xdr:row>
                    <xdr:rowOff>7620</xdr:rowOff>
                  </from>
                  <to>
                    <xdr:col>6</xdr:col>
                    <xdr:colOff>396240</xdr:colOff>
                    <xdr:row>6</xdr:row>
                    <xdr:rowOff>0</xdr:rowOff>
                  </to>
                </anchor>
              </controlPr>
            </control>
          </mc:Choice>
        </mc:AlternateContent>
        <mc:AlternateContent xmlns:mc="http://schemas.openxmlformats.org/markup-compatibility/2006">
          <mc:Choice Requires="x14">
            <control shapeId="22629" r:id="rId93" name="Check Box 101">
              <controlPr defaultSize="0" autoFill="0" autoLine="0" autoPict="0">
                <anchor moveWithCells="1">
                  <from>
                    <xdr:col>6</xdr:col>
                    <xdr:colOff>76200</xdr:colOff>
                    <xdr:row>4</xdr:row>
                    <xdr:rowOff>7620</xdr:rowOff>
                  </from>
                  <to>
                    <xdr:col>6</xdr:col>
                    <xdr:colOff>396240</xdr:colOff>
                    <xdr:row>5</xdr:row>
                    <xdr:rowOff>0</xdr:rowOff>
                  </to>
                </anchor>
              </controlPr>
            </control>
          </mc:Choice>
        </mc:AlternateContent>
        <mc:AlternateContent xmlns:mc="http://schemas.openxmlformats.org/markup-compatibility/2006">
          <mc:Choice Requires="x14">
            <control shapeId="22630" r:id="rId94" name="Check Box 102">
              <controlPr defaultSize="0" autoFill="0" autoLine="0" autoPict="0">
                <anchor moveWithCells="1">
                  <from>
                    <xdr:col>6</xdr:col>
                    <xdr:colOff>76200</xdr:colOff>
                    <xdr:row>6</xdr:row>
                    <xdr:rowOff>7620</xdr:rowOff>
                  </from>
                  <to>
                    <xdr:col>6</xdr:col>
                    <xdr:colOff>396240</xdr:colOff>
                    <xdr:row>7</xdr:row>
                    <xdr:rowOff>0</xdr:rowOff>
                  </to>
                </anchor>
              </controlPr>
            </control>
          </mc:Choice>
        </mc:AlternateContent>
        <mc:AlternateContent xmlns:mc="http://schemas.openxmlformats.org/markup-compatibility/2006">
          <mc:Choice Requires="x14">
            <control shapeId="22631" r:id="rId95" name="Check Box 103">
              <controlPr defaultSize="0" autoFill="0" autoLine="0" autoPict="0">
                <anchor moveWithCells="1">
                  <from>
                    <xdr:col>6</xdr:col>
                    <xdr:colOff>76200</xdr:colOff>
                    <xdr:row>7</xdr:row>
                    <xdr:rowOff>7620</xdr:rowOff>
                  </from>
                  <to>
                    <xdr:col>6</xdr:col>
                    <xdr:colOff>396240</xdr:colOff>
                    <xdr:row>8</xdr:row>
                    <xdr:rowOff>0</xdr:rowOff>
                  </to>
                </anchor>
              </controlPr>
            </control>
          </mc:Choice>
        </mc:AlternateContent>
        <mc:AlternateContent xmlns:mc="http://schemas.openxmlformats.org/markup-compatibility/2006">
          <mc:Choice Requires="x14">
            <control shapeId="22632" r:id="rId96" name="Check Box 104">
              <controlPr defaultSize="0" autoFill="0" autoLine="0" autoPict="0">
                <anchor moveWithCells="1">
                  <from>
                    <xdr:col>6</xdr:col>
                    <xdr:colOff>76200</xdr:colOff>
                    <xdr:row>8</xdr:row>
                    <xdr:rowOff>7620</xdr:rowOff>
                  </from>
                  <to>
                    <xdr:col>6</xdr:col>
                    <xdr:colOff>396240</xdr:colOff>
                    <xdr:row>9</xdr:row>
                    <xdr:rowOff>0</xdr:rowOff>
                  </to>
                </anchor>
              </controlPr>
            </control>
          </mc:Choice>
        </mc:AlternateContent>
        <mc:AlternateContent xmlns:mc="http://schemas.openxmlformats.org/markup-compatibility/2006">
          <mc:Choice Requires="x14">
            <control shapeId="22633" r:id="rId97" name="Check Box 105">
              <controlPr defaultSize="0" autoFill="0" autoLine="0" autoPict="0">
                <anchor moveWithCells="1">
                  <from>
                    <xdr:col>6</xdr:col>
                    <xdr:colOff>76200</xdr:colOff>
                    <xdr:row>9</xdr:row>
                    <xdr:rowOff>7620</xdr:rowOff>
                  </from>
                  <to>
                    <xdr:col>6</xdr:col>
                    <xdr:colOff>396240</xdr:colOff>
                    <xdr:row>10</xdr:row>
                    <xdr:rowOff>0</xdr:rowOff>
                  </to>
                </anchor>
              </controlPr>
            </control>
          </mc:Choice>
        </mc:AlternateContent>
        <mc:AlternateContent xmlns:mc="http://schemas.openxmlformats.org/markup-compatibility/2006">
          <mc:Choice Requires="x14">
            <control shapeId="22634" r:id="rId98" name="Check Box 106">
              <controlPr defaultSize="0" autoFill="0" autoLine="0" autoPict="0">
                <anchor moveWithCells="1">
                  <from>
                    <xdr:col>6</xdr:col>
                    <xdr:colOff>76200</xdr:colOff>
                    <xdr:row>10</xdr:row>
                    <xdr:rowOff>7620</xdr:rowOff>
                  </from>
                  <to>
                    <xdr:col>6</xdr:col>
                    <xdr:colOff>396240</xdr:colOff>
                    <xdr:row>11</xdr:row>
                    <xdr:rowOff>0</xdr:rowOff>
                  </to>
                </anchor>
              </controlPr>
            </control>
          </mc:Choice>
        </mc:AlternateContent>
        <mc:AlternateContent xmlns:mc="http://schemas.openxmlformats.org/markup-compatibility/2006">
          <mc:Choice Requires="x14">
            <control shapeId="22635" r:id="rId99" name="Check Box 107">
              <controlPr defaultSize="0" autoFill="0" autoLine="0" autoPict="0">
                <anchor moveWithCells="1">
                  <from>
                    <xdr:col>6</xdr:col>
                    <xdr:colOff>76200</xdr:colOff>
                    <xdr:row>11</xdr:row>
                    <xdr:rowOff>7620</xdr:rowOff>
                  </from>
                  <to>
                    <xdr:col>6</xdr:col>
                    <xdr:colOff>396240</xdr:colOff>
                    <xdr:row>12</xdr:row>
                    <xdr:rowOff>0</xdr:rowOff>
                  </to>
                </anchor>
              </controlPr>
            </control>
          </mc:Choice>
        </mc:AlternateContent>
        <mc:AlternateContent xmlns:mc="http://schemas.openxmlformats.org/markup-compatibility/2006">
          <mc:Choice Requires="x14">
            <control shapeId="22636" r:id="rId100" name="Check Box 108">
              <controlPr defaultSize="0" autoFill="0" autoLine="0" autoPict="0">
                <anchor moveWithCells="1">
                  <from>
                    <xdr:col>6</xdr:col>
                    <xdr:colOff>76200</xdr:colOff>
                    <xdr:row>12</xdr:row>
                    <xdr:rowOff>7620</xdr:rowOff>
                  </from>
                  <to>
                    <xdr:col>6</xdr:col>
                    <xdr:colOff>396240</xdr:colOff>
                    <xdr:row>13</xdr:row>
                    <xdr:rowOff>0</xdr:rowOff>
                  </to>
                </anchor>
              </controlPr>
            </control>
          </mc:Choice>
        </mc:AlternateContent>
        <mc:AlternateContent xmlns:mc="http://schemas.openxmlformats.org/markup-compatibility/2006">
          <mc:Choice Requires="x14">
            <control shapeId="22637" r:id="rId101" name="Check Box 109">
              <controlPr defaultSize="0" autoFill="0" autoLine="0" autoPict="0">
                <anchor moveWithCells="1">
                  <from>
                    <xdr:col>11</xdr:col>
                    <xdr:colOff>76200</xdr:colOff>
                    <xdr:row>2</xdr:row>
                    <xdr:rowOff>7620</xdr:rowOff>
                  </from>
                  <to>
                    <xdr:col>11</xdr:col>
                    <xdr:colOff>396240</xdr:colOff>
                    <xdr:row>3</xdr:row>
                    <xdr:rowOff>0</xdr:rowOff>
                  </to>
                </anchor>
              </controlPr>
            </control>
          </mc:Choice>
        </mc:AlternateContent>
        <mc:AlternateContent xmlns:mc="http://schemas.openxmlformats.org/markup-compatibility/2006">
          <mc:Choice Requires="x14">
            <control shapeId="22638" r:id="rId102" name="Check Box 110">
              <controlPr defaultSize="0" autoFill="0" autoLine="0" autoPict="0">
                <anchor moveWithCells="1">
                  <from>
                    <xdr:col>11</xdr:col>
                    <xdr:colOff>76200</xdr:colOff>
                    <xdr:row>3</xdr:row>
                    <xdr:rowOff>7620</xdr:rowOff>
                  </from>
                  <to>
                    <xdr:col>11</xdr:col>
                    <xdr:colOff>396240</xdr:colOff>
                    <xdr:row>4</xdr:row>
                    <xdr:rowOff>0</xdr:rowOff>
                  </to>
                </anchor>
              </controlPr>
            </control>
          </mc:Choice>
        </mc:AlternateContent>
        <mc:AlternateContent xmlns:mc="http://schemas.openxmlformats.org/markup-compatibility/2006">
          <mc:Choice Requires="x14">
            <control shapeId="22639" r:id="rId103" name="Check Box 111">
              <controlPr defaultSize="0" autoFill="0" autoLine="0" autoPict="0">
                <anchor moveWithCells="1">
                  <from>
                    <xdr:col>11</xdr:col>
                    <xdr:colOff>76200</xdr:colOff>
                    <xdr:row>4</xdr:row>
                    <xdr:rowOff>7620</xdr:rowOff>
                  </from>
                  <to>
                    <xdr:col>11</xdr:col>
                    <xdr:colOff>396240</xdr:colOff>
                    <xdr:row>5</xdr:row>
                    <xdr:rowOff>0</xdr:rowOff>
                  </to>
                </anchor>
              </controlPr>
            </control>
          </mc:Choice>
        </mc:AlternateContent>
        <mc:AlternateContent xmlns:mc="http://schemas.openxmlformats.org/markup-compatibility/2006">
          <mc:Choice Requires="x14">
            <control shapeId="22640" r:id="rId104" name="Check Box 112">
              <controlPr defaultSize="0" autoFill="0" autoLine="0" autoPict="0">
                <anchor moveWithCells="1">
                  <from>
                    <xdr:col>11</xdr:col>
                    <xdr:colOff>76200</xdr:colOff>
                    <xdr:row>5</xdr:row>
                    <xdr:rowOff>7620</xdr:rowOff>
                  </from>
                  <to>
                    <xdr:col>11</xdr:col>
                    <xdr:colOff>396240</xdr:colOff>
                    <xdr:row>6</xdr:row>
                    <xdr:rowOff>0</xdr:rowOff>
                  </to>
                </anchor>
              </controlPr>
            </control>
          </mc:Choice>
        </mc:AlternateContent>
        <mc:AlternateContent xmlns:mc="http://schemas.openxmlformats.org/markup-compatibility/2006">
          <mc:Choice Requires="x14">
            <control shapeId="22641" r:id="rId105" name="Check Box 113">
              <controlPr defaultSize="0" autoFill="0" autoLine="0" autoPict="0">
                <anchor moveWithCells="1">
                  <from>
                    <xdr:col>11</xdr:col>
                    <xdr:colOff>76200</xdr:colOff>
                    <xdr:row>6</xdr:row>
                    <xdr:rowOff>7620</xdr:rowOff>
                  </from>
                  <to>
                    <xdr:col>11</xdr:col>
                    <xdr:colOff>396240</xdr:colOff>
                    <xdr:row>7</xdr:row>
                    <xdr:rowOff>0</xdr:rowOff>
                  </to>
                </anchor>
              </controlPr>
            </control>
          </mc:Choice>
        </mc:AlternateContent>
        <mc:AlternateContent xmlns:mc="http://schemas.openxmlformats.org/markup-compatibility/2006">
          <mc:Choice Requires="x14">
            <control shapeId="22642" r:id="rId106" name="Check Box 114">
              <controlPr defaultSize="0" autoFill="0" autoLine="0" autoPict="0">
                <anchor moveWithCells="1">
                  <from>
                    <xdr:col>11</xdr:col>
                    <xdr:colOff>76200</xdr:colOff>
                    <xdr:row>7</xdr:row>
                    <xdr:rowOff>7620</xdr:rowOff>
                  </from>
                  <to>
                    <xdr:col>11</xdr:col>
                    <xdr:colOff>396240</xdr:colOff>
                    <xdr:row>8</xdr:row>
                    <xdr:rowOff>0</xdr:rowOff>
                  </to>
                </anchor>
              </controlPr>
            </control>
          </mc:Choice>
        </mc:AlternateContent>
        <mc:AlternateContent xmlns:mc="http://schemas.openxmlformats.org/markup-compatibility/2006">
          <mc:Choice Requires="x14">
            <control shapeId="22643" r:id="rId107" name="Check Box 115">
              <controlPr defaultSize="0" autoFill="0" autoLine="0" autoPict="0">
                <anchor moveWithCells="1">
                  <from>
                    <xdr:col>6</xdr:col>
                    <xdr:colOff>76200</xdr:colOff>
                    <xdr:row>46</xdr:row>
                    <xdr:rowOff>7620</xdr:rowOff>
                  </from>
                  <to>
                    <xdr:col>6</xdr:col>
                    <xdr:colOff>396240</xdr:colOff>
                    <xdr:row>47</xdr:row>
                    <xdr:rowOff>0</xdr:rowOff>
                  </to>
                </anchor>
              </controlPr>
            </control>
          </mc:Choice>
        </mc:AlternateContent>
        <mc:AlternateContent xmlns:mc="http://schemas.openxmlformats.org/markup-compatibility/2006">
          <mc:Choice Requires="x14">
            <control shapeId="22644" r:id="rId108" name="Check Box 116">
              <controlPr defaultSize="0" autoFill="0" autoLine="0" autoPict="0">
                <anchor moveWithCells="1">
                  <from>
                    <xdr:col>6</xdr:col>
                    <xdr:colOff>76200</xdr:colOff>
                    <xdr:row>47</xdr:row>
                    <xdr:rowOff>7620</xdr:rowOff>
                  </from>
                  <to>
                    <xdr:col>6</xdr:col>
                    <xdr:colOff>396240</xdr:colOff>
                    <xdr:row>48</xdr:row>
                    <xdr:rowOff>0</xdr:rowOff>
                  </to>
                </anchor>
              </controlPr>
            </control>
          </mc:Choice>
        </mc:AlternateContent>
        <mc:AlternateContent xmlns:mc="http://schemas.openxmlformats.org/markup-compatibility/2006">
          <mc:Choice Requires="x14">
            <control shapeId="22645" r:id="rId109" name="Check Box 117">
              <controlPr defaultSize="0" autoFill="0" autoLine="0" autoPict="0">
                <anchor moveWithCells="1">
                  <from>
                    <xdr:col>6</xdr:col>
                    <xdr:colOff>76200</xdr:colOff>
                    <xdr:row>48</xdr:row>
                    <xdr:rowOff>7620</xdr:rowOff>
                  </from>
                  <to>
                    <xdr:col>6</xdr:col>
                    <xdr:colOff>396240</xdr:colOff>
                    <xdr:row>49</xdr:row>
                    <xdr:rowOff>0</xdr:rowOff>
                  </to>
                </anchor>
              </controlPr>
            </control>
          </mc:Choice>
        </mc:AlternateContent>
        <mc:AlternateContent xmlns:mc="http://schemas.openxmlformats.org/markup-compatibility/2006">
          <mc:Choice Requires="x14">
            <control shapeId="22646" r:id="rId110" name="Check Box 118">
              <controlPr defaultSize="0" autoFill="0" autoLine="0" autoPict="0">
                <anchor moveWithCells="1">
                  <from>
                    <xdr:col>6</xdr:col>
                    <xdr:colOff>76200</xdr:colOff>
                    <xdr:row>49</xdr:row>
                    <xdr:rowOff>7620</xdr:rowOff>
                  </from>
                  <to>
                    <xdr:col>6</xdr:col>
                    <xdr:colOff>396240</xdr:colOff>
                    <xdr:row>50</xdr:row>
                    <xdr:rowOff>0</xdr:rowOff>
                  </to>
                </anchor>
              </controlPr>
            </control>
          </mc:Choice>
        </mc:AlternateContent>
        <mc:AlternateContent xmlns:mc="http://schemas.openxmlformats.org/markup-compatibility/2006">
          <mc:Choice Requires="x14">
            <control shapeId="22647" r:id="rId111" name="Check Box 119">
              <controlPr defaultSize="0" autoFill="0" autoLine="0" autoPict="0">
                <anchor moveWithCells="1">
                  <from>
                    <xdr:col>1</xdr:col>
                    <xdr:colOff>76200</xdr:colOff>
                    <xdr:row>59</xdr:row>
                    <xdr:rowOff>7620</xdr:rowOff>
                  </from>
                  <to>
                    <xdr:col>1</xdr:col>
                    <xdr:colOff>396240</xdr:colOff>
                    <xdr:row>60</xdr:row>
                    <xdr:rowOff>0</xdr:rowOff>
                  </to>
                </anchor>
              </controlPr>
            </control>
          </mc:Choice>
        </mc:AlternateContent>
        <mc:AlternateContent xmlns:mc="http://schemas.openxmlformats.org/markup-compatibility/2006">
          <mc:Choice Requires="x14">
            <control shapeId="22648" r:id="rId112" name="Check Box 120">
              <controlPr defaultSize="0" autoFill="0" autoLine="0" autoPict="0">
                <anchor moveWithCells="1">
                  <from>
                    <xdr:col>1</xdr:col>
                    <xdr:colOff>76200</xdr:colOff>
                    <xdr:row>66</xdr:row>
                    <xdr:rowOff>7620</xdr:rowOff>
                  </from>
                  <to>
                    <xdr:col>1</xdr:col>
                    <xdr:colOff>396240</xdr:colOff>
                    <xdr:row>67</xdr:row>
                    <xdr:rowOff>0</xdr:rowOff>
                  </to>
                </anchor>
              </controlPr>
            </control>
          </mc:Choice>
        </mc:AlternateContent>
        <mc:AlternateContent xmlns:mc="http://schemas.openxmlformats.org/markup-compatibility/2006">
          <mc:Choice Requires="x14">
            <control shapeId="22649" r:id="rId113" name="Check Box 121">
              <controlPr defaultSize="0" autoFill="0" autoLine="0" autoPict="0">
                <anchor moveWithCells="1">
                  <from>
                    <xdr:col>1</xdr:col>
                    <xdr:colOff>76200</xdr:colOff>
                    <xdr:row>67</xdr:row>
                    <xdr:rowOff>7620</xdr:rowOff>
                  </from>
                  <to>
                    <xdr:col>1</xdr:col>
                    <xdr:colOff>396240</xdr:colOff>
                    <xdr:row>68</xdr:row>
                    <xdr:rowOff>0</xdr:rowOff>
                  </to>
                </anchor>
              </controlPr>
            </control>
          </mc:Choice>
        </mc:AlternateContent>
        <mc:AlternateContent xmlns:mc="http://schemas.openxmlformats.org/markup-compatibility/2006">
          <mc:Choice Requires="x14">
            <control shapeId="22650" r:id="rId114" name="Check Box 122">
              <controlPr defaultSize="0" autoFill="0" autoLine="0" autoPict="0">
                <anchor moveWithCells="1">
                  <from>
                    <xdr:col>1</xdr:col>
                    <xdr:colOff>76200</xdr:colOff>
                    <xdr:row>68</xdr:row>
                    <xdr:rowOff>7620</xdr:rowOff>
                  </from>
                  <to>
                    <xdr:col>1</xdr:col>
                    <xdr:colOff>396240</xdr:colOff>
                    <xdr:row>69</xdr:row>
                    <xdr:rowOff>0</xdr:rowOff>
                  </to>
                </anchor>
              </controlPr>
            </control>
          </mc:Choice>
        </mc:AlternateContent>
        <mc:AlternateContent xmlns:mc="http://schemas.openxmlformats.org/markup-compatibility/2006">
          <mc:Choice Requires="x14">
            <control shapeId="22651" r:id="rId115" name="Check Box 123">
              <controlPr defaultSize="0" autoFill="0" autoLine="0" autoPict="0">
                <anchor moveWithCells="1">
                  <from>
                    <xdr:col>1</xdr:col>
                    <xdr:colOff>76200</xdr:colOff>
                    <xdr:row>69</xdr:row>
                    <xdr:rowOff>7620</xdr:rowOff>
                  </from>
                  <to>
                    <xdr:col>1</xdr:col>
                    <xdr:colOff>396240</xdr:colOff>
                    <xdr:row>70</xdr:row>
                    <xdr:rowOff>0</xdr:rowOff>
                  </to>
                </anchor>
              </controlPr>
            </control>
          </mc:Choice>
        </mc:AlternateContent>
        <mc:AlternateContent xmlns:mc="http://schemas.openxmlformats.org/markup-compatibility/2006">
          <mc:Choice Requires="x14">
            <control shapeId="22652" r:id="rId116" name="Check Box 124">
              <controlPr defaultSize="0" autoFill="0" autoLine="0" autoPict="0">
                <anchor moveWithCells="1">
                  <from>
                    <xdr:col>1</xdr:col>
                    <xdr:colOff>76200</xdr:colOff>
                    <xdr:row>70</xdr:row>
                    <xdr:rowOff>7620</xdr:rowOff>
                  </from>
                  <to>
                    <xdr:col>1</xdr:col>
                    <xdr:colOff>396240</xdr:colOff>
                    <xdr:row>71</xdr:row>
                    <xdr:rowOff>0</xdr:rowOff>
                  </to>
                </anchor>
              </controlPr>
            </control>
          </mc:Choice>
        </mc:AlternateContent>
        <mc:AlternateContent xmlns:mc="http://schemas.openxmlformats.org/markup-compatibility/2006">
          <mc:Choice Requires="x14">
            <control shapeId="22653" r:id="rId117" name="Check Box 125">
              <controlPr defaultSize="0" autoFill="0" autoLine="0" autoPict="0">
                <anchor moveWithCells="1">
                  <from>
                    <xdr:col>1</xdr:col>
                    <xdr:colOff>76200</xdr:colOff>
                    <xdr:row>71</xdr:row>
                    <xdr:rowOff>7620</xdr:rowOff>
                  </from>
                  <to>
                    <xdr:col>1</xdr:col>
                    <xdr:colOff>396240</xdr:colOff>
                    <xdr:row>72</xdr:row>
                    <xdr:rowOff>0</xdr:rowOff>
                  </to>
                </anchor>
              </controlPr>
            </control>
          </mc:Choice>
        </mc:AlternateContent>
        <mc:AlternateContent xmlns:mc="http://schemas.openxmlformats.org/markup-compatibility/2006">
          <mc:Choice Requires="x14">
            <control shapeId="22654" r:id="rId118" name="Check Box 126">
              <controlPr defaultSize="0" autoFill="0" autoLine="0" autoPict="0">
                <anchor moveWithCells="1">
                  <from>
                    <xdr:col>6</xdr:col>
                    <xdr:colOff>76200</xdr:colOff>
                    <xdr:row>66</xdr:row>
                    <xdr:rowOff>7620</xdr:rowOff>
                  </from>
                  <to>
                    <xdr:col>6</xdr:col>
                    <xdr:colOff>396240</xdr:colOff>
                    <xdr:row>67</xdr:row>
                    <xdr:rowOff>0</xdr:rowOff>
                  </to>
                </anchor>
              </controlPr>
            </control>
          </mc:Choice>
        </mc:AlternateContent>
        <mc:AlternateContent xmlns:mc="http://schemas.openxmlformats.org/markup-compatibility/2006">
          <mc:Choice Requires="x14">
            <control shapeId="22655" r:id="rId119" name="Check Box 127">
              <controlPr defaultSize="0" autoFill="0" autoLine="0" autoPict="0">
                <anchor moveWithCells="1">
                  <from>
                    <xdr:col>6</xdr:col>
                    <xdr:colOff>76200</xdr:colOff>
                    <xdr:row>67</xdr:row>
                    <xdr:rowOff>7620</xdr:rowOff>
                  </from>
                  <to>
                    <xdr:col>6</xdr:col>
                    <xdr:colOff>396240</xdr:colOff>
                    <xdr:row>68</xdr:row>
                    <xdr:rowOff>0</xdr:rowOff>
                  </to>
                </anchor>
              </controlPr>
            </control>
          </mc:Choice>
        </mc:AlternateContent>
        <mc:AlternateContent xmlns:mc="http://schemas.openxmlformats.org/markup-compatibility/2006">
          <mc:Choice Requires="x14">
            <control shapeId="22656" r:id="rId120" name="Check Box 128">
              <controlPr defaultSize="0" autoFill="0" autoLine="0" autoPict="0">
                <anchor moveWithCells="1">
                  <from>
                    <xdr:col>6</xdr:col>
                    <xdr:colOff>76200</xdr:colOff>
                    <xdr:row>68</xdr:row>
                    <xdr:rowOff>7620</xdr:rowOff>
                  </from>
                  <to>
                    <xdr:col>6</xdr:col>
                    <xdr:colOff>396240</xdr:colOff>
                    <xdr:row>69</xdr:row>
                    <xdr:rowOff>0</xdr:rowOff>
                  </to>
                </anchor>
              </controlPr>
            </control>
          </mc:Choice>
        </mc:AlternateContent>
        <mc:AlternateContent xmlns:mc="http://schemas.openxmlformats.org/markup-compatibility/2006">
          <mc:Choice Requires="x14">
            <control shapeId="22657" r:id="rId121" name="Check Box 129">
              <controlPr defaultSize="0" autoFill="0" autoLine="0" autoPict="0">
                <anchor moveWithCells="1">
                  <from>
                    <xdr:col>6</xdr:col>
                    <xdr:colOff>76200</xdr:colOff>
                    <xdr:row>69</xdr:row>
                    <xdr:rowOff>7620</xdr:rowOff>
                  </from>
                  <to>
                    <xdr:col>6</xdr:col>
                    <xdr:colOff>396240</xdr:colOff>
                    <xdr:row>70</xdr:row>
                    <xdr:rowOff>0</xdr:rowOff>
                  </to>
                </anchor>
              </controlPr>
            </control>
          </mc:Choice>
        </mc:AlternateContent>
        <mc:AlternateContent xmlns:mc="http://schemas.openxmlformats.org/markup-compatibility/2006">
          <mc:Choice Requires="x14">
            <control shapeId="22658" r:id="rId122" name="Check Box 130">
              <controlPr defaultSize="0" autoFill="0" autoLine="0" autoPict="0">
                <anchor moveWithCells="1">
                  <from>
                    <xdr:col>6</xdr:col>
                    <xdr:colOff>76200</xdr:colOff>
                    <xdr:row>71</xdr:row>
                    <xdr:rowOff>7620</xdr:rowOff>
                  </from>
                  <to>
                    <xdr:col>6</xdr:col>
                    <xdr:colOff>396240</xdr:colOff>
                    <xdr:row>72</xdr:row>
                    <xdr:rowOff>0</xdr:rowOff>
                  </to>
                </anchor>
              </controlPr>
            </control>
          </mc:Choice>
        </mc:AlternateContent>
        <mc:AlternateContent xmlns:mc="http://schemas.openxmlformats.org/markup-compatibility/2006">
          <mc:Choice Requires="x14">
            <control shapeId="22659" r:id="rId123" name="Check Box 131">
              <controlPr defaultSize="0" autoFill="0" autoLine="0" autoPict="0">
                <anchor moveWithCells="1">
                  <from>
                    <xdr:col>6</xdr:col>
                    <xdr:colOff>76200</xdr:colOff>
                    <xdr:row>70</xdr:row>
                    <xdr:rowOff>7620</xdr:rowOff>
                  </from>
                  <to>
                    <xdr:col>6</xdr:col>
                    <xdr:colOff>396240</xdr:colOff>
                    <xdr:row>71</xdr:row>
                    <xdr:rowOff>0</xdr:rowOff>
                  </to>
                </anchor>
              </controlPr>
            </control>
          </mc:Choice>
        </mc:AlternateContent>
        <mc:AlternateContent xmlns:mc="http://schemas.openxmlformats.org/markup-compatibility/2006">
          <mc:Choice Requires="x14">
            <control shapeId="22660" r:id="rId124" name="Check Box 132">
              <controlPr defaultSize="0" autoFill="0" autoLine="0" autoPict="0">
                <anchor moveWithCells="1">
                  <from>
                    <xdr:col>6</xdr:col>
                    <xdr:colOff>76200</xdr:colOff>
                    <xdr:row>72</xdr:row>
                    <xdr:rowOff>7620</xdr:rowOff>
                  </from>
                  <to>
                    <xdr:col>6</xdr:col>
                    <xdr:colOff>396240</xdr:colOff>
                    <xdr:row>73</xdr:row>
                    <xdr:rowOff>0</xdr:rowOff>
                  </to>
                </anchor>
              </controlPr>
            </control>
          </mc:Choice>
        </mc:AlternateContent>
        <mc:AlternateContent xmlns:mc="http://schemas.openxmlformats.org/markup-compatibility/2006">
          <mc:Choice Requires="x14">
            <control shapeId="22661" r:id="rId125" name="Check Box 133">
              <controlPr defaultSize="0" autoFill="0" autoLine="0" autoPict="0">
                <anchor moveWithCells="1">
                  <from>
                    <xdr:col>6</xdr:col>
                    <xdr:colOff>76200</xdr:colOff>
                    <xdr:row>73</xdr:row>
                    <xdr:rowOff>7620</xdr:rowOff>
                  </from>
                  <to>
                    <xdr:col>6</xdr:col>
                    <xdr:colOff>396240</xdr:colOff>
                    <xdr:row>74</xdr:row>
                    <xdr:rowOff>0</xdr:rowOff>
                  </to>
                </anchor>
              </controlPr>
            </control>
          </mc:Choice>
        </mc:AlternateContent>
        <mc:AlternateContent xmlns:mc="http://schemas.openxmlformats.org/markup-compatibility/2006">
          <mc:Choice Requires="x14">
            <control shapeId="22662" r:id="rId126" name="Check Box 134">
              <controlPr defaultSize="0" autoFill="0" autoLine="0" autoPict="0">
                <anchor moveWithCells="1">
                  <from>
                    <xdr:col>1</xdr:col>
                    <xdr:colOff>76200</xdr:colOff>
                    <xdr:row>78</xdr:row>
                    <xdr:rowOff>7620</xdr:rowOff>
                  </from>
                  <to>
                    <xdr:col>1</xdr:col>
                    <xdr:colOff>396240</xdr:colOff>
                    <xdr:row>79</xdr:row>
                    <xdr:rowOff>0</xdr:rowOff>
                  </to>
                </anchor>
              </controlPr>
            </control>
          </mc:Choice>
        </mc:AlternateContent>
        <mc:AlternateContent xmlns:mc="http://schemas.openxmlformats.org/markup-compatibility/2006">
          <mc:Choice Requires="x14">
            <control shapeId="22663" r:id="rId127" name="Check Box 135">
              <controlPr defaultSize="0" autoFill="0" autoLine="0" autoPict="0">
                <anchor moveWithCells="1">
                  <from>
                    <xdr:col>1</xdr:col>
                    <xdr:colOff>76200</xdr:colOff>
                    <xdr:row>79</xdr:row>
                    <xdr:rowOff>7620</xdr:rowOff>
                  </from>
                  <to>
                    <xdr:col>1</xdr:col>
                    <xdr:colOff>396240</xdr:colOff>
                    <xdr:row>80</xdr:row>
                    <xdr:rowOff>0</xdr:rowOff>
                  </to>
                </anchor>
              </controlPr>
            </control>
          </mc:Choice>
        </mc:AlternateContent>
        <mc:AlternateContent xmlns:mc="http://schemas.openxmlformats.org/markup-compatibility/2006">
          <mc:Choice Requires="x14">
            <control shapeId="22664" r:id="rId128" name="Check Box 136">
              <controlPr defaultSize="0" autoFill="0" autoLine="0" autoPict="0">
                <anchor moveWithCells="1">
                  <from>
                    <xdr:col>1</xdr:col>
                    <xdr:colOff>76200</xdr:colOff>
                    <xdr:row>80</xdr:row>
                    <xdr:rowOff>7620</xdr:rowOff>
                  </from>
                  <to>
                    <xdr:col>1</xdr:col>
                    <xdr:colOff>396240</xdr:colOff>
                    <xdr:row>81</xdr:row>
                    <xdr:rowOff>0</xdr:rowOff>
                  </to>
                </anchor>
              </controlPr>
            </control>
          </mc:Choice>
        </mc:AlternateContent>
        <mc:AlternateContent xmlns:mc="http://schemas.openxmlformats.org/markup-compatibility/2006">
          <mc:Choice Requires="x14">
            <control shapeId="22665" r:id="rId129" name="Check Box 137">
              <controlPr defaultSize="0" autoFill="0" autoLine="0" autoPict="0">
                <anchor moveWithCells="1">
                  <from>
                    <xdr:col>1</xdr:col>
                    <xdr:colOff>76200</xdr:colOff>
                    <xdr:row>81</xdr:row>
                    <xdr:rowOff>7620</xdr:rowOff>
                  </from>
                  <to>
                    <xdr:col>1</xdr:col>
                    <xdr:colOff>396240</xdr:colOff>
                    <xdr:row>82</xdr:row>
                    <xdr:rowOff>0</xdr:rowOff>
                  </to>
                </anchor>
              </controlPr>
            </control>
          </mc:Choice>
        </mc:AlternateContent>
        <mc:AlternateContent xmlns:mc="http://schemas.openxmlformats.org/markup-compatibility/2006">
          <mc:Choice Requires="x14">
            <control shapeId="22666" r:id="rId130" name="Check Box 138">
              <controlPr defaultSize="0" autoFill="0" autoLine="0" autoPict="0">
                <anchor moveWithCells="1">
                  <from>
                    <xdr:col>1</xdr:col>
                    <xdr:colOff>76200</xdr:colOff>
                    <xdr:row>82</xdr:row>
                    <xdr:rowOff>7620</xdr:rowOff>
                  </from>
                  <to>
                    <xdr:col>1</xdr:col>
                    <xdr:colOff>396240</xdr:colOff>
                    <xdr:row>83</xdr:row>
                    <xdr:rowOff>0</xdr:rowOff>
                  </to>
                </anchor>
              </controlPr>
            </control>
          </mc:Choice>
        </mc:AlternateContent>
        <mc:AlternateContent xmlns:mc="http://schemas.openxmlformats.org/markup-compatibility/2006">
          <mc:Choice Requires="x14">
            <control shapeId="22667" r:id="rId131" name="Check Box 139">
              <controlPr defaultSize="0" autoFill="0" autoLine="0" autoPict="0">
                <anchor moveWithCells="1">
                  <from>
                    <xdr:col>1</xdr:col>
                    <xdr:colOff>76200</xdr:colOff>
                    <xdr:row>83</xdr:row>
                    <xdr:rowOff>7620</xdr:rowOff>
                  </from>
                  <to>
                    <xdr:col>1</xdr:col>
                    <xdr:colOff>396240</xdr:colOff>
                    <xdr:row>84</xdr:row>
                    <xdr:rowOff>0</xdr:rowOff>
                  </to>
                </anchor>
              </controlPr>
            </control>
          </mc:Choice>
        </mc:AlternateContent>
        <mc:AlternateContent xmlns:mc="http://schemas.openxmlformats.org/markup-compatibility/2006">
          <mc:Choice Requires="x14">
            <control shapeId="22668" r:id="rId132" name="Check Box 140">
              <controlPr defaultSize="0" autoFill="0" autoLine="0" autoPict="0">
                <anchor moveWithCells="1">
                  <from>
                    <xdr:col>1</xdr:col>
                    <xdr:colOff>76200</xdr:colOff>
                    <xdr:row>84</xdr:row>
                    <xdr:rowOff>7620</xdr:rowOff>
                  </from>
                  <to>
                    <xdr:col>1</xdr:col>
                    <xdr:colOff>396240</xdr:colOff>
                    <xdr:row>85</xdr:row>
                    <xdr:rowOff>0</xdr:rowOff>
                  </to>
                </anchor>
              </controlPr>
            </control>
          </mc:Choice>
        </mc:AlternateContent>
        <mc:AlternateContent xmlns:mc="http://schemas.openxmlformats.org/markup-compatibility/2006">
          <mc:Choice Requires="x14">
            <control shapeId="22669" r:id="rId133" name="Check Box 141">
              <controlPr defaultSize="0" autoFill="0" autoLine="0" autoPict="0">
                <anchor moveWithCells="1">
                  <from>
                    <xdr:col>1</xdr:col>
                    <xdr:colOff>76200</xdr:colOff>
                    <xdr:row>85</xdr:row>
                    <xdr:rowOff>7620</xdr:rowOff>
                  </from>
                  <to>
                    <xdr:col>1</xdr:col>
                    <xdr:colOff>396240</xdr:colOff>
                    <xdr:row>86</xdr:row>
                    <xdr:rowOff>0</xdr:rowOff>
                  </to>
                </anchor>
              </controlPr>
            </control>
          </mc:Choice>
        </mc:AlternateContent>
        <mc:AlternateContent xmlns:mc="http://schemas.openxmlformats.org/markup-compatibility/2006">
          <mc:Choice Requires="x14">
            <control shapeId="22670" r:id="rId134" name="Check Box 142">
              <controlPr defaultSize="0" autoFill="0" autoLine="0" autoPict="0">
                <anchor moveWithCells="1">
                  <from>
                    <xdr:col>1</xdr:col>
                    <xdr:colOff>76200</xdr:colOff>
                    <xdr:row>86</xdr:row>
                    <xdr:rowOff>7620</xdr:rowOff>
                  </from>
                  <to>
                    <xdr:col>1</xdr:col>
                    <xdr:colOff>396240</xdr:colOff>
                    <xdr:row>87</xdr:row>
                    <xdr:rowOff>0</xdr:rowOff>
                  </to>
                </anchor>
              </controlPr>
            </control>
          </mc:Choice>
        </mc:AlternateContent>
        <mc:AlternateContent xmlns:mc="http://schemas.openxmlformats.org/markup-compatibility/2006">
          <mc:Choice Requires="x14">
            <control shapeId="22671" r:id="rId135" name="Check Box 143">
              <controlPr defaultSize="0" autoFill="0" autoLine="0" autoPict="0">
                <anchor moveWithCells="1">
                  <from>
                    <xdr:col>1</xdr:col>
                    <xdr:colOff>76200</xdr:colOff>
                    <xdr:row>87</xdr:row>
                    <xdr:rowOff>7620</xdr:rowOff>
                  </from>
                  <to>
                    <xdr:col>1</xdr:col>
                    <xdr:colOff>396240</xdr:colOff>
                    <xdr:row>88</xdr:row>
                    <xdr:rowOff>0</xdr:rowOff>
                  </to>
                </anchor>
              </controlPr>
            </control>
          </mc:Choice>
        </mc:AlternateContent>
        <mc:AlternateContent xmlns:mc="http://schemas.openxmlformats.org/markup-compatibility/2006">
          <mc:Choice Requires="x14">
            <control shapeId="22672" r:id="rId136" name="Check Box 144">
              <controlPr defaultSize="0" autoFill="0" autoLine="0" autoPict="0">
                <anchor moveWithCells="1">
                  <from>
                    <xdr:col>4</xdr:col>
                    <xdr:colOff>76200</xdr:colOff>
                    <xdr:row>78</xdr:row>
                    <xdr:rowOff>7620</xdr:rowOff>
                  </from>
                  <to>
                    <xdr:col>4</xdr:col>
                    <xdr:colOff>396240</xdr:colOff>
                    <xdr:row>79</xdr:row>
                    <xdr:rowOff>0</xdr:rowOff>
                  </to>
                </anchor>
              </controlPr>
            </control>
          </mc:Choice>
        </mc:AlternateContent>
        <mc:AlternateContent xmlns:mc="http://schemas.openxmlformats.org/markup-compatibility/2006">
          <mc:Choice Requires="x14">
            <control shapeId="22673" r:id="rId137" name="Check Box 145">
              <controlPr defaultSize="0" autoFill="0" autoLine="0" autoPict="0">
                <anchor moveWithCells="1">
                  <from>
                    <xdr:col>4</xdr:col>
                    <xdr:colOff>76200</xdr:colOff>
                    <xdr:row>79</xdr:row>
                    <xdr:rowOff>7620</xdr:rowOff>
                  </from>
                  <to>
                    <xdr:col>4</xdr:col>
                    <xdr:colOff>396240</xdr:colOff>
                    <xdr:row>80</xdr:row>
                    <xdr:rowOff>0</xdr:rowOff>
                  </to>
                </anchor>
              </controlPr>
            </control>
          </mc:Choice>
        </mc:AlternateContent>
        <mc:AlternateContent xmlns:mc="http://schemas.openxmlformats.org/markup-compatibility/2006">
          <mc:Choice Requires="x14">
            <control shapeId="22674" r:id="rId138" name="Check Box 146">
              <controlPr defaultSize="0" autoFill="0" autoLine="0" autoPict="0">
                <anchor moveWithCells="1">
                  <from>
                    <xdr:col>4</xdr:col>
                    <xdr:colOff>76200</xdr:colOff>
                    <xdr:row>80</xdr:row>
                    <xdr:rowOff>7620</xdr:rowOff>
                  </from>
                  <to>
                    <xdr:col>4</xdr:col>
                    <xdr:colOff>396240</xdr:colOff>
                    <xdr:row>81</xdr:row>
                    <xdr:rowOff>0</xdr:rowOff>
                  </to>
                </anchor>
              </controlPr>
            </control>
          </mc:Choice>
        </mc:AlternateContent>
        <mc:AlternateContent xmlns:mc="http://schemas.openxmlformats.org/markup-compatibility/2006">
          <mc:Choice Requires="x14">
            <control shapeId="22675" r:id="rId139" name="Check Box 147">
              <controlPr defaultSize="0" autoFill="0" autoLine="0" autoPict="0">
                <anchor moveWithCells="1">
                  <from>
                    <xdr:col>4</xdr:col>
                    <xdr:colOff>76200</xdr:colOff>
                    <xdr:row>81</xdr:row>
                    <xdr:rowOff>7620</xdr:rowOff>
                  </from>
                  <to>
                    <xdr:col>4</xdr:col>
                    <xdr:colOff>396240</xdr:colOff>
                    <xdr:row>82</xdr:row>
                    <xdr:rowOff>0</xdr:rowOff>
                  </to>
                </anchor>
              </controlPr>
            </control>
          </mc:Choice>
        </mc:AlternateContent>
        <mc:AlternateContent xmlns:mc="http://schemas.openxmlformats.org/markup-compatibility/2006">
          <mc:Choice Requires="x14">
            <control shapeId="22676" r:id="rId140" name="Check Box 148">
              <controlPr defaultSize="0" autoFill="0" autoLine="0" autoPict="0">
                <anchor moveWithCells="1">
                  <from>
                    <xdr:col>4</xdr:col>
                    <xdr:colOff>76200</xdr:colOff>
                    <xdr:row>82</xdr:row>
                    <xdr:rowOff>7620</xdr:rowOff>
                  </from>
                  <to>
                    <xdr:col>4</xdr:col>
                    <xdr:colOff>396240</xdr:colOff>
                    <xdr:row>83</xdr:row>
                    <xdr:rowOff>0</xdr:rowOff>
                  </to>
                </anchor>
              </controlPr>
            </control>
          </mc:Choice>
        </mc:AlternateContent>
        <mc:AlternateContent xmlns:mc="http://schemas.openxmlformats.org/markup-compatibility/2006">
          <mc:Choice Requires="x14">
            <control shapeId="22677" r:id="rId141" name="Check Box 149">
              <controlPr defaultSize="0" autoFill="0" autoLine="0" autoPict="0">
                <anchor moveWithCells="1">
                  <from>
                    <xdr:col>4</xdr:col>
                    <xdr:colOff>76200</xdr:colOff>
                    <xdr:row>83</xdr:row>
                    <xdr:rowOff>7620</xdr:rowOff>
                  </from>
                  <to>
                    <xdr:col>4</xdr:col>
                    <xdr:colOff>396240</xdr:colOff>
                    <xdr:row>84</xdr:row>
                    <xdr:rowOff>0</xdr:rowOff>
                  </to>
                </anchor>
              </controlPr>
            </control>
          </mc:Choice>
        </mc:AlternateContent>
        <mc:AlternateContent xmlns:mc="http://schemas.openxmlformats.org/markup-compatibility/2006">
          <mc:Choice Requires="x14">
            <control shapeId="22678" r:id="rId142" name="Check Box 150">
              <controlPr defaultSize="0" autoFill="0" autoLine="0" autoPict="0">
                <anchor moveWithCells="1">
                  <from>
                    <xdr:col>4</xdr:col>
                    <xdr:colOff>76200</xdr:colOff>
                    <xdr:row>84</xdr:row>
                    <xdr:rowOff>7620</xdr:rowOff>
                  </from>
                  <to>
                    <xdr:col>4</xdr:col>
                    <xdr:colOff>396240</xdr:colOff>
                    <xdr:row>85</xdr:row>
                    <xdr:rowOff>0</xdr:rowOff>
                  </to>
                </anchor>
              </controlPr>
            </control>
          </mc:Choice>
        </mc:AlternateContent>
        <mc:AlternateContent xmlns:mc="http://schemas.openxmlformats.org/markup-compatibility/2006">
          <mc:Choice Requires="x14">
            <control shapeId="22679" r:id="rId143" name="Check Box 151">
              <controlPr defaultSize="0" autoFill="0" autoLine="0" autoPict="0">
                <anchor moveWithCells="1">
                  <from>
                    <xdr:col>4</xdr:col>
                    <xdr:colOff>76200</xdr:colOff>
                    <xdr:row>85</xdr:row>
                    <xdr:rowOff>7620</xdr:rowOff>
                  </from>
                  <to>
                    <xdr:col>4</xdr:col>
                    <xdr:colOff>396240</xdr:colOff>
                    <xdr:row>86</xdr:row>
                    <xdr:rowOff>0</xdr:rowOff>
                  </to>
                </anchor>
              </controlPr>
            </control>
          </mc:Choice>
        </mc:AlternateContent>
        <mc:AlternateContent xmlns:mc="http://schemas.openxmlformats.org/markup-compatibility/2006">
          <mc:Choice Requires="x14">
            <control shapeId="22680" r:id="rId144" name="Check Box 152">
              <controlPr defaultSize="0" autoFill="0" autoLine="0" autoPict="0">
                <anchor moveWithCells="1">
                  <from>
                    <xdr:col>1</xdr:col>
                    <xdr:colOff>76200</xdr:colOff>
                    <xdr:row>92</xdr:row>
                    <xdr:rowOff>7620</xdr:rowOff>
                  </from>
                  <to>
                    <xdr:col>1</xdr:col>
                    <xdr:colOff>396240</xdr:colOff>
                    <xdr:row>93</xdr:row>
                    <xdr:rowOff>0</xdr:rowOff>
                  </to>
                </anchor>
              </controlPr>
            </control>
          </mc:Choice>
        </mc:AlternateContent>
        <mc:AlternateContent xmlns:mc="http://schemas.openxmlformats.org/markup-compatibility/2006">
          <mc:Choice Requires="x14">
            <control shapeId="22681" r:id="rId145" name="Check Box 153">
              <controlPr defaultSize="0" autoFill="0" autoLine="0" autoPict="0">
                <anchor moveWithCells="1">
                  <from>
                    <xdr:col>1</xdr:col>
                    <xdr:colOff>76200</xdr:colOff>
                    <xdr:row>93</xdr:row>
                    <xdr:rowOff>7620</xdr:rowOff>
                  </from>
                  <to>
                    <xdr:col>1</xdr:col>
                    <xdr:colOff>396240</xdr:colOff>
                    <xdr:row>94</xdr:row>
                    <xdr:rowOff>0</xdr:rowOff>
                  </to>
                </anchor>
              </controlPr>
            </control>
          </mc:Choice>
        </mc:AlternateContent>
        <mc:AlternateContent xmlns:mc="http://schemas.openxmlformats.org/markup-compatibility/2006">
          <mc:Choice Requires="x14">
            <control shapeId="22682" r:id="rId146" name="Check Box 154">
              <controlPr defaultSize="0" autoFill="0" autoLine="0" autoPict="0">
                <anchor moveWithCells="1">
                  <from>
                    <xdr:col>1</xdr:col>
                    <xdr:colOff>76200</xdr:colOff>
                    <xdr:row>94</xdr:row>
                    <xdr:rowOff>7620</xdr:rowOff>
                  </from>
                  <to>
                    <xdr:col>1</xdr:col>
                    <xdr:colOff>396240</xdr:colOff>
                    <xdr:row>95</xdr:row>
                    <xdr:rowOff>0</xdr:rowOff>
                  </to>
                </anchor>
              </controlPr>
            </control>
          </mc:Choice>
        </mc:AlternateContent>
        <mc:AlternateContent xmlns:mc="http://schemas.openxmlformats.org/markup-compatibility/2006">
          <mc:Choice Requires="x14">
            <control shapeId="22683" r:id="rId147" name="Check Box 155">
              <controlPr defaultSize="0" autoFill="0" autoLine="0" autoPict="0">
                <anchor moveWithCells="1">
                  <from>
                    <xdr:col>1</xdr:col>
                    <xdr:colOff>76200</xdr:colOff>
                    <xdr:row>95</xdr:row>
                    <xdr:rowOff>7620</xdr:rowOff>
                  </from>
                  <to>
                    <xdr:col>1</xdr:col>
                    <xdr:colOff>396240</xdr:colOff>
                    <xdr:row>96</xdr:row>
                    <xdr:rowOff>0</xdr:rowOff>
                  </to>
                </anchor>
              </controlPr>
            </control>
          </mc:Choice>
        </mc:AlternateContent>
        <mc:AlternateContent xmlns:mc="http://schemas.openxmlformats.org/markup-compatibility/2006">
          <mc:Choice Requires="x14">
            <control shapeId="22684" r:id="rId148" name="Check Box 156">
              <controlPr defaultSize="0" autoFill="0" autoLine="0" autoPict="0">
                <anchor moveWithCells="1">
                  <from>
                    <xdr:col>1</xdr:col>
                    <xdr:colOff>76200</xdr:colOff>
                    <xdr:row>96</xdr:row>
                    <xdr:rowOff>7620</xdr:rowOff>
                  </from>
                  <to>
                    <xdr:col>1</xdr:col>
                    <xdr:colOff>396240</xdr:colOff>
                    <xdr:row>97</xdr:row>
                    <xdr:rowOff>0</xdr:rowOff>
                  </to>
                </anchor>
              </controlPr>
            </control>
          </mc:Choice>
        </mc:AlternateContent>
        <mc:AlternateContent xmlns:mc="http://schemas.openxmlformats.org/markup-compatibility/2006">
          <mc:Choice Requires="x14">
            <control shapeId="22685" r:id="rId149" name="Check Box 157">
              <controlPr defaultSize="0" autoFill="0" autoLine="0" autoPict="0">
                <anchor moveWithCells="1">
                  <from>
                    <xdr:col>1</xdr:col>
                    <xdr:colOff>76200</xdr:colOff>
                    <xdr:row>97</xdr:row>
                    <xdr:rowOff>7620</xdr:rowOff>
                  </from>
                  <to>
                    <xdr:col>1</xdr:col>
                    <xdr:colOff>396240</xdr:colOff>
                    <xdr:row>98</xdr:row>
                    <xdr:rowOff>0</xdr:rowOff>
                  </to>
                </anchor>
              </controlPr>
            </control>
          </mc:Choice>
        </mc:AlternateContent>
        <mc:AlternateContent xmlns:mc="http://schemas.openxmlformats.org/markup-compatibility/2006">
          <mc:Choice Requires="x14">
            <control shapeId="22686" r:id="rId150" name="Check Box 158">
              <controlPr defaultSize="0" autoFill="0" autoLine="0" autoPict="0">
                <anchor moveWithCells="1">
                  <from>
                    <xdr:col>1</xdr:col>
                    <xdr:colOff>76200</xdr:colOff>
                    <xdr:row>98</xdr:row>
                    <xdr:rowOff>7620</xdr:rowOff>
                  </from>
                  <to>
                    <xdr:col>1</xdr:col>
                    <xdr:colOff>396240</xdr:colOff>
                    <xdr:row>99</xdr:row>
                    <xdr:rowOff>0</xdr:rowOff>
                  </to>
                </anchor>
              </controlPr>
            </control>
          </mc:Choice>
        </mc:AlternateContent>
        <mc:AlternateContent xmlns:mc="http://schemas.openxmlformats.org/markup-compatibility/2006">
          <mc:Choice Requires="x14">
            <control shapeId="22687" r:id="rId151" name="Check Box 159">
              <controlPr defaultSize="0" autoFill="0" autoLine="0" autoPict="0">
                <anchor moveWithCells="1">
                  <from>
                    <xdr:col>4</xdr:col>
                    <xdr:colOff>76200</xdr:colOff>
                    <xdr:row>92</xdr:row>
                    <xdr:rowOff>7620</xdr:rowOff>
                  </from>
                  <to>
                    <xdr:col>4</xdr:col>
                    <xdr:colOff>396240</xdr:colOff>
                    <xdr:row>93</xdr:row>
                    <xdr:rowOff>0</xdr:rowOff>
                  </to>
                </anchor>
              </controlPr>
            </control>
          </mc:Choice>
        </mc:AlternateContent>
        <mc:AlternateContent xmlns:mc="http://schemas.openxmlformats.org/markup-compatibility/2006">
          <mc:Choice Requires="x14">
            <control shapeId="22688" r:id="rId152" name="Check Box 160">
              <controlPr defaultSize="0" autoFill="0" autoLine="0" autoPict="0">
                <anchor moveWithCells="1">
                  <from>
                    <xdr:col>4</xdr:col>
                    <xdr:colOff>76200</xdr:colOff>
                    <xdr:row>93</xdr:row>
                    <xdr:rowOff>7620</xdr:rowOff>
                  </from>
                  <to>
                    <xdr:col>4</xdr:col>
                    <xdr:colOff>396240</xdr:colOff>
                    <xdr:row>94</xdr:row>
                    <xdr:rowOff>0</xdr:rowOff>
                  </to>
                </anchor>
              </controlPr>
            </control>
          </mc:Choice>
        </mc:AlternateContent>
        <mc:AlternateContent xmlns:mc="http://schemas.openxmlformats.org/markup-compatibility/2006">
          <mc:Choice Requires="x14">
            <control shapeId="22689" r:id="rId153" name="Check Box 161">
              <controlPr defaultSize="0" autoFill="0" autoLine="0" autoPict="0">
                <anchor moveWithCells="1">
                  <from>
                    <xdr:col>4</xdr:col>
                    <xdr:colOff>76200</xdr:colOff>
                    <xdr:row>94</xdr:row>
                    <xdr:rowOff>7620</xdr:rowOff>
                  </from>
                  <to>
                    <xdr:col>4</xdr:col>
                    <xdr:colOff>396240</xdr:colOff>
                    <xdr:row>95</xdr:row>
                    <xdr:rowOff>0</xdr:rowOff>
                  </to>
                </anchor>
              </controlPr>
            </control>
          </mc:Choice>
        </mc:AlternateContent>
        <mc:AlternateContent xmlns:mc="http://schemas.openxmlformats.org/markup-compatibility/2006">
          <mc:Choice Requires="x14">
            <control shapeId="22690" r:id="rId154" name="Check Box 162">
              <controlPr defaultSize="0" autoFill="0" autoLine="0" autoPict="0">
                <anchor moveWithCells="1">
                  <from>
                    <xdr:col>4</xdr:col>
                    <xdr:colOff>76200</xdr:colOff>
                    <xdr:row>95</xdr:row>
                    <xdr:rowOff>7620</xdr:rowOff>
                  </from>
                  <to>
                    <xdr:col>4</xdr:col>
                    <xdr:colOff>396240</xdr:colOff>
                    <xdr:row>96</xdr:row>
                    <xdr:rowOff>0</xdr:rowOff>
                  </to>
                </anchor>
              </controlPr>
            </control>
          </mc:Choice>
        </mc:AlternateContent>
        <mc:AlternateContent xmlns:mc="http://schemas.openxmlformats.org/markup-compatibility/2006">
          <mc:Choice Requires="x14">
            <control shapeId="22691" r:id="rId155" name="Check Box 163">
              <controlPr defaultSize="0" autoFill="0" autoLine="0" autoPict="0">
                <anchor moveWithCells="1">
                  <from>
                    <xdr:col>4</xdr:col>
                    <xdr:colOff>76200</xdr:colOff>
                    <xdr:row>96</xdr:row>
                    <xdr:rowOff>7620</xdr:rowOff>
                  </from>
                  <to>
                    <xdr:col>4</xdr:col>
                    <xdr:colOff>396240</xdr:colOff>
                    <xdr:row>97</xdr:row>
                    <xdr:rowOff>0</xdr:rowOff>
                  </to>
                </anchor>
              </controlPr>
            </control>
          </mc:Choice>
        </mc:AlternateContent>
        <mc:AlternateContent xmlns:mc="http://schemas.openxmlformats.org/markup-compatibility/2006">
          <mc:Choice Requires="x14">
            <control shapeId="22692" r:id="rId156" name="Check Box 164">
              <controlPr defaultSize="0" autoFill="0" autoLine="0" autoPict="0">
                <anchor moveWithCells="1">
                  <from>
                    <xdr:col>4</xdr:col>
                    <xdr:colOff>76200</xdr:colOff>
                    <xdr:row>97</xdr:row>
                    <xdr:rowOff>7620</xdr:rowOff>
                  </from>
                  <to>
                    <xdr:col>4</xdr:col>
                    <xdr:colOff>396240</xdr:colOff>
                    <xdr:row>98</xdr:row>
                    <xdr:rowOff>0</xdr:rowOff>
                  </to>
                </anchor>
              </controlPr>
            </control>
          </mc:Choice>
        </mc:AlternateContent>
        <mc:AlternateContent xmlns:mc="http://schemas.openxmlformats.org/markup-compatibility/2006">
          <mc:Choice Requires="x14">
            <control shapeId="22693" r:id="rId157" name="Check Box 165">
              <controlPr defaultSize="0" autoFill="0" autoLine="0" autoPict="0">
                <anchor moveWithCells="1">
                  <from>
                    <xdr:col>8</xdr:col>
                    <xdr:colOff>76200</xdr:colOff>
                    <xdr:row>92</xdr:row>
                    <xdr:rowOff>7620</xdr:rowOff>
                  </from>
                  <to>
                    <xdr:col>8</xdr:col>
                    <xdr:colOff>396240</xdr:colOff>
                    <xdr:row>93</xdr:row>
                    <xdr:rowOff>0</xdr:rowOff>
                  </to>
                </anchor>
              </controlPr>
            </control>
          </mc:Choice>
        </mc:AlternateContent>
        <mc:AlternateContent xmlns:mc="http://schemas.openxmlformats.org/markup-compatibility/2006">
          <mc:Choice Requires="x14">
            <control shapeId="22694" r:id="rId158" name="Check Box 166">
              <controlPr defaultSize="0" autoFill="0" autoLine="0" autoPict="0">
                <anchor moveWithCells="1">
                  <from>
                    <xdr:col>8</xdr:col>
                    <xdr:colOff>76200</xdr:colOff>
                    <xdr:row>93</xdr:row>
                    <xdr:rowOff>7620</xdr:rowOff>
                  </from>
                  <to>
                    <xdr:col>8</xdr:col>
                    <xdr:colOff>396240</xdr:colOff>
                    <xdr:row>94</xdr:row>
                    <xdr:rowOff>0</xdr:rowOff>
                  </to>
                </anchor>
              </controlPr>
            </control>
          </mc:Choice>
        </mc:AlternateContent>
        <mc:AlternateContent xmlns:mc="http://schemas.openxmlformats.org/markup-compatibility/2006">
          <mc:Choice Requires="x14">
            <control shapeId="22695" r:id="rId159" name="Check Box 167">
              <controlPr defaultSize="0" autoFill="0" autoLine="0" autoPict="0">
                <anchor moveWithCells="1">
                  <from>
                    <xdr:col>1</xdr:col>
                    <xdr:colOff>76200</xdr:colOff>
                    <xdr:row>103</xdr:row>
                    <xdr:rowOff>7620</xdr:rowOff>
                  </from>
                  <to>
                    <xdr:col>1</xdr:col>
                    <xdr:colOff>396240</xdr:colOff>
                    <xdr:row>104</xdr:row>
                    <xdr:rowOff>0</xdr:rowOff>
                  </to>
                </anchor>
              </controlPr>
            </control>
          </mc:Choice>
        </mc:AlternateContent>
        <mc:AlternateContent xmlns:mc="http://schemas.openxmlformats.org/markup-compatibility/2006">
          <mc:Choice Requires="x14">
            <control shapeId="22696" r:id="rId160" name="Check Box 168">
              <controlPr defaultSize="0" autoFill="0" autoLine="0" autoPict="0">
                <anchor moveWithCells="1">
                  <from>
                    <xdr:col>1</xdr:col>
                    <xdr:colOff>76200</xdr:colOff>
                    <xdr:row>104</xdr:row>
                    <xdr:rowOff>7620</xdr:rowOff>
                  </from>
                  <to>
                    <xdr:col>1</xdr:col>
                    <xdr:colOff>396240</xdr:colOff>
                    <xdr:row>105</xdr:row>
                    <xdr:rowOff>0</xdr:rowOff>
                  </to>
                </anchor>
              </controlPr>
            </control>
          </mc:Choice>
        </mc:AlternateContent>
        <mc:AlternateContent xmlns:mc="http://schemas.openxmlformats.org/markup-compatibility/2006">
          <mc:Choice Requires="x14">
            <control shapeId="22697" r:id="rId161" name="Check Box 169">
              <controlPr defaultSize="0" autoFill="0" autoLine="0" autoPict="0">
                <anchor moveWithCells="1">
                  <from>
                    <xdr:col>1</xdr:col>
                    <xdr:colOff>76200</xdr:colOff>
                    <xdr:row>105</xdr:row>
                    <xdr:rowOff>7620</xdr:rowOff>
                  </from>
                  <to>
                    <xdr:col>1</xdr:col>
                    <xdr:colOff>396240</xdr:colOff>
                    <xdr:row>106</xdr:row>
                    <xdr:rowOff>0</xdr:rowOff>
                  </to>
                </anchor>
              </controlPr>
            </control>
          </mc:Choice>
        </mc:AlternateContent>
        <mc:AlternateContent xmlns:mc="http://schemas.openxmlformats.org/markup-compatibility/2006">
          <mc:Choice Requires="x14">
            <control shapeId="22698" r:id="rId162" name="Check Box 170">
              <controlPr defaultSize="0" autoFill="0" autoLine="0" autoPict="0">
                <anchor moveWithCells="1">
                  <from>
                    <xdr:col>1</xdr:col>
                    <xdr:colOff>76200</xdr:colOff>
                    <xdr:row>106</xdr:row>
                    <xdr:rowOff>7620</xdr:rowOff>
                  </from>
                  <to>
                    <xdr:col>1</xdr:col>
                    <xdr:colOff>396240</xdr:colOff>
                    <xdr:row>107</xdr:row>
                    <xdr:rowOff>0</xdr:rowOff>
                  </to>
                </anchor>
              </controlPr>
            </control>
          </mc:Choice>
        </mc:AlternateContent>
        <mc:AlternateContent xmlns:mc="http://schemas.openxmlformats.org/markup-compatibility/2006">
          <mc:Choice Requires="x14">
            <control shapeId="22699" r:id="rId163" name="Check Box 171">
              <controlPr defaultSize="0" autoFill="0" autoLine="0" autoPict="0">
                <anchor moveWithCells="1">
                  <from>
                    <xdr:col>1</xdr:col>
                    <xdr:colOff>76200</xdr:colOff>
                    <xdr:row>107</xdr:row>
                    <xdr:rowOff>7620</xdr:rowOff>
                  </from>
                  <to>
                    <xdr:col>1</xdr:col>
                    <xdr:colOff>396240</xdr:colOff>
                    <xdr:row>108</xdr:row>
                    <xdr:rowOff>0</xdr:rowOff>
                  </to>
                </anchor>
              </controlPr>
            </control>
          </mc:Choice>
        </mc:AlternateContent>
        <mc:AlternateContent xmlns:mc="http://schemas.openxmlformats.org/markup-compatibility/2006">
          <mc:Choice Requires="x14">
            <control shapeId="22700" r:id="rId164" name="Check Box 172">
              <controlPr defaultSize="0" autoFill="0" autoLine="0" autoPict="0">
                <anchor moveWithCells="1">
                  <from>
                    <xdr:col>1</xdr:col>
                    <xdr:colOff>76200</xdr:colOff>
                    <xdr:row>108</xdr:row>
                    <xdr:rowOff>7620</xdr:rowOff>
                  </from>
                  <to>
                    <xdr:col>1</xdr:col>
                    <xdr:colOff>396240</xdr:colOff>
                    <xdr:row>109</xdr:row>
                    <xdr:rowOff>0</xdr:rowOff>
                  </to>
                </anchor>
              </controlPr>
            </control>
          </mc:Choice>
        </mc:AlternateContent>
        <mc:AlternateContent xmlns:mc="http://schemas.openxmlformats.org/markup-compatibility/2006">
          <mc:Choice Requires="x14">
            <control shapeId="22701" r:id="rId165" name="Check Box 173">
              <controlPr defaultSize="0" autoFill="0" autoLine="0" autoPict="0">
                <anchor moveWithCells="1">
                  <from>
                    <xdr:col>1</xdr:col>
                    <xdr:colOff>76200</xdr:colOff>
                    <xdr:row>109</xdr:row>
                    <xdr:rowOff>7620</xdr:rowOff>
                  </from>
                  <to>
                    <xdr:col>1</xdr:col>
                    <xdr:colOff>396240</xdr:colOff>
                    <xdr:row>110</xdr:row>
                    <xdr:rowOff>0</xdr:rowOff>
                  </to>
                </anchor>
              </controlPr>
            </control>
          </mc:Choice>
        </mc:AlternateContent>
        <mc:AlternateContent xmlns:mc="http://schemas.openxmlformats.org/markup-compatibility/2006">
          <mc:Choice Requires="x14">
            <control shapeId="22702" r:id="rId166" name="Check Box 174">
              <controlPr defaultSize="0" autoFill="0" autoLine="0" autoPict="0">
                <anchor moveWithCells="1">
                  <from>
                    <xdr:col>1</xdr:col>
                    <xdr:colOff>76200</xdr:colOff>
                    <xdr:row>110</xdr:row>
                    <xdr:rowOff>7620</xdr:rowOff>
                  </from>
                  <to>
                    <xdr:col>1</xdr:col>
                    <xdr:colOff>396240</xdr:colOff>
                    <xdr:row>111</xdr:row>
                    <xdr:rowOff>0</xdr:rowOff>
                  </to>
                </anchor>
              </controlPr>
            </control>
          </mc:Choice>
        </mc:AlternateContent>
        <mc:AlternateContent xmlns:mc="http://schemas.openxmlformats.org/markup-compatibility/2006">
          <mc:Choice Requires="x14">
            <control shapeId="22703" r:id="rId167" name="Check Box 175">
              <controlPr defaultSize="0" autoFill="0" autoLine="0" autoPict="0">
                <anchor moveWithCells="1">
                  <from>
                    <xdr:col>1</xdr:col>
                    <xdr:colOff>76200</xdr:colOff>
                    <xdr:row>111</xdr:row>
                    <xdr:rowOff>7620</xdr:rowOff>
                  </from>
                  <to>
                    <xdr:col>1</xdr:col>
                    <xdr:colOff>396240</xdr:colOff>
                    <xdr:row>112</xdr:row>
                    <xdr:rowOff>0</xdr:rowOff>
                  </to>
                </anchor>
              </controlPr>
            </control>
          </mc:Choice>
        </mc:AlternateContent>
        <mc:AlternateContent xmlns:mc="http://schemas.openxmlformats.org/markup-compatibility/2006">
          <mc:Choice Requires="x14">
            <control shapeId="22704" r:id="rId168" name="Check Box 176">
              <controlPr defaultSize="0" autoFill="0" autoLine="0" autoPict="0">
                <anchor moveWithCells="1">
                  <from>
                    <xdr:col>1</xdr:col>
                    <xdr:colOff>76200</xdr:colOff>
                    <xdr:row>112</xdr:row>
                    <xdr:rowOff>7620</xdr:rowOff>
                  </from>
                  <to>
                    <xdr:col>1</xdr:col>
                    <xdr:colOff>396240</xdr:colOff>
                    <xdr:row>113</xdr:row>
                    <xdr:rowOff>0</xdr:rowOff>
                  </to>
                </anchor>
              </controlPr>
            </control>
          </mc:Choice>
        </mc:AlternateContent>
        <mc:AlternateContent xmlns:mc="http://schemas.openxmlformats.org/markup-compatibility/2006">
          <mc:Choice Requires="x14">
            <control shapeId="22705" r:id="rId169" name="Check Box 177">
              <controlPr defaultSize="0" autoFill="0" autoLine="0" autoPict="0">
                <anchor moveWithCells="1">
                  <from>
                    <xdr:col>1</xdr:col>
                    <xdr:colOff>76200</xdr:colOff>
                    <xdr:row>113</xdr:row>
                    <xdr:rowOff>7620</xdr:rowOff>
                  </from>
                  <to>
                    <xdr:col>1</xdr:col>
                    <xdr:colOff>396240</xdr:colOff>
                    <xdr:row>114</xdr:row>
                    <xdr:rowOff>0</xdr:rowOff>
                  </to>
                </anchor>
              </controlPr>
            </control>
          </mc:Choice>
        </mc:AlternateContent>
        <mc:AlternateContent xmlns:mc="http://schemas.openxmlformats.org/markup-compatibility/2006">
          <mc:Choice Requires="x14">
            <control shapeId="22706" r:id="rId170" name="Check Box 178">
              <controlPr defaultSize="0" autoFill="0" autoLine="0" autoPict="0">
                <anchor moveWithCells="1">
                  <from>
                    <xdr:col>1</xdr:col>
                    <xdr:colOff>76200</xdr:colOff>
                    <xdr:row>114</xdr:row>
                    <xdr:rowOff>7620</xdr:rowOff>
                  </from>
                  <to>
                    <xdr:col>1</xdr:col>
                    <xdr:colOff>396240</xdr:colOff>
                    <xdr:row>115</xdr:row>
                    <xdr:rowOff>0</xdr:rowOff>
                  </to>
                </anchor>
              </controlPr>
            </control>
          </mc:Choice>
        </mc:AlternateContent>
        <mc:AlternateContent xmlns:mc="http://schemas.openxmlformats.org/markup-compatibility/2006">
          <mc:Choice Requires="x14">
            <control shapeId="22707" r:id="rId171" name="Check Box 179">
              <controlPr defaultSize="0" autoFill="0" autoLine="0" autoPict="0">
                <anchor moveWithCells="1">
                  <from>
                    <xdr:col>1</xdr:col>
                    <xdr:colOff>76200</xdr:colOff>
                    <xdr:row>115</xdr:row>
                    <xdr:rowOff>7620</xdr:rowOff>
                  </from>
                  <to>
                    <xdr:col>1</xdr:col>
                    <xdr:colOff>396240</xdr:colOff>
                    <xdr:row>116</xdr:row>
                    <xdr:rowOff>0</xdr:rowOff>
                  </to>
                </anchor>
              </controlPr>
            </control>
          </mc:Choice>
        </mc:AlternateContent>
        <mc:AlternateContent xmlns:mc="http://schemas.openxmlformats.org/markup-compatibility/2006">
          <mc:Choice Requires="x14">
            <control shapeId="22708" r:id="rId172" name="Check Box 180">
              <controlPr defaultSize="0" autoFill="0" autoLine="0" autoPict="0">
                <anchor moveWithCells="1">
                  <from>
                    <xdr:col>5</xdr:col>
                    <xdr:colOff>76200</xdr:colOff>
                    <xdr:row>103</xdr:row>
                    <xdr:rowOff>7620</xdr:rowOff>
                  </from>
                  <to>
                    <xdr:col>5</xdr:col>
                    <xdr:colOff>396240</xdr:colOff>
                    <xdr:row>104</xdr:row>
                    <xdr:rowOff>0</xdr:rowOff>
                  </to>
                </anchor>
              </controlPr>
            </control>
          </mc:Choice>
        </mc:AlternateContent>
        <mc:AlternateContent xmlns:mc="http://schemas.openxmlformats.org/markup-compatibility/2006">
          <mc:Choice Requires="x14">
            <control shapeId="22709" r:id="rId173" name="Check Box 181">
              <controlPr defaultSize="0" autoFill="0" autoLine="0" autoPict="0">
                <anchor moveWithCells="1">
                  <from>
                    <xdr:col>5</xdr:col>
                    <xdr:colOff>76200</xdr:colOff>
                    <xdr:row>104</xdr:row>
                    <xdr:rowOff>7620</xdr:rowOff>
                  </from>
                  <to>
                    <xdr:col>5</xdr:col>
                    <xdr:colOff>396240</xdr:colOff>
                    <xdr:row>105</xdr:row>
                    <xdr:rowOff>0</xdr:rowOff>
                  </to>
                </anchor>
              </controlPr>
            </control>
          </mc:Choice>
        </mc:AlternateContent>
        <mc:AlternateContent xmlns:mc="http://schemas.openxmlformats.org/markup-compatibility/2006">
          <mc:Choice Requires="x14">
            <control shapeId="22710" r:id="rId174" name="Check Box 182">
              <controlPr defaultSize="0" autoFill="0" autoLine="0" autoPict="0">
                <anchor moveWithCells="1">
                  <from>
                    <xdr:col>5</xdr:col>
                    <xdr:colOff>76200</xdr:colOff>
                    <xdr:row>105</xdr:row>
                    <xdr:rowOff>7620</xdr:rowOff>
                  </from>
                  <to>
                    <xdr:col>5</xdr:col>
                    <xdr:colOff>396240</xdr:colOff>
                    <xdr:row>106</xdr:row>
                    <xdr:rowOff>0</xdr:rowOff>
                  </to>
                </anchor>
              </controlPr>
            </control>
          </mc:Choice>
        </mc:AlternateContent>
        <mc:AlternateContent xmlns:mc="http://schemas.openxmlformats.org/markup-compatibility/2006">
          <mc:Choice Requires="x14">
            <control shapeId="22711" r:id="rId175" name="Check Box 183">
              <controlPr defaultSize="0" autoFill="0" autoLine="0" autoPict="0">
                <anchor moveWithCells="1">
                  <from>
                    <xdr:col>5</xdr:col>
                    <xdr:colOff>76200</xdr:colOff>
                    <xdr:row>106</xdr:row>
                    <xdr:rowOff>7620</xdr:rowOff>
                  </from>
                  <to>
                    <xdr:col>5</xdr:col>
                    <xdr:colOff>396240</xdr:colOff>
                    <xdr:row>107</xdr:row>
                    <xdr:rowOff>0</xdr:rowOff>
                  </to>
                </anchor>
              </controlPr>
            </control>
          </mc:Choice>
        </mc:AlternateContent>
        <mc:AlternateContent xmlns:mc="http://schemas.openxmlformats.org/markup-compatibility/2006">
          <mc:Choice Requires="x14">
            <control shapeId="22712" r:id="rId176" name="Check Box 184">
              <controlPr defaultSize="0" autoFill="0" autoLine="0" autoPict="0">
                <anchor moveWithCells="1">
                  <from>
                    <xdr:col>5</xdr:col>
                    <xdr:colOff>76200</xdr:colOff>
                    <xdr:row>107</xdr:row>
                    <xdr:rowOff>7620</xdr:rowOff>
                  </from>
                  <to>
                    <xdr:col>5</xdr:col>
                    <xdr:colOff>396240</xdr:colOff>
                    <xdr:row>108</xdr:row>
                    <xdr:rowOff>0</xdr:rowOff>
                  </to>
                </anchor>
              </controlPr>
            </control>
          </mc:Choice>
        </mc:AlternateContent>
        <mc:AlternateContent xmlns:mc="http://schemas.openxmlformats.org/markup-compatibility/2006">
          <mc:Choice Requires="x14">
            <control shapeId="22713" r:id="rId177" name="Check Box 185">
              <controlPr defaultSize="0" autoFill="0" autoLine="0" autoPict="0">
                <anchor moveWithCells="1">
                  <from>
                    <xdr:col>5</xdr:col>
                    <xdr:colOff>76200</xdr:colOff>
                    <xdr:row>108</xdr:row>
                    <xdr:rowOff>7620</xdr:rowOff>
                  </from>
                  <to>
                    <xdr:col>5</xdr:col>
                    <xdr:colOff>396240</xdr:colOff>
                    <xdr:row>109</xdr:row>
                    <xdr:rowOff>0</xdr:rowOff>
                  </to>
                </anchor>
              </controlPr>
            </control>
          </mc:Choice>
        </mc:AlternateContent>
        <mc:AlternateContent xmlns:mc="http://schemas.openxmlformats.org/markup-compatibility/2006">
          <mc:Choice Requires="x14">
            <control shapeId="22714" r:id="rId178" name="Check Box 186">
              <controlPr defaultSize="0" autoFill="0" autoLine="0" autoPict="0">
                <anchor moveWithCells="1">
                  <from>
                    <xdr:col>5</xdr:col>
                    <xdr:colOff>76200</xdr:colOff>
                    <xdr:row>109</xdr:row>
                    <xdr:rowOff>7620</xdr:rowOff>
                  </from>
                  <to>
                    <xdr:col>5</xdr:col>
                    <xdr:colOff>396240</xdr:colOff>
                    <xdr:row>110</xdr:row>
                    <xdr:rowOff>0</xdr:rowOff>
                  </to>
                </anchor>
              </controlPr>
            </control>
          </mc:Choice>
        </mc:AlternateContent>
        <mc:AlternateContent xmlns:mc="http://schemas.openxmlformats.org/markup-compatibility/2006">
          <mc:Choice Requires="x14">
            <control shapeId="22715" r:id="rId179" name="Check Box 187">
              <controlPr defaultSize="0" autoFill="0" autoLine="0" autoPict="0">
                <anchor moveWithCells="1">
                  <from>
                    <xdr:col>5</xdr:col>
                    <xdr:colOff>76200</xdr:colOff>
                    <xdr:row>110</xdr:row>
                    <xdr:rowOff>7620</xdr:rowOff>
                  </from>
                  <to>
                    <xdr:col>5</xdr:col>
                    <xdr:colOff>396240</xdr:colOff>
                    <xdr:row>111</xdr:row>
                    <xdr:rowOff>0</xdr:rowOff>
                  </to>
                </anchor>
              </controlPr>
            </control>
          </mc:Choice>
        </mc:AlternateContent>
        <mc:AlternateContent xmlns:mc="http://schemas.openxmlformats.org/markup-compatibility/2006">
          <mc:Choice Requires="x14">
            <control shapeId="22716" r:id="rId180" name="Check Box 188">
              <controlPr defaultSize="0" autoFill="0" autoLine="0" autoPict="0">
                <anchor moveWithCells="1">
                  <from>
                    <xdr:col>11</xdr:col>
                    <xdr:colOff>76200</xdr:colOff>
                    <xdr:row>103</xdr:row>
                    <xdr:rowOff>7620</xdr:rowOff>
                  </from>
                  <to>
                    <xdr:col>11</xdr:col>
                    <xdr:colOff>396240</xdr:colOff>
                    <xdr:row>104</xdr:row>
                    <xdr:rowOff>0</xdr:rowOff>
                  </to>
                </anchor>
              </controlPr>
            </control>
          </mc:Choice>
        </mc:AlternateContent>
        <mc:AlternateContent xmlns:mc="http://schemas.openxmlformats.org/markup-compatibility/2006">
          <mc:Choice Requires="x14">
            <control shapeId="22717" r:id="rId181" name="Check Box 189">
              <controlPr defaultSize="0" autoFill="0" autoLine="0" autoPict="0">
                <anchor moveWithCells="1">
                  <from>
                    <xdr:col>11</xdr:col>
                    <xdr:colOff>76200</xdr:colOff>
                    <xdr:row>104</xdr:row>
                    <xdr:rowOff>7620</xdr:rowOff>
                  </from>
                  <to>
                    <xdr:col>11</xdr:col>
                    <xdr:colOff>396240</xdr:colOff>
                    <xdr:row>105</xdr:row>
                    <xdr:rowOff>0</xdr:rowOff>
                  </to>
                </anchor>
              </controlPr>
            </control>
          </mc:Choice>
        </mc:AlternateContent>
        <mc:AlternateContent xmlns:mc="http://schemas.openxmlformats.org/markup-compatibility/2006">
          <mc:Choice Requires="x14">
            <control shapeId="22718" r:id="rId182" name="Check Box 190">
              <controlPr defaultSize="0" autoFill="0" autoLine="0" autoPict="0">
                <anchor moveWithCells="1">
                  <from>
                    <xdr:col>6</xdr:col>
                    <xdr:colOff>76200</xdr:colOff>
                    <xdr:row>50</xdr:row>
                    <xdr:rowOff>7620</xdr:rowOff>
                  </from>
                  <to>
                    <xdr:col>6</xdr:col>
                    <xdr:colOff>396240</xdr:colOff>
                    <xdr:row>51</xdr:row>
                    <xdr:rowOff>0</xdr:rowOff>
                  </to>
                </anchor>
              </controlPr>
            </control>
          </mc:Choice>
        </mc:AlternateContent>
        <mc:AlternateContent xmlns:mc="http://schemas.openxmlformats.org/markup-compatibility/2006">
          <mc:Choice Requires="x14">
            <control shapeId="22719" r:id="rId183" name="Check Box 191">
              <controlPr defaultSize="0" autoFill="0" autoLine="0" autoPict="0">
                <anchor moveWithCells="1">
                  <from>
                    <xdr:col>1</xdr:col>
                    <xdr:colOff>76200</xdr:colOff>
                    <xdr:row>60</xdr:row>
                    <xdr:rowOff>7620</xdr:rowOff>
                  </from>
                  <to>
                    <xdr:col>1</xdr:col>
                    <xdr:colOff>396240</xdr:colOff>
                    <xdr:row>61</xdr:row>
                    <xdr:rowOff>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Y38"/>
  <sheetViews>
    <sheetView workbookViewId="0">
      <selection activeCell="E27" sqref="E27"/>
    </sheetView>
  </sheetViews>
  <sheetFormatPr defaultRowHeight="14.4" x14ac:dyDescent="0.3"/>
  <sheetData>
    <row r="1" spans="1:25" x14ac:dyDescent="0.3">
      <c r="A1" t="s">
        <v>547</v>
      </c>
    </row>
    <row r="2" spans="1:25" x14ac:dyDescent="0.3">
      <c r="A2" t="s">
        <v>548</v>
      </c>
    </row>
    <row r="4" spans="1:25" x14ac:dyDescent="0.3">
      <c r="A4" t="s">
        <v>572</v>
      </c>
    </row>
    <row r="5" spans="1:25" x14ac:dyDescent="0.3">
      <c r="A5" t="s">
        <v>549</v>
      </c>
    </row>
    <row r="6" spans="1:25" x14ac:dyDescent="0.3">
      <c r="A6" t="s">
        <v>556</v>
      </c>
    </row>
    <row r="8" spans="1:25" x14ac:dyDescent="0.3">
      <c r="A8" t="s">
        <v>557</v>
      </c>
    </row>
    <row r="9" spans="1:25" x14ac:dyDescent="0.3">
      <c r="A9" t="s">
        <v>558</v>
      </c>
    </row>
    <row r="11" spans="1:25" x14ac:dyDescent="0.3">
      <c r="A11" t="s">
        <v>573</v>
      </c>
      <c r="T11" t="s">
        <v>565</v>
      </c>
      <c r="W11" t="s">
        <v>574</v>
      </c>
    </row>
    <row r="13" spans="1:25" s="6" customFormat="1" x14ac:dyDescent="0.3">
      <c r="A13" s="5" t="s">
        <v>559</v>
      </c>
      <c r="Y13" s="40"/>
    </row>
    <row r="14" spans="1:25" s="3" customFormat="1" x14ac:dyDescent="0.3">
      <c r="A14" s="8" t="s">
        <v>550</v>
      </c>
      <c r="Y14" s="41"/>
    </row>
    <row r="15" spans="1:25" s="3" customFormat="1" x14ac:dyDescent="0.3">
      <c r="A15" s="8"/>
      <c r="Y15" s="41"/>
    </row>
    <row r="16" spans="1:25" s="3" customFormat="1" x14ac:dyDescent="0.3">
      <c r="A16" s="8" t="s">
        <v>575</v>
      </c>
      <c r="Y16" s="41"/>
    </row>
    <row r="17" spans="1:25" s="3" customFormat="1" x14ac:dyDescent="0.3">
      <c r="A17" s="8" t="s">
        <v>576</v>
      </c>
      <c r="L17" s="3" t="s">
        <v>577</v>
      </c>
      <c r="Y17" s="41"/>
    </row>
    <row r="18" spans="1:25" s="3" customFormat="1" x14ac:dyDescent="0.3">
      <c r="A18" s="8" t="s">
        <v>551</v>
      </c>
      <c r="E18" s="3" t="s">
        <v>578</v>
      </c>
      <c r="Y18" s="41"/>
    </row>
    <row r="19" spans="1:25" s="3" customFormat="1" x14ac:dyDescent="0.3">
      <c r="A19" s="8"/>
      <c r="Y19" s="41"/>
    </row>
    <row r="20" spans="1:25" s="3" customFormat="1" x14ac:dyDescent="0.3">
      <c r="A20" s="8" t="s">
        <v>579</v>
      </c>
      <c r="Y20" s="41"/>
    </row>
    <row r="21" spans="1:25" s="3" customFormat="1" x14ac:dyDescent="0.3">
      <c r="A21" s="8" t="s">
        <v>552</v>
      </c>
      <c r="Y21" s="41"/>
    </row>
    <row r="22" spans="1:25" s="3" customFormat="1" x14ac:dyDescent="0.3">
      <c r="A22" s="8"/>
      <c r="Y22" s="41"/>
    </row>
    <row r="23" spans="1:25" s="3" customFormat="1" x14ac:dyDescent="0.3">
      <c r="A23" s="8" t="s">
        <v>560</v>
      </c>
      <c r="Y23" s="41"/>
    </row>
    <row r="24" spans="1:25" s="3" customFormat="1" x14ac:dyDescent="0.3">
      <c r="A24" s="8" t="s">
        <v>561</v>
      </c>
      <c r="Y24" s="41"/>
    </row>
    <row r="25" spans="1:25" s="3" customFormat="1" x14ac:dyDescent="0.3">
      <c r="A25" s="8"/>
      <c r="Y25" s="41"/>
    </row>
    <row r="26" spans="1:25" s="3" customFormat="1" x14ac:dyDescent="0.3">
      <c r="A26" s="8" t="s">
        <v>553</v>
      </c>
      <c r="Y26" s="41"/>
    </row>
    <row r="27" spans="1:25" s="3" customFormat="1" x14ac:dyDescent="0.3">
      <c r="A27" s="8" t="s">
        <v>562</v>
      </c>
      <c r="Y27" s="41"/>
    </row>
    <row r="28" spans="1:25" s="3" customFormat="1" x14ac:dyDescent="0.3">
      <c r="A28" s="8"/>
      <c r="Y28" s="41"/>
    </row>
    <row r="29" spans="1:25" s="3" customFormat="1" x14ac:dyDescent="0.3">
      <c r="A29" s="8" t="s">
        <v>554</v>
      </c>
      <c r="Y29" s="41"/>
    </row>
    <row r="30" spans="1:25" s="4" customFormat="1" x14ac:dyDescent="0.3">
      <c r="A30" s="10" t="s">
        <v>563</v>
      </c>
      <c r="Y30" s="42"/>
    </row>
    <row r="32" spans="1:25" x14ac:dyDescent="0.3">
      <c r="A32" t="s">
        <v>564</v>
      </c>
    </row>
    <row r="33" spans="1:8" x14ac:dyDescent="0.3">
      <c r="A33" t="s">
        <v>555</v>
      </c>
    </row>
    <row r="35" spans="1:8" x14ac:dyDescent="0.3">
      <c r="A35" t="s">
        <v>567</v>
      </c>
    </row>
    <row r="36" spans="1:8" x14ac:dyDescent="0.3">
      <c r="A36" t="s">
        <v>568</v>
      </c>
    </row>
    <row r="37" spans="1:8" x14ac:dyDescent="0.3">
      <c r="A37" t="s">
        <v>569</v>
      </c>
      <c r="D37" t="s">
        <v>570</v>
      </c>
      <c r="H37" t="s">
        <v>571</v>
      </c>
    </row>
    <row r="38" spans="1:8" x14ac:dyDescent="0.3">
      <c r="A38" t="s">
        <v>566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S43"/>
  <sheetViews>
    <sheetView topLeftCell="A19" workbookViewId="0">
      <selection activeCell="B46" sqref="B46"/>
    </sheetView>
  </sheetViews>
  <sheetFormatPr defaultRowHeight="14.4" x14ac:dyDescent="0.3"/>
  <sheetData>
    <row r="1" spans="1:19" x14ac:dyDescent="0.3">
      <c r="A1" t="s">
        <v>353</v>
      </c>
      <c r="D1" t="s">
        <v>354</v>
      </c>
      <c r="J1" t="s">
        <v>355</v>
      </c>
      <c r="M1" t="s">
        <v>358</v>
      </c>
      <c r="O1" t="s">
        <v>359</v>
      </c>
      <c r="S1" t="s">
        <v>360</v>
      </c>
    </row>
    <row r="2" spans="1:19" x14ac:dyDescent="0.3">
      <c r="J2" t="s">
        <v>356</v>
      </c>
    </row>
    <row r="3" spans="1:19" x14ac:dyDescent="0.3">
      <c r="J3" t="s">
        <v>357</v>
      </c>
    </row>
    <row r="4" spans="1:19" x14ac:dyDescent="0.3">
      <c r="A4" t="s">
        <v>367</v>
      </c>
      <c r="S4" t="s">
        <v>361</v>
      </c>
    </row>
    <row r="5" spans="1:19" x14ac:dyDescent="0.3">
      <c r="A5" t="s">
        <v>368</v>
      </c>
    </row>
    <row r="6" spans="1:19" x14ac:dyDescent="0.3">
      <c r="A6" t="s">
        <v>369</v>
      </c>
      <c r="B6" t="s">
        <v>370</v>
      </c>
      <c r="K6" t="s">
        <v>379</v>
      </c>
      <c r="S6" t="s">
        <v>362</v>
      </c>
    </row>
    <row r="7" spans="1:19" x14ac:dyDescent="0.3">
      <c r="A7" t="s">
        <v>371</v>
      </c>
      <c r="C7" t="s">
        <v>372</v>
      </c>
      <c r="D7" t="s">
        <v>373</v>
      </c>
      <c r="K7" t="s">
        <v>380</v>
      </c>
      <c r="S7" t="s">
        <v>363</v>
      </c>
    </row>
    <row r="8" spans="1:19" x14ac:dyDescent="0.3">
      <c r="A8" t="s">
        <v>352</v>
      </c>
      <c r="C8" t="s">
        <v>374</v>
      </c>
      <c r="F8">
        <v>1000</v>
      </c>
      <c r="K8" t="s">
        <v>381</v>
      </c>
    </row>
    <row r="9" spans="1:19" x14ac:dyDescent="0.3">
      <c r="F9">
        <v>4640</v>
      </c>
      <c r="G9" t="s">
        <v>376</v>
      </c>
    </row>
    <row r="10" spans="1:19" x14ac:dyDescent="0.3">
      <c r="A10" t="s">
        <v>375</v>
      </c>
      <c r="C10" t="s">
        <v>377</v>
      </c>
      <c r="E10" t="s">
        <v>378</v>
      </c>
      <c r="S10" t="s">
        <v>364</v>
      </c>
    </row>
    <row r="12" spans="1:19" x14ac:dyDescent="0.3">
      <c r="S12" t="s">
        <v>365</v>
      </c>
    </row>
    <row r="13" spans="1:19" x14ac:dyDescent="0.3">
      <c r="B13" t="s">
        <v>386</v>
      </c>
      <c r="H13" t="s">
        <v>382</v>
      </c>
      <c r="J13" t="s">
        <v>383</v>
      </c>
    </row>
    <row r="14" spans="1:19" x14ac:dyDescent="0.3">
      <c r="S14" t="s">
        <v>366</v>
      </c>
    </row>
    <row r="15" spans="1:19" x14ac:dyDescent="0.3">
      <c r="B15" t="s">
        <v>387</v>
      </c>
      <c r="J15" t="s">
        <v>385</v>
      </c>
    </row>
    <row r="19" spans="1:12" x14ac:dyDescent="0.3">
      <c r="I19" t="s">
        <v>384</v>
      </c>
    </row>
    <row r="21" spans="1:12" s="4" customFormat="1" x14ac:dyDescent="0.3"/>
    <row r="23" spans="1:12" x14ac:dyDescent="0.3">
      <c r="A23" t="s">
        <v>388</v>
      </c>
      <c r="G23" t="s">
        <v>392</v>
      </c>
      <c r="L23" t="s">
        <v>393</v>
      </c>
    </row>
    <row r="25" spans="1:12" x14ac:dyDescent="0.3">
      <c r="A25" t="s">
        <v>389</v>
      </c>
    </row>
    <row r="27" spans="1:12" x14ac:dyDescent="0.3">
      <c r="A27" t="s">
        <v>390</v>
      </c>
      <c r="G27" t="s">
        <v>391</v>
      </c>
    </row>
    <row r="32" spans="1:12" x14ac:dyDescent="0.3">
      <c r="A32" t="s">
        <v>395</v>
      </c>
    </row>
    <row r="33" spans="1:8" x14ac:dyDescent="0.3">
      <c r="A33" s="34" t="s">
        <v>394</v>
      </c>
    </row>
    <row r="35" spans="1:8" x14ac:dyDescent="0.3">
      <c r="A35" t="s">
        <v>397</v>
      </c>
      <c r="H35" t="s">
        <v>398</v>
      </c>
    </row>
    <row r="36" spans="1:8" x14ac:dyDescent="0.3">
      <c r="A36" s="34" t="s">
        <v>396</v>
      </c>
    </row>
    <row r="39" spans="1:8" x14ac:dyDescent="0.3">
      <c r="A39" t="s">
        <v>399</v>
      </c>
      <c r="C39" t="s">
        <v>400</v>
      </c>
    </row>
    <row r="41" spans="1:8" x14ac:dyDescent="0.3">
      <c r="A41" t="s">
        <v>401</v>
      </c>
    </row>
    <row r="43" spans="1:8" x14ac:dyDescent="0.3">
      <c r="A43" t="s">
        <v>402</v>
      </c>
    </row>
  </sheetData>
  <hyperlinks>
    <hyperlink ref="A33" r:id="rId1" display="http://corservices.nac.sitel-world.net/cormapping/BusObj/RequestAccount.aspx"/>
    <hyperlink ref="A36" r:id="rId2" display="http://itsmc.nac.sitel-world.net/SMC/SupportRequest/CreateTicket.aspx"/>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C9"/>
  <sheetViews>
    <sheetView workbookViewId="0">
      <selection activeCell="B5" sqref="B5"/>
    </sheetView>
  </sheetViews>
  <sheetFormatPr defaultRowHeight="14.4" x14ac:dyDescent="0.3"/>
  <sheetData>
    <row r="1" spans="1:3" x14ac:dyDescent="0.3">
      <c r="A1" t="s">
        <v>30</v>
      </c>
      <c r="C1" t="s">
        <v>31</v>
      </c>
    </row>
    <row r="3" spans="1:3" x14ac:dyDescent="0.3">
      <c r="A3" t="s">
        <v>32</v>
      </c>
      <c r="B3" t="s">
        <v>33</v>
      </c>
    </row>
    <row r="4" spans="1:3" x14ac:dyDescent="0.3">
      <c r="B4" t="s">
        <v>34</v>
      </c>
    </row>
    <row r="7" spans="1:3" x14ac:dyDescent="0.3">
      <c r="A7" t="s">
        <v>36</v>
      </c>
    </row>
    <row r="9" spans="1:3" x14ac:dyDescent="0.3">
      <c r="A9" t="s">
        <v>35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9"/>
  <sheetViews>
    <sheetView topLeftCell="C1" workbookViewId="0">
      <selection activeCell="L16" sqref="L16"/>
    </sheetView>
  </sheetViews>
  <sheetFormatPr defaultRowHeight="14.4" x14ac:dyDescent="0.3"/>
  <sheetData>
    <row r="1" spans="1:25" x14ac:dyDescent="0.3">
      <c r="T1" s="5" t="s">
        <v>53</v>
      </c>
      <c r="U1" s="6"/>
      <c r="V1" s="6"/>
      <c r="W1" s="6"/>
      <c r="X1" s="6"/>
      <c r="Y1" s="7"/>
    </row>
    <row r="2" spans="1:25" x14ac:dyDescent="0.3">
      <c r="B2" t="s">
        <v>4</v>
      </c>
      <c r="I2" s="1" t="s">
        <v>10</v>
      </c>
      <c r="T2" s="8"/>
      <c r="U2" s="3"/>
      <c r="V2" s="3"/>
      <c r="W2" s="3"/>
      <c r="X2" s="3"/>
      <c r="Y2" s="9"/>
    </row>
    <row r="3" spans="1:25" ht="15" x14ac:dyDescent="0.3">
      <c r="B3" t="s">
        <v>5</v>
      </c>
      <c r="I3" s="2"/>
      <c r="T3" s="8"/>
      <c r="U3" s="3"/>
      <c r="V3" s="3"/>
      <c r="W3" s="3"/>
      <c r="X3" s="3"/>
      <c r="Y3" s="9"/>
    </row>
    <row r="4" spans="1:25" x14ac:dyDescent="0.3">
      <c r="T4" s="8"/>
      <c r="U4" s="3"/>
      <c r="V4" s="3"/>
      <c r="W4" s="3"/>
      <c r="X4" s="3"/>
      <c r="Y4" s="9"/>
    </row>
    <row r="5" spans="1:25" x14ac:dyDescent="0.3">
      <c r="T5" s="8"/>
      <c r="U5" s="3"/>
      <c r="V5" s="3"/>
      <c r="W5" s="3"/>
      <c r="X5" s="3"/>
      <c r="Y5" s="9"/>
    </row>
    <row r="6" spans="1:25" x14ac:dyDescent="0.3">
      <c r="A6" s="3"/>
      <c r="B6" s="3"/>
      <c r="C6" s="3"/>
      <c r="D6" s="3"/>
      <c r="E6" s="3"/>
      <c r="F6" s="3"/>
      <c r="G6" s="3"/>
      <c r="H6" s="3"/>
      <c r="I6" s="3"/>
      <c r="J6" s="3"/>
      <c r="K6" s="3"/>
      <c r="L6" s="3"/>
      <c r="M6" s="3"/>
      <c r="N6" s="3"/>
      <c r="O6" s="3"/>
      <c r="P6" s="3"/>
      <c r="Q6" s="3"/>
      <c r="R6" s="3"/>
      <c r="S6" s="3"/>
      <c r="T6" s="8"/>
      <c r="U6" s="3"/>
      <c r="V6" s="3"/>
      <c r="W6" s="3"/>
      <c r="X6" s="3"/>
      <c r="Y6" s="9"/>
    </row>
    <row r="7" spans="1:25" x14ac:dyDescent="0.3">
      <c r="A7" s="3"/>
      <c r="B7" s="3"/>
      <c r="C7" s="3"/>
      <c r="D7" s="3"/>
      <c r="E7" s="3"/>
      <c r="F7" s="3"/>
      <c r="G7" s="3"/>
      <c r="H7" s="3"/>
      <c r="I7" s="3"/>
      <c r="J7" s="3"/>
      <c r="K7" s="3"/>
      <c r="L7" s="3"/>
      <c r="M7" s="3"/>
      <c r="N7" s="3"/>
      <c r="O7" s="3"/>
      <c r="P7" s="3"/>
      <c r="Q7" s="3"/>
      <c r="R7" s="3"/>
      <c r="S7" s="3"/>
      <c r="T7" s="8"/>
      <c r="U7" s="3"/>
      <c r="V7" s="3"/>
      <c r="W7" s="3"/>
      <c r="X7" s="3"/>
      <c r="Y7" s="9"/>
    </row>
    <row r="8" spans="1:25" x14ac:dyDescent="0.3">
      <c r="A8" s="3"/>
      <c r="B8" s="3" t="s">
        <v>15</v>
      </c>
      <c r="C8" s="3"/>
      <c r="D8" s="3"/>
      <c r="E8" s="3"/>
      <c r="F8" s="3"/>
      <c r="G8" s="3"/>
      <c r="H8" s="3"/>
      <c r="I8" s="3"/>
      <c r="J8" s="3"/>
      <c r="K8" s="3"/>
      <c r="L8" s="3"/>
      <c r="M8" s="3"/>
      <c r="N8" s="3"/>
      <c r="O8" s="3"/>
      <c r="P8" s="3"/>
      <c r="Q8" s="3"/>
      <c r="R8" s="3"/>
      <c r="S8" s="3"/>
      <c r="T8" s="8"/>
      <c r="U8" s="3"/>
      <c r="V8" s="3"/>
      <c r="W8" s="3"/>
      <c r="X8" s="3"/>
      <c r="Y8" s="9"/>
    </row>
    <row r="9" spans="1:25" x14ac:dyDescent="0.3">
      <c r="A9" s="4"/>
      <c r="B9" s="4"/>
      <c r="C9" s="4"/>
      <c r="D9" s="4"/>
      <c r="E9" s="4"/>
      <c r="F9" s="4"/>
      <c r="G9" s="4"/>
      <c r="H9" s="4"/>
      <c r="I9" s="4"/>
      <c r="J9" s="4"/>
      <c r="K9" s="4"/>
      <c r="L9" s="4"/>
      <c r="M9" s="4"/>
      <c r="N9" s="4"/>
      <c r="O9" s="4"/>
      <c r="P9" s="4"/>
      <c r="Q9" s="4"/>
      <c r="R9" s="4"/>
      <c r="S9" s="4"/>
      <c r="T9" s="10"/>
      <c r="U9" s="4"/>
      <c r="V9" s="3"/>
      <c r="W9" s="3"/>
      <c r="X9" s="3"/>
      <c r="Y9" s="9"/>
    </row>
    <row r="10" spans="1:25" x14ac:dyDescent="0.3">
      <c r="D10" t="s">
        <v>23</v>
      </c>
      <c r="E10" t="s">
        <v>24</v>
      </c>
      <c r="T10" s="8"/>
      <c r="U10" s="3"/>
      <c r="V10" s="3"/>
      <c r="W10" s="3"/>
      <c r="X10" s="3"/>
      <c r="Y10" s="9"/>
    </row>
    <row r="11" spans="1:25" x14ac:dyDescent="0.3">
      <c r="A11" t="s">
        <v>20</v>
      </c>
      <c r="D11" t="s">
        <v>22</v>
      </c>
      <c r="E11" t="s">
        <v>22</v>
      </c>
      <c r="T11" s="8"/>
      <c r="U11" s="3"/>
      <c r="V11" s="3"/>
      <c r="W11" s="3"/>
      <c r="X11" s="3"/>
      <c r="Y11" s="9"/>
    </row>
    <row r="12" spans="1:25" x14ac:dyDescent="0.3">
      <c r="A12" t="s">
        <v>21</v>
      </c>
      <c r="D12" t="s">
        <v>22</v>
      </c>
      <c r="E12" t="s">
        <v>22</v>
      </c>
      <c r="T12" s="8"/>
      <c r="U12" s="3"/>
      <c r="V12" s="3"/>
      <c r="W12" s="3"/>
      <c r="X12" s="3"/>
      <c r="Y12" s="9"/>
    </row>
    <row r="13" spans="1:25" x14ac:dyDescent="0.3">
      <c r="T13" s="8"/>
      <c r="U13" s="3"/>
      <c r="V13" s="3"/>
      <c r="W13" s="3"/>
      <c r="X13" s="3"/>
      <c r="Y13" s="9"/>
    </row>
    <row r="14" spans="1:25" x14ac:dyDescent="0.3">
      <c r="C14" t="s">
        <v>25</v>
      </c>
      <c r="T14" s="8"/>
      <c r="U14" s="3"/>
      <c r="V14" s="3"/>
      <c r="W14" s="3"/>
      <c r="X14" s="3"/>
      <c r="Y14" s="9"/>
    </row>
    <row r="15" spans="1:25" x14ac:dyDescent="0.3">
      <c r="T15" s="8"/>
      <c r="U15" s="3"/>
      <c r="V15" s="3"/>
      <c r="W15" s="3"/>
      <c r="X15" s="3"/>
      <c r="Y15" s="9"/>
    </row>
    <row r="16" spans="1:25" x14ac:dyDescent="0.3">
      <c r="T16" s="8"/>
      <c r="U16" s="3"/>
      <c r="V16" s="3"/>
      <c r="W16" s="3"/>
      <c r="X16" s="3"/>
      <c r="Y16" s="9"/>
    </row>
    <row r="17" spans="20:25" x14ac:dyDescent="0.3">
      <c r="T17" s="8"/>
      <c r="U17" s="3"/>
      <c r="V17" s="3"/>
      <c r="W17" s="3"/>
      <c r="X17" s="3"/>
      <c r="Y17" s="9"/>
    </row>
    <row r="18" spans="20:25" x14ac:dyDescent="0.3">
      <c r="T18" s="8"/>
      <c r="U18" s="3"/>
      <c r="V18" s="3"/>
      <c r="W18" s="3"/>
      <c r="X18" s="3"/>
      <c r="Y18" s="9"/>
    </row>
    <row r="19" spans="20:25" x14ac:dyDescent="0.3">
      <c r="T19" s="10"/>
      <c r="U19" s="4"/>
      <c r="V19" s="4"/>
      <c r="W19" s="4"/>
      <c r="X19" s="4"/>
      <c r="Y19" s="11"/>
    </row>
  </sheetData>
  <hyperlinks>
    <hyperlink ref="I2" r:id="rId1" display="\\BG279K12FPS01\Administrative$\Reporting\Data_Reporting\Private\1. Projects\5. Kingston\2. Working instructions"/>
  </hyperlinks>
  <pageMargins left="0.7" right="0.7" top="0.75" bottom="0.75" header="0.3" footer="0.3"/>
  <pageSetup orientation="portrait" horizontalDpi="300" verticalDpi="30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N12"/>
  <sheetViews>
    <sheetView workbookViewId="0">
      <selection activeCell="E19" sqref="E19"/>
    </sheetView>
  </sheetViews>
  <sheetFormatPr defaultRowHeight="14.4" x14ac:dyDescent="0.3"/>
  <sheetData>
    <row r="2" spans="1:14" ht="15" x14ac:dyDescent="0.3">
      <c r="C2" s="2" t="s">
        <v>11</v>
      </c>
    </row>
    <row r="4" spans="1:14" x14ac:dyDescent="0.3">
      <c r="B4" t="s">
        <v>16</v>
      </c>
    </row>
    <row r="5" spans="1:14" x14ac:dyDescent="0.3">
      <c r="B5" t="s">
        <v>17</v>
      </c>
    </row>
    <row r="6" spans="1:14" x14ac:dyDescent="0.3">
      <c r="B6" t="s">
        <v>18</v>
      </c>
    </row>
    <row r="7" spans="1:14" x14ac:dyDescent="0.3">
      <c r="B7" t="s">
        <v>19</v>
      </c>
    </row>
    <row r="8" spans="1:14" x14ac:dyDescent="0.3">
      <c r="A8" s="4"/>
      <c r="B8" s="4"/>
      <c r="C8" s="4"/>
      <c r="D8" s="4"/>
      <c r="E8" s="4"/>
      <c r="F8" s="4"/>
      <c r="G8" s="4"/>
      <c r="H8" s="4"/>
      <c r="I8" s="4"/>
      <c r="J8" s="4"/>
      <c r="K8" s="4"/>
      <c r="L8" s="4"/>
      <c r="M8" s="4"/>
      <c r="N8" s="4"/>
    </row>
    <row r="9" spans="1:14" x14ac:dyDescent="0.3">
      <c r="D9" t="s">
        <v>23</v>
      </c>
      <c r="F9" t="s">
        <v>29</v>
      </c>
    </row>
    <row r="10" spans="1:14" x14ac:dyDescent="0.3">
      <c r="A10" t="s">
        <v>26</v>
      </c>
      <c r="D10" t="s">
        <v>22</v>
      </c>
    </row>
    <row r="11" spans="1:14" x14ac:dyDescent="0.3">
      <c r="A11" t="s">
        <v>27</v>
      </c>
      <c r="D11" t="s">
        <v>22</v>
      </c>
    </row>
    <row r="12" spans="1:14" x14ac:dyDescent="0.3">
      <c r="A12" t="s">
        <v>28</v>
      </c>
      <c r="D12" t="s">
        <v>22</v>
      </c>
      <c r="F12" t="s">
        <v>22</v>
      </c>
    </row>
  </sheetData>
  <pageMargins left="0.7" right="0.7" top="0.75" bottom="0.75" header="0.3" footer="0.3"/>
  <pageSetup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F18"/>
  <sheetViews>
    <sheetView workbookViewId="0">
      <selection activeCell="A3" sqref="A3"/>
    </sheetView>
  </sheetViews>
  <sheetFormatPr defaultRowHeight="14.4" x14ac:dyDescent="0.3"/>
  <sheetData>
    <row r="1" spans="1:6" ht="15" thickBot="1" x14ac:dyDescent="0.35">
      <c r="A1" t="s">
        <v>277</v>
      </c>
      <c r="E1" s="15" t="s">
        <v>286</v>
      </c>
      <c r="F1" s="16" t="s">
        <v>287</v>
      </c>
    </row>
    <row r="2" spans="1:6" ht="15" thickBot="1" x14ac:dyDescent="0.35">
      <c r="A2" t="s">
        <v>292</v>
      </c>
      <c r="E2" s="17">
        <v>44555</v>
      </c>
      <c r="F2" s="16" t="s">
        <v>288</v>
      </c>
    </row>
    <row r="3" spans="1:6" ht="15" thickBot="1" x14ac:dyDescent="0.35">
      <c r="E3" s="17">
        <v>44556</v>
      </c>
      <c r="F3" s="16" t="s">
        <v>288</v>
      </c>
    </row>
    <row r="4" spans="1:6" ht="15" thickBot="1" x14ac:dyDescent="0.35">
      <c r="E4" s="17">
        <v>44557</v>
      </c>
      <c r="F4" s="16" t="s">
        <v>288</v>
      </c>
    </row>
    <row r="5" spans="1:6" ht="15" thickBot="1" x14ac:dyDescent="0.35">
      <c r="E5" s="17">
        <v>44558</v>
      </c>
      <c r="F5" s="16" t="s">
        <v>287</v>
      </c>
    </row>
    <row r="6" spans="1:6" ht="15" thickBot="1" x14ac:dyDescent="0.35">
      <c r="E6" s="17">
        <v>44559</v>
      </c>
      <c r="F6" s="16" t="s">
        <v>287</v>
      </c>
    </row>
    <row r="7" spans="1:6" ht="15" thickBot="1" x14ac:dyDescent="0.35">
      <c r="E7" s="17">
        <v>44560</v>
      </c>
      <c r="F7" s="16" t="s">
        <v>287</v>
      </c>
    </row>
    <row r="8" spans="1:6" ht="15" thickBot="1" x14ac:dyDescent="0.35">
      <c r="E8" s="17">
        <v>44561</v>
      </c>
      <c r="F8" s="16" t="s">
        <v>287</v>
      </c>
    </row>
    <row r="9" spans="1:6" ht="15" thickBot="1" x14ac:dyDescent="0.35">
      <c r="E9" s="17">
        <v>44197</v>
      </c>
      <c r="F9" s="16" t="s">
        <v>289</v>
      </c>
    </row>
    <row r="10" spans="1:6" ht="15" thickBot="1" x14ac:dyDescent="0.35">
      <c r="E10" s="17">
        <v>44198</v>
      </c>
      <c r="F10" s="16" t="s">
        <v>289</v>
      </c>
    </row>
    <row r="11" spans="1:6" ht="15" thickBot="1" x14ac:dyDescent="0.35">
      <c r="E11" s="17">
        <v>44199</v>
      </c>
      <c r="F11" s="16" t="s">
        <v>289</v>
      </c>
    </row>
    <row r="17" spans="5:5" x14ac:dyDescent="0.3">
      <c r="E17" t="s">
        <v>290</v>
      </c>
    </row>
    <row r="18" spans="5:5" x14ac:dyDescent="0.3">
      <c r="E18" s="13" t="s">
        <v>291</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F6"/>
  <sheetViews>
    <sheetView workbookViewId="0"/>
  </sheetViews>
  <sheetFormatPr defaultRowHeight="14.4" x14ac:dyDescent="0.3"/>
  <sheetData>
    <row r="1" spans="1:6" x14ac:dyDescent="0.3">
      <c r="A1" t="s">
        <v>953</v>
      </c>
      <c r="F1" t="s">
        <v>960</v>
      </c>
    </row>
    <row r="2" spans="1:6" x14ac:dyDescent="0.3">
      <c r="A2" t="s">
        <v>954</v>
      </c>
      <c r="F2" t="s">
        <v>960</v>
      </c>
    </row>
    <row r="3" spans="1:6" x14ac:dyDescent="0.3">
      <c r="A3" s="34" t="s">
        <v>955</v>
      </c>
      <c r="C3" t="s">
        <v>956</v>
      </c>
      <c r="F3" t="s">
        <v>960</v>
      </c>
    </row>
    <row r="4" spans="1:6" x14ac:dyDescent="0.3">
      <c r="A4" t="s">
        <v>959</v>
      </c>
      <c r="F4" t="s">
        <v>960</v>
      </c>
    </row>
    <row r="5" spans="1:6" x14ac:dyDescent="0.3">
      <c r="A5" t="s">
        <v>957</v>
      </c>
      <c r="F5" t="s">
        <v>960</v>
      </c>
    </row>
    <row r="6" spans="1:6" x14ac:dyDescent="0.3">
      <c r="A6" t="s">
        <v>958</v>
      </c>
      <c r="F6" t="s">
        <v>960</v>
      </c>
    </row>
  </sheetData>
  <hyperlinks>
    <hyperlink ref="A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Ilian</vt:lpstr>
      <vt:lpstr>Ivan</vt:lpstr>
      <vt:lpstr>Vladimir</vt:lpstr>
      <vt:lpstr>Niki</vt:lpstr>
      <vt:lpstr>Diana</vt:lpstr>
      <vt:lpstr>Silve Todo</vt:lpstr>
      <vt:lpstr>Emo</vt:lpstr>
      <vt:lpstr>Silveto P</vt:lpstr>
      <vt:lpstr>Overall</vt:lpstr>
      <vt:lpstr>Jorox</vt:lpstr>
      <vt:lpstr>Xmas bonus</vt:lpstr>
      <vt:lpstr>Bank holidays</vt:lpstr>
      <vt:lpstr>Absence Forms</vt:lpstr>
      <vt:lpstr>Team meeting</vt:lpstr>
      <vt:lpstr>Team meeting new</vt:lpstr>
      <vt:lpstr>Team</vt:lpstr>
      <vt:lpstr>Oracle</vt:lpstr>
      <vt:lpstr>Team UK</vt:lpstr>
      <vt:lpstr>Team UK new</vt:lpstr>
      <vt:lpstr>Telephony Dashboard</vt:lpstr>
      <vt:lpstr>Zaplati</vt:lpstr>
      <vt:lpstr>zaplati 2024</vt:lpstr>
      <vt:lpstr>Trainings</vt:lpstr>
      <vt:lpstr>Team general</vt:lpstr>
      <vt:lpstr>Rumanians</vt:lpstr>
      <vt:lpstr>Marto</vt:lpstr>
      <vt:lpstr>Korfi</vt:lpstr>
      <vt:lpstr>yafur</vt:lpstr>
      <vt:lpstr>Otpuska</vt:lpstr>
      <vt:lpstr>Manager Meeting</vt:lpstr>
    </vt:vector>
  </TitlesOfParts>
  <Company>Sitel</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Nikolay Lubenov</dc:creator>
  <cp:lastModifiedBy>Nikolay Lubenov</cp:lastModifiedBy>
  <dcterms:created xsi:type="dcterms:W3CDTF">2020-04-13T11:46:18Z</dcterms:created>
  <dcterms:modified xsi:type="dcterms:W3CDTF">2024-07-02T07:15:03Z</dcterms:modified>
</cp:coreProperties>
</file>