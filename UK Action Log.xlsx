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drawings/drawing2.xml" ContentType="application/vnd.openxmlformats-officedocument.drawing+xml"/>
  <Override PartName="/xl/tables/table2.xml" ContentType="application/vnd.openxmlformats-officedocument.spreadsheetml.table+xml"/>
  <Override PartName="/xl/drawings/drawing3.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autoCompressPictures="0" defaultThemeVersion="124226"/>
  <mc:AlternateContent xmlns:mc="http://schemas.openxmlformats.org/markup-compatibility/2006">
    <mc:Choice Requires="x15">
      <x15ac:absPath xmlns:x15ac="http://schemas.microsoft.com/office/spreadsheetml/2010/11/ac" url="\\10.17.25.15\Administrative$\Reporting\Data_Reporting\Private\"/>
    </mc:Choice>
  </mc:AlternateContent>
  <bookViews>
    <workbookView xWindow="0" yWindow="0" windowWidth="26415" windowHeight="11070"/>
  </bookViews>
  <sheets>
    <sheet name="Action Log" sheetId="17" r:id="rId1"/>
    <sheet name="Report Creation" sheetId="21" r:id="rId2"/>
    <sheet name="Monthly" sheetId="23" r:id="rId3"/>
    <sheet name="Sheet2" sheetId="20" state="hidden" r:id="rId4"/>
    <sheet name="System" sheetId="18" state="hidden" r:id="rId5"/>
  </sheets>
  <definedNames>
    <definedName name="_xlnm._FilterDatabase" localSheetId="0" hidden="1">'Action Log'!#REF!</definedName>
    <definedName name="_xlnm._FilterDatabase" localSheetId="2" hidden="1">Monthly!#REF!</definedName>
    <definedName name="_xlnm.Print_Titles" localSheetId="0">'Action Log'!$10:$10</definedName>
    <definedName name="_xlnm.Print_Titles" localSheetId="2">Monthly!$10:$10</definedName>
    <definedName name="Priority" localSheetId="2">Table3[[#All],[Priority]]</definedName>
    <definedName name="Priority">Table3[[#All],[Priority]]</definedName>
    <definedName name="Status" localSheetId="2">Table2[[#All],[Status]]</definedName>
    <definedName name="Status">Table2[[#All],[Status]]</definedName>
  </definedNames>
  <calcPr calcId="152511"/>
</workbook>
</file>

<file path=xl/calcChain.xml><?xml version="1.0" encoding="utf-8"?>
<calcChain xmlns="http://schemas.openxmlformats.org/spreadsheetml/2006/main">
  <c r="B416" i="17" l="1"/>
  <c r="B417" i="17" s="1"/>
  <c r="B418" i="17" s="1"/>
  <c r="B404" i="17" l="1"/>
  <c r="B405" i="17" s="1"/>
  <c r="B406" i="17" s="1"/>
  <c r="B407" i="17" s="1"/>
  <c r="B408" i="17" s="1"/>
  <c r="B409" i="17" s="1"/>
  <c r="B410" i="17" s="1"/>
  <c r="B411" i="17" s="1"/>
  <c r="B412" i="17" s="1"/>
  <c r="B413" i="17" s="1"/>
  <c r="B414" i="17" s="1"/>
  <c r="B65" i="21" l="1"/>
  <c r="B358" i="17" l="1"/>
  <c r="B359" i="17" s="1"/>
  <c r="B360" i="17" s="1"/>
  <c r="B361" i="17" s="1"/>
  <c r="B362" i="17" s="1"/>
  <c r="B363" i="17" s="1"/>
  <c r="B364" i="17" s="1"/>
  <c r="B365" i="17" s="1"/>
  <c r="B366" i="17" s="1"/>
  <c r="B367" i="17" s="1"/>
  <c r="B368" i="17" s="1"/>
  <c r="B369" i="17" s="1"/>
  <c r="B370" i="17" s="1"/>
  <c r="B371" i="17" s="1"/>
  <c r="B372" i="17" s="1"/>
  <c r="B373" i="17" s="1"/>
  <c r="B374" i="17" s="1"/>
  <c r="B375" i="17" s="1"/>
  <c r="B376" i="17" s="1"/>
  <c r="B377" i="17" s="1"/>
  <c r="B378" i="17" s="1"/>
  <c r="B379" i="17" s="1"/>
  <c r="B380" i="17" s="1"/>
  <c r="B381" i="17" s="1"/>
  <c r="B382" i="17" s="1"/>
  <c r="B383" i="17" l="1"/>
  <c r="B384" i="17" s="1"/>
  <c r="B385" i="17" s="1"/>
  <c r="B386" i="17" s="1"/>
  <c r="B387" i="17" s="1"/>
  <c r="B388" i="17" s="1"/>
  <c r="B389" i="17" s="1"/>
  <c r="B390" i="17" s="1"/>
  <c r="B391" i="17" s="1"/>
  <c r="B392" i="17" s="1"/>
  <c r="B393" i="17" s="1"/>
  <c r="B394" i="17" s="1"/>
  <c r="B395" i="17" s="1"/>
  <c r="B396" i="17" s="1"/>
  <c r="B397" i="17" s="1"/>
  <c r="B398" i="17" s="1"/>
  <c r="B399" i="17" s="1"/>
  <c r="B400" i="17" s="1"/>
  <c r="B12" i="17"/>
  <c r="B13" i="17" s="1"/>
  <c r="B14" i="17" s="1"/>
  <c r="B15" i="17" s="1"/>
  <c r="B16" i="17" s="1"/>
  <c r="B17" i="17" s="1"/>
  <c r="B18" i="17" s="1"/>
  <c r="B19" i="17" s="1"/>
  <c r="B20" i="17" s="1"/>
  <c r="B21" i="17" s="1"/>
  <c r="B22" i="17" s="1"/>
  <c r="B23" i="17" s="1"/>
  <c r="B24" i="17" s="1"/>
  <c r="B25" i="17" s="1"/>
  <c r="B26" i="17" s="1"/>
  <c r="B27" i="17" s="1"/>
  <c r="B28" i="17" s="1"/>
  <c r="B29" i="17" s="1"/>
  <c r="B30" i="17" s="1"/>
  <c r="B31" i="17" s="1"/>
  <c r="B32" i="17" s="1"/>
  <c r="B33" i="17" s="1"/>
  <c r="B34" i="17" s="1"/>
  <c r="B35" i="17" s="1"/>
  <c r="B36" i="17" s="1"/>
  <c r="B37" i="17" s="1"/>
  <c r="B38" i="17" s="1"/>
  <c r="B39" i="17" s="1"/>
  <c r="B40" i="17" s="1"/>
  <c r="B41" i="17" s="1"/>
  <c r="B42" i="17" s="1"/>
  <c r="B43" i="17" s="1"/>
  <c r="B44" i="17" s="1"/>
  <c r="B45" i="17" s="1"/>
  <c r="B46" i="17" s="1"/>
  <c r="B47" i="17" s="1"/>
  <c r="B48" i="17" s="1"/>
  <c r="B49" i="17" s="1"/>
  <c r="B50" i="17" s="1"/>
  <c r="B51" i="17" s="1"/>
  <c r="B52" i="17" s="1"/>
  <c r="B53" i="17" s="1"/>
  <c r="B54" i="17" s="1"/>
  <c r="B55" i="17" s="1"/>
  <c r="B56" i="17" s="1"/>
  <c r="B57" i="17" s="1"/>
  <c r="B58" i="17" s="1"/>
  <c r="B59" i="17" s="1"/>
  <c r="B60" i="17" s="1"/>
  <c r="B61" i="17" s="1"/>
  <c r="B62" i="17" s="1"/>
  <c r="B63" i="17" s="1"/>
  <c r="B64" i="17" s="1"/>
  <c r="B65" i="17" s="1"/>
  <c r="B66" i="17" s="1"/>
  <c r="B67" i="17" s="1"/>
  <c r="B68" i="17" s="1"/>
  <c r="B69" i="17" s="1"/>
  <c r="B70" i="17" s="1"/>
  <c r="B71" i="17" s="1"/>
  <c r="B72" i="17" s="1"/>
  <c r="B73" i="17" s="1"/>
  <c r="B74" i="17" s="1"/>
  <c r="B75" i="17" s="1"/>
  <c r="B76" i="17" s="1"/>
  <c r="B77" i="17" s="1"/>
  <c r="B78" i="17" s="1"/>
  <c r="B79" i="17" s="1"/>
  <c r="B80" i="17" s="1"/>
  <c r="B81" i="17" s="1"/>
  <c r="B82" i="17" s="1"/>
  <c r="B83" i="17" s="1"/>
  <c r="B84" i="17" s="1"/>
  <c r="B85" i="17" s="1"/>
  <c r="B86" i="17" s="1"/>
  <c r="B87" i="17" s="1"/>
  <c r="B88" i="17" s="1"/>
  <c r="B89" i="17" s="1"/>
  <c r="B90" i="17" s="1"/>
  <c r="B91" i="17" s="1"/>
  <c r="B92" i="17" s="1"/>
  <c r="B93" i="17" s="1"/>
  <c r="B94" i="17" s="1"/>
  <c r="B95" i="17" s="1"/>
  <c r="B96" i="17" s="1"/>
  <c r="B97" i="17" s="1"/>
  <c r="B98" i="17" s="1"/>
  <c r="B99" i="17" s="1"/>
  <c r="B100" i="17" s="1"/>
  <c r="B101" i="17" s="1"/>
  <c r="B102" i="17" s="1"/>
  <c r="B103" i="17" s="1"/>
  <c r="B104" i="17" s="1"/>
  <c r="B105" i="17" s="1"/>
  <c r="B106" i="17" s="1"/>
  <c r="B107" i="17" s="1"/>
  <c r="B108" i="17" s="1"/>
  <c r="B109" i="17" s="1"/>
  <c r="B110" i="17" s="1"/>
  <c r="B111" i="17" s="1"/>
  <c r="B112" i="17" s="1"/>
  <c r="B113" i="17" s="1"/>
  <c r="B114" i="17" s="1"/>
  <c r="B115" i="17" s="1"/>
  <c r="B116" i="17" s="1"/>
  <c r="B117" i="17" s="1"/>
  <c r="B118" i="17" s="1"/>
  <c r="B119" i="17" s="1"/>
  <c r="B120" i="17" s="1"/>
  <c r="B121" i="17" s="1"/>
  <c r="B122" i="17" s="1"/>
  <c r="B123" i="17" s="1"/>
  <c r="B124" i="17" s="1"/>
  <c r="B125" i="17" s="1"/>
  <c r="B126" i="17" s="1"/>
  <c r="B127" i="17" s="1"/>
  <c r="B128" i="17" s="1"/>
  <c r="B129" i="17" s="1"/>
  <c r="B130" i="17" s="1"/>
  <c r="B131" i="17" s="1"/>
  <c r="B132" i="17" s="1"/>
  <c r="B133" i="17" s="1"/>
  <c r="B134" i="17" s="1"/>
  <c r="B135" i="17" s="1"/>
  <c r="B136" i="17" s="1"/>
  <c r="B137" i="17" s="1"/>
  <c r="B138" i="17" s="1"/>
  <c r="B139" i="17" s="1"/>
  <c r="B140" i="17" s="1"/>
  <c r="B141" i="17" s="1"/>
  <c r="B142" i="17" s="1"/>
  <c r="B143" i="17" s="1"/>
  <c r="B144" i="17" s="1"/>
  <c r="B145" i="17" s="1"/>
  <c r="B146" i="17" s="1"/>
  <c r="B147" i="17" s="1"/>
  <c r="B148" i="17" s="1"/>
  <c r="B149" i="17" s="1"/>
  <c r="B150" i="17" s="1"/>
  <c r="B151" i="17" s="1"/>
  <c r="B152" i="17" s="1"/>
  <c r="B153" i="17" s="1"/>
  <c r="B154" i="17" s="1"/>
  <c r="B155" i="17" s="1"/>
  <c r="B156" i="17" s="1"/>
  <c r="B157" i="17" s="1"/>
  <c r="B158" i="17" s="1"/>
  <c r="B159" i="17" s="1"/>
  <c r="B160" i="17" s="1"/>
  <c r="B161" i="17" s="1"/>
  <c r="B162" i="17" s="1"/>
  <c r="B163" i="17" s="1"/>
  <c r="B164" i="17" s="1"/>
  <c r="B165" i="17" s="1"/>
  <c r="B166" i="17" s="1"/>
  <c r="B167" i="17" s="1"/>
  <c r="B168" i="17" s="1"/>
  <c r="B169" i="17" s="1"/>
  <c r="B170" i="17" s="1"/>
  <c r="B171" i="17" s="1"/>
  <c r="B172" i="17" s="1"/>
  <c r="B173" i="17" s="1"/>
  <c r="B174" i="17" s="1"/>
  <c r="B175" i="17" s="1"/>
  <c r="B176" i="17" s="1"/>
  <c r="B177" i="17" s="1"/>
  <c r="B178" i="17" s="1"/>
  <c r="B179" i="17" s="1"/>
  <c r="B180" i="17" s="1"/>
  <c r="B181" i="17" s="1"/>
  <c r="B182" i="17" s="1"/>
  <c r="B183" i="17" s="1"/>
  <c r="B184" i="17" s="1"/>
  <c r="B185" i="17" s="1"/>
  <c r="B186" i="17" s="1"/>
  <c r="B187" i="17" s="1"/>
  <c r="B188" i="17" s="1"/>
  <c r="B189" i="17" s="1"/>
  <c r="B190" i="17" s="1"/>
  <c r="B191" i="17" s="1"/>
  <c r="B192" i="17" s="1"/>
  <c r="B193" i="17" s="1"/>
  <c r="B194" i="17" s="1"/>
  <c r="B195" i="17" s="1"/>
  <c r="B196" i="17" s="1"/>
  <c r="B197" i="17" s="1"/>
  <c r="B198" i="17" s="1"/>
  <c r="B199" i="17" s="1"/>
  <c r="B200" i="17" s="1"/>
  <c r="B201" i="17" s="1"/>
  <c r="B202" i="17" s="1"/>
  <c r="B203" i="17" s="1"/>
  <c r="B204" i="17" s="1"/>
  <c r="B205" i="17" s="1"/>
  <c r="B206" i="17" s="1"/>
  <c r="B207" i="17" s="1"/>
  <c r="B208" i="17" s="1"/>
  <c r="B209" i="17" s="1"/>
  <c r="B210" i="17" s="1"/>
  <c r="B211" i="17" s="1"/>
  <c r="B212" i="17" s="1"/>
  <c r="B213" i="17" s="1"/>
  <c r="B214" i="17" s="1"/>
  <c r="B215" i="17" s="1"/>
  <c r="B216" i="17" s="1"/>
  <c r="B217" i="17" s="1"/>
  <c r="B218" i="17" s="1"/>
  <c r="B219" i="17" s="1"/>
  <c r="B220" i="17" s="1"/>
  <c r="B221" i="17" s="1"/>
  <c r="B222" i="17" s="1"/>
  <c r="B223" i="17" s="1"/>
  <c r="B224" i="17" s="1"/>
  <c r="B225" i="17" s="1"/>
  <c r="B226" i="17" s="1"/>
  <c r="B227" i="17" s="1"/>
  <c r="B228" i="17" s="1"/>
  <c r="B229" i="17" s="1"/>
  <c r="B230" i="17" s="1"/>
  <c r="B231" i="17" s="1"/>
  <c r="B232" i="17" s="1"/>
  <c r="B233" i="17" s="1"/>
  <c r="B234" i="17" s="1"/>
  <c r="B235" i="17" s="1"/>
  <c r="B236" i="17" s="1"/>
  <c r="B237" i="17" s="1"/>
  <c r="B238" i="17" s="1"/>
  <c r="B239" i="17" s="1"/>
  <c r="B240" i="17" s="1"/>
  <c r="B241" i="17" s="1"/>
  <c r="B242" i="17" s="1"/>
  <c r="B243" i="17" s="1"/>
  <c r="B244" i="17" s="1"/>
  <c r="B245" i="17" s="1"/>
  <c r="B246" i="17" s="1"/>
  <c r="B247" i="17" s="1"/>
  <c r="B248" i="17" s="1"/>
  <c r="B249" i="17" s="1"/>
  <c r="B250" i="17" s="1"/>
  <c r="B251" i="17" s="1"/>
  <c r="B252" i="17" s="1"/>
  <c r="B253" i="17" s="1"/>
  <c r="B254" i="17" s="1"/>
  <c r="B255" i="17" s="1"/>
  <c r="B256" i="17" s="1"/>
  <c r="B257" i="17" s="1"/>
  <c r="B258" i="17" s="1"/>
  <c r="B259" i="17" s="1"/>
  <c r="B260" i="17" s="1"/>
  <c r="B261" i="17" s="1"/>
  <c r="B262" i="17" s="1"/>
  <c r="B263" i="17" s="1"/>
  <c r="B264" i="17" s="1"/>
  <c r="B265" i="17" s="1"/>
  <c r="B266" i="17" s="1"/>
  <c r="B267" i="17" s="1"/>
  <c r="B268" i="17" s="1"/>
  <c r="B269" i="17" s="1"/>
  <c r="B270" i="17" s="1"/>
  <c r="B271" i="17" s="1"/>
  <c r="B272" i="17" s="1"/>
  <c r="B273" i="17" s="1"/>
  <c r="B274" i="17" s="1"/>
  <c r="B275" i="17" s="1"/>
  <c r="B276" i="17" s="1"/>
  <c r="B277" i="17" s="1"/>
  <c r="B278" i="17" s="1"/>
  <c r="B279" i="17" s="1"/>
  <c r="B280" i="17" s="1"/>
  <c r="B281" i="17" s="1"/>
  <c r="B282" i="17" s="1"/>
  <c r="B283" i="17" s="1"/>
  <c r="B284" i="17" s="1"/>
  <c r="B285" i="17" s="1"/>
  <c r="B286" i="17" s="1"/>
  <c r="B287" i="17" s="1"/>
  <c r="B288" i="17" s="1"/>
  <c r="B289" i="17" s="1"/>
  <c r="B290" i="17" s="1"/>
  <c r="B291" i="17" s="1"/>
  <c r="B292" i="17" s="1"/>
  <c r="B293" i="17" s="1"/>
  <c r="B294" i="17" s="1"/>
  <c r="B295" i="17" s="1"/>
  <c r="B296" i="17" s="1"/>
  <c r="B297" i="17" s="1"/>
  <c r="B298" i="17" s="1"/>
  <c r="B299" i="17" s="1"/>
  <c r="B300" i="17" s="1"/>
  <c r="B301" i="17" s="1"/>
  <c r="B302" i="17" s="1"/>
  <c r="B303" i="17" s="1"/>
  <c r="B304" i="17" s="1"/>
  <c r="B305" i="17" s="1"/>
  <c r="B306" i="17" s="1"/>
  <c r="B307" i="17" s="1"/>
  <c r="B308" i="17" s="1"/>
  <c r="B309" i="17" s="1"/>
  <c r="B310" i="17" s="1"/>
  <c r="B311" i="17" s="1"/>
  <c r="B312" i="17" s="1"/>
  <c r="B313" i="17" s="1"/>
  <c r="B314" i="17" s="1"/>
  <c r="B315" i="17" s="1"/>
  <c r="B316" i="17" s="1"/>
  <c r="B317" i="17" s="1"/>
  <c r="B318" i="17" s="1"/>
  <c r="B319" i="17" s="1"/>
  <c r="B320" i="17" s="1"/>
  <c r="B321" i="17" s="1"/>
  <c r="B322" i="17" s="1"/>
  <c r="B323" i="17" s="1"/>
  <c r="B324" i="17" s="1"/>
  <c r="B325" i="17" s="1"/>
  <c r="B326" i="17" s="1"/>
  <c r="B327" i="17" s="1"/>
  <c r="B328" i="17" s="1"/>
  <c r="B329" i="17" s="1"/>
  <c r="B330" i="17" s="1"/>
  <c r="B331" i="17" s="1"/>
  <c r="B332" i="17" s="1"/>
  <c r="B333" i="17" s="1"/>
  <c r="B334" i="17" s="1"/>
  <c r="B335" i="17" s="1"/>
  <c r="B336" i="17" s="1"/>
  <c r="B337" i="17" s="1"/>
  <c r="B338" i="17" s="1"/>
  <c r="B339" i="17" s="1"/>
  <c r="B340" i="17" s="1"/>
  <c r="B341" i="17" s="1"/>
  <c r="B342" i="17" s="1"/>
  <c r="B343" i="17" s="1"/>
  <c r="B344" i="17" s="1"/>
  <c r="B345" i="17" s="1"/>
  <c r="B346" i="17" s="1"/>
  <c r="B347" i="17" s="1"/>
  <c r="B348" i="17" s="1"/>
  <c r="B349" i="17" s="1"/>
  <c r="B350" i="17" s="1"/>
  <c r="B351" i="17" s="1"/>
  <c r="B352" i="17" s="1"/>
  <c r="B353" i="17" s="1"/>
  <c r="B354" i="17" s="1"/>
  <c r="B355" i="17" s="1"/>
  <c r="B356" i="17" s="1"/>
  <c r="B59" i="21" l="1"/>
  <c r="B60" i="21" l="1"/>
  <c r="B61" i="21" s="1"/>
  <c r="B62" i="21" s="1"/>
  <c r="B63" i="21" s="1"/>
  <c r="F7" i="23" l="1"/>
  <c r="E7" i="23"/>
  <c r="D7" i="23"/>
  <c r="N6" i="23"/>
  <c r="F6" i="23"/>
  <c r="E6" i="23"/>
  <c r="D6" i="23"/>
  <c r="F5" i="23"/>
  <c r="E5" i="23"/>
  <c r="D5" i="23"/>
  <c r="F4" i="23"/>
  <c r="E4" i="23"/>
  <c r="D4" i="23"/>
  <c r="F7" i="21" l="1"/>
  <c r="E7" i="21"/>
  <c r="D7" i="21"/>
  <c r="N6" i="21"/>
  <c r="F6" i="21"/>
  <c r="E6" i="21"/>
  <c r="D6" i="21"/>
  <c r="F5" i="21"/>
  <c r="E5" i="21"/>
  <c r="D5" i="21"/>
  <c r="F4" i="21"/>
  <c r="E4" i="21"/>
  <c r="D4" i="21"/>
  <c r="F7" i="17" l="1"/>
  <c r="E7" i="17"/>
  <c r="D7" i="17"/>
  <c r="F6" i="17"/>
  <c r="E6" i="17"/>
  <c r="D6" i="17"/>
  <c r="F5" i="17" l="1"/>
  <c r="E5" i="17"/>
  <c r="D5" i="17"/>
  <c r="D4" i="17"/>
  <c r="E4" i="17"/>
  <c r="F4" i="17"/>
  <c r="N6" i="17" l="1"/>
</calcChain>
</file>

<file path=xl/comments1.xml><?xml version="1.0" encoding="utf-8"?>
<comments xmlns="http://schemas.openxmlformats.org/spreadsheetml/2006/main">
  <authors>
    <author>Diana Dimitrova</author>
  </authors>
  <commentList>
    <comment ref="J271" authorId="0" shapeId="0">
      <text>
        <r>
          <rPr>
            <b/>
            <sz val="9"/>
            <color indexed="81"/>
            <rFont val="Tahoma"/>
            <family val="2"/>
          </rPr>
          <t xml:space="preserve">Diana Dimitrova:
</t>
        </r>
        <r>
          <rPr>
            <sz val="9"/>
            <color indexed="81"/>
            <rFont val="Tahoma"/>
            <family val="2"/>
          </rPr>
          <t xml:space="preserve">E-mail from Jonathan Collins &lt;jonathan.collins@ovo.com&gt;:
 "Hi,
Thank you for your mail.
As of 20th May 2022, I am no longer in the role of Telephony MI Manager.
Please contact Huw.Whyment@ovo.com for any MI Queries/Requests.
Many Thanks,
Jonathan Collins"
</t>
        </r>
      </text>
    </comment>
    <comment ref="J272" authorId="0" shapeId="0">
      <text>
        <r>
          <rPr>
            <b/>
            <sz val="9"/>
            <color indexed="81"/>
            <rFont val="Tahoma"/>
            <family val="2"/>
          </rPr>
          <t xml:space="preserve">Diana Dimitrova:
</t>
        </r>
        <r>
          <rPr>
            <sz val="9"/>
            <color indexed="81"/>
            <rFont val="Tahoma"/>
            <family val="2"/>
          </rPr>
          <t xml:space="preserve">E-mail from Jonathan Collins &lt;jonathan.collins@ovo.com&gt;:
 "Hi,
Thank you for your mail.
As of 20th May 2022, I am no longer in the role of Telephony MI Manager.
Please contact Huw.Whyment@ovo.com for any MI Queries/Requests.
Many Thanks,
Jonathan Collins"
</t>
        </r>
      </text>
    </comment>
    <comment ref="J283" authorId="0" shapeId="0">
      <text>
        <r>
          <rPr>
            <b/>
            <sz val="9"/>
            <color indexed="81"/>
            <rFont val="Tahoma"/>
            <family val="2"/>
          </rPr>
          <t xml:space="preserve">Diana Dimitrova:
</t>
        </r>
        <r>
          <rPr>
            <sz val="9"/>
            <color indexed="81"/>
            <rFont val="Tahoma"/>
            <family val="2"/>
          </rPr>
          <t xml:space="preserve">E-mail from Jonathan Collins &lt;jonathan.collins@ovo.com&gt;:
 "Hi,
Thank you for your mail.
As of 20th May 2022, I am no longer in the role of Telephony MI Manager.
Please contact Huw.Whyment@ovo.com for any MI Queries/Requests.
Many Thanks,
Jonathan Collins"
</t>
        </r>
      </text>
    </comment>
    <comment ref="J286" authorId="0" shapeId="0">
      <text>
        <r>
          <rPr>
            <b/>
            <sz val="9"/>
            <color indexed="81"/>
            <rFont val="Tahoma"/>
            <family val="2"/>
          </rPr>
          <t xml:space="preserve">Diana Dimitrova:
</t>
        </r>
        <r>
          <rPr>
            <sz val="9"/>
            <color indexed="81"/>
            <rFont val="Tahoma"/>
            <family val="2"/>
          </rPr>
          <t xml:space="preserve">E-mail from Jonathan Collins &lt;jonathan.collins@ovo.com&gt;:
 "Hi,
Thank you for your mail.
As of 20th May 2022, I am no longer in the role of Telephony MI Manager.
Please contact Huw.Whyment@ovo.com for any MI Queries/Requests.
Many Thanks,
Jonathan Collins"
</t>
        </r>
      </text>
    </comment>
    <comment ref="J288" authorId="0" shapeId="0">
      <text>
        <r>
          <rPr>
            <b/>
            <sz val="9"/>
            <color indexed="81"/>
            <rFont val="Tahoma"/>
            <family val="2"/>
          </rPr>
          <t>Diana Dimitrova:</t>
        </r>
        <r>
          <rPr>
            <sz val="9"/>
            <color indexed="81"/>
            <rFont val="Tahoma"/>
            <family val="2"/>
          </rPr>
          <t xml:space="preserve">
E-mail from Lauren:
"I have left the business, for any OT queries please send them to Effie Moustaka, Mark Russell &amp; David Smith. For any other enquires please contact Mark Tuck.
Thanks"</t>
        </r>
      </text>
    </comment>
  </commentList>
</comments>
</file>

<file path=xl/sharedStrings.xml><?xml version="1.0" encoding="utf-8"?>
<sst xmlns="http://schemas.openxmlformats.org/spreadsheetml/2006/main" count="4270" uniqueCount="1283">
  <si>
    <t>Open</t>
  </si>
  <si>
    <t>Closed</t>
  </si>
  <si>
    <t>Status</t>
  </si>
  <si>
    <t>Owner</t>
  </si>
  <si>
    <t>R</t>
  </si>
  <si>
    <t>A</t>
  </si>
  <si>
    <t>Date Raised</t>
  </si>
  <si>
    <t>ID</t>
  </si>
  <si>
    <t>Campaign</t>
  </si>
  <si>
    <t>Site</t>
  </si>
  <si>
    <t>Target Completion date</t>
  </si>
  <si>
    <t>Priority</t>
  </si>
  <si>
    <t>G</t>
  </si>
  <si>
    <t>Cancelled</t>
  </si>
  <si>
    <t>In Queue</t>
  </si>
  <si>
    <t>RAG Status</t>
  </si>
  <si>
    <t>Overdue</t>
  </si>
  <si>
    <t>At Risk</t>
  </si>
  <si>
    <t>On Target</t>
  </si>
  <si>
    <t>Requestor</t>
  </si>
  <si>
    <t>Item Title</t>
  </si>
  <si>
    <t>Task Status</t>
  </si>
  <si>
    <t>RAG</t>
  </si>
  <si>
    <t>Comment</t>
  </si>
  <si>
    <t>High</t>
  </si>
  <si>
    <t>Medium</t>
  </si>
  <si>
    <t>Low</t>
  </si>
  <si>
    <t>Open Items</t>
  </si>
  <si>
    <t>Comments</t>
  </si>
  <si>
    <t>Action step with</t>
  </si>
  <si>
    <t>Pending</t>
  </si>
  <si>
    <t>Kingston</t>
  </si>
  <si>
    <t>Brother</t>
  </si>
  <si>
    <t>Nikolay Lubenov</t>
  </si>
  <si>
    <t>NA</t>
  </si>
  <si>
    <t>Daily Dashboard</t>
  </si>
  <si>
    <t>Report is being improved and automated. Currently needs minor tweaks and colour coding.</t>
  </si>
  <si>
    <t>MS</t>
  </si>
  <si>
    <t>Newcastle</t>
  </si>
  <si>
    <t>PHE</t>
  </si>
  <si>
    <t>PHE - Corona V Interval - Daily (7 Days Rolling)</t>
  </si>
  <si>
    <t>DL Change</t>
  </si>
  <si>
    <t>Simon Sounders</t>
  </si>
  <si>
    <t>SS</t>
  </si>
  <si>
    <t>Coventry</t>
  </si>
  <si>
    <t>PSA</t>
  </si>
  <si>
    <t>TM Dashboard</t>
  </si>
  <si>
    <t>New simplified dashboard for Coventry TMs</t>
  </si>
  <si>
    <t>Kate Reynolds</t>
  </si>
  <si>
    <t>DD/ID</t>
  </si>
  <si>
    <t>SSE</t>
  </si>
  <si>
    <t>Diana Dimitrova &amp; Ivan Donchev</t>
  </si>
  <si>
    <t>Stephen Caffull</t>
  </si>
  <si>
    <t>DD</t>
  </si>
  <si>
    <t>New GMR</t>
  </si>
  <si>
    <t>Lynne Pitchford</t>
  </si>
  <si>
    <t>Elavon</t>
  </si>
  <si>
    <t>MI Report Update</t>
  </si>
  <si>
    <t>Jory Chapman</t>
  </si>
  <si>
    <t>Migration of the MI &amp; Interval reports, CSAT reports and Backdating reports to SQL server</t>
  </si>
  <si>
    <t>CSAT Comparison Report Update</t>
  </si>
  <si>
    <t>SS/MS</t>
  </si>
  <si>
    <t>Margaret King</t>
  </si>
  <si>
    <t>26/04 - Request to remove the FLEET and Social Media agents</t>
  </si>
  <si>
    <t>Multiple</t>
  </si>
  <si>
    <t>Maxim</t>
  </si>
  <si>
    <t>John Lewis</t>
  </si>
  <si>
    <t xml:space="preserve"> John Lewis Maxim Absence Report Daily</t>
  </si>
  <si>
    <t>jonathan McNelis</t>
  </si>
  <si>
    <t>Quality MI Report Update</t>
  </si>
  <si>
    <t>Agent Quality MI Report Report Update</t>
  </si>
  <si>
    <t>27/04 - Request for multiple changes in Quality MI report</t>
  </si>
  <si>
    <t>27/04 - Request for multiple changes in Agent Quality MI report</t>
  </si>
  <si>
    <t>Andrew Barnes</t>
  </si>
  <si>
    <t>NL</t>
  </si>
  <si>
    <t>IAC</t>
  </si>
  <si>
    <t>IAC PowerBI Dashboard</t>
  </si>
  <si>
    <t>23/4 - a template power BI dashboard has been created and currently we are waiting for Rob to finalize his excel version</t>
  </si>
  <si>
    <t>Rob Carr</t>
  </si>
  <si>
    <t>Stuart Carter</t>
  </si>
  <si>
    <t>Exeter</t>
  </si>
  <si>
    <t>iCoach data</t>
  </si>
  <si>
    <t>iCoach Data load dashboard</t>
  </si>
  <si>
    <t>28/04 - have to find a way to extract iCoach data from BO and use it to refresh a dashboard</t>
  </si>
  <si>
    <t>Leanne King</t>
  </si>
  <si>
    <t>NL/DD</t>
  </si>
  <si>
    <t>PPL PRS</t>
  </si>
  <si>
    <t>Sudhamshu</t>
  </si>
  <si>
    <t>Sud is currently gathering the details for the dashboard</t>
  </si>
  <si>
    <t>PPL PRS Dashboard</t>
  </si>
  <si>
    <t>JL BO Productivity</t>
  </si>
  <si>
    <t>JL BO Productivity - checking agents not appearing in the SIOX data - agents were not properly set in SIOX</t>
  </si>
  <si>
    <t>Emma Howard/Kenneth Barrs</t>
  </si>
  <si>
    <t>PSA Bonus-Malus</t>
  </si>
  <si>
    <t>PSA Bonus-Malus - Data gathering and compilation for BM for Nov-Dec 20</t>
  </si>
  <si>
    <t>Adam Husbands/Valentin Todorov</t>
  </si>
  <si>
    <t>NFF</t>
  </si>
  <si>
    <t>NFF report update</t>
  </si>
  <si>
    <t>Clive Barber</t>
  </si>
  <si>
    <t>EMT Exeter</t>
  </si>
  <si>
    <t>EMT Exeter maintenance and DL change</t>
  </si>
  <si>
    <t>Richard Crellin</t>
  </si>
  <si>
    <t>JLCS Break Adherence - Daily</t>
  </si>
  <si>
    <t>JLCS Break Adherence - Daily: DL change, adding Sonya</t>
  </si>
  <si>
    <t>Sonya Arcos</t>
  </si>
  <si>
    <t>Julie Sizing File</t>
  </si>
  <si>
    <t>Julie Sizing File - Update</t>
  </si>
  <si>
    <t>Julie Bullock</t>
  </si>
  <si>
    <t>SSE Maxim Agent Data</t>
  </si>
  <si>
    <t>SSE Maxim Agent Data - set another instance to be sent to the client</t>
  </si>
  <si>
    <t>SIOX Forecasts</t>
  </si>
  <si>
    <t>SIOX Forecasts for TP5 import</t>
  </si>
  <si>
    <t>Jonathan McNelis</t>
  </si>
  <si>
    <t>Richard Harris</t>
  </si>
  <si>
    <t>SSE GlasGlow SSE HOCS - Daily</t>
  </si>
  <si>
    <t>SSE GlasGlow SSE HOCS - Daily - report from BO</t>
  </si>
  <si>
    <t>SIOX Forecasts for TP4 import</t>
  </si>
  <si>
    <t>Plymouth</t>
  </si>
  <si>
    <t>Elliott Childs</t>
  </si>
  <si>
    <t>EMT JL Lateness Report</t>
  </si>
  <si>
    <t>EMT JL Lateness Report - report built for Elliot to monitor the Lateness cases and compare to an internal tracker</t>
  </si>
  <si>
    <t>SSE GlasGlow SSE HOCS - Daily - DL Change and slight alteration</t>
  </si>
  <si>
    <t>SSE GlasGlow SSE HOCS - Daily - DL Change</t>
  </si>
  <si>
    <t>EMT maintenance</t>
  </si>
  <si>
    <t>Amee Holly</t>
  </si>
  <si>
    <t>g</t>
  </si>
  <si>
    <t>Adding additional metrics in the report SSE Backdating Agent Report May 21.xlsb</t>
  </si>
  <si>
    <t xml:space="preserve">Frouline Domingo </t>
  </si>
  <si>
    <t xml:space="preserve">Wilkins, Gareth (SSE-OVO) &lt;gareth.wilkins@sse.com&gt; </t>
  </si>
  <si>
    <t xml:space="preserve">New LOB, new MI and New Interval Report – Glasgow HOCs line, Skill 360 </t>
  </si>
  <si>
    <t>Stephen Caffull &lt;stephen.caffull@sitel.com&gt;</t>
  </si>
  <si>
    <t>28/04 - request from Frouline Domingo &lt;Frouline.Domingo@sitel.com&gt; to rename skill 2357;
28/4 - I've sent an e-mail to Frouline and asked her to contact Boyet - he has to raise a ticket for renaming this skill.  Then I will renamed the skill in my report too;
05/05 - Lopito sent me an e-mail that the skill is already renamed
06/05 - Renaming of the skill in the server/my reports;</t>
  </si>
  <si>
    <t>Checking the data in the SSE Backdating Transferred Calls.xlsx</t>
  </si>
  <si>
    <t>Jonathan Collins &lt;jonathan.collins@sseenergyservices.com&gt;</t>
  </si>
  <si>
    <t>Adding new tab in the Waverley MI Report</t>
  </si>
  <si>
    <t>Lopito Oliva Jr. &lt;Lopito.Oliva@sitel.com&gt;</t>
  </si>
  <si>
    <t>EMT Open Cases Report</t>
  </si>
  <si>
    <t>EMT Open Cases Report DL Change</t>
  </si>
  <si>
    <t>Joda Pow</t>
  </si>
  <si>
    <t>EMT Close Leaver Open Cases</t>
  </si>
  <si>
    <t>Myra Gracie</t>
  </si>
  <si>
    <t>Virgin Media</t>
  </si>
  <si>
    <t>IT Tracker</t>
  </si>
  <si>
    <t>IT Tracker access change for WFM</t>
  </si>
  <si>
    <t>Cara Williams/Berenice Smout</t>
  </si>
  <si>
    <t>Swansea</t>
  </si>
  <si>
    <t>Waitrose</t>
  </si>
  <si>
    <t>Waitrose Break Adherence</t>
  </si>
  <si>
    <t>Waitrose Break Adherence report creation same as JLCS one</t>
  </si>
  <si>
    <t>Stratford</t>
  </si>
  <si>
    <t>IT Tracker Creation</t>
  </si>
  <si>
    <t>IT Tracker Creation for Plymouth</t>
  </si>
  <si>
    <t>IT Tracker Creation for Stratford</t>
  </si>
  <si>
    <t>Cara Williams</t>
  </si>
  <si>
    <t>Coventry Absence Report Daily</t>
  </si>
  <si>
    <t>Coventry Absence Report Daily DL Changed</t>
  </si>
  <si>
    <t>Leon Dorricot</t>
  </si>
  <si>
    <t xml:space="preserve"> New FCR data from RN</t>
  </si>
  <si>
    <t>JL Ops/Darren Wilde</t>
  </si>
  <si>
    <t>Renaming of the skill for Waverley</t>
  </si>
  <si>
    <t>Renaming of the skill for Snowdon</t>
  </si>
  <si>
    <t>07/5 - request from Effie Moustaka (SSE) to rename skill 353;
07/05 - Lopito sent me an e-mail that the skill is already renamed;
07/05 - Renaming of the skill in the server/my reports;</t>
  </si>
  <si>
    <t xml:space="preserve">05/5 - Request from Lopito Oliva Jr. &lt;Lopito.Oliva@sitel.com&gt; to add a tab where the client to see the AHT daily per Split;
07/5 - I've sent the Waverley MI Report to Lopito and I'm waiting for feedback;
07/5 - I had a call with Boyet and he likes the report,   will start sending it from Monday;
</t>
  </si>
  <si>
    <t>Adding new receiver in the DL of  the SSE Backdating Report</t>
  </si>
  <si>
    <t>10/5 - Request from Stephen Caffull to add him in the DL of the following reports:
SiTEL / SSE data_Intervals (Hourly Version)
SSE Backdating Skill Report
SiTEL / SSE data Transferred Calls
SiTEL / SSE data_Intervals
SSE Backdating Agent Report</t>
  </si>
  <si>
    <t>VM Absence Report</t>
  </si>
  <si>
    <t>VM Absence Report DL Change</t>
  </si>
  <si>
    <t>Kerry Howels</t>
  </si>
  <si>
    <t>JL Outbound Number Dialed</t>
  </si>
  <si>
    <t>Kyle Mccormick</t>
  </si>
  <si>
    <t>EMT</t>
  </si>
  <si>
    <t>Leavers emails issue. - fixed
Logging Leavers Access given to Matthew Haynes and Sophie Rogers - done</t>
  </si>
  <si>
    <t>C1st report alteration and ETL change</t>
  </si>
  <si>
    <t>Adding new field in the C1st case report and altering the VS package to accommodate the new field containing the old case number from SF and CnB</t>
  </si>
  <si>
    <t>Penny Kerr &lt;penny.kerr@sseenergyservices.com&gt;</t>
  </si>
  <si>
    <t>Adding new receiver and delete receiver from the DL of  the SSE Backdating Report &amp; SSE CSAT Reports</t>
  </si>
  <si>
    <t xml:space="preserve">29/04 - Request from Stephen Caffull &lt;stephen.caffull@sitel.com&gt; for adding new skill in the reports for SSE, no need for new MI and Interval Reports because at the moment we are producing New Common MI Report &amp; New Common Interval Report;
04/05 - I've sent an e-mail to Lopito to give me the needed information for adding the skill 360 in the reportt, to add me as a receiver of the Interval report for skill 360;
04/05 - Stephen asked me to create new MI and Interval reports for this LOB;
04/05 - I've sent an e-mail to Stephen that I will create a new MI and an Interval Reports for HOCS, but it will take me some time and once I am done with the MI and Interval Reports for HOCS I will send them to him for revision;
07/05 - I've sent the MI and Interval Rerorts to Stephen Cafful and I'm waiting for feedback;
11/5  - Stephen like the MI and Interval reports that I prodused; Start sending them from 12th of May;
</t>
  </si>
  <si>
    <t>Jory Chapman &lt;Jory.Chapman@sitel.com&gt;</t>
  </si>
  <si>
    <t>Adding new receivers in the DL of  the SSE Backdating Agent Report</t>
  </si>
  <si>
    <t>11/5 - request from Lopito Oliva Jr. &lt;Lopito.Oliva@sitel.com&gt; to add him, Stephen Caffull and SSE Reporting Team SSEReportingTeam@sitel.com in the DL of the SSE Backdating Agent Report</t>
  </si>
  <si>
    <t>10/5 - Request from Penny Kerr &lt;penny.kerr@sseenergyservices.com&gt; to ensure resource.mi@sseenergyservices.com is a recipient for the all reports that I send to them and to remove telephony.mi.team@sse.comhim from the DL of these reports;
10/5 - I've aksed Penny if the reports are the following ones and I'm waiting feedback:
SiTEL / SSE data_Intervals (Hourly Version)
SSE Backdating Skill Report
SiTEL / SSE data Transferred Calls
SiTEL / SSE data_Intervals
SSE Backdating Agent Report
10/5 - e-mail from Penny; the reports are the following ones:
 SiTEL / SSE data_Intervals (Hourly Version)
 SSE Backdating Skill Report
  SiTEL / SSE data Transferred Calls
 SiTEL / SSE data_Intervals
 SSE Backdating Agent Report
 SSE Waverly SCAT NPS
 SSE Smart SCAT NPS
10/5 - I've sent an e-mail to Penny that I've already done the request;</t>
  </si>
  <si>
    <t>16/04 -  request for new GMR for Utility Warehouse for Newcastle from Lynne Pitchford;
19/4 - I've sent an e-mail to Lynne Pitchford with needed information for GMR creation and I am waiting for feedback; She is fine with the template;
19/4 - I've sent another e-mail to Lynne with questions for other metrics and waiting for feedback;
26/04 - I've sent an e-mail to Lynne to remind her that I am waiting for feedback of my previous e-mail;  ask Lynne from which date the new GMR will start;
06/05 - I've sent an e-mail to Lynne to tell me if the new GMR is already started and to give me the needed information from the below e-mails;
11/05 - I've sent an e-mail to Lynne with request to write me when the GMR starts;</t>
  </si>
  <si>
    <t>Changing of the e-mail address</t>
  </si>
  <si>
    <t>12/5 - Request from Russell Marlborough to change the e-mail address of the receiver of the SSE Client Report;
13/5 - Done</t>
  </si>
  <si>
    <t>dialler.manager@sseenergyservices.com ; Russell Marlborough</t>
  </si>
  <si>
    <t>05/05 - Request from Jonathan Collins &lt;jonathan.collins@sseenergyservices.com&gt; to check the data in the SSE Backdating Transferred Calls.xlsx; He told me that the volumes seem low compared to a monthly transfers report he has seen on the SFTP; 
05/05 - I’ve run the report again and the value is the same. I've sent the version of the report to Jonathan with added slicer "numbered dialed". I've told to Jonathan that I am checking at the moment with other colleagues if there is another number dialed which I don’t show in the report and then will give him feedback.
05/05 - I've asked Jonathan to send me the report he has seen on the SFTP in which the numberes are different from these ones in my reprot SSE Backdating Transferred Calls.xls;
05/05 - I've sent an e-mail to Arlene Joy C. Ligot &lt;ArleneJoyC.Ligot@sitel.com&gt; and Jorge Ejercito &lt;Jorge.Ejercito@sitel.com&gt; to tell me if the list with Transfer Numbers is still the same.
If there are any changes, I asked them to send me the updated list;
05/05 - Arlene Joy C. Ligot  asked Jorge Ejercito if there are any changes on our transfer numbers;
05/05 - I've received an e-mail from Jorge Ejercito &lt;Jorge.Ejercito@sitel.com&gt; with updated list with transfer numbers;
10/05 - I've sent an e-mail to Jorge Ejercito &lt;Jorge.Ejercito@sitel.com&gt;; Arlene Joy C. Ligot &lt;ArleneJoyC.Ligot@sitel.com&gt; and attached the e-mail and reports from SSE, I've asked Jorge Ejercito &lt;Jorge.Ejercito@sitel.com&gt;; Arlene Joy C. Ligot &lt;ArleneJoyC.Ligot@sitel.com&gt; to chech why some of the numbers are missing in the list with transfers numbers that Jorge gave me; I'm waiting for feedback from Arlene and Jorge;
11/05 - e-mail from Jorge: Numbers provided previously are still the same; I've sent an e-mail to AJ with request to tell me if the client/ Jonathan Collins jonathan.collins@sseenergyservices.com / has this list with Transfer Numbers?; AJ looping Russ Nicanor &lt;Russ.Nicanor@sitel.com&gt; and James Arbues &lt;James.Arbues@sitel.com&gt; to tell me if Jon is their stakeholder; I'm waiting feedback from Russ and James;
12/5 - e-mail from Jonathan Collins, he asked me for the discrepancy between the report I send every day and this one he sent me; I replied to him that the reason for the discrepancy is that the transferred numbers (SSE telephone numbers/contact numbers to which the calls are transferred from Sitel back into SSE) that I have from Ops are different from these ones in the report that he sent to me;</t>
  </si>
  <si>
    <t>SSE Maxim Agent Data report alteration</t>
  </si>
  <si>
    <t>Almelo</t>
  </si>
  <si>
    <t>PSA NL invoicing template</t>
  </si>
  <si>
    <t>Adam Husbands</t>
  </si>
  <si>
    <t>Ops/PSA</t>
  </si>
  <si>
    <t>ms</t>
  </si>
  <si>
    <t>Gary Ramm</t>
  </si>
  <si>
    <t>Adding new receivers in the DL of  the SSE Backdating Skill Report</t>
  </si>
  <si>
    <t>06/5 - Request from Jonathan Collins &lt;jonathan.collins@sseenergyservices.com&gt; to add mark.tuck@sseenergyservices.com and effie.moustaka@sseenergyservices.com in the DL of the  SSE Backdating Skill Report</t>
  </si>
  <si>
    <t>New skill (2366) for SSE/LOB - Snowdon</t>
  </si>
  <si>
    <t>14/5 - Request from Stephen Caffull for adding a new skill in Snowdon MI Report - skills 2366, the skill and VDN are mapped by Boyet; No separate interval report is needed; The skill will be effective next Friday; the skill has to be added in the Interval report from BO Team - Lopito has to raise a ticket;</t>
  </si>
  <si>
    <t>Benoit Deconinck</t>
  </si>
  <si>
    <t>Change forecast calculations; Add chat forecast; Add WhatsApp chat</t>
  </si>
  <si>
    <t>NA/IK</t>
  </si>
  <si>
    <t>allow access to the EMT tool for Alex Howe ahowe025, Ashley Hobbs ahobb005 and Paris Brown pbrow069</t>
  </si>
  <si>
    <t>Holly Hatton</t>
  </si>
  <si>
    <t>DSE Reminders</t>
  </si>
  <si>
    <t>DSE reminders DL change</t>
  </si>
  <si>
    <t>Kelvin Stagg</t>
  </si>
  <si>
    <t>EMT Campain DL change</t>
  </si>
  <si>
    <t>DL change</t>
  </si>
  <si>
    <t>Add daniel.abraham@johnlewis.co.uk  to the report's DL</t>
  </si>
  <si>
    <t>Andrew Warren</t>
  </si>
  <si>
    <t xml:space="preserve">28/4 - Request from Jory Chapman to add new starters to the MI Report;
28/4 and 06/05 - I've sent an e-mail to Jory to give me the information (Employee ID, Login ID, Employee name, Start date ) for the new starters and I will check if they are in the report;
07/5 - e-mail from Jory with needed data for the new agents; sent an e-mail to Jory and asked Jory if these agents are working at the moment;
07/5 - Jory told me that the agent are working;
10/5 - I've sent an e-mail to Jory with request to map the Login ID with Employee ID of the new agents; I'm waiting for feedback;
18/5 - all new starters are in the report;
</t>
  </si>
  <si>
    <t>28/4 - Request from Wilkins, Gareth (SSE-OVO) &lt;gareth.wilkins@sse.com&gt; to add addtionla metrics in the report SSE Backdating Agent Report May 21.xlsb; If this is not possible, Wilkins, Gareth want to be advise which metrics are available to be included. Some of the metrics are already shown in the report. The metrics are: Employee Name,Login ID,Employee ID,Agent Calls Offered,Agent Answered Calls,Agent Abandoned Calls,Agent Abandon Time (secs),Agent Average Handling Time (secs),Agent Average Talk Time (secs),Agent Average After Call Work (secs),Agent  Average Hold Time (secs),Agent Total Talk Time (mins),Agent Total After Call Work  (mins),Agent Total Hold Time (mins),Agent Total Available Time (mins),Agent Actual Staffing Hours,Agent Advisor Availablity (inc busy time),Agent Calls per Hour,Agent Average Speed of Answering (secs),TI Auxtime 0 (secs),TI Auxtime 1 (secs),TI Auxtime 2 (secs),TI Auxtime 3 (secs),TI Auxtime 4 (secs),TI Auxtime 5 (secs),TI Auxtime 6 (secs),TI Auxtime 7 (secs),TI Auxtime 8 (secs),TI Auxtime 9 (secs),FTE Avail (hrs),% Of Outbound Talk Time,
28/4 - I've sent an e-mail to Wilkins, Gareth (SSE-OVO) that I will check if it is possible to add these metrics in the report and will give him feedback;
05/05 - I've asked Ops - Russ Nicanor &lt;Russ.Nicanor@sitel.com&gt; and Arlene Joy C. Ligot &lt;ArleneJoyC.Ligot@sitel.com&gt; if they have any concerns if I send the report to the client with the added new metrics; I've attached the current report and the one with added new metrics;
05/05 - Arlene Joy C. Ligot replied me that she doesn't have any concerns with the added metrics; I am waiting feedback from Russ Nicanor;
11/05 - I've sent an e-mail to Russ Nicanor with request for feedback;
11/05 - Russ replied me that he doesn't have any concerns with the added metrics; I'm waiting feedback from James Arbues &lt;James.Arbues@sitel.com&gt;;
11/5 - received feedbcak from James - he is good with the report;
13/5 - Stphen Cafful asked me to send the report to Gareth on 17th of May; the report will include data only for yesterday because of the size of the report;
17/5 - Sent the report to the client;
18/5 - client replied that they adjusted their reporting to align with the current setup of the backdating agent report and so no longer require this new view;</t>
  </si>
  <si>
    <t>Adding client's mailbox to all of our outgoing reporting</t>
  </si>
  <si>
    <t>17/5 - Request from Stephen Caffull &lt;stephen.caffull@sitel.com&gt; to add the below client's mailbox to all of our outgoing reporting.
sitelreporting@sseenergyservices.com.
17/5 - Done</t>
  </si>
  <si>
    <r>
      <t xml:space="preserve">23/4 - request from Jory Chapman to make the following changes in the MI Report;
26/4 - I've sent my questions to Jory;
E-mail from Jory (23/4) with my comments/questions in red (26/4) and Jory's comments in brown (27/4):
1. Add leon.dorricott@sitel.com to the distribution list – </t>
    </r>
    <r>
      <rPr>
        <sz val="14"/>
        <color rgb="FFFF0000"/>
        <rFont val="Calibri"/>
        <family val="2"/>
        <scheme val="minor"/>
      </rPr>
      <t>ready with this task;</t>
    </r>
    <r>
      <rPr>
        <sz val="14"/>
        <color theme="5" tint="-0.499984740745262"/>
        <rFont val="Calibri"/>
        <family val="2"/>
        <scheme val="minor"/>
      </rPr>
      <t xml:space="preserve"> Thank you </t>
    </r>
    <r>
      <rPr>
        <sz val="14"/>
        <color theme="1"/>
        <rFont val="Calibri"/>
        <family val="2"/>
        <scheme val="minor"/>
      </rPr>
      <t xml:space="preserve">
2. Pull from the ‘Agent Report’ Tab column T - AO – ‘TI Auxtime (secs)’ – only need minutes aux time. -</t>
    </r>
    <r>
      <rPr>
        <sz val="14"/>
        <color rgb="FFFF0000"/>
        <rFont val="Calibri"/>
        <family val="2"/>
        <scheme val="minor"/>
      </rPr>
      <t xml:space="preserve"> will start working on it; </t>
    </r>
    <r>
      <rPr>
        <sz val="14"/>
        <color theme="5" tint="-0.499984740745262"/>
        <rFont val="Calibri"/>
        <family val="2"/>
        <scheme val="minor"/>
      </rPr>
      <t>Thank you</t>
    </r>
    <r>
      <rPr>
        <sz val="14"/>
        <color rgb="FFFF0000"/>
        <rFont val="Calibri"/>
        <family val="2"/>
        <scheme val="minor"/>
      </rPr>
      <t xml:space="preserve">
</t>
    </r>
    <r>
      <rPr>
        <sz val="14"/>
        <color theme="1"/>
        <rFont val="Calibri"/>
        <family val="2"/>
        <scheme val="minor"/>
      </rPr>
      <t xml:space="preserve">3. Above the different Auxs can you add the following headers: - </t>
    </r>
    <r>
      <rPr>
        <sz val="14"/>
        <color rgb="FFFF0000"/>
        <rFont val="Calibri"/>
        <family val="2"/>
        <scheme val="minor"/>
      </rPr>
      <t xml:space="preserve">To be added in the three tabs – Overall Elavon, Skill Summary Report and Agent Report? </t>
    </r>
    <r>
      <rPr>
        <sz val="14"/>
        <color theme="5" tint="-0.499984740745262"/>
        <rFont val="Calibri"/>
        <family val="2"/>
        <scheme val="minor"/>
      </rPr>
      <t>Yes please</t>
    </r>
    <r>
      <rPr>
        <sz val="14"/>
        <color theme="1"/>
        <rFont val="Calibri"/>
        <family val="2"/>
        <scheme val="minor"/>
      </rPr>
      <t xml:space="preserve">
- Aux 1 – Lunch
- Aux 2 – Breaks
- Aux 3 – Personal
- Aux 4 – Coaching
- Aux 6 – Case Related
4. Conditional Format some of the Aux times: </t>
    </r>
    <r>
      <rPr>
        <sz val="14"/>
        <color rgb="FFFF0000"/>
        <rFont val="Calibri"/>
        <family val="2"/>
        <scheme val="minor"/>
      </rPr>
      <t xml:space="preserve">To be added in the three tabs – Overall Elavon, Skill Summary Report and Agent Report?; </t>
    </r>
    <r>
      <rPr>
        <sz val="14"/>
        <color theme="5" tint="-0.499984740745262"/>
        <rFont val="Calibri"/>
        <family val="2"/>
        <scheme val="minor"/>
      </rPr>
      <t>Yes please, but first two tabs would need to be from agents worked, so two agents working would be 60 mins and under green for aux 1</t>
    </r>
    <r>
      <rPr>
        <sz val="14"/>
        <color theme="1"/>
        <rFont val="Calibri"/>
        <family val="2"/>
        <scheme val="minor"/>
      </rPr>
      <t xml:space="preserve">
- Aux 1 &amp; Aux 2 0-30 mins green, 30-32 mins amber, over 32 mins red
- Aux 3 – 0-9 mins green, 9-11 amber, 11+ red
- 
5. Can the average outbound time be in seconds to one decimal place please column AT on ‘Agent Report’ tab. - </t>
    </r>
    <r>
      <rPr>
        <sz val="14"/>
        <color rgb="FFFF0000"/>
        <rFont val="Calibri"/>
        <family val="2"/>
        <scheme val="minor"/>
      </rPr>
      <t xml:space="preserve">will start working on it; </t>
    </r>
    <r>
      <rPr>
        <sz val="14"/>
        <color theme="5" tint="-0.499984740745262"/>
        <rFont val="Calibri"/>
        <family val="2"/>
        <scheme val="minor"/>
      </rPr>
      <t>Thank you</t>
    </r>
    <r>
      <rPr>
        <sz val="14"/>
        <color theme="1"/>
        <rFont val="Calibri"/>
        <family val="2"/>
        <scheme val="minor"/>
      </rPr>
      <t xml:space="preserve">
6. Decimals to be added to agent actual staffed hours. Column P on ‘Agent Report’ tab. -</t>
    </r>
    <r>
      <rPr>
        <sz val="14"/>
        <color rgb="FFFF0000"/>
        <rFont val="Calibri"/>
        <family val="2"/>
        <scheme val="minor"/>
      </rPr>
      <t xml:space="preserve"> will start working on it; </t>
    </r>
    <r>
      <rPr>
        <sz val="14"/>
        <color theme="5" tint="-0.499984740745262"/>
        <rFont val="Calibri"/>
        <family val="2"/>
        <scheme val="minor"/>
      </rPr>
      <t>Thank you</t>
    </r>
    <r>
      <rPr>
        <sz val="14"/>
        <color theme="1"/>
        <rFont val="Calibri"/>
        <family val="2"/>
        <scheme val="minor"/>
      </rPr>
      <t xml:space="preserve">
7. Add occupancy calculation into the report on tab ‘Overall Elavon’: AHT + AUX 6 Divided by AHT + Aux 6 + Available time x 100 to get a percentage – </t>
    </r>
    <r>
      <rPr>
        <sz val="14"/>
        <color rgb="FFFF0000"/>
        <rFont val="Calibri"/>
        <family val="2"/>
        <scheme val="minor"/>
      </rPr>
      <t xml:space="preserve">you mean [(AHT + AUX 6) Divided by (AHT + Aux 6 + Available time)] x 100; </t>
    </r>
    <r>
      <rPr>
        <sz val="14"/>
        <color theme="5" tint="-0.499984740745262"/>
        <rFont val="Calibri"/>
        <family val="2"/>
        <scheme val="minor"/>
      </rPr>
      <t>Yes thank you</t>
    </r>
    <r>
      <rPr>
        <sz val="14"/>
        <color theme="1"/>
        <rFont val="Calibri"/>
        <family val="2"/>
        <scheme val="minor"/>
      </rPr>
      <t xml:space="preserve">
8. Add utilization calculation into the report on tab ‘Overall Elavon’: AHT + Aux 6 + Available time divided by total staff hours x 100 to get a percentage – </t>
    </r>
    <r>
      <rPr>
        <sz val="14"/>
        <color rgb="FFFF0000"/>
        <rFont val="Calibri"/>
        <family val="2"/>
        <scheme val="minor"/>
      </rPr>
      <t xml:space="preserve">you mean [(AHT + Aux 6 + Available time) divided by (total staff hours)] x 100 to get a percentage; </t>
    </r>
    <r>
      <rPr>
        <sz val="14"/>
        <color theme="5" tint="-0.499984740745262"/>
        <rFont val="Calibri"/>
        <family val="2"/>
        <scheme val="minor"/>
      </rPr>
      <t>Yes thank you</t>
    </r>
    <r>
      <rPr>
        <sz val="14"/>
        <color theme="1"/>
        <rFont val="Calibri"/>
        <family val="2"/>
        <scheme val="minor"/>
      </rPr>
      <t xml:space="preserve">
9. Can the Agent Report tab have the slices of advisors at the top moved to the left hand side where the date is and swapped with the date range. – </t>
    </r>
    <r>
      <rPr>
        <sz val="14"/>
        <color rgb="FFFF0000"/>
        <rFont val="Calibri"/>
        <family val="2"/>
        <scheme val="minor"/>
      </rPr>
      <t xml:space="preserve">you want to have another slicer for date range and both slicers (this one for the date range and the other for agents) to be moved on the left handside?; </t>
    </r>
    <r>
      <rPr>
        <sz val="14"/>
        <color theme="5" tint="-0.499984740745262"/>
        <rFont val="Calibri"/>
        <family val="2"/>
        <scheme val="minor"/>
      </rPr>
      <t xml:space="preserve">Pop agents down left hand side and add the date range as a splice to replace advisor splices. So I can see at a glance agent performance and then I could select a different day, or the week number and then month as a total;
</t>
    </r>
    <r>
      <rPr>
        <sz val="14"/>
        <color theme="1"/>
        <rFont val="Calibri"/>
        <family val="2"/>
        <scheme val="minor"/>
      </rPr>
      <t>29/04 - I've sent the report with comments to Jory and received comments from Jory;
30/04 -  I've sent the updated version of the report with comments to Jory and waiting for feedback;
06/5 - e-mail from Jory with new question - is it possible to conditional format the team when selected as a whole around their aux codes? And the daily/ weekly average?
07/5 - I've sen an e-mail with updated version of the report: with added Average Aux 1, Average Aux 2 and Average Aux 3 and with request to send me the conditional format for these 3 new metrics; Jory replied to my e-mail;</t>
    </r>
    <r>
      <rPr>
        <sz val="14"/>
        <color theme="5" tint="-0.499984740745262"/>
        <rFont val="Calibri"/>
        <family val="2"/>
        <scheme val="minor"/>
      </rPr>
      <t xml:space="preserve">
</t>
    </r>
    <r>
      <rPr>
        <sz val="14"/>
        <rFont val="Calibri"/>
        <family val="2"/>
        <scheme val="minor"/>
      </rPr>
      <t xml:space="preserve">10/5 -  I've sent an e-mail with updated version of the report - with added conditional formatting for Average Aux 1, Average Aux 2 and Average Aux 3; I'm waiting for feedback;
19/5 - I've started sending the report with new columns; I've added 2 recepients in the DL;
</t>
    </r>
  </si>
  <si>
    <t>06/5 - request from Jory Chapman &lt;Jory.Chapman@sitel.com&gt; to produce a report for Elavon with the following metrics:
 Average Handling Time 
 Average Wait Time 
 Average Wrap Up 
 Average abandonment rate 
 Average abandonment rate time 
 Call Volumes 
11/05 - I've sent an e-mail to Jory with my questions regarding the report and I am waiting for feedback;
11/05 - received ffedback from Jory; I have to produce and send the report;
13/5 - I've sent the report to Jory with added additional metris in the tab Skill Summary Report:
 Average Wait Time – this is the answer time
 Average abandonment rate – this is (abandoned calls divide to offered calls)
 Average abandonment rate time – this is the Abandon Time (secs)
13/5 - Jory is good with the report, Jory needs the report only once for an RFI piece of work, I'm waiting for feedback from client;
19/5 - I've asked Jory if there is any feedback from client; Jory replied me that client didn't give feedback, so Jory think that everything is fine;</t>
  </si>
  <si>
    <t>Helen Borham &lt;helen.borham@sseenergyservices.com&gt;</t>
  </si>
  <si>
    <t>Uploaded reports in FileZila</t>
  </si>
  <si>
    <t>19/5 - Request from Helen Borham &lt;helen.borham@sseenergyservices.com&gt; to upload SSE Reports for Mar and Apr 2021 in FileZila;
19/5 - Done;</t>
  </si>
  <si>
    <t>UK Unapproved hours report</t>
  </si>
  <si>
    <t>UK Unapproved hours report DL change</t>
  </si>
  <si>
    <t>Fozia Qayoom</t>
  </si>
  <si>
    <t>Adding Call Drivers to quality Report</t>
  </si>
  <si>
    <t>17/05 - New Call drivers sheet in MI report</t>
  </si>
  <si>
    <t>Changes in Agent Quality and Quality MI Reports</t>
  </si>
  <si>
    <t>18/05 - request for changes in Aqent Quality and Quality MI reports</t>
  </si>
  <si>
    <t>Update Contact reason for multiple reports</t>
  </si>
  <si>
    <t xml:space="preserve">17/05 - update needed for contact reasons because of migration and changes in wording </t>
  </si>
  <si>
    <t>Check 'missing emails' vs 'captured emails' calculaltions</t>
  </si>
  <si>
    <t>18/05 - request for check on how 'missing emails' (Quality MI report) and 'Captured emails' (CSAT Comparison report) are calculated and explain the difference</t>
  </si>
  <si>
    <t>Duplicated cases in CSAT because of the migration</t>
  </si>
  <si>
    <t>21/05 - migration causes OV cases to be duplicated and with changed layout in CSAT raw data files</t>
  </si>
  <si>
    <t xml:space="preserve">Check calculations of 'Required evaluations' </t>
  </si>
  <si>
    <t>25/05 - request for check on how 'Required evaluations' for next week are calculated for specific cases</t>
  </si>
  <si>
    <t>PSA SF to C1st migration</t>
  </si>
  <si>
    <t>PSA SF to C1st migration; Changing the datasources to point to the new system only; CS_PSA database maintenance and organization</t>
  </si>
  <si>
    <t>CRT</t>
  </si>
  <si>
    <t>PSA NL invoicing template creation/adjustments/automation; 
12/05/21: Mtg with client and sample sent to Ops for review; awaiting feedback
25/05/2021 - template finalized and sent to client</t>
  </si>
  <si>
    <t>Removing and adding recepients from DL</t>
  </si>
  <si>
    <t xml:space="preserve">Sudhamshu Kantharaj </t>
  </si>
  <si>
    <t>24/5 - request from Sudhamshu Kantharaj for removing and adding recepients in the DL of Hunter MI Report;
26/5 - Done;</t>
  </si>
  <si>
    <t>Needed the reports for Jan, Fe, Mar, Apr 2021</t>
  </si>
  <si>
    <t>20/5 - Request from Jory Chapman &lt;Jory.Chapman@sitel.com&gt; to send the reports for Jan, Feb, mar and Apr 2021 because his reports are corrupted;
20/5 - Done;</t>
  </si>
  <si>
    <t>Hunter Boot</t>
  </si>
  <si>
    <t>Renaming skill 353 in the Interval Report from BO Team</t>
  </si>
  <si>
    <t>26/5  - Request from me to Lopito to raise a ticket and to correct the name of the skill in the Interval Report from BO Team - the name has to be 353 - Meterline drop out. Till 19th of May the name is correct but from 20th of May till today the name is SSE Card Line - it is not correct; Lopito has already raised a ticket; I am waiting for feedback from Lopito;
27/5 - the name is already changed;</t>
  </si>
  <si>
    <t xml:space="preserve">Amending all SSE e-mail address ( in my reports ) from @sse.com to @sseenergyservices.com </t>
  </si>
  <si>
    <t xml:space="preserve">27/5 - Request from Stephen Caffull &lt;stephen.caffull@sitel.com&gt; to amend all SSE e-mail address ( in my reports ) from @sse.com to @sseenergyservices.com </t>
  </si>
  <si>
    <t>Request for Quality Report</t>
  </si>
  <si>
    <t>Adele Clark &lt;Adele.Clark@sitel.com&gt;</t>
  </si>
  <si>
    <t>Utility Warehouse for Newcastle</t>
  </si>
  <si>
    <t>telephony.mi.team@sseenergyservices.com (Penny)</t>
  </si>
  <si>
    <t>Sudhamshu Kantharaj &lt;Sudhamshu.Kantharaj@sitel.com&gt;</t>
  </si>
  <si>
    <t>28/5 - Request from Sudhamshu Kantharaj &lt;Sudhamshu.Kantharaj@sitel.com&gt; to add him in the DL of the Elavon MI Report;
28/5 - Done</t>
  </si>
  <si>
    <t>28/5 - Request from telephony.mi.team@sseenergyservices.com (Penny) to send the SSE HOCS MI Reports &amp; SSE Waverley MI Reports to resource.mi@sseenergyservices.com instead of telephony.mi.team@sseenergyservices.com moving forward &amp; to remove Jonathan Collins from this email as he receives the mails to resource.mi. 
28/5 - Done;</t>
  </si>
  <si>
    <t>DD/NA</t>
  </si>
  <si>
    <t>Virgin Media MI Dashboard</t>
  </si>
  <si>
    <t>Gemma Strain &lt;Gemma.Strain@sitel.com&gt;</t>
  </si>
  <si>
    <t>DD/NA/Gemma Strain &lt;Gemma.Strain@sitel.com&gt;</t>
  </si>
  <si>
    <t>Aadding recepient in the DL of the Elavon MI Report</t>
  </si>
  <si>
    <t>Anniversaries Exeter and Plymouth</t>
  </si>
  <si>
    <t>Anniversaries Exeter and Plymouth report in BO for sending DSE reminders</t>
  </si>
  <si>
    <t>Stephanie Gibson</t>
  </si>
  <si>
    <t>Manila</t>
  </si>
  <si>
    <t>Relabel - skill 2350 Waverley</t>
  </si>
  <si>
    <t>01/06 - Request from Stephen Caffull to relabel skill 2350 Waverley;
02/06 - Done;</t>
  </si>
  <si>
    <t>Close Brothers</t>
  </si>
  <si>
    <t>Close Brothers Absence 2019 to date</t>
  </si>
  <si>
    <t>Close Brothers Absence 2019 to date report from BO</t>
  </si>
  <si>
    <t>Jessica Sage</t>
  </si>
  <si>
    <t>Remove VDNs from MI</t>
  </si>
  <si>
    <t>Remove Xfer VDNs from JLCS MI</t>
  </si>
  <si>
    <t>Jess Randall</t>
  </si>
  <si>
    <t>Stratford Absenec DL Change</t>
  </si>
  <si>
    <t>Elizabeth Tregenna</t>
  </si>
  <si>
    <t>Flash Report alteration</t>
  </si>
  <si>
    <t>Natalie Lubienski</t>
  </si>
  <si>
    <t>Flash Report creation</t>
  </si>
  <si>
    <t>Changes in WBR report UK</t>
  </si>
  <si>
    <t>Change the report production date from Thursday to Tuedsday, which requires ammendments in data calculations, few minor tweaks and changes</t>
  </si>
  <si>
    <t>David Hitching</t>
  </si>
  <si>
    <t>OB numbers called</t>
  </si>
  <si>
    <t>OB numbers called to to the top numbers dialed per day for JL</t>
  </si>
  <si>
    <t>DandI</t>
  </si>
  <si>
    <t>Look up list of Agent sites</t>
  </si>
  <si>
    <t>Benjamin Steed</t>
  </si>
  <si>
    <t>Benjamin provided list of Agent IDs without a Site assigned at his end. Look up for corresponding sites and check of missing agent IDs in COR</t>
  </si>
  <si>
    <t>SIOX 2020</t>
  </si>
  <si>
    <t>SIOX 2020 6 new KPIs</t>
  </si>
  <si>
    <t>Clive Barber/Ops</t>
  </si>
  <si>
    <t>Adding and removing recepient from DL</t>
  </si>
  <si>
    <t xml:space="preserve">Jory Chapman &lt;Jory.Chapman@sitel.com&gt; </t>
  </si>
  <si>
    <t>09/6 - Request from Jory Chapman &lt;Jory.Chapman@sitel.com&gt; to add Daniel.Green@sitel.com to the DL and to remove Thiviya.
10/6 -Done;</t>
  </si>
  <si>
    <t xml:space="preserve">add the following contacts to EMT emails that are generated for JL from the Maxim site.
Mailbox Plymouth WFM Admin plymouthwfmadmin@sitel.com
Mailbox John Lewis RTA Plymouth mb_plymouth_jl_rta@sitel.com
</t>
  </si>
  <si>
    <t>Update Maxim EMT DL</t>
  </si>
  <si>
    <t>Michaela Young &lt;michaela.young@sitel.com&gt;</t>
  </si>
  <si>
    <t xml:space="preserve">Hello, please could I be removed from the distro list for any absence reports for Exeter and Plymouth. </t>
  </si>
  <si>
    <t>Naomi Oerton</t>
  </si>
  <si>
    <t>Please can Maxim EMT be set to send notifications to Mailbox UK VMRetain Real Time mb.uk.vmretain-realtime@sitel.com rather than Mailbox Mission Control mission.control@sitel.com</t>
  </si>
  <si>
    <t>Change report calculations</t>
  </si>
  <si>
    <t>Change the report's NFF calculations. Add Table and Graphics on TP level</t>
  </si>
  <si>
    <t xml:space="preserve">28/5 - Request from Gemma Strain &lt;Gemma.Strain@sitel.com&gt; to automate the attached report in Programming Request #25640; We have upcoming meeting on 01 st of June to discuss the requirements; 
01/6 - Skype meeting with Gemma regarding the reqirements;
03/6 - I've sent an e-mail to Gemma with skill Ids and Queue Name I have and I've asked her to write me if there other skills or queue names; 
09/6 - We've sent the report to Gemma for reviewing; We are waiting for feedback;
15/6 - Gemma &amp; client like the report; I am going to start sending the report from Monday – 21st of Jun on a daily base (Monday – Friday), before 12pm UK time and to the below DL:
Gemma.strain@sitel.com
Leon.Dorricott@sitel.com
Conner.lake@sitel.com
William.Black-Carr@sitel.com
</t>
  </si>
  <si>
    <t>Changes in WBR reports</t>
  </si>
  <si>
    <t>Multiple changes in WBR reports for all markets</t>
  </si>
  <si>
    <t xml:space="preserve">Additional sheet with Luton specific charts and mertrics. Further discussions and clarifications on 3rd chart are needed  </t>
  </si>
  <si>
    <t>Almelo WBR report</t>
  </si>
  <si>
    <t>New WBR for Almelo - Quality metrics only</t>
  </si>
  <si>
    <t>Andrew Barnes/Ylona Schroevers</t>
  </si>
  <si>
    <t>Renaming skill 1967</t>
  </si>
  <si>
    <t>23/6 - Request from Stephen Caffull &lt;stephen.caffull@sitel.com&gt; to relabel skill 1967
24/6 - Done</t>
  </si>
  <si>
    <t xml:space="preserve"> Stephen Caffull &lt;stephen.caffull@sitel.com&gt;</t>
  </si>
  <si>
    <t>26/5 - Request from Adele Clark &lt;Adele.Clark@sitel.com&gt; to produce Quality Report for Shark Ninja;
27/5 - I've sent an e-mail to Adele to arrange a call for next Thursday afternoon or Friday (when you are available) to go together through the requirements. We are going to present you a draft of the report on the meeting;
03/6 - Adele wants only the raw data from BO; I've sent her the raw data and i am waiting for feedback; If she likes the raw data, she'd like to receive the raw data on a weekly basis and  I will scheduled the BO Report;
10/6 - I've sent the report with new form to Aadele; I'm waiting for feedback;
10/6 - Received e-mail from Adele that some fields are not in report; I'm waiting for feedback from Adele to tell me which are these missing fields;
16/6 - received e-mail from Adele with missing fields;
17/6 - I've sent an e-mail to Adele: all missing fields from her e-mail are shown in column/field "Question" in the report; Rob Carr is working on the issue all questions to be shown as separate fields; I'm waiting for feedback from Adele;
24/6 - I've sent an e-mail to Adele that I'm waiting feedback from her;
24/6 -Adele wants to schedule the report on a weekly base;</t>
  </si>
  <si>
    <t>Update of the Virgin Media MI Report</t>
  </si>
  <si>
    <t>23/6 - Request from Gemma to remove abandoned calls under 20 seconds if it it is possible and to see what will the abandoned rate without them;
24/6 - Niki A. has sent an e-mail to Gemma that we will check it;
25/6 - done;</t>
  </si>
  <si>
    <t xml:space="preserve"> New FCR data from RN 
07/05/2021: Awaitng sample from Darren next week
26/05/2021: Still awaiting data sample, Ops have not contacted us to discuss where the data needs to be in the JLTS MI; 28/06/2021 - no further info, closing for now</t>
  </si>
  <si>
    <t>JL Outbound Number Dialed report to check how many times we dial certain numbers;
Draft sent to Kyle after he provided the initial number map 10/05/2021
Report up and running daily</t>
  </si>
  <si>
    <t>Absence Report DL</t>
  </si>
  <si>
    <t>Absence Report DL Change</t>
  </si>
  <si>
    <t>Debbie Johnson</t>
  </si>
  <si>
    <t>PHE &amp; NI reports DL change</t>
  </si>
  <si>
    <t>Backdating Agent Report Update</t>
  </si>
  <si>
    <t>Adding new recipient in DL of the SSE NPS Smart Report</t>
  </si>
  <si>
    <t>28/6 - request fro Stephen Cafful to add Adrian McCarthy into the DL of the SSE NPS Smart Report;
28/6 - Done;</t>
  </si>
  <si>
    <t>Gareth Brophy</t>
  </si>
  <si>
    <t xml:space="preserve">25/6 - Request from Jonathan Collins &lt;jonathan.collins@sseenergyservices.com&gt; to receive the report in .csv format only for the previous day; The reason is that at the moment  tha report include data from April 2021 and the size of the report in .xlsb format increase every day;
25/6 - I've sent him the version of the report with data which is 31 days back from current date, I n xlsb format. Jon prefer csv version;
28/6 - I've sent to Jon csv version of the report for previous day; I'm waiting for feedback;
28/6 - Jon is fine with the repot; Start sending the csv version from 29/6;
</t>
  </si>
  <si>
    <t>Shark Ninja</t>
  </si>
  <si>
    <t>Shark Ninja - Quality Dashboard</t>
  </si>
  <si>
    <t>Syed Anwar &lt;Syed.Anwar@sitel.com</t>
  </si>
  <si>
    <t>Adding recepient in the DL of the Elavon MI Report</t>
  </si>
  <si>
    <t>07/07 Request from Jory Chapman &lt;Jory.Chapman@sitel.com&gt; to add Kris George &lt;kris.george@sitel.com&gt; as a recepient of the Elavon MI Report;
07/07 - Done;</t>
  </si>
  <si>
    <t>Uploading the June MI and Interval Reports on FileZila</t>
  </si>
  <si>
    <t>07/7 - Request from Helen Borham &lt;helen.borham@sseenergyservices.com&gt; to upload the June MI and Interval Reports on FileZila;
08/7 - Done;</t>
  </si>
  <si>
    <t>Compare the discrepancy for the SLA% in Virgin Media MI Report and SLA% in Flash Reports</t>
  </si>
  <si>
    <t>06/7 - Request from Gemma to look at the discrepancy for the SLA% in Virgin Media MI Report and SLA% in Flash Reports
06/7 - I've toldher  that I am going to check and will give her feedback;
08/7 - I've sent an e-mail with the reasons for this discrepancy and I am waiting for feedback from Gemma;
08/7 - Gemma is fine; Done;</t>
  </si>
  <si>
    <t>Updating the DL of the Smart &amp; Heritage MI &amp; Interval Reports</t>
  </si>
  <si>
    <t>12/7 - Request from Lopito Oliva Jr. &lt;Lopito.Oliva@sitel.com&gt; to add new recepients in DL of the Smart &amp; Heritage MI &amp; Interval Reports;
13/7 - Done;</t>
  </si>
  <si>
    <t>DD/ST/EA</t>
  </si>
  <si>
    <t xml:space="preserve">Sunday Opening skills 321 &amp; 322-MI Snowdon Report </t>
  </si>
  <si>
    <t>Stephen Caffull &lt;stephen.caffull@sitel.com&gt; and Lopito Oliva Jr. &lt;Lopito.Oliva@sitel.com&gt;</t>
  </si>
  <si>
    <t>ST, EA</t>
  </si>
  <si>
    <t>20/7  - Request from Stephen Caffull &lt;stephen.caffull@sitel.com&gt; and Lopito Oliva Jr. &lt;Lopito.Oliva@sitel.com&gt; to check if the Sunday data for skills 321 &amp; 322 will appear in the MI Snowdon Report; Silviya &amp; Emo will check on 26th of Jul and If the Sunday data is missing in the MI Snowdon Report, Silviya is going to contact Lipito;
21/7 - Feedback from Lopito - as he will be OOO from 22nd of Jul till 28th of Jul, he gives us another colleagues who we can contact if the Sunday data is missing;</t>
  </si>
  <si>
    <t>Flash Report Alteration, stopping the currnet one and altering the internal to show more details and schedule to be sent to the client; 
28/06/2021: Skill BU alterations made and report altered to reflect, sample running
28/07/2021: Up and running, BO flash reports stoppped</t>
  </si>
  <si>
    <t>Flash Report creation for Waitrose;
28/07/2021: Bus changed, working on it</t>
  </si>
  <si>
    <t>JLTS Flash</t>
  </si>
  <si>
    <t>28/07/2021: JLTS Flash: Switching the Internal one to replace the exteral JLTS flash, sample set and running</t>
  </si>
  <si>
    <t>JLTS MI</t>
  </si>
  <si>
    <t>JLTS MI Dir Briefieng alteration</t>
  </si>
  <si>
    <t>Corin Harper</t>
  </si>
  <si>
    <t>NHS</t>
  </si>
  <si>
    <t>NHS ad-hoc report</t>
  </si>
  <si>
    <t xml:space="preserve">NHS ad-hoc report for 2021 </t>
  </si>
  <si>
    <t xml:space="preserve"> Sarita Banyard</t>
  </si>
  <si>
    <t>Raw Data reports</t>
  </si>
  <si>
    <t>Raw Data reports for Tim's tracker</t>
  </si>
  <si>
    <t>Tim Watts</t>
  </si>
  <si>
    <t>Intersoft automation</t>
  </si>
  <si>
    <t>3 new packages created for the Intersoft scheduled reports</t>
  </si>
  <si>
    <t>Ad-hoc</t>
  </si>
  <si>
    <t>Ad-hoc reports for Gumms and Dan P</t>
  </si>
  <si>
    <t>Adding new recepient in the DL of MI Snowdon Report</t>
  </si>
  <si>
    <t>09/8 -Request from Ma Victoria Visorio &lt;MaVictoria.Visorio@sitel.com&gt; to add Prasenjit.Karmokar@sitel.com in the Dl of Snowdon MI Report;
10/8 -Done;</t>
  </si>
  <si>
    <t>Ma Victoria Visorio &lt;MaVictoria.Visorio@sitel.com&gt;</t>
  </si>
  <si>
    <t>Klarna</t>
  </si>
  <si>
    <t>Lynne Pitchford &lt;Lynne.Pitchford@sitel.com&gt;</t>
  </si>
  <si>
    <t>Renaming skill 1959</t>
  </si>
  <si>
    <t>10/8 - Request from Lopito Oliva Jr. &lt;Lopito.Oliva@sitel.com&gt; relabel skill 1959
11/8 - Done</t>
  </si>
  <si>
    <t>1) Common MI Report - still working on it with Stephen Caffull; this report will include all MI reports for SMART, HERITAGE, SNOWDON &amp; WAVERLEY
2) Common Interval Report - still working on it with Stephen Caffull; this report will include all Interval reports for SMART, HERITAGE, SNOWDON &amp; WAVERLEY
29/4 and 05/5 - I've written to Stephen Caffull &lt;stephen.caffull@sitel.com&gt; with request to organise call meeting and discuss the MI and Interval Reports;
07/5 - Call meeting with Stephen Cafful and Lopito, discussion for the new templates; We will produce the updated versions of the reports;
14/5 - I've sent the updated versions of the reports and received feedback from Boyet; We are making the corrections now.
26/5 - Ivan has sent the new version of the MI Report; 
09/6 - Making some changes in the reports and then we will send the report to Lopito and Stephen for reviewing;
18/6 - I've ssent the updated versions of the MI and Interval Report to Lopito and Stephen and I'm waiting for feedback;
23/6 - I've sent an e-mail to Stephen, Lopito, Sai that I'm waiting feedback from them;
25/6 - I've received feedback from Lopito;
30/6 - I've sent the updated version of the MI and Interval reports for reviewing to Lopito and I'm waiting for feedback;
06/7 - We had a teams meeting with Stepehen and Lopito and they are fine with the reports; Stephen has to present the new MI and Interval Reports to SSE and then will give me feedback;
15/7 - I've sent an e-mail to Stephen with request to give me feedback;
21/7 -  I've sent an e-mail to Stephen with request to give me feedback; I contacted Stephen and he told me that he has presented the reports to SSE and he is waiting for feedback;
09/8 - E-mail from Stephen to start sending the new MI and Interval Reports from 16th of Aug; Waiting for DL from Stpehen;
16/8 - Start sending the new MI &amp; Interval Combined Reports via e-mail and via File Zila; Stop sending via e-mail and File Zila the old MI &amp; Interval Reports; Request from Lopito to add tab Daily Call in the new MI report - done;</t>
  </si>
  <si>
    <t>Addidng new recepient in the DL of Elavon</t>
  </si>
  <si>
    <t>16/8 - Request from Jory Chapman &lt;Jory.Chapman@sitel.com&gt; to add Tarrin Reynolds &lt;Tarrin.Reynolds@sitel.com&gt; in the DL of Elavon</t>
  </si>
  <si>
    <t xml:space="preserve"> Jory Chapman &lt;Jory.Chapman@sitel.com&gt;</t>
  </si>
  <si>
    <t>New common MI Report &amp; New common Interval Report</t>
  </si>
  <si>
    <t>Adding new metric in SSE MI Combined Report</t>
  </si>
  <si>
    <t>18/8 - Request from Lopito Oliva Jr. &lt;Lopito.Oliva@sitel.com&gt; to add the metric "Call Presented v Forecast" in the SSE MI Combined Report;
18/8 - done;</t>
  </si>
  <si>
    <t>Adding new recepients in the DL of the SSE MI &amp; Interval Combine Reports</t>
  </si>
  <si>
    <t>18/8 - Request from Helen Borham &lt;helen.borham@sseenergyservices.com&gt; to add new recepients in the DL of the SSE MI &amp; Interval Combined Reports
19/8 -Done</t>
  </si>
  <si>
    <t>Nancy Dingcong</t>
  </si>
  <si>
    <t>Adding new recepients in the DL of the SSE MI &amp; Interval Combine Reports_from Cafful</t>
  </si>
  <si>
    <t>Adding new recepients in the DL of the SSE MI &amp; Interval Combine Reports_from Dingcong</t>
  </si>
  <si>
    <t>24/08 - Requested from Nancy Dingcong to add Marnie Norton &lt;marnie.norton@sseenergyservices.com to the distribution list for the MI reports;
24/08 - Done;</t>
  </si>
  <si>
    <t>Adding new skill 512 in BO &amp; SQL Reports</t>
  </si>
  <si>
    <t>19/8 - Requested from Lopito Oliva Jr. &lt;Lopito.Oliva@sitel.com&gt; to add skill 512 in all SSE Reports;
24/8 - Done;</t>
  </si>
  <si>
    <t>DD/ST/MS</t>
  </si>
  <si>
    <t>Automation of the SSE Client Report - Client(FileZila)</t>
  </si>
  <si>
    <t>20/8 - Automation of the report; Scheduled the publication from BO on a daily base;
23/8 - Done;</t>
  </si>
  <si>
    <t>DD/ST</t>
  </si>
  <si>
    <t>24/08 - Requested from Stephen Caffull &lt;stephen.caffull@sitel.com&gt; to add Frances Waddingham &lt;Frances.Waddingham@sitel.com&gt;; Jonathan Mcnelis &lt;Jonathan.Mcnelis@sitel.com&gt;; Johnathan Thompson &lt;Johnathan.Thompson@sitel.com&gt;; Leon Dorricott &lt;Leon.Dorricott@sitel.com&gt;; Callum Rigby &lt;Callum.Rigby@sitel.com&gt;; Kim Stothard &lt;kim.stothard@sitel.com&gt;; Dylan Wotherspoon &lt;Dylan.Wotherspoon@sitel.com&gt; to the distribution list for the MI reports;
24/08 - Done;</t>
  </si>
  <si>
    <t>Philips CL MTD</t>
  </si>
  <si>
    <t>Philips CL MTD Report Modification</t>
  </si>
  <si>
    <t>Syed Anwar &lt;Syed.Anwar@sitel.com; Adele Clark &lt;Adele.Clark@sitel.com&gt;</t>
  </si>
  <si>
    <t>LOB WHDI to be resumed in the Mi &amp; Interval Combined Report</t>
  </si>
  <si>
    <t>31/8 - Request from Wilson Jr Zaragosa &lt;wilsonjr.zaragosa@sitel.com&gt; to resume LOB WHD and include it in the SSE MI &amp; Interval Combined Report; michael.marley@sseenergyservices.com to be added in the DL of these reports;
31/8 - Received feedback from Wilson Jr Zaragosa &lt;wilsonjr.zaragosa@sitel.com&gt;  which skills have to be included in the reports;
31/8 - Sai gave me the Queue name of LOB WHD;
31/8 -LOB WHD is already added in the reports;</t>
  </si>
  <si>
    <t>Wilson Jr Zaragosa &lt;wilsonjr.zaragosa@sitel.com&gt;</t>
  </si>
  <si>
    <t>31/08 - Request from Ma Victoria Visorio &lt;MaVictoria.Visorio@sitel.com&gt; to add Jace.Rivera@sitel.com in the DL of the MI &amp; Interval Combined Reports; 
31/8 - Done; Waiting for feedback if I have to add Jace.Rivera@sitel.com in other reports for SSE;
08/9 - close the ticket; no feedback receive; Jace.Rivera@sitel.com is added only in the DL of the MI &amp; 08/9 - I closed the ticket; no feedback received; Jace.Rivera@sitel.com has been added only in the DL of the MI &amp; Interval Combined Reports;</t>
  </si>
  <si>
    <t>16/09 - request from Leon Dorricott  to add Emma Ibbotson to the distribution list</t>
  </si>
  <si>
    <t>Leon Dorricott</t>
  </si>
  <si>
    <t>Adding new recepients in the DL of the SSE Backdating Agent Report</t>
  </si>
  <si>
    <t>21/9 - Request from Lopito Oliva Jr. &lt;Lopito.Oliva@sitel.com&gt; to add Lorraine Ramage &lt;lorraine.ramage@sseenergyservices.com&gt; and Anthony Thomson &lt;anthony.thomson@sseenergyservices.com&gt; in the DL of the SSE Backdating Agent Report; 
21/9 - Done;</t>
  </si>
  <si>
    <t>Michael Marley &lt;michael.marley@sseenergyservices.com&gt;</t>
  </si>
  <si>
    <t>Removing chris.o'sullivan@sseenergyservices.com from the DL of the SSE MI Combined &amp; Interval Combined Reports</t>
  </si>
  <si>
    <t>21/9 - Request from Sai Kumar Singaraju &lt;SingarajuChiranjeevi.SaiKumar@sitel.com&gt; to add Richard Harris &lt;Richard.Harris@sitel.com&gt; in the reports;
22/9 - Done;</t>
  </si>
  <si>
    <t>Sai Kumar Singaraju &lt;SingarajuChiranjeevi.SaiKumar@sitel.com&gt;</t>
  </si>
  <si>
    <t>Adding Richard Harris &lt;Richard.Harris@sitel.com&gt; in the DL of the SSE MI Combined &amp; Interval Combined Reports</t>
  </si>
  <si>
    <t xml:space="preserve">21/9 - Request from Michael Marley &lt;michael.marley@sseenergyservices.com&gt; to remove Christopher O'Sullivan &lt;chris.o'sullivan@sseenergyservices.com&gt; from reports;
22/9 - I've checked and don't find this e-mail address in the DL; I've written an e-mail to Michael that I can't find chris.o'sullivan@sseenergyservices.com in the DL; I advice him to check if chris.o'sullivan@sseenergyservices.com is part of some e-mail group in the DL; </t>
  </si>
  <si>
    <t>Migration of the reports to SQL server:
1) MI reports for SMART, HERITAGE, SNOWDON &amp; WAVERLEY - done
2) CSAT Smart Report - done
3) CSAT Waverley Report - done
4) Backdating reports:
    4.1. Backdating Skill Report - done
    4.2. Backdating Agent Report - done
    4.3. Backdating report for Sai - done
    4.4. Backdating Transferred Calls - done
01/9 - Have to check if everything is working correctly via SQL in Backdating Transferred Report;
10/9 - Done;</t>
  </si>
  <si>
    <t>Adding Abbie.Cheyne@sitel.com and Benjamin.Afari@sitel.com in the DL of the MI Report</t>
  </si>
  <si>
    <t>Kris George &lt;kris.george@sitel.com&gt;</t>
  </si>
  <si>
    <t>28/9 Request from Kris George &lt;kris.george@sitel.com&gt; to add Abbie.Cheyne@sitel.com and Benjamin.Afari@sitel.com in the DL of the MI Report;
29/9 - Done;</t>
  </si>
  <si>
    <t>Adding Declan Fitzsimmons &lt;declan.fitzsimmons@sseenergyservices.com&gt; in the DL of the Backdating Agent Report</t>
  </si>
  <si>
    <t>Anthony Thomson &lt;anthony.thomson@sseenergyservices.com&gt;</t>
  </si>
  <si>
    <t>29/9- Request from Anthony Thomson &lt;anthony.thomson@sseenergyservices.com&gt; to add Declan Fitzsimmons &lt;declan.fitzsimmons@sseenergyservices.com&gt; in the DL of the Backdating Agent Report;
30/9 - Done;</t>
  </si>
  <si>
    <t>Lynne Pitchford &lt;Lynne.Pitchford@sitel.com&gt;;Deborah Spiers &lt;Deborah.Spiers@sitel.com&gt;;Simon Saunders &lt;Simon.Saunders@sitel.com&gt;</t>
  </si>
  <si>
    <t>Removing Waverley surveys from SSE Smart CSAT Report</t>
  </si>
  <si>
    <t>05/10 - request from Maricille Berdino &lt;Maricille.Berdino@sitel.com&gt; to remov Waverley surveys from the SSE Smart CSAT Report;
06/10 - Done;</t>
  </si>
  <si>
    <t>Maricille Berdino &lt;Maricille.Berdino@sitel.com&gt;</t>
  </si>
  <si>
    <t>Request for sending the Elavon volume of call for period 06/09 - 05/10/2021</t>
  </si>
  <si>
    <t>06/10 -Request from Kris George &lt;kris.george@sitel.com&gt; to send the volume of call that have come for period 06/09 - 05/10/2021, only for all SAN Lines; I've sent him the reports for Sep 21 and Oct 21 and told him that the reports include all skills for Elavon but I don’t know what he means by SAN Lines;  Told him if  he needs anything in additoin he can contact me;
06/10 - Done;</t>
  </si>
  <si>
    <t>Request for adding skill 1542 in the MI Elavon Report</t>
  </si>
  <si>
    <t>Request for adding skill 1539 in the MI Elavon Report</t>
  </si>
  <si>
    <t>11/10 - Request from Kris George &lt;Kris.George@sitel.com&gt; to add skill 1539 in the MI Elavon Report;
11/10 - Done;</t>
  </si>
  <si>
    <t>Sally Moland &lt;Sally.Moland@sitel.com&gt;</t>
  </si>
  <si>
    <t>20/10 - Request from Sally Moland &lt;Sally.Moland@sitel.com&gt; to add her in the DL of the Report; 
20/10 - Done;</t>
  </si>
  <si>
    <t>Adding new recepient in the DL of the report</t>
  </si>
  <si>
    <t>Paul.Faulkner@sitel.com</t>
  </si>
  <si>
    <t>&lt;Paul.Faulkner@sitel.com&gt;</t>
  </si>
  <si>
    <t>Medtronic</t>
  </si>
  <si>
    <t>Analyze the tables and views on the Plymouth server to see how they can be used for the report</t>
  </si>
  <si>
    <t>Medtronic MI</t>
  </si>
  <si>
    <t>Paulo.Barbosa@sitel.com</t>
  </si>
  <si>
    <t>Maaike.Doyle@dhsc.gov.uk</t>
  </si>
  <si>
    <t>MI Report</t>
  </si>
  <si>
    <t>Ashley.Kittle@dhsc.gov.uk</t>
  </si>
  <si>
    <t>Changes in the tab Daily Call of the SSE MI Combined Report</t>
  </si>
  <si>
    <t>25/10 - Request from Lopito Oliva Jr. &lt;Lopito.Oliva@sitel.com&gt; to make some changes in the view of the tab "Daily Call";
25/10 - Done;</t>
  </si>
  <si>
    <t>Adding Emma.Ibbotson@sitel.com in the DL of the Hunter Mi &amp; Hunter Agent Snapshot Reports</t>
  </si>
  <si>
    <t>25/10 - Request from Sudhamshu Kantharaj &lt;Sudhamshu.Kantharaj@sitel.com&gt; to add Emma.Ibbotson@sitel.com in the DL of the Hunter Mi &amp; Hunter Agent Snapshot Reports;
25/10 - Done;</t>
  </si>
  <si>
    <t>Removing resource.mi@sseenergyservices.com + jonathan.collins@sseenergyservices.com from the DL of the SSE Backdating Transferred Calls Report</t>
  </si>
  <si>
    <t>28/10 - Request from Penny Kerr &lt;penny.kerr@sseenergyservices.com&gt; to remove resource.mi@sseenergyservices.com + jonathan.collins@sseenergyservices.com from the DL of the SSE Backdating Transferred Calls Report;
28/10 - Done;</t>
  </si>
  <si>
    <t>Adding Peter Littlejohn in the DL of the SSE Backdating Agent Report</t>
  </si>
  <si>
    <t>01/11 - Request from neil.barr &lt;neil.barr@sseenergyservices.com&gt; to addPeter Littlejohn &lt;peter.littlejohn@sseenergyservices.com&gt; in the DL of the SSE Backdating Agent Report;
01/11 - Done;</t>
  </si>
  <si>
    <t xml:space="preserve"> neil.barr &lt;neil.barr@sseenergyservices.com&gt;</t>
  </si>
  <si>
    <t>TNT Service Hub Report Tab 3 and 5 done</t>
  </si>
  <si>
    <t xml:space="preserve"> MI Report created and distributed</t>
  </si>
  <si>
    <t>Made minor improvements requested by the client, like additional fields and calculations</t>
  </si>
  <si>
    <t>TNT</t>
  </si>
  <si>
    <t>Create the TNT Service Hub Report</t>
  </si>
  <si>
    <t>Improve the TNT Service Hub Report</t>
  </si>
  <si>
    <t>Switch the TNT Reporting to Plymouth's SQL server</t>
  </si>
  <si>
    <t>SSE Productivity Report</t>
  </si>
  <si>
    <t>Martin Ferguson &lt;Martin.Ferguson@sitel.com&gt;</t>
  </si>
  <si>
    <t>VA</t>
  </si>
  <si>
    <t>iCoach Data Load</t>
  </si>
  <si>
    <t>iCoach Data Load setup for Exeter - CSAT - alterations in progress, load to follow</t>
  </si>
  <si>
    <t>iCoach Data Load setup for Exeter - QA - ticket for automation raised</t>
  </si>
  <si>
    <t>PSA Absence report</t>
  </si>
  <si>
    <t>Setup BO PSA Absence report</t>
  </si>
  <si>
    <t>Dan Piper</t>
  </si>
  <si>
    <t>PSA Volume Report</t>
  </si>
  <si>
    <t>PSA Daily Volume report creation to match the weekly client's report</t>
  </si>
  <si>
    <t>VA/MS</t>
  </si>
  <si>
    <t>PSA CSAT Automation</t>
  </si>
  <si>
    <t>MS/VA</t>
  </si>
  <si>
    <t>Rewoeking the back end setup to accommodate the automated CSAT data received via e-mail;
SSIS packages up and running;
Reworking views - done
05/11/2021 Finilizing the last part - iCoach uploads</t>
  </si>
  <si>
    <t>PSA SSIS maintenance</t>
  </si>
  <si>
    <t>PSA SSIS packages maintenance and cleansing
20/10/2021 Rework done</t>
  </si>
  <si>
    <t>PSA Invoice - May</t>
  </si>
  <si>
    <t>PSA templates for the invoice for May (Avaya + Genesys) - completed</t>
  </si>
  <si>
    <t>PSA BM</t>
  </si>
  <si>
    <t>PSA Call Connector Report</t>
  </si>
  <si>
    <t>PSA Call Connector report creation to match the client's report, but running daily; 
20/10/2021: SSIS ready, data warehoused, view done
25/10/2021: Report up and running</t>
  </si>
  <si>
    <t>PSA PPC analysis</t>
  </si>
  <si>
    <t>PPC analysis on tasks per case for Brazil and France</t>
  </si>
  <si>
    <t>PSA Genesys data in BO</t>
  </si>
  <si>
    <t>PSA Categories report</t>
  </si>
  <si>
    <t>PSA Catergories report by Agent;
Demo in PBI done, will contact requestor for discussion</t>
  </si>
  <si>
    <t>PSA Centrical</t>
  </si>
  <si>
    <t>8/10 - Request from Kris George &lt;Kris.George@sitel.com&gt; to add skill 1542 in the MI Elavon Report; Told Kris that he or somebody who is responsible for mapping the Elavon skills in the COR has to map skill 1542 and VDN 4490126 in COR; 
20/10 - The skill and VDN aren't mapped yet. I've told Kris what he has to do. Waiting feedback from Kris.
27/10 - I've put the task on status "Pending" till I receive feedback; 
11/11 - Status "Cancelled"</t>
  </si>
  <si>
    <t>27/7 -  request for new GMR for Klarna from Lynne Pitchford;
09/8 - I've sent an e-mail to Lynne Pitchford with Klarna GMR template and with questions for some of the metrics. I am waiting for feedback;
17/8 - Wrote to Lynee that I'm waiting for feedback from her regarding new GMR;
23/8 - I wrote to Lynee for feedback; No feedback received;
26/8 - If I don't receive any feedback today I will put the task on status: Pending/On hold;
28/9 - I've received an e-mail from Lynne with updated version of the GMR file - v2; I've sent Lynne an e-mail with v3 of the GMR file, with my comments and questions regarding the GMR. I'm waiting for Lynne's feedback;
04/10 - I received feedback from Lynne with her comments but there are some other issues to be clarified before I start updating the Klarna GMR. We have to discuss the staffing file for the Klarna GMR report, the file with other needed data for the Klarna GMR, discuss Lynne's comments and so on. I've suggested her to organise a call meeting tbut she is OOO till  12th of Oct. I've sent an e-mail to Deborah Spiers &lt;Deborah.Spiers@sitel.com&gt; and Simon Saunders &lt;Simon.Saunders@sitel.com&gt; who are Lynne's replacements for Klarna during her absence but still I don't have any feedback from them. Waiting for Lynne's or Simon's/Deborah's feedback;
27/10 - I've sent an e-mail to Lynne with request for feedback;
03/11 - I've put the task on status "Pending" till I receive feedback; 
11/11 - Status "Cancelled"</t>
  </si>
  <si>
    <t>SSE Icoach Upload</t>
  </si>
  <si>
    <t>Gurmeet Dhillon;Daniel Piper</t>
  </si>
  <si>
    <t>Removing one survey from SSE NPS Reports for SMART</t>
  </si>
  <si>
    <t>17/11 - Request to remove one survey from SSE NPS Reports for SMART;
18/11 - Done;</t>
  </si>
  <si>
    <t>Maricille S. Bendiro</t>
  </si>
  <si>
    <t>Johnathan Thompson &lt;Johnathan.Thompson@sitel.com&gt;</t>
  </si>
  <si>
    <t>Adding new people in the DL and deleting Adele from the DL of the reports</t>
  </si>
  <si>
    <t xml:space="preserve">22/11 - request from Deborah Harrop to add  Deborah Harrop &lt;deborah.harrop@sitel.com&gt;; Louise Rowe &lt;louise.rowe@sitel.com&gt;; Phillip More &lt;Phillip.More@sitel.com&gt;; Syed.Anwar@sitel.com in the DL of the Shark Ninja NICE Quality Report/Shark Ninja NICE Quality Report BO; Deleting Adele from the DL of the Shark Ninja NICE Quality Report/Shark Ninja NICE Quality Report BO;
25/11 - Done; </t>
  </si>
  <si>
    <t>Deborah Harrop</t>
  </si>
  <si>
    <t>26/11 - Request to remove one survey from SSE NPS Reports for SMART;
29/11 - Done;</t>
  </si>
  <si>
    <t>Adding Kuppili.Sandeep@sitel.com in the DL of the MI &amp; Interval reports</t>
  </si>
  <si>
    <t>26/11 - request from Sai Kumar Singaraju &lt;SingarajuChiranjeevi.SaiKumar@sitel.com&gt; to add Kuppili.Sandeep@sitel.com in the DL of the MI &amp; Interval Combined Reports;
29/11 - Done;</t>
  </si>
  <si>
    <t>Adding Faraz Arshad &lt;Faraz.Arshad@hunterboots.com&gt; in the DL of the MI Reports</t>
  </si>
  <si>
    <t>Daniel Gardner &lt;Daniel.Gardner@hunterboots.com&gt;</t>
  </si>
  <si>
    <t>29/11 - Request from Daniel Gardner &lt;Daniel.Gardner@hunterboots.com&gt; to add Faraz Arshad &lt;Faraz.Arshad@hunterboots.com&gt; in the DL of the MI Reports;
30/11 -Done;</t>
  </si>
  <si>
    <t>Renaming skill 1695</t>
  </si>
  <si>
    <t>29/11 - Rquest from Lopito Oliva Jr. &lt;Lopito.Oliva@sitel.com&gt; the skill 1695 to be renamed in the SSE reports;
29/11 - Done;</t>
  </si>
  <si>
    <t>Home Office-UK</t>
  </si>
  <si>
    <t>UKVI - HMPO Dashboard Agent Report</t>
  </si>
  <si>
    <t>Adding new colleague in the DL of the SSE Reports</t>
  </si>
  <si>
    <t>Adding maricille.bendiro@sitel.com in the DL of the SSE MI &amp; Interval Combined Reports</t>
  </si>
  <si>
    <t xml:space="preserve">30/11 - Request from Lopito Oliva Jr. &lt;Lopito.Oliva@sitel.com&gt; to include RoyRondy.Lemi@sitel.com in the DL of the SSE Reports;
01/12 - add him in the DL of the following SSE Reports:
1. SSE MI &amp; Interval Reports
2. SSE Backdating Skill Report
3. SSE Backdating Agent Report/SSE Backdating Agent Report  Raw Data
4. SSE Backdating Transferred Report
5. SSE Smart CSAT NPS
6.  SSE Waverly CSAT NPS
</t>
  </si>
  <si>
    <t xml:space="preserve">30/11 - Request from Maricelle to include maricille.bendiro@sitel.com in the DL of the SSE Reports;
01/12 - add maricille.bendiro@sitel.com in the DL of the following SSE Reports:
1. SSE MI &amp; Interval Reports
2. SSE Backdating Skill Report
3. SSE Backdating Agent Report/SSE Backdating Agent Report  Raw Data
4. SSE Backdating Transferred Report
5. SSE Smart CSAT NPS
6.  SSE Waverly CSAT NPS
</t>
  </si>
  <si>
    <t>Adding skills 2375 nad 2376 in the SSE Reports</t>
  </si>
  <si>
    <t>Discrepancies_SSE MI &amp; Interval Reports</t>
  </si>
  <si>
    <t>01/12 - I saw discrepancies between SSE MI &amp; Interval Reports; Communication with Lopito regarding these discrepancies; Searching of the reasons for them;
01/12 - The reason was in  the skills mapping and Lopito corrected the skils mapping. Re-running the reports again;</t>
  </si>
  <si>
    <t>02/12 - Waiting Lopito Oliva Jr. &lt;Lopito.Oliva@sitel.com&gt; to give me feedback if necessary to add these skills; Lopito tell me that there aren't any calls regarding these skills;
03/12 - Feedback from Caffull that client doen't need these skills; I ased Caffull to let me know when cliet wants these skills to be added;</t>
  </si>
  <si>
    <t>SP</t>
  </si>
  <si>
    <t>VDN abandon rate</t>
  </si>
  <si>
    <t>Mark requested a VDN report, showing volumes and abandon rate</t>
  </si>
  <si>
    <t xml:space="preserve">Mark Stockwell-Weeks </t>
  </si>
  <si>
    <t>OOH calls 03.12</t>
  </si>
  <si>
    <t>OOH calls details</t>
  </si>
  <si>
    <t>SP/MS</t>
  </si>
  <si>
    <t>Flybe</t>
  </si>
  <si>
    <t>Emma Baker</t>
  </si>
  <si>
    <t>PSA BM tempalte for Apr-May-June to be filled in;
Awaiting infor for SoMe for UK and FR for Apr/May;
Awaiting July invoice to be finilized, Brazil ready;
UK ready, awaiting France, Claudio chasing CF for the data</t>
  </si>
  <si>
    <t>Ops</t>
  </si>
  <si>
    <t>PBI Absence Report</t>
  </si>
  <si>
    <t>Martin Ferguson</t>
  </si>
  <si>
    <t xml:space="preserve">10/11- Request for creating SSE Icoach Upload Report;
11/11 - Meeting with Daniel Piper and other involved colleagues to discuss and clarify the requirements;
12/11 - Waiting for Daniel Piper to send me the field name definition for LOB and METRICNAME as they are set in the iCoach for:
 SITE274
 SITE409
 SITE694
23/11 - Daniel sent me the needed LOB and Metric names; I've produced te reports and sent the reports to Arvida for verification; There are unmapped agents for site694; I've sent the unmapped agent to the Ops Mng - Johnathan Thompson &lt;Johnathan.Thompson@sitel.com&gt; and waiting feedback from him;
29/11 - I've sent the updated report for SITE694 to Arvida again;
01/12 - I've raised a ticket to schedule 3 SSE Reports for auto upload to iCoach; I'm waiting for ticket to be closed;
03/12 - I've sent the reports in the Marlon Tapucar Bi Inbox;
06/12 - Done;
 </t>
  </si>
  <si>
    <t>Louise Rowe &lt;louise.rowe@sitel.com&gt;</t>
  </si>
  <si>
    <t>Data for quality excluding compliance has to be added in the existing report as a separate tab</t>
  </si>
  <si>
    <t>Adding and removing receivers in/from the DL of the reports</t>
  </si>
  <si>
    <t>Daniel Gardner; Gurmeet Dhillon;</t>
  </si>
  <si>
    <t>07/12 - Request from Daiel Gardner and Gurmeet Dhillon to add new receivers in the DL of the report and to remove other ones;
07/12 - Done;</t>
  </si>
  <si>
    <t>DD, Loiuse, Deborah</t>
  </si>
  <si>
    <t xml:space="preserve"> Milena Gurova
Krzysztof Soboń &lt;Krzysztof.Sobon@sitel.com&gt;
Miroslav Ketenliev &lt;miroslav.ketenliev@sitel.com&gt;/</t>
  </si>
  <si>
    <t>Milena Gurova /Miroslav Ketenliev &lt;miroslav.ketenliev@sitel.com&gt;</t>
  </si>
  <si>
    <t>Jenny Poon &lt;Jenny.Poon@sitel.com&gt;, DD, Martin Ferguson &lt;Martin.Ferguson@sitel.com&gt;</t>
  </si>
  <si>
    <t>Added an interactive weekly chart that shows abandoned calls and other metrics to the report. Setup automated data source for the employee level data.</t>
  </si>
  <si>
    <t>Added a new team for Spanish and English calls to the report</t>
  </si>
  <si>
    <t>Service Hub Venues Report</t>
  </si>
  <si>
    <t>OOH calls 13.12</t>
  </si>
  <si>
    <t>OOH calls 14.12</t>
  </si>
  <si>
    <t>Exeter, Stratford</t>
  </si>
  <si>
    <t>ICOACH KPIs Manual Upload</t>
  </si>
  <si>
    <t>RN VBM KPIs for Exter and Startfort</t>
  </si>
  <si>
    <t>Regular action</t>
  </si>
  <si>
    <t>Andrea Tokmak &lt;Andrea.Tokmak@sitel.com&gt;</t>
  </si>
  <si>
    <t>John Lewis, Waitrose</t>
  </si>
  <si>
    <t xml:space="preserve">Absence reporting </t>
  </si>
  <si>
    <t>absence by month for the last 12 months including December to date for JLTS, JLCS and Waitrose</t>
  </si>
  <si>
    <t>MS,SP</t>
  </si>
  <si>
    <t>EMT Open Case Update</t>
  </si>
  <si>
    <t>Jessica Cole &lt;Jessica.cole@sitel.com&gt;, Leanne King &lt;Leanne.King@sitel.com&gt;</t>
  </si>
  <si>
    <t>close the open cases for Sarah Boston and Fiona</t>
  </si>
  <si>
    <t>DD,Stephen Caffull &lt;stephen.caffull@sitel.com&gt;</t>
  </si>
  <si>
    <t>Removing William.Black-Carr from the DL &amp; adding Hardev Bhakar in the DL of the report</t>
  </si>
  <si>
    <t>20/12 - Request from Sally Moland &lt;Sally.Moland@sitel.com&gt; to remove William.Black-Carr@sitel.com from the DL of the report and to add Hardev Bhakar in the DL of the report;
20/12 - Done;</t>
  </si>
  <si>
    <t>06/12 - Discussion with Louise Rowe and Deborah Harrop. Deborah told me that they need to see the exising scheduled BO Report (BO Report includes data for the quality excluding compliance) for Shark Ninja as a separate tab in the current report; 
09/12 - I am working on this;
10/12 - I've sent draft version of the report to Louise Rowe &lt;louise.rowe@sitel.com&gt; and Deborah Harrop &lt;deborah.harrop@sitel.com&gt; and I'm waiting feedback from them;
17/12 - l've sent draft version of the report last week - with added additional tab with BO reportt and asked them if they'd like to see the data as a pivot table; I've received feebdack from Loiuse and Deborah to show the data in pivot table and add chart, and yesterday I've sent the draft version of the report and they are fine with it. From comming Monday I am going to send the report with the added new tab;
21/12 - Start sending the report twice a week from next Monday;</t>
  </si>
  <si>
    <t>Renaming skill 1695 &amp; added new LOB in all SSE Reports</t>
  </si>
  <si>
    <t>DD, Sai Kumar Singaraju &lt;SingarajuChiranjeevi.SaiKumar@sitel.com&gt;, Sandeep Kuppili &lt;Kuppili.Sandeep@sitel.com&gt;</t>
  </si>
  <si>
    <t>ST</t>
  </si>
  <si>
    <t>new OOH interval tab requested</t>
  </si>
  <si>
    <t>closed</t>
  </si>
  <si>
    <t>JL OB Number Dialed</t>
  </si>
  <si>
    <t>Mailbox John Lewis Dandi &lt;johnlewisdandi@sitel.com&gt;</t>
  </si>
  <si>
    <t xml:space="preserve">An additional sheet to be added, containing 3 pivot tables for manifacturer, servicer and sitel contact number of calls respectively </t>
  </si>
  <si>
    <t>DD,Sai Kumar Singaraju &lt;SingarajuChiranjeevi.SaiKumar@sitel.com&gt;; Saraswati Iyer &lt;Saraswati.Iyer@sitel.com&gt;; Tomasz Oleksy &lt;tomasz.oleksy@sitel.com&gt;; COR Monitoring &lt;mailbox.cor@sitel.com&gt;; Frederick Bulaoro &lt;Frederick.Bulaoro@sitel.com&gt;; Bashir Hazarika &lt;Bashir.Hazarika@sitel.com&gt;; Claire Eltringham &lt;claire.eltringham@sitel.com&gt;; IT Service Management Center &lt;itsmc@sitel.com&gt;; IT - IEX &lt;it.iex@sitel.com&gt;; Arabella Ann Domingo &lt;ArabellaAnn.Domingo@sitel.com&gt;; Richard Harris &lt;Richard.Harris@sitel.com&gt;</t>
  </si>
  <si>
    <t>Discrepancies in loaded in IEX forecasts and BO Forecasts</t>
  </si>
  <si>
    <t>Adding skill 2377 &amp; new LOB in all SSE Reports in the SSE Reports</t>
  </si>
  <si>
    <t>MS/SP</t>
  </si>
  <si>
    <t>add additional field for campaign with T1, T2 or Serve as options</t>
  </si>
  <si>
    <t>Arlene McCann &lt;arlene.mccann@sitel.com&gt;</t>
  </si>
  <si>
    <t>TNT Service Hub Reports</t>
  </si>
  <si>
    <t>Improve Visuals and add charts &amp; more columns</t>
  </si>
  <si>
    <t>29/11 - Request from Martin Ferguson &lt;Martin.Ferguson@sitel.com&gt; to produce report for client Home Office-UK [975TOT1], skill 599, switch - 85 with the desired metrics;
29/11 - Skill is mapped in the Data Management &amp; Mapping tool;
30/11 - Due to BO raw data issue: Service Request # 7175994, I couldn't ceck if there is data for the skill 599; I'm waitting forticket to be resolved;
30/11 - Start sending the report; 
02/12 - I am waiting for Simon Saunders feeddback -  if I have to send the report directly to the client or have to send the report to him and other Sitel's colleagues only;Waiting for feedback if I hae to send the report directly to the client or will send the report to the DL with my colleagues;
03/12 - Request for adding new metrics in the report; 
08/12 - Already have access to the HMPO Data; I've sent draft version of the report and I'm waiting for feedback; 
09/12 - Discussions with Jenny, new draft version of the report was sent to Jenny and Martin; On the meeting today we are going to discuss the report;
17/12 - meetings with Jenny during this week to clarify and discuss together the requirements and calculations; sent draft versions of the reports; Jenny  has approved the version from yesterday, I have to add the desired conditional formatting; I've added the conditional formatting
21/12 - Still waiting feedback from client to advice if the new tab should be included in the report going forward;
23/12 - Still waiting feedback from client;
29/12 - I've sent an e-mail to Jenny and asked her if she had any feedback from client; I'm waiting for Jenny's feedback;
04/1 - Jenny has sent an e-mail to the client; No feedback received;
10/1 - Started sending the report with added desired new tab; Done;</t>
  </si>
  <si>
    <t xml:space="preserve">10/12 - Stephen sent me an e-mail that new skill should be added in the SSE Report soon;
10/12 - Skill is already mapped;
17/12 - I am waiting for feedback from Stepehen when the skill will start;
20/12 - Nancy assumesthat the skill will start from 10th of Jan 2022, but still waiting for the client feedback;
07/1 -  I've sent an e-mail to Nancy and waiting for feedback; Nancy told me that the skill will go live from 10th of Jan 2022; Asked Sai If the skill will have forecasts, but he is waiting for Stephen Caffull's feedback;
I am going to chack if there is data for new skill on 11th of Jan 2022;
</t>
  </si>
  <si>
    <t>21/12 - Request from Lopito Oliva Jr. &lt;Lopito.Oliva@sitel.com&gt; to rename the skill 1695 and tag it under new LOB "OVO Inbound"; Waiting for Sai's feedback to tell me if the new LOB will have FCS and to send me the Queue name of the new LOB;
23/12 - Still waiting for Sai's feedback;
29/12 - Sandeep Kuppili &lt;Kuppili.Sandeep@sitel.com&gt; will take over Sai's responsibility; I've forwarded the e-mail to Sandeepand I'm waiting for feedback;
07/1 - I've sent an e-mail to Sai and waiting for feedback; Sai is waiting for Stephen Caffull's feedback;
10/1 - the skill and LOB are already added; At the moment there isn't forecast for this LOB; I've sent an e-mail to Stephen Caffull &lt;stephen.caffull@sitel.com&gt;; Sandeep Kuppili &lt;Kuppili.Sandeep@sitel.com&gt; that I've just closed this task and to send me feedback if in the future there is forecast for this skill; Done;</t>
  </si>
  <si>
    <t>Updating the DL of UKVI - HMPO Dashboard Agent Report</t>
  </si>
  <si>
    <t>11/1 - Request from Jenny Poon &lt;Jenny.Poon@sitel.com&gt; to update the DL of the report;
12/11 - Done;</t>
  </si>
  <si>
    <t>Jenny Poon &lt;Jenny.Poon@sitel.com&gt;</t>
  </si>
  <si>
    <t>16/12 - I've raised a ticket to check why numbers in IEX and BO from 14th of Decs 2021, LOB Snowdon aren’t matching; Communication with the colleagues in the field "Action stepe with";
30/12 - Added manually the forecasts in the interval and MI Reports;
03/1 - I've exported already corrected forecasts from BO and uploaded them them in SQL;
03/1 - Forecasts for WC 03rd of Jan 2022, LOB Snowdon are not correct again; Updated them manually;
07/1 - According to Sai and Saraswati Iyer the forecasts for LOB Snowdon will be correct for comming week; I am going to check the forecast next week;</t>
  </si>
  <si>
    <t>Warehouse Genesys data for PSA in BO;
Data warehousing setup done;
Mapping for agents and Queues (Skills) needs to be completed by Ops;
06/12/2021: Awaiting France and Portugal to complete Queue mapping;
14/01/2022: Working with Shukry to setup the ETL so it can match what we get from Genesys</t>
  </si>
  <si>
    <t>CRT/COR</t>
  </si>
  <si>
    <t>Martin F</t>
  </si>
  <si>
    <t>Bi-Annual Guarantee Data</t>
  </si>
  <si>
    <t>Provide JL TCD data for 01.07-31.21</t>
  </si>
  <si>
    <t>Extere</t>
  </si>
  <si>
    <t>JL</t>
  </si>
  <si>
    <t>Kyle.McCormick@sitel.com</t>
  </si>
  <si>
    <t>Updating the DL of the MI&amp; Interval Combined Reports</t>
  </si>
  <si>
    <t>Richard Harris &lt;Richard.Harris@sitel.com&gt;</t>
  </si>
  <si>
    <t>14/1 - Request from Richard Harris &lt;Richard.Harris@sitel.com&gt; to add Julie Bullock &lt;julie.bullock@sitel.com&gt;; Andrea Iellamo &lt;Andrea.Iellamo@sitel.com&gt; in the DL of the report;
14/11 - Done;</t>
  </si>
  <si>
    <t>ST/DD</t>
  </si>
  <si>
    <t>ST/DD/Emma I</t>
  </si>
  <si>
    <t>SIOX discrepencies CRTDB/RPT_Sitel</t>
  </si>
  <si>
    <t>Migration of Hunter MI Report Update &amp; Hunter Agent Snapshot Update to Power BI</t>
  </si>
  <si>
    <t>Elavon report_Inbound calls after 5:30 pm</t>
  </si>
  <si>
    <t>Abbie Cheyne &lt;Abbie.Cheyne@sitel.com&gt;</t>
  </si>
  <si>
    <t>VM IT Trackers</t>
  </si>
  <si>
    <t xml:space="preserve">Access to VM IT Trackers for Takara Ballard </t>
  </si>
  <si>
    <t xml:space="preserve">Laura Francis </t>
  </si>
  <si>
    <t>Jessica Cole &lt;Jessica.cole@sitel.com&gt;</t>
  </si>
  <si>
    <t>To remove the open case for Shannon Iles on EMT</t>
  </si>
  <si>
    <t>VIP Service Level</t>
  </si>
  <si>
    <t>Heathrow</t>
  </si>
  <si>
    <t>Matthew Haynes &lt;matthew.haynes@sitel.com&gt;</t>
  </si>
  <si>
    <t xml:space="preserve">To check if everything is ok with the report, SLA is low. Conclusion-all is good, number of abandoned calls seem very high. In BO most of them are not short abanoded, so the report is ok.Suggested by Martin reason -SLA threshold changed for vip skill? </t>
  </si>
  <si>
    <t>18/1 - Request from Abbie Cheyne &lt;Abbie.Cheyne@sitel.com&gt; to send the amount of inbound calls that they have had after 5:30pm since September 2021;
19/1 - I've sent the report;
20/1 - Paul Thayre &lt;Paul.Thayre@sitel.com&gt; is fine with report;Closed;</t>
  </si>
  <si>
    <t>Elavon report_Outbound calls after 5:30 pm</t>
  </si>
  <si>
    <t>Paul Thayre &lt;Paul.Thayre@sitel.com&gt;</t>
  </si>
  <si>
    <t xml:space="preserve">20/1 - Request from Paul Thayre &lt;Paul.Thayre@sitel.com&gt; to send the amount of outbound calls that they have had after 5:30pm since September 2021;
21/01 - I've sent the report today;
</t>
  </si>
  <si>
    <t>Removing surveys from SMART CSAT Report</t>
  </si>
  <si>
    <t>Maricille Bendiro &lt;maricille.bendiro@sitel.com&gt;</t>
  </si>
  <si>
    <t>21/1 - Request from Maricille Bendiro &lt;maricille.bendiro@sitel.com&gt; to remove some surveys from the SMART CSAT Report;
21/1 - Done;</t>
  </si>
  <si>
    <t>Migration of MI Combined reports to Power BI</t>
  </si>
  <si>
    <t>COR; DD; Stephen Caffull;</t>
  </si>
  <si>
    <t>Utilization Report</t>
  </si>
  <si>
    <t>Glyn Johns</t>
  </si>
  <si>
    <t>Adding Andrea Tokmak in the DL of the reports</t>
  </si>
  <si>
    <t>26/1 - request from Phillip More &lt;Phillip.More@sitel.com&gt; to add Andrea Tokmak &lt;Andrea.Tokmak@sitel.com&gt; in the DL of the reports;
27/1 - Done;</t>
  </si>
  <si>
    <t>Phillip More &lt;Phillip.More@sitel.com&gt;</t>
  </si>
  <si>
    <t>Matthew Haynes &lt;Matthew.Haynes@sitel.com&gt;</t>
  </si>
  <si>
    <t>Abandoned calls informaton for Heathrow provided, period January 2022 to date. Matthew Haynes tries ti find out why their sla is low, he asked if we can show him info on abandoned calls per agent. Commented back the abandoned calls are per skill level.</t>
  </si>
  <si>
    <t>VIP Service Level Abanoned calls</t>
  </si>
  <si>
    <t>Flybe MI report</t>
  </si>
  <si>
    <t>Changing one of the conditiom in the Shark Ninja Quality Report SQL</t>
  </si>
  <si>
    <t>Adding new recepients in the DL of the SSE MI &amp; SSE Interval Combined Reports</t>
  </si>
  <si>
    <t>Ben Hardy &lt;Ben.Hardy@sitel.com&gt;</t>
  </si>
  <si>
    <t>DD,Ben Hardy &lt;Ben.Hardy@sitel.com&gt;</t>
  </si>
  <si>
    <t>JLTS TCD Data Request</t>
  </si>
  <si>
    <t>JLTS TCD for 29/01/20-29-01/22</t>
  </si>
  <si>
    <t xml:space="preserve">Adding new recepient in the DL of the SSE Backdating Agent Report </t>
  </si>
  <si>
    <t>02/2 - Request from Lopito to add Ben.Hardy@sitel.com and Marie Gustafsson Marie.Gustafsson@sitel.com in the DL of the reports;
Done;</t>
  </si>
  <si>
    <t>04/2 - Request from Lopito to add Marie Gustafsson &lt;Marie.Gustafsson@sitel.com&gt; in the DL of the reports;
07/2 - Done;</t>
  </si>
  <si>
    <t>Manually updating of the forecasts for WC 31.01.2022 of the SSE MI &amp; SSE Interval Combined Reports</t>
  </si>
  <si>
    <t>Sandeep Kuppili &lt;Kuppili.Sandeep@sitel.com&gt;</t>
  </si>
  <si>
    <t>03/2 Request from Sandeep Kuppili &lt;Kuppili.Sandeep@sitel.com&gt; to update manually the fprecasts for WC 31.01.2022;</t>
  </si>
  <si>
    <t>Discrepancies in the buckets of skill 512 and other SSE skills</t>
  </si>
  <si>
    <t>JLCS Back Office MI</t>
  </si>
  <si>
    <t>10/2 - I've sent an e-mail to Lopito to update the time buckets of SSE skills;
16/2 - Lopito has raised a ticket the time buckets to be updated;
18/2 - Done;</t>
  </si>
  <si>
    <t>Virgin Media PBI report</t>
  </si>
  <si>
    <t>21/1 - Meeting with Daniel Piper &lt;Daniel.Piper@sitel.com&gt;; Ian Northmore &lt;Ian.Northmore@sitel.com&gt; and Martin Ferguson &lt;Martin.Ferguson@sitel.com&gt; to show them the MI Combined Report in Power BI and to discuss the needed changes;
24/1 - A ticket was raised to create a new workspace for this report; Once I have the workspace I am going to share the report with • Emma Ibbotsen SSE
• Johnathan Thompson SSE and OVO
• Marie Gustafson SSE
• Ben Hardy SSE and OVO
• Keri Woodland OVO; 
02/2 -Waiting for James Moreland's feedback if I have to make any other changes in the report;
09/2 - Ben Hardy wants the report to be enhanced with 3 new KPIs so Lopito sent me 2 reports for 2 of the KPIs; I'm waiting for Lopito's feedback to tell me when he is available (his calendar is busy until March 2022) ​to discuss these reports and if there is any way the data to be taken from BO;
09/2 - Had a call with Lopito and Joseph to discuss the reports; the data for the reports comes from client's platform, we can't take the data from BO; Joseph sent me samples of the reports and we discussed the reports with him and Lopito; I have questions to which Joseph can't answer me so I've sent these questions to Francis Gregor Cabantug &lt;FrancisGregor.Cabantug@sitel.com&gt;; I'm waiting for Francis' feedback;
16/2 - I've sent an e-mail with request for Lopito's and Francis' feedbak;
23/2 - No feedback received; Task is closed;</t>
  </si>
  <si>
    <t>Migration of Elavon report to Power BI</t>
  </si>
  <si>
    <t>No one</t>
  </si>
  <si>
    <t>Elliott Palmer &lt;Elliott.Palmer@sitel.com&gt;</t>
  </si>
  <si>
    <t>Heathrow MI Report</t>
  </si>
  <si>
    <t>There was some problem with the report could not open properly</t>
  </si>
  <si>
    <t>Removing Syed.Anwar@sitel.com from the report</t>
  </si>
  <si>
    <t>28/2 -Request from Deborah Harrop &lt;deborah.harrop@sitel.com&gt; to remove Syed Anwar &lt;Syed.Anwar@sitel.com&gt; from the DL of the reports;
28/2 - Done;</t>
  </si>
  <si>
    <t>Deborah Harrop &lt;deborah.harrop@sitel.com&gt;</t>
  </si>
  <si>
    <t xml:space="preserve">26/8  - Philips Report is splittting for Domestic Appliances and Personal Health . So I made a copy of the old report and one of the report will be for Domestic Appliances, the other one - for Personal Health. Need to make some modification in the reports and to check the formulas. I am waiting for Miro to give me feedback for the forecasts after he discussed them with Krzysztof Soboń &lt;Krzysztof.Sobon@sitel.com&gt; and Eva.
26/3 - I've sent an e-mail to Lucas and Carina and waiting for feedback from them to tell me  in which report to be included the data for Brazil;
08/9 - Skype meeting with Miro to discuss the forecasts for the reports and to show him the reports; Miro will discuss the forecasts with Krzysztof Soboń &lt;Krzysztof.Sobon@sitel.com&gt; and will give me feedback; Waiting for forecasts form Brazil, from Lucas Penha &lt;Lucas.Penha@sitel.com&gt; - he is working on splitting the Brazil forecasts for DA and PH;
09/9 - Lucas sent me the Brazil voice forecast for DA and PH; I am waiting for Brazil e-mail forecasts and Brazil chat forecast - for DA and PH; I am waiting for locked forecasts - for DA and PH, forecast from Miro for CEE - for DA and PH; I'm waiting for Daily Forecast; Waiting feedback from Carina to tell me when she will start sending me data for Brazil DA and Brazil PH;
09/9 - I received split Brazil Voice  FCS - for DA and PH, and I'm waiting for split Brazil E-mail and Brazil Chat too – for DA and PH; I'm waitinf for feedback from Carina whe she will start sending me tha Brazil data split;
13/9 - I'm waiting for split Daily FCS (for DA and PH) and locked forecasts (for DA and PH) from Miro/Kris;
17/9 - Waiting for all data and FCS to be split; Waiting for Miro's feedback when all data and FCS are split, and I can produce the reports for DA and PH;
01/10 - Carina start sending the Brazil data for chat and phone separated for DA and PH;
04/10 - Carina sent me feedback that till 10.10 she will start sending the Brazil data for e-mail separated for DA and PH;
06/10 - Task is still in status "Pending" because Miro told me that he hopes this or next week the data and FCS for other countries (except Brazil) to be separated for DA and PH, Kris is working on the files with data and forecasts;
07/10 - Carina start sending the Brazil data for e-mail separated for DA &amp; PH;
05/11 - Miro and Krzysztof will organise meeting next week to discuss the needed changes in the report;
19/11 - put on "Pending Status" because I am waiting for feedback from Miro and Kris;
02/12 - Milena Gurova will take over Miro's responsibility, she will speak with Miro and will collect all the nccessary data;
11/01 - Milena Gurova told me that for now the forecasts can't be splitted for DA &amp; PH, so I put the task in status Cancelled; Milena sends dashboards to the client and will give me feedback if I have to start sending the report again;
</t>
  </si>
  <si>
    <t>27/1 - Request from Phill More to check why there is dicrepancy between score % in NICE and in my report;
01/2 - One of the condition in my report was changed so the NICE report and my report to be consistent;
02/2 - Waiting for feedback;
07/2 - Discussion regarding field “Points Gained Calculated", the calculation of this field;
06/2 and 08/2 - Waiting for Deborah's feedback to tell me if they'd like any other changes to be made regarding field “Points Gained Calculated";
10/2 - I've sent an e-mail to Deborah to tell her again the calculation of the Max points in the report and I'm waiting for feedback;
28/2 - Nofeedback received; Put in status "Pending";
02/3 - I've introduced a change in the logic of the report, Louise and Deborah are fine with the report; The task is closed;</t>
  </si>
  <si>
    <t>Adding Lesley Bell &lt;Lesley.Bell@sitel.com&gt; in the DL of the report</t>
  </si>
  <si>
    <t>03/3 - Request from Phillip More &lt;Phillip.More@sitel.com&gt; to add Lesley Bell &lt;Lesley.Bell@sitel.com&gt; in the DL of the reports; Lesley Bell &lt;Lesley.Bell@sitel.com&gt; is added in the DL of the Shark Ninja Quality Report and the BO Report;
Done</t>
  </si>
  <si>
    <t>Plymouth IT tracker</t>
  </si>
  <si>
    <t>VBA error for this tracker, TM can't access the file, to fix it</t>
  </si>
  <si>
    <t>Charlotte Jenkinson &lt;Charlotte.Jenkinson@sitel.com&gt;</t>
  </si>
  <si>
    <t>Calls taken outside of opening hours</t>
  </si>
  <si>
    <t>Calls taken outside of opening hours for Heathrow splits</t>
  </si>
  <si>
    <t>Removing Michael Marley &lt;michael.marley@ovo.com&gt; from the DL of the SSE MI &amp; Interval Report</t>
  </si>
  <si>
    <t>16/3 - Request from Michael Marley &lt;michael.marley@ovo.com&gt; to remove him from the DL of the reports;
16/3 - Done;</t>
  </si>
  <si>
    <t>Michael Marley &lt;michael.marley@ovo.com&gt;</t>
  </si>
  <si>
    <t>17/3- Request from Sally Moland &lt;Sally.Moland@sitel.com&gt; to add Mustafa.Maddar@sitel.com in the DL;</t>
  </si>
  <si>
    <t>Adding Mustafa.Maddar@sitel.com in the DL of the report</t>
  </si>
  <si>
    <t>Adding skill 2351 in the SSE Reports</t>
  </si>
  <si>
    <t>17/3 - Request from Lopito Oliva Jr. &lt;Lopito.Oliva@sitel.com&gt; to add the skill;
18/ - Done;
18/3 - Queue name of the skill has to be sent to me by Sandeep Kuppili &lt;Kuppili.Sandeep@sitel.com&gt;; Waiting for Syeed's feedback;</t>
  </si>
  <si>
    <t xml:space="preserve">DD, Sandeep Kuppili &lt;Kuppili.Sandeep@sitel.com&gt;; </t>
  </si>
  <si>
    <t xml:space="preserve">01/08/2021 to 31/12/2021 data for Kerry Rowlands’ team </t>
  </si>
  <si>
    <t xml:space="preserve">Kieran McKeown </t>
  </si>
  <si>
    <t>Adding slicer "Sub site" in the SSE MI Combined Report</t>
  </si>
  <si>
    <t>21/3 - Request from Nancy Dingcong &lt;nancy.dingcong@sitel.com&gt; to add slicer "Sub site" in the SSE MI Combined Report; 
22/3 - Done;</t>
  </si>
  <si>
    <t>Nancy Dingcong &lt;nancy.dingcong@sitel.com&gt;</t>
  </si>
  <si>
    <t>DD/MS</t>
  </si>
  <si>
    <t>21/3 - Request from Archieval Delos Reyes &lt;Archieval.DelosReyes@sitel.com&gt; to send the SSE Absence report from Jan 2022 and the definitions of the AUX times;
21/3 - Sent the Ddaily SSE Absence Report scheduled by Martin Shunanov for Jan 2022, Feb 2022 and Mar 2022;
21/3 - Sent the daily version of the SSE Absence report per site and department;</t>
  </si>
  <si>
    <t>Archieval Delos Reyes &lt;Archieval.DelosReyes@sitel.com&gt;</t>
  </si>
  <si>
    <t>Request for SSE Absence report from Jan 2022 and the definitions of the AUX times</t>
  </si>
  <si>
    <t>Adding Lee Hugill &lt;Lee.Hugill@sitel.com&gt; in the DL of the report</t>
  </si>
  <si>
    <t>23/3 - Request from Sally Moland &lt;Sally.Moland@sitel.com&gt; to Lee Hugill &lt;Lee.Hugill@sitel.com&gt;; Done</t>
  </si>
  <si>
    <t>Checking the calls for skills 353 &amp; 512 in the SSE MI Combined Report</t>
  </si>
  <si>
    <t>23/3 - Request from Nancy Dingcong &lt;nancy.dingcong@sitel.com&gt; to check calls for skills 353 &amp; 512 in the SSE MI Combined Report;  Feedback has been sent to Nancy; Done;</t>
  </si>
  <si>
    <t>Clarification regarding AHT in SSE Productivity Power BI Report</t>
  </si>
  <si>
    <t xml:space="preserve">Ian Northmore </t>
  </si>
  <si>
    <t>Renaming skill 1958</t>
  </si>
  <si>
    <t>24/3 - Request from Lopito to rename skill 1958; Done</t>
  </si>
  <si>
    <t xml:space="preserve">Lopito Oliva Jr. </t>
  </si>
  <si>
    <t>Virgin MEdia</t>
  </si>
  <si>
    <t xml:space="preserve">IT trackers for Stockton, Manchester, Sheffield
</t>
  </si>
  <si>
    <t>Cara Williams &lt;Cara.Williams@sitel.com&gt;</t>
  </si>
  <si>
    <t>Adding Billy Denley &lt;billy.denley@sseenergyservices.com&gt; in the DL</t>
  </si>
  <si>
    <t>29/3 - request from Stephen Caffull &lt;stephen.caffull@sitel.com&gt; to add Billy Denley &lt;billy.denley@sseenergyservices.com&gt; in the DL of the SSE MI Combined &amp; SSE Interval Combined Reports; Done</t>
  </si>
  <si>
    <t>Abandoned calls report</t>
  </si>
  <si>
    <t>David.Hitching@sitel.com</t>
  </si>
  <si>
    <t xml:space="preserve">DD,29/3 - Request from David.Hitching@sitel.com to produce BO scheduled Elavon report including:
- abandoned calls
- Call abandoned time 
- IVR
- the number the customer called in on
</t>
  </si>
  <si>
    <t>DD, SSE Workforce Team</t>
  </si>
  <si>
    <t>Manually updating of the forecasts for WC 28.03.2022 of the SSE MI &amp; SSE Interval Combined Reports</t>
  </si>
  <si>
    <t>30/3 Request from Sandeep Kuppili &lt;Kuppili.Sandeep@sitel.com&gt; to update manually the forecasts for WC 28.03.2022; Sandeep has to raise a ticket to check why the numbers in BO are different than the ones in IEX;</t>
  </si>
  <si>
    <t>29/3 - Request from David.Hitching@sitel.com to produce BO scheduled Elavon report including:
- abandoned calls
- Call abandoned time 
- IVR
- the number the customer called in on
30/3 - The report is ready and I will test it today;
01/4 - Done;</t>
  </si>
  <si>
    <t>Inbound Outbound Dials Report Elavon</t>
  </si>
  <si>
    <t>Tarrin Reynolds &lt;Tarrin.Reynolds@sitel.com&gt;</t>
  </si>
  <si>
    <t>06/4 - Request from Tarrin Reynolds &lt;Tarrin.Reynolds@sitel.com&gt; to provide a report for the last two months for inbound and outbound dials after 6 o clock; The report was sent;</t>
  </si>
  <si>
    <t>David Hitching &lt;David.Hitching@sitel.com&gt;</t>
  </si>
  <si>
    <t>Hunter NICE Quality Report</t>
  </si>
  <si>
    <t>Inbound Calls Report for Elavon</t>
  </si>
  <si>
    <t>05/4 - Request from Paul Thayre &lt;Paul.Thayre@sitel.com&gt; to produce daily/weekly inbound call volumes for Elavon since September 2021; 
06/4 - Done;</t>
  </si>
  <si>
    <t>Report complete</t>
  </si>
  <si>
    <t>Daniel Scullion &lt;Daniel.Scullion@sitel.com&gt;</t>
  </si>
  <si>
    <r>
      <t xml:space="preserve">29/11 - request from Emma Baker for Flybe telephony report, emails/chats might be added at later stage.  02/18 Go live March 7  03/04 To create automatic e-mail to Emma when the reports updates (Power automate as a possible solution?)
01/12-Kick-off meeting, skills to be mapped in COR from their side.   02/12 VDNs were mapped . 06/12 start date for report developing  09/12 Excel version of the report was setup and sent to Emma for a feedback. The launch is postponed to 18 of Jan 22.    10/12 Start of development of Power Bi version  12/16 Zendesk data will be saved to our shared drive by Darren Wilde, sample data received. Probably there will be changes in it before the launch date (18th of Jan).        01/06/22 Emma updated us that email and chat channels are also expected, besides telephony. + Forecasts, to be added into the report. We are waiting to get test forecast in IEX, to create the report on it. Darren Wilde will send us final verion of sample data from Zendesk. Power BI version for telephony is ready; 14/01/2022 - Power BI version shared with Emma Baker and George Panthos, until 18/01 still no feedback, Emma seems to be out of office.
14/01/2022: Go Live delayed for 14-02-22   ; 19/01/22 Discussion for Zendesk data requirments 25/01/22 Category data from Zendesk is ready (the VS package for it as well) but the interaction data which will be sent to us via email has not been setup yet  by the IT team    01/02 sample of interecation data was sent to us by Darren Wilde 02/03 - Steve notified us the launch of the campaign postponed till late February 02/04 report is almost set up, forecasts and chat data are not available yet 11/02 Draft is ready (without forecast and chats, no data). Go live is postponed till the end of Feb  02/23 - Pages for Phone and chat tickets have been added now. We explained to Emma what is needed from the client's side for them to be able to access Power BI. </t>
    </r>
    <r>
      <rPr>
        <b/>
        <sz val="14"/>
        <color theme="1"/>
        <rFont val="Calibri"/>
        <family val="2"/>
        <scheme val="minor"/>
      </rPr>
      <t>Launch date : March 7th</t>
    </r>
    <r>
      <rPr>
        <sz val="14"/>
        <color theme="1"/>
        <rFont val="Calibri"/>
        <family val="2"/>
        <scheme val="minor"/>
      </rPr>
      <t xml:space="preserve">  03/18/22 - New launch date 22. They have some new requirments to include a VDN interval report     22.03.22 the campaign has launched 25.03 Power BI access was provided to Joanne. Today we are going to discuss the report's statuses coming from zen desk (with S.Flynn and D. Wilde) as showing the statuses might not be relevant at  all for the report.      07/04 the 2nd Spanshot page was removed, the client choose to keep the DAX version Snapshot and layout                                        </t>
    </r>
  </si>
  <si>
    <t>Kyle M.,SP, MS</t>
  </si>
  <si>
    <t xml:space="preserve">DD,Rob Carr &lt;rob.carr@sitel.com&gt;; </t>
  </si>
  <si>
    <t>Check the Calls Offered SSE</t>
  </si>
  <si>
    <t>DD, Archieval Delos Reyes &lt;Archieval.DelosReyes@sitel.com&gt;; Lopito Oliva Jr. &lt;Lopito.Oliva@sitel.com&gt;; Sandeep Kuppili &lt;Kuppili.Sandeep@sitel.com&gt;</t>
  </si>
  <si>
    <t>Brother Interval report - transfer from Access to SQL</t>
  </si>
  <si>
    <t>BO report was amended; new set up in SQL; original Excel report was linked to the new source without changing the layout</t>
  </si>
  <si>
    <t xml:space="preserve">21/3 - Request from Ian Northmore to check the AHT numbers in my report and other BO report from which  Lopito takes the AHT values for the same skills and sites;
23/3 - Sent to Lopito my raw data; Meeting with Lopito and other colleagues; Lopito sent us the BO repot he use to look at it and see where are the differences;
29/3 - Nancy sent me an e-mail, that Interval ACD,  Interval ACW and Hold ACD Time have to be included in the calculation of the AHT for the SSE Productivity, SSE MI &amp; Interval Reports. SSE Workforce team wants to be copied for the source data from BO of the mentioned SSE Reports. 
30/3 - An e-mail with couple of options was sent to the SSE Workforce team and I'm waiting for feedback;
05/4 -Lopito is updating their AHT Related reports; Still waiting for Lopito's feedback;
15/4 - No feedback received, closed the task;
 </t>
  </si>
  <si>
    <t>Renaming the SSE Skill 1389</t>
  </si>
  <si>
    <t>14/4 - request from Lopito to rename skill 1389'
done</t>
  </si>
  <si>
    <t>12/4 - Request from Paul Thayre &lt;Paul.Thayre@sitel.com&gt; to produce scheduled BO report on monthly base for inbound calls; I've sent him a sample and he is fine;
12/4 - Done;</t>
  </si>
  <si>
    <t>To be created for those sites. The trackers are now ready (31.03). We are waiting for usernames which need to be given access to the trackers. 08/04 we are still waiting for the usernames, Cara asked Daniel Scullion &lt;Daniel.Scullion@sitel.com&gt; to provide us with them. 15/04 Daniel has not provided yet the list of the usernames and he has not replied anything yet, for now maybe the task should be closed, as we do not know if he is going to reply at all for now.</t>
  </si>
  <si>
    <t>Laura Francis &lt;Laura.Francis@sitel.com&gt;</t>
  </si>
  <si>
    <t xml:space="preserve">give access to the issue report sheet for the following users: Dawn Walker - dwalk116
James Rance – jranc006
Kelly Parrish-Rice – kparr029
</t>
  </si>
  <si>
    <t>Add users</t>
  </si>
  <si>
    <t>BO issue</t>
  </si>
  <si>
    <t>Request for help with flash reports not coming out, a ticket has been raised through e-mail for the flash reports</t>
  </si>
  <si>
    <t>Adding skill 517 in SSE Reports</t>
  </si>
  <si>
    <t>20/4 - request from Lopito to add skill 517 in the SSE Reports;
20/4 - Done;
done</t>
  </si>
  <si>
    <t>11/4 - Request from Lopito Oliva Jr. &lt;Lopito.Oliva@sitel.com&gt; to check the calls offered for SSE SMART;
12/4 - I've checked them, the calues are the same and sent the report to Archieval Delos Reyes &lt;Archieval.DelosReyes@sitel.com&gt;; Lopito Oliva Jr. &lt;Lopito.Oliva@sitel.com&gt;; Sandeep Kuppili &lt;Kuppili.Sandeep@sitel.com&gt;; Waiting for feedback;
14/4 - Sent to Archieval Delos Reyes &lt;Archieval.DelosReyes@sitel.com&gt; the SSE SMART Skills included in my report;
19/4 - I asked Archieval for feedback;
21/4 -No feedback received; I closed the task;</t>
  </si>
  <si>
    <t>Newcastle Absence Report - Daily</t>
  </si>
  <si>
    <t>21/4 -Request from Judith Mottershead &lt;Judith.Mottershead@sitel.com&gt; to Adam Mottershead &lt;Adam.Mottershead@sitel.com&gt; include in the report; Done</t>
  </si>
  <si>
    <t>Judith Mottershead &lt;Judith.Mottershead@sitel.com&gt;</t>
  </si>
  <si>
    <t>PBI Report</t>
  </si>
  <si>
    <t>Renaming the SSE Skill 2355</t>
  </si>
  <si>
    <t>26/4 - request from Lopito to rename skill 2355;
done;</t>
  </si>
  <si>
    <t>OVO</t>
  </si>
  <si>
    <t>OVO Icoach Upload</t>
  </si>
  <si>
    <t xml:space="preserve"> Gurmeet Dhillon &lt;Gurmeet.Dhillon@sitel.com&gt; ; DD</t>
  </si>
  <si>
    <t>Gurmeet Dhillon</t>
  </si>
  <si>
    <t>Outbound Dials Report Elavon</t>
  </si>
  <si>
    <t>Historic data for 04.SLA of JL Back Office was sent by Kyle M., to add it into the DB</t>
  </si>
  <si>
    <t>SSE Absence Report Daily</t>
  </si>
  <si>
    <t>John Symonds wants us to explain him the report, also he has some questions about it</t>
  </si>
  <si>
    <t>John Symonds</t>
  </si>
  <si>
    <t>To add Zoe into the DL of 2 reports (Waitrose Flash and Stratford Absence Report)</t>
  </si>
  <si>
    <t>Waitrose Flash</t>
  </si>
  <si>
    <t>Gareth Brophy &lt;Gareth.Brophy@sitel.com&gt;</t>
  </si>
  <si>
    <t>JLCS Flash Report</t>
  </si>
  <si>
    <t>planningandperformance.contactcentres@johnlewis.co.uk</t>
  </si>
  <si>
    <t>To remove planning's email from the DL for JLCS and JLTS Flash reports</t>
  </si>
  <si>
    <t>JLTS PC Issues – Final Figures</t>
  </si>
  <si>
    <t xml:space="preserve"> Virgin Media Absence Report</t>
  </si>
  <si>
    <t xml:space="preserve">To add:   Karen.carswell@sitel.com
Helen.breslin@sitel.com 
Suzanne.McBride@sitel.com 
James.Kennedy@sitel.com 
Garry.menzies@sitel.com 
Adam.mottershead@sitel.com 
Adam.Hughes@sitel.com  into the report's DL
</t>
  </si>
  <si>
    <t>Current day AUX reports</t>
  </si>
  <si>
    <t>Reports did not come through for yesterday, to send them manually</t>
  </si>
  <si>
    <t xml:space="preserve">Jamie Worthington </t>
  </si>
  <si>
    <t>Stratford Absence Report</t>
  </si>
  <si>
    <t>To remove Public Health England account from the report as it was closed on 31th of March</t>
  </si>
  <si>
    <t>Amy Hollingworth &lt;Amy.Hollingworth@sitel.com&gt;</t>
  </si>
  <si>
    <t>Megan Langdon &lt;Megan.Langdon@sitel.com&gt;</t>
  </si>
  <si>
    <t>JLCS Flash Reports</t>
  </si>
  <si>
    <t>Megan Langdon</t>
  </si>
  <si>
    <t>Gareth Wright &lt;Gareth.Wright@sitel.com&gt;</t>
  </si>
  <si>
    <t>Exeter Absence Report Daily</t>
  </si>
  <si>
    <t>JLTS MI Report</t>
  </si>
  <si>
    <t>Richard Crellin &lt;richard.crellin@sitel.com&gt;</t>
  </si>
  <si>
    <t>Richard Crellin &lt;richard.crellin@sitel.com&gt; noticed a discrepancy between the MI snapshot and the automated email body's daily overview for the metrics AHT and FCRs (Sitel use only), he wanted us to check why is that? I had detailed look into the report, took some actions to "fix" it, but It appears the report was requested this way.</t>
  </si>
  <si>
    <t xml:space="preserve">add "manager by week" and "manager by date" sheets into the report </t>
  </si>
  <si>
    <t>29/02/2022</t>
  </si>
  <si>
    <t>Flybe MI</t>
  </si>
  <si>
    <t>To double check if the report is really empty for 22-24th of April</t>
  </si>
  <si>
    <t>month by month review of how the volumes have changed since 2017</t>
  </si>
  <si>
    <t>mark.schofield@sitel.com</t>
  </si>
  <si>
    <t>Remove these departmeents as they are now closed: Whirpool, The Culture Trip, PHE Isolation Assurance, Dep. Of Health And Social care</t>
  </si>
  <si>
    <t>J. Griffit</t>
  </si>
  <si>
    <t>Add Paul.Faulkner@sitel.com into the report's DL, waiting for Megan to confirm if this manager will be added into any of the managers DLs. Megan has not responded to my last emails, Paul is now added into JLCS Flash DL</t>
  </si>
  <si>
    <t>21/4 - Request from Abbie Cheyne &lt;Abbie.Cheyne@sitel.com&gt; to provide a report for the outbound dials for Mar 2022; The report was sent;
21/4 - Added Employee id and name; 
26/4 - Modification of the BO Reports as to export the login id and employee name; The report was sent;</t>
  </si>
  <si>
    <t>Carlo James Benavidez &lt;CarloJames.Benavidez@sitel.com&gt;</t>
  </si>
  <si>
    <t>Check the Calls Offered SSE SNOWDON</t>
  </si>
  <si>
    <t xml:space="preserve">29/4 - Request from Carlo James Benavidez &lt;CarloJames.Benavidez@sitel.com&gt; to check the calls offered for SSE SNOWDON as the offered calls are above the forecasted voumes;
Ticket is raised # 7863010;
03/5 - Received Arabella's feedback, sent it to Carlo and closed the task;
</t>
  </si>
  <si>
    <t>JL &amp; Waitrose</t>
  </si>
  <si>
    <t>JL &amp; Waitrose Worked Hours Report</t>
  </si>
  <si>
    <t>Tim Watts, DD</t>
  </si>
  <si>
    <t>Sarita Banyard &lt;Sarita.Banyard@sitel.com&gt;</t>
  </si>
  <si>
    <t xml:space="preserve">Virgin Media Absence BO Report </t>
  </si>
  <si>
    <t>Joanne Griffit</t>
  </si>
  <si>
    <t>ad hoc - list of agents included in Plymouth UK, by in office &amp; WAH</t>
  </si>
  <si>
    <t>Flash report</t>
  </si>
  <si>
    <t>Mark Stockwell-Weeks &lt;Mark.Stockwell-Weeks@sitel.com&gt;</t>
  </si>
  <si>
    <t>SSE CSAT_Changing the formula</t>
  </si>
  <si>
    <t>Nancy Dingcong &lt;nancy.dingcong@sitel.com&gt;; DD</t>
  </si>
  <si>
    <t>09/5 - Request from Nancy Dingcong &lt;nancy.dingcong@sitel.com&gt; to change NPS formula as of 1st of May in the following tabs:
- NPS Trend Data (Day)
- NPS Trend Data (Week)
- Weekly (Advisor Satisfaction)
Formula has been changed ant the reports have been sent to Gurmeet. Waiting for Gurmeeet's feedback;
10/5 - Nancy is fine with the reports; Done;</t>
  </si>
  <si>
    <t>DL SSE MI &amp; Interval Combined Reports</t>
  </si>
  <si>
    <t>mohd.najam@sitel.com</t>
  </si>
  <si>
    <t>11/5 - adding mohd.najam@sitel.com in the DL of the reports; Done</t>
  </si>
  <si>
    <t>Exeter CMSR Tracker</t>
  </si>
  <si>
    <t>Rowan Marshall &lt;Rowan.Marshall@sitel.com&gt;</t>
  </si>
  <si>
    <t>Plymouth Virgin Media IT Tracker</t>
  </si>
  <si>
    <t>Update date format</t>
  </si>
  <si>
    <t>John Lewis Absence Report Daily</t>
  </si>
  <si>
    <t>Sonya Arcos &lt;Sonya.Arcos@sitel.com&gt;</t>
  </si>
  <si>
    <t>Kronos</t>
  </si>
  <si>
    <t>New Starters Absence and Attrition Plymouth</t>
  </si>
  <si>
    <t>some of the formatiing of the report is off (the tables titles), to fix it. Email is sent it will be fixed asap</t>
  </si>
  <si>
    <t>Daniel P</t>
  </si>
  <si>
    <t>SSE GLA SSE HOCS</t>
  </si>
  <si>
    <t>Keith Eadie &lt;Keith.Eadie@sitel.com&gt;</t>
  </si>
  <si>
    <t>Andrea.sampson@ovo.com
Hayley.gurr@ovo.com
add them into the DL</t>
  </si>
  <si>
    <t>Check why Christopher Buck’s  team does not appear on the report. His COR mapping does not reflect his transfer to Plymouth. Suggested ticket has to be raised to COR to update the info for him.</t>
  </si>
  <si>
    <t>Amy Gowing &lt;amy.gowing@sitel.com&gt;</t>
  </si>
  <si>
    <t>to remove Amy Gowing &lt;amy.gowing@sitel.com&gt; from the DL</t>
  </si>
  <si>
    <t>Swansea Absence Report</t>
  </si>
  <si>
    <t>Adam Hughes &lt;Adam.Hughes@sitel.com&gt;</t>
  </si>
  <si>
    <t>Update CMSR Tracker for 2022 13/05 the tracker Is updated, the sheets which are not used have been hidden</t>
  </si>
  <si>
    <t>Joann Carr &lt;Joann.Carr@sitel.com&gt;</t>
  </si>
  <si>
    <t xml:space="preserve">11/5 - Request from Joann Carr &lt;Joann.Carr@sitel.com&gt; to send over the inbound calls for Mar 2022 for VDN Name - COV Elavon UK Telesales; Done;
</t>
  </si>
  <si>
    <t>elavon inbound calls or Mar 2022 for VDN Name - COV Elavon UK Telesales</t>
  </si>
  <si>
    <t>James Moreland &lt;James.Moreland@sitel.com&gt;, DD</t>
  </si>
  <si>
    <t>Brother Interval report - transfer to PBI</t>
  </si>
  <si>
    <t>Adding Ian in the DL of the Shark Ninja Absence Report Daily</t>
  </si>
  <si>
    <t>16/5 - Done</t>
  </si>
  <si>
    <t>Correction of the 'Label' &amp; 'Marketing Group' fileds in the SQL mapping table</t>
  </si>
  <si>
    <t>16/5 - Request from Lopito to correct  the 'Label' &amp; 'Marketing Group' fileds in the SQL mapping table for LOB Snowdon;
Done;</t>
  </si>
  <si>
    <t>Adam considers there is some discrepancy between the totals for this week in 2 absence reports, to check. 18/05 Explained the summary of the report is MTD not for the current week.</t>
  </si>
  <si>
    <t>breakdown of Kronos totals emailed each day for the Waitrose Managers. I asked her to specify which totals does she refer to? New target day (14.5) if she does not reply within 13.05. 17/05 still no follow up from Sonya 18/05 Sonya replied she want live data of Kronos which we do not have (it is more financial report), not absence one.</t>
  </si>
  <si>
    <t xml:space="preserve">OOH Interval - expand period </t>
  </si>
  <si>
    <t>Change the OOH Interval date range from the previos day to the last 30 days; new version of the report sent for approval on 18.05</t>
  </si>
  <si>
    <t>julie.bullock@sitel.com</t>
  </si>
  <si>
    <t>Danny G.</t>
  </si>
  <si>
    <t>UK absence report PBI</t>
  </si>
  <si>
    <t>Danile Piper</t>
  </si>
  <si>
    <t>Tim Watts, Daniel Piper</t>
  </si>
  <si>
    <t>Rowan Marshall</t>
  </si>
  <si>
    <t>Ply CMSR Site Tracker</t>
  </si>
  <si>
    <t>20/5 - request from Kevin Garcia &lt;Kevin.Garcia5@sitel.com&gt; to add SSEReportingTeam@sitel.com in the DL of the report; Done;</t>
  </si>
  <si>
    <t>Kevin Garcia &lt;Kevin.Garcia5@sitel.com&gt;</t>
  </si>
  <si>
    <t>Renaming the skill 1959</t>
  </si>
  <si>
    <t>20/5 - Request from Lopito to rename skill 1959;
23/5 - Done;</t>
  </si>
  <si>
    <t>COR, DD</t>
  </si>
  <si>
    <t>18/2 - Start creating the Power BI report;
04/3 - I have draft version of the power bi report and will presen at the meeting this week;
08/3 - Presentation of the Power BI Report; Raised a ticket for workspace;
09/3 - Already had a workspace;
10/3 - An access has given to the Power BI Report;
14/3 - Some changes have been made in the report; Questions regarding power bi report have been sent to James Moreland &lt;James.Moreland@sitel.com&gt;; Melissa Eden &lt;melissa.eden@sitel.com&gt;; Tarrin Reynolds &lt;Tarrin.Reynolds@sitel.com&gt;; Andrew Timmins &lt;Andrew.Timmins@sitel.com&gt;; Hayley Barlow &lt;Hayley.Barlow@sitel.com&gt;; Paul Thayre &lt;Paul.Thayre@sitel.com&gt; and waiting for feedback;
22/3 - No feedback received; The e-mail was re-sent with request for feedback;
12/4 - Meeting with Martin and Paul; Waiting Paul's feedback regarding the mapped agents and KPIs he wants to be addedd;
09/5 - Ticket was raised to give access to Paul Thayre &lt;Paul.Thayre@sitel.com&gt;, Tarrin Reynolds &lt;Tarrin.Reynolds@sitel.com&gt; &amp; Andrew Timmins &lt;Andrew.Timmins@sitel.com&gt; to the following SD: \\eu999k16sscdb01\ssis\Data Sources\CS ELAVON; Ticket has been closed; Waiting for feedback from Paul, Tarrin and Andrew regardin the access;
19/5 - Paul has an issue with access to the SD and has to contact his local IT becase when hi try to access the SD he has received a message that he need a new app to open the application; I've already informed Tarrin and Andrew for Paul's issue;</t>
  </si>
  <si>
    <t>Danile Piper, Tim Watts &lt;tim.watts@sitel.com&gt;, DD</t>
  </si>
  <si>
    <t>Tarrin Reynolds &lt;Tarrin.Reynolds@sitel.com&gt;; Andrew Timmins &lt;Andrew.Timmins@sitel.com&gt;;Paul Thayre &lt;Paul.Thayre@sitel.com&gt;; DD</t>
  </si>
  <si>
    <t>04/4 - Request from David Hitching &lt;David.Hitching@sitel.com&gt; to provide a quality report for Hunter from NICE; I've sent him a BO Hunter NICE Quality report and produce an an excel report with pivot tables and discussed it with David; Data is missing in the report from NICE so I'm waiting for David'S feedback once all the parameters are set correctly in NICE;
20/4 - We already have data from NICE; David should send me the 'Max Score' value; I will start producing the report; I will scheduled the Hunter NICE Quality Report from BO on a weekly base;
09/5 - Working on this task;
13/5 - I still waiting for MAX Points; No feedback from David Hitching, I will chase him next week as he is OOO;
16/5 - Put on 'Pending' status while I'm waiting for MAX Points;</t>
  </si>
  <si>
    <t>12/4 - I'm helping James Moreland with producing the power bi report;
21/4 - Sent to James 3 BO reports for Virgin Media; Will discuss the BO Reports next week;
27/4 - Waiting for James to start producing the Power Bi Report and to help him;
17/5 - James told me that the reporting has been put on hold until he has done a site visit; I asked him to contact me once he starts working on it again;</t>
  </si>
  <si>
    <t>Adding Ian Northmore in the DL of the SSE Absence Report Daily Report</t>
  </si>
  <si>
    <t>Ian Northmore &lt;Ian.Northmore@sitel.com&gt;</t>
  </si>
  <si>
    <t>24/5 - Request from Ian Northmore &lt;Ian.Northmore@sitel.com&gt; to add him in the DL; 
25/5 - Done;</t>
  </si>
  <si>
    <t>Absence report</t>
  </si>
  <si>
    <t>Ad-hoc -to send the absence % for Mark Brown's team for last week</t>
  </si>
  <si>
    <t>Mark Brown</t>
  </si>
  <si>
    <t>Failed Payment data</t>
  </si>
  <si>
    <t>Failed Payment data lob 5026 waitrose data for 2021</t>
  </si>
  <si>
    <t>Kerrie Lynch</t>
  </si>
  <si>
    <t>IT tracker</t>
  </si>
  <si>
    <t>Maxim's server path has change, adjust the change into the trackers</t>
  </si>
  <si>
    <t>Chris Laing &lt;chris.laing@sitel.com&gt;</t>
  </si>
  <si>
    <t>Rachel Gribben &lt;Rachel.Gribben@sitel.com&gt;</t>
  </si>
  <si>
    <t>To create CMSR site tracker for Plymouth like template we have for Exeter. The one that we have from 2018 for Ply is different than the Exeter's tracker, new to be created in sql, not access. Rowan is asked us to provide with CMSR data for Plymouth (2022). 27/05 almost ready</t>
  </si>
  <si>
    <t>28/3 - request from Deborah Harrop &lt;deborah.harrop@sitel.com&gt; to produce report; two new scorecarsd will be in place from 1st April 2022;
30/3 - On Monday (4th April) I will check if there is any data for the new cards in BO and then will start producing the report;
04/4 - There isn't any data from NICE for the two new scorecards;
06/4 - The re is data only for the one of the new scorecards and for one Evaluation ID; Will check today again;
12/4 - I sent draft versions of the report with the new scorecards on MOnday and Tuesday; Waiting for data to be set correctly in NICE;
21/4 - The report is ready, Deborah should tell me if I shoul remove any versions of the scorecards sfom the report;
05/5 - Some other changes have to be made in the NICE; Waiting for Deborah's feedback;
13/5 - Some changes have to be made in the mapping table as Deborah has raised a ticket the NICE forms to be updated;
31/5 - Lesley Bell &lt;Lesley.Bell@sitel.com&gt; sent me feedback that she is fine with report; The task is closed;</t>
  </si>
  <si>
    <t>Lesley Bell &lt;Lesley.Bell@sitel.com&gt; ,DD, Deborah Harrop &lt;deborah.harrop@sitel.com&gt;, Louise Rowe &lt;louise.rowe@sitel.com&gt;</t>
  </si>
  <si>
    <t>Paul Lane</t>
  </si>
  <si>
    <t>Kevin Delos Santos &lt;Kevin.DelosSantos@sitel.com&gt;</t>
  </si>
  <si>
    <t>Producing BO Report for SSE MI Combined Report</t>
  </si>
  <si>
    <t>Kevin Delos Santos &lt;Kevin.DelosSantos@sitel.com&gt;, DD</t>
  </si>
  <si>
    <t>Elavon call volumes for Jan 2022-May 2022 for particular VDNs</t>
  </si>
  <si>
    <t>25/5 - Request from Paul Thayre &lt;Paul.Thayre@sitel.com&gt; to produce the report;
25/5 - Done;
30/5 - Paul wants to receive the call details on a daily base;
31/5 - The BO report was scheduled on a daily base from today;</t>
  </si>
  <si>
    <t>Paul Thayre &lt;Paul.Thayre@sitel.com&gt;,DD</t>
  </si>
  <si>
    <t xml:space="preserve">22/4- Request from Gurmeet Dhillon &lt;Gurmeet.Dhillon@sitel.com&gt; for creating OVO Icoach Upload Report;
26/4 - BO reports are produced but there isn't any data; Waiting for Gurmeet's feedback when we will have data;
09/5 - I've sent the report with data for Project ID: 0750001, Site: Swansea, UK. When the Site is Swansea, UK &amp; Project ID - 0750003:OVO Engy Temp Project there isn’t any data. Gurmeet should send me feedback if the desired four reports should include data for SSE Client: 075TOT1 or send me the Project ID/Project IDs which should be included in the four reports.
31/5 - Gurmeet told me that the OVO Reports will be produced by UK Team, she will talk with Tim Watts; I've put the task in status 'Cancelled'
</t>
  </si>
  <si>
    <t>SSE Icoach Upload - SITE273 &amp; SITE635</t>
  </si>
  <si>
    <t>SP, NR</t>
  </si>
  <si>
    <t>to add more options for Aplication and Symptom field. NR all sites, except Maxim</t>
  </si>
  <si>
    <t>Removing Jonathan Collins &lt;jonathan.collins@ovo.com&gt; from the DL of the SiTEL / SSE data_Intervals</t>
  </si>
  <si>
    <t>Removing Jonathan Collins &lt;jonathan.collins@ovo.com&gt; from the DL of the SiTEL / SSE data_Intervals (Hourly Version)</t>
  </si>
  <si>
    <t>06/6 - Done;</t>
  </si>
  <si>
    <t>06/6 - Removed him from all the reports;</t>
  </si>
  <si>
    <t>Jonathan Collins &lt;jonathan.collins@ovo.com&gt;</t>
  </si>
  <si>
    <t>merge for the 3 flash reports is requested 12/05 drafts version sent. 13.05 to create the horizontal version for the 3 campaigns 17.05 Final version sent to Mark to be reviewed 18.05 Mark want us to keep just the overall tables , without the LOBs details New requirment to add metric answered vs delivery, Mark will ask the client/somebody how is it calculated for us to added it after 20/05 live on Monday 23.05 . 25/05 to add split interval page 01.06 interval split pages added</t>
  </si>
  <si>
    <t>TCD report</t>
  </si>
  <si>
    <t>Steve Flynn</t>
  </si>
  <si>
    <t>Closed Incidents by Week</t>
  </si>
  <si>
    <t>remove campaigns with no fte</t>
  </si>
  <si>
    <t>Daniel Piper</t>
  </si>
  <si>
    <t xml:space="preserve">Weekly New Starters Absence and Attrition Plymouth </t>
  </si>
  <si>
    <t>Sitel Plymouth Site Tracker 2022</t>
  </si>
  <si>
    <t>Kirstie Wright &lt;Kirstie.Wright@sitel.com&gt;</t>
  </si>
  <si>
    <t>remove from DL</t>
  </si>
  <si>
    <t xml:space="preserve"> anniversary notification</t>
  </si>
  <si>
    <t>SIOX Forecast</t>
  </si>
  <si>
    <t>VM</t>
  </si>
  <si>
    <t>NR, SP</t>
  </si>
  <si>
    <t>Swansea, Plymouth</t>
  </si>
  <si>
    <t>IT Tracker issues . Some of the issues were caused due to new path for Maxim's server, then some people were still trying to acces the old path. Also the DB for Plymouth broke. And 3rd part of the issues were result of actions we took in the trackers, (sheets were left very hidden or visible instead the opposite, others).</t>
  </si>
  <si>
    <t>Adding jeremiah.completo@sitel.comin the DL of the Shark Ninja Absence Report Daily</t>
  </si>
  <si>
    <t>Julie Bullock &lt;julie.bullock@sitel.com&gt;</t>
  </si>
  <si>
    <t>09/6 - Done;</t>
  </si>
  <si>
    <t>Adding Troy.Barnaschone@sitel.com in the DL of the SSE MI &amp; Interval Cmbined Reports</t>
  </si>
  <si>
    <t>Adding Troy.Barnaschone@sitel.com in the DL of the SSE Absence Report Daily</t>
  </si>
  <si>
    <t>John Lewis &amp; Waitrose Flash Report</t>
  </si>
  <si>
    <t>JL, Waitrose</t>
  </si>
  <si>
    <t xml:space="preserve">edit number formatin to forecast cells </t>
  </si>
  <si>
    <t xml:space="preserve">Katie Rice </t>
  </si>
  <si>
    <t>Offered Calls in JLTS MI</t>
  </si>
  <si>
    <t>JLCS MI</t>
  </si>
  <si>
    <t>SP,NR</t>
  </si>
  <si>
    <t>Removing Jonathan Collins &lt;jonathan.collins@ovo.com&gt; from the DL of the SSE Backdating Agent Report &amp; SSE Backdating Agent Report csv</t>
  </si>
  <si>
    <t xml:space="preserve">JLCS Monthly CMSR </t>
  </si>
  <si>
    <t>Rob Carr &lt;rob.carr@sitel.com&gt;</t>
  </si>
  <si>
    <t>Grant accss to Diane.Monaghan@sitel.com to the SSE Power BI Reports</t>
  </si>
  <si>
    <t>13/6 - Done;</t>
  </si>
  <si>
    <t xml:space="preserve">DD, Tim Watts </t>
  </si>
  <si>
    <t xml:space="preserve">Tim Watts </t>
  </si>
  <si>
    <t>Removing Jonathan Collins &lt;jonathan.collins@ovo.com&gt; from the DL of the SSE MI Combined &amp; SSE Interval Combined Reports</t>
  </si>
  <si>
    <t>14/6 - Done;</t>
  </si>
  <si>
    <t xml:space="preserve">new KPIs were provided by Reporting in Exeter. We need to confirm and add them to DB. Refresh the report and sent back to Rob. </t>
  </si>
  <si>
    <t>14/6 - Adding Lucy.Durbridge@homeoffice.gov.uk in the DL;</t>
  </si>
  <si>
    <t>Anthony Simm &lt;Anthony.Simm@homeoffice.gov.uk&gt;</t>
  </si>
  <si>
    <t>Removing lauren.m.beck@sseenergyservices.com from the DL of the SSE MI &amp; Interval Combined Reports</t>
  </si>
  <si>
    <t>16/6 - Done;</t>
  </si>
  <si>
    <t>lauren.m.beck@sseenergyservices.com;</t>
  </si>
  <si>
    <t>27/5 - Request from Kevin Delos Santos &lt;Kevin.DelosSantos@sitel.com&gt; to produce BO Report from which the data for SSE MI Combined Report can be taken;
31/5 - Waiting for Kevin's feedback;
17/6 - No feedback received;</t>
  </si>
  <si>
    <t>Adding skillS 2378, 2379, 2380 &amp; new LOB -  SPC in all SSE Reports in the SSE Reports</t>
  </si>
  <si>
    <t>20/6 - Done;</t>
  </si>
  <si>
    <t>Adding employees in the SSE Absence Report Daily for Jun 2022</t>
  </si>
  <si>
    <t>17/6 - Request from Julie Bullock &lt;julie.bullock@sitel.com&gt; to send the report with added employees for OVO; Done;</t>
  </si>
  <si>
    <t>NR</t>
  </si>
  <si>
    <t>PBI Dashboard Page creation</t>
  </si>
  <si>
    <t>Silviya Petrova</t>
  </si>
  <si>
    <t>Replicate Absence Detail page from SEE to JL, and UK PBI reports</t>
  </si>
  <si>
    <t>SSE Absence Report Daily - request for sharing the calculation in the report</t>
  </si>
  <si>
    <t>Adding Anna.Rout@homeoffice.gov.uk in the DL of the UKVI - HMPO Dashboard Agent Report</t>
  </si>
  <si>
    <t>21/6 - Request from Lucy Durbridge &lt;Lucy.Durbridge@homeoffice.gov.uk&gt; to add Anna in the DL of the report;
22/6 - Done;</t>
  </si>
  <si>
    <t>Lucy Durbridge &lt;Lucy.Durbridge@homeoffice.gov.uk&gt;</t>
  </si>
  <si>
    <t>Coventry Absence Report Daily - report for the past 12 months</t>
  </si>
  <si>
    <t>21/6 - Request from Lee Hugill &lt;Lee.Hugill@sitel.com&gt; tosend the report for past 12 m onths; 
22/6 - Done;</t>
  </si>
  <si>
    <t>Lee Hugill &lt;Lee.Hugill@sitel.com&gt;</t>
  </si>
  <si>
    <t>21/6 - Request from Julie Bullock &lt;julie.bullock@sitel.com&gt; to share the calculation I use in the report; 
22/6 - Sent her the calculation of the absence in the report and the pay code names included in the absence and agreed with Daniel Piper and Martin Ferguson;</t>
  </si>
  <si>
    <r>
      <t xml:space="preserve">31/5 - Request from Gurmeet Dhillon &lt;Gurmeet.Dhillon@sitel.com&gt; to produce 2 reports - for SITE273 and for  SITE635. I will start working on this task from tomorrow when I will have data for SITE635 with the correct Project ID;
02/6 - I've raised a ticket to schedule the attached report for auto upload to iCoach - Campaign: SSE, Project ID: 750001, site: Swansea, UK. 
I've produced report for Campaign: SSE, Project ID: 750001, site: SITE273 – Newcastle (East), UK , CAP-14183:SSE - General Enquires but there isn't any data; Ed Carlo sent me feedback that for the Newcastle SSE-General Enquires that there isn't any data, because there is NO employees or agents assigned to project ID 0750001 | Scottish and Southern Energy. I'll be waiting dor Gurmeet's feedback;
14/6 - The ticket for scheduling the attached report for auto upload to iCoach - Campaign: SSE, Project ID: 750001, site: Swansea, UK is closed; 
16/6 - Dummy split 1035 has to be mapped correctly; Skill is mapped;
21/6 - I've sent the BO Report to </t>
    </r>
    <r>
      <rPr>
        <b/>
        <sz val="14"/>
        <color theme="1"/>
        <rFont val="Calibri"/>
        <family val="2"/>
        <scheme val="minor"/>
      </rPr>
      <t>Marlon Tapucar's BI inbox;
23/6 - Auto upload for CAP-14954 SSE - General Enquires is now completely set up; Service Request #8033121 closed.
Te task is closed;</t>
    </r>
    <r>
      <rPr>
        <sz val="14"/>
        <color theme="1"/>
        <rFont val="Calibri"/>
        <family val="2"/>
        <scheme val="minor"/>
      </rPr>
      <t xml:space="preserve">
</t>
    </r>
  </si>
  <si>
    <t xml:space="preserve">Virgin Media Absence Report </t>
  </si>
  <si>
    <t>We now have Sheffield, Stockon and Manchester who part of the VM campaign, is there a way we can move to getting them added to this daily &amp; weekly reporting?</t>
  </si>
  <si>
    <t>Oliver Curtis &lt;Oliver.Curtis@sitel.com&gt;</t>
  </si>
  <si>
    <t>they ask us to check on a slicer has option but no data in it 21/06 new queue for Core Home Services is now added into the report</t>
  </si>
  <si>
    <t>Duplicates have been found and deleted, but there is still a discrepency between the two sources. 17/01/22 ticket has been raised, describing the discrepencies we found, waiting for a feedback for the reason why they occurred and for the IT team to fix the issues. 01/20/22 Second ticket raised requiring the missing back data from at least 2021, Bong is looking in to it 11/02 We are still waiting for the report's script to be fixed by Bong 02/17/22 Bong wanted us to check if there is still missing data, after his adjustments to the script  02/23/22 We've given feedback to Bong we still have agent data missing. We are wating for IT team to fix the issue 28.03 Another sample of missing data has been provided to the ticket repsponsible person 07/04-we will check if we the fields that are not available in the Germany's DB (level 1,2 etc) can be added into it. 15/04 currently trying to recrate the JL repot using the Germany's SIOX data. 12/05 packages and job are created, agent data should be inserted into the fte-s tables, some employee id or names are missing. The q table is ready, that for the agent has to be tested some more (but package for it is also ready). 19/05 Danny G. will add backdate data before 11.2021 so we can add it to our tables too, if he can't do it for some reason, the data we have in our old tables will be transefered to the new ones, but it is less accurate. 06/06/22 Danny G. is asked to give our proxy account access. 09/06 we received a sql username and pass from Danny G., job needs review, does not work 23/06 the job is now working , the pack has been deployed on the SQL</t>
  </si>
  <si>
    <t>to add aditional page with stacked chart for worked, holidays, absence hours by day + slicers. First the SSE version of this page has to be approved by Daniel P. and the inserted here too. 20/05 Tim Watts has not provided his feedback yet on the page in SSE report.24/06 pages were replicated to the reports by NR, still no feedback from Tim if the inital page in SSE is approved.</t>
  </si>
  <si>
    <t>Create PBI Absence Report for JL; 19/05to add aditional page with stacked chart for worked, holidays, absence hours by day + slicers. First the SSE version of this page has to be approved by Daniel P. and the inserted here too. 24/06 The report is now live in its own workspace - SP
Confirm Pay Code categories with Martin F;
14/01/2022: Draft presented last week, awaiting feedback from Martin F</t>
  </si>
  <si>
    <t>Agent Telephony per TM</t>
  </si>
  <si>
    <t>To create daily and monthly version of this weekly report</t>
  </si>
  <si>
    <t>Plymouth CMSR</t>
  </si>
  <si>
    <t>To check if the report is correct, Plymouth has low SLA in the overall table. All is correct the low result was due to Manila's low SLA for the day. Michaela is notified and for all the JL CS splits included into the report.</t>
  </si>
  <si>
    <t>JL and Waitrose Flash report</t>
  </si>
  <si>
    <t>To check on the new KPI metrics in the report if displayed correctly</t>
  </si>
  <si>
    <t>Site tracker Import file for Plymouth CMSR</t>
  </si>
  <si>
    <t>OB Calls Report</t>
  </si>
  <si>
    <t>OB Calls Report - request to add new code Flybe Voice and PetsPyjamas code</t>
  </si>
  <si>
    <t>Daniel Abrehart-Smith</t>
  </si>
  <si>
    <t>JLTS MI , the team has found some discrepancy of 1 call ,between BO data and their sql server , asking us to investigate, it was happening from time to time and they want to know why. We send them a BO report showing the calls by disposition, at the at Kyle closed the request saying they found some out flows call cause the disrepancy in their reporting.</t>
  </si>
  <si>
    <t>add to the DL - Mandy.Holford@sitel.com</t>
  </si>
  <si>
    <t>Reporting team</t>
  </si>
  <si>
    <t>List with UK servers was sent to Gary Ramm, so he can notify us in advance if any changes in the path wil be done to any of those servers.</t>
  </si>
  <si>
    <t>UK servers restructure</t>
  </si>
  <si>
    <t>t-uk-gen-tel-ob sql table</t>
  </si>
  <si>
    <t>DD,  Mohd Najam &lt;Mohd.Najam@sitel.com&gt;, Stephen Caffull &lt;stephen.caffull@sitel.com&gt;, Lopito Oliva Jr. &lt;Lopito.Oliva@sitel.com&gt;,  Julie Bullock &lt;julie.bullock@sitel.com&gt;</t>
  </si>
  <si>
    <t xml:space="preserve">27/1 -  request for new GMRs for OVO from Ben Hardy &lt;Ben.Hardy@sitel.com&gt;;
01/2 - I've sent an e-mail to Ben Hardy &lt;Ben.Hardy@sitel.com&gt; with GMRs templates and with questions for some of the metrics, KPIs. I am waiting for feedback;
05/2 - Still waiting for Ben's feedback;
16/2 - I've sent an e-mail to Ben with examples of Pay Code Names and Project Names; I am waiting for Ben's feedback regarding skill IDs, Pay Code Names and Project Names;
23/2 - No feedback received; 
28/2 - Nofeedback received; Put in status "Pending";
03/3 - Ben asked me for 3 of the KPIs and I sent him feedback from which file I can take the data; I'm waiting for Ben's feedback;
14/3 - Meeting with Ben Hardy has been organised for 15th of Mar to discuss the KPIs;
15/3 - Discussed with Ben how to gather the needed information and waiting for Ben's feedback; The GMR Report draft version was updated according to Ben's requirements;
30/3 - Request from Ben to add tabs for Feb 2022 and Mar 2022 with data I have at the moment
31/3 - The file was updated with the data I have for Jan 22, Feb 22, Mar 22.
-TTC hours, MI Absence hours, Holiday-Paid - GB
- gross margin
- BTP %
Waiting for Ben's feedback
05/4 - The draft version of the GMR will be updated once a week with the available data I have and still waiting Ben's feedback for other KPIs;
04/5 - Still waiting Ben's feedback for other KPIs; Still waiting to have access to Benoit Deconinck &lt;benoit.deconinck@sitel.com&gt; file and to take gross margin data from Benois's file. Ben sent a chase e-mail to Benoit;
10/5 - I've written to Ben that I still don't have access to Benoit's file regarding the gross margin data for May 2022; The task is put on 'pending status';
23/5 - I've already have the data for other KPIs - Ben told me from where I can take the data; Ticket is raised as I need to have access to the Benois's DMT file; The file is updated for Apr 2022 and May 2022; Waiting for Ben's feedback and access to the DMT file;
31/5 - I've already have an access to DMT; Need to clarify with Ben 3 new KPIs added by him;
14/6 - Ben told me to leave the 3 new KPIs blank for the time being….. Tim Watts is working on getting the data in to Power BI and then I will be able to take the data for these 3 KPIs from Power BI.
17/6 - Still don't have any feedback regarding my e-mail with summarised steps for other KPIs.
20/6 - The report is ready; Once Tim is ready with other 3 KPIs I will start updating them too;
23/6 - The task is closed;
</t>
  </si>
  <si>
    <t>New GMR for OVO</t>
  </si>
  <si>
    <t>GMRs by LOB for Virgin Media in Maxim</t>
  </si>
  <si>
    <t xml:space="preserve"> Adam Mottershead &lt;Adam.Mottershead@sitel.com&gt;; Helen Breslin &lt;helen.breslin@sitel.com&gt;, Phill Cronin &lt;phillip.cronin@sitel.com&gt;,  Jason Allenby, DD  </t>
  </si>
  <si>
    <t>Phill Cronin &lt;phillip.cronin@sitel.com&gt;</t>
  </si>
  <si>
    <t>Adding selina.paul@sitel.com in the permission list of the SSE MI Combined Report in power bi</t>
  </si>
  <si>
    <t>28/6 - Done</t>
  </si>
  <si>
    <t>Done for July</t>
  </si>
  <si>
    <t>Removing Jeremiah Completo &lt;jeremiah.completo@sitel.com&gt; from the DL of the Shark Ninja Quality Report</t>
  </si>
  <si>
    <t>30/6 - Done;</t>
  </si>
  <si>
    <t>15/6 - Request from Lopito to add these 3 new skills and the new LOB in all my on going SSE Reports; Skills is already mapped; Skills will go live on 27th of Jun 2022;
16/6 - I am waiting for Caffull's feedback regarfing forecasts of the new LOB and 'Queue Name' of the LOB; The skills and new LOB are already added in my on going SSE Reports, I should check if there are calls on these skills on 28th of Jun 2022;
28/6 - The splits and new LOB are visible in the SSE Reports; Checking with Mohd Najam &lt;Mohd.Najam@sitel.com&gt;, Stephen Caffull &lt;stephen.caffull@sitel.com&gt;, Lopito Oliva Jr. &lt;Lopito.Oliva@sitel.com&gt; and Julie Bullock &lt;julie.bullock@sitel.com&gt; why in the Interval Report I have forecast for the new LOB while in the MI Report I don't have forecast data for the new LOB;
The new Queue name is added and the forecasts are already visible in the MI Report too;</t>
  </si>
  <si>
    <t xml:space="preserve">ticket has been resolved now, to add data was missing. Duplicates have been found to remove them 30/06 duplicate values were removed from the table (6800 rows), but the reason why they were duplicated is not clear, there is not any obvous logic behind it. </t>
  </si>
  <si>
    <t>Adding Jeffrey Bonilla &lt;Jeffrey.Bonilla@sitel.com&gt;; Kevin Garcia &lt;Kevin.Garcia5@sitel.com&gt;; Lopito Oliva Jr. &lt;Lopito.Oliva@sitel.com&gt; in the DL of the SSE Absence Report Daily</t>
  </si>
  <si>
    <t>04/7 - Request from Stephen Caffull &lt;stephen.caffull@sitel.com&gt; to add them in the DL; Done;</t>
  </si>
  <si>
    <t>ST/PL</t>
  </si>
  <si>
    <t>Heidi Gravesen</t>
  </si>
  <si>
    <t>PL</t>
  </si>
  <si>
    <t>Calls have been transferred; chat details built; confirmed with operations that we can cancel the Excel version and use the PBI report instead</t>
  </si>
  <si>
    <t>Virgin Media IT Trackers</t>
  </si>
  <si>
    <t>Hi Silviya,
I think if it just a running document that shows all the dates, we don’t need restrict it like we do the actual trackers as it is to just view and not update.
We need one document that pulls in for each site please. It just needs to pull the information we see under the ‘Issues Report’ section. It is so they can see if we have rejected or approved an IT issue. 
Everyone needs to have access to it please under all sites:
Maxim
Newcastle
Manchester
Stockton
Sheffield
Swansea 
Stratford
Plymouth</t>
  </si>
  <si>
    <t>Adding additional tab with agent data in the SSE Absence Report Daily</t>
  </si>
  <si>
    <t>Jeffrey Bonilla &lt;Jeffrey.Bonilla@sitel.com&gt;</t>
  </si>
  <si>
    <t>DD, Jeffrey Bonilla</t>
  </si>
  <si>
    <t>04/7 - Request from Jeffrey Bonilla &lt;Jeffrey.Bonilla@sitel.com&gt; to add additional tab with agent data in the SSE Absence Report Daily and to send him the agent data from the beginnigng of the year till Jun 2022;
05/7 - I've copied the current SSE Absence Report Daily and named it - SSE Absence Report Daily (incl. Agent Data). The tab with agent data was added in the SE Absence Report Daily (incl. Agent Data) and the report will be sent only to Jeffrey, Stephen Caffull and Kevin Garcia on a daily base around 07:30 AM GMT;</t>
  </si>
  <si>
    <t>SSE MI Combinede report for whole 2021</t>
  </si>
  <si>
    <t>08/7 - Request from Roy Rondy Lemi &lt;RoyRondy.Lemi@sitel.com&gt; to send the SSE MI Combined Report for whole 2021; Done;</t>
  </si>
  <si>
    <t>Roy Rondy Lemi &lt;RoyRondy.Lemi@sitel.com&gt;</t>
  </si>
  <si>
    <t>Adding and removing people from the DL of the Elavon Inbound Outbound Calls Report</t>
  </si>
  <si>
    <t>08/7 - Request from Paul Thayre &lt;Paul.Thayre@sitel.com&gt; to replace him with amy.hollingworth@sitel.com in the DL of the report;Done</t>
  </si>
  <si>
    <t>Stratford and Coventry absence % for 2021, 2022. Jessica was added to the UK Absence PBI report</t>
  </si>
  <si>
    <t xml:space="preserve">Jessica Sage </t>
  </si>
  <si>
    <t>SSE skill 517 Inbound Outbound calls</t>
  </si>
  <si>
    <t>06/7 - Request from Michelle Jones &lt;michelle.jones@ovo.com&gt; to send Inbound and Outbound calls for skill 517;
07/7 - Sent the report to Caffull;
11/7 - Caffull sent the report to Michelle Jones &lt;michelle.jones@ovo.com&gt;;</t>
  </si>
  <si>
    <t>Michelle Jones &lt;michelle.jones@ovo.com&gt;</t>
  </si>
  <si>
    <t>Adding Amy Hollingworth &lt;Amy.Hollingworth@sitel.com&gt; in the Coventry Absence Report Daily</t>
  </si>
  <si>
    <t>11/7 - Request from Amy Hollingworth &lt;Amy.Hollingworth@sitel.com&gt; to add her in the DL of the report; Done;</t>
  </si>
  <si>
    <t>Kingston Absence - Monthly</t>
  </si>
  <si>
    <t>Marie Gustafsson</t>
  </si>
  <si>
    <t>Create a monthly report, similar to the existing Kingston Absence, that shows data on monthly intervals. Report is ready, waiting for feedback.</t>
  </si>
  <si>
    <t>Adding John Symonds &lt;John.Symonds@sitel.com&gt; in the DL the SSE MI Combined &amp; Interval Reports</t>
  </si>
  <si>
    <t>13/7 - Done</t>
  </si>
  <si>
    <t>John Symonds &lt;John.Symonds@sitel.com&gt;</t>
  </si>
  <si>
    <t>SSE Split ID 517 Outbound Calls Report</t>
  </si>
  <si>
    <t>JLCS</t>
  </si>
  <si>
    <t xml:space="preserve">add PLY JL Payments  LOB in the respective pages </t>
  </si>
  <si>
    <t xml:space="preserve">Michaela Young </t>
  </si>
  <si>
    <t>FCR rate</t>
  </si>
  <si>
    <t>update the data for may and june in the table with the one sent by Steve Flynn</t>
  </si>
  <si>
    <t xml:space="preserve">Add there people to the DL Gladdie Buenaobra gladdie.buenaobra@sitel.com
Jeane Getalado Jeane.Getalado@sitel.com
Zaida E. Reyes Zaida.Reyes@sitel.com
</t>
  </si>
  <si>
    <t>Maxim Absence Report Daily</t>
  </si>
  <si>
    <t>Karen Carswell &lt;Karen.Carswell@sitel.com&gt;</t>
  </si>
  <si>
    <t>add Karen Carswell &lt;Karen.Carswell@sitel.com&gt; to the DL</t>
  </si>
  <si>
    <t>ACW Figures</t>
  </si>
  <si>
    <t>Birthday Card List</t>
  </si>
  <si>
    <t>provide the list for August</t>
  </si>
  <si>
    <t>Jelena Sunjic-Flory &lt;jelena.sunjic-flory@sitel.com&gt;</t>
  </si>
  <si>
    <t>BO issue caused for the report to not run, delay or have DIV# sign in the forecast cells. Multiple requests to check on the report</t>
  </si>
  <si>
    <t xml:space="preserve">Sonya Arcos &lt;Sonya.Arcos@sitel.com&gt;, Natalie Lubienski &lt;Natalie.Lubienski@sitel.com&gt;, Holly Hatton </t>
  </si>
  <si>
    <t>17/7 -Request from Abbie Cheyne &lt;Abbie.Cheyne@sitel.com&gt; to send calls received for Elavon SAN only for 2022; Done; Told Abbie that I can scheduled such a BO report on a monthly base and waiting for Abbie's feedback;</t>
  </si>
  <si>
    <t xml:space="preserve">Abbie Cheyne &lt;Abbie.Cheyne@sitel.com&gt; </t>
  </si>
  <si>
    <t>Elavon report for calls received for SAN only for 2022</t>
  </si>
  <si>
    <t>13/7 - Request from Michelle Jones &lt;michelle.jones@ovo.com&gt; to send the Outbound calls for skill 517 on a weekly base every Monday;
13/7 - The report was sent to Michelle Jones and he likes it;
13/7 - The report is schduled; I'm waiting for feedback if I should add other recepients in the DL of this return;
19/7 - Michelle Jones &lt;michelle.jones@ovo.com&gt; asked me to add Tony Challenger in the DL of the report; Done;</t>
  </si>
  <si>
    <t>Adding additional tab with agent data in the Coventry Absence Report Daily</t>
  </si>
  <si>
    <t>20/7 - Request from Nuz Khan &lt;Nuzhat.Khan@sitel.com&gt; to add her in the DL of the report;
Done;</t>
  </si>
  <si>
    <t>Nuz Khan &lt;Nuzhat.Khan@sitel.com&gt;</t>
  </si>
  <si>
    <t>Adding Nuz Khan &lt;Nuzhat.Khan@sitel.com&gt; in the DL of the Coventry Absence Report Daily</t>
  </si>
  <si>
    <t>PSA is pilot for Centrical platform; 
KPIs are defined and completed in the system; 
Test interface done; 
Awaiting client's apprioval to use the data for Centrical before we setup the rest of the KPIs;
QA Interfaces to be set, Awaiting new CSAT setup to start in 2022 in order to set CSAT interfaces;</t>
  </si>
  <si>
    <t>Creating new Power BI report for Hunter, including: metrix from the original one(done), Productivity and AUX codes (WIP);ST/DD - add AUX view; Emma Ibbotson to advice on the targets in order to adjust the conditional formatting; Waiting for Sud's comeback to discuss the CSAT reports from Zendesk; Waiting for Sud's feedback regarding CSAT data;Project is on hold - no feedback from operations side and no new requests submitted, will be continued as soon as the request is renewed</t>
  </si>
  <si>
    <t>Creating new Power BI report for VM; task is no longer active as there was no feedback/request from reuqestor's side (additional project with the UK team)</t>
  </si>
  <si>
    <t>Sitel Exeter Site Tracker 2022</t>
  </si>
  <si>
    <t>Regular report</t>
  </si>
  <si>
    <t>First suggestion was they would send us the consolidated Plymouth's data once a month, but it seems they prefer import file. 24/06 trying options for ways to improt data from excel to SQL. The same would be applied for Exter site tracker import file. Power automate gateway for SQL can't connect will try again on 04/07 using the net connection in the office. To find our if Site trackers files for Ply and Exeter will be still needed and to organize a way for the CSMR KPI data to reach us. 22/07 We will get the data monthly via email, import file won't be needed. Packages will be created for Ply and Exeter KPIs data so it can be transfered to SQL each month</t>
  </si>
  <si>
    <t>Exeter, Plymouth</t>
  </si>
  <si>
    <t>Site Trackers</t>
  </si>
  <si>
    <t>There is a new channel "customer relations" for this report which has a significant amount of contacts, and I asked Joanne if she wants us to add a page for this channel as well. 04/05/22 We will have a call soon about it, once Joanne has all the requirments clear for this additional page and other changes needed. 12/05 Last week Joanne said she will organize a meeting once she has clear idea what changes/additions are needed for the report. 23/06 meeting, waiting for a follow up with requirments July- no new meeting or requirments have been received, we are still waiting for Joanne to come back to us, for now the plan for changes is  on hold 22/07 2 meeting were held during this week Joanne and Zendesk team (Steve, Darren) submitted the new requirments for the Flybe MI. Most of the zendesk data columns will be removed from the report, new logic and pbi visual will be applied. Next meeting schedualed for the next week to review the draft and make it live on Wednesday same week. 28/07 all requirments have been applied, the newest one for spliting the category path into different levels too.</t>
  </si>
  <si>
    <t>Plymouth Unapproved/Unscheduled Hours - Daily</t>
  </si>
  <si>
    <t>Resend the report and include Matt Celeveland in the DL</t>
  </si>
  <si>
    <t>Matt.Cleveland@sitel.com</t>
  </si>
  <si>
    <t xml:space="preserve">Exeter Absence Report Daily </t>
  </si>
  <si>
    <t>Ad-hoc to extract info about who is registered as WFH for Flybe</t>
  </si>
  <si>
    <t xml:space="preserve">Joanne Griffiths </t>
  </si>
  <si>
    <t>UK Sickness Hours Report</t>
  </si>
  <si>
    <t xml:space="preserve">To add Swansea to the report </t>
  </si>
  <si>
    <t xml:space="preserve">Victoria Comber </t>
  </si>
  <si>
    <t>To Remove Jennifer Fitness &lt;jen.fitness@waitrose.co.uk&gt; from the DL, Explained she is not in it and she probably is in any of the Waitrose groups, this is why she is receiving it. The list of the Waitrose groups is given as required.</t>
  </si>
  <si>
    <t>Split the category path into levels</t>
  </si>
  <si>
    <t>Telephony Dashboard</t>
  </si>
  <si>
    <t>AUX and Staff Time does not appear in the report - we are asked to investigate. The conclusion was both metrics were under Split 0 which should not appear in the report, Jedi splits appreas like this to be mapped in COR. Now it has been mapped as 1778.</t>
  </si>
  <si>
    <t>Alex Wilson</t>
  </si>
  <si>
    <t xml:space="preserve">Telephony Dashboard data </t>
  </si>
  <si>
    <t>Agents are not showing for WC 18.07 for TM Meriem Gribou, Rabat, except for 1 - to investigate. The agents first day for this TM appears to be on 22.07 Friday, they were mapped on 25th of July via BO. Explained there is no ealier than 20/07 data for those agents and the backdate for 22.07 is now inserted in the report.</t>
  </si>
  <si>
    <t>Andrew Bartlett &lt;Andrew.Bartlett@sitel.com&gt;</t>
  </si>
  <si>
    <t xml:space="preserve"> Swansea IT tracker</t>
  </si>
  <si>
    <t>Jon Matthewson &lt;Jon.Matthewson@sitel.com&gt;</t>
  </si>
  <si>
    <t>Newcastle IT tracker</t>
  </si>
  <si>
    <t>To give access the following users: Aelwe003, Cthom323, Amott001</t>
  </si>
  <si>
    <t xml:space="preserve">
Adam Mottershead
</t>
  </si>
  <si>
    <t xml:space="preserve">Elavon Abandoned Calls Report_Updating the DL </t>
  </si>
  <si>
    <t>28/7 - Request from David Hitching &lt;David.Hitching@sitel.com&gt; to remove Paul from the DL of the report and add Amy instead of Paul;
02/8 - Done;</t>
  </si>
  <si>
    <t>Adding Carl Meehan &lt;Carl.Meehan@sitel.com&gt; in the Coventry Absence Report Daily</t>
  </si>
  <si>
    <t>29/7 - Request from Dawn Makins;
02/8 - Done;</t>
  </si>
  <si>
    <t xml:space="preserve">Dawn Makins </t>
  </si>
  <si>
    <t>Renaming skill 1691</t>
  </si>
  <si>
    <t>27/7 - Request from Lopito Oliva Jr. &lt;Lopito.Oliva@sitel.com&gt; to rename skill 1691;
02/8 - Done;</t>
  </si>
  <si>
    <t>Virgin Media MI Report_Updating the DL</t>
  </si>
  <si>
    <t>02/8 - Request from Lee Hugill &lt;Lee.Hugill@sitel.com&gt; to removeMusfata Maddar &amp; Conner Lake from the DL of the report and add Sophie.Bradley@sitel.com &amp; Selina.Paul@sitel.com instead of them;
02/8 - Done;</t>
  </si>
  <si>
    <t xml:space="preserve">Lee Hugill &lt;Lee.Hugill@sitel.com&gt; </t>
  </si>
  <si>
    <t>missmatch between offered calls and the number of answered and dropped calls; reason has been identified (formula in the background adding voicemail) and there is a temporary solution in place; to be discussed with Paul Lane// Offered Calls Adjusted formula was clarified on 03.08 and SL% was adjusted accordingly</t>
  </si>
  <si>
    <t>SSE-GE report issue</t>
  </si>
  <si>
    <t xml:space="preserve">information cannot be transferred to iCoach due to data conversion problem; advised the requestor to raise a ticket to COR as they are owners of the report (Task ID: 116161, Job ID: 175901527)
</t>
  </si>
  <si>
    <t>COR</t>
  </si>
  <si>
    <t>Marlon.Tapucar@sitel.com</t>
  </si>
  <si>
    <t>Mailbox JL Dandi</t>
  </si>
  <si>
    <t>To add Stockton on Tees, Manchester and Sheffield in the report</t>
  </si>
  <si>
    <t>He reported for an use "Access DB is currently in use". I have checked and we can't replicate the issue from our side, the tracker works and it is fine now. 01/08 advised to check with local IT if his Access drivers work properly, as the error states issue with them</t>
  </si>
  <si>
    <t>20/7 - Request from Amy Hollingworth &lt;Amy.Hollingworth@sitel.com&gt; to add additional tab with agent data;
Done;</t>
  </si>
  <si>
    <t>To investigate ACW figures formula. The people from that team have asked us for an advice regarding this formula in a report. 28/07 Last week I suggested them to better ask Ops for an opinion on this as they are the end users, no reply yet from the JL team. SP looking for a formula that might be applied to cover the scenarios needed. 08/08 asked them to provide the current formula that needs revision and where do they need it , is it SQL or somewhere else 10/08 the JL Dandi Team has decided to close the request, after getting an explanation for the two metrics from IT system admin, and considering no one has ever requested the ACW formula to be changed in a way.</t>
  </si>
  <si>
    <t>Michael.OBrien2@elavon.com</t>
  </si>
  <si>
    <t>Adding agents' inbound and outbound calls in the SSE GLA SSE HOCS - Daily</t>
  </si>
  <si>
    <t>DD, Keith Eadie &lt;Keith.Eadie@sitel.com&gt;</t>
  </si>
  <si>
    <t>Exporting the data for 2022 full year-Elavon Inbound Outbound Calls Report</t>
  </si>
  <si>
    <t>Adding new receivers in the DL of the SSE Split ID 517 Outbound Calls Report</t>
  </si>
  <si>
    <t>09/8 - request from Michelle Jones &lt;michelle.jones@ovo.com&gt; to add eric.tse@ovo.com and brian.smith@ovo.com in the DL of the report;
11/8 - Done;</t>
  </si>
  <si>
    <t>add ‘Gastro’  and  ‘Field Action’ skills - both not mapped from operations side, so we cannot complete the task yet; request was cancelled after a call on 03.08 due to the low number of calls on the skill; skills mapped and added to the report on 11.08</t>
  </si>
  <si>
    <t>MTD Yearly Absence Report</t>
  </si>
  <si>
    <t>TCD Ad-hoc</t>
  </si>
  <si>
    <t>Data for the past 6 months for Product Level Type 1 with values "Computers" And " TV &amp; Connected"</t>
  </si>
  <si>
    <t>15/8 - Request from Stephen Caffull &lt;stephen.caffull@sitel.com&gt; to add Ian Northmore &lt;Ian.Northmore@sitel.com&gt; in the DL of the report; DOne</t>
  </si>
  <si>
    <t>Adding Ian Northmore &lt;Ian.Northmore@sitel.com&gt; in the DL of the SSE Absence Report Daily (incl. Agent Data)</t>
  </si>
  <si>
    <t>09/8 - Request from Keith Eadie;
10/8 - The additional tab with needed data is already aded; I'm waiting for Keith's feedback;
11/8 - Done;</t>
  </si>
  <si>
    <t>Brother Combined</t>
  </si>
  <si>
    <t>adding an AUX view with time values (currently available only as %)</t>
  </si>
  <si>
    <t>Tom.Shepherd-Rowe@sitel.com</t>
  </si>
  <si>
    <t>Adding Troy Barnaschone &lt;Troy.Barnaschone@sitel.com&gt; in the DL of the reports</t>
  </si>
  <si>
    <t>19/8 - Done;</t>
  </si>
  <si>
    <t>MI</t>
  </si>
  <si>
    <t>To check extension not valid error -done</t>
  </si>
  <si>
    <t>Calls received by intervals</t>
  </si>
  <si>
    <t>Extract calls received by hour for July 22</t>
  </si>
  <si>
    <t>Flybe MI PBI</t>
  </si>
  <si>
    <t>To scheduale the report's refresh for an earlier hour - done</t>
  </si>
  <si>
    <t>Elavon Inbound Outbound Calls Report for Jul 2022</t>
  </si>
  <si>
    <t xml:space="preserve">22/8 - request from Tarrin to send her a report that shows all calls in to our SAN line for the month of July 2022; DOne </t>
  </si>
  <si>
    <t>Michael Cornelius</t>
  </si>
  <si>
    <t>Lopito Oliva Jr. &lt;Lopito.Oliva@sitel.com&gt;; Diana Dimitrova &lt;Diana.Dimitrova@sitel.com&gt;; Nancy Dingcong &lt;nancy.dingcong@sitel.com&gt;; Stephen Caffull &lt;stephen.caffull@sitel.com&gt;; Ryan John Cendaña &lt;RyanJohn.Cendana@sitel.com&gt;;Riolyn Orejudos &lt;Riolyn.Orejudos@sitel.com&gt;; Maricille Bendiro &lt;maricille.bendiro@sitel.com&gt;; DD;</t>
  </si>
  <si>
    <t>Frederick Bulaoro &lt;Frederick.Bulaoro@sitel.com&gt; , Amy Hollingworth &lt;Amy.Hollingworth@sitel.com&gt;, DD, Tristan Jon Buela &lt;TristanJon.Buela@sitel.com&gt;</t>
  </si>
  <si>
    <t>Adding new 'Calls Answered within 10min' column in SSE Backdating Report_Intervals &amp; SSE Backdating Report_Intervals (Hourly Version)</t>
  </si>
  <si>
    <t>22/8 - A new bucket needs to be added; Lopito and Bong are working on this task; I expect the new bucket to be visible;
25/8 - new columns were adde:
Calls Ans Over 10 minutes
Calls AbanOver 10 minutes
Calls answered within 10 minutes
Done;</t>
  </si>
  <si>
    <t>Exporting the data for July 2022 Elavon Inbound Outbound Calls Report</t>
  </si>
  <si>
    <t>22/8 - Request fromTarrin Reynolds &lt;Tarrin.Reynolds@sitel.com&gt;; Report for July was sent;
24/8 - Scheduled the BO report on a weekly basis as Tarrin asked me for it;
Done</t>
  </si>
  <si>
    <t>Tarrin Reynolds &lt;Tarrin.Reynolds@sitel.com&gt;;</t>
  </si>
  <si>
    <t>Tarrin Reynolds &lt;Tarrin.Reynolds@sitel.com&gt;; DD</t>
  </si>
  <si>
    <t>27/6 - Request fromPhill Cronin &lt;phillip.cronin@sitel.com&gt; for producing GMR by LOB for VM in Maxim;
E-mail was sent to Adam Mottershead &lt;Adam.Mottershead@sitel.com&gt;; Helen Breslin &lt;helen.breslin@sitel.com&gt; (Cc: Phill Cronin &lt;phillip.cronin@sitel.com&gt;)  with GMRs templates and with questions for some of the metrics, KPIs, asking for access to the sharedrive where Jason Allenby  save the DMT file for Virgin Media. I am waiting for feedback;
01/7 - Jason Allenby will produce the DMT file and Iveta Simeonova will save it on the particular share drive as Jason doesn't have access;
04/7 - draft version of the report is ready and waiting for Adam's feedback;
11/7 - Adam sent me the KPIs that should be added in the GMR report;
12/7 - The KPIs are added and I am waiting for Adam's feedback; 
02/8 - Adam asked to remove some KPIs - Done;
15/8 - Sent an e-mail to Adam and asked him if I should do anything else on my end and who will update the GMR Report; Waiting for Adam's feedback;
24/8 - Today I will have a meeting with Adam;
25/8 - The GMR for Virgin Media Maxim is now ready and will not be updated by me.
Done;</t>
  </si>
  <si>
    <t>04/8 - Request from Michael.OBrien2@elavon.com to send Elavon Inbound Outbound Calls Report for 2022 full year; Ticket 8350406 was raised as I saw that answered calls for skill 1539 are missing in the report;
08/8 - I'm waiting for ticket to be resolved; E-mail was sent to O'Brien, Michael S &lt;Michael.OBrien2@elavon.com&gt; to inform him that we have an issue wit raw data and if he need the report urgently I can send you the calls for the whole 2022 year in other format;
10/8 - I'm waiting for O'Brien, Michael S &lt;Michael.OBrien2@elavon.com&gt;  feedback;
15/8 -Skills should be mapped correctly by Tristan Jon Buela &lt;TristanJon.Buela@sitel.com&gt; as there are skills not tied up to properVDNs;
22/8 - Frederick Bulaoro &lt;Frederick.Bulaoro@sitel.com&gt; just needs to have the mapping details for other VDN missing 4490126 and then to run remedy process to cover the historical dates. I'm expecting feedback from Amy;
24/8 - Amy sent the missing details for mapping VDN 4490126; 
Frederick already uploaded the mapping in COR data management site.
The remedy process for historical data should be run later yesterday  for the VDN and CALL_FACT.
Frederick will start checking the data tomorrow
25/8 - Report was sent to the customer; Done;</t>
  </si>
  <si>
    <t>PLY JL Customer Service</t>
  </si>
  <si>
    <t>To add the skill PLY JL HS Flooring and separate Core Home Service showing all the LOBs it consists of in the slicers</t>
  </si>
  <si>
    <t>Mailbox John Lewis Dandi</t>
  </si>
  <si>
    <t>JLTS</t>
  </si>
  <si>
    <t>Andrew Warren &lt;andrew.warren@sitel.com&gt;</t>
  </si>
  <si>
    <t>IT Tracker Update</t>
  </si>
  <si>
    <t>SSE Absence Report Daily - missing agents for Scottish and Southern Energy CS</t>
  </si>
  <si>
    <t>To add Jedi skill and dispay data in the inbound sheet of the reprot. - not done.  To add 4 new Plymouth skills for telephony data. - done</t>
  </si>
  <si>
    <t>ST/NA</t>
  </si>
  <si>
    <t>Biosense &amp; Ethicon</t>
  </si>
  <si>
    <t>ST: create a customer specific report in BO and transfer from Access to SQL; NA: update Excel</t>
  </si>
  <si>
    <t>agents missing rom the report; employees were mapped incorrectly - ext added to their profiles instead of Avaya Logins; Operations ti fix the mapping</t>
  </si>
  <si>
    <t>Adding skill 1973 in my current SSE Reports</t>
  </si>
  <si>
    <t>DD, Lopito Oliva Jr. &lt;Lopito.Oliva@sitel.com&gt;</t>
  </si>
  <si>
    <t>13/9 - Checked the skill mapping in COR and informed Boyet that the mapping was incorrect; Add the skill to the report;
14/9 - Checked if the skill is visible in the report;
9/14 - Done;</t>
  </si>
  <si>
    <t>Removing 3 surveys from SSE Smart CSAT NPS Tracker Report</t>
  </si>
  <si>
    <t>14/9 - Done</t>
  </si>
  <si>
    <t xml:space="preserve">Could you make the following fields on all IT trackers required to be filled out please. When TM &amp; COM is blank, it doesn’t submit the entry so if they could be stopped from submitting then that will help. 
• Team Manager
• COM
• Campaign
• Issue/Description
Can you also add something next to the start and end times to say 24 hour format please. 
</t>
  </si>
  <si>
    <t xml:space="preserve">Add SIOX tickets to table in sheet briefing sheet table
</t>
  </si>
  <si>
    <t>John Lewis Dakota Flash Report</t>
  </si>
  <si>
    <t>Mandy Holford &lt;Mandy.Holford@sitel.com&gt;</t>
  </si>
  <si>
    <t>Mandy Holford requested e new Flash Report to be created for specific 4 Splits</t>
  </si>
  <si>
    <t xml:space="preserve">John Lewis Dakota Flash Report </t>
  </si>
  <si>
    <t>Enola Dagorne &lt;Enola.Dagorne@sitel.com&gt;</t>
  </si>
  <si>
    <t>17/9 - Done</t>
  </si>
  <si>
    <t>Elavon IB Calls MTD - Adding Abbie in the DL, sending calls for Jul-Sep 2022</t>
  </si>
  <si>
    <t>New OOH Skills</t>
  </si>
  <si>
    <t>add outbound calls to daily Dashboard</t>
  </si>
  <si>
    <t>request for adding outbound call details to the Brother Daily Dashboard; 29/09 - new BO report for outbound created</t>
  </si>
  <si>
    <t>27/09 - new skills added to the daily report, but no activity for 27-29th; 30/09 - email from PL confirming a test call to check the lines that should be visible on Monday; 03/10 - wrong mapping (listed as Lexmark), sent to PL to update; 04/10 - skill mapping updated and all is now visible in the report</t>
  </si>
  <si>
    <t>Daily Dashboard - update AHT target</t>
  </si>
  <si>
    <t>change AHT target from 450 to 480 s</t>
  </si>
  <si>
    <t>Lesley Bell &lt;Lesley.Bell@sitel.com&gt;</t>
  </si>
  <si>
    <t>Shark Ninja Quality Report_TM slicer</t>
  </si>
  <si>
    <t>DD, Lesley Bell &lt;Lesley.Bell@sitel.com&gt;</t>
  </si>
  <si>
    <t>31/8 - John Symonds &lt;John.Symonds@sitel.com&gt;'s emailed me that there are missing agents in Scottish and Southern Energy CS. Sent him the agents to review and check the missing ones. Advised him to check the mapping of the missing agents. 
01/9 - I sent to John screnshots so he could see that the mapping is not correct and advised him to raise a ticket or to contact the colleague who mapped the employees;</t>
  </si>
  <si>
    <t>Added Justin Barker &lt;Justin.Barker@sitel.com&gt; in the Dl of the  SSE Absence Report Daily</t>
  </si>
  <si>
    <t>10/10 - Done</t>
  </si>
  <si>
    <t>Marie Gustafsson &lt;Marie.Gustafsson@sitel.com&gt;</t>
  </si>
  <si>
    <t>28/6 - request from Syed Anwar &lt;Syed.Anwar@sitel.com&gt; to produce Shark Ninja - Quality Dashboard;
30/6 - I've sent draft version of the report to Syed Anwar &lt;Syed.Anwar@sitel.com, Adele Clark &lt;Adele.Clark@sitel.com&gt; and Jeremiah Completo &lt;jeremiah.completo@sitel.com&gt; and I'm waiting for feedback;
07/7 - Syed will review the report and will ask Adele to give me feedback;
13/7 - I've written to Syed and Adele with request to give me feedback;
14/7, 15/7 and 16/7 - I've sent version of the report to Adele and Syed and I'm waiting for feedback;
19/7 - Syed is fine with the last version of the report; Silviya will start sending the report on a weekly base from next Monday (26th of Jul); Syed wants another changes to be made in the report after my annual leave;
11/8 - Sent updated version of the report with required changes; Waiting for feedback from Syed;
16/8 - Wrote to Adele that I'm waiting feeddback from her and Syed for the last version of the report;
11/8 - Producing new version of the report with dashboard; Will present the new version on the meeting tomorrow;
13/8 - Presented the new version of the reprot with added two dashboard tabs to Syed; Waiting for feedback from Syed and Adele;
16/8 - Wrote to Adele that I'm waiting for feedback from her and Syed for the last version of the report;
23/8 - I wrote to Syed for feedback; No feedback received;
26/8 - I wrote to Syed for feedback; Syed told me that he is waiting for Adele's feedback; I will start sending the new version once I had Adele's feedback;
01/9 - put on "Pending" till I receive feedback;
11/11 - Status "Cancelled"</t>
  </si>
  <si>
    <t>DD, David Hitching &lt;David.Hitching@sitel.com&gt;</t>
  </si>
  <si>
    <t>TCD Export for John Lewis</t>
  </si>
  <si>
    <t>05-10 - To update the TCD package. Darren and Steve will send ud the names and data type of the new columns 10-10 they sent us the information and the package has been updated accordingly</t>
  </si>
  <si>
    <t>EXE JL Escalation &amp; Assist - Abandoned 2022-10-04</t>
  </si>
  <si>
    <t>Chris Blythe &lt;chris.blythe@sitel.com&gt;</t>
  </si>
  <si>
    <t>Done in September</t>
  </si>
  <si>
    <t>Done in August</t>
  </si>
  <si>
    <t>DD,Stephen Caffull &lt;stephen.caffull@sitel.com&gt;, Lopito Oliva Jr. &lt;Lopito.Oliva@sitel.com&gt;, Ian Northmore &lt;Ian.Northmore@sitel.com&gt;</t>
  </si>
  <si>
    <t>Selina Paul &lt;Selina.Paul@sitel.com&gt;</t>
  </si>
  <si>
    <t>DD, Selina Paul &lt;Selina.Paul@sitel.com&gt;</t>
  </si>
  <si>
    <t>Adding the amount of cases raised in the Virgin Media MI Report</t>
  </si>
  <si>
    <t>Adding new LOB and 2 new skills (2382, 2383) in the SSE Reports</t>
  </si>
  <si>
    <t>11/10 - Request from Selina to add the amount of cases raised (Salesforce) as Selina wants to have the amount of calls vs the amount of cases raised (Salesforce) on the employee basis.
12/10 - I emailed Selina to let me know if she can send us the the data coming from Salesforce on a daily basis (the amount of cases raised for VM). I am waiting for Selin's feedbback.
12/10 - Selina emailed me tha she can send me daily raised cases from Salesforce but Lee has asked her to put this on hold for now and she will get back to me soon;
13/10 - Put on status Pending.</t>
  </si>
  <si>
    <t>Brother outbound report</t>
  </si>
  <si>
    <t>Brother have requested a telephony breakdown report on the 1st of each month and on a daily basis</t>
  </si>
  <si>
    <t>Jl And Waitrose</t>
  </si>
  <si>
    <t>JL &amp; Waitrose Absence Report v2.1</t>
  </si>
  <si>
    <t>To limit the report for 2022 only</t>
  </si>
  <si>
    <t xml:space="preserve">Mandy Holford </t>
  </si>
  <si>
    <t>Flash report and JLTS</t>
  </si>
  <si>
    <t>Chris Hudson</t>
  </si>
  <si>
    <t>Issue with the report, data was not uptdating, its source from BO was failing to save to the drive, now it is fixed</t>
  </si>
  <si>
    <t>JLCS MI Forecast Figures for Dakota</t>
  </si>
  <si>
    <t>to add the forecasts for Dakota skills</t>
  </si>
  <si>
    <t>Setting up exports , Schedualed meeting for March 2nd. Kyle gave all his requirments, he will communicate with the client the possibility for the report to be transefered to Power BI. 23/03/22 - Kyle will setup up some reports and will scheduale them to be sent to our CRT mailbox. He said Power BI might be an option but not at least for another few months. Kyle has schedualed to send us via email one of the files for the report setup, and a package was made for it on 05/04/22. We are waiting for several more files. 14/04 Phyton and job have been set up for this file on Monday (18.04) we will confirm with Kyle the file format worked fine, so he can scheduale and send us the remaining (4-5 files) for setting them up too. 20/04 Kyle said they will hit the limit of schedualing files with the tool they are using so maybe this won't be the way to go (sending to us several more files in the CRT). Their daily update proccess might change soon, so he said he would contact the client to know what does the client needs from this reporting and Kyle will contact us once he has any updates. 12/05 No new updates 24/06 no new update, will email them to ask if any 04/07 JL are working for direct access to SalesForce 17/10 the Dandi team had put this task on hold. Will confim if the task is closed now.</t>
  </si>
  <si>
    <t xml:space="preserve">04/11 -Request from Martin Ferguson &lt;Martin.Ferguson@sitel.com&gt; for producing of SSE Productivity Report; Martin will organise meeting next week to clarify the requirements;
11/11 - Draft version of the report is ready to be presented on the meeting today;
15/11 - Meeting with Martin, Daniel Piper and other involved colleagues to present the draft version of the report, to discuss and clarify the requirements again; 
18/11 - The report is produced in power bi; 
23/11 - Meeting ith Martin and Ahmed, request from Martin to add Call Offered anf Call Offered vs Forecasted Calls; I've added these metrics, but they are on LOB level as the Forecasted calls, all ather metricas are on agent level and for skills - 506, 507, 512 and 360; Wil present the new metrics on the meeting tomorrow and will discuss the changes; I've sent the list with unmapped agents to Martin and waiting the agents to be mapped;
26/11 - Meeting with Martin &amp; other involved colleague to show the changes/improvements in the power bi report;
30/11 - I've given access to the power bi app to the list of colleague sent me by Martin; I am waiting for feedback from Martin and other colleagues;
02/12 - Yesterday I've received new reqirements regarding the power bi report; Tomorrow will show the changes on the meeting;
07/12 - Discussing the changes with Ahmed, waiting for feedback;
14/12 - meeting with Martin, Daniel and Stephen to discuss the report. Need to make some changes; I'm working on the requirements;
22/12 - All desired changes from the meeting on 14th of Dec 2021 are made and approved by Daniel;
29/12 - I've excluded the TMs who are logging into Avaya from the report  due to  Dan Piper's request;
05/1 - Daniel wants in tab Comments to be possible to enter the comments; Willl discuss with Nik;
07/1 - We talked that from the beginning of the year Newcastle (East), UK will appear in the report;  At the moment there isn't any data for site Newcastle; I've asked Daniel if he know when we will have data in site Newcastle;Daniel told me to cotact Debbie; Debbie Johnson &lt;debbie.johnson@sitel.com&gt; told me that the first calls will start on Monday - 10th of Jan 2022; On 11th of Jan 2022 I am going to check if there is any data for Newcastle;
12/01 - Asked Daniel if I have to add another skills in the power bi report because in one of Martin's e-mail there is the following note:
"Points to NoteOVO sub-campaign will be added next year; this will use C-CAS reporting; however the data should be available in our warehouse.Newcastle Site will go-live by 4th January with 30 agents.  They should appear automatically under GE when they go-live"; Daniel will discuss this with Stephen Caffull and will give me feedback;
16/2 - Working on tab Comments;
11/3 - Request for adding SSE Avaya Worked Hours &amp; SSE Kronos Worked Hours as a separate sheet in the current power bi report;
15/3 - The new tab with added SSE Avaya &amp; Kronos Worked Hours is presented;
04/4 - Already had the invoiced hours for Jan 2022 and Feb 2022 and will add them in the power BI 
26/4 - Invoiced Hours are added; waiting for Caffull's feedback;
16/5 - Projects 'Scottish and Southern Energy CS' &amp; 'SSE Business Energy' have Kronos Worked Hours, but don't have Avaya Worked Hours. Tim told me to leave all the projects for now. 
Tim will check the missing Avaya Worked Hours with the Ops and will send me feedback; 
17/10 - No feedback received. The task is closed.
</t>
  </si>
  <si>
    <t>25/3 - Request from Martin Ferguson &lt;Martin.Ferguson@sitel.com&gt; to creadte Power BI Report for VM and SSE;
01/4 - Request for creating a workspace; The workspace is created;
12/4 - I sent the missing managers to Rob last week; Yesterday I sent to Rob examples of eployees with missing agents in BO and waiting for agents to be mapped correctly;
09/5 - The formula for 'Absence % (Exc. Cov-19 &amp; LTS) has been corrected and there is no negative value in the Virgin Media Absence Reports. 'Missing Managers' tab has been added in the Virgin Media Absence Detailed  Report &amp; SSE Absence Detailed Report; Waiting for  Tim Watts feedback; Tim Watts has access to the Power BI Reports;
11/5 - We had meeting with Tim; Dan Piper wants a tab with graph: Absence by Period to be added with similar slicers as in the SSE Productivity Report; I've added it in the SSE Absence Report on 13th of May and waiting for Tim's feedback; No feedback received;
17/10 - No feedback received. The task is closed.</t>
  </si>
  <si>
    <t>25/3 - Request from Martin Ferguson &lt;Martin.Ferguson@sitel.com&gt; to creadte Power BI Report for VM and SSE;
01/4 - Request for creating a workspace; The workspace is created;
12/4 - I sent the missing managers to Rob last week; Yesterday I sent to Rob examples of eployees with missing agents in BO and waiting for agents to be mapped correctly;
09/5 - The formula for 'Absence % (Exc. Cov-19 &amp; LTS) has been corrected and there is no negative value in the Virgin Media Absence Reports. 'Missing Managers' tab has been added in the Virgin Media Absence Detailed  Report &amp; SSE Absence Detailed Report; Waiting for  Tim Watts feedback; Tim Watts has access to the Power BI Reports;
11/5 - We had meeting with Tim; Dan Piper wants a tab with graph: Absence by Period to be added with similar slicers as in the SSE Productivity Report; I've added it in the SSE Absence Report on 13th of May and waiting for Tim's feedback;
17/10 - No feedback received. The task is closed.</t>
  </si>
  <si>
    <t>26/4 - Request for adding Avaya Worked Hours &amp; Kronos Worked Hours in power bi report;
04/5 - Will meet with Tim Watts;
09/5 - Working on this task;
12/5 - I've added the Avaya Worked Hours &amp; Kronos Worked Hours and I've granted an access to Tim Watts to JL &amp; Waitrose Worked Hours Report; Waiting forTim's feedback;
17/10 - No feedback received. The task is closed.</t>
  </si>
  <si>
    <t>04/10 - Request from Lesley Bell &lt;Lesley.Bell@sitel.com&gt; for TM level breakdown of the report;_x000D_
04/10 - Draft version of the report is sent to Lesley; Lesley wants slicer 'supervisor name' to be added in all tabs of the report;_x000D_
06/10 -  Lesley told me that TM are not up to date and asked Lesley to send me examples invcludes employee name antd TM name as I assuem that the agents are not mapped correctly. I'm waiting Lesley to get back to me;
10/10 - Slicer is added in all tabs, report has been sent to Lesley for review. Lesley told me that TM are not up to date and asked Lesley to send me examples invcludes employee name antd TM name as I assuem that the agents are not mapped correctly. I'm waiting Lesley to get back to me;
13/10 - Lesley wants to keep the slicer in the report; The task is closed;</t>
  </si>
  <si>
    <t>VM IT Logger</t>
  </si>
  <si>
    <t xml:space="preserve">Move IT Loggers data from Access to SQL </t>
  </si>
  <si>
    <t>John Lewis Dakota Inbound Split Daily</t>
  </si>
  <si>
    <t>Chris requested to send him the last flash report for 03/10 and the JLTS MI for 04/10</t>
  </si>
  <si>
    <t>New report required</t>
  </si>
  <si>
    <t>to add employee data into the report. It is commented with Chris B. this is not possible since the calls are abandoned.</t>
  </si>
  <si>
    <t>12/10 - Request from Caffull to add new LOB and 2 new skills (2382, 2383) in all my current SSE reports. The new LOB will go live on 24th of Oct 2022. I am waiting for Lopito to let me know once the skills are mapped.
17/10 - New LOB and new skills are added;</t>
  </si>
  <si>
    <t>Renaming skill 1399 in the SSE Reports</t>
  </si>
  <si>
    <t>18/10 - Done</t>
  </si>
  <si>
    <t>Maria Junifer Baladhay &lt;mariajunifer.baladhay@sitel.com&gt;</t>
  </si>
  <si>
    <t>Updating the DL of the SSE MI &amp; Interval Reports</t>
  </si>
  <si>
    <t>18/10 - Removing Marie Gustafsson &lt;Marie.Gustafsson@sitel.com&gt; from the DL from the DL and adding Justin Barker &lt;Justin.Barker@sitel.com&gt;</t>
  </si>
  <si>
    <t>Justin Barker &lt;Justin.Barker@sitel.com&gt;</t>
  </si>
  <si>
    <t>Refeat Abbasi &lt;Refeat.Abbasi@sitel.com&gt;</t>
  </si>
  <si>
    <t>Sending the SMART skills included in the SSE MI &amp; Interval Reports</t>
  </si>
  <si>
    <t>20/10 -Done;</t>
  </si>
  <si>
    <t xml:space="preserve">Asking about the compliance and quality tabs in the Shark Ninja Quality Report </t>
  </si>
  <si>
    <t>20/10 - I have emailed Louise with the conditions for the scorecards where Louise can see which fields are included in 'compliance' and which are included in 'quality'.</t>
  </si>
  <si>
    <t>DD, Lee Hugill &lt;Lee.Hugill@sitel.com&gt;</t>
  </si>
  <si>
    <t>Asking about the Interval Ring Time in the Virgin Media MI Report</t>
  </si>
  <si>
    <t xml:space="preserve">New skills to add - 
754 JL Like Wise Opt 2 Computer
749 JL Like Wise Opt 1 ATV
</t>
  </si>
  <si>
    <t>Ops, Mailbox John Lewis Dandi &lt;johnlewisdandi@sitel.com&gt;</t>
  </si>
  <si>
    <t>Checking the discrepancy between my SSE Interval report and the one sent by Refeat Abbasi &lt;Refeat.Abbasi@sitel.com&gt;</t>
  </si>
  <si>
    <t>DD, Refeat Abbasi &lt;Refeat.Abbasi@sitel.com&gt;</t>
  </si>
  <si>
    <t>DD/SP</t>
  </si>
  <si>
    <t>Lexmark</t>
  </si>
  <si>
    <t>Innso Daily Repot</t>
  </si>
  <si>
    <t>12/10 - Raising a ticket to the COR team to send us the report to the BO inbox and give us access to the universe as we want to look at the filters and formulas in the report;
14/10 -We aready have access;
17/10 - Done;</t>
  </si>
  <si>
    <t>DD, SP</t>
  </si>
  <si>
    <t>We have an additional requirement from the client.
They would like the attached data (copy of report attached) by each Dakota LOB each day. Is this all possible please?
I've sent the file for approval, awaiting response from requestor. (addition sheet with all Calltype data requested). I had to review and create from scratch.</t>
  </si>
  <si>
    <t>31/10 - Removing Justin Barker &lt;Justin.Barker@sitel.com&gt; and adding Justin Barker &lt;Justin.Barker@sitel.com&gt;;</t>
  </si>
  <si>
    <t>Updating the DL of the SSE Backdating Agent Report &amp; SSE Backdating Agent Report  Raw Data</t>
  </si>
  <si>
    <t>Ply absence daily BO</t>
  </si>
  <si>
    <t>To include Sitel UK Virtual to the report -SP</t>
  </si>
  <si>
    <t>Telephony Dashboard (Aux time)</t>
  </si>
  <si>
    <t>ELAVON Inbound Outbound Calls MTD Report for Oct 21 and Nov 21</t>
  </si>
  <si>
    <t>01/11 - Done</t>
  </si>
  <si>
    <t>O'Brien, Michael S &lt;Michael.O'Brien@elavon.com&gt;</t>
  </si>
  <si>
    <t>25/10 - I sent  to Refeat Abbasi &lt;Refeat.Abbasi@sitel.com&gt; the BU and skills included in my report. I advised Refeat to check if the skills in her report are the same as mine. I'm waiting for Refeat's feedback.
01/11 - No feedback received;</t>
  </si>
  <si>
    <t>20/10 - Lee wanted to know the definition of the metric 'Interval Ring Time' and if he divide that against the total calls taken he will get an average ringing time. I've sent hime the definition;
21/10 - I asked Lee for the setup of the incoming calls. Lee told me that the setup is not auto in at the moment. I sent him feedback that if f he divide that against the total calls taken he will get an average ringing time.
27/10 - Sent to Lee the answered calls from CLCallFact universe where he can see the local and the GMT time; Lee wants the date of the Virgin Media MI report to be changed to GMT date;
28/10  - I'm working on producing new BO report, new table, new stg table and new in SQL, and new packet in VS. The VM employee view should be align to new table.
02/11 - Sent the report to Lee for review and he is happy with it. From tomorrow I will start sending the report according to new time.</t>
  </si>
  <si>
    <t>02/11 - Done</t>
  </si>
  <si>
    <t>ELAVON Inbound Outbound Calls MTD Report for Jan 2022 - Oct 2022 and the definitions of the field 'Disposition description'</t>
  </si>
  <si>
    <t>Updating the DL of the SSE GlasGlow SSE HOCS - Daily Report</t>
  </si>
  <si>
    <t>Tanya Robertson &lt;tanya.robertson@ovo.com&gt;</t>
  </si>
  <si>
    <t>Modifying the raw data for the reports</t>
  </si>
  <si>
    <t>DD, Radoslaw Kluba &lt;radoslaw.kluba@sitel.com&gt;, Sudhamshu Kantharaj &lt;Sudhamshu.Kantharaj@sitel.com&gt;</t>
  </si>
  <si>
    <t>Adding the Ops Mgr of the Elavon - Francesco Iaquinta &lt;Francesco.Iaquinta@sitel.com&gt; in all Elavon reports</t>
  </si>
  <si>
    <t>14/11 - Done</t>
  </si>
  <si>
    <t>NR/SP</t>
  </si>
  <si>
    <t>JL export Changes</t>
  </si>
  <si>
    <t>Request for 12 additional columns to be added to the JL TCD table. New export with dummy data has been received, tested and imported.</t>
  </si>
  <si>
    <t>Darren Wilde &lt;Darren.Wilde@sitel.com&gt;</t>
  </si>
  <si>
    <t>SP/NR</t>
  </si>
  <si>
    <t>Matt Clevland</t>
  </si>
  <si>
    <t>To create packages for KPIs excel files, which will be sent to us via Rob on a monthly basis. 28/07 Rob won't sent us the consolidated data to us each month. Daniel Piper commented this report should be build into the Health Dashboard. Closing this task for now. 16/08 I have sent and email to Ops and Matt Cleveland suggesting for them to continie using the import file for Exeter or sending us an consolidated file with the KPIs data 22/08 no feedback yet to that email 17/10 no official reply yet, althought 2 of the 5 ops started including us in the email when sharing the KPIs with UK team 21/11 no reply yet from Matt Clevland</t>
  </si>
  <si>
    <t>why mo aux time is available per Dakota splits. Suggested it get recorded only to the split agent had spent most time at or his defaut split. Ticker raised to COR for confirmation  Will contact Stuart, that has helped us before for similar case - #8792365  -  SP COR has commented the aux times get recorded to the split the agent had spent most time at, as expected. 21/11 Andrew Bartlett is now updated</t>
  </si>
  <si>
    <t>Joanne Griffit, Chris Hudson</t>
  </si>
  <si>
    <t>Phone SLA calculation was changed to be based on answered calls. The hours in the Interval view page were switched to 08:00-18:30, before that they showed the intervals from 9:00-18:00. Commented with Joanne this happened as the intervals from 9:00-18:00 was our latest information and update we got for the project.</t>
  </si>
  <si>
    <t>Icoach reports</t>
  </si>
  <si>
    <t>To share a list with all active Icoach report with Diana</t>
  </si>
  <si>
    <t>To generate Usage metric reports for PBIs and contact Ops if the usage is low. The usage of JL and Waitrose PBI is not that good, to comment with Nikolay Lubenov, Ops will be contacted</t>
  </si>
  <si>
    <t>Usage metric reports</t>
  </si>
  <si>
    <t>Flash report PBI</t>
  </si>
  <si>
    <t xml:space="preserve">to create a simple Power BI for Flash JL and Waitrose. Credentials to the server have been provided </t>
  </si>
  <si>
    <t>29/08 Testing sharepoint and power automate for the purpose. NR will work on the it loggers creation task - closed</t>
  </si>
  <si>
    <t>Renaming skill 1387</t>
  </si>
  <si>
    <t>21/11 - Request from Limmuel Canial &lt;Limmuel.Canial2@sitel.com&gt;. Waiting the VDN and skill to be mapped in COR Mapping. Effective date of renaming - 25th of Nov, 2022;</t>
  </si>
  <si>
    <t>DD, Carlo James Benavidez &lt;CarloJames.Benavidez@sitel.com&gt;, Carlo James Benavidez &lt;CarloJames.Benavidez@sitel.com&gt;</t>
  </si>
  <si>
    <t>Limmuel Canial &lt;Limmuel.Canial2@sitel.com&gt;</t>
  </si>
  <si>
    <t>21/11 -Taryn Reynolds wants me to send the report for the period January 2022 - November 2022, as the client also wants to see the percentage of abandoned calls from answered calls;</t>
  </si>
  <si>
    <t xml:space="preserve"> ELAVON IB Calls for the period Jan 2022 - Nov 2022</t>
  </si>
  <si>
    <t xml:space="preserve">03/11 - Sud notified me that the chat data in my report is different from the one coming from Zendesk. I raised a programming request for the raw data to be modified. Radoslaw Kluba checked the raw data (2 BO reports) and made the necessary modification.
04/11 - My data still doesn't match Sud's because I have a condition in my report where interactions are counted if there are only external notes. Sud needs to discuss with the Ops managers if the way interactions are reported should be changed and if they agree, Sud should send me the confirmation and I will remove the where clause. 
30/11 - No feedback received;
</t>
  </si>
  <si>
    <t>Medtronic OOH</t>
  </si>
  <si>
    <t>create a BO report for the new OOH lines, covering Nordic and CE (created, but no activity yet)</t>
  </si>
  <si>
    <t>PB</t>
  </si>
  <si>
    <t>Paulo Barbosa</t>
  </si>
  <si>
    <t>Adding new LOB 'Paygo' and new skill 18975 in all  my SSE Reports</t>
  </si>
  <si>
    <t>20/12 - Found out an discrepancy between my reports and BO reports; Asked Lopito if there is a new skill and should I add it; Lopito sent me the information for the new LOB and new skill;
20/12 - The new LOB and new skill are already added in all my SSE Reports;</t>
  </si>
  <si>
    <t>Lopito Oliva Jr. &lt;Lopito.Oliva@sitel.com&gt;; DD</t>
  </si>
  <si>
    <t>Ed</t>
  </si>
  <si>
    <t>Agent Report</t>
  </si>
  <si>
    <t>Jens Langer</t>
  </si>
  <si>
    <t>daily BO report to feed the agent login/logout details to Reaper</t>
  </si>
  <si>
    <t>Sofia</t>
  </si>
  <si>
    <t>Medtronic OOH EE</t>
  </si>
  <si>
    <t>missing AUX details (DS1 STATS ALL AGENTS was incorrectly set as a default skill)</t>
  </si>
  <si>
    <t>Valentin Antonov</t>
  </si>
  <si>
    <t>Medtronic OOH Nordics</t>
  </si>
  <si>
    <t>Linus Settergren</t>
  </si>
  <si>
    <t>Turku</t>
  </si>
  <si>
    <t>Lauri Salo</t>
  </si>
  <si>
    <t>incorrect number of Acceptable calls - settings are on 40s instead of 45s; Operations to change the skill settings</t>
  </si>
  <si>
    <t>wrong Abandoned rate - initial request did not clarify that all calls below 5s should e excluded from the calculation; sql view updated to calculate based on the time slot, which is preset on skill lvl</t>
  </si>
  <si>
    <t>EE</t>
  </si>
  <si>
    <t>missmatch between outbound calls on agent lvl and on team lvl; resolved with ticket to the COR team(9995553) and backdated; sql structure updated to reflect the new set up</t>
  </si>
  <si>
    <t>veronika.rotgeri@medtronic.com</t>
  </si>
  <si>
    <t>Nordics</t>
  </si>
  <si>
    <t>Agent Activity</t>
  </si>
  <si>
    <t>requested agent activity report for Victor Waltersson on 27th of August</t>
  </si>
  <si>
    <t>Fabian Reidevall</t>
  </si>
  <si>
    <t>Agent Activity&amp;Skills</t>
  </si>
  <si>
    <t>missing details for 3 agents (not mapped - Fabian to add Avaya); English Skill not visible on the report (Skill ID was not provided in the initial request - Fabian to provide ID)</t>
  </si>
  <si>
    <t>Agent Scorecard</t>
  </si>
  <si>
    <t>Scorecard for the client to be sent on weekly basis</t>
  </si>
  <si>
    <t>Lachezar Simeonov</t>
  </si>
  <si>
    <t>Occupancy</t>
  </si>
  <si>
    <t>requested occupancy calculation for 2023 for all sites; backdeted agent data (as we only store Nordics and EE) and added the FTE details for the missing locations; identified all agents with default skills different from Medtronic and sent them to Operations for update</t>
  </si>
  <si>
    <t>Sergey Kamenov</t>
  </si>
  <si>
    <t>Daily report - all locations</t>
  </si>
  <si>
    <t>Operations requested a temporary daily report for all languages and locations until the PBI version is ready; first draft sent for revision</t>
  </si>
  <si>
    <t>Aleksandra requested an occupancy report for February</t>
  </si>
  <si>
    <t>Aleksandra Surkalovic &lt;aleksandra.surkalovic@foundever.com&gt;</t>
  </si>
</sst>
</file>

<file path=xl/styles.xml><?xml version="1.0" encoding="utf-8"?>
<styleSheet xmlns="http://schemas.openxmlformats.org/spreadsheetml/2006/main" xmlns:mc="http://schemas.openxmlformats.org/markup-compatibility/2006" xmlns:x14ac="http://schemas.microsoft.com/office/spreadsheetml/2009/9/ac" mc:Ignorable="x14ac">
  <fonts count="107" x14ac:knownFonts="1">
    <font>
      <sz val="11"/>
      <color theme="1"/>
      <name val="Calibri"/>
      <family val="2"/>
      <scheme val="minor"/>
    </font>
    <font>
      <b/>
      <sz val="11"/>
      <color indexed="8"/>
      <name val="Calibri"/>
      <family val="2"/>
    </font>
    <font>
      <b/>
      <sz val="14"/>
      <name val="Calibri"/>
      <family val="2"/>
    </font>
    <font>
      <b/>
      <sz val="36"/>
      <name val="Calibri"/>
      <family val="2"/>
    </font>
    <font>
      <sz val="11"/>
      <name val="Calibri"/>
      <family val="2"/>
      <scheme val="minor"/>
    </font>
    <font>
      <sz val="14"/>
      <name val="Calibri"/>
      <family val="2"/>
      <scheme val="minor"/>
    </font>
    <font>
      <sz val="14"/>
      <color theme="1"/>
      <name val="Calibri"/>
      <family val="2"/>
      <scheme val="minor"/>
    </font>
    <font>
      <b/>
      <sz val="11"/>
      <color theme="1"/>
      <name val="Calibri"/>
      <family val="2"/>
      <scheme val="minor"/>
    </font>
    <font>
      <b/>
      <sz val="20"/>
      <name val="Calibri"/>
      <family val="2"/>
    </font>
    <font>
      <sz val="12"/>
      <color theme="1"/>
      <name val="Calibri"/>
      <family val="2"/>
      <scheme val="minor"/>
    </font>
    <font>
      <sz val="14"/>
      <color indexed="8"/>
      <name val="Calibri"/>
      <family val="2"/>
      <scheme val="minor"/>
    </font>
    <font>
      <sz val="14"/>
      <color indexed="8"/>
      <name val="Calibri"/>
      <family val="2"/>
      <scheme val="minor"/>
    </font>
    <font>
      <sz val="14"/>
      <name val="Calibri"/>
      <family val="2"/>
      <scheme val="minor"/>
    </font>
    <font>
      <sz val="14"/>
      <color indexed="8"/>
      <name val="Calibri"/>
      <family val="2"/>
      <scheme val="minor"/>
    </font>
    <font>
      <sz val="14"/>
      <name val="Calibri"/>
      <family val="2"/>
      <scheme val="minor"/>
    </font>
    <font>
      <sz val="14"/>
      <color theme="1"/>
      <name val="Calibri"/>
      <family val="2"/>
      <scheme val="minor"/>
    </font>
    <font>
      <sz val="14"/>
      <color rgb="FFFF0000"/>
      <name val="Calibri"/>
      <family val="2"/>
      <scheme val="minor"/>
    </font>
    <font>
      <sz val="14"/>
      <color theme="5" tint="-0.499984740745262"/>
      <name val="Calibri"/>
      <family val="2"/>
      <scheme val="minor"/>
    </font>
    <font>
      <sz val="14"/>
      <color indexed="8"/>
      <name val="Calibri"/>
      <family val="2"/>
      <scheme val="minor"/>
    </font>
    <font>
      <sz val="14"/>
      <color theme="1"/>
      <name val="Calibri"/>
      <family val="2"/>
      <scheme val="minor"/>
    </font>
    <font>
      <sz val="14"/>
      <name val="Calibri"/>
      <family val="2"/>
      <scheme val="minor"/>
    </font>
    <font>
      <u/>
      <sz val="11"/>
      <color theme="10"/>
      <name val="Calibri"/>
      <family val="2"/>
      <scheme val="minor"/>
    </font>
    <font>
      <sz val="14"/>
      <color indexed="8"/>
      <name val="Calibri"/>
      <family val="2"/>
      <scheme val="minor"/>
    </font>
    <font>
      <sz val="14"/>
      <color theme="1"/>
      <name val="Calibri"/>
      <family val="2"/>
      <scheme val="minor"/>
    </font>
    <font>
      <sz val="14"/>
      <name val="Calibri"/>
      <family val="2"/>
      <scheme val="minor"/>
    </font>
    <font>
      <sz val="14"/>
      <color indexed="8"/>
      <name val="Calibri"/>
      <family val="2"/>
      <scheme val="minor"/>
    </font>
    <font>
      <sz val="14"/>
      <color theme="1"/>
      <name val="Calibri"/>
      <family val="2"/>
      <scheme val="minor"/>
    </font>
    <font>
      <sz val="14"/>
      <name val="Calibri"/>
      <family val="2"/>
      <scheme val="minor"/>
    </font>
    <font>
      <sz val="14"/>
      <color indexed="8"/>
      <name val="Calibri"/>
      <family val="2"/>
      <scheme val="minor"/>
    </font>
    <font>
      <sz val="14"/>
      <color theme="1"/>
      <name val="Calibri"/>
      <family val="2"/>
      <scheme val="minor"/>
    </font>
    <font>
      <sz val="14"/>
      <name val="Calibri"/>
      <family val="2"/>
      <scheme val="minor"/>
    </font>
    <font>
      <sz val="14"/>
      <color indexed="8"/>
      <name val="Calibri"/>
      <family val="2"/>
      <scheme val="minor"/>
    </font>
    <font>
      <sz val="14"/>
      <color theme="1"/>
      <name val="Calibri"/>
      <family val="2"/>
      <scheme val="minor"/>
    </font>
    <font>
      <sz val="14"/>
      <name val="Calibri"/>
      <family val="2"/>
      <scheme val="minor"/>
    </font>
    <font>
      <b/>
      <sz val="14"/>
      <color theme="1"/>
      <name val="Calibri"/>
      <family val="2"/>
      <scheme val="minor"/>
    </font>
    <font>
      <sz val="14"/>
      <color indexed="8"/>
      <name val="Calibri"/>
      <family val="2"/>
      <scheme val="minor"/>
    </font>
    <font>
      <sz val="14"/>
      <color theme="1"/>
      <name val="Calibri"/>
      <family val="2"/>
      <scheme val="minor"/>
    </font>
    <font>
      <sz val="14"/>
      <name val="Calibri"/>
      <family val="2"/>
      <scheme val="minor"/>
    </font>
    <font>
      <sz val="14"/>
      <color indexed="8"/>
      <name val="Calibri"/>
      <family val="2"/>
      <scheme val="minor"/>
    </font>
    <font>
      <sz val="14"/>
      <color theme="1"/>
      <name val="Calibri"/>
      <family val="2"/>
      <scheme val="minor"/>
    </font>
    <font>
      <sz val="14"/>
      <name val="Calibri"/>
      <family val="2"/>
      <scheme val="minor"/>
    </font>
    <font>
      <sz val="14"/>
      <color indexed="8"/>
      <name val="Calibri"/>
      <family val="2"/>
      <scheme val="minor"/>
    </font>
    <font>
      <sz val="14"/>
      <color theme="1"/>
      <name val="Calibri"/>
      <family val="2"/>
      <scheme val="minor"/>
    </font>
    <font>
      <sz val="14"/>
      <name val="Calibri"/>
      <family val="2"/>
      <scheme val="minor"/>
    </font>
    <font>
      <sz val="14"/>
      <color indexed="8"/>
      <name val="Calibri"/>
      <family val="2"/>
      <scheme val="minor"/>
    </font>
    <font>
      <sz val="14"/>
      <color theme="1"/>
      <name val="Calibri"/>
      <family val="2"/>
      <scheme val="minor"/>
    </font>
    <font>
      <sz val="14"/>
      <name val="Calibri"/>
      <family val="2"/>
      <scheme val="minor"/>
    </font>
    <font>
      <sz val="14"/>
      <color indexed="8"/>
      <name val="Calibri"/>
      <family val="2"/>
      <scheme val="minor"/>
    </font>
    <font>
      <sz val="14"/>
      <color theme="1"/>
      <name val="Calibri"/>
      <family val="2"/>
      <scheme val="minor"/>
    </font>
    <font>
      <sz val="14"/>
      <name val="Calibri"/>
      <family val="2"/>
      <scheme val="minor"/>
    </font>
    <font>
      <sz val="14"/>
      <color indexed="8"/>
      <name val="Calibri"/>
      <family val="2"/>
      <scheme val="minor"/>
    </font>
    <font>
      <sz val="14"/>
      <color theme="1"/>
      <name val="Calibri"/>
      <family val="2"/>
      <scheme val="minor"/>
    </font>
    <font>
      <sz val="14"/>
      <name val="Calibri"/>
      <family val="2"/>
      <scheme val="minor"/>
    </font>
    <font>
      <sz val="14"/>
      <color indexed="8"/>
      <name val="Calibri"/>
      <family val="2"/>
      <scheme val="minor"/>
    </font>
    <font>
      <sz val="14"/>
      <color theme="1"/>
      <name val="Calibri"/>
      <family val="2"/>
      <scheme val="minor"/>
    </font>
    <font>
      <sz val="14"/>
      <name val="Calibri"/>
      <family val="2"/>
      <scheme val="minor"/>
    </font>
    <font>
      <sz val="14"/>
      <color indexed="8"/>
      <name val="Calibri"/>
      <family val="2"/>
      <scheme val="minor"/>
    </font>
    <font>
      <sz val="14"/>
      <color theme="1"/>
      <name val="Calibri"/>
      <family val="2"/>
      <scheme val="minor"/>
    </font>
    <font>
      <sz val="14"/>
      <name val="Calibri"/>
      <family val="2"/>
      <scheme val="minor"/>
    </font>
    <font>
      <b/>
      <sz val="9"/>
      <color indexed="81"/>
      <name val="Tahoma"/>
      <family val="2"/>
    </font>
    <font>
      <sz val="9"/>
      <color indexed="81"/>
      <name val="Tahoma"/>
      <family val="2"/>
    </font>
    <font>
      <sz val="14"/>
      <color indexed="8"/>
      <name val="Calibri"/>
      <family val="2"/>
      <scheme val="minor"/>
    </font>
    <font>
      <sz val="14"/>
      <color theme="1"/>
      <name val="Calibri"/>
      <family val="2"/>
      <scheme val="minor"/>
    </font>
    <font>
      <sz val="14"/>
      <name val="Calibri"/>
      <family val="2"/>
      <scheme val="minor"/>
    </font>
    <font>
      <sz val="14"/>
      <color indexed="8"/>
      <name val="Calibri"/>
      <family val="2"/>
      <scheme val="minor"/>
    </font>
    <font>
      <sz val="14"/>
      <color theme="1"/>
      <name val="Calibri"/>
      <family val="2"/>
      <scheme val="minor"/>
    </font>
    <font>
      <sz val="14"/>
      <name val="Calibri"/>
      <family val="2"/>
      <scheme val="minor"/>
    </font>
    <font>
      <sz val="14"/>
      <color indexed="8"/>
      <name val="Calibri"/>
      <family val="2"/>
      <scheme val="minor"/>
    </font>
    <font>
      <sz val="14"/>
      <color theme="1"/>
      <name val="Calibri"/>
      <family val="2"/>
      <scheme val="minor"/>
    </font>
    <font>
      <sz val="14"/>
      <name val="Calibri"/>
      <family val="2"/>
      <scheme val="minor"/>
    </font>
    <font>
      <sz val="14"/>
      <color indexed="8"/>
      <name val="Calibri"/>
      <family val="2"/>
      <scheme val="minor"/>
    </font>
    <font>
      <sz val="14"/>
      <color theme="1"/>
      <name val="Calibri"/>
      <family val="2"/>
      <scheme val="minor"/>
    </font>
    <font>
      <sz val="14"/>
      <name val="Calibri"/>
      <family val="2"/>
      <scheme val="minor"/>
    </font>
    <font>
      <sz val="14"/>
      <color indexed="8"/>
      <name val="Calibri"/>
      <family val="2"/>
      <scheme val="minor"/>
    </font>
    <font>
      <sz val="14"/>
      <color theme="1"/>
      <name val="Calibri"/>
      <family val="2"/>
      <scheme val="minor"/>
    </font>
    <font>
      <sz val="14"/>
      <name val="Calibri"/>
      <family val="2"/>
      <scheme val="minor"/>
    </font>
    <font>
      <sz val="14"/>
      <color indexed="8"/>
      <name val="Calibri"/>
      <family val="2"/>
      <scheme val="minor"/>
    </font>
    <font>
      <sz val="14"/>
      <color theme="1"/>
      <name val="Calibri"/>
      <family val="2"/>
      <scheme val="minor"/>
    </font>
    <font>
      <sz val="14"/>
      <name val="Calibri"/>
      <family val="2"/>
      <scheme val="minor"/>
    </font>
    <font>
      <sz val="14"/>
      <color indexed="8"/>
      <name val="Calibri"/>
      <family val="2"/>
      <scheme val="minor"/>
    </font>
    <font>
      <sz val="14"/>
      <color theme="1"/>
      <name val="Calibri"/>
      <family val="2"/>
      <scheme val="minor"/>
    </font>
    <font>
      <sz val="14"/>
      <color indexed="8"/>
      <name val="Calibri"/>
      <family val="2"/>
      <scheme val="minor"/>
    </font>
    <font>
      <sz val="14"/>
      <color theme="1"/>
      <name val="Calibri"/>
      <family val="2"/>
      <scheme val="minor"/>
    </font>
    <font>
      <sz val="14"/>
      <name val="Calibri"/>
      <family val="2"/>
      <scheme val="minor"/>
    </font>
    <font>
      <sz val="14"/>
      <color indexed="8"/>
      <name val="Calibri"/>
      <family val="2"/>
      <scheme val="minor"/>
    </font>
    <font>
      <sz val="14"/>
      <color theme="1"/>
      <name val="Calibri"/>
      <family val="2"/>
      <scheme val="minor"/>
    </font>
    <font>
      <sz val="14"/>
      <name val="Calibri"/>
      <family val="2"/>
      <scheme val="minor"/>
    </font>
    <font>
      <sz val="14"/>
      <color indexed="8"/>
      <name val="Calibri"/>
      <family val="2"/>
      <scheme val="minor"/>
    </font>
    <font>
      <sz val="14"/>
      <color theme="1"/>
      <name val="Calibri"/>
      <family val="2"/>
      <scheme val="minor"/>
    </font>
    <font>
      <sz val="14"/>
      <name val="Calibri"/>
      <family val="2"/>
      <scheme val="minor"/>
    </font>
    <font>
      <sz val="14"/>
      <color indexed="8"/>
      <name val="Calibri"/>
      <family val="2"/>
      <scheme val="minor"/>
    </font>
    <font>
      <sz val="14"/>
      <color theme="1"/>
      <name val="Calibri"/>
      <family val="2"/>
      <scheme val="minor"/>
    </font>
    <font>
      <sz val="14"/>
      <name val="Calibri"/>
      <family val="2"/>
      <scheme val="minor"/>
    </font>
    <font>
      <sz val="14"/>
      <color indexed="8"/>
      <name val="Calibri"/>
      <family val="2"/>
      <scheme val="minor"/>
    </font>
    <font>
      <sz val="14"/>
      <color theme="1"/>
      <name val="Calibri"/>
      <family val="2"/>
      <scheme val="minor"/>
    </font>
    <font>
      <sz val="14"/>
      <color indexed="8"/>
      <name val="Calibri"/>
      <family val="2"/>
      <scheme val="minor"/>
    </font>
    <font>
      <sz val="14"/>
      <color theme="1"/>
      <name val="Calibri"/>
      <family val="2"/>
      <scheme val="minor"/>
    </font>
    <font>
      <sz val="14"/>
      <name val="Calibri"/>
      <family val="2"/>
      <scheme val="minor"/>
    </font>
    <font>
      <sz val="14"/>
      <color indexed="8"/>
      <name val="Calibri"/>
      <family val="2"/>
      <scheme val="minor"/>
    </font>
    <font>
      <sz val="14"/>
      <color theme="1"/>
      <name val="Calibri"/>
      <family val="2"/>
      <scheme val="minor"/>
    </font>
    <font>
      <sz val="14"/>
      <name val="Calibri"/>
      <family val="2"/>
      <scheme val="minor"/>
    </font>
    <font>
      <sz val="14"/>
      <color indexed="8"/>
      <name val="Calibri"/>
      <family val="2"/>
      <scheme val="minor"/>
    </font>
    <font>
      <sz val="14"/>
      <color theme="1"/>
      <name val="Calibri"/>
      <family val="2"/>
      <scheme val="minor"/>
    </font>
    <font>
      <sz val="14"/>
      <name val="Calibri"/>
      <family val="2"/>
      <scheme val="minor"/>
    </font>
    <font>
      <sz val="14"/>
      <color indexed="8"/>
      <name val="Calibri"/>
      <scheme val="minor"/>
    </font>
    <font>
      <sz val="14"/>
      <color theme="1"/>
      <name val="Calibri"/>
      <scheme val="minor"/>
    </font>
    <font>
      <sz val="14"/>
      <name val="Calibri"/>
      <scheme val="minor"/>
    </font>
  </fonts>
  <fills count="8">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rgb="FFFF0000"/>
        <bgColor indexed="64"/>
      </patternFill>
    </fill>
    <fill>
      <patternFill patternType="solid">
        <fgColor rgb="FFFFC000"/>
        <bgColor indexed="64"/>
      </patternFill>
    </fill>
    <fill>
      <patternFill patternType="solid">
        <fgColor theme="6"/>
        <bgColor indexed="64"/>
      </patternFill>
    </fill>
    <fill>
      <patternFill patternType="solid">
        <fgColor theme="4" tint="0.79998168889431442"/>
        <bgColor indexed="64"/>
      </patternFill>
    </fill>
  </fills>
  <borders count="29">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style="medium">
        <color indexed="64"/>
      </left>
      <right/>
      <top/>
      <bottom style="medium">
        <color indexed="64"/>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medium">
        <color indexed="64"/>
      </right>
      <top/>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top/>
      <bottom style="thin">
        <color indexed="64"/>
      </bottom>
      <diagonal/>
    </border>
    <border>
      <left style="thin">
        <color indexed="64"/>
      </left>
      <right style="medium">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s>
  <cellStyleXfs count="2">
    <xf numFmtId="0" fontId="0" fillId="0" borderId="0"/>
    <xf numFmtId="0" fontId="21" fillId="0" borderId="0" applyNumberFormat="0" applyFill="0" applyBorder="0" applyAlignment="0" applyProtection="0"/>
  </cellStyleXfs>
  <cellXfs count="392">
    <xf numFmtId="0" fontId="0" fillId="0" borderId="0" xfId="0"/>
    <xf numFmtId="0" fontId="0" fillId="0" borderId="0" xfId="0" applyAlignment="1">
      <alignment wrapText="1"/>
    </xf>
    <xf numFmtId="0" fontId="0" fillId="0" borderId="0" xfId="0" applyAlignment="1">
      <alignment horizontal="center" vertical="center" wrapText="1"/>
    </xf>
    <xf numFmtId="0" fontId="1" fillId="0" borderId="0" xfId="0" applyFont="1" applyAlignment="1">
      <alignment horizontal="center" vertical="center" wrapText="1"/>
    </xf>
    <xf numFmtId="0" fontId="0" fillId="3" borderId="0" xfId="0" applyFill="1" applyBorder="1" applyAlignment="1">
      <alignment horizontal="center" vertical="center" wrapText="1"/>
    </xf>
    <xf numFmtId="0" fontId="3" fillId="3" borderId="0" xfId="0" applyFont="1" applyFill="1" applyBorder="1" applyAlignment="1">
      <alignment horizontal="center" vertical="center" wrapText="1"/>
    </xf>
    <xf numFmtId="0" fontId="5" fillId="4" borderId="3" xfId="0" applyFont="1" applyFill="1" applyBorder="1" applyAlignment="1">
      <alignment horizontal="center" vertical="center" wrapText="1"/>
    </xf>
    <xf numFmtId="0" fontId="5" fillId="5" borderId="6" xfId="0" applyFont="1" applyFill="1" applyBorder="1" applyAlignment="1">
      <alignment horizontal="center" vertical="center" wrapText="1"/>
    </xf>
    <xf numFmtId="0" fontId="5" fillId="6" borderId="7" xfId="0" applyFont="1" applyFill="1" applyBorder="1" applyAlignment="1">
      <alignment horizontal="center" vertical="center" wrapText="1"/>
    </xf>
    <xf numFmtId="0" fontId="2" fillId="3" borderId="0" xfId="0" applyFont="1" applyFill="1" applyBorder="1" applyAlignment="1">
      <alignment horizontal="center" vertical="center" textRotation="90" wrapText="1"/>
    </xf>
    <xf numFmtId="0" fontId="4" fillId="3" borderId="0" xfId="0" applyFont="1" applyFill="1" applyBorder="1" applyAlignment="1">
      <alignment horizontal="center" vertical="center" wrapText="1"/>
    </xf>
    <xf numFmtId="0" fontId="0" fillId="0" borderId="0" xfId="0" applyBorder="1" applyAlignment="1">
      <alignment horizontal="center" vertical="center" wrapText="1"/>
    </xf>
    <xf numFmtId="0" fontId="2" fillId="2" borderId="10" xfId="0" applyFont="1" applyFill="1" applyBorder="1" applyAlignment="1">
      <alignment horizontal="center" vertical="center" wrapText="1"/>
    </xf>
    <xf numFmtId="0" fontId="2" fillId="2" borderId="11" xfId="0" applyFont="1" applyFill="1" applyBorder="1" applyAlignment="1">
      <alignment horizontal="center" vertical="center" wrapText="1"/>
    </xf>
    <xf numFmtId="16" fontId="2" fillId="2" borderId="11" xfId="0" applyNumberFormat="1" applyFont="1" applyFill="1" applyBorder="1" applyAlignment="1">
      <alignment horizontal="center" vertical="center" wrapText="1"/>
    </xf>
    <xf numFmtId="0" fontId="2" fillId="3" borderId="9" xfId="0" applyFont="1" applyFill="1" applyBorder="1" applyAlignment="1">
      <alignment horizontal="center" vertical="center" wrapText="1"/>
    </xf>
    <xf numFmtId="0" fontId="2" fillId="3" borderId="12" xfId="0" applyFont="1" applyFill="1" applyBorder="1" applyAlignment="1">
      <alignment horizontal="center" vertical="center" wrapText="1"/>
    </xf>
    <xf numFmtId="0" fontId="7" fillId="0" borderId="8" xfId="0" applyFont="1" applyBorder="1" applyAlignment="1">
      <alignment horizontal="center" vertical="center"/>
    </xf>
    <xf numFmtId="14" fontId="0" fillId="0" borderId="0" xfId="0" applyNumberFormat="1" applyAlignment="1">
      <alignment horizontal="center" vertical="center" wrapText="1"/>
    </xf>
    <xf numFmtId="49" fontId="4" fillId="3" borderId="0" xfId="0" applyNumberFormat="1" applyFont="1" applyFill="1" applyBorder="1" applyAlignment="1">
      <alignment horizontal="center" vertical="center" wrapText="1"/>
    </xf>
    <xf numFmtId="49" fontId="2" fillId="3" borderId="0" xfId="0" applyNumberFormat="1" applyFont="1" applyFill="1" applyBorder="1" applyAlignment="1">
      <alignment horizontal="center" vertical="center" textRotation="90" wrapText="1"/>
    </xf>
    <xf numFmtId="49" fontId="2" fillId="2" borderId="11" xfId="0" applyNumberFormat="1" applyFont="1" applyFill="1" applyBorder="1" applyAlignment="1">
      <alignment horizontal="center" vertical="center" wrapText="1"/>
    </xf>
    <xf numFmtId="49" fontId="0" fillId="0" borderId="0" xfId="0" applyNumberFormat="1" applyAlignment="1">
      <alignment horizontal="center" vertical="center" wrapText="1"/>
    </xf>
    <xf numFmtId="21" fontId="0" fillId="0" borderId="0" xfId="0" applyNumberFormat="1"/>
    <xf numFmtId="2" fontId="0" fillId="0" borderId="0" xfId="0" applyNumberFormat="1"/>
    <xf numFmtId="0" fontId="9" fillId="0" borderId="0" xfId="0" applyFont="1" applyAlignment="1">
      <alignment wrapText="1"/>
    </xf>
    <xf numFmtId="0" fontId="10" fillId="0" borderId="1" xfId="0" applyFont="1" applyFill="1" applyBorder="1" applyAlignment="1">
      <alignment horizontal="center" vertical="center" wrapText="1"/>
    </xf>
    <xf numFmtId="16" fontId="10" fillId="0" borderId="1" xfId="0" applyNumberFormat="1" applyFont="1" applyFill="1" applyBorder="1" applyAlignment="1">
      <alignment horizontal="center" vertical="center" wrapText="1"/>
    </xf>
    <xf numFmtId="16" fontId="6" fillId="0" borderId="1" xfId="0" applyNumberFormat="1" applyFont="1" applyFill="1" applyBorder="1" applyAlignment="1">
      <alignment horizontal="center" vertical="center" wrapText="1"/>
    </xf>
    <xf numFmtId="0" fontId="6" fillId="0" borderId="1" xfId="0" applyFont="1" applyFill="1" applyBorder="1" applyAlignment="1">
      <alignment horizontal="center" vertical="center" wrapText="1"/>
    </xf>
    <xf numFmtId="0" fontId="6" fillId="0" borderId="1" xfId="0" applyFont="1" applyFill="1" applyBorder="1" applyAlignment="1">
      <alignment horizontal="left" vertical="top" wrapText="1"/>
    </xf>
    <xf numFmtId="0" fontId="6" fillId="0" borderId="15" xfId="0" applyFont="1" applyFill="1" applyBorder="1" applyAlignment="1">
      <alignment horizontal="left" vertical="top" wrapText="1"/>
    </xf>
    <xf numFmtId="0" fontId="6" fillId="0" borderId="2" xfId="0" applyFont="1" applyFill="1" applyBorder="1" applyAlignment="1">
      <alignment horizontal="center" vertical="center" wrapText="1"/>
    </xf>
    <xf numFmtId="15" fontId="5" fillId="0" borderId="1" xfId="0" applyNumberFormat="1" applyFont="1" applyFill="1" applyBorder="1" applyAlignment="1">
      <alignment horizontal="center" vertical="center" wrapText="1"/>
    </xf>
    <xf numFmtId="1" fontId="5" fillId="0" borderId="1" xfId="0" applyNumberFormat="1" applyFont="1" applyFill="1" applyBorder="1" applyAlignment="1">
      <alignment horizontal="center" vertical="center" wrapText="1"/>
    </xf>
    <xf numFmtId="0" fontId="6" fillId="0" borderId="14" xfId="0" applyFont="1" applyFill="1" applyBorder="1" applyAlignment="1">
      <alignment horizontal="center" vertical="center" wrapText="1"/>
    </xf>
    <xf numFmtId="0" fontId="6" fillId="0" borderId="16" xfId="0" applyFont="1" applyFill="1" applyBorder="1" applyAlignment="1">
      <alignment horizontal="center" vertical="center" wrapText="1"/>
    </xf>
    <xf numFmtId="16" fontId="10" fillId="0" borderId="17" xfId="0" applyNumberFormat="1" applyFont="1" applyFill="1" applyBorder="1" applyAlignment="1">
      <alignment horizontal="center" vertical="center" wrapText="1"/>
    </xf>
    <xf numFmtId="0" fontId="10" fillId="0" borderId="17" xfId="0" applyFont="1" applyFill="1" applyBorder="1" applyAlignment="1">
      <alignment horizontal="center" vertical="center" wrapText="1"/>
    </xf>
    <xf numFmtId="16" fontId="6" fillId="0" borderId="17" xfId="0" applyNumberFormat="1" applyFont="1" applyFill="1" applyBorder="1" applyAlignment="1">
      <alignment horizontal="center" vertical="center" wrapText="1"/>
    </xf>
    <xf numFmtId="0" fontId="6" fillId="0" borderId="17" xfId="0" applyFont="1" applyFill="1" applyBorder="1" applyAlignment="1">
      <alignment horizontal="center" vertical="center" wrapText="1"/>
    </xf>
    <xf numFmtId="15" fontId="5" fillId="0" borderId="17" xfId="0" applyNumberFormat="1" applyFont="1" applyFill="1" applyBorder="1" applyAlignment="1">
      <alignment horizontal="center" vertical="center" wrapText="1"/>
    </xf>
    <xf numFmtId="0" fontId="10" fillId="0" borderId="8" xfId="0" applyFont="1" applyFill="1" applyBorder="1" applyAlignment="1">
      <alignment horizontal="center" vertical="center" wrapText="1"/>
    </xf>
    <xf numFmtId="16" fontId="10" fillId="0" borderId="8" xfId="0" applyNumberFormat="1" applyFont="1" applyFill="1" applyBorder="1" applyAlignment="1">
      <alignment horizontal="center" vertical="center" wrapText="1"/>
    </xf>
    <xf numFmtId="16" fontId="6" fillId="0" borderId="8" xfId="0" applyNumberFormat="1" applyFont="1" applyFill="1" applyBorder="1" applyAlignment="1">
      <alignment horizontal="center" vertical="center" wrapText="1"/>
    </xf>
    <xf numFmtId="0" fontId="6" fillId="0" borderId="8" xfId="0" applyFont="1" applyFill="1" applyBorder="1" applyAlignment="1">
      <alignment horizontal="center" vertical="center" wrapText="1"/>
    </xf>
    <xf numFmtId="0" fontId="6" fillId="0" borderId="19" xfId="0" applyFont="1" applyFill="1" applyBorder="1" applyAlignment="1">
      <alignment horizontal="left" vertical="top" wrapText="1"/>
    </xf>
    <xf numFmtId="15" fontId="5" fillId="0" borderId="8" xfId="0" applyNumberFormat="1" applyFont="1" applyFill="1" applyBorder="1" applyAlignment="1">
      <alignment horizontal="center" vertical="center" wrapText="1"/>
    </xf>
    <xf numFmtId="49" fontId="6" fillId="0" borderId="18" xfId="0" applyNumberFormat="1" applyFont="1" applyFill="1" applyBorder="1" applyAlignment="1">
      <alignment horizontal="left" vertical="top" wrapText="1"/>
    </xf>
    <xf numFmtId="0" fontId="6" fillId="0" borderId="15" xfId="0" applyFont="1" applyFill="1" applyBorder="1" applyAlignment="1">
      <alignment horizontal="center" vertical="top" wrapText="1"/>
    </xf>
    <xf numFmtId="0" fontId="6" fillId="0" borderId="2" xfId="0" applyFont="1" applyFill="1" applyBorder="1" applyAlignment="1">
      <alignment horizontal="center" vertical="top" wrapText="1"/>
    </xf>
    <xf numFmtId="1" fontId="5" fillId="0" borderId="17" xfId="0" applyNumberFormat="1" applyFont="1" applyFill="1" applyBorder="1" applyAlignment="1">
      <alignment horizontal="center" vertical="center" wrapText="1"/>
    </xf>
    <xf numFmtId="1" fontId="12" fillId="0" borderId="1" xfId="0" applyNumberFormat="1" applyFont="1" applyFill="1" applyBorder="1" applyAlignment="1">
      <alignment horizontal="center" vertical="center" wrapText="1"/>
    </xf>
    <xf numFmtId="1" fontId="14" fillId="0" borderId="17" xfId="0" applyNumberFormat="1" applyFont="1" applyFill="1" applyBorder="1" applyAlignment="1">
      <alignment horizontal="center" vertical="center" wrapText="1"/>
    </xf>
    <xf numFmtId="49" fontId="6" fillId="0" borderId="1" xfId="0" applyNumberFormat="1" applyFont="1" applyFill="1" applyBorder="1" applyAlignment="1">
      <alignment horizontal="center" vertical="center" wrapText="1"/>
    </xf>
    <xf numFmtId="0" fontId="15" fillId="0" borderId="1" xfId="0" applyFont="1" applyFill="1" applyBorder="1" applyAlignment="1">
      <alignment horizontal="center" vertical="center" wrapText="1"/>
    </xf>
    <xf numFmtId="0" fontId="13" fillId="0" borderId="1" xfId="0" applyFont="1" applyFill="1" applyBorder="1" applyAlignment="1">
      <alignment horizontal="center" vertical="center" wrapText="1"/>
    </xf>
    <xf numFmtId="16" fontId="13" fillId="0" borderId="1" xfId="0" applyNumberFormat="1" applyFont="1" applyFill="1" applyBorder="1" applyAlignment="1">
      <alignment horizontal="center" vertical="center" wrapText="1"/>
    </xf>
    <xf numFmtId="16" fontId="15" fillId="0" borderId="1" xfId="0" applyNumberFormat="1" applyFont="1" applyFill="1" applyBorder="1" applyAlignment="1">
      <alignment horizontal="center" vertical="center" wrapText="1"/>
    </xf>
    <xf numFmtId="16" fontId="2" fillId="2" borderId="21" xfId="0" applyNumberFormat="1" applyFont="1" applyFill="1" applyBorder="1" applyAlignment="1">
      <alignment horizontal="center" vertical="center" wrapText="1"/>
    </xf>
    <xf numFmtId="0" fontId="2" fillId="2" borderId="21" xfId="0" applyFont="1" applyFill="1" applyBorder="1" applyAlignment="1">
      <alignment horizontal="center" vertical="center" wrapText="1"/>
    </xf>
    <xf numFmtId="0" fontId="2" fillId="2" borderId="22" xfId="0" applyFont="1" applyFill="1" applyBorder="1" applyAlignment="1">
      <alignment horizontal="center" vertical="center" wrapText="1"/>
    </xf>
    <xf numFmtId="0" fontId="6" fillId="0" borderId="15" xfId="0" applyFont="1" applyFill="1" applyBorder="1" applyAlignment="1">
      <alignment horizontal="center" vertical="center" wrapText="1"/>
    </xf>
    <xf numFmtId="0" fontId="6" fillId="0" borderId="19" xfId="0" applyFont="1" applyFill="1" applyBorder="1" applyAlignment="1">
      <alignment horizontal="center" vertical="center" wrapText="1"/>
    </xf>
    <xf numFmtId="1" fontId="5" fillId="0" borderId="8" xfId="0" applyNumberFormat="1" applyFont="1" applyFill="1" applyBorder="1" applyAlignment="1">
      <alignment horizontal="center" vertical="center" wrapText="1"/>
    </xf>
    <xf numFmtId="0" fontId="2" fillId="2" borderId="12" xfId="0" applyFont="1" applyFill="1" applyBorder="1" applyAlignment="1">
      <alignment horizontal="center" vertical="center" wrapText="1"/>
    </xf>
    <xf numFmtId="49" fontId="15" fillId="0" borderId="18" xfId="0" applyNumberFormat="1" applyFont="1" applyFill="1" applyBorder="1" applyAlignment="1">
      <alignment horizontal="left" vertical="top" wrapText="1"/>
    </xf>
    <xf numFmtId="0" fontId="15" fillId="0" borderId="15" xfId="0" applyFont="1" applyFill="1" applyBorder="1" applyAlignment="1">
      <alignment horizontal="center" vertical="center" wrapText="1"/>
    </xf>
    <xf numFmtId="15" fontId="14" fillId="0" borderId="1" xfId="0" applyNumberFormat="1" applyFont="1" applyFill="1" applyBorder="1" applyAlignment="1">
      <alignment horizontal="center" vertical="center" wrapText="1"/>
    </xf>
    <xf numFmtId="1" fontId="14" fillId="0" borderId="1" xfId="0" applyNumberFormat="1" applyFont="1" applyFill="1" applyBorder="1" applyAlignment="1">
      <alignment horizontal="center" vertical="center" wrapText="1"/>
    </xf>
    <xf numFmtId="49" fontId="6" fillId="0" borderId="23" xfId="0" applyNumberFormat="1" applyFont="1" applyFill="1" applyBorder="1" applyAlignment="1">
      <alignment horizontal="center" vertical="center" wrapText="1"/>
    </xf>
    <xf numFmtId="49" fontId="6" fillId="0" borderId="15" xfId="0" applyNumberFormat="1" applyFont="1" applyFill="1" applyBorder="1" applyAlignment="1">
      <alignment horizontal="center" vertical="center" wrapText="1"/>
    </xf>
    <xf numFmtId="0" fontId="6" fillId="0" borderId="1" xfId="0" applyFont="1" applyFill="1" applyBorder="1" applyAlignment="1">
      <alignment horizontal="center" vertical="center"/>
    </xf>
    <xf numFmtId="49" fontId="6" fillId="0" borderId="18" xfId="0" applyNumberFormat="1" applyFont="1" applyFill="1" applyBorder="1" applyAlignment="1">
      <alignment horizontal="left" vertical="center" wrapText="1"/>
    </xf>
    <xf numFmtId="0" fontId="6" fillId="0" borderId="20" xfId="0" applyFont="1" applyFill="1" applyBorder="1" applyAlignment="1">
      <alignment horizontal="center" vertical="center" wrapText="1"/>
    </xf>
    <xf numFmtId="0" fontId="5" fillId="0" borderId="1" xfId="0" applyFont="1" applyFill="1" applyBorder="1" applyAlignment="1">
      <alignment horizontal="center" vertical="center" wrapText="1"/>
    </xf>
    <xf numFmtId="0" fontId="18" fillId="0" borderId="1" xfId="0" applyFont="1" applyFill="1" applyBorder="1" applyAlignment="1">
      <alignment horizontal="center" vertical="center" wrapText="1"/>
    </xf>
    <xf numFmtId="16" fontId="18" fillId="0" borderId="1" xfId="0" applyNumberFormat="1" applyFont="1" applyFill="1" applyBorder="1" applyAlignment="1">
      <alignment horizontal="center" vertical="center" wrapText="1"/>
    </xf>
    <xf numFmtId="16" fontId="19" fillId="0" borderId="1" xfId="0" applyNumberFormat="1" applyFont="1" applyFill="1" applyBorder="1" applyAlignment="1">
      <alignment horizontal="center" vertical="center" wrapText="1"/>
    </xf>
    <xf numFmtId="0" fontId="19" fillId="0" borderId="1" xfId="0" applyFont="1" applyFill="1" applyBorder="1" applyAlignment="1">
      <alignment horizontal="center" vertical="center" wrapText="1"/>
    </xf>
    <xf numFmtId="49" fontId="19" fillId="0" borderId="15" xfId="0" applyNumberFormat="1" applyFont="1" applyFill="1" applyBorder="1" applyAlignment="1">
      <alignment horizontal="center" vertical="center" wrapText="1"/>
    </xf>
    <xf numFmtId="0" fontId="19" fillId="0" borderId="15" xfId="0" applyFont="1" applyFill="1" applyBorder="1" applyAlignment="1">
      <alignment horizontal="center" vertical="center" wrapText="1"/>
    </xf>
    <xf numFmtId="15" fontId="20" fillId="0" borderId="1" xfId="0" applyNumberFormat="1" applyFont="1" applyFill="1" applyBorder="1" applyAlignment="1">
      <alignment horizontal="center" vertical="center" wrapText="1"/>
    </xf>
    <xf numFmtId="16" fontId="10" fillId="0" borderId="1" xfId="0" applyNumberFormat="1" applyFont="1" applyFill="1" applyBorder="1" applyAlignment="1">
      <alignment horizontal="center" vertical="center" wrapText="1"/>
    </xf>
    <xf numFmtId="16" fontId="6" fillId="0" borderId="1" xfId="0" applyNumberFormat="1" applyFont="1" applyFill="1" applyBorder="1" applyAlignment="1">
      <alignment horizontal="center" vertical="center" wrapText="1"/>
    </xf>
    <xf numFmtId="15" fontId="5" fillId="0" borderId="1" xfId="0" applyNumberFormat="1" applyFont="1" applyFill="1" applyBorder="1" applyAlignment="1">
      <alignment horizontal="center" vertical="center" wrapText="1"/>
    </xf>
    <xf numFmtId="0" fontId="6" fillId="0" borderId="24" xfId="0" applyFont="1" applyFill="1" applyBorder="1" applyAlignment="1">
      <alignment horizontal="center" vertical="center" wrapText="1"/>
    </xf>
    <xf numFmtId="15" fontId="5" fillId="0" borderId="1" xfId="0" applyNumberFormat="1" applyFont="1" applyFill="1" applyBorder="1" applyAlignment="1">
      <alignment horizontal="center" vertical="center"/>
    </xf>
    <xf numFmtId="1" fontId="5" fillId="0" borderId="1" xfId="0" applyNumberFormat="1" applyFont="1" applyFill="1" applyBorder="1" applyAlignment="1">
      <alignment horizontal="center" vertical="center"/>
    </xf>
    <xf numFmtId="0" fontId="0" fillId="0" borderId="0" xfId="0" applyAlignment="1">
      <alignment horizontal="center" vertical="center"/>
    </xf>
    <xf numFmtId="0" fontId="0" fillId="0" borderId="0" xfId="0" applyAlignment="1"/>
    <xf numFmtId="0" fontId="21" fillId="0" borderId="1" xfId="1" applyFill="1" applyBorder="1" applyAlignment="1">
      <alignment horizontal="center" vertical="center" wrapText="1"/>
    </xf>
    <xf numFmtId="0" fontId="22" fillId="0" borderId="17" xfId="0" applyFont="1" applyFill="1" applyBorder="1" applyAlignment="1">
      <alignment horizontal="center" vertical="center" wrapText="1"/>
    </xf>
    <xf numFmtId="16" fontId="22" fillId="0" borderId="17" xfId="0" applyNumberFormat="1" applyFont="1" applyFill="1" applyBorder="1" applyAlignment="1">
      <alignment horizontal="center" vertical="center" wrapText="1"/>
    </xf>
    <xf numFmtId="16" fontId="23" fillId="0" borderId="17" xfId="0" applyNumberFormat="1" applyFont="1" applyFill="1" applyBorder="1" applyAlignment="1">
      <alignment horizontal="center" vertical="center" wrapText="1"/>
    </xf>
    <xf numFmtId="0" fontId="23" fillId="0" borderId="0" xfId="0" applyFont="1" applyFill="1" applyBorder="1" applyAlignment="1">
      <alignment horizontal="center" vertical="center"/>
    </xf>
    <xf numFmtId="0" fontId="23" fillId="0" borderId="0" xfId="0" applyFont="1" applyFill="1" applyBorder="1" applyAlignment="1">
      <alignment horizontal="center" vertical="center" wrapText="1"/>
    </xf>
    <xf numFmtId="15" fontId="24" fillId="0" borderId="17" xfId="0" applyNumberFormat="1" applyFont="1" applyFill="1" applyBorder="1" applyAlignment="1">
      <alignment horizontal="center" vertical="center" wrapText="1"/>
    </xf>
    <xf numFmtId="16" fontId="10" fillId="0" borderId="1" xfId="0" applyNumberFormat="1" applyFont="1" applyFill="1" applyBorder="1" applyAlignment="1">
      <alignment horizontal="center" wrapText="1"/>
    </xf>
    <xf numFmtId="0" fontId="25" fillId="0" borderId="1" xfId="0" applyFont="1" applyFill="1" applyBorder="1" applyAlignment="1">
      <alignment horizontal="center" vertical="center" wrapText="1"/>
    </xf>
    <xf numFmtId="16" fontId="25" fillId="0" borderId="1" xfId="0" applyNumberFormat="1" applyFont="1" applyFill="1" applyBorder="1" applyAlignment="1">
      <alignment horizontal="center" vertical="center" wrapText="1"/>
    </xf>
    <xf numFmtId="16" fontId="26" fillId="0" borderId="1" xfId="0" applyNumberFormat="1" applyFont="1" applyFill="1" applyBorder="1" applyAlignment="1">
      <alignment horizontal="center" vertical="center" wrapText="1"/>
    </xf>
    <xf numFmtId="0" fontId="26" fillId="0" borderId="1" xfId="0" applyFont="1" applyFill="1" applyBorder="1" applyAlignment="1">
      <alignment horizontal="center" vertical="center" wrapText="1"/>
    </xf>
    <xf numFmtId="15" fontId="27" fillId="0" borderId="1" xfId="0" applyNumberFormat="1" applyFont="1" applyFill="1" applyBorder="1" applyAlignment="1">
      <alignment horizontal="center" vertical="center" wrapText="1"/>
    </xf>
    <xf numFmtId="0" fontId="6" fillId="0" borderId="0" xfId="0" applyFont="1" applyFill="1" applyBorder="1" applyAlignment="1">
      <alignment horizontal="center" vertical="center" wrapText="1"/>
    </xf>
    <xf numFmtId="16" fontId="28" fillId="0" borderId="1" xfId="0" applyNumberFormat="1" applyFont="1" applyFill="1" applyBorder="1" applyAlignment="1">
      <alignment horizontal="center" vertical="center" wrapText="1"/>
    </xf>
    <xf numFmtId="16" fontId="29" fillId="0" borderId="1" xfId="0" applyNumberFormat="1" applyFont="1" applyFill="1" applyBorder="1" applyAlignment="1">
      <alignment horizontal="center" vertical="center" wrapText="1"/>
    </xf>
    <xf numFmtId="0" fontId="28" fillId="0" borderId="1" xfId="0" applyFont="1" applyFill="1" applyBorder="1" applyAlignment="1">
      <alignment horizontal="center" vertical="center" wrapText="1"/>
    </xf>
    <xf numFmtId="15" fontId="30" fillId="0" borderId="1" xfId="0" applyNumberFormat="1" applyFont="1" applyFill="1" applyBorder="1" applyAlignment="1">
      <alignment horizontal="center" vertical="center" wrapText="1"/>
    </xf>
    <xf numFmtId="0" fontId="29" fillId="0" borderId="1" xfId="0" applyFont="1" applyFill="1" applyBorder="1" applyAlignment="1">
      <alignment horizontal="center" vertical="center"/>
    </xf>
    <xf numFmtId="49" fontId="29" fillId="0" borderId="1" xfId="0" applyNumberFormat="1" applyFont="1" applyFill="1" applyBorder="1" applyAlignment="1">
      <alignment horizontal="center" vertical="center" wrapText="1"/>
    </xf>
    <xf numFmtId="0" fontId="29" fillId="0" borderId="1" xfId="0" applyFont="1" applyFill="1" applyBorder="1" applyAlignment="1">
      <alignment horizontal="center" vertical="center" wrapText="1"/>
    </xf>
    <xf numFmtId="0" fontId="31" fillId="0" borderId="1" xfId="0" applyFont="1" applyFill="1" applyBorder="1" applyAlignment="1">
      <alignment horizontal="center" vertical="center" wrapText="1"/>
    </xf>
    <xf numFmtId="16" fontId="31" fillId="0" borderId="1" xfId="0" applyNumberFormat="1" applyFont="1" applyFill="1" applyBorder="1" applyAlignment="1">
      <alignment horizontal="center" vertical="center" wrapText="1"/>
    </xf>
    <xf numFmtId="16" fontId="32" fillId="0" borderId="1" xfId="0" applyNumberFormat="1" applyFont="1" applyFill="1" applyBorder="1" applyAlignment="1">
      <alignment horizontal="center" vertical="center" wrapText="1"/>
    </xf>
    <xf numFmtId="0" fontId="32" fillId="0" borderId="1" xfId="0" applyFont="1" applyFill="1" applyBorder="1" applyAlignment="1">
      <alignment horizontal="center" vertical="center"/>
    </xf>
    <xf numFmtId="0" fontId="32" fillId="0" borderId="1" xfId="0" applyFont="1" applyFill="1" applyBorder="1" applyAlignment="1">
      <alignment horizontal="center" vertical="center" wrapText="1"/>
    </xf>
    <xf numFmtId="15" fontId="33" fillId="0" borderId="1" xfId="0" applyNumberFormat="1" applyFont="1" applyFill="1" applyBorder="1" applyAlignment="1">
      <alignment horizontal="center" vertical="center" wrapText="1"/>
    </xf>
    <xf numFmtId="16" fontId="6" fillId="0" borderId="1" xfId="0" applyNumberFormat="1" applyFont="1" applyFill="1" applyBorder="1" applyAlignment="1">
      <alignment horizontal="center" vertical="center" wrapText="1"/>
    </xf>
    <xf numFmtId="15" fontId="5" fillId="0" borderId="1" xfId="0" applyNumberFormat="1" applyFont="1" applyFill="1" applyBorder="1" applyAlignment="1">
      <alignment horizontal="center" vertical="center" wrapText="1"/>
    </xf>
    <xf numFmtId="0" fontId="6" fillId="0" borderId="0" xfId="0" applyFont="1" applyFill="1" applyBorder="1" applyAlignment="1">
      <alignment horizontal="center" vertical="center"/>
    </xf>
    <xf numFmtId="15" fontId="5" fillId="0" borderId="17" xfId="0" applyNumberFormat="1" applyFont="1" applyFill="1" applyBorder="1" applyAlignment="1">
      <alignment horizontal="center" vertical="center" wrapText="1"/>
    </xf>
    <xf numFmtId="0" fontId="35" fillId="0" borderId="1" xfId="0" applyFont="1" applyFill="1" applyBorder="1" applyAlignment="1">
      <alignment horizontal="center" vertical="center" wrapText="1"/>
    </xf>
    <xf numFmtId="16" fontId="35" fillId="0" borderId="1" xfId="0" applyNumberFormat="1" applyFont="1" applyFill="1" applyBorder="1" applyAlignment="1">
      <alignment horizontal="center" vertical="center" wrapText="1"/>
    </xf>
    <xf numFmtId="16" fontId="36" fillId="0" borderId="1" xfId="0" applyNumberFormat="1" applyFont="1" applyFill="1" applyBorder="1" applyAlignment="1">
      <alignment horizontal="center" vertical="center" wrapText="1"/>
    </xf>
    <xf numFmtId="15" fontId="37" fillId="0" borderId="1" xfId="0" applyNumberFormat="1" applyFont="1" applyFill="1" applyBorder="1" applyAlignment="1">
      <alignment horizontal="center" vertical="center" wrapText="1"/>
    </xf>
    <xf numFmtId="0" fontId="38" fillId="0" borderId="1" xfId="0" applyFont="1" applyFill="1" applyBorder="1" applyAlignment="1">
      <alignment horizontal="center" vertical="center" wrapText="1"/>
    </xf>
    <xf numFmtId="16" fontId="38" fillId="0" borderId="1" xfId="0" applyNumberFormat="1" applyFont="1" applyFill="1" applyBorder="1" applyAlignment="1">
      <alignment horizontal="center" vertical="center" wrapText="1"/>
    </xf>
    <xf numFmtId="16" fontId="39" fillId="0" borderId="1" xfId="0" applyNumberFormat="1" applyFont="1" applyFill="1" applyBorder="1" applyAlignment="1">
      <alignment horizontal="center" vertical="center" wrapText="1"/>
    </xf>
    <xf numFmtId="15" fontId="40" fillId="0" borderId="1" xfId="0" applyNumberFormat="1" applyFont="1" applyFill="1" applyBorder="1" applyAlignment="1">
      <alignment horizontal="center" vertical="center" wrapText="1"/>
    </xf>
    <xf numFmtId="0" fontId="39" fillId="0" borderId="1" xfId="0" applyFont="1" applyFill="1" applyBorder="1" applyAlignment="1">
      <alignment horizontal="center" vertical="center" wrapText="1"/>
    </xf>
    <xf numFmtId="0" fontId="44" fillId="0" borderId="1" xfId="0" applyFont="1" applyFill="1" applyBorder="1" applyAlignment="1">
      <alignment horizontal="center" vertical="center" wrapText="1"/>
    </xf>
    <xf numFmtId="16" fontId="44" fillId="0" borderId="1" xfId="0" applyNumberFormat="1" applyFont="1" applyFill="1" applyBorder="1" applyAlignment="1">
      <alignment horizontal="center" vertical="center" wrapText="1"/>
    </xf>
    <xf numFmtId="16" fontId="45" fillId="0" borderId="1" xfId="0" applyNumberFormat="1" applyFont="1" applyFill="1" applyBorder="1" applyAlignment="1">
      <alignment horizontal="center" vertical="center" wrapText="1"/>
    </xf>
    <xf numFmtId="0" fontId="45" fillId="0" borderId="1" xfId="0" applyFont="1" applyFill="1" applyBorder="1" applyAlignment="1">
      <alignment horizontal="center" vertical="center" wrapText="1"/>
    </xf>
    <xf numFmtId="0" fontId="45" fillId="0" borderId="1" xfId="0" applyFont="1" applyFill="1" applyBorder="1" applyAlignment="1">
      <alignment horizontal="left" vertical="top" wrapText="1"/>
    </xf>
    <xf numFmtId="0" fontId="45" fillId="0" borderId="15" xfId="0" applyFont="1" applyFill="1" applyBorder="1" applyAlignment="1">
      <alignment horizontal="left" vertical="top" wrapText="1"/>
    </xf>
    <xf numFmtId="15" fontId="46" fillId="0" borderId="1" xfId="0" applyNumberFormat="1" applyFont="1" applyFill="1" applyBorder="1" applyAlignment="1">
      <alignment horizontal="center" vertical="center" wrapText="1"/>
    </xf>
    <xf numFmtId="1" fontId="46" fillId="0" borderId="1" xfId="0" applyNumberFormat="1" applyFont="1" applyFill="1" applyBorder="1" applyAlignment="1">
      <alignment horizontal="center" vertical="center" wrapText="1"/>
    </xf>
    <xf numFmtId="0" fontId="45" fillId="0" borderId="24" xfId="0" applyFont="1" applyFill="1" applyBorder="1" applyAlignment="1">
      <alignment horizontal="center" vertical="center" wrapText="1"/>
    </xf>
    <xf numFmtId="0" fontId="45" fillId="0" borderId="1" xfId="0" applyFont="1" applyFill="1" applyBorder="1" applyAlignment="1">
      <alignment horizontal="center" vertical="center"/>
    </xf>
    <xf numFmtId="49" fontId="45" fillId="0" borderId="1" xfId="0" applyNumberFormat="1" applyFont="1" applyFill="1" applyBorder="1" applyAlignment="1">
      <alignment horizontal="center" vertical="center" wrapText="1"/>
    </xf>
    <xf numFmtId="1" fontId="0" fillId="3" borderId="0" xfId="0" applyNumberFormat="1" applyFill="1" applyBorder="1" applyAlignment="1">
      <alignment horizontal="center" vertical="center" wrapText="1"/>
    </xf>
    <xf numFmtId="1" fontId="0" fillId="0" borderId="0" xfId="0" applyNumberFormat="1" applyBorder="1" applyAlignment="1">
      <alignment horizontal="center" vertical="center" wrapText="1"/>
    </xf>
    <xf numFmtId="1" fontId="2" fillId="2" borderId="11" xfId="0" applyNumberFormat="1" applyFont="1" applyFill="1" applyBorder="1" applyAlignment="1">
      <alignment horizontal="center" vertical="center" wrapText="1"/>
    </xf>
    <xf numFmtId="1" fontId="0" fillId="0" borderId="0" xfId="0" applyNumberFormat="1" applyAlignment="1">
      <alignment horizontal="center" vertical="center" wrapText="1"/>
    </xf>
    <xf numFmtId="16" fontId="41" fillId="0" borderId="1" xfId="0" applyNumberFormat="1" applyFont="1" applyFill="1" applyBorder="1" applyAlignment="1">
      <alignment horizontal="center" vertical="center" wrapText="1"/>
    </xf>
    <xf numFmtId="0" fontId="47" fillId="0" borderId="1" xfId="0" applyFont="1" applyFill="1" applyBorder="1" applyAlignment="1">
      <alignment horizontal="center" vertical="center" wrapText="1"/>
    </xf>
    <xf numFmtId="16" fontId="48" fillId="0" borderId="1" xfId="0" applyNumberFormat="1" applyFont="1" applyFill="1" applyBorder="1" applyAlignment="1">
      <alignment horizontal="center" vertical="center" wrapText="1"/>
    </xf>
    <xf numFmtId="1" fontId="49" fillId="0" borderId="1" xfId="0" applyNumberFormat="1" applyFont="1" applyFill="1" applyBorder="1" applyAlignment="1">
      <alignment horizontal="center" vertical="center" wrapText="1"/>
    </xf>
    <xf numFmtId="0" fontId="48" fillId="0" borderId="1" xfId="0" applyFont="1" applyFill="1" applyBorder="1" applyAlignment="1">
      <alignment horizontal="center" vertical="center"/>
    </xf>
    <xf numFmtId="0" fontId="48" fillId="0" borderId="1" xfId="0" applyFont="1" applyFill="1" applyBorder="1" applyAlignment="1">
      <alignment horizontal="center" vertical="center" wrapText="1"/>
    </xf>
    <xf numFmtId="15" fontId="49" fillId="0" borderId="1" xfId="0" applyNumberFormat="1" applyFont="1" applyFill="1" applyBorder="1" applyAlignment="1">
      <alignment horizontal="center" vertical="center" wrapText="1"/>
    </xf>
    <xf numFmtId="0" fontId="50" fillId="0" borderId="1" xfId="0" applyFont="1" applyFill="1" applyBorder="1" applyAlignment="1">
      <alignment horizontal="center" vertical="center" wrapText="1"/>
    </xf>
    <xf numFmtId="16" fontId="50" fillId="0" borderId="1" xfId="0" applyNumberFormat="1" applyFont="1" applyFill="1" applyBorder="1" applyAlignment="1">
      <alignment horizontal="center" vertical="center" wrapText="1"/>
    </xf>
    <xf numFmtId="16" fontId="51" fillId="0" borderId="1" xfId="0" applyNumberFormat="1" applyFont="1" applyFill="1" applyBorder="1" applyAlignment="1">
      <alignment horizontal="center" vertical="center" wrapText="1"/>
    </xf>
    <xf numFmtId="0" fontId="51" fillId="0" borderId="1" xfId="0" applyFont="1" applyFill="1" applyBorder="1" applyAlignment="1">
      <alignment horizontal="center" vertical="center"/>
    </xf>
    <xf numFmtId="0" fontId="51" fillId="0" borderId="1" xfId="0" applyFont="1" applyFill="1" applyBorder="1" applyAlignment="1">
      <alignment horizontal="center" vertical="center" wrapText="1"/>
    </xf>
    <xf numFmtId="15" fontId="52" fillId="0" borderId="1" xfId="0" applyNumberFormat="1" applyFont="1" applyFill="1" applyBorder="1" applyAlignment="1">
      <alignment horizontal="center" vertical="center" wrapText="1"/>
    </xf>
    <xf numFmtId="1" fontId="52" fillId="0" borderId="1" xfId="0" applyNumberFormat="1" applyFont="1" applyFill="1" applyBorder="1" applyAlignment="1">
      <alignment horizontal="center" vertical="center" wrapText="1"/>
    </xf>
    <xf numFmtId="0" fontId="53" fillId="0" borderId="1" xfId="0" applyFont="1" applyFill="1" applyBorder="1" applyAlignment="1">
      <alignment horizontal="center" vertical="center" wrapText="1"/>
    </xf>
    <xf numFmtId="16" fontId="53" fillId="0" borderId="1" xfId="0" applyNumberFormat="1" applyFont="1" applyFill="1" applyBorder="1" applyAlignment="1">
      <alignment horizontal="center" vertical="center" wrapText="1"/>
    </xf>
    <xf numFmtId="16" fontId="54" fillId="0" borderId="1" xfId="0" applyNumberFormat="1" applyFont="1" applyFill="1" applyBorder="1" applyAlignment="1">
      <alignment horizontal="center" vertical="center" wrapText="1"/>
    </xf>
    <xf numFmtId="15" fontId="55" fillId="0" borderId="1" xfId="0" applyNumberFormat="1" applyFont="1" applyFill="1" applyBorder="1" applyAlignment="1">
      <alignment horizontal="center" vertical="center" wrapText="1"/>
    </xf>
    <xf numFmtId="0" fontId="54" fillId="0" borderId="1" xfId="0" applyFont="1" applyFill="1" applyBorder="1" applyAlignment="1">
      <alignment horizontal="center" vertical="center" wrapText="1"/>
    </xf>
    <xf numFmtId="0" fontId="54" fillId="0" borderId="1" xfId="0" applyFont="1" applyFill="1" applyBorder="1" applyAlignment="1">
      <alignment horizontal="center" vertical="center"/>
    </xf>
    <xf numFmtId="49" fontId="54" fillId="0" borderId="1" xfId="0" applyNumberFormat="1" applyFont="1" applyFill="1" applyBorder="1" applyAlignment="1">
      <alignment horizontal="center" vertical="center" wrapText="1"/>
    </xf>
    <xf numFmtId="1" fontId="55" fillId="0" borderId="1" xfId="0" applyNumberFormat="1" applyFont="1" applyFill="1" applyBorder="1" applyAlignment="1">
      <alignment horizontal="center" vertical="center" wrapText="1"/>
    </xf>
    <xf numFmtId="0" fontId="56" fillId="0" borderId="1" xfId="0" applyFont="1" applyFill="1" applyBorder="1" applyAlignment="1">
      <alignment horizontal="center" vertical="center" wrapText="1"/>
    </xf>
    <xf numFmtId="16" fontId="56" fillId="0" borderId="1" xfId="0" applyNumberFormat="1" applyFont="1" applyFill="1" applyBorder="1" applyAlignment="1">
      <alignment horizontal="center" vertical="center" wrapText="1"/>
    </xf>
    <xf numFmtId="16" fontId="57" fillId="0" borderId="1" xfId="0" applyNumberFormat="1" applyFont="1" applyFill="1" applyBorder="1" applyAlignment="1">
      <alignment horizontal="center" vertical="center" wrapText="1"/>
    </xf>
    <xf numFmtId="15" fontId="58" fillId="0" borderId="1" xfId="0" applyNumberFormat="1" applyFont="1" applyFill="1" applyBorder="1" applyAlignment="1">
      <alignment horizontal="center" vertical="center" wrapText="1"/>
    </xf>
    <xf numFmtId="1" fontId="58" fillId="0" borderId="1" xfId="0" applyNumberFormat="1" applyFont="1" applyFill="1" applyBorder="1" applyAlignment="1">
      <alignment horizontal="center" vertical="center" wrapText="1"/>
    </xf>
    <xf numFmtId="0" fontId="57" fillId="0" borderId="1" xfId="0" applyFont="1" applyFill="1" applyBorder="1" applyAlignment="1">
      <alignment horizontal="center" vertical="center"/>
    </xf>
    <xf numFmtId="49" fontId="57" fillId="0" borderId="1" xfId="0" applyNumberFormat="1" applyFont="1" applyFill="1" applyBorder="1" applyAlignment="1">
      <alignment horizontal="center" vertical="center" wrapText="1"/>
    </xf>
    <xf numFmtId="0" fontId="57" fillId="0" borderId="1" xfId="0" applyFont="1" applyFill="1" applyBorder="1" applyAlignment="1">
      <alignment horizontal="center" vertical="center" wrapText="1"/>
    </xf>
    <xf numFmtId="0" fontId="6" fillId="0" borderId="17" xfId="0" applyFont="1" applyFill="1" applyBorder="1" applyAlignment="1">
      <alignment horizontal="center" vertical="center"/>
    </xf>
    <xf numFmtId="0" fontId="67" fillId="0" borderId="1" xfId="0" applyFont="1" applyFill="1" applyBorder="1" applyAlignment="1">
      <alignment horizontal="center" vertical="center" wrapText="1"/>
    </xf>
    <xf numFmtId="1" fontId="69" fillId="0" borderId="1" xfId="0" applyNumberFormat="1" applyFont="1" applyFill="1" applyBorder="1" applyAlignment="1">
      <alignment horizontal="center" vertical="center" wrapText="1"/>
    </xf>
    <xf numFmtId="16" fontId="67" fillId="0" borderId="1" xfId="0" applyNumberFormat="1" applyFont="1" applyFill="1" applyBorder="1" applyAlignment="1">
      <alignment horizontal="center" vertical="center" wrapText="1"/>
    </xf>
    <xf numFmtId="16" fontId="68" fillId="0" borderId="1" xfId="0" applyNumberFormat="1" applyFont="1" applyFill="1" applyBorder="1" applyAlignment="1">
      <alignment horizontal="center" vertical="center" wrapText="1"/>
    </xf>
    <xf numFmtId="15" fontId="69" fillId="0" borderId="1" xfId="0" applyNumberFormat="1" applyFont="1" applyFill="1" applyBorder="1" applyAlignment="1">
      <alignment horizontal="center" vertical="center" wrapText="1"/>
    </xf>
    <xf numFmtId="0" fontId="68" fillId="0" borderId="1" xfId="0" applyFont="1" applyFill="1" applyBorder="1" applyAlignment="1">
      <alignment horizontal="center" vertical="center"/>
    </xf>
    <xf numFmtId="49" fontId="68" fillId="0" borderId="1" xfId="0" applyNumberFormat="1" applyFont="1" applyFill="1" applyBorder="1" applyAlignment="1">
      <alignment horizontal="center" vertical="center" wrapText="1"/>
    </xf>
    <xf numFmtId="0" fontId="68" fillId="0" borderId="1" xfId="0" applyFont="1" applyFill="1" applyBorder="1" applyAlignment="1">
      <alignment horizontal="center" vertical="center" wrapText="1"/>
    </xf>
    <xf numFmtId="16" fontId="70" fillId="0" borderId="1" xfId="0" applyNumberFormat="1" applyFont="1" applyFill="1" applyBorder="1" applyAlignment="1">
      <alignment horizontal="center" vertical="center" wrapText="1"/>
    </xf>
    <xf numFmtId="15" fontId="72" fillId="0" borderId="1" xfId="0" applyNumberFormat="1" applyFont="1" applyFill="1" applyBorder="1" applyAlignment="1">
      <alignment horizontal="center" vertical="center" wrapText="1"/>
    </xf>
    <xf numFmtId="16" fontId="73" fillId="0" borderId="17" xfId="0" applyNumberFormat="1" applyFont="1" applyFill="1" applyBorder="1" applyAlignment="1">
      <alignment horizontal="center" vertical="center" wrapText="1"/>
    </xf>
    <xf numFmtId="1" fontId="75" fillId="0" borderId="17" xfId="0" applyNumberFormat="1" applyFont="1" applyFill="1" applyBorder="1" applyAlignment="1">
      <alignment horizontal="center" vertical="center" wrapText="1"/>
    </xf>
    <xf numFmtId="0" fontId="73" fillId="0" borderId="1" xfId="0" applyFont="1" applyFill="1" applyBorder="1" applyAlignment="1">
      <alignment horizontal="center" vertical="center" wrapText="1"/>
    </xf>
    <xf numFmtId="16" fontId="73" fillId="0" borderId="1" xfId="0" applyNumberFormat="1" applyFont="1" applyFill="1" applyBorder="1" applyAlignment="1">
      <alignment horizontal="center" vertical="center" wrapText="1"/>
    </xf>
    <xf numFmtId="16" fontId="74" fillId="0" borderId="1" xfId="0" applyNumberFormat="1" applyFont="1" applyFill="1" applyBorder="1" applyAlignment="1">
      <alignment horizontal="center" vertical="center" wrapText="1"/>
    </xf>
    <xf numFmtId="15" fontId="75" fillId="0" borderId="1" xfId="0" applyNumberFormat="1" applyFont="1" applyFill="1" applyBorder="1" applyAlignment="1">
      <alignment horizontal="center" vertical="center" wrapText="1"/>
    </xf>
    <xf numFmtId="1" fontId="75" fillId="0" borderId="1" xfId="0" applyNumberFormat="1" applyFont="1" applyFill="1" applyBorder="1" applyAlignment="1">
      <alignment horizontal="center" vertical="center" wrapText="1"/>
    </xf>
    <xf numFmtId="0" fontId="74" fillId="0" borderId="1" xfId="0" applyFont="1" applyFill="1" applyBorder="1" applyAlignment="1">
      <alignment horizontal="center" vertical="center"/>
    </xf>
    <xf numFmtId="0" fontId="74" fillId="0" borderId="1" xfId="0" applyFont="1" applyFill="1" applyBorder="1" applyAlignment="1">
      <alignment horizontal="center" vertical="center" wrapText="1"/>
    </xf>
    <xf numFmtId="49" fontId="6" fillId="0" borderId="1" xfId="0" applyNumberFormat="1" applyFont="1" applyFill="1" applyBorder="1" applyAlignment="1">
      <alignment horizontal="left" vertical="center" wrapText="1"/>
    </xf>
    <xf numFmtId="14" fontId="6" fillId="0" borderId="1" xfId="0" applyNumberFormat="1" applyFont="1" applyFill="1" applyBorder="1" applyAlignment="1">
      <alignment horizontal="center" vertical="center" wrapText="1"/>
    </xf>
    <xf numFmtId="49" fontId="19" fillId="0" borderId="1" xfId="0" applyNumberFormat="1" applyFont="1" applyFill="1" applyBorder="1" applyAlignment="1">
      <alignment horizontal="center" vertical="center" wrapText="1"/>
    </xf>
    <xf numFmtId="16" fontId="10" fillId="0" borderId="1" xfId="0" applyNumberFormat="1" applyFont="1" applyFill="1" applyBorder="1" applyAlignment="1">
      <alignment horizontal="center" vertical="center"/>
    </xf>
    <xf numFmtId="16" fontId="6" fillId="0" borderId="1" xfId="0" applyNumberFormat="1" applyFont="1" applyFill="1" applyBorder="1" applyAlignment="1">
      <alignment horizontal="center" vertical="center"/>
    </xf>
    <xf numFmtId="0" fontId="10" fillId="0" borderId="1" xfId="0" applyFont="1" applyFill="1" applyBorder="1" applyAlignment="1">
      <alignment horizontal="center" vertical="center"/>
    </xf>
    <xf numFmtId="49" fontId="6" fillId="0" borderId="1" xfId="0" applyNumberFormat="1" applyFont="1" applyFill="1" applyBorder="1" applyAlignment="1">
      <alignment horizontal="center" vertical="center"/>
    </xf>
    <xf numFmtId="16" fontId="11" fillId="0" borderId="1" xfId="0" applyNumberFormat="1" applyFont="1" applyFill="1" applyBorder="1" applyAlignment="1">
      <alignment horizontal="center" vertical="center" wrapText="1"/>
    </xf>
    <xf numFmtId="0" fontId="36" fillId="0" borderId="1" xfId="0" applyFont="1" applyFill="1" applyBorder="1" applyAlignment="1">
      <alignment horizontal="center" vertical="center" wrapText="1"/>
    </xf>
    <xf numFmtId="0" fontId="36" fillId="0" borderId="1" xfId="0" applyFont="1" applyFill="1" applyBorder="1" applyAlignment="1">
      <alignment horizontal="center" vertical="center"/>
    </xf>
    <xf numFmtId="49" fontId="36" fillId="0" borderId="1" xfId="0" applyNumberFormat="1" applyFont="1" applyFill="1" applyBorder="1" applyAlignment="1">
      <alignment horizontal="center" vertical="center" wrapText="1"/>
    </xf>
    <xf numFmtId="0" fontId="42" fillId="0" borderId="1" xfId="0" applyFont="1" applyFill="1" applyBorder="1" applyAlignment="1">
      <alignment horizontal="center" vertical="center"/>
    </xf>
    <xf numFmtId="49" fontId="42" fillId="0" borderId="1" xfId="0" applyNumberFormat="1" applyFont="1" applyFill="1" applyBorder="1" applyAlignment="1">
      <alignment horizontal="center" vertical="center" wrapText="1"/>
    </xf>
    <xf numFmtId="0" fontId="42" fillId="0" borderId="1" xfId="0" applyFont="1" applyFill="1" applyBorder="1" applyAlignment="1">
      <alignment horizontal="center" vertical="center" wrapText="1"/>
    </xf>
    <xf numFmtId="15" fontId="43" fillId="0" borderId="1" xfId="0" applyNumberFormat="1" applyFont="1" applyFill="1" applyBorder="1" applyAlignment="1">
      <alignment horizontal="center" vertical="center" wrapText="1"/>
    </xf>
    <xf numFmtId="16" fontId="61" fillId="0" borderId="1" xfId="0" applyNumberFormat="1" applyFont="1" applyFill="1" applyBorder="1" applyAlignment="1">
      <alignment horizontal="center" vertical="center" wrapText="1"/>
    </xf>
    <xf numFmtId="16" fontId="62" fillId="0" borderId="1" xfId="0" applyNumberFormat="1" applyFont="1" applyFill="1" applyBorder="1" applyAlignment="1">
      <alignment horizontal="center" vertical="center" wrapText="1"/>
    </xf>
    <xf numFmtId="0" fontId="62" fillId="0" borderId="1" xfId="0" applyFont="1" applyFill="1" applyBorder="1" applyAlignment="1">
      <alignment horizontal="center" vertical="center" wrapText="1"/>
    </xf>
    <xf numFmtId="1" fontId="63" fillId="0" borderId="1" xfId="0" applyNumberFormat="1" applyFont="1" applyFill="1" applyBorder="1" applyAlignment="1">
      <alignment horizontal="center" vertical="center" wrapText="1"/>
    </xf>
    <xf numFmtId="0" fontId="64" fillId="0" borderId="1" xfId="0" applyFont="1" applyFill="1" applyBorder="1" applyAlignment="1">
      <alignment horizontal="center" vertical="center" wrapText="1"/>
    </xf>
    <xf numFmtId="16" fontId="64" fillId="0" borderId="1" xfId="0" applyNumberFormat="1" applyFont="1" applyFill="1" applyBorder="1" applyAlignment="1">
      <alignment horizontal="center" vertical="center" wrapText="1"/>
    </xf>
    <xf numFmtId="16" fontId="65" fillId="0" borderId="1" xfId="0" applyNumberFormat="1" applyFont="1" applyFill="1" applyBorder="1" applyAlignment="1">
      <alignment horizontal="center" vertical="center" wrapText="1"/>
    </xf>
    <xf numFmtId="49" fontId="65" fillId="0" borderId="1" xfId="0" applyNumberFormat="1" applyFont="1" applyFill="1" applyBorder="1" applyAlignment="1">
      <alignment horizontal="center" vertical="center" wrapText="1"/>
    </xf>
    <xf numFmtId="0" fontId="65" fillId="0" borderId="1" xfId="0" applyFont="1" applyFill="1" applyBorder="1" applyAlignment="1">
      <alignment horizontal="center" vertical="center" wrapText="1"/>
    </xf>
    <xf numFmtId="15" fontId="66" fillId="0" borderId="1" xfId="0" applyNumberFormat="1" applyFont="1" applyFill="1" applyBorder="1" applyAlignment="1">
      <alignment horizontal="center" vertical="center" wrapText="1"/>
    </xf>
    <xf numFmtId="1" fontId="66" fillId="0" borderId="1" xfId="0" applyNumberFormat="1" applyFont="1" applyFill="1" applyBorder="1" applyAlignment="1">
      <alignment horizontal="center" vertical="center" wrapText="1"/>
    </xf>
    <xf numFmtId="0" fontId="70" fillId="0" borderId="1" xfId="0" applyFont="1" applyFill="1" applyBorder="1" applyAlignment="1">
      <alignment horizontal="center" vertical="center" wrapText="1"/>
    </xf>
    <xf numFmtId="16" fontId="71" fillId="0" borderId="1" xfId="0" applyNumberFormat="1" applyFont="1" applyFill="1" applyBorder="1" applyAlignment="1">
      <alignment horizontal="center" vertical="center" wrapText="1"/>
    </xf>
    <xf numFmtId="0" fontId="71" fillId="0" borderId="1" xfId="0" applyFont="1" applyFill="1" applyBorder="1" applyAlignment="1">
      <alignment horizontal="center" vertical="center"/>
    </xf>
    <xf numFmtId="49" fontId="71" fillId="0" borderId="1" xfId="0" applyNumberFormat="1" applyFont="1" applyFill="1" applyBorder="1" applyAlignment="1">
      <alignment horizontal="center" vertical="center" wrapText="1"/>
    </xf>
    <xf numFmtId="0" fontId="71" fillId="0" borderId="1" xfId="0" applyFont="1" applyFill="1" applyBorder="1" applyAlignment="1">
      <alignment horizontal="center" vertical="center" wrapText="1"/>
    </xf>
    <xf numFmtId="1" fontId="72" fillId="0" borderId="1" xfId="0" applyNumberFormat="1" applyFont="1" applyFill="1" applyBorder="1" applyAlignment="1">
      <alignment horizontal="center" vertical="center" wrapText="1"/>
    </xf>
    <xf numFmtId="0" fontId="2" fillId="2" borderId="19" xfId="0" applyFont="1" applyFill="1" applyBorder="1" applyAlignment="1">
      <alignment horizontal="center" vertical="center" wrapText="1"/>
    </xf>
    <xf numFmtId="0" fontId="2" fillId="2" borderId="8" xfId="0" applyFont="1" applyFill="1" applyBorder="1" applyAlignment="1">
      <alignment horizontal="center" vertical="center" wrapText="1"/>
    </xf>
    <xf numFmtId="49" fontId="2" fillId="2" borderId="8" xfId="0" applyNumberFormat="1" applyFont="1" applyFill="1" applyBorder="1" applyAlignment="1">
      <alignment horizontal="center" vertical="center" wrapText="1"/>
    </xf>
    <xf numFmtId="16" fontId="2" fillId="2" borderId="8" xfId="0" applyNumberFormat="1" applyFont="1" applyFill="1" applyBorder="1" applyAlignment="1">
      <alignment horizontal="center" vertical="center" wrapText="1"/>
    </xf>
    <xf numFmtId="1" fontId="2" fillId="2" borderId="8" xfId="0" applyNumberFormat="1" applyFont="1" applyFill="1" applyBorder="1" applyAlignment="1">
      <alignment horizontal="center" vertical="center" wrapText="1"/>
    </xf>
    <xf numFmtId="0" fontId="2" fillId="2" borderId="25" xfId="0" applyFont="1" applyFill="1" applyBorder="1" applyAlignment="1">
      <alignment horizontal="center" vertical="center" wrapText="1"/>
    </xf>
    <xf numFmtId="0" fontId="10" fillId="0" borderId="15" xfId="0" applyFont="1" applyFill="1" applyBorder="1" applyAlignment="1">
      <alignment horizontal="center" vertical="center" wrapText="1"/>
    </xf>
    <xf numFmtId="0" fontId="6" fillId="0" borderId="26" xfId="0" applyFont="1" applyFill="1" applyBorder="1" applyAlignment="1">
      <alignment horizontal="center" vertical="center" wrapText="1"/>
    </xf>
    <xf numFmtId="0" fontId="19" fillId="0" borderId="26" xfId="0" applyFont="1" applyFill="1" applyBorder="1" applyAlignment="1">
      <alignment horizontal="center" vertical="center" wrapText="1"/>
    </xf>
    <xf numFmtId="0" fontId="6" fillId="0" borderId="26" xfId="0" applyFont="1" applyFill="1" applyBorder="1" applyAlignment="1">
      <alignment horizontal="center" vertical="center"/>
    </xf>
    <xf numFmtId="0" fontId="29" fillId="0" borderId="26" xfId="0" applyFont="1" applyFill="1" applyBorder="1" applyAlignment="1">
      <alignment horizontal="center" vertical="center" wrapText="1"/>
    </xf>
    <xf numFmtId="0" fontId="36" fillId="0" borderId="26" xfId="0" applyFont="1" applyFill="1" applyBorder="1" applyAlignment="1">
      <alignment horizontal="center" vertical="center" wrapText="1"/>
    </xf>
    <xf numFmtId="0" fontId="42" fillId="0" borderId="26" xfId="0" applyFont="1" applyFill="1" applyBorder="1" applyAlignment="1">
      <alignment horizontal="center" vertical="center" wrapText="1"/>
    </xf>
    <xf numFmtId="0" fontId="45" fillId="0" borderId="26" xfId="0" applyFont="1" applyFill="1" applyBorder="1" applyAlignment="1">
      <alignment horizontal="center" vertical="center" wrapText="1"/>
    </xf>
    <xf numFmtId="0" fontId="54" fillId="0" borderId="26" xfId="0" applyFont="1" applyFill="1" applyBorder="1" applyAlignment="1">
      <alignment horizontal="center" vertical="center" wrapText="1"/>
    </xf>
    <xf numFmtId="0" fontId="57" fillId="0" borderId="26" xfId="0" applyFont="1" applyFill="1" applyBorder="1" applyAlignment="1">
      <alignment horizontal="center" vertical="center" wrapText="1"/>
    </xf>
    <xf numFmtId="0" fontId="62" fillId="0" borderId="26" xfId="0" applyFont="1" applyFill="1" applyBorder="1" applyAlignment="1">
      <alignment horizontal="center" vertical="center" wrapText="1"/>
    </xf>
    <xf numFmtId="0" fontId="65" fillId="0" borderId="26" xfId="0" applyFont="1" applyFill="1" applyBorder="1" applyAlignment="1">
      <alignment horizontal="center" vertical="center" wrapText="1"/>
    </xf>
    <xf numFmtId="0" fontId="68" fillId="0" borderId="26" xfId="0" applyFont="1" applyFill="1" applyBorder="1" applyAlignment="1">
      <alignment horizontal="center" vertical="center" wrapText="1"/>
    </xf>
    <xf numFmtId="0" fontId="71" fillId="0" borderId="26" xfId="0" applyFont="1" applyFill="1" applyBorder="1" applyAlignment="1">
      <alignment horizontal="center" vertical="center" wrapText="1"/>
    </xf>
    <xf numFmtId="49" fontId="6" fillId="0" borderId="17" xfId="0" applyNumberFormat="1" applyFont="1" applyFill="1" applyBorder="1" applyAlignment="1">
      <alignment horizontal="center" vertical="center" wrapText="1"/>
    </xf>
    <xf numFmtId="0" fontId="6" fillId="0" borderId="27" xfId="0" applyFont="1" applyFill="1" applyBorder="1" applyAlignment="1">
      <alignment horizontal="center" vertical="center" wrapText="1"/>
    </xf>
    <xf numFmtId="0" fontId="5" fillId="0" borderId="1" xfId="0" applyNumberFormat="1" applyFont="1" applyFill="1" applyBorder="1" applyAlignment="1">
      <alignment horizontal="center" vertical="center" wrapText="1"/>
    </xf>
    <xf numFmtId="0" fontId="76" fillId="0" borderId="28" xfId="0" applyFont="1" applyFill="1" applyBorder="1" applyAlignment="1">
      <alignment horizontal="center" vertical="center" wrapText="1"/>
    </xf>
    <xf numFmtId="16" fontId="76" fillId="0" borderId="17" xfId="0" applyNumberFormat="1" applyFont="1" applyFill="1" applyBorder="1" applyAlignment="1">
      <alignment horizontal="center" vertical="center" wrapText="1"/>
    </xf>
    <xf numFmtId="16" fontId="77" fillId="0" borderId="17" xfId="0" applyNumberFormat="1" applyFont="1" applyFill="1" applyBorder="1" applyAlignment="1">
      <alignment horizontal="center" vertical="center" wrapText="1"/>
    </xf>
    <xf numFmtId="0" fontId="76" fillId="0" borderId="17" xfId="0" applyFont="1" applyFill="1" applyBorder="1" applyAlignment="1">
      <alignment horizontal="center" vertical="center" wrapText="1"/>
    </xf>
    <xf numFmtId="0" fontId="77" fillId="0" borderId="17" xfId="0" applyFont="1" applyFill="1" applyBorder="1" applyAlignment="1">
      <alignment horizontal="center" vertical="center"/>
    </xf>
    <xf numFmtId="49" fontId="77" fillId="0" borderId="17" xfId="0" applyNumberFormat="1" applyFont="1" applyFill="1" applyBorder="1" applyAlignment="1">
      <alignment horizontal="center" vertical="center" wrapText="1"/>
    </xf>
    <xf numFmtId="0" fontId="77" fillId="0" borderId="17" xfId="0" applyFont="1" applyFill="1" applyBorder="1" applyAlignment="1">
      <alignment horizontal="center" vertical="center" wrapText="1"/>
    </xf>
    <xf numFmtId="15" fontId="78" fillId="0" borderId="17" xfId="0" applyNumberFormat="1" applyFont="1" applyFill="1" applyBorder="1" applyAlignment="1">
      <alignment horizontal="center" vertical="center" wrapText="1"/>
    </xf>
    <xf numFmtId="1" fontId="78" fillId="0" borderId="17" xfId="0" applyNumberFormat="1" applyFont="1" applyFill="1" applyBorder="1" applyAlignment="1">
      <alignment horizontal="center" vertical="center" wrapText="1"/>
    </xf>
    <xf numFmtId="0" fontId="77" fillId="0" borderId="27" xfId="0" applyFont="1" applyFill="1" applyBorder="1" applyAlignment="1">
      <alignment horizontal="center" vertical="center" wrapText="1"/>
    </xf>
    <xf numFmtId="0" fontId="21" fillId="0" borderId="17" xfId="1" applyFill="1" applyBorder="1" applyAlignment="1">
      <alignment horizontal="center" vertical="center" wrapText="1"/>
    </xf>
    <xf numFmtId="16" fontId="77" fillId="0" borderId="1" xfId="0" applyNumberFormat="1" applyFont="1" applyFill="1" applyBorder="1" applyAlignment="1">
      <alignment horizontal="center" vertical="center" wrapText="1"/>
    </xf>
    <xf numFmtId="0" fontId="76" fillId="0" borderId="1" xfId="0" applyFont="1" applyFill="1" applyBorder="1" applyAlignment="1">
      <alignment horizontal="center" vertical="center" wrapText="1"/>
    </xf>
    <xf numFmtId="0" fontId="77" fillId="0" borderId="1" xfId="0" applyFont="1" applyFill="1" applyBorder="1" applyAlignment="1">
      <alignment horizontal="center" vertical="center"/>
    </xf>
    <xf numFmtId="49" fontId="77" fillId="0" borderId="1" xfId="0" applyNumberFormat="1" applyFont="1" applyFill="1" applyBorder="1" applyAlignment="1">
      <alignment horizontal="center" vertical="center" wrapText="1"/>
    </xf>
    <xf numFmtId="0" fontId="77" fillId="0" borderId="1" xfId="0" applyFont="1" applyFill="1" applyBorder="1" applyAlignment="1">
      <alignment horizontal="center" vertical="center" wrapText="1"/>
    </xf>
    <xf numFmtId="16" fontId="80" fillId="0" borderId="1" xfId="0" applyNumberFormat="1" applyFont="1" applyFill="1" applyBorder="1" applyAlignment="1">
      <alignment horizontal="center" vertical="center" wrapText="1"/>
    </xf>
    <xf numFmtId="0" fontId="79" fillId="0" borderId="1" xfId="0" applyFont="1" applyFill="1" applyBorder="1" applyAlignment="1">
      <alignment horizontal="center" vertical="center" wrapText="1"/>
    </xf>
    <xf numFmtId="0" fontId="80" fillId="0" borderId="1" xfId="0" applyFont="1" applyFill="1" applyBorder="1" applyAlignment="1">
      <alignment horizontal="center" vertical="center"/>
    </xf>
    <xf numFmtId="49" fontId="80" fillId="0" borderId="1" xfId="0" applyNumberFormat="1" applyFont="1" applyFill="1" applyBorder="1" applyAlignment="1">
      <alignment horizontal="center" vertical="center" wrapText="1"/>
    </xf>
    <xf numFmtId="0" fontId="80" fillId="0" borderId="1" xfId="0" applyFont="1" applyFill="1" applyBorder="1" applyAlignment="1">
      <alignment horizontal="center" vertical="center" wrapText="1"/>
    </xf>
    <xf numFmtId="0" fontId="81" fillId="0" borderId="28" xfId="0" applyFont="1" applyFill="1" applyBorder="1" applyAlignment="1">
      <alignment horizontal="center" vertical="center" wrapText="1"/>
    </xf>
    <xf numFmtId="16" fontId="81" fillId="0" borderId="17" xfId="0" applyNumberFormat="1" applyFont="1" applyFill="1" applyBorder="1" applyAlignment="1">
      <alignment horizontal="center" vertical="center" wrapText="1"/>
    </xf>
    <xf numFmtId="16" fontId="82" fillId="0" borderId="17" xfId="0" applyNumberFormat="1" applyFont="1" applyFill="1" applyBorder="1" applyAlignment="1">
      <alignment horizontal="center" vertical="center" wrapText="1"/>
    </xf>
    <xf numFmtId="0" fontId="81" fillId="0" borderId="17" xfId="0" applyFont="1" applyFill="1" applyBorder="1" applyAlignment="1">
      <alignment horizontal="center" vertical="center" wrapText="1"/>
    </xf>
    <xf numFmtId="0" fontId="82" fillId="0" borderId="17" xfId="0" applyFont="1" applyFill="1" applyBorder="1" applyAlignment="1">
      <alignment horizontal="center" vertical="center"/>
    </xf>
    <xf numFmtId="49" fontId="82" fillId="0" borderId="17" xfId="0" applyNumberFormat="1" applyFont="1" applyFill="1" applyBorder="1" applyAlignment="1">
      <alignment horizontal="center" vertical="center" wrapText="1"/>
    </xf>
    <xf numFmtId="0" fontId="82" fillId="0" borderId="17" xfId="0" applyFont="1" applyFill="1" applyBorder="1" applyAlignment="1">
      <alignment horizontal="center" vertical="center" wrapText="1"/>
    </xf>
    <xf numFmtId="15" fontId="83" fillId="0" borderId="17" xfId="0" applyNumberFormat="1" applyFont="1" applyFill="1" applyBorder="1" applyAlignment="1">
      <alignment horizontal="center" vertical="center" wrapText="1"/>
    </xf>
    <xf numFmtId="1" fontId="83" fillId="0" borderId="17" xfId="0" applyNumberFormat="1" applyFont="1" applyFill="1" applyBorder="1" applyAlignment="1">
      <alignment horizontal="center" vertical="center" wrapText="1"/>
    </xf>
    <xf numFmtId="0" fontId="82" fillId="0" borderId="27" xfId="0" applyFont="1" applyFill="1" applyBorder="1" applyAlignment="1">
      <alignment horizontal="center" vertical="center" wrapText="1"/>
    </xf>
    <xf numFmtId="0" fontId="84" fillId="0" borderId="28" xfId="0" applyFont="1" applyFill="1" applyBorder="1" applyAlignment="1">
      <alignment horizontal="center" vertical="center" wrapText="1"/>
    </xf>
    <xf numFmtId="16" fontId="84" fillId="0" borderId="17" xfId="0" applyNumberFormat="1" applyFont="1" applyFill="1" applyBorder="1" applyAlignment="1">
      <alignment horizontal="center" vertical="center" wrapText="1"/>
    </xf>
    <xf numFmtId="16" fontId="85" fillId="0" borderId="17" xfId="0" applyNumberFormat="1" applyFont="1" applyFill="1" applyBorder="1" applyAlignment="1">
      <alignment horizontal="center" vertical="center" wrapText="1"/>
    </xf>
    <xf numFmtId="0" fontId="84" fillId="0" borderId="17" xfId="0" applyFont="1" applyFill="1" applyBorder="1" applyAlignment="1">
      <alignment horizontal="center" vertical="center" wrapText="1"/>
    </xf>
    <xf numFmtId="0" fontId="85" fillId="0" borderId="17" xfId="0" applyFont="1" applyFill="1" applyBorder="1" applyAlignment="1">
      <alignment horizontal="center" vertical="center"/>
    </xf>
    <xf numFmtId="49" fontId="85" fillId="0" borderId="17" xfId="0" applyNumberFormat="1" applyFont="1" applyFill="1" applyBorder="1" applyAlignment="1">
      <alignment horizontal="center" vertical="center" wrapText="1"/>
    </xf>
    <xf numFmtId="0" fontId="85" fillId="0" borderId="17" xfId="0" applyFont="1" applyFill="1" applyBorder="1" applyAlignment="1">
      <alignment horizontal="center" vertical="center" wrapText="1"/>
    </xf>
    <xf numFmtId="15" fontId="86" fillId="0" borderId="17" xfId="0" applyNumberFormat="1" applyFont="1" applyFill="1" applyBorder="1" applyAlignment="1">
      <alignment horizontal="center" vertical="center" wrapText="1"/>
    </xf>
    <xf numFmtId="1" fontId="86" fillId="0" borderId="17" xfId="0" applyNumberFormat="1" applyFont="1" applyFill="1" applyBorder="1" applyAlignment="1">
      <alignment horizontal="center" vertical="center" wrapText="1"/>
    </xf>
    <xf numFmtId="0" fontId="85" fillId="0" borderId="27" xfId="0" applyFont="1" applyFill="1" applyBorder="1" applyAlignment="1">
      <alignment horizontal="center" vertical="center" wrapText="1"/>
    </xf>
    <xf numFmtId="0" fontId="87" fillId="0" borderId="28" xfId="0" applyFont="1" applyFill="1" applyBorder="1" applyAlignment="1">
      <alignment horizontal="center" vertical="center" wrapText="1"/>
    </xf>
    <xf numFmtId="16" fontId="87" fillId="0" borderId="17" xfId="0" applyNumberFormat="1" applyFont="1" applyFill="1" applyBorder="1" applyAlignment="1">
      <alignment horizontal="center" vertical="center" wrapText="1"/>
    </xf>
    <xf numFmtId="16" fontId="88" fillId="0" borderId="17" xfId="0" applyNumberFormat="1" applyFont="1" applyFill="1" applyBorder="1" applyAlignment="1">
      <alignment horizontal="center" vertical="center" wrapText="1"/>
    </xf>
    <xf numFmtId="0" fontId="87" fillId="0" borderId="17" xfId="0" applyFont="1" applyFill="1" applyBorder="1" applyAlignment="1">
      <alignment horizontal="center" vertical="center" wrapText="1"/>
    </xf>
    <xf numFmtId="0" fontId="88" fillId="0" borderId="17" xfId="0" applyFont="1" applyFill="1" applyBorder="1" applyAlignment="1">
      <alignment horizontal="center" vertical="center"/>
    </xf>
    <xf numFmtId="49" fontId="88" fillId="0" borderId="17" xfId="0" applyNumberFormat="1" applyFont="1" applyFill="1" applyBorder="1" applyAlignment="1">
      <alignment horizontal="center" vertical="center" wrapText="1"/>
    </xf>
    <xf numFmtId="0" fontId="88" fillId="0" borderId="17" xfId="0" applyFont="1" applyFill="1" applyBorder="1" applyAlignment="1">
      <alignment horizontal="center" vertical="center" wrapText="1"/>
    </xf>
    <xf numFmtId="15" fontId="89" fillId="0" borderId="17" xfId="0" applyNumberFormat="1" applyFont="1" applyFill="1" applyBorder="1" applyAlignment="1">
      <alignment horizontal="center" vertical="center" wrapText="1"/>
    </xf>
    <xf numFmtId="1" fontId="89" fillId="0" borderId="17" xfId="0" applyNumberFormat="1" applyFont="1" applyFill="1" applyBorder="1" applyAlignment="1">
      <alignment horizontal="center" vertical="center" wrapText="1"/>
    </xf>
    <xf numFmtId="16" fontId="91" fillId="0" borderId="1" xfId="0" applyNumberFormat="1" applyFont="1" applyFill="1" applyBorder="1" applyAlignment="1">
      <alignment horizontal="center" vertical="center" wrapText="1"/>
    </xf>
    <xf numFmtId="0" fontId="90" fillId="0" borderId="1" xfId="0" applyFont="1" applyFill="1" applyBorder="1" applyAlignment="1">
      <alignment horizontal="center" vertical="center" wrapText="1"/>
    </xf>
    <xf numFmtId="0" fontId="91" fillId="0" borderId="1" xfId="0" applyFont="1" applyFill="1" applyBorder="1" applyAlignment="1">
      <alignment horizontal="center" vertical="center"/>
    </xf>
    <xf numFmtId="49" fontId="91" fillId="0" borderId="1" xfId="0" applyNumberFormat="1" applyFont="1" applyFill="1" applyBorder="1" applyAlignment="1">
      <alignment horizontal="center" vertical="center" wrapText="1"/>
    </xf>
    <xf numFmtId="0" fontId="91" fillId="0" borderId="1" xfId="0" applyFont="1" applyFill="1" applyBorder="1" applyAlignment="1">
      <alignment horizontal="center" vertical="center" wrapText="1"/>
    </xf>
    <xf numFmtId="0" fontId="90" fillId="0" borderId="28" xfId="0" applyFont="1" applyFill="1" applyBorder="1" applyAlignment="1">
      <alignment horizontal="center" vertical="center" wrapText="1"/>
    </xf>
    <xf numFmtId="16" fontId="90" fillId="0" borderId="17" xfId="0" applyNumberFormat="1" applyFont="1" applyFill="1" applyBorder="1" applyAlignment="1">
      <alignment horizontal="center" vertical="center" wrapText="1"/>
    </xf>
    <xf numFmtId="16" fontId="91" fillId="0" borderId="17" xfId="0" applyNumberFormat="1" applyFont="1" applyFill="1" applyBorder="1" applyAlignment="1">
      <alignment horizontal="center" vertical="center" wrapText="1"/>
    </xf>
    <xf numFmtId="0" fontId="90" fillId="0" borderId="17" xfId="0" applyFont="1" applyFill="1" applyBorder="1" applyAlignment="1">
      <alignment horizontal="center" vertical="center" wrapText="1"/>
    </xf>
    <xf numFmtId="0" fontId="91" fillId="0" borderId="17" xfId="0" applyFont="1" applyFill="1" applyBorder="1" applyAlignment="1">
      <alignment horizontal="center" vertical="center"/>
    </xf>
    <xf numFmtId="49" fontId="91" fillId="0" borderId="17" xfId="0" applyNumberFormat="1" applyFont="1" applyFill="1" applyBorder="1" applyAlignment="1">
      <alignment horizontal="center" vertical="center" wrapText="1"/>
    </xf>
    <xf numFmtId="0" fontId="91" fillId="0" borderId="17" xfId="0" applyFont="1" applyFill="1" applyBorder="1" applyAlignment="1">
      <alignment horizontal="center" vertical="center" wrapText="1"/>
    </xf>
    <xf numFmtId="15" fontId="92" fillId="0" borderId="17" xfId="0" applyNumberFormat="1" applyFont="1" applyFill="1" applyBorder="1" applyAlignment="1">
      <alignment horizontal="center" vertical="center" wrapText="1"/>
    </xf>
    <xf numFmtId="1" fontId="92" fillId="0" borderId="17" xfId="0" applyNumberFormat="1" applyFont="1" applyFill="1" applyBorder="1" applyAlignment="1">
      <alignment horizontal="center" vertical="center" wrapText="1"/>
    </xf>
    <xf numFmtId="0" fontId="91" fillId="0" borderId="27" xfId="0" applyFont="1" applyFill="1" applyBorder="1" applyAlignment="1">
      <alignment horizontal="center" vertical="center" wrapText="1"/>
    </xf>
    <xf numFmtId="0" fontId="90" fillId="0" borderId="15" xfId="0" applyFont="1" applyFill="1" applyBorder="1" applyAlignment="1">
      <alignment horizontal="center" vertical="center" wrapText="1"/>
    </xf>
    <xf numFmtId="16" fontId="90" fillId="0" borderId="1" xfId="0" applyNumberFormat="1" applyFont="1" applyFill="1" applyBorder="1" applyAlignment="1">
      <alignment horizontal="center" vertical="center" wrapText="1"/>
    </xf>
    <xf numFmtId="15" fontId="92" fillId="0" borderId="1" xfId="0" applyNumberFormat="1" applyFont="1" applyFill="1" applyBorder="1" applyAlignment="1">
      <alignment horizontal="center" vertical="center" wrapText="1"/>
    </xf>
    <xf numFmtId="1" fontId="92" fillId="0" borderId="1" xfId="0" applyNumberFormat="1" applyFont="1" applyFill="1" applyBorder="1" applyAlignment="1">
      <alignment horizontal="center" vertical="center" wrapText="1"/>
    </xf>
    <xf numFmtId="0" fontId="91" fillId="0" borderId="26" xfId="0" applyFont="1" applyFill="1" applyBorder="1" applyAlignment="1">
      <alignment horizontal="center" vertical="center" wrapText="1"/>
    </xf>
    <xf numFmtId="0" fontId="10" fillId="0" borderId="28" xfId="0" applyFont="1" applyFill="1" applyBorder="1" applyAlignment="1">
      <alignment horizontal="center" vertical="center" wrapText="1"/>
    </xf>
    <xf numFmtId="16" fontId="93" fillId="0" borderId="1" xfId="0" applyNumberFormat="1" applyFont="1" applyFill="1" applyBorder="1" applyAlignment="1">
      <alignment horizontal="center" vertical="center" wrapText="1"/>
    </xf>
    <xf numFmtId="16" fontId="94" fillId="0" borderId="1" xfId="0" applyNumberFormat="1" applyFont="1" applyFill="1" applyBorder="1" applyAlignment="1">
      <alignment horizontal="center" vertical="center" wrapText="1"/>
    </xf>
    <xf numFmtId="0" fontId="93" fillId="0" borderId="1" xfId="0" applyFont="1" applyFill="1" applyBorder="1" applyAlignment="1">
      <alignment horizontal="center" vertical="center" wrapText="1"/>
    </xf>
    <xf numFmtId="0" fontId="94" fillId="0" borderId="1" xfId="0" applyFont="1" applyFill="1" applyBorder="1" applyAlignment="1">
      <alignment horizontal="center" vertical="center"/>
    </xf>
    <xf numFmtId="49" fontId="94" fillId="0" borderId="1" xfId="0" applyNumberFormat="1" applyFont="1" applyFill="1" applyBorder="1" applyAlignment="1">
      <alignment horizontal="center" vertical="center" wrapText="1"/>
    </xf>
    <xf numFmtId="0" fontId="94" fillId="0" borderId="1" xfId="0" applyFont="1" applyFill="1" applyBorder="1" applyAlignment="1">
      <alignment horizontal="center" vertical="center" wrapText="1"/>
    </xf>
    <xf numFmtId="0" fontId="95" fillId="0" borderId="28" xfId="0" applyFont="1" applyFill="1" applyBorder="1" applyAlignment="1">
      <alignment horizontal="center" vertical="center" wrapText="1"/>
    </xf>
    <xf numFmtId="16" fontId="95" fillId="0" borderId="17" xfId="0" applyNumberFormat="1" applyFont="1" applyFill="1" applyBorder="1" applyAlignment="1">
      <alignment horizontal="center" vertical="center" wrapText="1"/>
    </xf>
    <xf numFmtId="16" fontId="96" fillId="0" borderId="17" xfId="0" applyNumberFormat="1" applyFont="1" applyFill="1" applyBorder="1" applyAlignment="1">
      <alignment horizontal="center" vertical="center" wrapText="1"/>
    </xf>
    <xf numFmtId="0" fontId="95" fillId="0" borderId="17" xfId="0" applyFont="1" applyFill="1" applyBorder="1" applyAlignment="1">
      <alignment horizontal="center" vertical="center" wrapText="1"/>
    </xf>
    <xf numFmtId="0" fontId="96" fillId="0" borderId="17" xfId="0" applyFont="1" applyFill="1" applyBorder="1" applyAlignment="1">
      <alignment horizontal="center" vertical="center"/>
    </xf>
    <xf numFmtId="49" fontId="96" fillId="0" borderId="17" xfId="0" applyNumberFormat="1" applyFont="1" applyFill="1" applyBorder="1" applyAlignment="1">
      <alignment horizontal="center" vertical="center" wrapText="1"/>
    </xf>
    <xf numFmtId="0" fontId="96" fillId="0" borderId="17" xfId="0" applyFont="1" applyFill="1" applyBorder="1" applyAlignment="1">
      <alignment horizontal="center" vertical="center" wrapText="1"/>
    </xf>
    <xf numFmtId="15" fontId="97" fillId="0" borderId="17" xfId="0" applyNumberFormat="1" applyFont="1" applyFill="1" applyBorder="1" applyAlignment="1">
      <alignment horizontal="center" vertical="center" wrapText="1"/>
    </xf>
    <xf numFmtId="1" fontId="97" fillId="0" borderId="17" xfId="0" applyNumberFormat="1" applyFont="1" applyFill="1" applyBorder="1" applyAlignment="1">
      <alignment horizontal="center" vertical="center" wrapText="1"/>
    </xf>
    <xf numFmtId="0" fontId="96" fillId="0" borderId="27" xfId="0" applyFont="1" applyFill="1" applyBorder="1" applyAlignment="1">
      <alignment horizontal="center" vertical="center" wrapText="1"/>
    </xf>
    <xf numFmtId="0" fontId="98" fillId="0" borderId="28" xfId="0" applyFont="1" applyFill="1" applyBorder="1" applyAlignment="1">
      <alignment horizontal="center" vertical="center" wrapText="1"/>
    </xf>
    <xf numFmtId="16" fontId="98" fillId="0" borderId="17" xfId="0" applyNumberFormat="1" applyFont="1" applyFill="1" applyBorder="1" applyAlignment="1">
      <alignment horizontal="center" vertical="center" wrapText="1"/>
    </xf>
    <xf numFmtId="16" fontId="99" fillId="0" borderId="17" xfId="0" applyNumberFormat="1" applyFont="1" applyFill="1" applyBorder="1" applyAlignment="1">
      <alignment horizontal="center" vertical="center" wrapText="1"/>
    </xf>
    <xf numFmtId="0" fontId="98" fillId="0" borderId="17" xfId="0" applyFont="1" applyFill="1" applyBorder="1" applyAlignment="1">
      <alignment horizontal="center" vertical="center" wrapText="1"/>
    </xf>
    <xf numFmtId="0" fontId="99" fillId="0" borderId="17" xfId="0" applyFont="1" applyFill="1" applyBorder="1" applyAlignment="1">
      <alignment horizontal="center" vertical="center"/>
    </xf>
    <xf numFmtId="49" fontId="99" fillId="0" borderId="17" xfId="0" applyNumberFormat="1" applyFont="1" applyFill="1" applyBorder="1" applyAlignment="1">
      <alignment horizontal="center" vertical="center" wrapText="1"/>
    </xf>
    <xf numFmtId="0" fontId="99" fillId="0" borderId="17" xfId="0" applyFont="1" applyFill="1" applyBorder="1" applyAlignment="1">
      <alignment horizontal="center" vertical="center" wrapText="1"/>
    </xf>
    <xf numFmtId="15" fontId="100" fillId="0" borderId="17" xfId="0" applyNumberFormat="1" applyFont="1" applyFill="1" applyBorder="1" applyAlignment="1">
      <alignment horizontal="center" vertical="center" wrapText="1"/>
    </xf>
    <xf numFmtId="0" fontId="99" fillId="0" borderId="27" xfId="0" applyFont="1" applyFill="1" applyBorder="1" applyAlignment="1">
      <alignment horizontal="center" vertical="center" wrapText="1"/>
    </xf>
    <xf numFmtId="16" fontId="99" fillId="0" borderId="1" xfId="0" applyNumberFormat="1" applyFont="1" applyFill="1" applyBorder="1" applyAlignment="1">
      <alignment horizontal="center" vertical="center" wrapText="1"/>
    </xf>
    <xf numFmtId="0" fontId="98" fillId="0" borderId="1" xfId="0" applyFont="1" applyFill="1" applyBorder="1" applyAlignment="1">
      <alignment horizontal="center" vertical="center" wrapText="1"/>
    </xf>
    <xf numFmtId="0" fontId="99" fillId="0" borderId="1" xfId="0" applyFont="1" applyFill="1" applyBorder="1" applyAlignment="1">
      <alignment horizontal="center" vertical="center" wrapText="1"/>
    </xf>
    <xf numFmtId="0" fontId="84" fillId="0" borderId="1" xfId="0" applyFont="1" applyFill="1" applyBorder="1" applyAlignment="1">
      <alignment horizontal="center" vertical="center" wrapText="1"/>
    </xf>
    <xf numFmtId="16" fontId="84" fillId="0" borderId="1" xfId="0" applyNumberFormat="1" applyFont="1" applyFill="1" applyBorder="1" applyAlignment="1">
      <alignment horizontal="center" vertical="center" wrapText="1"/>
    </xf>
    <xf numFmtId="16" fontId="85" fillId="0" borderId="1" xfId="0" applyNumberFormat="1" applyFont="1" applyFill="1" applyBorder="1" applyAlignment="1">
      <alignment horizontal="center" vertical="center" wrapText="1"/>
    </xf>
    <xf numFmtId="0" fontId="85" fillId="0" borderId="1" xfId="0" applyFont="1" applyFill="1" applyBorder="1"/>
    <xf numFmtId="0" fontId="85" fillId="0" borderId="1" xfId="0" applyFont="1" applyFill="1" applyBorder="1" applyAlignment="1">
      <alignment horizontal="center" vertical="center" wrapText="1"/>
    </xf>
    <xf numFmtId="15" fontId="86" fillId="0" borderId="1" xfId="0" applyNumberFormat="1" applyFont="1" applyFill="1" applyBorder="1" applyAlignment="1">
      <alignment horizontal="center" vertical="center" wrapText="1"/>
    </xf>
    <xf numFmtId="1" fontId="86" fillId="0" borderId="1" xfId="0" applyNumberFormat="1" applyFont="1" applyFill="1" applyBorder="1" applyAlignment="1">
      <alignment horizontal="center" vertical="center" wrapText="1"/>
    </xf>
    <xf numFmtId="0" fontId="6" fillId="0" borderId="1" xfId="0" applyFont="1" applyFill="1" applyBorder="1"/>
    <xf numFmtId="0" fontId="101" fillId="0" borderId="28" xfId="0" applyFont="1" applyFill="1" applyBorder="1" applyAlignment="1">
      <alignment horizontal="center" vertical="center" wrapText="1"/>
    </xf>
    <xf numFmtId="16" fontId="101" fillId="0" borderId="17" xfId="0" applyNumberFormat="1" applyFont="1" applyFill="1" applyBorder="1" applyAlignment="1">
      <alignment horizontal="center" vertical="center" wrapText="1"/>
    </xf>
    <xf numFmtId="16" fontId="102" fillId="0" borderId="17" xfId="0" applyNumberFormat="1" applyFont="1" applyFill="1" applyBorder="1" applyAlignment="1">
      <alignment horizontal="center" vertical="center" wrapText="1"/>
    </xf>
    <xf numFmtId="0" fontId="101" fillId="0" borderId="17" xfId="0" applyFont="1" applyFill="1" applyBorder="1" applyAlignment="1">
      <alignment horizontal="center" vertical="center" wrapText="1"/>
    </xf>
    <xf numFmtId="0" fontId="102" fillId="0" borderId="17" xfId="0" applyFont="1" applyFill="1" applyBorder="1" applyAlignment="1">
      <alignment horizontal="center" vertical="center"/>
    </xf>
    <xf numFmtId="49" fontId="102" fillId="0" borderId="17" xfId="0" applyNumberFormat="1" applyFont="1" applyFill="1" applyBorder="1" applyAlignment="1">
      <alignment horizontal="center" vertical="center" wrapText="1"/>
    </xf>
    <xf numFmtId="0" fontId="102" fillId="0" borderId="17" xfId="0" applyFont="1" applyFill="1" applyBorder="1" applyAlignment="1">
      <alignment horizontal="center" vertical="center" wrapText="1"/>
    </xf>
    <xf numFmtId="15" fontId="103" fillId="0" borderId="17" xfId="0" applyNumberFormat="1" applyFont="1" applyFill="1" applyBorder="1" applyAlignment="1">
      <alignment horizontal="center" vertical="center" wrapText="1"/>
    </xf>
    <xf numFmtId="1" fontId="103" fillId="0" borderId="17" xfId="0" applyNumberFormat="1" applyFont="1" applyFill="1" applyBorder="1" applyAlignment="1">
      <alignment horizontal="center" vertical="center" wrapText="1"/>
    </xf>
    <xf numFmtId="0" fontId="102" fillId="0" borderId="27" xfId="0" applyFont="1" applyFill="1" applyBorder="1" applyAlignment="1">
      <alignment horizontal="center" vertical="center" wrapText="1"/>
    </xf>
    <xf numFmtId="0" fontId="104" fillId="0" borderId="28" xfId="0" applyFont="1" applyFill="1" applyBorder="1" applyAlignment="1">
      <alignment horizontal="center" vertical="center" wrapText="1"/>
    </xf>
    <xf numFmtId="16" fontId="104" fillId="0" borderId="17" xfId="0" applyNumberFormat="1" applyFont="1" applyFill="1" applyBorder="1" applyAlignment="1">
      <alignment horizontal="center" vertical="center" wrapText="1"/>
    </xf>
    <xf numFmtId="16" fontId="105" fillId="0" borderId="17" xfId="0" applyNumberFormat="1" applyFont="1" applyFill="1" applyBorder="1" applyAlignment="1">
      <alignment horizontal="center" vertical="center" wrapText="1"/>
    </xf>
    <xf numFmtId="0" fontId="104" fillId="0" borderId="17" xfId="0" applyFont="1" applyFill="1" applyBorder="1" applyAlignment="1">
      <alignment horizontal="center" vertical="center" wrapText="1"/>
    </xf>
    <xf numFmtId="0" fontId="105" fillId="0" borderId="17" xfId="0" applyFont="1" applyFill="1" applyBorder="1" applyAlignment="1">
      <alignment horizontal="center" vertical="center"/>
    </xf>
    <xf numFmtId="49" fontId="105" fillId="0" borderId="17" xfId="0" applyNumberFormat="1" applyFont="1" applyFill="1" applyBorder="1" applyAlignment="1">
      <alignment horizontal="center" vertical="center" wrapText="1"/>
    </xf>
    <xf numFmtId="0" fontId="105" fillId="0" borderId="17" xfId="0" applyFont="1" applyFill="1" applyBorder="1" applyAlignment="1">
      <alignment horizontal="center" vertical="center" wrapText="1"/>
    </xf>
    <xf numFmtId="15" fontId="106" fillId="0" borderId="17" xfId="0" applyNumberFormat="1" applyFont="1" applyFill="1" applyBorder="1" applyAlignment="1">
      <alignment horizontal="center" vertical="center" wrapText="1"/>
    </xf>
    <xf numFmtId="1" fontId="106" fillId="0" borderId="17" xfId="0" applyNumberFormat="1" applyFont="1" applyFill="1" applyBorder="1" applyAlignment="1">
      <alignment horizontal="center" vertical="center" wrapText="1"/>
    </xf>
    <xf numFmtId="0" fontId="105" fillId="0" borderId="27" xfId="0" applyFont="1" applyFill="1" applyBorder="1" applyAlignment="1">
      <alignment horizontal="center" vertical="center" wrapText="1"/>
    </xf>
    <xf numFmtId="0" fontId="104" fillId="0" borderId="15" xfId="0" applyFont="1" applyFill="1" applyBorder="1" applyAlignment="1">
      <alignment horizontal="center" vertical="center" wrapText="1"/>
    </xf>
    <xf numFmtId="16" fontId="104" fillId="0" borderId="1" xfId="0" applyNumberFormat="1" applyFont="1" applyFill="1" applyBorder="1" applyAlignment="1">
      <alignment horizontal="center" vertical="center" wrapText="1"/>
    </xf>
    <xf numFmtId="16" fontId="105" fillId="0" borderId="1" xfId="0" applyNumberFormat="1" applyFont="1" applyFill="1" applyBorder="1" applyAlignment="1">
      <alignment horizontal="center" vertical="center" wrapText="1"/>
    </xf>
    <xf numFmtId="0" fontId="104" fillId="0" borderId="1" xfId="0" applyFont="1" applyFill="1" applyBorder="1" applyAlignment="1">
      <alignment horizontal="center" vertical="center" wrapText="1"/>
    </xf>
    <xf numFmtId="0" fontId="105" fillId="0" borderId="1" xfId="0" applyFont="1" applyFill="1" applyBorder="1" applyAlignment="1">
      <alignment horizontal="center" vertical="center"/>
    </xf>
    <xf numFmtId="49" fontId="105" fillId="0" borderId="1" xfId="0" applyNumberFormat="1" applyFont="1" applyFill="1" applyBorder="1" applyAlignment="1">
      <alignment horizontal="center" vertical="center" wrapText="1"/>
    </xf>
    <xf numFmtId="0" fontId="105" fillId="0" borderId="1" xfId="0" applyFont="1" applyFill="1" applyBorder="1" applyAlignment="1">
      <alignment horizontal="center" vertical="center" wrapText="1"/>
    </xf>
    <xf numFmtId="15" fontId="106" fillId="0" borderId="1" xfId="0" applyNumberFormat="1" applyFont="1" applyFill="1" applyBorder="1" applyAlignment="1">
      <alignment horizontal="center" vertical="center" wrapText="1"/>
    </xf>
    <xf numFmtId="1" fontId="106" fillId="0" borderId="1" xfId="0" applyNumberFormat="1" applyFont="1" applyFill="1" applyBorder="1" applyAlignment="1">
      <alignment horizontal="center" vertical="center" wrapText="1"/>
    </xf>
    <xf numFmtId="0" fontId="105" fillId="0" borderId="26" xfId="0" applyFont="1" applyFill="1" applyBorder="1" applyAlignment="1">
      <alignment horizontal="center" vertical="center" wrapText="1"/>
    </xf>
    <xf numFmtId="0" fontId="7" fillId="7" borderId="4" xfId="0" applyFont="1" applyFill="1" applyBorder="1" applyAlignment="1">
      <alignment horizontal="center" vertical="center"/>
    </xf>
    <xf numFmtId="0" fontId="7" fillId="7" borderId="13" xfId="0" applyFont="1" applyFill="1" applyBorder="1" applyAlignment="1">
      <alignment horizontal="center" vertical="center"/>
    </xf>
    <xf numFmtId="0" fontId="7" fillId="7" borderId="5" xfId="0" applyFont="1" applyFill="1" applyBorder="1" applyAlignment="1">
      <alignment horizontal="center" vertical="center"/>
    </xf>
    <xf numFmtId="0" fontId="8" fillId="3" borderId="0" xfId="0" applyFont="1" applyFill="1" applyBorder="1" applyAlignment="1">
      <alignment horizontal="center" vertical="center" wrapText="1"/>
    </xf>
  </cellXfs>
  <cellStyles count="2">
    <cellStyle name="Hyperlink" xfId="1" builtinId="8"/>
    <cellStyle name="Normal" xfId="0" builtinId="0"/>
  </cellStyles>
  <dxfs count="244">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4"/>
        <color theme="1"/>
        <name val="Calibri"/>
        <scheme val="minor"/>
      </font>
      <fill>
        <patternFill patternType="none">
          <bgColor auto="1"/>
        </patternFill>
      </fill>
      <alignment horizontal="center" vertical="center" textRotation="0" wrapText="1" indent="0" justifyLastLine="0" shrinkToFit="0" readingOrder="0"/>
      <border diagonalUp="0" diagonalDown="0" outline="0">
        <left style="thin">
          <color indexed="64"/>
        </left>
        <right style="medium">
          <color indexed="64"/>
        </right>
        <top/>
        <bottom style="thin">
          <color indexed="64"/>
        </bottom>
      </border>
    </dxf>
    <dxf>
      <font>
        <b val="0"/>
        <i val="0"/>
        <strike val="0"/>
        <condense val="0"/>
        <extend val="0"/>
        <outline val="0"/>
        <shadow val="0"/>
        <u val="none"/>
        <vertAlign val="baseline"/>
        <sz val="14"/>
        <color auto="1"/>
        <name val="Calibri"/>
        <scheme val="minor"/>
      </font>
      <numFmt numFmtId="20" formatCode="dd\-mmm\-yy"/>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auto="1"/>
        <name val="Calibri"/>
        <scheme val="minor"/>
      </font>
      <numFmt numFmtId="1" formatCode="0"/>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auto="1"/>
        <name val="Calibri"/>
        <scheme val="minor"/>
      </font>
      <numFmt numFmtId="20" formatCode="dd\-mmm\-yy"/>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4"/>
        <name val="Calibri"/>
        <scheme val="minor"/>
      </font>
      <fill>
        <patternFill patternType="none">
          <bgColor auto="1"/>
        </patternFill>
      </fill>
      <alignment horizontal="center" vertical="center" textRotation="0" indent="0" justifyLastLine="0" shrinkToFit="0" readingOrder="0"/>
    </dxf>
    <dxf>
      <font>
        <strike val="0"/>
        <outline val="0"/>
        <shadow val="0"/>
        <u val="none"/>
        <vertAlign val="baseline"/>
        <sz val="14"/>
        <name val="Calibri"/>
        <scheme val="minor"/>
      </font>
      <fill>
        <patternFill patternType="none">
          <bgColor auto="1"/>
        </patternFill>
      </fill>
      <alignment horizontal="center" vertical="center" textRotation="0" indent="0" justifyLastLine="0" shrinkToFit="0" readingOrder="0"/>
    </dxf>
    <dxf>
      <font>
        <strike val="0"/>
        <outline val="0"/>
        <shadow val="0"/>
        <u val="none"/>
        <vertAlign val="baseline"/>
        <sz val="14"/>
        <name val="Calibri"/>
        <scheme val="minor"/>
      </font>
      <fill>
        <patternFill patternType="none">
          <bgColor auto="1"/>
        </patternFill>
      </fill>
      <alignment horizontal="center" vertical="center" textRotation="0" indent="0" justifyLastLine="0" shrinkToFit="0" readingOrder="0"/>
    </dxf>
    <dxf>
      <font>
        <strike val="0"/>
        <outline val="0"/>
        <shadow val="0"/>
        <u val="none"/>
        <vertAlign val="baseline"/>
        <sz val="14"/>
        <name val="Calibri"/>
        <scheme val="minor"/>
      </font>
      <fill>
        <patternFill patternType="none">
          <bgColor auto="1"/>
        </patternFill>
      </fill>
      <alignment horizontal="center" vertical="center" textRotation="0" indent="0" justifyLastLine="0" shrinkToFit="0" readingOrder="0"/>
    </dxf>
    <dxf>
      <font>
        <b val="0"/>
        <i val="0"/>
        <strike val="0"/>
        <condense val="0"/>
        <extend val="0"/>
        <outline val="0"/>
        <shadow val="0"/>
        <u val="none"/>
        <vertAlign val="baseline"/>
        <sz val="14"/>
        <color indexed="8"/>
        <name val="Calibri"/>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indexed="8"/>
        <name val="Calibri"/>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theme="1"/>
        <name val="Calibri"/>
        <scheme val="minor"/>
      </font>
      <numFmt numFmtId="21" formatCode="dd\-mmm"/>
      <fill>
        <patternFill patternType="none">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indexed="8"/>
        <name val="Calibri"/>
        <scheme val="minor"/>
      </font>
      <numFmt numFmtId="21" formatCode="dd\-mmm"/>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indexed="8"/>
        <name val="Calibri"/>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6"/>
        <color auto="1"/>
        <name val="Calibri"/>
        <scheme val="none"/>
      </font>
      <numFmt numFmtId="20" formatCode="dd\-mmm\-yy"/>
      <fill>
        <patternFill patternType="solid">
          <fgColor rgb="FF000000"/>
          <bgColor rgb="FFFFFFFF"/>
        </patternFill>
      </fill>
      <alignment horizontal="center" vertical="center" textRotation="0" wrapText="1" indent="0" justifyLastLine="0" shrinkToFit="0" readingOrder="0"/>
      <border diagonalUp="0" diagonalDown="0">
        <left style="thin">
          <color rgb="FF000000"/>
        </left>
        <right style="thin">
          <color rgb="FF000000"/>
        </right>
        <top/>
        <bottom/>
      </border>
      <protection locked="1" hidden="0"/>
    </dxf>
    <dxf>
      <font>
        <strike val="0"/>
        <outline val="0"/>
        <shadow val="0"/>
        <u val="none"/>
        <vertAlign val="baseline"/>
        <sz val="14"/>
        <name val="Calibri"/>
        <scheme val="none"/>
      </font>
      <fill>
        <patternFill patternType="none">
          <bgColor auto="1"/>
        </patternFill>
      </fill>
      <alignment horizontal="center" vertical="center" textRotation="0" indent="0" justifyLastLine="0" shrinkToFit="0" readingOrder="0"/>
    </dxf>
    <dxf>
      <border>
        <bottom style="medium">
          <color rgb="FF000000"/>
        </bottom>
      </border>
    </dxf>
    <dxf>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border>
    </dxf>
    <dxf>
      <fill>
        <patternFill>
          <bgColor rgb="FFFFC000"/>
        </patternFill>
      </fill>
    </dxf>
    <dxf>
      <fill>
        <patternFill>
          <bgColor rgb="FFFF0000"/>
        </patternFill>
      </fill>
    </dxf>
    <dxf>
      <fill>
        <patternFill>
          <bgColor rgb="FF00B050"/>
        </patternFill>
      </fill>
    </dxf>
    <dxf>
      <fill>
        <patternFill>
          <bgColor theme="0" tint="-0.24994659260841701"/>
        </patternFill>
      </fill>
    </dxf>
    <dxf>
      <fill>
        <patternFill>
          <bgColor rgb="FFFFC000"/>
        </patternFill>
      </fill>
    </dxf>
    <dxf>
      <fill>
        <patternFill>
          <bgColor rgb="FFFF0000"/>
        </patternFill>
      </fill>
    </dxf>
    <dxf>
      <fill>
        <patternFill>
          <bgColor rgb="FF00B050"/>
        </patternFill>
      </fill>
    </dxf>
    <dxf>
      <fill>
        <patternFill>
          <bgColor theme="0" tint="-0.24994659260841701"/>
        </patternFill>
      </fill>
    </dxf>
    <dxf>
      <font>
        <color theme="0" tint="-0.499984740745262"/>
      </font>
      <fill>
        <patternFill>
          <bgColor theme="0" tint="-0.14996795556505021"/>
        </patternFill>
      </fill>
    </dxf>
    <dxf>
      <font>
        <b val="0"/>
        <i val="0"/>
        <strike val="0"/>
        <condense val="0"/>
        <extend val="0"/>
        <outline val="0"/>
        <shadow val="0"/>
        <u val="none"/>
        <vertAlign val="baseline"/>
        <sz val="14"/>
        <color theme="1"/>
        <name val="Calibri"/>
        <scheme val="minor"/>
      </font>
      <fill>
        <patternFill patternType="none">
          <bgColor auto="1"/>
        </patternFill>
      </fill>
      <alignment horizontal="center" vertical="center" textRotation="0" wrapText="1" indent="0" justifyLastLine="0" shrinkToFit="0" readingOrder="0"/>
      <border diagonalUp="0" diagonalDown="0" outline="0">
        <left style="thin">
          <color indexed="64"/>
        </left>
        <right style="medium">
          <color indexed="64"/>
        </right>
        <top/>
        <bottom style="thin">
          <color indexed="64"/>
        </bottom>
      </border>
    </dxf>
    <dxf>
      <font>
        <b val="0"/>
        <i val="0"/>
        <strike val="0"/>
        <condense val="0"/>
        <extend val="0"/>
        <outline val="0"/>
        <shadow val="0"/>
        <u val="none"/>
        <vertAlign val="baseline"/>
        <sz val="14"/>
        <color auto="1"/>
        <name val="Calibri"/>
        <scheme val="minor"/>
      </font>
      <numFmt numFmtId="20" formatCode="dd\-mmm\-yy"/>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auto="1"/>
        <name val="Calibri"/>
        <scheme val="minor"/>
      </font>
      <numFmt numFmtId="1" formatCode="0"/>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auto="1"/>
        <name val="Calibri"/>
        <scheme val="minor"/>
      </font>
      <numFmt numFmtId="20" formatCode="dd\-mmm\-yy"/>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4"/>
        <name val="Calibri"/>
        <scheme val="minor"/>
      </font>
      <fill>
        <patternFill patternType="none">
          <bgColor auto="1"/>
        </patternFill>
      </fill>
    </dxf>
    <dxf>
      <font>
        <strike val="0"/>
        <outline val="0"/>
        <shadow val="0"/>
        <u val="none"/>
        <vertAlign val="baseline"/>
        <sz val="14"/>
        <name val="Calibri"/>
        <scheme val="minor"/>
      </font>
      <fill>
        <patternFill patternType="none">
          <bgColor auto="1"/>
        </patternFill>
      </fill>
    </dxf>
    <dxf>
      <font>
        <strike val="0"/>
        <outline val="0"/>
        <shadow val="0"/>
        <u val="none"/>
        <vertAlign val="baseline"/>
        <sz val="14"/>
        <name val="Calibri"/>
        <scheme val="minor"/>
      </font>
      <fill>
        <patternFill patternType="none">
          <bgColor auto="1"/>
        </patternFill>
      </fill>
    </dxf>
    <dxf>
      <font>
        <strike val="0"/>
        <outline val="0"/>
        <shadow val="0"/>
        <u val="none"/>
        <vertAlign val="baseline"/>
        <sz val="14"/>
        <name val="Calibri"/>
        <scheme val="minor"/>
      </font>
      <fill>
        <patternFill patternType="none">
          <bgColor auto="1"/>
        </patternFill>
      </fill>
    </dxf>
    <dxf>
      <font>
        <b val="0"/>
        <i val="0"/>
        <strike val="0"/>
        <condense val="0"/>
        <extend val="0"/>
        <outline val="0"/>
        <shadow val="0"/>
        <u val="none"/>
        <vertAlign val="baseline"/>
        <sz val="14"/>
        <color indexed="8"/>
        <name val="Calibri"/>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indexed="8"/>
        <name val="Calibri"/>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theme="1"/>
        <name val="Calibri"/>
        <scheme val="minor"/>
      </font>
      <numFmt numFmtId="21" formatCode="dd\-mmm"/>
      <fill>
        <patternFill patternType="none">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indexed="8"/>
        <name val="Calibri"/>
        <scheme val="minor"/>
      </font>
      <numFmt numFmtId="21" formatCode="dd\-mmm"/>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4"/>
        <color indexed="8"/>
        <name val="Calibri"/>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6"/>
        <color auto="1"/>
        <name val="Calibri"/>
        <scheme val="none"/>
      </font>
      <numFmt numFmtId="20" formatCode="dd\-mmm\-yy"/>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bottom/>
      </border>
      <protection locked="1" hidden="0"/>
    </dxf>
    <dxf>
      <font>
        <strike val="0"/>
        <outline val="0"/>
        <shadow val="0"/>
        <u val="none"/>
        <vertAlign val="baseline"/>
        <sz val="14"/>
        <name val="Calibri"/>
        <scheme val="minor"/>
      </font>
      <fill>
        <patternFill patternType="none">
          <bgColor auto="1"/>
        </patternFill>
      </fill>
    </dxf>
    <dxf>
      <border>
        <bottom style="medium">
          <color indexed="64"/>
        </bottom>
      </border>
    </dxf>
    <dxf>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border>
    </dxf>
    <dxf>
      <fill>
        <patternFill>
          <bgColor theme="0" tint="-0.24994659260841701"/>
        </patternFill>
      </fill>
    </dxf>
    <dxf>
      <fill>
        <patternFill>
          <bgColor theme="0" tint="-0.24994659260841701"/>
        </patternFill>
      </fill>
    </dxf>
    <dxf>
      <fill>
        <patternFill>
          <bgColor rgb="FFFFC000"/>
        </patternFill>
      </fill>
    </dxf>
    <dxf>
      <fill>
        <patternFill>
          <bgColor rgb="FFFF0000"/>
        </patternFill>
      </fill>
    </dxf>
    <dxf>
      <fill>
        <patternFill>
          <bgColor rgb="FF00B050"/>
        </patternFill>
      </fill>
    </dxf>
    <dxf>
      <fill>
        <patternFill>
          <bgColor theme="0" tint="-0.24994659260841701"/>
        </patternFill>
      </fill>
    </dxf>
    <dxf>
      <fill>
        <patternFill>
          <bgColor rgb="FFFFC000"/>
        </patternFill>
      </fill>
    </dxf>
    <dxf>
      <fill>
        <patternFill>
          <bgColor rgb="FFFF0000"/>
        </patternFill>
      </fill>
    </dxf>
    <dxf>
      <fill>
        <patternFill>
          <bgColor rgb="FF00B050"/>
        </patternFill>
      </fill>
    </dxf>
    <dxf>
      <fill>
        <patternFill>
          <bgColor theme="0" tint="-0.24994659260841701"/>
        </patternFill>
      </fill>
    </dxf>
    <dxf>
      <fill>
        <patternFill>
          <bgColor rgb="FFFFC000"/>
        </patternFill>
      </fill>
    </dxf>
    <dxf>
      <fill>
        <patternFill>
          <bgColor rgb="FFFF0000"/>
        </patternFill>
      </fill>
    </dxf>
    <dxf>
      <fill>
        <patternFill>
          <bgColor rgb="FF00B050"/>
        </patternFill>
      </fill>
    </dxf>
    <dxf>
      <fill>
        <patternFill>
          <bgColor theme="0" tint="-0.24994659260841701"/>
        </patternFill>
      </fill>
    </dxf>
    <dxf>
      <font>
        <color theme="0" tint="-0.499984740745262"/>
      </font>
      <fill>
        <patternFill>
          <bgColor theme="0" tint="-0.14996795556505021"/>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theme="0" tint="-0.24994659260841701"/>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theme="0" tint="-0.24994659260841701"/>
        </patternFill>
      </fill>
    </dxf>
    <dxf>
      <fill>
        <patternFill>
          <bgColor rgb="FFFFC000"/>
        </patternFill>
      </fill>
    </dxf>
    <dxf>
      <fill>
        <patternFill>
          <bgColor rgb="FFFF0000"/>
        </patternFill>
      </fill>
    </dxf>
    <dxf>
      <fill>
        <patternFill>
          <bgColor rgb="FF00B050"/>
        </patternFill>
      </fill>
    </dxf>
    <dxf>
      <fill>
        <patternFill>
          <bgColor theme="0" tint="-0.24994659260841701"/>
        </patternFill>
      </fill>
    </dxf>
    <dxf>
      <fill>
        <patternFill>
          <bgColor rgb="FFFFC000"/>
        </patternFill>
      </fill>
    </dxf>
    <dxf>
      <fill>
        <patternFill>
          <bgColor rgb="FFFF0000"/>
        </patternFill>
      </fill>
    </dxf>
    <dxf>
      <fill>
        <patternFill>
          <bgColor rgb="FF00B050"/>
        </patternFill>
      </fill>
    </dxf>
    <dxf>
      <fill>
        <patternFill>
          <bgColor theme="0" tint="-0.24994659260841701"/>
        </patternFill>
      </fill>
    </dxf>
    <dxf>
      <fill>
        <patternFill>
          <bgColor rgb="FFFFC000"/>
        </patternFill>
      </fill>
    </dxf>
    <dxf>
      <fill>
        <patternFill>
          <bgColor rgb="FFFF0000"/>
        </patternFill>
      </fill>
    </dxf>
    <dxf>
      <fill>
        <patternFill>
          <bgColor rgb="FF00B050"/>
        </patternFill>
      </fill>
    </dxf>
    <dxf>
      <fill>
        <patternFill>
          <bgColor theme="0" tint="-0.24994659260841701"/>
        </patternFill>
      </fill>
    </dxf>
    <dxf>
      <fill>
        <patternFill>
          <bgColor rgb="FFFFC000"/>
        </patternFill>
      </fill>
    </dxf>
    <dxf>
      <fill>
        <patternFill>
          <bgColor rgb="FFFF0000"/>
        </patternFill>
      </fill>
    </dxf>
    <dxf>
      <fill>
        <patternFill>
          <bgColor rgb="FF00B050"/>
        </patternFill>
      </fill>
    </dxf>
    <dxf>
      <fill>
        <patternFill>
          <bgColor theme="0" tint="-0.24994659260841701"/>
        </patternFill>
      </fill>
    </dxf>
    <dxf>
      <fill>
        <patternFill>
          <bgColor rgb="FFFFC000"/>
        </patternFill>
      </fill>
    </dxf>
    <dxf>
      <fill>
        <patternFill>
          <bgColor rgb="FFFF0000"/>
        </patternFill>
      </fill>
    </dxf>
    <dxf>
      <fill>
        <patternFill>
          <bgColor rgb="FF00B050"/>
        </patternFill>
      </fill>
    </dxf>
    <dxf>
      <fill>
        <patternFill>
          <bgColor theme="0" tint="-0.24994659260841701"/>
        </patternFill>
      </fill>
    </dxf>
    <dxf>
      <fill>
        <patternFill>
          <bgColor rgb="FFFFC000"/>
        </patternFill>
      </fill>
    </dxf>
    <dxf>
      <fill>
        <patternFill>
          <bgColor rgb="FFFF0000"/>
        </patternFill>
      </fill>
    </dxf>
    <dxf>
      <fill>
        <patternFill>
          <bgColor rgb="FF00B050"/>
        </patternFill>
      </fill>
    </dxf>
    <dxf>
      <fill>
        <patternFill>
          <bgColor theme="0" tint="-0.24994659260841701"/>
        </patternFill>
      </fill>
    </dxf>
    <dxf>
      <fill>
        <patternFill>
          <bgColor rgb="FFFFC000"/>
        </patternFill>
      </fill>
    </dxf>
    <dxf>
      <fill>
        <patternFill>
          <bgColor rgb="FFFF0000"/>
        </patternFill>
      </fill>
    </dxf>
    <dxf>
      <fill>
        <patternFill>
          <bgColor rgb="FF00B050"/>
        </patternFill>
      </fill>
    </dxf>
    <dxf>
      <fill>
        <patternFill>
          <bgColor theme="0" tint="-0.24994659260841701"/>
        </patternFill>
      </fill>
    </dxf>
    <dxf>
      <fill>
        <patternFill>
          <bgColor rgb="FFFFC000"/>
        </patternFill>
      </fill>
    </dxf>
    <dxf>
      <fill>
        <patternFill>
          <bgColor rgb="FFFF0000"/>
        </patternFill>
      </fill>
    </dxf>
    <dxf>
      <fill>
        <patternFill>
          <bgColor rgb="FF00B050"/>
        </patternFill>
      </fill>
    </dxf>
    <dxf>
      <fill>
        <patternFill>
          <bgColor theme="0" tint="-0.24994659260841701"/>
        </patternFill>
      </fill>
    </dxf>
    <dxf>
      <fill>
        <patternFill>
          <bgColor rgb="FFFFC000"/>
        </patternFill>
      </fill>
    </dxf>
    <dxf>
      <fill>
        <patternFill>
          <bgColor rgb="FFFF0000"/>
        </patternFill>
      </fill>
    </dxf>
    <dxf>
      <fill>
        <patternFill>
          <bgColor rgb="FF00B050"/>
        </patternFill>
      </fill>
    </dxf>
    <dxf>
      <fill>
        <patternFill>
          <bgColor theme="0" tint="-0.24994659260841701"/>
        </patternFill>
      </fill>
    </dxf>
    <dxf>
      <fill>
        <patternFill>
          <bgColor rgb="FFFFC000"/>
        </patternFill>
      </fill>
    </dxf>
    <dxf>
      <fill>
        <patternFill>
          <bgColor rgb="FFFF0000"/>
        </patternFill>
      </fill>
    </dxf>
    <dxf>
      <fill>
        <patternFill>
          <bgColor rgb="FF00B050"/>
        </patternFill>
      </fill>
    </dxf>
    <dxf>
      <fill>
        <patternFill>
          <bgColor theme="0" tint="-0.24994659260841701"/>
        </patternFill>
      </fill>
    </dxf>
    <dxf>
      <fill>
        <patternFill>
          <bgColor rgb="FFFFC000"/>
        </patternFill>
      </fill>
    </dxf>
    <dxf>
      <fill>
        <patternFill>
          <bgColor rgb="FFFF0000"/>
        </patternFill>
      </fill>
    </dxf>
    <dxf>
      <fill>
        <patternFill>
          <bgColor rgb="FF00B050"/>
        </patternFill>
      </fill>
    </dxf>
    <dxf>
      <fill>
        <patternFill>
          <bgColor theme="0" tint="-0.24994659260841701"/>
        </patternFill>
      </fill>
    </dxf>
    <dxf>
      <fill>
        <patternFill>
          <bgColor rgb="FFFFC000"/>
        </patternFill>
      </fill>
    </dxf>
    <dxf>
      <fill>
        <patternFill>
          <bgColor rgb="FFFF0000"/>
        </patternFill>
      </fill>
    </dxf>
    <dxf>
      <fill>
        <patternFill>
          <bgColor rgb="FF00B050"/>
        </patternFill>
      </fill>
    </dxf>
    <dxf>
      <fill>
        <patternFill>
          <bgColor theme="0" tint="-0.24994659260841701"/>
        </patternFill>
      </fill>
    </dxf>
    <dxf>
      <fill>
        <patternFill>
          <bgColor rgb="FFFFC000"/>
        </patternFill>
      </fill>
    </dxf>
    <dxf>
      <fill>
        <patternFill>
          <bgColor rgb="FFFF0000"/>
        </patternFill>
      </fill>
    </dxf>
    <dxf>
      <fill>
        <patternFill>
          <bgColor rgb="FF00B050"/>
        </patternFill>
      </fill>
    </dxf>
    <dxf>
      <fill>
        <patternFill>
          <bgColor theme="0" tint="-0.24994659260841701"/>
        </patternFill>
      </fill>
    </dxf>
    <dxf>
      <fill>
        <patternFill>
          <bgColor rgb="FFFFC000"/>
        </patternFill>
      </fill>
    </dxf>
    <dxf>
      <fill>
        <patternFill>
          <bgColor rgb="FFFF0000"/>
        </patternFill>
      </fill>
    </dxf>
    <dxf>
      <fill>
        <patternFill>
          <bgColor rgb="FF00B050"/>
        </patternFill>
      </fill>
    </dxf>
    <dxf>
      <fill>
        <patternFill>
          <bgColor theme="0" tint="-0.24994659260841701"/>
        </patternFill>
      </fill>
    </dxf>
    <dxf>
      <fill>
        <patternFill>
          <bgColor rgb="FFFFC000"/>
        </patternFill>
      </fill>
    </dxf>
    <dxf>
      <fill>
        <patternFill>
          <bgColor rgb="FFFF0000"/>
        </patternFill>
      </fill>
    </dxf>
    <dxf>
      <fill>
        <patternFill>
          <bgColor rgb="FF00B050"/>
        </patternFill>
      </fill>
    </dxf>
    <dxf>
      <fill>
        <patternFill>
          <bgColor theme="0" tint="-0.24994659260841701"/>
        </patternFill>
      </fill>
    </dxf>
    <dxf>
      <font>
        <color theme="0" tint="-0.499984740745262"/>
      </font>
      <fill>
        <patternFill>
          <bgColor theme="0" tint="-0.14996795556505021"/>
        </patternFill>
      </fill>
    </dxf>
    <dxf>
      <fill>
        <patternFill>
          <bgColor rgb="FFFFC000"/>
        </patternFill>
      </fill>
    </dxf>
    <dxf>
      <fill>
        <patternFill>
          <bgColor rgb="FFFF0000"/>
        </patternFill>
      </fill>
    </dxf>
    <dxf>
      <fill>
        <patternFill>
          <bgColor rgb="FF00B050"/>
        </patternFill>
      </fill>
    </dxf>
    <dxf>
      <fill>
        <patternFill>
          <bgColor theme="0" tint="-0.24994659260841701"/>
        </patternFill>
      </fill>
    </dxf>
    <dxf>
      <fill>
        <patternFill>
          <bgColor rgb="FFFFC000"/>
        </patternFill>
      </fill>
    </dxf>
    <dxf>
      <fill>
        <patternFill>
          <bgColor rgb="FFFF0000"/>
        </patternFill>
      </fill>
    </dxf>
    <dxf>
      <fill>
        <patternFill>
          <bgColor rgb="FF00B050"/>
        </patternFill>
      </fill>
    </dxf>
    <dxf>
      <fill>
        <patternFill>
          <bgColor theme="0" tint="-0.24994659260841701"/>
        </patternFill>
      </fill>
    </dxf>
    <dxf>
      <font>
        <color theme="0" tint="-0.499984740745262"/>
      </font>
      <fill>
        <patternFill>
          <bgColor theme="0" tint="-0.14996795556505021"/>
        </patternFill>
      </fill>
    </dxf>
    <dxf>
      <fill>
        <patternFill>
          <bgColor rgb="FFFFC000"/>
        </patternFill>
      </fill>
    </dxf>
    <dxf>
      <fill>
        <patternFill>
          <bgColor rgb="FFFF0000"/>
        </patternFill>
      </fill>
    </dxf>
    <dxf>
      <fill>
        <patternFill>
          <bgColor rgb="FF00B050"/>
        </patternFill>
      </fill>
    </dxf>
    <dxf>
      <fill>
        <patternFill>
          <bgColor theme="0" tint="-0.24994659260841701"/>
        </patternFill>
      </fill>
    </dxf>
    <dxf>
      <fill>
        <patternFill>
          <bgColor rgb="FFFFC000"/>
        </patternFill>
      </fill>
    </dxf>
    <dxf>
      <fill>
        <patternFill>
          <bgColor rgb="FFFF0000"/>
        </patternFill>
      </fill>
    </dxf>
    <dxf>
      <fill>
        <patternFill>
          <bgColor rgb="FF00B050"/>
        </patternFill>
      </fill>
    </dxf>
    <dxf>
      <fill>
        <patternFill>
          <bgColor theme="0" tint="-0.24994659260841701"/>
        </patternFill>
      </fill>
    </dxf>
    <dxf>
      <fill>
        <patternFill>
          <bgColor rgb="FFFFC000"/>
        </patternFill>
      </fill>
    </dxf>
    <dxf>
      <fill>
        <patternFill>
          <bgColor rgb="FFFF0000"/>
        </patternFill>
      </fill>
    </dxf>
    <dxf>
      <fill>
        <patternFill>
          <bgColor rgb="FF00B050"/>
        </patternFill>
      </fill>
    </dxf>
    <dxf>
      <fill>
        <patternFill>
          <bgColor theme="0" tint="-0.24994659260841701"/>
        </patternFill>
      </fill>
    </dxf>
    <dxf>
      <fill>
        <patternFill>
          <bgColor rgb="FFFFC000"/>
        </patternFill>
      </fill>
    </dxf>
    <dxf>
      <fill>
        <patternFill>
          <bgColor rgb="FFFF0000"/>
        </patternFill>
      </fill>
    </dxf>
    <dxf>
      <fill>
        <patternFill>
          <bgColor rgb="FF00B050"/>
        </patternFill>
      </fill>
    </dxf>
    <dxf>
      <fill>
        <patternFill>
          <bgColor theme="0" tint="-0.24994659260841701"/>
        </patternFill>
      </fill>
    </dxf>
    <dxf>
      <fill>
        <patternFill>
          <bgColor rgb="FFFFC000"/>
        </patternFill>
      </fill>
    </dxf>
    <dxf>
      <fill>
        <patternFill>
          <bgColor rgb="FFFF0000"/>
        </patternFill>
      </fill>
    </dxf>
    <dxf>
      <fill>
        <patternFill>
          <bgColor rgb="FF00B050"/>
        </patternFill>
      </fill>
    </dxf>
    <dxf>
      <fill>
        <patternFill>
          <bgColor theme="0" tint="-0.24994659260841701"/>
        </patternFill>
      </fill>
    </dxf>
    <dxf>
      <font>
        <color theme="0" tint="-0.499984740745262"/>
      </font>
      <fill>
        <patternFill>
          <bgColor theme="0" tint="-0.14996795556505021"/>
        </patternFill>
      </fill>
    </dxf>
    <dxf>
      <fill>
        <patternFill>
          <bgColor rgb="FFFFC000"/>
        </patternFill>
      </fill>
    </dxf>
    <dxf>
      <fill>
        <patternFill>
          <bgColor rgb="FFFF0000"/>
        </patternFill>
      </fill>
    </dxf>
    <dxf>
      <fill>
        <patternFill>
          <bgColor rgb="FF00B050"/>
        </patternFill>
      </fill>
    </dxf>
    <dxf>
      <fill>
        <patternFill>
          <bgColor theme="0" tint="-0.24994659260841701"/>
        </patternFill>
      </fill>
    </dxf>
    <dxf>
      <fill>
        <patternFill>
          <bgColor rgb="FFFFC000"/>
        </patternFill>
      </fill>
    </dxf>
    <dxf>
      <fill>
        <patternFill>
          <bgColor rgb="FFFF0000"/>
        </patternFill>
      </fill>
    </dxf>
    <dxf>
      <fill>
        <patternFill>
          <bgColor rgb="FF00B050"/>
        </patternFill>
      </fill>
    </dxf>
    <dxf>
      <fill>
        <patternFill>
          <bgColor theme="0" tint="-0.24994659260841701"/>
        </patternFill>
      </fill>
    </dxf>
    <dxf>
      <fill>
        <patternFill>
          <bgColor rgb="FFFFC000"/>
        </patternFill>
      </fill>
    </dxf>
    <dxf>
      <fill>
        <patternFill>
          <bgColor rgb="FFFF0000"/>
        </patternFill>
      </fill>
    </dxf>
    <dxf>
      <fill>
        <patternFill>
          <bgColor rgb="FF00B050"/>
        </patternFill>
      </fill>
    </dxf>
    <dxf>
      <fill>
        <patternFill>
          <bgColor theme="0" tint="-0.24994659260841701"/>
        </patternFill>
      </fill>
    </dxf>
    <dxf>
      <fill>
        <patternFill>
          <bgColor rgb="FFFFC000"/>
        </patternFill>
      </fill>
    </dxf>
    <dxf>
      <fill>
        <patternFill>
          <bgColor rgb="FFFF0000"/>
        </patternFill>
      </fill>
    </dxf>
    <dxf>
      <fill>
        <patternFill>
          <bgColor rgb="FF00B050"/>
        </patternFill>
      </fill>
    </dxf>
    <dxf>
      <fill>
        <patternFill>
          <bgColor theme="0" tint="-0.24994659260841701"/>
        </patternFill>
      </fill>
    </dxf>
    <dxf>
      <font>
        <color theme="0" tint="-0.499984740745262"/>
      </font>
      <fill>
        <patternFill>
          <bgColor theme="0" tint="-0.14996795556505021"/>
        </patternFill>
      </fill>
    </dxf>
    <dxf>
      <font>
        <b val="0"/>
        <i val="0"/>
        <strike val="0"/>
        <condense val="0"/>
        <extend val="0"/>
        <outline val="0"/>
        <shadow val="0"/>
        <u val="none"/>
        <vertAlign val="baseline"/>
        <sz val="14"/>
        <color theme="1"/>
        <name val="Calibri"/>
        <scheme val="minor"/>
      </font>
      <fill>
        <patternFill patternType="none">
          <bgColor auto="1"/>
        </patternFill>
      </fill>
      <alignment horizontal="center" vertical="center"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4"/>
        <color auto="1"/>
        <name val="Calibri"/>
        <scheme val="minor"/>
      </font>
      <numFmt numFmtId="20" formatCode="dd\-mmm\-yy"/>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4"/>
        <color auto="1"/>
        <name val="Calibri"/>
        <scheme val="minor"/>
      </font>
      <numFmt numFmtId="1" formatCode="0"/>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4"/>
        <color auto="1"/>
        <name val="Calibri"/>
        <scheme val="minor"/>
      </font>
      <numFmt numFmtId="20" formatCode="dd\-mmm\-yy"/>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4"/>
        <name val="Calibri"/>
        <scheme val="minor"/>
      </font>
      <fill>
        <patternFill patternType="none">
          <bgColor auto="1"/>
        </patternFill>
      </fill>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4"/>
        <name val="Calibri"/>
        <scheme val="minor"/>
      </font>
      <fill>
        <patternFill patternType="none">
          <bgColor auto="1"/>
        </patternFill>
      </fill>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4"/>
        <name val="Calibri"/>
        <scheme val="minor"/>
      </font>
      <fill>
        <patternFill patternType="none">
          <bgColor auto="1"/>
        </patternFill>
      </fill>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4"/>
        <name val="Calibri"/>
        <scheme val="minor"/>
      </font>
      <fill>
        <patternFill patternType="none">
          <bgColor auto="1"/>
        </patternFill>
      </fill>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4"/>
        <color indexed="8"/>
        <name val="Calibri"/>
        <scheme val="minor"/>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4"/>
        <color indexed="8"/>
        <name val="Calibri"/>
        <scheme val="minor"/>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4"/>
        <color theme="1"/>
        <name val="Calibri"/>
        <scheme val="minor"/>
      </font>
      <numFmt numFmtId="21" formatCode="dd\-mmm"/>
      <fill>
        <patternFill patternType="none">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4"/>
        <color indexed="8"/>
        <name val="Calibri"/>
        <scheme val="minor"/>
      </font>
      <numFmt numFmtId="21" formatCode="dd\-mmm"/>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4"/>
        <color indexed="8"/>
        <name val="Calibri"/>
        <scheme val="minor"/>
      </font>
      <fill>
        <patternFill patternType="none">
          <fgColor indexed="64"/>
          <bgColor auto="1"/>
        </patternFill>
      </fill>
      <alignment horizontal="center" vertical="center"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6"/>
        <color auto="1"/>
        <name val="Calibri"/>
        <scheme val="none"/>
      </font>
      <numFmt numFmtId="20" formatCode="dd\-mmm\-yy"/>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protection locked="1" hidden="0"/>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4"/>
        <name val="Calibri"/>
        <scheme val="minor"/>
      </font>
      <fill>
        <patternFill patternType="none">
          <bgColor auto="1"/>
        </patternFill>
      </fill>
      <alignment horizontal="center" vertical="center" textRotation="0" indent="0" justifyLastLine="0" shrinkToFit="0" readingOrder="0"/>
    </dxf>
    <dxf>
      <border>
        <bottom style="thin">
          <color indexed="64"/>
        </bottom>
      </border>
    </dxf>
    <dxf>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color theme="0" tint="-0.499984740745262"/>
      </font>
      <fill>
        <patternFill>
          <bgColor theme="0" tint="-0.14996795556505021"/>
        </patternFill>
      </fill>
    </dxf>
    <dxf>
      <fill>
        <patternFill>
          <bgColor rgb="FFFFC000"/>
        </patternFill>
      </fill>
    </dxf>
    <dxf>
      <fill>
        <patternFill>
          <bgColor rgb="FFFF0000"/>
        </patternFill>
      </fill>
    </dxf>
    <dxf>
      <fill>
        <patternFill>
          <bgColor rgb="FF00B050"/>
        </patternFill>
      </fill>
    </dxf>
    <dxf>
      <fill>
        <patternFill>
          <bgColor theme="0" tint="-0.24994659260841701"/>
        </patternFill>
      </fill>
    </dxf>
    <dxf>
      <fill>
        <patternFill>
          <bgColor rgb="FFFFC000"/>
        </patternFill>
      </fill>
    </dxf>
    <dxf>
      <fill>
        <patternFill>
          <bgColor rgb="FFFF0000"/>
        </patternFill>
      </fill>
    </dxf>
    <dxf>
      <fill>
        <patternFill>
          <bgColor rgb="FF00B050"/>
        </patternFill>
      </fill>
    </dxf>
    <dxf>
      <fill>
        <patternFill>
          <bgColor theme="0" tint="-0.24994659260841701"/>
        </patternFill>
      </fill>
    </dxf>
    <dxf>
      <fill>
        <patternFill>
          <bgColor rgb="FFFFC000"/>
        </patternFill>
      </fill>
    </dxf>
    <dxf>
      <fill>
        <patternFill>
          <bgColor rgb="FFFF0000"/>
        </patternFill>
      </fill>
    </dxf>
    <dxf>
      <fill>
        <patternFill>
          <bgColor rgb="FF00B050"/>
        </patternFill>
      </fill>
    </dxf>
    <dxf>
      <fill>
        <patternFill>
          <bgColor theme="0" tint="-0.24994659260841701"/>
        </patternFill>
      </fill>
    </dxf>
    <dxf>
      <fill>
        <patternFill>
          <bgColor rgb="FFFFC000"/>
        </patternFill>
      </fill>
    </dxf>
    <dxf>
      <fill>
        <patternFill>
          <bgColor rgb="FFFF0000"/>
        </patternFill>
      </fill>
    </dxf>
    <dxf>
      <fill>
        <patternFill>
          <bgColor rgb="FF00B050"/>
        </patternFill>
      </fill>
    </dxf>
    <dxf>
      <fill>
        <patternFill>
          <bgColor theme="0" tint="-0.24994659260841701"/>
        </patternFill>
      </fill>
    </dxf>
    <dxf>
      <fill>
        <patternFill>
          <bgColor rgb="FFFFC000"/>
        </patternFill>
      </fill>
    </dxf>
    <dxf>
      <fill>
        <patternFill>
          <bgColor rgb="FFFF0000"/>
        </patternFill>
      </fill>
    </dxf>
    <dxf>
      <fill>
        <patternFill>
          <bgColor rgb="FF00B050"/>
        </patternFill>
      </fill>
    </dxf>
    <dxf>
      <fill>
        <patternFill>
          <bgColor theme="0" tint="-0.24994659260841701"/>
        </patternFill>
      </fill>
    </dxf>
    <dxf>
      <fill>
        <patternFill>
          <bgColor rgb="FFFFC000"/>
        </patternFill>
      </fill>
    </dxf>
    <dxf>
      <fill>
        <patternFill>
          <bgColor rgb="FFFF0000"/>
        </patternFill>
      </fill>
    </dxf>
    <dxf>
      <fill>
        <patternFill>
          <bgColor rgb="FF00B050"/>
        </patternFill>
      </fill>
    </dxf>
    <dxf>
      <fill>
        <patternFill>
          <bgColor theme="0" tint="-0.24994659260841701"/>
        </patternFill>
      </fill>
    </dxf>
    <dxf>
      <fill>
        <patternFill>
          <bgColor theme="0" tint="-0.24994659260841701"/>
        </patternFill>
      </fill>
    </dxf>
    <dxf>
      <fill>
        <patternFill>
          <bgColor rgb="FFFFC000"/>
        </patternFill>
      </fill>
    </dxf>
    <dxf>
      <fill>
        <patternFill>
          <bgColor rgb="FFFF0000"/>
        </patternFill>
      </fill>
    </dxf>
    <dxf>
      <fill>
        <patternFill>
          <bgColor rgb="FF00B050"/>
        </patternFill>
      </fill>
    </dxf>
    <dxf>
      <fill>
        <patternFill>
          <bgColor theme="0" tint="-0.24994659260841701"/>
        </patternFill>
      </fill>
    </dxf>
    <dxf>
      <fill>
        <patternFill>
          <bgColor theme="0" tint="-0.24994659260841701"/>
        </patternFill>
      </fill>
    </dxf>
    <dxf>
      <fill>
        <patternFill>
          <bgColor rgb="FFFFC000"/>
        </patternFill>
      </fill>
    </dxf>
    <dxf>
      <fill>
        <patternFill>
          <bgColor rgb="FFFF0000"/>
        </patternFill>
      </fill>
    </dxf>
    <dxf>
      <fill>
        <patternFill>
          <bgColor rgb="FF00B050"/>
        </patternFill>
      </fill>
    </dxf>
    <dxf>
      <fill>
        <patternFill>
          <bgColor theme="0" tint="-0.24994659260841701"/>
        </patternFill>
      </fill>
    </dxf>
    <dxf>
      <font>
        <color theme="0" tint="-0.499984740745262"/>
      </font>
      <fill>
        <patternFill>
          <bgColor theme="0" tint="-0.14996795556505021"/>
        </patternFill>
      </fill>
    </dxf>
    <dxf>
      <font>
        <color theme="0" tint="-0.499984740745262"/>
      </font>
      <fill>
        <patternFill>
          <bgColor theme="0" tint="-0.14996795556505021"/>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FF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123265</xdr:rowOff>
    </xdr:from>
    <xdr:to>
      <xdr:col>10</xdr:col>
      <xdr:colOff>1120588</xdr:colOff>
      <xdr:row>5</xdr:row>
      <xdr:rowOff>78441</xdr:rowOff>
    </xdr:to>
    <xdr:sp macro="" textlink="">
      <xdr:nvSpPr>
        <xdr:cNvPr id="2" name="Rounded Rectangle 1">
          <a:extLst>
            <a:ext uri="{FF2B5EF4-FFF2-40B4-BE49-F238E27FC236}">
              <a16:creationId xmlns:a16="http://schemas.microsoft.com/office/drawing/2014/main" xmlns="" id="{00000000-0008-0000-0000-000002000000}"/>
            </a:ext>
          </a:extLst>
        </xdr:cNvPr>
        <xdr:cNvSpPr/>
      </xdr:nvSpPr>
      <xdr:spPr>
        <a:xfrm>
          <a:off x="6958853" y="224118"/>
          <a:ext cx="6869206" cy="1277470"/>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US" sz="3000"/>
            <a:t>ACTION</a:t>
          </a:r>
          <a:r>
            <a:rPr lang="en-US" sz="3000" baseline="0"/>
            <a:t> LOG</a:t>
          </a:r>
          <a:endParaRPr lang="en-US" sz="30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1624853</xdr:colOff>
      <xdr:row>1</xdr:row>
      <xdr:rowOff>123265</xdr:rowOff>
    </xdr:from>
    <xdr:to>
      <xdr:col>10</xdr:col>
      <xdr:colOff>1120588</xdr:colOff>
      <xdr:row>5</xdr:row>
      <xdr:rowOff>78441</xdr:rowOff>
    </xdr:to>
    <xdr:sp macro="" textlink="">
      <xdr:nvSpPr>
        <xdr:cNvPr id="2" name="Rounded Rectangle 1">
          <a:extLst>
            <a:ext uri="{FF2B5EF4-FFF2-40B4-BE49-F238E27FC236}">
              <a16:creationId xmlns:a16="http://schemas.microsoft.com/office/drawing/2014/main" xmlns="" id="{00000000-0008-0000-0100-000002000000}"/>
            </a:ext>
          </a:extLst>
        </xdr:cNvPr>
        <xdr:cNvSpPr/>
      </xdr:nvSpPr>
      <xdr:spPr>
        <a:xfrm>
          <a:off x="12719573" y="214705"/>
          <a:ext cx="14301395" cy="968636"/>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US" sz="3000"/>
            <a:t>New</a:t>
          </a:r>
          <a:r>
            <a:rPr lang="en-US" sz="3000" baseline="0"/>
            <a:t> Reports</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7</xdr:col>
      <xdr:colOff>0</xdr:colOff>
      <xdr:row>1</xdr:row>
      <xdr:rowOff>123265</xdr:rowOff>
    </xdr:from>
    <xdr:to>
      <xdr:col>10</xdr:col>
      <xdr:colOff>1120588</xdr:colOff>
      <xdr:row>5</xdr:row>
      <xdr:rowOff>78441</xdr:rowOff>
    </xdr:to>
    <xdr:sp macro="" textlink="">
      <xdr:nvSpPr>
        <xdr:cNvPr id="2" name="Rounded Rectangle 1">
          <a:extLst>
            <a:ext uri="{FF2B5EF4-FFF2-40B4-BE49-F238E27FC236}">
              <a16:creationId xmlns:a16="http://schemas.microsoft.com/office/drawing/2014/main" xmlns="" id="{00000000-0008-0000-0000-000002000000}"/>
            </a:ext>
          </a:extLst>
        </xdr:cNvPr>
        <xdr:cNvSpPr/>
      </xdr:nvSpPr>
      <xdr:spPr>
        <a:xfrm>
          <a:off x="11399520" y="214705"/>
          <a:ext cx="12840148" cy="968636"/>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US" sz="3000" baseline="0"/>
            <a:t>MONTHLY LOG</a:t>
          </a:r>
          <a:endParaRPr lang="en-US" sz="3000"/>
        </a:p>
      </xdr:txBody>
    </xdr:sp>
    <xdr:clientData/>
  </xdr:twoCellAnchor>
</xdr:wsDr>
</file>

<file path=xl/tables/table1.xml><?xml version="1.0" encoding="utf-8"?>
<table xmlns="http://schemas.openxmlformats.org/spreadsheetml/2006/main" id="1" name="Table1" displayName="Table1" ref="B10:N418" headerRowDxfId="206" dataDxfId="204" totalsRowDxfId="202" headerRowBorderDxfId="205" tableBorderDxfId="203">
  <autoFilter ref="B10:N418">
    <filterColumn colId="12">
      <filters>
        <filter val="Open"/>
      </filters>
    </filterColumn>
  </autoFilter>
  <tableColumns count="13">
    <tableColumn id="2" name="ID" totalsRowFunction="custom" dataDxfId="201">
      <calculatedColumnFormula>OFFSET(B11,-1,0)+1</calculatedColumnFormula>
      <totalsRowFormula>OFFSET(#REF!,-1,0)+1</totalsRowFormula>
    </tableColumn>
    <tableColumn id="19" name="Date Raised" totalsRowLabel="12-Aug" dataDxfId="200"/>
    <tableColumn id="23" name="Owner" totalsRowLabel="Nik" dataDxfId="199"/>
    <tableColumn id="17" name="Site" totalsRowLabel="Exeter" dataDxfId="198"/>
    <tableColumn id="16" name="Campaign" dataDxfId="197"/>
    <tableColumn id="20" name="Item Title" totalsRowLabel="Attrition" dataDxfId="196"/>
    <tableColumn id="1" name="Comments" totalsRowLabel="-Slicers to be corrected to capture more than 1 month of data; formula corrected" dataDxfId="195"/>
    <tableColumn id="3" name="Action step with" totalsRowLabel="Martin" dataDxfId="194"/>
    <tableColumn id="24" name="Requestor" totalsRowLabel="Daniel" dataDxfId="193"/>
    <tableColumn id="21" name="Target Completion date" dataDxfId="192"/>
    <tableColumn id="25" name="Priority" totalsRowLabel="1" dataDxfId="191"/>
    <tableColumn id="22" name="RAG Status" totalsRowLabel="G" dataDxfId="190"/>
    <tableColumn id="12" name="Task Status" totalsRowLabel="Open" dataDxfId="189"/>
  </tableColumns>
  <tableStyleInfo name="TableStyleMedium9" showFirstColumn="0" showLastColumn="0" showRowStripes="1" showColumnStripes="0"/>
</table>
</file>

<file path=xl/tables/table2.xml><?xml version="1.0" encoding="utf-8"?>
<table xmlns="http://schemas.openxmlformats.org/spreadsheetml/2006/main" id="5" name="Table16" displayName="Table16" ref="B10:N66" headerRowDxfId="51" dataDxfId="49" totalsRowDxfId="48" headerRowBorderDxfId="50">
  <autoFilter ref="B10:N66">
    <filterColumn colId="12">
      <filters>
        <filter val="Open"/>
      </filters>
    </filterColumn>
  </autoFilter>
  <tableColumns count="13">
    <tableColumn id="2" name="ID" totalsRowFunction="custom" dataDxfId="47">
      <calculatedColumnFormula>OFFSET(B11,-1,0)+1</calculatedColumnFormula>
      <totalsRowFormula>OFFSET(#REF!,-1,0)+1</totalsRowFormula>
    </tableColumn>
    <tableColumn id="19" name="Date Raised" totalsRowLabel="12-Aug" dataDxfId="46"/>
    <tableColumn id="23" name="Owner" totalsRowLabel="Nik" dataDxfId="45"/>
    <tableColumn id="17" name="Site" totalsRowLabel="Exeter" dataDxfId="44"/>
    <tableColumn id="16" name="Campaign" dataDxfId="43"/>
    <tableColumn id="20" name="Item Title" totalsRowLabel="Attrition" dataDxfId="42"/>
    <tableColumn id="10" name="Comments" totalsRowLabel="Attrition below 90 days" dataDxfId="41"/>
    <tableColumn id="3" name="Action step with" totalsRowLabel="Martin" dataDxfId="40"/>
    <tableColumn id="24" name="Requestor" totalsRowLabel="Daniel" dataDxfId="39"/>
    <tableColumn id="21" name="Target Completion date" dataDxfId="38"/>
    <tableColumn id="25" name="Priority" totalsRowLabel="1" dataDxfId="37"/>
    <tableColumn id="22" name="RAG Status" totalsRowLabel="G" dataDxfId="36"/>
    <tableColumn id="12" name="Task Status" totalsRowLabel="Open" dataDxfId="35"/>
  </tableColumns>
  <tableStyleInfo name="TableStyleMedium9" showFirstColumn="0" showLastColumn="0" showRowStripes="1" showColumnStripes="0"/>
</table>
</file>

<file path=xl/tables/table3.xml><?xml version="1.0" encoding="utf-8"?>
<table xmlns="http://schemas.openxmlformats.org/spreadsheetml/2006/main" id="6" name="Table17" displayName="Table17" ref="B10:N15" headerRowDxfId="25" dataDxfId="23" totalsRowDxfId="22" headerRowBorderDxfId="24">
  <tableColumns count="13">
    <tableColumn id="2" name="ID" totalsRowFunction="custom" dataDxfId="21">
      <calculatedColumnFormula>OFFSET(B11,-1,0)+1</calculatedColumnFormula>
      <totalsRowFormula>OFFSET(#REF!,-1,0)+1</totalsRowFormula>
    </tableColumn>
    <tableColumn id="19" name="Date Raised" totalsRowLabel="12-Aug" dataDxfId="20"/>
    <tableColumn id="23" name="Owner" totalsRowLabel="Nik" dataDxfId="19"/>
    <tableColumn id="17" name="Site" totalsRowLabel="Exeter" dataDxfId="18"/>
    <tableColumn id="16" name="Campaign" dataDxfId="17"/>
    <tableColumn id="20" name="Item Title" totalsRowLabel="Attrition" dataDxfId="16"/>
    <tableColumn id="1" name="Comments" totalsRowLabel="-Slicers to be corrected to capture more than 1 month of data; formula corrected" dataDxfId="15"/>
    <tableColumn id="3" name="Action step with" totalsRowLabel="Martin" dataDxfId="14"/>
    <tableColumn id="24" name="Requestor" totalsRowLabel="Daniel" dataDxfId="13"/>
    <tableColumn id="21" name="Target Completion date" dataDxfId="12"/>
    <tableColumn id="25" name="Priority" totalsRowLabel="1" dataDxfId="11"/>
    <tableColumn id="22" name="RAG Status" totalsRowLabel="G" dataDxfId="10"/>
    <tableColumn id="12" name="Task Status" totalsRowLabel="Open" dataDxfId="9"/>
  </tableColumns>
  <tableStyleInfo name="TableStyleMedium9" showFirstColumn="0" showLastColumn="0" showRowStripes="1" showColumnStripes="0"/>
</table>
</file>

<file path=xl/tables/table4.xml><?xml version="1.0" encoding="utf-8"?>
<table xmlns="http://schemas.openxmlformats.org/spreadsheetml/2006/main" id="2" name="Table2" displayName="Table2" ref="A2:A7" totalsRowShown="0" headerRowDxfId="8" dataDxfId="7">
  <autoFilter ref="A2:A7"/>
  <tableColumns count="1">
    <tableColumn id="1" name="Status" dataDxfId="6"/>
  </tableColumns>
  <tableStyleInfo name="TableStyleMedium9" showFirstColumn="0" showLastColumn="0" showRowStripes="1" showColumnStripes="0"/>
</table>
</file>

<file path=xl/tables/table5.xml><?xml version="1.0" encoding="utf-8"?>
<table xmlns="http://schemas.openxmlformats.org/spreadsheetml/2006/main" id="3" name="Table3" displayName="Table3" ref="C2:D5" totalsRowShown="0" headerRowDxfId="5" dataDxfId="4">
  <autoFilter ref="C2:D5"/>
  <tableColumns count="2">
    <tableColumn id="1" name="Priority" dataDxfId="3"/>
    <tableColumn id="2" name="Comment" dataDxfId="2"/>
  </tableColumns>
  <tableStyleInfo name="TableStyleMedium9" showFirstColumn="0" showLastColumn="0" showRowStripes="1" showColumnStripes="0"/>
</table>
</file>

<file path=xl/tables/table6.xml><?xml version="1.0" encoding="utf-8"?>
<table xmlns="http://schemas.openxmlformats.org/spreadsheetml/2006/main" id="4" name="Table4" displayName="Table4" ref="F2:G5" totalsRowShown="0" headerRowDxfId="1">
  <autoFilter ref="F2:G5"/>
  <tableColumns count="2">
    <tableColumn id="1" name="RAG" dataDxfId="0"/>
    <tableColumn id="2" name="Comme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mailto:julie.bullock@sitel.com" TargetMode="External"/><Relationship Id="rId13" Type="http://schemas.openxmlformats.org/officeDocument/2006/relationships/hyperlink" Target="mailto:Tom.Shepherd-Rowe@sitel.com" TargetMode="External"/><Relationship Id="rId18" Type="http://schemas.openxmlformats.org/officeDocument/2006/relationships/table" Target="../tables/table1.xml"/><Relationship Id="rId3" Type="http://schemas.openxmlformats.org/officeDocument/2006/relationships/hyperlink" Target="mailto:Paulo.Barbosa@sitel.com" TargetMode="External"/><Relationship Id="rId7" Type="http://schemas.openxmlformats.org/officeDocument/2006/relationships/hyperlink" Target="mailto:planningandperformance.contactcentres@johnlewis.co.uk" TargetMode="External"/><Relationship Id="rId12" Type="http://schemas.openxmlformats.org/officeDocument/2006/relationships/hyperlink" Target="mailto:SSEReportingTeam@sitel.com" TargetMode="External"/><Relationship Id="rId17" Type="http://schemas.openxmlformats.org/officeDocument/2006/relationships/vmlDrawing" Target="../drawings/vmlDrawing1.vml"/><Relationship Id="rId2" Type="http://schemas.openxmlformats.org/officeDocument/2006/relationships/hyperlink" Target="mailto:Paulo.Barbosa@sitel.com" TargetMode="External"/><Relationship Id="rId16" Type="http://schemas.openxmlformats.org/officeDocument/2006/relationships/drawing" Target="../drawings/drawing1.xml"/><Relationship Id="rId1" Type="http://schemas.openxmlformats.org/officeDocument/2006/relationships/hyperlink" Target="mailto:telephony.mi.team@sseenergyservices.com%20(Penny)" TargetMode="External"/><Relationship Id="rId6" Type="http://schemas.openxmlformats.org/officeDocument/2006/relationships/hyperlink" Target="mailto:Kyle.McCormick@sitel.com" TargetMode="External"/><Relationship Id="rId11" Type="http://schemas.openxmlformats.org/officeDocument/2006/relationships/hyperlink" Target="mailto:Marlon.Tapucar@sitel.com" TargetMode="External"/><Relationship Id="rId5" Type="http://schemas.openxmlformats.org/officeDocument/2006/relationships/hyperlink" Target="mailto:Paulo.Barbosa@sitel.com" TargetMode="External"/><Relationship Id="rId15" Type="http://schemas.openxmlformats.org/officeDocument/2006/relationships/printerSettings" Target="../printerSettings/printerSettings1.bin"/><Relationship Id="rId10" Type="http://schemas.openxmlformats.org/officeDocument/2006/relationships/hyperlink" Target="mailto:SSEReportingTeam@sitel.com" TargetMode="External"/><Relationship Id="rId19" Type="http://schemas.openxmlformats.org/officeDocument/2006/relationships/comments" Target="../comments1.xml"/><Relationship Id="rId4" Type="http://schemas.openxmlformats.org/officeDocument/2006/relationships/hyperlink" Target="mailto:Ashley.Kittle@dhsc.gov.uk" TargetMode="External"/><Relationship Id="rId9" Type="http://schemas.openxmlformats.org/officeDocument/2006/relationships/hyperlink" Target="mailto:julie.bullock@sitel.com" TargetMode="External"/><Relationship Id="rId14" Type="http://schemas.openxmlformats.org/officeDocument/2006/relationships/hyperlink" Target="mailto:veronika.rotgeri@medtronic.com"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mailto:David.Hitching@sitel.com" TargetMode="External"/><Relationship Id="rId4"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pageSetUpPr fitToPage="1"/>
  </sheetPr>
  <dimension ref="A1:O418"/>
  <sheetViews>
    <sheetView showGridLines="0" tabSelected="1" zoomScale="70" zoomScaleNormal="70" zoomScalePageLayoutView="75" workbookViewId="0">
      <pane xSplit="2" ySplit="10" topLeftCell="C156" activePane="bottomRight" state="frozen"/>
      <selection pane="topRight" activeCell="B1" sqref="B1"/>
      <selection pane="bottomLeft" activeCell="A14" sqref="A14"/>
      <selection pane="bottomRight" activeCell="L428" sqref="L428"/>
    </sheetView>
  </sheetViews>
  <sheetFormatPr defaultColWidth="8.85546875" defaultRowHeight="15" x14ac:dyDescent="0.25"/>
  <cols>
    <col min="1" max="1" width="2.42578125" style="1" customWidth="1"/>
    <col min="2" max="2" width="13.42578125" bestFit="1" customWidth="1"/>
    <col min="3" max="3" width="29.5703125" bestFit="1" customWidth="1"/>
    <col min="4" max="4" width="19.5703125" bestFit="1" customWidth="1"/>
    <col min="5" max="5" width="36" bestFit="1" customWidth="1"/>
    <col min="6" max="6" width="35" customWidth="1"/>
    <col min="7" max="7" width="48.28515625" customWidth="1"/>
    <col min="8" max="8" width="110.7109375" style="22" customWidth="1"/>
    <col min="9" max="9" width="34.7109375" style="2" customWidth="1"/>
    <col min="10" max="10" width="25.5703125" style="2" customWidth="1"/>
    <col min="11" max="11" width="19.5703125" style="2" customWidth="1"/>
    <col min="12" max="12" width="22.42578125" style="145" bestFit="1" customWidth="1"/>
    <col min="13" max="13" width="29" style="2" bestFit="1" customWidth="1"/>
    <col min="14" max="14" width="29.28515625" style="2" bestFit="1" customWidth="1"/>
    <col min="15" max="15" width="9.28515625" style="2" customWidth="1"/>
    <col min="16" max="16" width="35" style="1" customWidth="1"/>
    <col min="17" max="19" width="8.85546875" style="1"/>
    <col min="20" max="20" width="12.140625" style="1" bestFit="1" customWidth="1"/>
    <col min="21" max="16384" width="8.85546875" style="1"/>
  </cols>
  <sheetData>
    <row r="1" spans="1:15" ht="7.5" customHeight="1" thickBot="1" x14ac:dyDescent="0.3">
      <c r="A1" s="9"/>
      <c r="B1" s="9"/>
      <c r="C1" s="10"/>
      <c r="D1" s="10"/>
      <c r="E1" s="10"/>
      <c r="F1" s="10"/>
      <c r="G1" s="9"/>
      <c r="H1" s="19"/>
      <c r="I1" s="10"/>
      <c r="J1" s="10"/>
      <c r="K1" s="10"/>
      <c r="L1" s="142"/>
      <c r="M1" s="4"/>
      <c r="N1" s="4"/>
      <c r="O1" s="1"/>
    </row>
    <row r="2" spans="1:15" ht="23.25" customHeight="1" thickBot="1" x14ac:dyDescent="0.3">
      <c r="A2" s="9"/>
      <c r="B2" s="9"/>
      <c r="C2" s="9"/>
      <c r="D2" s="388" t="s">
        <v>27</v>
      </c>
      <c r="E2" s="389"/>
      <c r="F2" s="390"/>
      <c r="G2" s="9"/>
      <c r="H2" s="391"/>
      <c r="I2" s="391"/>
      <c r="J2" s="391"/>
      <c r="K2" s="391"/>
      <c r="L2" s="391"/>
      <c r="M2" s="391"/>
      <c r="O2" s="1"/>
    </row>
    <row r="3" spans="1:15" ht="20.25" customHeight="1" thickBot="1" x14ac:dyDescent="0.3">
      <c r="A3" s="9"/>
      <c r="B3" s="9"/>
      <c r="C3" s="9"/>
      <c r="D3" s="15" t="s">
        <v>4</v>
      </c>
      <c r="E3" s="16" t="s">
        <v>5</v>
      </c>
      <c r="F3" s="16" t="s">
        <v>12</v>
      </c>
      <c r="G3" s="9"/>
      <c r="H3" s="391"/>
      <c r="I3" s="391"/>
      <c r="J3" s="391"/>
      <c r="K3" s="391"/>
      <c r="L3" s="391"/>
      <c r="M3" s="391"/>
    </row>
    <row r="4" spans="1:15" ht="19.5" thickBot="1" x14ac:dyDescent="0.3">
      <c r="A4" s="9"/>
      <c r="B4" s="9"/>
      <c r="C4" s="13" t="s">
        <v>0</v>
      </c>
      <c r="D4" s="17">
        <f>COUNTIFS($M$11:$M$1048576,D$3,$N$11:$N$1048576,"Open")</f>
        <v>0</v>
      </c>
      <c r="E4" s="17">
        <f>COUNTIFS($M$11:$M$1048576,E$3,$N$11:$N$1048576,"Open")</f>
        <v>0</v>
      </c>
      <c r="F4" s="17">
        <f>COUNTIFS($M$11:$M$1048576,F$3,$N$11:$N$1048576,"Open")</f>
        <v>3</v>
      </c>
      <c r="G4" s="9"/>
      <c r="H4" s="391"/>
      <c r="I4" s="391"/>
      <c r="J4" s="391"/>
      <c r="K4" s="391"/>
      <c r="L4" s="391"/>
      <c r="M4" s="391"/>
    </row>
    <row r="5" spans="1:15" ht="19.5" thickBot="1" x14ac:dyDescent="0.3">
      <c r="A5" s="9"/>
      <c r="B5" s="9"/>
      <c r="C5" s="13" t="s">
        <v>1</v>
      </c>
      <c r="D5" s="17">
        <f>COUNTIFS($M$11:$M$1048576,D$3,$N$11:$N$1048576,"Closed")</f>
        <v>1</v>
      </c>
      <c r="E5" s="17">
        <f>COUNTIFS($M$11:$M$1048576,E$3,$N$11:$N$1048576,"Closed")</f>
        <v>1</v>
      </c>
      <c r="F5" s="17">
        <f>COUNTIFS($M$11:$M$1048576,F$3,$N$11:$N$1048576,"Closed")</f>
        <v>393</v>
      </c>
      <c r="G5" s="9"/>
      <c r="H5" s="391"/>
      <c r="I5" s="391"/>
      <c r="J5" s="391"/>
      <c r="K5" s="391"/>
      <c r="L5" s="391"/>
      <c r="M5" s="391"/>
    </row>
    <row r="6" spans="1:15" ht="19.5" thickBot="1" x14ac:dyDescent="0.3">
      <c r="A6" s="9"/>
      <c r="B6" s="9"/>
      <c r="C6" s="13" t="s">
        <v>13</v>
      </c>
      <c r="D6" s="17">
        <f>COUNTIFS($M$11:$M$1048576,D$3,$N$11:$N$1048576,"Cancelled")</f>
        <v>0</v>
      </c>
      <c r="E6" s="17">
        <f>COUNTIFS($M$11:$M$1048576,E$3,$N$11:$N$1048576,"Cancelled")</f>
        <v>0</v>
      </c>
      <c r="F6" s="17">
        <f>COUNTIFS($M$11:$M$1048576,F$3,$N$11:$N$1048576,"Cancelled")</f>
        <v>5</v>
      </c>
      <c r="G6" s="9"/>
      <c r="H6" s="391"/>
      <c r="I6" s="391"/>
      <c r="J6" s="391"/>
      <c r="K6" s="391"/>
      <c r="L6" s="391"/>
      <c r="M6" s="391"/>
      <c r="N6" s="18">
        <f ca="1">TODAY()</f>
        <v>45358</v>
      </c>
    </row>
    <row r="7" spans="1:15" ht="47.25" thickBot="1" x14ac:dyDescent="0.3">
      <c r="A7" s="9"/>
      <c r="B7" s="9"/>
      <c r="C7" s="13" t="s">
        <v>30</v>
      </c>
      <c r="D7" s="17">
        <f>COUNTIFS($M$11:$M$1048576,D$3,$N$11:$N$1048576,"Pending")</f>
        <v>0</v>
      </c>
      <c r="E7" s="17">
        <f>COUNTIFS($M$11:$M$1048576,E$3,$N$11:$N$1048576,"Pending")</f>
        <v>0</v>
      </c>
      <c r="F7" s="17">
        <f>COUNTIFS($M$11:$M$1048576,F$3,$N$11:$N$1048576,"Pending")</f>
        <v>4</v>
      </c>
      <c r="G7" s="9"/>
      <c r="H7" s="20"/>
      <c r="I7" s="9"/>
      <c r="J7" s="9"/>
      <c r="K7" s="5"/>
      <c r="L7" s="143"/>
      <c r="M7" s="11"/>
      <c r="N7" s="11"/>
      <c r="O7" s="1"/>
    </row>
    <row r="8" spans="1:15" ht="15" customHeight="1" x14ac:dyDescent="0.25">
      <c r="B8" s="9"/>
      <c r="C8" s="9"/>
      <c r="D8" s="9"/>
      <c r="E8" s="9"/>
      <c r="F8" s="9"/>
      <c r="G8" s="9"/>
      <c r="H8" s="20"/>
      <c r="I8" s="9"/>
      <c r="J8" s="9"/>
      <c r="K8" s="5"/>
      <c r="L8" s="143"/>
      <c r="M8" s="11"/>
      <c r="N8" s="11"/>
      <c r="O8" s="1"/>
    </row>
    <row r="9" spans="1:15" ht="15" customHeight="1" x14ac:dyDescent="0.25">
      <c r="B9" s="9"/>
      <c r="C9" s="9"/>
      <c r="D9" s="9"/>
      <c r="E9" s="9"/>
      <c r="F9" s="9"/>
      <c r="G9" s="9"/>
      <c r="H9" s="20"/>
      <c r="I9" s="9"/>
      <c r="J9" s="9"/>
      <c r="K9" s="5"/>
      <c r="L9" s="143"/>
      <c r="M9" s="11"/>
      <c r="N9" s="11"/>
      <c r="O9" s="1"/>
    </row>
    <row r="10" spans="1:15" s="3" customFormat="1" ht="67.5" customHeight="1" x14ac:dyDescent="0.25">
      <c r="B10" s="228" t="s">
        <v>7</v>
      </c>
      <c r="C10" s="229" t="s">
        <v>6</v>
      </c>
      <c r="D10" s="229" t="s">
        <v>3</v>
      </c>
      <c r="E10" s="229" t="s">
        <v>9</v>
      </c>
      <c r="F10" s="229" t="s">
        <v>8</v>
      </c>
      <c r="G10" s="229" t="s">
        <v>20</v>
      </c>
      <c r="H10" s="230" t="s">
        <v>28</v>
      </c>
      <c r="I10" s="229" t="s">
        <v>29</v>
      </c>
      <c r="J10" s="231" t="s">
        <v>19</v>
      </c>
      <c r="K10" s="231" t="s">
        <v>10</v>
      </c>
      <c r="L10" s="232" t="s">
        <v>11</v>
      </c>
      <c r="M10" s="229" t="s">
        <v>15</v>
      </c>
      <c r="N10" s="233" t="s">
        <v>21</v>
      </c>
    </row>
    <row r="11" spans="1:15" ht="18" hidden="1" customHeight="1" x14ac:dyDescent="0.25">
      <c r="B11" s="234">
        <v>1</v>
      </c>
      <c r="C11" s="83">
        <v>44295</v>
      </c>
      <c r="D11" s="118" t="s">
        <v>34</v>
      </c>
      <c r="E11" s="26" t="s">
        <v>31</v>
      </c>
      <c r="F11" s="26" t="s">
        <v>32</v>
      </c>
      <c r="G11" s="29" t="s">
        <v>35</v>
      </c>
      <c r="H11" s="54" t="s">
        <v>36</v>
      </c>
      <c r="I11" s="29" t="s">
        <v>199</v>
      </c>
      <c r="J11" s="29" t="s">
        <v>33</v>
      </c>
      <c r="K11" s="119">
        <v>44325</v>
      </c>
      <c r="L11" s="34">
        <v>2</v>
      </c>
      <c r="M11" s="119" t="s">
        <v>12</v>
      </c>
      <c r="N11" s="235" t="s">
        <v>1</v>
      </c>
    </row>
    <row r="12" spans="1:15" ht="37.5" hidden="1" x14ac:dyDescent="0.25">
      <c r="B12" s="234">
        <f t="shared" ref="B12:B75" ca="1" si="0">OFFSET(B12,-1,0)+1</f>
        <v>2</v>
      </c>
      <c r="C12" s="83">
        <v>44314</v>
      </c>
      <c r="D12" s="118" t="s">
        <v>37</v>
      </c>
      <c r="E12" s="26" t="s">
        <v>38</v>
      </c>
      <c r="F12" s="26" t="s">
        <v>39</v>
      </c>
      <c r="G12" s="29" t="s">
        <v>40</v>
      </c>
      <c r="H12" s="54" t="s">
        <v>41</v>
      </c>
      <c r="I12" s="29" t="s">
        <v>37</v>
      </c>
      <c r="J12" s="29" t="s">
        <v>42</v>
      </c>
      <c r="K12" s="119">
        <v>44314</v>
      </c>
      <c r="L12" s="34">
        <v>3</v>
      </c>
      <c r="M12" s="119" t="s">
        <v>12</v>
      </c>
      <c r="N12" s="235" t="s">
        <v>1</v>
      </c>
    </row>
    <row r="13" spans="1:15" ht="18" hidden="1" customHeight="1" x14ac:dyDescent="0.25">
      <c r="B13" s="234">
        <f t="shared" ca="1" si="0"/>
        <v>3</v>
      </c>
      <c r="C13" s="83">
        <v>44278</v>
      </c>
      <c r="D13" s="118" t="s">
        <v>49</v>
      </c>
      <c r="E13" s="26" t="s">
        <v>38</v>
      </c>
      <c r="F13" s="26" t="s">
        <v>50</v>
      </c>
      <c r="G13" s="75" t="s">
        <v>59</v>
      </c>
      <c r="H13" s="196" t="s">
        <v>402</v>
      </c>
      <c r="I13" s="29" t="s">
        <v>53</v>
      </c>
      <c r="J13" s="29" t="s">
        <v>33</v>
      </c>
      <c r="K13" s="119">
        <v>44449</v>
      </c>
      <c r="L13" s="34">
        <v>3</v>
      </c>
      <c r="M13" s="119" t="s">
        <v>12</v>
      </c>
      <c r="N13" s="235" t="s">
        <v>1</v>
      </c>
    </row>
    <row r="14" spans="1:15" ht="18" hidden="1" customHeight="1" x14ac:dyDescent="0.25">
      <c r="B14" s="234">
        <f t="shared" ca="1" si="0"/>
        <v>4</v>
      </c>
      <c r="C14" s="83">
        <v>44309</v>
      </c>
      <c r="D14" s="118" t="s">
        <v>53</v>
      </c>
      <c r="E14" s="26" t="s">
        <v>44</v>
      </c>
      <c r="F14" s="26" t="s">
        <v>56</v>
      </c>
      <c r="G14" s="75" t="s">
        <v>57</v>
      </c>
      <c r="H14" s="196" t="s">
        <v>213</v>
      </c>
      <c r="I14" s="29" t="s">
        <v>53</v>
      </c>
      <c r="J14" s="29" t="s">
        <v>58</v>
      </c>
      <c r="K14" s="119">
        <v>44337</v>
      </c>
      <c r="L14" s="34">
        <v>3</v>
      </c>
      <c r="M14" s="119" t="s">
        <v>12</v>
      </c>
      <c r="N14" s="235" t="s">
        <v>1</v>
      </c>
    </row>
    <row r="15" spans="1:15" ht="18" hidden="1" customHeight="1" x14ac:dyDescent="0.25">
      <c r="B15" s="234">
        <f t="shared" ca="1" si="0"/>
        <v>5</v>
      </c>
      <c r="C15" s="83">
        <v>44314</v>
      </c>
      <c r="D15" s="118" t="s">
        <v>53</v>
      </c>
      <c r="E15" s="26" t="s">
        <v>44</v>
      </c>
      <c r="F15" s="26" t="s">
        <v>56</v>
      </c>
      <c r="G15" s="75" t="s">
        <v>57</v>
      </c>
      <c r="H15" s="196" t="s">
        <v>209</v>
      </c>
      <c r="I15" s="29" t="s">
        <v>53</v>
      </c>
      <c r="J15" s="29" t="s">
        <v>58</v>
      </c>
      <c r="K15" s="119">
        <v>44337</v>
      </c>
      <c r="L15" s="34">
        <v>3</v>
      </c>
      <c r="M15" s="119" t="s">
        <v>12</v>
      </c>
      <c r="N15" s="235" t="s">
        <v>1</v>
      </c>
    </row>
    <row r="16" spans="1:15" ht="18.75" hidden="1" x14ac:dyDescent="0.25">
      <c r="B16" s="234">
        <f t="shared" ca="1" si="0"/>
        <v>6</v>
      </c>
      <c r="C16" s="83">
        <v>44312</v>
      </c>
      <c r="D16" s="118" t="s">
        <v>43</v>
      </c>
      <c r="E16" s="26" t="s">
        <v>64</v>
      </c>
      <c r="F16" s="26" t="s">
        <v>45</v>
      </c>
      <c r="G16" s="29" t="s">
        <v>60</v>
      </c>
      <c r="H16" s="54" t="s">
        <v>63</v>
      </c>
      <c r="I16" s="29" t="s">
        <v>61</v>
      </c>
      <c r="J16" s="29" t="s">
        <v>62</v>
      </c>
      <c r="K16" s="119">
        <v>44325</v>
      </c>
      <c r="L16" s="34">
        <v>2</v>
      </c>
      <c r="M16" s="119" t="s">
        <v>12</v>
      </c>
      <c r="N16" s="235" t="s">
        <v>13</v>
      </c>
    </row>
    <row r="17" spans="2:14" ht="18.75" hidden="1" x14ac:dyDescent="0.25">
      <c r="B17" s="234">
        <f t="shared" ca="1" si="0"/>
        <v>7</v>
      </c>
      <c r="C17" s="83">
        <v>44314</v>
      </c>
      <c r="D17" s="118" t="s">
        <v>37</v>
      </c>
      <c r="E17" s="26" t="s">
        <v>65</v>
      </c>
      <c r="F17" s="26" t="s">
        <v>66</v>
      </c>
      <c r="G17" s="29" t="s">
        <v>67</v>
      </c>
      <c r="H17" s="54" t="s">
        <v>41</v>
      </c>
      <c r="I17" s="29" t="s">
        <v>37</v>
      </c>
      <c r="J17" s="29" t="s">
        <v>68</v>
      </c>
      <c r="K17" s="119">
        <v>44314</v>
      </c>
      <c r="L17" s="34">
        <v>3</v>
      </c>
      <c r="M17" s="119" t="s">
        <v>12</v>
      </c>
      <c r="N17" s="235" t="s">
        <v>1</v>
      </c>
    </row>
    <row r="18" spans="2:14" ht="18.75" hidden="1" x14ac:dyDescent="0.25">
      <c r="B18" s="234">
        <f t="shared" ca="1" si="0"/>
        <v>8</v>
      </c>
      <c r="C18" s="83">
        <v>44313</v>
      </c>
      <c r="D18" s="118" t="s">
        <v>43</v>
      </c>
      <c r="E18" s="26" t="s">
        <v>64</v>
      </c>
      <c r="F18" s="26" t="s">
        <v>45</v>
      </c>
      <c r="G18" s="29" t="s">
        <v>69</v>
      </c>
      <c r="H18" s="54" t="s">
        <v>71</v>
      </c>
      <c r="I18" s="29" t="s">
        <v>43</v>
      </c>
      <c r="J18" s="29" t="s">
        <v>73</v>
      </c>
      <c r="K18" s="119">
        <v>44330</v>
      </c>
      <c r="L18" s="34">
        <v>2</v>
      </c>
      <c r="M18" s="119" t="s">
        <v>12</v>
      </c>
      <c r="N18" s="235" t="s">
        <v>1</v>
      </c>
    </row>
    <row r="19" spans="2:14" ht="18.75" hidden="1" x14ac:dyDescent="0.25">
      <c r="B19" s="234">
        <f t="shared" ca="1" si="0"/>
        <v>9</v>
      </c>
      <c r="C19" s="83">
        <v>44313</v>
      </c>
      <c r="D19" s="118" t="s">
        <v>43</v>
      </c>
      <c r="E19" s="26" t="s">
        <v>64</v>
      </c>
      <c r="F19" s="26" t="s">
        <v>45</v>
      </c>
      <c r="G19" s="29" t="s">
        <v>70</v>
      </c>
      <c r="H19" s="54" t="s">
        <v>72</v>
      </c>
      <c r="I19" s="29" t="s">
        <v>43</v>
      </c>
      <c r="J19" s="29" t="s">
        <v>73</v>
      </c>
      <c r="K19" s="119">
        <v>44330</v>
      </c>
      <c r="L19" s="34">
        <v>2</v>
      </c>
      <c r="M19" s="119" t="s">
        <v>12</v>
      </c>
      <c r="N19" s="235" t="s">
        <v>1</v>
      </c>
    </row>
    <row r="20" spans="2:14" ht="18.75" hidden="1" x14ac:dyDescent="0.25">
      <c r="B20" s="234">
        <f t="shared" ca="1" si="0"/>
        <v>10</v>
      </c>
      <c r="C20" s="83">
        <v>44314</v>
      </c>
      <c r="D20" s="118" t="s">
        <v>7</v>
      </c>
      <c r="E20" s="26" t="s">
        <v>80</v>
      </c>
      <c r="F20" s="26" t="s">
        <v>81</v>
      </c>
      <c r="G20" s="29" t="s">
        <v>82</v>
      </c>
      <c r="H20" s="54" t="s">
        <v>83</v>
      </c>
      <c r="I20" s="29" t="s">
        <v>7</v>
      </c>
      <c r="J20" s="29" t="s">
        <v>84</v>
      </c>
      <c r="K20" s="119"/>
      <c r="L20" s="34">
        <v>2</v>
      </c>
      <c r="M20" s="119" t="s">
        <v>12</v>
      </c>
      <c r="N20" s="235" t="s">
        <v>1</v>
      </c>
    </row>
    <row r="21" spans="2:14" ht="56.25" hidden="1" x14ac:dyDescent="0.25">
      <c r="B21" s="234">
        <f t="shared" ca="1" si="0"/>
        <v>11</v>
      </c>
      <c r="C21" s="83">
        <v>44314</v>
      </c>
      <c r="D21" s="118" t="s">
        <v>37</v>
      </c>
      <c r="E21" s="26" t="s">
        <v>80</v>
      </c>
      <c r="F21" s="26" t="s">
        <v>66</v>
      </c>
      <c r="G21" s="29" t="s">
        <v>90</v>
      </c>
      <c r="H21" s="29" t="s">
        <v>91</v>
      </c>
      <c r="I21" s="29" t="s">
        <v>37</v>
      </c>
      <c r="J21" s="29" t="s">
        <v>92</v>
      </c>
      <c r="K21" s="119">
        <v>44319</v>
      </c>
      <c r="L21" s="34">
        <v>3</v>
      </c>
      <c r="M21" s="119" t="s">
        <v>12</v>
      </c>
      <c r="N21" s="235" t="s">
        <v>1</v>
      </c>
    </row>
    <row r="22" spans="2:14" ht="56.25" hidden="1" x14ac:dyDescent="0.25">
      <c r="B22" s="234">
        <f t="shared" ca="1" si="0"/>
        <v>12</v>
      </c>
      <c r="C22" s="83">
        <v>44314</v>
      </c>
      <c r="D22" s="118" t="s">
        <v>37</v>
      </c>
      <c r="E22" s="26" t="s">
        <v>64</v>
      </c>
      <c r="F22" s="26" t="s">
        <v>45</v>
      </c>
      <c r="G22" s="29" t="s">
        <v>93</v>
      </c>
      <c r="H22" s="29" t="s">
        <v>94</v>
      </c>
      <c r="I22" s="29" t="s">
        <v>37</v>
      </c>
      <c r="J22" s="29" t="s">
        <v>95</v>
      </c>
      <c r="K22" s="119">
        <v>44319</v>
      </c>
      <c r="L22" s="34">
        <v>3</v>
      </c>
      <c r="M22" s="119" t="s">
        <v>12</v>
      </c>
      <c r="N22" s="235" t="s">
        <v>1</v>
      </c>
    </row>
    <row r="23" spans="2:14" ht="18.75" hidden="1" x14ac:dyDescent="0.25">
      <c r="B23" s="234">
        <f t="shared" ca="1" si="0"/>
        <v>13</v>
      </c>
      <c r="C23" s="83">
        <v>44319</v>
      </c>
      <c r="D23" s="118" t="s">
        <v>37</v>
      </c>
      <c r="E23" s="26" t="s">
        <v>80</v>
      </c>
      <c r="F23" s="26" t="s">
        <v>66</v>
      </c>
      <c r="G23" s="29" t="s">
        <v>96</v>
      </c>
      <c r="H23" s="54" t="s">
        <v>97</v>
      </c>
      <c r="I23" s="29" t="s">
        <v>37</v>
      </c>
      <c r="J23" s="29" t="s">
        <v>98</v>
      </c>
      <c r="K23" s="119">
        <v>44319</v>
      </c>
      <c r="L23" s="34">
        <v>3</v>
      </c>
      <c r="M23" s="119" t="s">
        <v>12</v>
      </c>
      <c r="N23" s="235" t="s">
        <v>1</v>
      </c>
    </row>
    <row r="24" spans="2:14" ht="18.75" hidden="1" x14ac:dyDescent="0.25">
      <c r="B24" s="234">
        <f t="shared" ca="1" si="0"/>
        <v>14</v>
      </c>
      <c r="C24" s="83">
        <v>44315</v>
      </c>
      <c r="D24" s="118" t="s">
        <v>37</v>
      </c>
      <c r="E24" s="26" t="s">
        <v>80</v>
      </c>
      <c r="F24" s="26" t="s">
        <v>64</v>
      </c>
      <c r="G24" s="29" t="s">
        <v>99</v>
      </c>
      <c r="H24" s="54" t="s">
        <v>100</v>
      </c>
      <c r="I24" s="29" t="s">
        <v>37</v>
      </c>
      <c r="J24" s="29" t="s">
        <v>101</v>
      </c>
      <c r="K24" s="119">
        <v>44319</v>
      </c>
      <c r="L24" s="34">
        <v>3</v>
      </c>
      <c r="M24" s="119" t="s">
        <v>12</v>
      </c>
      <c r="N24" s="235" t="s">
        <v>1</v>
      </c>
    </row>
    <row r="25" spans="2:14" ht="18.75" hidden="1" x14ac:dyDescent="0.25">
      <c r="B25" s="234">
        <f t="shared" ca="1" si="0"/>
        <v>15</v>
      </c>
      <c r="C25" s="83">
        <v>44316</v>
      </c>
      <c r="D25" s="118" t="s">
        <v>37</v>
      </c>
      <c r="E25" s="26" t="s">
        <v>64</v>
      </c>
      <c r="F25" s="26" t="s">
        <v>66</v>
      </c>
      <c r="G25" s="29" t="s">
        <v>102</v>
      </c>
      <c r="H25" s="29" t="s">
        <v>103</v>
      </c>
      <c r="I25" s="29" t="s">
        <v>37</v>
      </c>
      <c r="J25" s="29" t="s">
        <v>104</v>
      </c>
      <c r="K25" s="119">
        <v>44319</v>
      </c>
      <c r="L25" s="34">
        <v>3</v>
      </c>
      <c r="M25" s="119" t="s">
        <v>12</v>
      </c>
      <c r="N25" s="235" t="s">
        <v>1</v>
      </c>
    </row>
    <row r="26" spans="2:14" ht="18.75" hidden="1" x14ac:dyDescent="0.25">
      <c r="B26" s="234">
        <f t="shared" ca="1" si="0"/>
        <v>16</v>
      </c>
      <c r="C26" s="83">
        <v>44319</v>
      </c>
      <c r="D26" s="118" t="s">
        <v>37</v>
      </c>
      <c r="E26" s="26" t="s">
        <v>64</v>
      </c>
      <c r="F26" s="26" t="s">
        <v>45</v>
      </c>
      <c r="G26" s="29" t="s">
        <v>105</v>
      </c>
      <c r="H26" s="29" t="s">
        <v>106</v>
      </c>
      <c r="I26" s="29" t="s">
        <v>37</v>
      </c>
      <c r="J26" s="29" t="s">
        <v>107</v>
      </c>
      <c r="K26" s="119">
        <v>44319</v>
      </c>
      <c r="L26" s="34">
        <v>3</v>
      </c>
      <c r="M26" s="119" t="s">
        <v>12</v>
      </c>
      <c r="N26" s="235" t="s">
        <v>1</v>
      </c>
    </row>
    <row r="27" spans="2:14" ht="18.75" hidden="1" x14ac:dyDescent="0.25">
      <c r="B27" s="234">
        <f t="shared" ca="1" si="0"/>
        <v>17</v>
      </c>
      <c r="C27" s="83">
        <v>44316</v>
      </c>
      <c r="D27" s="118" t="s">
        <v>37</v>
      </c>
      <c r="E27" s="26" t="s">
        <v>65</v>
      </c>
      <c r="F27" s="26" t="s">
        <v>50</v>
      </c>
      <c r="G27" s="29" t="s">
        <v>108</v>
      </c>
      <c r="H27" s="29" t="s">
        <v>109</v>
      </c>
      <c r="I27" s="29" t="s">
        <v>37</v>
      </c>
      <c r="J27" s="29" t="s">
        <v>112</v>
      </c>
      <c r="K27" s="119">
        <v>44319</v>
      </c>
      <c r="L27" s="34">
        <v>3</v>
      </c>
      <c r="M27" s="119" t="s">
        <v>12</v>
      </c>
      <c r="N27" s="235" t="s">
        <v>1</v>
      </c>
    </row>
    <row r="28" spans="2:14" ht="18.75" hidden="1" x14ac:dyDescent="0.25">
      <c r="B28" s="234">
        <f t="shared" ca="1" si="0"/>
        <v>18</v>
      </c>
      <c r="C28" s="83">
        <v>44316</v>
      </c>
      <c r="D28" s="118" t="s">
        <v>37</v>
      </c>
      <c r="E28" s="26" t="s">
        <v>64</v>
      </c>
      <c r="F28" s="26" t="s">
        <v>66</v>
      </c>
      <c r="G28" s="29" t="s">
        <v>110</v>
      </c>
      <c r="H28" s="54" t="s">
        <v>111</v>
      </c>
      <c r="I28" s="29" t="s">
        <v>37</v>
      </c>
      <c r="J28" s="29" t="s">
        <v>113</v>
      </c>
      <c r="K28" s="119">
        <v>44319</v>
      </c>
      <c r="L28" s="34">
        <v>3</v>
      </c>
      <c r="M28" s="119" t="s">
        <v>12</v>
      </c>
      <c r="N28" s="235" t="s">
        <v>1</v>
      </c>
    </row>
    <row r="29" spans="2:14" ht="18.75" hidden="1" x14ac:dyDescent="0.25">
      <c r="B29" s="234">
        <f t="shared" ca="1" si="0"/>
        <v>19</v>
      </c>
      <c r="C29" s="83">
        <v>44320</v>
      </c>
      <c r="D29" s="118" t="s">
        <v>37</v>
      </c>
      <c r="E29" s="26" t="s">
        <v>64</v>
      </c>
      <c r="F29" s="26" t="s">
        <v>66</v>
      </c>
      <c r="G29" s="29" t="s">
        <v>110</v>
      </c>
      <c r="H29" s="54" t="s">
        <v>116</v>
      </c>
      <c r="I29" s="29" t="s">
        <v>37</v>
      </c>
      <c r="J29" s="29" t="s">
        <v>113</v>
      </c>
      <c r="K29" s="119">
        <v>44319</v>
      </c>
      <c r="L29" s="34">
        <v>3</v>
      </c>
      <c r="M29" s="119" t="s">
        <v>12</v>
      </c>
      <c r="N29" s="235" t="s">
        <v>1</v>
      </c>
    </row>
    <row r="30" spans="2:14" ht="18.75" hidden="1" x14ac:dyDescent="0.25">
      <c r="B30" s="234">
        <f t="shared" ca="1" si="0"/>
        <v>20</v>
      </c>
      <c r="C30" s="83">
        <v>44320</v>
      </c>
      <c r="D30" s="118" t="s">
        <v>37</v>
      </c>
      <c r="E30" s="26" t="s">
        <v>65</v>
      </c>
      <c r="F30" s="26" t="s">
        <v>50</v>
      </c>
      <c r="G30" s="29" t="s">
        <v>114</v>
      </c>
      <c r="H30" s="54" t="s">
        <v>121</v>
      </c>
      <c r="I30" s="29" t="s">
        <v>37</v>
      </c>
      <c r="J30" s="29" t="s">
        <v>68</v>
      </c>
      <c r="K30" s="119">
        <v>44320</v>
      </c>
      <c r="L30" s="34">
        <v>3</v>
      </c>
      <c r="M30" s="119" t="s">
        <v>12</v>
      </c>
      <c r="N30" s="235" t="s">
        <v>1</v>
      </c>
    </row>
    <row r="31" spans="2:14" ht="18.75" hidden="1" x14ac:dyDescent="0.25">
      <c r="B31" s="234">
        <f t="shared" ca="1" si="0"/>
        <v>21</v>
      </c>
      <c r="C31" s="83">
        <v>44321</v>
      </c>
      <c r="D31" s="118" t="s">
        <v>37</v>
      </c>
      <c r="E31" s="26" t="s">
        <v>65</v>
      </c>
      <c r="F31" s="26" t="s">
        <v>50</v>
      </c>
      <c r="G31" s="29" t="s">
        <v>114</v>
      </c>
      <c r="H31" s="54" t="s">
        <v>122</v>
      </c>
      <c r="I31" s="29" t="s">
        <v>37</v>
      </c>
      <c r="J31" s="29" t="s">
        <v>68</v>
      </c>
      <c r="K31" s="119">
        <v>44320</v>
      </c>
      <c r="L31" s="34">
        <v>3</v>
      </c>
      <c r="M31" s="119" t="s">
        <v>12</v>
      </c>
      <c r="N31" s="235" t="s">
        <v>1</v>
      </c>
    </row>
    <row r="32" spans="2:14" ht="18.75" hidden="1" x14ac:dyDescent="0.25">
      <c r="B32" s="234">
        <f t="shared" ca="1" si="0"/>
        <v>22</v>
      </c>
      <c r="C32" s="83">
        <v>44321</v>
      </c>
      <c r="D32" s="118" t="s">
        <v>7</v>
      </c>
      <c r="E32" s="26" t="s">
        <v>80</v>
      </c>
      <c r="F32" s="26" t="s">
        <v>64</v>
      </c>
      <c r="G32" s="29" t="s">
        <v>99</v>
      </c>
      <c r="H32" s="54" t="s">
        <v>123</v>
      </c>
      <c r="I32" s="29" t="s">
        <v>7</v>
      </c>
      <c r="J32" s="29" t="s">
        <v>124</v>
      </c>
      <c r="K32" s="119">
        <v>44321</v>
      </c>
      <c r="L32" s="34">
        <v>3</v>
      </c>
      <c r="M32" s="119" t="s">
        <v>125</v>
      </c>
      <c r="N32" s="235" t="s">
        <v>1</v>
      </c>
    </row>
    <row r="33" spans="2:14" ht="18" hidden="1" customHeight="1" x14ac:dyDescent="0.25">
      <c r="B33" s="234">
        <f t="shared" ca="1" si="0"/>
        <v>23</v>
      </c>
      <c r="C33" s="83">
        <v>44314</v>
      </c>
      <c r="D33" s="118" t="s">
        <v>53</v>
      </c>
      <c r="E33" s="26" t="s">
        <v>38</v>
      </c>
      <c r="F33" s="26" t="s">
        <v>50</v>
      </c>
      <c r="G33" s="75" t="s">
        <v>159</v>
      </c>
      <c r="H33" s="196" t="s">
        <v>131</v>
      </c>
      <c r="I33" s="29" t="s">
        <v>53</v>
      </c>
      <c r="J33" s="29" t="s">
        <v>127</v>
      </c>
      <c r="K33" s="119">
        <v>44326</v>
      </c>
      <c r="L33" s="34">
        <v>3</v>
      </c>
      <c r="M33" s="119" t="s">
        <v>12</v>
      </c>
      <c r="N33" s="235" t="s">
        <v>1</v>
      </c>
    </row>
    <row r="34" spans="2:14" ht="18" hidden="1" customHeight="1" x14ac:dyDescent="0.25">
      <c r="B34" s="234">
        <f t="shared" ca="1" si="0"/>
        <v>24</v>
      </c>
      <c r="C34" s="83">
        <v>44314</v>
      </c>
      <c r="D34" s="118" t="s">
        <v>53</v>
      </c>
      <c r="E34" s="26" t="s">
        <v>38</v>
      </c>
      <c r="F34" s="26" t="s">
        <v>50</v>
      </c>
      <c r="G34" s="75" t="s">
        <v>126</v>
      </c>
      <c r="H34" s="196" t="s">
        <v>210</v>
      </c>
      <c r="I34" s="29" t="s">
        <v>53</v>
      </c>
      <c r="J34" s="29" t="s">
        <v>128</v>
      </c>
      <c r="K34" s="119">
        <v>44337</v>
      </c>
      <c r="L34" s="34">
        <v>3</v>
      </c>
      <c r="M34" s="119" t="s">
        <v>12</v>
      </c>
      <c r="N34" s="235" t="s">
        <v>1</v>
      </c>
    </row>
    <row r="35" spans="2:14" ht="18" hidden="1" customHeight="1" x14ac:dyDescent="0.25">
      <c r="B35" s="234">
        <f t="shared" ca="1" si="0"/>
        <v>25</v>
      </c>
      <c r="C35" s="83">
        <v>44315</v>
      </c>
      <c r="D35" s="118" t="s">
        <v>53</v>
      </c>
      <c r="E35" s="26" t="s">
        <v>38</v>
      </c>
      <c r="F35" s="26" t="s">
        <v>50</v>
      </c>
      <c r="G35" s="29" t="s">
        <v>129</v>
      </c>
      <c r="H35" s="30" t="s">
        <v>176</v>
      </c>
      <c r="I35" s="30" t="s">
        <v>130</v>
      </c>
      <c r="J35" s="29" t="s">
        <v>130</v>
      </c>
      <c r="K35" s="119">
        <v>44331</v>
      </c>
      <c r="L35" s="34">
        <v>3</v>
      </c>
      <c r="M35" s="119" t="s">
        <v>12</v>
      </c>
      <c r="N35" s="235" t="s">
        <v>1</v>
      </c>
    </row>
    <row r="36" spans="2:14" ht="18" hidden="1" customHeight="1" x14ac:dyDescent="0.25">
      <c r="B36" s="234">
        <f t="shared" ca="1" si="0"/>
        <v>26</v>
      </c>
      <c r="C36" s="83">
        <v>44321</v>
      </c>
      <c r="D36" s="118" t="s">
        <v>53</v>
      </c>
      <c r="E36" s="26" t="s">
        <v>38</v>
      </c>
      <c r="F36" s="26" t="s">
        <v>50</v>
      </c>
      <c r="G36" s="75" t="s">
        <v>132</v>
      </c>
      <c r="H36" s="196" t="s">
        <v>185</v>
      </c>
      <c r="I36" s="29" t="s">
        <v>53</v>
      </c>
      <c r="J36" s="29" t="s">
        <v>133</v>
      </c>
      <c r="K36" s="119">
        <v>44333</v>
      </c>
      <c r="L36" s="34">
        <v>3</v>
      </c>
      <c r="M36" s="119" t="s">
        <v>12</v>
      </c>
      <c r="N36" s="235" t="s">
        <v>1</v>
      </c>
    </row>
    <row r="37" spans="2:14" ht="18" hidden="1" customHeight="1" x14ac:dyDescent="0.25">
      <c r="B37" s="234">
        <f t="shared" ca="1" si="0"/>
        <v>27</v>
      </c>
      <c r="C37" s="83">
        <v>44322</v>
      </c>
      <c r="D37" s="118" t="s">
        <v>53</v>
      </c>
      <c r="E37" s="26" t="s">
        <v>38</v>
      </c>
      <c r="F37" s="26" t="s">
        <v>50</v>
      </c>
      <c r="G37" s="75" t="s">
        <v>193</v>
      </c>
      <c r="H37" s="196" t="s">
        <v>194</v>
      </c>
      <c r="I37" s="29" t="s">
        <v>53</v>
      </c>
      <c r="J37" s="29" t="s">
        <v>133</v>
      </c>
      <c r="K37" s="119">
        <v>44326</v>
      </c>
      <c r="L37" s="34">
        <v>3</v>
      </c>
      <c r="M37" s="119" t="s">
        <v>12</v>
      </c>
      <c r="N37" s="235" t="s">
        <v>1</v>
      </c>
    </row>
    <row r="38" spans="2:14" ht="18" hidden="1" customHeight="1" x14ac:dyDescent="0.25">
      <c r="B38" s="234">
        <f t="shared" ca="1" si="0"/>
        <v>28</v>
      </c>
      <c r="C38" s="83">
        <v>44321</v>
      </c>
      <c r="D38" s="118" t="s">
        <v>53</v>
      </c>
      <c r="E38" s="26" t="s">
        <v>38</v>
      </c>
      <c r="F38" s="26" t="s">
        <v>50</v>
      </c>
      <c r="G38" s="75" t="s">
        <v>134</v>
      </c>
      <c r="H38" s="196" t="s">
        <v>162</v>
      </c>
      <c r="I38" s="29" t="s">
        <v>53</v>
      </c>
      <c r="J38" s="29" t="s">
        <v>135</v>
      </c>
      <c r="K38" s="119">
        <v>44323</v>
      </c>
      <c r="L38" s="34">
        <v>3</v>
      </c>
      <c r="M38" s="119" t="s">
        <v>12</v>
      </c>
      <c r="N38" s="235" t="s">
        <v>1</v>
      </c>
    </row>
    <row r="39" spans="2:14" ht="61.9" hidden="1" customHeight="1" x14ac:dyDescent="0.25">
      <c r="B39" s="234">
        <f t="shared" ca="1" si="0"/>
        <v>29</v>
      </c>
      <c r="C39" s="83">
        <v>44321</v>
      </c>
      <c r="D39" s="118" t="s">
        <v>34</v>
      </c>
      <c r="E39" s="26" t="s">
        <v>31</v>
      </c>
      <c r="F39" s="26" t="s">
        <v>32</v>
      </c>
      <c r="G39" s="29" t="s">
        <v>35</v>
      </c>
      <c r="H39" s="54" t="s">
        <v>198</v>
      </c>
      <c r="I39" s="29" t="s">
        <v>34</v>
      </c>
      <c r="J39" s="29" t="s">
        <v>197</v>
      </c>
      <c r="K39" s="119">
        <v>44337</v>
      </c>
      <c r="L39" s="34">
        <v>2</v>
      </c>
      <c r="M39" s="119" t="s">
        <v>12</v>
      </c>
      <c r="N39" s="235" t="s">
        <v>1</v>
      </c>
    </row>
    <row r="40" spans="2:14" ht="18" hidden="1" customHeight="1" x14ac:dyDescent="0.25">
      <c r="B40" s="234">
        <f t="shared" ca="1" si="0"/>
        <v>30</v>
      </c>
      <c r="C40" s="83">
        <v>44322</v>
      </c>
      <c r="D40" s="118" t="s">
        <v>37</v>
      </c>
      <c r="E40" s="26" t="s">
        <v>117</v>
      </c>
      <c r="F40" s="26" t="s">
        <v>66</v>
      </c>
      <c r="G40" s="29" t="s">
        <v>136</v>
      </c>
      <c r="H40" s="29" t="s">
        <v>137</v>
      </c>
      <c r="I40" s="29" t="s">
        <v>37</v>
      </c>
      <c r="J40" s="29" t="s">
        <v>138</v>
      </c>
      <c r="K40" s="119">
        <v>44327</v>
      </c>
      <c r="L40" s="34">
        <v>3</v>
      </c>
      <c r="M40" s="119" t="s">
        <v>12</v>
      </c>
      <c r="N40" s="235" t="s">
        <v>1</v>
      </c>
    </row>
    <row r="41" spans="2:14" ht="18" hidden="1" customHeight="1" x14ac:dyDescent="0.25">
      <c r="B41" s="234">
        <f t="shared" ca="1" si="0"/>
        <v>31</v>
      </c>
      <c r="C41" s="83">
        <v>44322</v>
      </c>
      <c r="D41" s="118" t="s">
        <v>37</v>
      </c>
      <c r="E41" s="26" t="s">
        <v>65</v>
      </c>
      <c r="F41" s="26" t="s">
        <v>64</v>
      </c>
      <c r="G41" s="29" t="s">
        <v>139</v>
      </c>
      <c r="H41" s="29" t="s">
        <v>139</v>
      </c>
      <c r="I41" s="29" t="s">
        <v>37</v>
      </c>
      <c r="J41" s="29" t="s">
        <v>140</v>
      </c>
      <c r="K41" s="119">
        <v>44327</v>
      </c>
      <c r="L41" s="34">
        <v>3</v>
      </c>
      <c r="M41" s="119" t="s">
        <v>12</v>
      </c>
      <c r="N41" s="235" t="s">
        <v>1</v>
      </c>
    </row>
    <row r="42" spans="2:14" ht="18" hidden="1" customHeight="1" x14ac:dyDescent="0.25">
      <c r="B42" s="234">
        <f t="shared" ca="1" si="0"/>
        <v>32</v>
      </c>
      <c r="C42" s="83">
        <v>44322</v>
      </c>
      <c r="D42" s="118" t="s">
        <v>37</v>
      </c>
      <c r="E42" s="26" t="s">
        <v>65</v>
      </c>
      <c r="F42" s="26" t="s">
        <v>141</v>
      </c>
      <c r="G42" s="29" t="s">
        <v>142</v>
      </c>
      <c r="H42" s="29" t="s">
        <v>143</v>
      </c>
      <c r="I42" s="29" t="s">
        <v>37</v>
      </c>
      <c r="J42" s="29" t="s">
        <v>144</v>
      </c>
      <c r="K42" s="119">
        <v>44327</v>
      </c>
      <c r="L42" s="34">
        <v>3</v>
      </c>
      <c r="M42" s="119" t="s">
        <v>12</v>
      </c>
      <c r="N42" s="235" t="s">
        <v>1</v>
      </c>
    </row>
    <row r="43" spans="2:14" ht="18" hidden="1" customHeight="1" x14ac:dyDescent="0.25">
      <c r="B43" s="234">
        <f t="shared" ca="1" si="0"/>
        <v>33</v>
      </c>
      <c r="C43" s="83">
        <v>44322</v>
      </c>
      <c r="D43" s="118" t="s">
        <v>37</v>
      </c>
      <c r="E43" s="26" t="s">
        <v>38</v>
      </c>
      <c r="F43" s="26" t="s">
        <v>141</v>
      </c>
      <c r="G43" s="29" t="s">
        <v>142</v>
      </c>
      <c r="H43" s="29" t="s">
        <v>143</v>
      </c>
      <c r="I43" s="29" t="s">
        <v>37</v>
      </c>
      <c r="J43" s="29" t="s">
        <v>144</v>
      </c>
      <c r="K43" s="119">
        <v>44327</v>
      </c>
      <c r="L43" s="34">
        <v>3</v>
      </c>
      <c r="M43" s="119" t="s">
        <v>12</v>
      </c>
      <c r="N43" s="235" t="s">
        <v>1</v>
      </c>
    </row>
    <row r="44" spans="2:14" ht="18" hidden="1" customHeight="1" x14ac:dyDescent="0.25">
      <c r="B44" s="234">
        <f t="shared" ca="1" si="0"/>
        <v>34</v>
      </c>
      <c r="C44" s="83">
        <v>44322</v>
      </c>
      <c r="D44" s="118" t="s">
        <v>37</v>
      </c>
      <c r="E44" s="26" t="s">
        <v>145</v>
      </c>
      <c r="F44" s="26" t="s">
        <v>141</v>
      </c>
      <c r="G44" s="29" t="s">
        <v>142</v>
      </c>
      <c r="H44" s="29" t="s">
        <v>143</v>
      </c>
      <c r="I44" s="29" t="s">
        <v>37</v>
      </c>
      <c r="J44" s="29" t="s">
        <v>144</v>
      </c>
      <c r="K44" s="119">
        <v>44327</v>
      </c>
      <c r="L44" s="34">
        <v>3</v>
      </c>
      <c r="M44" s="119" t="s">
        <v>12</v>
      </c>
      <c r="N44" s="235" t="s">
        <v>1</v>
      </c>
    </row>
    <row r="45" spans="2:14" ht="18" hidden="1" customHeight="1" x14ac:dyDescent="0.25">
      <c r="B45" s="234">
        <f t="shared" ca="1" si="0"/>
        <v>35</v>
      </c>
      <c r="C45" s="83">
        <v>44323</v>
      </c>
      <c r="D45" s="118" t="s">
        <v>37</v>
      </c>
      <c r="E45" s="26" t="s">
        <v>44</v>
      </c>
      <c r="F45" s="26" t="s">
        <v>64</v>
      </c>
      <c r="G45" s="29" t="s">
        <v>154</v>
      </c>
      <c r="H45" s="29" t="s">
        <v>155</v>
      </c>
      <c r="I45" s="29" t="s">
        <v>37</v>
      </c>
      <c r="J45" s="29" t="s">
        <v>156</v>
      </c>
      <c r="K45" s="119">
        <v>44326</v>
      </c>
      <c r="L45" s="34">
        <v>3</v>
      </c>
      <c r="M45" s="119" t="s">
        <v>12</v>
      </c>
      <c r="N45" s="235" t="s">
        <v>1</v>
      </c>
    </row>
    <row r="46" spans="2:14" ht="75" hidden="1" x14ac:dyDescent="0.25">
      <c r="B46" s="234">
        <f t="shared" ca="1" si="0"/>
        <v>36</v>
      </c>
      <c r="C46" s="83">
        <v>44323</v>
      </c>
      <c r="D46" s="118" t="s">
        <v>37</v>
      </c>
      <c r="E46" s="26" t="s">
        <v>80</v>
      </c>
      <c r="F46" s="26" t="s">
        <v>66</v>
      </c>
      <c r="G46" s="29" t="s">
        <v>157</v>
      </c>
      <c r="H46" s="29" t="s">
        <v>313</v>
      </c>
      <c r="I46" s="29" t="s">
        <v>37</v>
      </c>
      <c r="J46" s="29" t="s">
        <v>158</v>
      </c>
      <c r="K46" s="119"/>
      <c r="L46" s="34">
        <v>3</v>
      </c>
      <c r="M46" s="119" t="s">
        <v>12</v>
      </c>
      <c r="N46" s="235" t="s">
        <v>1</v>
      </c>
    </row>
    <row r="47" spans="2:14" ht="18" hidden="1" customHeight="1" x14ac:dyDescent="0.25">
      <c r="B47" s="234">
        <f t="shared" ca="1" si="0"/>
        <v>37</v>
      </c>
      <c r="C47" s="83">
        <v>44323</v>
      </c>
      <c r="D47" s="118" t="s">
        <v>53</v>
      </c>
      <c r="E47" s="26" t="s">
        <v>38</v>
      </c>
      <c r="F47" s="26" t="s">
        <v>50</v>
      </c>
      <c r="G47" s="75" t="s">
        <v>160</v>
      </c>
      <c r="H47" s="196" t="s">
        <v>161</v>
      </c>
      <c r="I47" s="29" t="s">
        <v>53</v>
      </c>
      <c r="J47" s="29" t="s">
        <v>130</v>
      </c>
      <c r="K47" s="119">
        <v>44326</v>
      </c>
      <c r="L47" s="34">
        <v>3</v>
      </c>
      <c r="M47" s="119" t="s">
        <v>12</v>
      </c>
      <c r="N47" s="235" t="s">
        <v>1</v>
      </c>
    </row>
    <row r="48" spans="2:14" ht="18" hidden="1" customHeight="1" x14ac:dyDescent="0.25">
      <c r="B48" s="234">
        <f t="shared" ca="1" si="0"/>
        <v>38</v>
      </c>
      <c r="C48" s="83">
        <v>44326</v>
      </c>
      <c r="D48" s="118" t="s">
        <v>53</v>
      </c>
      <c r="E48" s="26" t="s">
        <v>38</v>
      </c>
      <c r="F48" s="26" t="s">
        <v>50</v>
      </c>
      <c r="G48" s="75" t="s">
        <v>163</v>
      </c>
      <c r="H48" s="196" t="s">
        <v>164</v>
      </c>
      <c r="I48" s="29" t="s">
        <v>53</v>
      </c>
      <c r="J48" s="29" t="s">
        <v>130</v>
      </c>
      <c r="K48" s="119">
        <v>44327</v>
      </c>
      <c r="L48" s="34">
        <v>3</v>
      </c>
      <c r="M48" s="119" t="s">
        <v>12</v>
      </c>
      <c r="N48" s="235" t="s">
        <v>1</v>
      </c>
    </row>
    <row r="49" spans="2:14" ht="18" hidden="1" customHeight="1" x14ac:dyDescent="0.25">
      <c r="B49" s="234">
        <f t="shared" ca="1" si="0"/>
        <v>39</v>
      </c>
      <c r="C49" s="83">
        <v>44326</v>
      </c>
      <c r="D49" s="118" t="s">
        <v>37</v>
      </c>
      <c r="E49" s="26" t="s">
        <v>64</v>
      </c>
      <c r="F49" s="26" t="s">
        <v>141</v>
      </c>
      <c r="G49" s="29" t="s">
        <v>165</v>
      </c>
      <c r="H49" s="29" t="s">
        <v>166</v>
      </c>
      <c r="I49" s="29" t="s">
        <v>37</v>
      </c>
      <c r="J49" s="29" t="s">
        <v>167</v>
      </c>
      <c r="K49" s="119">
        <v>44330</v>
      </c>
      <c r="L49" s="34">
        <v>3</v>
      </c>
      <c r="M49" s="119" t="s">
        <v>12</v>
      </c>
      <c r="N49" s="235" t="s">
        <v>1</v>
      </c>
    </row>
    <row r="50" spans="2:14" ht="18" hidden="1" customHeight="1" x14ac:dyDescent="0.25">
      <c r="B50" s="234">
        <f t="shared" ca="1" si="0"/>
        <v>40</v>
      </c>
      <c r="C50" s="83">
        <v>44326</v>
      </c>
      <c r="D50" s="118" t="s">
        <v>7</v>
      </c>
      <c r="E50" s="26" t="s">
        <v>80</v>
      </c>
      <c r="F50" s="26" t="s">
        <v>64</v>
      </c>
      <c r="G50" s="29" t="s">
        <v>170</v>
      </c>
      <c r="H50" s="54" t="s">
        <v>171</v>
      </c>
      <c r="I50" s="29" t="s">
        <v>7</v>
      </c>
      <c r="J50" s="29" t="s">
        <v>84</v>
      </c>
      <c r="K50" s="119">
        <v>44326</v>
      </c>
      <c r="L50" s="34">
        <v>3</v>
      </c>
      <c r="M50" s="119" t="s">
        <v>125</v>
      </c>
      <c r="N50" s="235" t="s">
        <v>1</v>
      </c>
    </row>
    <row r="51" spans="2:14" ht="18" hidden="1" customHeight="1" x14ac:dyDescent="0.25">
      <c r="B51" s="234">
        <f t="shared" ca="1" si="0"/>
        <v>41</v>
      </c>
      <c r="C51" s="83">
        <v>44326</v>
      </c>
      <c r="D51" s="118" t="s">
        <v>37</v>
      </c>
      <c r="E51" s="26" t="s">
        <v>44</v>
      </c>
      <c r="F51" s="26" t="s">
        <v>45</v>
      </c>
      <c r="G51" s="29" t="s">
        <v>172</v>
      </c>
      <c r="H51" s="54" t="s">
        <v>173</v>
      </c>
      <c r="I51" s="197" t="s">
        <v>37</v>
      </c>
      <c r="J51" s="29" t="s">
        <v>45</v>
      </c>
      <c r="K51" s="119">
        <v>44326</v>
      </c>
      <c r="L51" s="34">
        <v>3</v>
      </c>
      <c r="M51" s="119" t="s">
        <v>12</v>
      </c>
      <c r="N51" s="235" t="s">
        <v>1</v>
      </c>
    </row>
    <row r="52" spans="2:14" ht="18" hidden="1" customHeight="1" x14ac:dyDescent="0.25">
      <c r="B52" s="234">
        <f t="shared" ca="1" si="0"/>
        <v>42</v>
      </c>
      <c r="C52" s="83">
        <v>44327</v>
      </c>
      <c r="D52" s="118" t="s">
        <v>53</v>
      </c>
      <c r="E52" s="26" t="s">
        <v>38</v>
      </c>
      <c r="F52" s="26" t="s">
        <v>50</v>
      </c>
      <c r="G52" s="75" t="s">
        <v>175</v>
      </c>
      <c r="H52" s="196" t="s">
        <v>180</v>
      </c>
      <c r="I52" s="29" t="s">
        <v>53</v>
      </c>
      <c r="J52" s="29" t="s">
        <v>174</v>
      </c>
      <c r="K52" s="119">
        <v>44329</v>
      </c>
      <c r="L52" s="34">
        <v>3</v>
      </c>
      <c r="M52" s="119" t="s">
        <v>12</v>
      </c>
      <c r="N52" s="235" t="s">
        <v>1</v>
      </c>
    </row>
    <row r="53" spans="2:14" ht="18" hidden="1" customHeight="1" x14ac:dyDescent="0.25">
      <c r="B53" s="234">
        <f t="shared" ca="1" si="0"/>
        <v>43</v>
      </c>
      <c r="C53" s="83">
        <v>44327</v>
      </c>
      <c r="D53" s="118" t="s">
        <v>53</v>
      </c>
      <c r="E53" s="26" t="s">
        <v>38</v>
      </c>
      <c r="F53" s="26" t="s">
        <v>50</v>
      </c>
      <c r="G53" s="75" t="s">
        <v>178</v>
      </c>
      <c r="H53" s="196" t="s">
        <v>179</v>
      </c>
      <c r="I53" s="29" t="s">
        <v>53</v>
      </c>
      <c r="J53" s="29" t="s">
        <v>135</v>
      </c>
      <c r="K53" s="119">
        <v>44328</v>
      </c>
      <c r="L53" s="34">
        <v>3</v>
      </c>
      <c r="M53" s="119" t="s">
        <v>12</v>
      </c>
      <c r="N53" s="235" t="s">
        <v>1</v>
      </c>
    </row>
    <row r="54" spans="2:14" ht="18" hidden="1" customHeight="1" x14ac:dyDescent="0.25">
      <c r="B54" s="234">
        <f t="shared" ca="1" si="0"/>
        <v>44</v>
      </c>
      <c r="C54" s="83">
        <v>44328</v>
      </c>
      <c r="D54" s="118" t="s">
        <v>53</v>
      </c>
      <c r="E54" s="26" t="s">
        <v>38</v>
      </c>
      <c r="F54" s="26" t="s">
        <v>50</v>
      </c>
      <c r="G54" s="75" t="s">
        <v>182</v>
      </c>
      <c r="H54" s="196" t="s">
        <v>183</v>
      </c>
      <c r="I54" s="29" t="s">
        <v>53</v>
      </c>
      <c r="J54" s="29" t="s">
        <v>184</v>
      </c>
      <c r="K54" s="119">
        <v>44329</v>
      </c>
      <c r="L54" s="34">
        <v>3</v>
      </c>
      <c r="M54" s="119" t="s">
        <v>12</v>
      </c>
      <c r="N54" s="235" t="s">
        <v>1</v>
      </c>
    </row>
    <row r="55" spans="2:14" ht="18.75" hidden="1" x14ac:dyDescent="0.25">
      <c r="B55" s="234">
        <f t="shared" ca="1" si="0"/>
        <v>45</v>
      </c>
      <c r="C55" s="83">
        <v>44328</v>
      </c>
      <c r="D55" s="118" t="s">
        <v>37</v>
      </c>
      <c r="E55" s="26" t="s">
        <v>65</v>
      </c>
      <c r="F55" s="26" t="s">
        <v>50</v>
      </c>
      <c r="G55" s="29" t="s">
        <v>108</v>
      </c>
      <c r="H55" s="29" t="s">
        <v>186</v>
      </c>
      <c r="I55" s="29" t="s">
        <v>37</v>
      </c>
      <c r="J55" s="29" t="s">
        <v>112</v>
      </c>
      <c r="K55" s="119">
        <v>44330</v>
      </c>
      <c r="L55" s="34">
        <v>3</v>
      </c>
      <c r="M55" s="119" t="s">
        <v>12</v>
      </c>
      <c r="N55" s="235" t="s">
        <v>1</v>
      </c>
    </row>
    <row r="56" spans="2:14" ht="56.25" hidden="1" x14ac:dyDescent="0.25">
      <c r="B56" s="234">
        <f t="shared" ca="1" si="0"/>
        <v>46</v>
      </c>
      <c r="C56" s="83">
        <v>44352</v>
      </c>
      <c r="D56" s="118" t="s">
        <v>37</v>
      </c>
      <c r="E56" s="26" t="s">
        <v>187</v>
      </c>
      <c r="F56" s="26" t="s">
        <v>45</v>
      </c>
      <c r="G56" s="29" t="s">
        <v>188</v>
      </c>
      <c r="H56" s="29" t="s">
        <v>236</v>
      </c>
      <c r="I56" s="29" t="s">
        <v>190</v>
      </c>
      <c r="J56" s="29" t="s">
        <v>189</v>
      </c>
      <c r="K56" s="119"/>
      <c r="L56" s="34">
        <v>3</v>
      </c>
      <c r="M56" s="119" t="s">
        <v>12</v>
      </c>
      <c r="N56" s="235" t="s">
        <v>1</v>
      </c>
    </row>
    <row r="57" spans="2:14" ht="18" hidden="1" customHeight="1" x14ac:dyDescent="0.25">
      <c r="B57" s="234">
        <f t="shared" ca="1" si="0"/>
        <v>47</v>
      </c>
      <c r="C57" s="83">
        <v>44322</v>
      </c>
      <c r="D57" s="118" t="s">
        <v>53</v>
      </c>
      <c r="E57" s="26" t="s">
        <v>44</v>
      </c>
      <c r="F57" s="26" t="s">
        <v>56</v>
      </c>
      <c r="G57" s="75" t="s">
        <v>57</v>
      </c>
      <c r="H57" s="196" t="s">
        <v>214</v>
      </c>
      <c r="I57" s="29" t="s">
        <v>177</v>
      </c>
      <c r="J57" s="29" t="s">
        <v>177</v>
      </c>
      <c r="K57" s="119">
        <v>44337</v>
      </c>
      <c r="L57" s="34">
        <v>3</v>
      </c>
      <c r="M57" s="119" t="s">
        <v>12</v>
      </c>
      <c r="N57" s="235" t="s">
        <v>1</v>
      </c>
    </row>
    <row r="58" spans="2:14" ht="18.75" hidden="1" x14ac:dyDescent="0.25">
      <c r="B58" s="234">
        <f t="shared" ca="1" si="0"/>
        <v>48</v>
      </c>
      <c r="C58" s="83">
        <v>44330</v>
      </c>
      <c r="D58" s="118" t="s">
        <v>191</v>
      </c>
      <c r="E58" s="26" t="s">
        <v>80</v>
      </c>
      <c r="F58" s="26" t="s">
        <v>64</v>
      </c>
      <c r="G58" s="29" t="s">
        <v>170</v>
      </c>
      <c r="H58" s="54" t="s">
        <v>123</v>
      </c>
      <c r="I58" s="197" t="s">
        <v>37</v>
      </c>
      <c r="J58" s="29" t="s">
        <v>192</v>
      </c>
      <c r="K58" s="119">
        <v>44330</v>
      </c>
      <c r="L58" s="34">
        <v>3</v>
      </c>
      <c r="M58" s="119" t="s">
        <v>12</v>
      </c>
      <c r="N58" s="235" t="s">
        <v>1</v>
      </c>
    </row>
    <row r="59" spans="2:14" ht="18" hidden="1" customHeight="1" x14ac:dyDescent="0.25">
      <c r="B59" s="234">
        <f t="shared" ca="1" si="0"/>
        <v>49</v>
      </c>
      <c r="C59" s="83">
        <v>44330</v>
      </c>
      <c r="D59" s="118" t="s">
        <v>53</v>
      </c>
      <c r="E59" s="26" t="s">
        <v>38</v>
      </c>
      <c r="F59" s="26" t="s">
        <v>50</v>
      </c>
      <c r="G59" s="75" t="s">
        <v>195</v>
      </c>
      <c r="H59" s="196" t="s">
        <v>196</v>
      </c>
      <c r="I59" s="29" t="s">
        <v>135</v>
      </c>
      <c r="J59" s="29" t="s">
        <v>130</v>
      </c>
      <c r="K59" s="119">
        <v>44337</v>
      </c>
      <c r="L59" s="34">
        <v>3</v>
      </c>
      <c r="M59" s="119" t="s">
        <v>12</v>
      </c>
      <c r="N59" s="235" t="s">
        <v>1</v>
      </c>
    </row>
    <row r="60" spans="2:14" ht="37.5" hidden="1" x14ac:dyDescent="0.25">
      <c r="B60" s="234">
        <f t="shared" ca="1" si="0"/>
        <v>50</v>
      </c>
      <c r="C60" s="83">
        <v>44330</v>
      </c>
      <c r="D60" s="118" t="s">
        <v>7</v>
      </c>
      <c r="E60" s="26" t="s">
        <v>117</v>
      </c>
      <c r="F60" s="26" t="s">
        <v>64</v>
      </c>
      <c r="G60" s="29" t="s">
        <v>170</v>
      </c>
      <c r="H60" s="54" t="s">
        <v>200</v>
      </c>
      <c r="I60" s="197" t="s">
        <v>7</v>
      </c>
      <c r="J60" s="29" t="s">
        <v>201</v>
      </c>
      <c r="K60" s="119">
        <v>44330</v>
      </c>
      <c r="L60" s="34">
        <v>3</v>
      </c>
      <c r="M60" s="119" t="s">
        <v>12</v>
      </c>
      <c r="N60" s="235" t="s">
        <v>1</v>
      </c>
    </row>
    <row r="61" spans="2:14" ht="18.75" hidden="1" x14ac:dyDescent="0.25">
      <c r="B61" s="234">
        <f t="shared" ca="1" si="0"/>
        <v>51</v>
      </c>
      <c r="C61" s="83">
        <v>44330</v>
      </c>
      <c r="D61" s="118" t="s">
        <v>37</v>
      </c>
      <c r="E61" s="26" t="s">
        <v>117</v>
      </c>
      <c r="F61" s="26" t="s">
        <v>64</v>
      </c>
      <c r="G61" s="29" t="s">
        <v>202</v>
      </c>
      <c r="H61" s="54" t="s">
        <v>203</v>
      </c>
      <c r="I61" s="29" t="s">
        <v>37</v>
      </c>
      <c r="J61" s="29" t="s">
        <v>204</v>
      </c>
      <c r="K61" s="119">
        <v>44330</v>
      </c>
      <c r="L61" s="34">
        <v>3</v>
      </c>
      <c r="M61" s="119" t="s">
        <v>12</v>
      </c>
      <c r="N61" s="235" t="s">
        <v>1</v>
      </c>
    </row>
    <row r="62" spans="2:14" ht="18.75" hidden="1" x14ac:dyDescent="0.25">
      <c r="B62" s="234">
        <f t="shared" ca="1" si="0"/>
        <v>52</v>
      </c>
      <c r="C62" s="83">
        <v>44330</v>
      </c>
      <c r="D62" s="118" t="s">
        <v>37</v>
      </c>
      <c r="E62" s="26" t="s">
        <v>65</v>
      </c>
      <c r="F62" s="26" t="s">
        <v>64</v>
      </c>
      <c r="G62" s="29" t="s">
        <v>170</v>
      </c>
      <c r="H62" s="54" t="s">
        <v>205</v>
      </c>
      <c r="I62" s="29" t="s">
        <v>37</v>
      </c>
      <c r="J62" s="29" t="s">
        <v>112</v>
      </c>
      <c r="K62" s="119">
        <v>44330</v>
      </c>
      <c r="L62" s="34">
        <v>3</v>
      </c>
      <c r="M62" s="119" t="s">
        <v>12</v>
      </c>
      <c r="N62" s="235" t="s">
        <v>1</v>
      </c>
    </row>
    <row r="63" spans="2:14" ht="18.75" hidden="1" x14ac:dyDescent="0.25">
      <c r="B63" s="234">
        <f t="shared" ca="1" si="0"/>
        <v>53</v>
      </c>
      <c r="C63" s="83">
        <v>44333</v>
      </c>
      <c r="D63" s="118" t="s">
        <v>7</v>
      </c>
      <c r="E63" s="26" t="s">
        <v>80</v>
      </c>
      <c r="F63" s="26" t="s">
        <v>66</v>
      </c>
      <c r="G63" s="29" t="s">
        <v>206</v>
      </c>
      <c r="H63" s="54" t="s">
        <v>207</v>
      </c>
      <c r="I63" s="29" t="s">
        <v>7</v>
      </c>
      <c r="J63" s="29" t="s">
        <v>208</v>
      </c>
      <c r="K63" s="119">
        <v>44333</v>
      </c>
      <c r="L63" s="34">
        <v>3</v>
      </c>
      <c r="M63" s="119" t="s">
        <v>12</v>
      </c>
      <c r="N63" s="235" t="s">
        <v>1</v>
      </c>
    </row>
    <row r="64" spans="2:14" ht="18" hidden="1" customHeight="1" x14ac:dyDescent="0.25">
      <c r="B64" s="234">
        <f t="shared" ca="1" si="0"/>
        <v>54</v>
      </c>
      <c r="C64" s="83">
        <v>44335</v>
      </c>
      <c r="D64" s="118" t="s">
        <v>53</v>
      </c>
      <c r="E64" s="26" t="s">
        <v>38</v>
      </c>
      <c r="F64" s="26" t="s">
        <v>50</v>
      </c>
      <c r="G64" s="75" t="s">
        <v>211</v>
      </c>
      <c r="H64" s="196" t="s">
        <v>212</v>
      </c>
      <c r="I64" s="29" t="s">
        <v>53</v>
      </c>
      <c r="J64" s="29" t="s">
        <v>130</v>
      </c>
      <c r="K64" s="119">
        <v>44333</v>
      </c>
      <c r="L64" s="34">
        <v>3</v>
      </c>
      <c r="M64" s="119" t="s">
        <v>12</v>
      </c>
      <c r="N64" s="235" t="s">
        <v>1</v>
      </c>
    </row>
    <row r="65" spans="2:14" ht="18" hidden="1" customHeight="1" x14ac:dyDescent="0.25">
      <c r="B65" s="234">
        <f t="shared" ca="1" si="0"/>
        <v>55</v>
      </c>
      <c r="C65" s="83">
        <v>44335</v>
      </c>
      <c r="D65" s="118" t="s">
        <v>53</v>
      </c>
      <c r="E65" s="26" t="s">
        <v>38</v>
      </c>
      <c r="F65" s="26" t="s">
        <v>50</v>
      </c>
      <c r="G65" s="75" t="s">
        <v>216</v>
      </c>
      <c r="H65" s="196" t="s">
        <v>217</v>
      </c>
      <c r="I65" s="29" t="s">
        <v>53</v>
      </c>
      <c r="J65" s="29" t="s">
        <v>215</v>
      </c>
      <c r="K65" s="119">
        <v>44335</v>
      </c>
      <c r="L65" s="34">
        <v>3</v>
      </c>
      <c r="M65" s="119" t="s">
        <v>12</v>
      </c>
      <c r="N65" s="235" t="s">
        <v>1</v>
      </c>
    </row>
    <row r="66" spans="2:14" ht="18.75" hidden="1" x14ac:dyDescent="0.25">
      <c r="B66" s="234">
        <f t="shared" ca="1" si="0"/>
        <v>56</v>
      </c>
      <c r="C66" s="83">
        <v>44336</v>
      </c>
      <c r="D66" s="118" t="s">
        <v>37</v>
      </c>
      <c r="E66" s="26" t="s">
        <v>64</v>
      </c>
      <c r="F66" s="26" t="s">
        <v>64</v>
      </c>
      <c r="G66" s="29" t="s">
        <v>218</v>
      </c>
      <c r="H66" s="29" t="s">
        <v>219</v>
      </c>
      <c r="I66" s="29" t="s">
        <v>37</v>
      </c>
      <c r="J66" s="29" t="s">
        <v>220</v>
      </c>
      <c r="K66" s="119">
        <v>44337</v>
      </c>
      <c r="L66" s="34">
        <v>3</v>
      </c>
      <c r="M66" s="119" t="s">
        <v>12</v>
      </c>
      <c r="N66" s="235" t="s">
        <v>1</v>
      </c>
    </row>
    <row r="67" spans="2:14" ht="18.75" hidden="1" x14ac:dyDescent="0.25">
      <c r="B67" s="234">
        <f t="shared" ca="1" si="0"/>
        <v>57</v>
      </c>
      <c r="C67" s="83">
        <v>44333</v>
      </c>
      <c r="D67" s="118" t="s">
        <v>43</v>
      </c>
      <c r="E67" s="26" t="s">
        <v>64</v>
      </c>
      <c r="F67" s="26" t="s">
        <v>45</v>
      </c>
      <c r="G67" s="29" t="s">
        <v>221</v>
      </c>
      <c r="H67" s="54" t="s">
        <v>222</v>
      </c>
      <c r="I67" s="29" t="s">
        <v>43</v>
      </c>
      <c r="J67" s="29" t="s">
        <v>62</v>
      </c>
      <c r="K67" s="119">
        <v>44337</v>
      </c>
      <c r="L67" s="34">
        <v>2</v>
      </c>
      <c r="M67" s="119" t="s">
        <v>12</v>
      </c>
      <c r="N67" s="235" t="s">
        <v>1</v>
      </c>
    </row>
    <row r="68" spans="2:14" ht="37.5" hidden="1" x14ac:dyDescent="0.25">
      <c r="B68" s="234">
        <f t="shared" ca="1" si="0"/>
        <v>58</v>
      </c>
      <c r="C68" s="83">
        <v>44333</v>
      </c>
      <c r="D68" s="118" t="s">
        <v>43</v>
      </c>
      <c r="E68" s="26" t="s">
        <v>64</v>
      </c>
      <c r="F68" s="26" t="s">
        <v>45</v>
      </c>
      <c r="G68" s="29" t="s">
        <v>225</v>
      </c>
      <c r="H68" s="54" t="s">
        <v>226</v>
      </c>
      <c r="I68" s="29" t="s">
        <v>43</v>
      </c>
      <c r="J68" s="29" t="s">
        <v>73</v>
      </c>
      <c r="K68" s="119">
        <v>44337</v>
      </c>
      <c r="L68" s="34">
        <v>2</v>
      </c>
      <c r="M68" s="119" t="s">
        <v>12</v>
      </c>
      <c r="N68" s="235" t="s">
        <v>1</v>
      </c>
    </row>
    <row r="69" spans="2:14" ht="37.5" hidden="1" x14ac:dyDescent="0.25">
      <c r="B69" s="234">
        <f t="shared" ca="1" si="0"/>
        <v>59</v>
      </c>
      <c r="C69" s="83">
        <v>44334</v>
      </c>
      <c r="D69" s="118" t="s">
        <v>43</v>
      </c>
      <c r="E69" s="26" t="s">
        <v>64</v>
      </c>
      <c r="F69" s="26" t="s">
        <v>45</v>
      </c>
      <c r="G69" s="29" t="s">
        <v>223</v>
      </c>
      <c r="H69" s="54" t="s">
        <v>224</v>
      </c>
      <c r="I69" s="29" t="s">
        <v>43</v>
      </c>
      <c r="J69" s="29" t="s">
        <v>73</v>
      </c>
      <c r="K69" s="119">
        <v>44337</v>
      </c>
      <c r="L69" s="34">
        <v>2</v>
      </c>
      <c r="M69" s="119" t="s">
        <v>12</v>
      </c>
      <c r="N69" s="235" t="s">
        <v>1</v>
      </c>
    </row>
    <row r="70" spans="2:14" ht="37.5" hidden="1" x14ac:dyDescent="0.25">
      <c r="B70" s="234">
        <f t="shared" ca="1" si="0"/>
        <v>60</v>
      </c>
      <c r="C70" s="83">
        <v>44334</v>
      </c>
      <c r="D70" s="118" t="s">
        <v>43</v>
      </c>
      <c r="E70" s="26" t="s">
        <v>64</v>
      </c>
      <c r="F70" s="26" t="s">
        <v>45</v>
      </c>
      <c r="G70" s="29" t="s">
        <v>227</v>
      </c>
      <c r="H70" s="54" t="s">
        <v>228</v>
      </c>
      <c r="I70" s="29" t="s">
        <v>43</v>
      </c>
      <c r="J70" s="29" t="s">
        <v>73</v>
      </c>
      <c r="K70" s="119">
        <v>44337</v>
      </c>
      <c r="L70" s="34">
        <v>2</v>
      </c>
      <c r="M70" s="119" t="s">
        <v>12</v>
      </c>
      <c r="N70" s="235" t="s">
        <v>1</v>
      </c>
    </row>
    <row r="71" spans="2:14" ht="37.5" hidden="1" x14ac:dyDescent="0.25">
      <c r="B71" s="234">
        <f t="shared" ca="1" si="0"/>
        <v>61</v>
      </c>
      <c r="C71" s="83">
        <v>44337</v>
      </c>
      <c r="D71" s="118" t="s">
        <v>43</v>
      </c>
      <c r="E71" s="26" t="s">
        <v>64</v>
      </c>
      <c r="F71" s="26" t="s">
        <v>45</v>
      </c>
      <c r="G71" s="29" t="s">
        <v>229</v>
      </c>
      <c r="H71" s="54" t="s">
        <v>230</v>
      </c>
      <c r="I71" s="29" t="s">
        <v>43</v>
      </c>
      <c r="J71" s="29" t="s">
        <v>73</v>
      </c>
      <c r="K71" s="119">
        <v>44337</v>
      </c>
      <c r="L71" s="34">
        <v>2</v>
      </c>
      <c r="M71" s="119" t="s">
        <v>12</v>
      </c>
      <c r="N71" s="235" t="s">
        <v>1</v>
      </c>
    </row>
    <row r="72" spans="2:14" ht="37.5" hidden="1" x14ac:dyDescent="0.25">
      <c r="B72" s="234">
        <f t="shared" ca="1" si="0"/>
        <v>62</v>
      </c>
      <c r="C72" s="83">
        <v>44341</v>
      </c>
      <c r="D72" s="118" t="s">
        <v>43</v>
      </c>
      <c r="E72" s="26" t="s">
        <v>64</v>
      </c>
      <c r="F72" s="26" t="s">
        <v>45</v>
      </c>
      <c r="G72" s="29" t="s">
        <v>231</v>
      </c>
      <c r="H72" s="54" t="s">
        <v>232</v>
      </c>
      <c r="I72" s="29" t="s">
        <v>43</v>
      </c>
      <c r="J72" s="29" t="s">
        <v>73</v>
      </c>
      <c r="K72" s="119">
        <v>44337</v>
      </c>
      <c r="L72" s="34">
        <v>2</v>
      </c>
      <c r="M72" s="119" t="s">
        <v>12</v>
      </c>
      <c r="N72" s="235" t="s">
        <v>1</v>
      </c>
    </row>
    <row r="73" spans="2:14" ht="37.5" hidden="1" x14ac:dyDescent="0.25">
      <c r="B73" s="234">
        <f t="shared" ca="1" si="0"/>
        <v>63</v>
      </c>
      <c r="C73" s="83">
        <v>44328</v>
      </c>
      <c r="D73" s="118" t="s">
        <v>43</v>
      </c>
      <c r="E73" s="26" t="s">
        <v>64</v>
      </c>
      <c r="F73" s="26" t="s">
        <v>45</v>
      </c>
      <c r="G73" s="29" t="s">
        <v>233</v>
      </c>
      <c r="H73" s="29" t="s">
        <v>234</v>
      </c>
      <c r="I73" s="29" t="s">
        <v>43</v>
      </c>
      <c r="J73" s="29" t="s">
        <v>235</v>
      </c>
      <c r="K73" s="119">
        <v>44340</v>
      </c>
      <c r="L73" s="34">
        <v>3</v>
      </c>
      <c r="M73" s="119" t="s">
        <v>12</v>
      </c>
      <c r="N73" s="235" t="s">
        <v>1</v>
      </c>
    </row>
    <row r="74" spans="2:14" ht="18" hidden="1" customHeight="1" x14ac:dyDescent="0.25">
      <c r="B74" s="234">
        <f t="shared" ca="1" si="0"/>
        <v>64</v>
      </c>
      <c r="C74" s="83">
        <v>44340</v>
      </c>
      <c r="D74" s="118" t="s">
        <v>53</v>
      </c>
      <c r="E74" s="26" t="s">
        <v>44</v>
      </c>
      <c r="F74" s="26" t="s">
        <v>242</v>
      </c>
      <c r="G74" s="75" t="s">
        <v>237</v>
      </c>
      <c r="H74" s="196" t="s">
        <v>239</v>
      </c>
      <c r="I74" s="29" t="s">
        <v>53</v>
      </c>
      <c r="J74" s="29" t="s">
        <v>238</v>
      </c>
      <c r="K74" s="119">
        <v>44342</v>
      </c>
      <c r="L74" s="34">
        <v>3</v>
      </c>
      <c r="M74" s="119" t="s">
        <v>12</v>
      </c>
      <c r="N74" s="235" t="s">
        <v>1</v>
      </c>
    </row>
    <row r="75" spans="2:14" ht="18" hidden="1" customHeight="1" x14ac:dyDescent="0.25">
      <c r="B75" s="234">
        <f t="shared" ca="1" si="0"/>
        <v>65</v>
      </c>
      <c r="C75" s="83">
        <v>44336</v>
      </c>
      <c r="D75" s="118" t="s">
        <v>53</v>
      </c>
      <c r="E75" s="26" t="s">
        <v>44</v>
      </c>
      <c r="F75" s="26" t="s">
        <v>56</v>
      </c>
      <c r="G75" s="75" t="s">
        <v>240</v>
      </c>
      <c r="H75" s="196" t="s">
        <v>241</v>
      </c>
      <c r="I75" s="29" t="s">
        <v>53</v>
      </c>
      <c r="J75" s="29" t="s">
        <v>177</v>
      </c>
      <c r="K75" s="119">
        <v>44336</v>
      </c>
      <c r="L75" s="34">
        <v>3</v>
      </c>
      <c r="M75" s="119" t="s">
        <v>12</v>
      </c>
      <c r="N75" s="235" t="s">
        <v>1</v>
      </c>
    </row>
    <row r="76" spans="2:14" ht="18" hidden="1" customHeight="1" x14ac:dyDescent="0.25">
      <c r="B76" s="234">
        <f t="shared" ref="B76:B139" ca="1" si="1">OFFSET(B76,-1,0)+1</f>
        <v>66</v>
      </c>
      <c r="C76" s="83">
        <v>44342</v>
      </c>
      <c r="D76" s="118" t="s">
        <v>53</v>
      </c>
      <c r="E76" s="26" t="s">
        <v>38</v>
      </c>
      <c r="F76" s="26" t="s">
        <v>50</v>
      </c>
      <c r="G76" s="75" t="s">
        <v>243</v>
      </c>
      <c r="H76" s="196" t="s">
        <v>244</v>
      </c>
      <c r="I76" s="29" t="s">
        <v>135</v>
      </c>
      <c r="J76" s="29" t="s">
        <v>53</v>
      </c>
      <c r="K76" s="119">
        <v>44344</v>
      </c>
      <c r="L76" s="34">
        <v>3</v>
      </c>
      <c r="M76" s="119" t="s">
        <v>12</v>
      </c>
      <c r="N76" s="235" t="s">
        <v>1</v>
      </c>
    </row>
    <row r="77" spans="2:14" ht="18" hidden="1" customHeight="1" x14ac:dyDescent="0.25">
      <c r="B77" s="234">
        <f t="shared" ca="1" si="1"/>
        <v>67</v>
      </c>
      <c r="C77" s="83">
        <v>44343</v>
      </c>
      <c r="D77" s="118" t="s">
        <v>53</v>
      </c>
      <c r="E77" s="26" t="s">
        <v>38</v>
      </c>
      <c r="F77" s="26" t="s">
        <v>50</v>
      </c>
      <c r="G77" s="75" t="s">
        <v>245</v>
      </c>
      <c r="H77" s="196" t="s">
        <v>246</v>
      </c>
      <c r="I77" s="29" t="s">
        <v>53</v>
      </c>
      <c r="J77" s="29" t="s">
        <v>130</v>
      </c>
      <c r="K77" s="119">
        <v>44343</v>
      </c>
      <c r="L77" s="34">
        <v>3</v>
      </c>
      <c r="M77" s="119" t="s">
        <v>12</v>
      </c>
      <c r="N77" s="235" t="s">
        <v>1</v>
      </c>
    </row>
    <row r="78" spans="2:14" ht="18" hidden="1" customHeight="1" x14ac:dyDescent="0.25">
      <c r="B78" s="234">
        <f t="shared" ca="1" si="1"/>
        <v>68</v>
      </c>
      <c r="C78" s="83">
        <v>44344</v>
      </c>
      <c r="D78" s="118" t="s">
        <v>53</v>
      </c>
      <c r="E78" s="26" t="s">
        <v>38</v>
      </c>
      <c r="F78" s="26" t="s">
        <v>50</v>
      </c>
      <c r="G78" s="75" t="s">
        <v>237</v>
      </c>
      <c r="H78" s="196" t="s">
        <v>253</v>
      </c>
      <c r="I78" s="29" t="s">
        <v>53</v>
      </c>
      <c r="J78" s="29" t="s">
        <v>250</v>
      </c>
      <c r="K78" s="119">
        <v>44344</v>
      </c>
      <c r="L78" s="34">
        <v>3</v>
      </c>
      <c r="M78" s="119" t="s">
        <v>12</v>
      </c>
      <c r="N78" s="235" t="s">
        <v>1</v>
      </c>
    </row>
    <row r="79" spans="2:14" ht="18" hidden="1" customHeight="1" x14ac:dyDescent="0.25">
      <c r="B79" s="234">
        <f t="shared" ca="1" si="1"/>
        <v>69</v>
      </c>
      <c r="C79" s="83">
        <v>44344</v>
      </c>
      <c r="D79" s="118" t="s">
        <v>53</v>
      </c>
      <c r="E79" s="26" t="s">
        <v>44</v>
      </c>
      <c r="F79" s="26" t="s">
        <v>56</v>
      </c>
      <c r="G79" s="75" t="s">
        <v>258</v>
      </c>
      <c r="H79" s="196" t="s">
        <v>252</v>
      </c>
      <c r="I79" s="29" t="s">
        <v>53</v>
      </c>
      <c r="J79" s="29" t="s">
        <v>251</v>
      </c>
      <c r="K79" s="119">
        <v>44344</v>
      </c>
      <c r="L79" s="34">
        <v>3</v>
      </c>
      <c r="M79" s="119" t="s">
        <v>12</v>
      </c>
      <c r="N79" s="235" t="s">
        <v>1</v>
      </c>
    </row>
    <row r="80" spans="2:14" ht="18" hidden="1" customHeight="1" x14ac:dyDescent="0.25">
      <c r="B80" s="234">
        <f t="shared" ca="1" si="1"/>
        <v>70</v>
      </c>
      <c r="C80" s="83">
        <v>44348</v>
      </c>
      <c r="D80" s="118" t="s">
        <v>53</v>
      </c>
      <c r="E80" s="26" t="s">
        <v>262</v>
      </c>
      <c r="F80" s="26" t="s">
        <v>50</v>
      </c>
      <c r="G80" s="75" t="s">
        <v>263</v>
      </c>
      <c r="H80" s="196" t="s">
        <v>264</v>
      </c>
      <c r="I80" s="29" t="s">
        <v>53</v>
      </c>
      <c r="J80" s="29" t="s">
        <v>130</v>
      </c>
      <c r="K80" s="119">
        <v>44349</v>
      </c>
      <c r="L80" s="34">
        <v>3</v>
      </c>
      <c r="M80" s="119" t="s">
        <v>12</v>
      </c>
      <c r="N80" s="235" t="s">
        <v>1</v>
      </c>
    </row>
    <row r="81" spans="1:14" ht="18.75" hidden="1" x14ac:dyDescent="0.25">
      <c r="B81" s="234">
        <f t="shared" ca="1" si="1"/>
        <v>71</v>
      </c>
      <c r="C81" s="83">
        <v>44354</v>
      </c>
      <c r="D81" s="118" t="s">
        <v>37</v>
      </c>
      <c r="E81" s="26" t="s">
        <v>44</v>
      </c>
      <c r="F81" s="26" t="s">
        <v>265</v>
      </c>
      <c r="G81" s="29" t="s">
        <v>266</v>
      </c>
      <c r="H81" s="29" t="s">
        <v>267</v>
      </c>
      <c r="I81" s="29" t="s">
        <v>37</v>
      </c>
      <c r="J81" s="29" t="s">
        <v>268</v>
      </c>
      <c r="K81" s="119">
        <v>44355</v>
      </c>
      <c r="L81" s="34">
        <v>3</v>
      </c>
      <c r="M81" s="119" t="s">
        <v>12</v>
      </c>
      <c r="N81" s="235" t="s">
        <v>1</v>
      </c>
    </row>
    <row r="82" spans="1:14" ht="18.75" hidden="1" x14ac:dyDescent="0.25">
      <c r="B82" s="234">
        <f t="shared" ca="1" si="1"/>
        <v>72</v>
      </c>
      <c r="C82" s="83">
        <v>44354</v>
      </c>
      <c r="D82" s="118" t="s">
        <v>37</v>
      </c>
      <c r="E82" s="26" t="s">
        <v>64</v>
      </c>
      <c r="F82" s="26" t="s">
        <v>66</v>
      </c>
      <c r="G82" s="29" t="s">
        <v>269</v>
      </c>
      <c r="H82" s="29" t="s">
        <v>270</v>
      </c>
      <c r="I82" s="29" t="s">
        <v>37</v>
      </c>
      <c r="J82" s="29" t="s">
        <v>271</v>
      </c>
      <c r="K82" s="119">
        <v>44355</v>
      </c>
      <c r="L82" s="34">
        <v>3</v>
      </c>
      <c r="M82" s="119" t="s">
        <v>12</v>
      </c>
      <c r="N82" s="235" t="s">
        <v>1</v>
      </c>
    </row>
    <row r="83" spans="1:14" ht="18.75" hidden="1" x14ac:dyDescent="0.25">
      <c r="B83" s="234">
        <f t="shared" ca="1" si="1"/>
        <v>73</v>
      </c>
      <c r="C83" s="83">
        <v>44354</v>
      </c>
      <c r="D83" s="118" t="s">
        <v>37</v>
      </c>
      <c r="E83" s="26" t="s">
        <v>149</v>
      </c>
      <c r="F83" s="26" t="s">
        <v>64</v>
      </c>
      <c r="G83" s="29" t="s">
        <v>272</v>
      </c>
      <c r="H83" s="29" t="s">
        <v>272</v>
      </c>
      <c r="I83" s="29" t="s">
        <v>37</v>
      </c>
      <c r="J83" s="29" t="s">
        <v>273</v>
      </c>
      <c r="K83" s="119">
        <v>44355</v>
      </c>
      <c r="L83" s="34">
        <v>3</v>
      </c>
      <c r="M83" s="119" t="s">
        <v>12</v>
      </c>
      <c r="N83" s="235" t="s">
        <v>1</v>
      </c>
    </row>
    <row r="84" spans="1:14" ht="75" hidden="1" x14ac:dyDescent="0.25">
      <c r="A84" s="25"/>
      <c r="B84" s="234">
        <f t="shared" ca="1" si="1"/>
        <v>74</v>
      </c>
      <c r="C84" s="83">
        <v>44336</v>
      </c>
      <c r="D84" s="118" t="s">
        <v>37</v>
      </c>
      <c r="E84" s="26" t="s">
        <v>64</v>
      </c>
      <c r="F84" s="26" t="s">
        <v>66</v>
      </c>
      <c r="G84" s="29" t="s">
        <v>274</v>
      </c>
      <c r="H84" s="54" t="s">
        <v>340</v>
      </c>
      <c r="I84" s="29" t="s">
        <v>37</v>
      </c>
      <c r="J84" s="29" t="s">
        <v>275</v>
      </c>
      <c r="K84" s="119"/>
      <c r="L84" s="34">
        <v>3</v>
      </c>
      <c r="M84" s="119" t="s">
        <v>12</v>
      </c>
      <c r="N84" s="235" t="s">
        <v>1</v>
      </c>
    </row>
    <row r="85" spans="1:14" ht="37.5" hidden="1" x14ac:dyDescent="0.25">
      <c r="B85" s="234">
        <f t="shared" ca="1" si="1"/>
        <v>75</v>
      </c>
      <c r="C85" s="83">
        <v>44355</v>
      </c>
      <c r="D85" s="118" t="s">
        <v>37</v>
      </c>
      <c r="E85" s="26" t="s">
        <v>64</v>
      </c>
      <c r="F85" s="26" t="s">
        <v>146</v>
      </c>
      <c r="G85" s="29" t="s">
        <v>276</v>
      </c>
      <c r="H85" s="29" t="s">
        <v>341</v>
      </c>
      <c r="I85" s="29" t="s">
        <v>37</v>
      </c>
      <c r="J85" s="29" t="s">
        <v>104</v>
      </c>
      <c r="K85" s="119"/>
      <c r="L85" s="34">
        <v>3</v>
      </c>
      <c r="M85" s="119" t="s">
        <v>12</v>
      </c>
      <c r="N85" s="235" t="s">
        <v>1</v>
      </c>
    </row>
    <row r="86" spans="1:14" ht="37.5" hidden="1" x14ac:dyDescent="0.25">
      <c r="B86" s="234">
        <f t="shared" ca="1" si="1"/>
        <v>76</v>
      </c>
      <c r="C86" s="83">
        <v>44354</v>
      </c>
      <c r="D86" s="118" t="s">
        <v>43</v>
      </c>
      <c r="E86" s="26" t="s">
        <v>44</v>
      </c>
      <c r="F86" s="26" t="s">
        <v>45</v>
      </c>
      <c r="G86" s="29" t="s">
        <v>277</v>
      </c>
      <c r="H86" s="29" t="s">
        <v>278</v>
      </c>
      <c r="I86" s="29" t="s">
        <v>43</v>
      </c>
      <c r="J86" s="29" t="s">
        <v>279</v>
      </c>
      <c r="K86" s="119">
        <v>44355</v>
      </c>
      <c r="L86" s="34">
        <v>3</v>
      </c>
      <c r="M86" s="119" t="s">
        <v>12</v>
      </c>
      <c r="N86" s="235" t="s">
        <v>1</v>
      </c>
    </row>
    <row r="87" spans="1:14" ht="37.5" hidden="1" x14ac:dyDescent="0.25">
      <c r="B87" s="234">
        <f t="shared" ca="1" si="1"/>
        <v>77</v>
      </c>
      <c r="C87" s="83">
        <v>44356</v>
      </c>
      <c r="D87" s="118" t="s">
        <v>43</v>
      </c>
      <c r="E87" s="26" t="s">
        <v>64</v>
      </c>
      <c r="F87" s="26" t="s">
        <v>45</v>
      </c>
      <c r="G87" s="29" t="s">
        <v>283</v>
      </c>
      <c r="H87" s="54" t="s">
        <v>285</v>
      </c>
      <c r="I87" s="29" t="s">
        <v>43</v>
      </c>
      <c r="J87" s="29" t="s">
        <v>284</v>
      </c>
      <c r="K87" s="119">
        <v>44356</v>
      </c>
      <c r="L87" s="34">
        <v>3</v>
      </c>
      <c r="M87" s="119" t="s">
        <v>12</v>
      </c>
      <c r="N87" s="235" t="s">
        <v>1</v>
      </c>
    </row>
    <row r="88" spans="1:14" ht="18" hidden="1" customHeight="1" x14ac:dyDescent="0.25">
      <c r="B88" s="234">
        <f t="shared" ca="1" si="1"/>
        <v>78</v>
      </c>
      <c r="C88" s="83">
        <v>44356</v>
      </c>
      <c r="D88" s="118" t="s">
        <v>53</v>
      </c>
      <c r="E88" s="26" t="s">
        <v>44</v>
      </c>
      <c r="F88" s="26" t="s">
        <v>56</v>
      </c>
      <c r="G88" s="75" t="s">
        <v>289</v>
      </c>
      <c r="H88" s="196" t="s">
        <v>291</v>
      </c>
      <c r="I88" s="29" t="s">
        <v>53</v>
      </c>
      <c r="J88" s="29" t="s">
        <v>290</v>
      </c>
      <c r="K88" s="119">
        <v>44357</v>
      </c>
      <c r="L88" s="34">
        <v>3</v>
      </c>
      <c r="M88" s="119" t="s">
        <v>12</v>
      </c>
      <c r="N88" s="235" t="s">
        <v>1</v>
      </c>
    </row>
    <row r="89" spans="1:14" ht="93.75" hidden="1" x14ac:dyDescent="0.25">
      <c r="B89" s="234">
        <f t="shared" ca="1" si="1"/>
        <v>79</v>
      </c>
      <c r="C89" s="83">
        <v>44363</v>
      </c>
      <c r="D89" s="118" t="s">
        <v>7</v>
      </c>
      <c r="E89" s="26" t="s">
        <v>65</v>
      </c>
      <c r="F89" s="26" t="s">
        <v>66</v>
      </c>
      <c r="G89" s="29" t="s">
        <v>293</v>
      </c>
      <c r="H89" s="54" t="s">
        <v>292</v>
      </c>
      <c r="I89" s="29" t="s">
        <v>7</v>
      </c>
      <c r="J89" s="29" t="s">
        <v>294</v>
      </c>
      <c r="K89" s="119">
        <v>44363</v>
      </c>
      <c r="L89" s="34">
        <v>3</v>
      </c>
      <c r="M89" s="119" t="s">
        <v>12</v>
      </c>
      <c r="N89" s="235" t="s">
        <v>1</v>
      </c>
    </row>
    <row r="90" spans="1:14" ht="37.5" hidden="1" x14ac:dyDescent="0.25">
      <c r="B90" s="234">
        <f t="shared" ca="1" si="1"/>
        <v>80</v>
      </c>
      <c r="C90" s="83">
        <v>44363</v>
      </c>
      <c r="D90" s="118" t="s">
        <v>7</v>
      </c>
      <c r="E90" s="26" t="s">
        <v>64</v>
      </c>
      <c r="F90" s="26" t="s">
        <v>64</v>
      </c>
      <c r="G90" s="29" t="s">
        <v>170</v>
      </c>
      <c r="H90" s="54" t="s">
        <v>295</v>
      </c>
      <c r="I90" s="29" t="s">
        <v>7</v>
      </c>
      <c r="J90" s="29" t="s">
        <v>296</v>
      </c>
      <c r="K90" s="119">
        <v>44363</v>
      </c>
      <c r="L90" s="34">
        <v>3</v>
      </c>
      <c r="M90" s="119" t="s">
        <v>125</v>
      </c>
      <c r="N90" s="235" t="s">
        <v>1</v>
      </c>
    </row>
    <row r="91" spans="1:14" ht="56.25" hidden="1" x14ac:dyDescent="0.25">
      <c r="A91"/>
      <c r="B91" s="234">
        <f t="shared" ca="1" si="1"/>
        <v>81</v>
      </c>
      <c r="C91" s="83">
        <v>44363</v>
      </c>
      <c r="D91" s="118" t="s">
        <v>7</v>
      </c>
      <c r="E91" s="26" t="s">
        <v>65</v>
      </c>
      <c r="F91" s="26" t="s">
        <v>170</v>
      </c>
      <c r="G91" s="29" t="s">
        <v>206</v>
      </c>
      <c r="H91" s="54" t="s">
        <v>297</v>
      </c>
      <c r="I91" s="29" t="s">
        <v>7</v>
      </c>
      <c r="J91" s="29" t="s">
        <v>153</v>
      </c>
      <c r="K91" s="119">
        <v>44363</v>
      </c>
      <c r="L91" s="34">
        <v>3</v>
      </c>
      <c r="M91" s="119" t="s">
        <v>125</v>
      </c>
      <c r="N91" s="235" t="s">
        <v>1</v>
      </c>
    </row>
    <row r="92" spans="1:14" ht="18.75" hidden="1" x14ac:dyDescent="0.25">
      <c r="B92" s="234">
        <f t="shared" ca="1" si="1"/>
        <v>82</v>
      </c>
      <c r="C92" s="83">
        <v>44363</v>
      </c>
      <c r="D92" s="118" t="s">
        <v>7</v>
      </c>
      <c r="E92" s="26" t="s">
        <v>80</v>
      </c>
      <c r="F92" s="26" t="s">
        <v>66</v>
      </c>
      <c r="G92" s="29" t="s">
        <v>298</v>
      </c>
      <c r="H92" s="54" t="s">
        <v>299</v>
      </c>
      <c r="I92" s="29" t="s">
        <v>7</v>
      </c>
      <c r="J92" s="29" t="s">
        <v>98</v>
      </c>
      <c r="K92" s="119">
        <v>44366</v>
      </c>
      <c r="L92" s="34">
        <v>3</v>
      </c>
      <c r="M92" s="119" t="s">
        <v>12</v>
      </c>
      <c r="N92" s="235" t="s">
        <v>1</v>
      </c>
    </row>
    <row r="93" spans="1:14" ht="18.75" hidden="1" x14ac:dyDescent="0.25">
      <c r="B93" s="234">
        <f t="shared" ca="1" si="1"/>
        <v>83</v>
      </c>
      <c r="C93" s="83">
        <v>44363</v>
      </c>
      <c r="D93" s="118" t="s">
        <v>43</v>
      </c>
      <c r="E93" s="26" t="s">
        <v>64</v>
      </c>
      <c r="F93" s="26" t="s">
        <v>45</v>
      </c>
      <c r="G93" s="29" t="s">
        <v>301</v>
      </c>
      <c r="H93" s="54" t="s">
        <v>302</v>
      </c>
      <c r="I93" s="29" t="s">
        <v>43</v>
      </c>
      <c r="J93" s="29" t="s">
        <v>73</v>
      </c>
      <c r="K93" s="119">
        <v>44369</v>
      </c>
      <c r="L93" s="34">
        <v>3</v>
      </c>
      <c r="M93" s="119" t="s">
        <v>12</v>
      </c>
      <c r="N93" s="235" t="s">
        <v>1</v>
      </c>
    </row>
    <row r="94" spans="1:14" ht="37.5" hidden="1" x14ac:dyDescent="0.25">
      <c r="B94" s="234">
        <f t="shared" ca="1" si="1"/>
        <v>84</v>
      </c>
      <c r="C94" s="83">
        <v>44357</v>
      </c>
      <c r="D94" s="118" t="s">
        <v>43</v>
      </c>
      <c r="E94" s="26" t="s">
        <v>44</v>
      </c>
      <c r="F94" s="26" t="s">
        <v>45</v>
      </c>
      <c r="G94" s="29" t="s">
        <v>277</v>
      </c>
      <c r="H94" s="29" t="s">
        <v>303</v>
      </c>
      <c r="I94" s="29" t="s">
        <v>43</v>
      </c>
      <c r="J94" s="29" t="s">
        <v>279</v>
      </c>
      <c r="K94" s="119">
        <v>44376</v>
      </c>
      <c r="L94" s="34">
        <v>3</v>
      </c>
      <c r="M94" s="119" t="s">
        <v>12</v>
      </c>
      <c r="N94" s="235" t="s">
        <v>1</v>
      </c>
    </row>
    <row r="95" spans="1:14" ht="18" hidden="1" customHeight="1" x14ac:dyDescent="0.25">
      <c r="B95" s="234">
        <f t="shared" ca="1" si="1"/>
        <v>85</v>
      </c>
      <c r="C95" s="83">
        <v>44370</v>
      </c>
      <c r="D95" s="118" t="s">
        <v>53</v>
      </c>
      <c r="E95" s="26" t="s">
        <v>38</v>
      </c>
      <c r="F95" s="26" t="s">
        <v>50</v>
      </c>
      <c r="G95" s="75" t="s">
        <v>307</v>
      </c>
      <c r="H95" s="196" t="s">
        <v>308</v>
      </c>
      <c r="I95" s="29" t="s">
        <v>53</v>
      </c>
      <c r="J95" s="29" t="s">
        <v>309</v>
      </c>
      <c r="K95" s="119">
        <v>44371</v>
      </c>
      <c r="L95" s="34">
        <v>3</v>
      </c>
      <c r="M95" s="119" t="s">
        <v>12</v>
      </c>
      <c r="N95" s="235" t="s">
        <v>1</v>
      </c>
    </row>
    <row r="96" spans="1:14" ht="18" hidden="1" customHeight="1" x14ac:dyDescent="0.25">
      <c r="B96" s="234">
        <f t="shared" ca="1" si="1"/>
        <v>86</v>
      </c>
      <c r="C96" s="83">
        <v>44370</v>
      </c>
      <c r="D96" s="118" t="s">
        <v>254</v>
      </c>
      <c r="E96" s="26" t="s">
        <v>44</v>
      </c>
      <c r="F96" s="26" t="s">
        <v>141</v>
      </c>
      <c r="G96" s="75" t="s">
        <v>311</v>
      </c>
      <c r="H96" s="196" t="s">
        <v>312</v>
      </c>
      <c r="I96" s="29" t="s">
        <v>53</v>
      </c>
      <c r="J96" s="29" t="s">
        <v>256</v>
      </c>
      <c r="K96" s="119">
        <v>44377</v>
      </c>
      <c r="L96" s="34">
        <v>3</v>
      </c>
      <c r="M96" s="119" t="s">
        <v>12</v>
      </c>
      <c r="N96" s="235" t="s">
        <v>1</v>
      </c>
    </row>
    <row r="97" spans="2:14" ht="18.75" hidden="1" x14ac:dyDescent="0.25">
      <c r="B97" s="234">
        <f t="shared" ca="1" si="1"/>
        <v>87</v>
      </c>
      <c r="C97" s="83">
        <v>44375</v>
      </c>
      <c r="D97" s="118" t="s">
        <v>37</v>
      </c>
      <c r="E97" s="26" t="s">
        <v>149</v>
      </c>
      <c r="F97" s="26" t="s">
        <v>64</v>
      </c>
      <c r="G97" s="29" t="s">
        <v>315</v>
      </c>
      <c r="H97" s="29" t="s">
        <v>316</v>
      </c>
      <c r="I97" s="29" t="s">
        <v>37</v>
      </c>
      <c r="J97" s="29" t="s">
        <v>273</v>
      </c>
      <c r="K97" s="119">
        <v>44375</v>
      </c>
      <c r="L97" s="34">
        <v>3</v>
      </c>
      <c r="M97" s="119" t="s">
        <v>12</v>
      </c>
      <c r="N97" s="235" t="s">
        <v>1</v>
      </c>
    </row>
    <row r="98" spans="2:14" ht="18.75" hidden="1" x14ac:dyDescent="0.25">
      <c r="B98" s="234">
        <f t="shared" ca="1" si="1"/>
        <v>88</v>
      </c>
      <c r="C98" s="83">
        <v>44375</v>
      </c>
      <c r="D98" s="118" t="s">
        <v>37</v>
      </c>
      <c r="E98" s="26" t="s">
        <v>64</v>
      </c>
      <c r="F98" s="26" t="s">
        <v>39</v>
      </c>
      <c r="G98" s="29" t="s">
        <v>318</v>
      </c>
      <c r="H98" s="29" t="s">
        <v>318</v>
      </c>
      <c r="I98" s="29" t="s">
        <v>37</v>
      </c>
      <c r="J98" s="29" t="s">
        <v>317</v>
      </c>
      <c r="K98" s="119">
        <v>44375</v>
      </c>
      <c r="L98" s="34">
        <v>3</v>
      </c>
      <c r="M98" s="119" t="s">
        <v>12</v>
      </c>
      <c r="N98" s="235" t="s">
        <v>1</v>
      </c>
    </row>
    <row r="99" spans="2:14" ht="18" hidden="1" customHeight="1" x14ac:dyDescent="0.25">
      <c r="B99" s="234">
        <f t="shared" ca="1" si="1"/>
        <v>89</v>
      </c>
      <c r="C99" s="83">
        <v>44372</v>
      </c>
      <c r="D99" s="118" t="s">
        <v>53</v>
      </c>
      <c r="E99" s="26" t="s">
        <v>38</v>
      </c>
      <c r="F99" s="26" t="s">
        <v>50</v>
      </c>
      <c r="G99" s="75" t="s">
        <v>319</v>
      </c>
      <c r="H99" s="196" t="s">
        <v>323</v>
      </c>
      <c r="I99" s="29" t="s">
        <v>133</v>
      </c>
      <c r="J99" s="29" t="s">
        <v>133</v>
      </c>
      <c r="K99" s="119">
        <v>44378</v>
      </c>
      <c r="L99" s="34">
        <v>3</v>
      </c>
      <c r="M99" s="119" t="s">
        <v>12</v>
      </c>
      <c r="N99" s="235" t="s">
        <v>1</v>
      </c>
    </row>
    <row r="100" spans="2:14" ht="18" hidden="1" customHeight="1" x14ac:dyDescent="0.25">
      <c r="B100" s="234">
        <f t="shared" ca="1" si="1"/>
        <v>90</v>
      </c>
      <c r="C100" s="83">
        <v>44375</v>
      </c>
      <c r="D100" s="118" t="s">
        <v>53</v>
      </c>
      <c r="E100" s="26" t="s">
        <v>38</v>
      </c>
      <c r="F100" s="26" t="s">
        <v>50</v>
      </c>
      <c r="G100" s="75" t="s">
        <v>320</v>
      </c>
      <c r="H100" s="196" t="s">
        <v>321</v>
      </c>
      <c r="I100" s="29" t="s">
        <v>130</v>
      </c>
      <c r="J100" s="29" t="s">
        <v>53</v>
      </c>
      <c r="K100" s="119">
        <v>44375</v>
      </c>
      <c r="L100" s="34">
        <v>3</v>
      </c>
      <c r="M100" s="119" t="s">
        <v>12</v>
      </c>
      <c r="N100" s="235" t="s">
        <v>1</v>
      </c>
    </row>
    <row r="101" spans="2:14" ht="18.75" hidden="1" x14ac:dyDescent="0.25">
      <c r="B101" s="234">
        <f t="shared" ca="1" si="1"/>
        <v>91</v>
      </c>
      <c r="C101" s="83">
        <v>44376</v>
      </c>
      <c r="D101" s="118" t="s">
        <v>37</v>
      </c>
      <c r="E101" s="26" t="s">
        <v>149</v>
      </c>
      <c r="F101" s="26" t="s">
        <v>64</v>
      </c>
      <c r="G101" s="29" t="s">
        <v>315</v>
      </c>
      <c r="H101" s="54" t="s">
        <v>316</v>
      </c>
      <c r="I101" s="29" t="s">
        <v>37</v>
      </c>
      <c r="J101" s="29" t="s">
        <v>322</v>
      </c>
      <c r="K101" s="119">
        <v>44376</v>
      </c>
      <c r="L101" s="34">
        <v>3</v>
      </c>
      <c r="M101" s="119" t="s">
        <v>12</v>
      </c>
      <c r="N101" s="235" t="s">
        <v>1</v>
      </c>
    </row>
    <row r="102" spans="2:14" ht="18" hidden="1" customHeight="1" x14ac:dyDescent="0.25">
      <c r="B102" s="234">
        <f t="shared" ca="1" si="1"/>
        <v>92</v>
      </c>
      <c r="C102" s="83">
        <v>44384</v>
      </c>
      <c r="D102" s="118" t="s">
        <v>53</v>
      </c>
      <c r="E102" s="26" t="s">
        <v>44</v>
      </c>
      <c r="F102" s="26" t="s">
        <v>56</v>
      </c>
      <c r="G102" s="75" t="s">
        <v>327</v>
      </c>
      <c r="H102" s="196" t="s">
        <v>328</v>
      </c>
      <c r="I102" s="29" t="s">
        <v>53</v>
      </c>
      <c r="J102" s="29" t="s">
        <v>177</v>
      </c>
      <c r="K102" s="119">
        <v>44384</v>
      </c>
      <c r="L102" s="34">
        <v>3</v>
      </c>
      <c r="M102" s="119" t="s">
        <v>12</v>
      </c>
      <c r="N102" s="235" t="s">
        <v>1</v>
      </c>
    </row>
    <row r="103" spans="2:14" ht="18" hidden="1" customHeight="1" x14ac:dyDescent="0.25">
      <c r="B103" s="234">
        <f t="shared" ca="1" si="1"/>
        <v>93</v>
      </c>
      <c r="C103" s="83">
        <v>44384</v>
      </c>
      <c r="D103" s="118" t="s">
        <v>53</v>
      </c>
      <c r="E103" s="26" t="s">
        <v>38</v>
      </c>
      <c r="F103" s="26" t="s">
        <v>50</v>
      </c>
      <c r="G103" s="75" t="s">
        <v>329</v>
      </c>
      <c r="H103" s="196" t="s">
        <v>330</v>
      </c>
      <c r="I103" s="29" t="s">
        <v>53</v>
      </c>
      <c r="J103" s="29" t="s">
        <v>215</v>
      </c>
      <c r="K103" s="119">
        <v>44385</v>
      </c>
      <c r="L103" s="34">
        <v>3</v>
      </c>
      <c r="M103" s="119" t="s">
        <v>12</v>
      </c>
      <c r="N103" s="235" t="s">
        <v>1</v>
      </c>
    </row>
    <row r="104" spans="2:14" ht="18" hidden="1" customHeight="1" x14ac:dyDescent="0.25">
      <c r="B104" s="234">
        <f t="shared" ca="1" si="1"/>
        <v>94</v>
      </c>
      <c r="C104" s="83">
        <v>44383</v>
      </c>
      <c r="D104" s="118" t="s">
        <v>254</v>
      </c>
      <c r="E104" s="26" t="s">
        <v>44</v>
      </c>
      <c r="F104" s="26" t="s">
        <v>141</v>
      </c>
      <c r="G104" s="75" t="s">
        <v>331</v>
      </c>
      <c r="H104" s="196" t="s">
        <v>332</v>
      </c>
      <c r="I104" s="29" t="s">
        <v>256</v>
      </c>
      <c r="J104" s="29" t="s">
        <v>53</v>
      </c>
      <c r="K104" s="119">
        <v>44392</v>
      </c>
      <c r="L104" s="34">
        <v>3</v>
      </c>
      <c r="M104" s="119" t="s">
        <v>12</v>
      </c>
      <c r="N104" s="235" t="s">
        <v>1</v>
      </c>
    </row>
    <row r="105" spans="2:14" ht="18" hidden="1" customHeight="1" x14ac:dyDescent="0.25">
      <c r="B105" s="234">
        <f t="shared" ca="1" si="1"/>
        <v>95</v>
      </c>
      <c r="C105" s="83">
        <v>44389</v>
      </c>
      <c r="D105" s="118" t="s">
        <v>53</v>
      </c>
      <c r="E105" s="26" t="s">
        <v>38</v>
      </c>
      <c r="F105" s="26" t="s">
        <v>50</v>
      </c>
      <c r="G105" s="75" t="s">
        <v>333</v>
      </c>
      <c r="H105" s="196" t="s">
        <v>334</v>
      </c>
      <c r="I105" s="29" t="s">
        <v>53</v>
      </c>
      <c r="J105" s="29" t="s">
        <v>135</v>
      </c>
      <c r="K105" s="119">
        <v>44390</v>
      </c>
      <c r="L105" s="34">
        <v>3</v>
      </c>
      <c r="M105" s="119" t="s">
        <v>12</v>
      </c>
      <c r="N105" s="235" t="s">
        <v>1</v>
      </c>
    </row>
    <row r="106" spans="2:14" ht="18" hidden="1" customHeight="1" x14ac:dyDescent="0.25">
      <c r="B106" s="234">
        <f t="shared" ca="1" si="1"/>
        <v>96</v>
      </c>
      <c r="C106" s="83">
        <v>44397</v>
      </c>
      <c r="D106" s="118" t="s">
        <v>335</v>
      </c>
      <c r="E106" s="26" t="s">
        <v>38</v>
      </c>
      <c r="F106" s="26" t="s">
        <v>50</v>
      </c>
      <c r="G106" s="75" t="s">
        <v>336</v>
      </c>
      <c r="H106" s="196" t="s">
        <v>339</v>
      </c>
      <c r="I106" s="29" t="s">
        <v>338</v>
      </c>
      <c r="J106" s="29" t="s">
        <v>337</v>
      </c>
      <c r="K106" s="119">
        <v>44405</v>
      </c>
      <c r="L106" s="34">
        <v>3</v>
      </c>
      <c r="M106" s="119" t="s">
        <v>12</v>
      </c>
      <c r="N106" s="235" t="s">
        <v>1</v>
      </c>
    </row>
    <row r="107" spans="2:14" ht="37.5" hidden="1" x14ac:dyDescent="0.25">
      <c r="B107" s="234">
        <f t="shared" ca="1" si="1"/>
        <v>97</v>
      </c>
      <c r="C107" s="83">
        <v>44405</v>
      </c>
      <c r="D107" s="118" t="s">
        <v>37</v>
      </c>
      <c r="E107" s="26" t="s">
        <v>64</v>
      </c>
      <c r="F107" s="26" t="s">
        <v>66</v>
      </c>
      <c r="G107" s="29" t="s">
        <v>342</v>
      </c>
      <c r="H107" s="54" t="s">
        <v>343</v>
      </c>
      <c r="I107" s="29" t="s">
        <v>37</v>
      </c>
      <c r="J107" s="29" t="s">
        <v>275</v>
      </c>
      <c r="K107" s="119">
        <v>44414</v>
      </c>
      <c r="L107" s="34">
        <v>2</v>
      </c>
      <c r="M107" s="119" t="s">
        <v>12</v>
      </c>
      <c r="N107" s="235" t="s">
        <v>1</v>
      </c>
    </row>
    <row r="108" spans="2:14" ht="18.75" hidden="1" x14ac:dyDescent="0.25">
      <c r="B108" s="234">
        <f t="shared" ca="1" si="1"/>
        <v>98</v>
      </c>
      <c r="C108" s="83">
        <v>44391</v>
      </c>
      <c r="D108" s="118" t="s">
        <v>37</v>
      </c>
      <c r="E108" s="26" t="s">
        <v>80</v>
      </c>
      <c r="F108" s="26" t="s">
        <v>66</v>
      </c>
      <c r="G108" s="29" t="s">
        <v>344</v>
      </c>
      <c r="H108" s="54" t="s">
        <v>345</v>
      </c>
      <c r="I108" s="29" t="s">
        <v>37</v>
      </c>
      <c r="J108" s="29" t="s">
        <v>346</v>
      </c>
      <c r="K108" s="119">
        <v>44392</v>
      </c>
      <c r="L108" s="34">
        <v>3</v>
      </c>
      <c r="M108" s="119" t="s">
        <v>12</v>
      </c>
      <c r="N108" s="235" t="s">
        <v>1</v>
      </c>
    </row>
    <row r="109" spans="2:14" ht="18.75" hidden="1" x14ac:dyDescent="0.25">
      <c r="B109" s="234">
        <f t="shared" ca="1" si="1"/>
        <v>99</v>
      </c>
      <c r="C109" s="83">
        <v>44396</v>
      </c>
      <c r="D109" s="118" t="s">
        <v>37</v>
      </c>
      <c r="E109" s="26" t="s">
        <v>64</v>
      </c>
      <c r="F109" s="26" t="s">
        <v>347</v>
      </c>
      <c r="G109" s="29" t="s">
        <v>348</v>
      </c>
      <c r="H109" s="54" t="s">
        <v>349</v>
      </c>
      <c r="I109" s="29" t="s">
        <v>37</v>
      </c>
      <c r="J109" s="29" t="s">
        <v>350</v>
      </c>
      <c r="K109" s="119">
        <v>44396</v>
      </c>
      <c r="L109" s="34">
        <v>1</v>
      </c>
      <c r="M109" s="119" t="s">
        <v>12</v>
      </c>
      <c r="N109" s="235" t="s">
        <v>1</v>
      </c>
    </row>
    <row r="110" spans="2:14" ht="18.75" hidden="1" x14ac:dyDescent="0.25">
      <c r="B110" s="234">
        <f t="shared" ca="1" si="1"/>
        <v>100</v>
      </c>
      <c r="C110" s="83">
        <v>44397</v>
      </c>
      <c r="D110" s="118" t="s">
        <v>37</v>
      </c>
      <c r="E110" s="26" t="s">
        <v>64</v>
      </c>
      <c r="F110" s="26" t="s">
        <v>45</v>
      </c>
      <c r="G110" s="29" t="s">
        <v>351</v>
      </c>
      <c r="H110" s="54" t="s">
        <v>352</v>
      </c>
      <c r="I110" s="29" t="s">
        <v>37</v>
      </c>
      <c r="J110" s="29" t="s">
        <v>353</v>
      </c>
      <c r="K110" s="119">
        <v>44407</v>
      </c>
      <c r="L110" s="34">
        <v>3</v>
      </c>
      <c r="M110" s="119" t="s">
        <v>12</v>
      </c>
      <c r="N110" s="235" t="s">
        <v>1</v>
      </c>
    </row>
    <row r="111" spans="2:14" ht="18.75" hidden="1" x14ac:dyDescent="0.25">
      <c r="B111" s="234">
        <f t="shared" ca="1" si="1"/>
        <v>101</v>
      </c>
      <c r="C111" s="83">
        <v>44397</v>
      </c>
      <c r="D111" s="118" t="s">
        <v>37</v>
      </c>
      <c r="E111" s="26" t="s">
        <v>64</v>
      </c>
      <c r="F111" s="26" t="s">
        <v>45</v>
      </c>
      <c r="G111" s="29" t="s">
        <v>354</v>
      </c>
      <c r="H111" s="54" t="s">
        <v>355</v>
      </c>
      <c r="I111" s="29" t="s">
        <v>37</v>
      </c>
      <c r="J111" s="29" t="s">
        <v>37</v>
      </c>
      <c r="K111" s="119">
        <v>44400</v>
      </c>
      <c r="L111" s="34">
        <v>3</v>
      </c>
      <c r="M111" s="119" t="s">
        <v>12</v>
      </c>
      <c r="N111" s="235" t="s">
        <v>1</v>
      </c>
    </row>
    <row r="112" spans="2:14" ht="18.75" hidden="1" x14ac:dyDescent="0.25">
      <c r="B112" s="234">
        <f t="shared" ca="1" si="1"/>
        <v>102</v>
      </c>
      <c r="C112" s="83">
        <v>44400</v>
      </c>
      <c r="D112" s="118" t="s">
        <v>37</v>
      </c>
      <c r="E112" s="26" t="s">
        <v>64</v>
      </c>
      <c r="F112" s="26" t="s">
        <v>45</v>
      </c>
      <c r="G112" s="29" t="s">
        <v>356</v>
      </c>
      <c r="H112" s="54" t="s">
        <v>357</v>
      </c>
      <c r="I112" s="29" t="s">
        <v>37</v>
      </c>
      <c r="J112" s="29" t="s">
        <v>37</v>
      </c>
      <c r="K112" s="119">
        <v>44400</v>
      </c>
      <c r="L112" s="34">
        <v>2</v>
      </c>
      <c r="M112" s="119" t="s">
        <v>12</v>
      </c>
      <c r="N112" s="235" t="s">
        <v>1</v>
      </c>
    </row>
    <row r="113" spans="2:15" ht="18" hidden="1" customHeight="1" x14ac:dyDescent="0.25">
      <c r="B113" s="234">
        <f t="shared" ca="1" si="1"/>
        <v>103</v>
      </c>
      <c r="C113" s="83">
        <v>44417</v>
      </c>
      <c r="D113" s="118" t="s">
        <v>53</v>
      </c>
      <c r="E113" s="26" t="s">
        <v>38</v>
      </c>
      <c r="F113" s="26" t="s">
        <v>50</v>
      </c>
      <c r="G113" s="29" t="s">
        <v>358</v>
      </c>
      <c r="H113" s="54" t="s">
        <v>359</v>
      </c>
      <c r="I113" s="29" t="s">
        <v>53</v>
      </c>
      <c r="J113" s="29" t="s">
        <v>360</v>
      </c>
      <c r="K113" s="119">
        <v>44418</v>
      </c>
      <c r="L113" s="34">
        <v>3</v>
      </c>
      <c r="M113" s="119" t="s">
        <v>12</v>
      </c>
      <c r="N113" s="235" t="s">
        <v>1</v>
      </c>
    </row>
    <row r="114" spans="2:15" ht="18" hidden="1" customHeight="1" x14ac:dyDescent="0.25">
      <c r="B114" s="234">
        <f t="shared" ca="1" si="1"/>
        <v>104</v>
      </c>
      <c r="C114" s="83">
        <v>44418</v>
      </c>
      <c r="D114" s="118" t="s">
        <v>53</v>
      </c>
      <c r="E114" s="26" t="s">
        <v>38</v>
      </c>
      <c r="F114" s="26" t="s">
        <v>50</v>
      </c>
      <c r="G114" s="29" t="s">
        <v>363</v>
      </c>
      <c r="H114" s="54" t="s">
        <v>364</v>
      </c>
      <c r="I114" s="29" t="s">
        <v>53</v>
      </c>
      <c r="J114" s="29" t="s">
        <v>135</v>
      </c>
      <c r="K114" s="119">
        <v>44419</v>
      </c>
      <c r="L114" s="34">
        <v>3</v>
      </c>
      <c r="M114" s="119" t="s">
        <v>12</v>
      </c>
      <c r="N114" s="235" t="s">
        <v>1</v>
      </c>
    </row>
    <row r="115" spans="2:15" ht="18" hidden="1" customHeight="1" x14ac:dyDescent="0.25">
      <c r="B115" s="234">
        <f t="shared" ca="1" si="1"/>
        <v>105</v>
      </c>
      <c r="C115" s="83">
        <v>44424</v>
      </c>
      <c r="D115" s="118" t="s">
        <v>53</v>
      </c>
      <c r="E115" s="26" t="s">
        <v>44</v>
      </c>
      <c r="F115" s="26" t="s">
        <v>56</v>
      </c>
      <c r="G115" s="29" t="s">
        <v>366</v>
      </c>
      <c r="H115" s="54" t="s">
        <v>367</v>
      </c>
      <c r="I115" s="29" t="s">
        <v>53</v>
      </c>
      <c r="J115" s="29" t="s">
        <v>368</v>
      </c>
      <c r="K115" s="119">
        <v>44425</v>
      </c>
      <c r="L115" s="34">
        <v>3</v>
      </c>
      <c r="M115" s="119" t="s">
        <v>12</v>
      </c>
      <c r="N115" s="235" t="s">
        <v>1</v>
      </c>
    </row>
    <row r="116" spans="2:15" ht="18" hidden="1" customHeight="1" x14ac:dyDescent="0.25">
      <c r="B116" s="234">
        <f t="shared" ca="1" si="1"/>
        <v>106</v>
      </c>
      <c r="C116" s="83">
        <v>44426</v>
      </c>
      <c r="D116" s="118" t="s">
        <v>53</v>
      </c>
      <c r="E116" s="26" t="s">
        <v>38</v>
      </c>
      <c r="F116" s="26" t="s">
        <v>50</v>
      </c>
      <c r="G116" s="29" t="s">
        <v>370</v>
      </c>
      <c r="H116" s="54" t="s">
        <v>371</v>
      </c>
      <c r="I116" s="29" t="s">
        <v>53</v>
      </c>
      <c r="J116" s="29" t="s">
        <v>135</v>
      </c>
      <c r="K116" s="119">
        <v>44426</v>
      </c>
      <c r="L116" s="34">
        <v>3</v>
      </c>
      <c r="M116" s="119" t="s">
        <v>12</v>
      </c>
      <c r="N116" s="235" t="s">
        <v>1</v>
      </c>
    </row>
    <row r="117" spans="2:15" ht="18" hidden="1" customHeight="1" x14ac:dyDescent="0.25">
      <c r="B117" s="234">
        <f t="shared" ca="1" si="1"/>
        <v>107</v>
      </c>
      <c r="C117" s="83">
        <v>44426</v>
      </c>
      <c r="D117" s="118" t="s">
        <v>53</v>
      </c>
      <c r="E117" s="26" t="s">
        <v>38</v>
      </c>
      <c r="F117" s="26" t="s">
        <v>50</v>
      </c>
      <c r="G117" s="29" t="s">
        <v>372</v>
      </c>
      <c r="H117" s="54" t="s">
        <v>373</v>
      </c>
      <c r="I117" s="29" t="s">
        <v>53</v>
      </c>
      <c r="J117" s="29" t="s">
        <v>215</v>
      </c>
      <c r="K117" s="119">
        <v>44427</v>
      </c>
      <c r="L117" s="34">
        <v>3</v>
      </c>
      <c r="M117" s="119" t="s">
        <v>12</v>
      </c>
      <c r="N117" s="235" t="s">
        <v>1</v>
      </c>
    </row>
    <row r="118" spans="2:15" ht="18" hidden="1" customHeight="1" x14ac:dyDescent="0.25">
      <c r="B118" s="234">
        <f t="shared" ca="1" si="1"/>
        <v>108</v>
      </c>
      <c r="C118" s="77">
        <v>44427</v>
      </c>
      <c r="D118" s="78" t="s">
        <v>53</v>
      </c>
      <c r="E118" s="76" t="s">
        <v>38</v>
      </c>
      <c r="F118" s="76" t="s">
        <v>50</v>
      </c>
      <c r="G118" s="79" t="s">
        <v>378</v>
      </c>
      <c r="H118" s="198" t="s">
        <v>379</v>
      </c>
      <c r="I118" s="79" t="s">
        <v>53</v>
      </c>
      <c r="J118" s="79" t="s">
        <v>135</v>
      </c>
      <c r="K118" s="82">
        <v>44432</v>
      </c>
      <c r="L118" s="34">
        <v>3</v>
      </c>
      <c r="M118" s="82" t="s">
        <v>12</v>
      </c>
      <c r="N118" s="236" t="s">
        <v>1</v>
      </c>
    </row>
    <row r="119" spans="2:15" ht="18" hidden="1" customHeight="1" x14ac:dyDescent="0.25">
      <c r="B119" s="234">
        <f t="shared" ca="1" si="1"/>
        <v>109</v>
      </c>
      <c r="C119" s="77">
        <v>44428</v>
      </c>
      <c r="D119" s="78" t="s">
        <v>380</v>
      </c>
      <c r="E119" s="76" t="s">
        <v>38</v>
      </c>
      <c r="F119" s="76" t="s">
        <v>50</v>
      </c>
      <c r="G119" s="79" t="s">
        <v>381</v>
      </c>
      <c r="H119" s="198" t="s">
        <v>382</v>
      </c>
      <c r="I119" s="79" t="s">
        <v>380</v>
      </c>
      <c r="J119" s="79" t="s">
        <v>383</v>
      </c>
      <c r="K119" s="82">
        <v>44434</v>
      </c>
      <c r="L119" s="34">
        <v>3</v>
      </c>
      <c r="M119" s="82" t="s">
        <v>12</v>
      </c>
      <c r="N119" s="236" t="s">
        <v>1</v>
      </c>
    </row>
    <row r="120" spans="2:15" ht="18" hidden="1" customHeight="1" x14ac:dyDescent="0.25">
      <c r="B120" s="234">
        <f t="shared" ca="1" si="1"/>
        <v>110</v>
      </c>
      <c r="C120" s="83">
        <v>44432</v>
      </c>
      <c r="D120" s="118" t="s">
        <v>53</v>
      </c>
      <c r="E120" s="26" t="s">
        <v>38</v>
      </c>
      <c r="F120" s="26" t="s">
        <v>50</v>
      </c>
      <c r="G120" s="29" t="s">
        <v>376</v>
      </c>
      <c r="H120" s="54" t="s">
        <v>377</v>
      </c>
      <c r="I120" s="29" t="s">
        <v>53</v>
      </c>
      <c r="J120" s="29" t="s">
        <v>374</v>
      </c>
      <c r="K120" s="119">
        <v>44432</v>
      </c>
      <c r="L120" s="34">
        <v>3</v>
      </c>
      <c r="M120" s="119" t="s">
        <v>12</v>
      </c>
      <c r="N120" s="235" t="s">
        <v>1</v>
      </c>
    </row>
    <row r="121" spans="2:15" ht="18" hidden="1" customHeight="1" x14ac:dyDescent="0.25">
      <c r="B121" s="234">
        <f t="shared" ca="1" si="1"/>
        <v>111</v>
      </c>
      <c r="C121" s="83">
        <v>44432</v>
      </c>
      <c r="D121" s="118" t="s">
        <v>53</v>
      </c>
      <c r="E121" s="26" t="s">
        <v>38</v>
      </c>
      <c r="F121" s="26" t="s">
        <v>50</v>
      </c>
      <c r="G121" s="29" t="s">
        <v>375</v>
      </c>
      <c r="H121" s="54" t="s">
        <v>384</v>
      </c>
      <c r="I121" s="29" t="s">
        <v>53</v>
      </c>
      <c r="J121" s="29" t="s">
        <v>130</v>
      </c>
      <c r="K121" s="119">
        <v>44432</v>
      </c>
      <c r="L121" s="34">
        <v>3</v>
      </c>
      <c r="M121" s="119" t="s">
        <v>12</v>
      </c>
      <c r="N121" s="235" t="s">
        <v>1</v>
      </c>
    </row>
    <row r="122" spans="2:15" ht="51.6" hidden="1" customHeight="1" x14ac:dyDescent="0.25">
      <c r="B122" s="234">
        <f t="shared" ca="1" si="1"/>
        <v>112</v>
      </c>
      <c r="C122" s="83">
        <v>44434</v>
      </c>
      <c r="D122" s="118" t="s">
        <v>53</v>
      </c>
      <c r="E122" s="26" t="s">
        <v>38</v>
      </c>
      <c r="F122" s="26" t="s">
        <v>385</v>
      </c>
      <c r="G122" s="29" t="s">
        <v>386</v>
      </c>
      <c r="H122" s="54" t="s">
        <v>639</v>
      </c>
      <c r="I122" s="29" t="s">
        <v>523</v>
      </c>
      <c r="J122" s="29" t="s">
        <v>524</v>
      </c>
      <c r="K122" s="119">
        <v>44519</v>
      </c>
      <c r="L122" s="34">
        <v>3</v>
      </c>
      <c r="M122" s="119" t="s">
        <v>12</v>
      </c>
      <c r="N122" s="235" t="s">
        <v>13</v>
      </c>
    </row>
    <row r="123" spans="2:15" ht="18" hidden="1" customHeight="1" x14ac:dyDescent="0.25">
      <c r="B123" s="234">
        <f t="shared" ca="1" si="1"/>
        <v>113</v>
      </c>
      <c r="C123" s="77">
        <v>44439</v>
      </c>
      <c r="D123" s="78" t="s">
        <v>53</v>
      </c>
      <c r="E123" s="76" t="s">
        <v>38</v>
      </c>
      <c r="F123" s="76" t="s">
        <v>50</v>
      </c>
      <c r="G123" s="29" t="s">
        <v>372</v>
      </c>
      <c r="H123" s="198" t="s">
        <v>391</v>
      </c>
      <c r="I123" s="79" t="s">
        <v>53</v>
      </c>
      <c r="J123" s="79" t="s">
        <v>360</v>
      </c>
      <c r="K123" s="82">
        <v>44447</v>
      </c>
      <c r="L123" s="34">
        <v>3</v>
      </c>
      <c r="M123" s="82" t="s">
        <v>12</v>
      </c>
      <c r="N123" s="236" t="s">
        <v>1</v>
      </c>
    </row>
    <row r="124" spans="2:15" ht="18" hidden="1" customHeight="1" x14ac:dyDescent="0.25">
      <c r="B124" s="234">
        <f t="shared" ca="1" si="1"/>
        <v>114</v>
      </c>
      <c r="C124" s="83">
        <v>44439</v>
      </c>
      <c r="D124" s="118" t="s">
        <v>53</v>
      </c>
      <c r="E124" s="26" t="s">
        <v>38</v>
      </c>
      <c r="F124" s="26" t="s">
        <v>50</v>
      </c>
      <c r="G124" s="29" t="s">
        <v>388</v>
      </c>
      <c r="H124" s="54" t="s">
        <v>389</v>
      </c>
      <c r="I124" s="29" t="s">
        <v>53</v>
      </c>
      <c r="J124" s="29" t="s">
        <v>390</v>
      </c>
      <c r="K124" s="119">
        <v>44441</v>
      </c>
      <c r="L124" s="34">
        <v>3</v>
      </c>
      <c r="M124" s="119" t="s">
        <v>12</v>
      </c>
      <c r="N124" s="235" t="s">
        <v>1</v>
      </c>
    </row>
    <row r="125" spans="2:15" s="90" customFormat="1" ht="18.75" hidden="1" x14ac:dyDescent="0.25">
      <c r="B125" s="234">
        <f t="shared" ca="1" si="1"/>
        <v>115</v>
      </c>
      <c r="C125" s="199">
        <v>44455</v>
      </c>
      <c r="D125" s="200" t="s">
        <v>383</v>
      </c>
      <c r="E125" s="201" t="s">
        <v>38</v>
      </c>
      <c r="F125" s="201" t="s">
        <v>50</v>
      </c>
      <c r="G125" s="72" t="s">
        <v>372</v>
      </c>
      <c r="H125" s="202" t="s">
        <v>392</v>
      </c>
      <c r="I125" s="72" t="s">
        <v>383</v>
      </c>
      <c r="J125" s="72" t="s">
        <v>393</v>
      </c>
      <c r="K125" s="87">
        <v>44455</v>
      </c>
      <c r="L125" s="88">
        <v>3</v>
      </c>
      <c r="M125" s="87" t="s">
        <v>12</v>
      </c>
      <c r="N125" s="237" t="s">
        <v>1</v>
      </c>
      <c r="O125" s="89"/>
    </row>
    <row r="126" spans="2:15" ht="18" hidden="1" customHeight="1" x14ac:dyDescent="0.25">
      <c r="B126" s="234">
        <f t="shared" ca="1" si="1"/>
        <v>116</v>
      </c>
      <c r="C126" s="83">
        <v>44460</v>
      </c>
      <c r="D126" s="118" t="s">
        <v>53</v>
      </c>
      <c r="E126" s="26" t="s">
        <v>38</v>
      </c>
      <c r="F126" s="26" t="s">
        <v>50</v>
      </c>
      <c r="G126" s="29" t="s">
        <v>394</v>
      </c>
      <c r="H126" s="54" t="s">
        <v>395</v>
      </c>
      <c r="I126" s="29" t="s">
        <v>53</v>
      </c>
      <c r="J126" s="29" t="s">
        <v>135</v>
      </c>
      <c r="K126" s="119">
        <v>44460</v>
      </c>
      <c r="L126" s="34">
        <v>3</v>
      </c>
      <c r="M126" s="119" t="s">
        <v>12</v>
      </c>
      <c r="N126" s="235" t="s">
        <v>1</v>
      </c>
    </row>
    <row r="127" spans="2:15" ht="18" hidden="1" customHeight="1" x14ac:dyDescent="0.25">
      <c r="B127" s="234">
        <f t="shared" ca="1" si="1"/>
        <v>117</v>
      </c>
      <c r="C127" s="83">
        <v>44460</v>
      </c>
      <c r="D127" s="118" t="s">
        <v>53</v>
      </c>
      <c r="E127" s="26" t="s">
        <v>38</v>
      </c>
      <c r="F127" s="26" t="s">
        <v>50</v>
      </c>
      <c r="G127" s="29" t="s">
        <v>397</v>
      </c>
      <c r="H127" s="54" t="s">
        <v>401</v>
      </c>
      <c r="I127" s="29" t="s">
        <v>53</v>
      </c>
      <c r="J127" s="29" t="s">
        <v>396</v>
      </c>
      <c r="K127" s="119">
        <v>44461</v>
      </c>
      <c r="L127" s="34">
        <v>3</v>
      </c>
      <c r="M127" s="119" t="s">
        <v>12</v>
      </c>
      <c r="N127" s="235" t="s">
        <v>1</v>
      </c>
    </row>
    <row r="128" spans="2:15" ht="18" hidden="1" customHeight="1" x14ac:dyDescent="0.25">
      <c r="B128" s="234">
        <f t="shared" ca="1" si="1"/>
        <v>118</v>
      </c>
      <c r="C128" s="83">
        <v>44460</v>
      </c>
      <c r="D128" s="118" t="s">
        <v>53</v>
      </c>
      <c r="E128" s="26" t="s">
        <v>38</v>
      </c>
      <c r="F128" s="26" t="s">
        <v>50</v>
      </c>
      <c r="G128" s="29" t="s">
        <v>400</v>
      </c>
      <c r="H128" s="54" t="s">
        <v>398</v>
      </c>
      <c r="I128" s="29" t="s">
        <v>53</v>
      </c>
      <c r="J128" s="29" t="s">
        <v>399</v>
      </c>
      <c r="K128" s="119">
        <v>44461</v>
      </c>
      <c r="L128" s="34">
        <v>3</v>
      </c>
      <c r="M128" s="119" t="s">
        <v>12</v>
      </c>
      <c r="N128" s="235" t="s">
        <v>1</v>
      </c>
    </row>
    <row r="129" spans="2:14" ht="18" hidden="1" customHeight="1" x14ac:dyDescent="0.25">
      <c r="B129" s="234">
        <f t="shared" ca="1" si="1"/>
        <v>119</v>
      </c>
      <c r="C129" s="83">
        <v>44467</v>
      </c>
      <c r="D129" s="118" t="s">
        <v>53</v>
      </c>
      <c r="E129" s="26" t="s">
        <v>44</v>
      </c>
      <c r="F129" s="26" t="s">
        <v>56</v>
      </c>
      <c r="G129" s="29" t="s">
        <v>403</v>
      </c>
      <c r="H129" s="54" t="s">
        <v>405</v>
      </c>
      <c r="I129" s="29" t="s">
        <v>53</v>
      </c>
      <c r="J129" s="29" t="s">
        <v>404</v>
      </c>
      <c r="K129" s="119">
        <v>44468</v>
      </c>
      <c r="L129" s="34">
        <v>3</v>
      </c>
      <c r="M129" s="119" t="s">
        <v>12</v>
      </c>
      <c r="N129" s="235" t="s">
        <v>1</v>
      </c>
    </row>
    <row r="130" spans="2:14" ht="18" hidden="1" customHeight="1" x14ac:dyDescent="0.25">
      <c r="B130" s="234">
        <f t="shared" ca="1" si="1"/>
        <v>120</v>
      </c>
      <c r="C130" s="83">
        <v>44468</v>
      </c>
      <c r="D130" s="118" t="s">
        <v>53</v>
      </c>
      <c r="E130" s="26" t="s">
        <v>38</v>
      </c>
      <c r="F130" s="26" t="s">
        <v>50</v>
      </c>
      <c r="G130" s="29" t="s">
        <v>406</v>
      </c>
      <c r="H130" s="54" t="s">
        <v>408</v>
      </c>
      <c r="I130" s="29" t="s">
        <v>53</v>
      </c>
      <c r="J130" s="29" t="s">
        <v>407</v>
      </c>
      <c r="K130" s="119">
        <v>44469</v>
      </c>
      <c r="L130" s="34">
        <v>3</v>
      </c>
      <c r="M130" s="119" t="s">
        <v>12</v>
      </c>
      <c r="N130" s="235" t="s">
        <v>1</v>
      </c>
    </row>
    <row r="131" spans="2:14" ht="18" hidden="1" customHeight="1" x14ac:dyDescent="0.25">
      <c r="B131" s="234">
        <f t="shared" ca="1" si="1"/>
        <v>121</v>
      </c>
      <c r="C131" s="83">
        <v>44474</v>
      </c>
      <c r="D131" s="118" t="s">
        <v>53</v>
      </c>
      <c r="E131" s="26" t="s">
        <v>38</v>
      </c>
      <c r="F131" s="26" t="s">
        <v>50</v>
      </c>
      <c r="G131" s="29" t="s">
        <v>410</v>
      </c>
      <c r="H131" s="54" t="s">
        <v>411</v>
      </c>
      <c r="I131" s="29" t="s">
        <v>53</v>
      </c>
      <c r="J131" s="29" t="s">
        <v>412</v>
      </c>
      <c r="K131" s="119">
        <v>44475</v>
      </c>
      <c r="L131" s="34">
        <v>3</v>
      </c>
      <c r="M131" s="119" t="s">
        <v>12</v>
      </c>
      <c r="N131" s="235" t="s">
        <v>1</v>
      </c>
    </row>
    <row r="132" spans="2:14" ht="18" hidden="1" customHeight="1" x14ac:dyDescent="0.25">
      <c r="B132" s="234">
        <f t="shared" ca="1" si="1"/>
        <v>122</v>
      </c>
      <c r="C132" s="83">
        <v>44475</v>
      </c>
      <c r="D132" s="118" t="s">
        <v>34</v>
      </c>
      <c r="E132" s="26" t="s">
        <v>31</v>
      </c>
      <c r="F132" s="26" t="s">
        <v>423</v>
      </c>
      <c r="G132" s="29" t="s">
        <v>425</v>
      </c>
      <c r="H132" s="54" t="s">
        <v>527</v>
      </c>
      <c r="I132" s="91" t="s">
        <v>426</v>
      </c>
      <c r="J132" s="29" t="s">
        <v>426</v>
      </c>
      <c r="K132" s="119">
        <v>44530</v>
      </c>
      <c r="L132" s="34">
        <v>3</v>
      </c>
      <c r="M132" s="119" t="s">
        <v>12</v>
      </c>
      <c r="N132" s="235" t="s">
        <v>1</v>
      </c>
    </row>
    <row r="133" spans="2:14" ht="18" hidden="1" customHeight="1" x14ac:dyDescent="0.25">
      <c r="B133" s="234">
        <f t="shared" ca="1" si="1"/>
        <v>123</v>
      </c>
      <c r="C133" s="83">
        <v>44477</v>
      </c>
      <c r="D133" s="118" t="s">
        <v>53</v>
      </c>
      <c r="E133" s="26" t="s">
        <v>44</v>
      </c>
      <c r="F133" s="26" t="s">
        <v>56</v>
      </c>
      <c r="G133" s="29" t="s">
        <v>415</v>
      </c>
      <c r="H133" s="54" t="s">
        <v>474</v>
      </c>
      <c r="I133" s="29" t="s">
        <v>404</v>
      </c>
      <c r="J133" s="29" t="s">
        <v>404</v>
      </c>
      <c r="K133" s="119">
        <v>44495</v>
      </c>
      <c r="L133" s="34">
        <v>3</v>
      </c>
      <c r="M133" s="119" t="s">
        <v>12</v>
      </c>
      <c r="N133" s="235" t="s">
        <v>13</v>
      </c>
    </row>
    <row r="134" spans="2:14" ht="37.5" hidden="1" x14ac:dyDescent="0.25">
      <c r="B134" s="234">
        <f t="shared" ca="1" si="1"/>
        <v>124</v>
      </c>
      <c r="C134" s="83">
        <v>44477</v>
      </c>
      <c r="D134" s="118" t="s">
        <v>34</v>
      </c>
      <c r="E134" s="26" t="s">
        <v>117</v>
      </c>
      <c r="F134" s="26" t="s">
        <v>442</v>
      </c>
      <c r="G134" s="29" t="s">
        <v>443</v>
      </c>
      <c r="H134" s="54" t="s">
        <v>439</v>
      </c>
      <c r="I134" s="29" t="s">
        <v>421</v>
      </c>
      <c r="J134" s="29" t="s">
        <v>422</v>
      </c>
      <c r="K134" s="119">
        <v>44491</v>
      </c>
      <c r="L134" s="34">
        <v>1</v>
      </c>
      <c r="M134" s="119" t="s">
        <v>4</v>
      </c>
      <c r="N134" s="235" t="s">
        <v>1</v>
      </c>
    </row>
    <row r="135" spans="2:14" ht="18" hidden="1" customHeight="1" x14ac:dyDescent="0.25">
      <c r="B135" s="234">
        <f t="shared" ca="1" si="1"/>
        <v>125</v>
      </c>
      <c r="C135" s="83">
        <v>44480</v>
      </c>
      <c r="D135" s="118" t="s">
        <v>53</v>
      </c>
      <c r="E135" s="26" t="s">
        <v>44</v>
      </c>
      <c r="F135" s="26" t="s">
        <v>56</v>
      </c>
      <c r="G135" s="29" t="s">
        <v>416</v>
      </c>
      <c r="H135" s="54" t="s">
        <v>417</v>
      </c>
      <c r="I135" s="29" t="s">
        <v>53</v>
      </c>
      <c r="J135" s="29" t="s">
        <v>404</v>
      </c>
      <c r="K135" s="119">
        <v>44480</v>
      </c>
      <c r="L135" s="34">
        <v>3</v>
      </c>
      <c r="M135" s="119" t="s">
        <v>12</v>
      </c>
      <c r="N135" s="235" t="s">
        <v>1</v>
      </c>
    </row>
    <row r="136" spans="2:14" ht="18" hidden="1" customHeight="1" x14ac:dyDescent="0.25">
      <c r="B136" s="234">
        <f t="shared" ca="1" si="1"/>
        <v>126</v>
      </c>
      <c r="C136" s="83">
        <v>44484</v>
      </c>
      <c r="D136" s="118" t="s">
        <v>34</v>
      </c>
      <c r="E136" s="26" t="s">
        <v>117</v>
      </c>
      <c r="F136" s="26" t="s">
        <v>442</v>
      </c>
      <c r="G136" s="29" t="s">
        <v>428</v>
      </c>
      <c r="H136" s="54" t="s">
        <v>440</v>
      </c>
      <c r="I136" s="29" t="s">
        <v>34</v>
      </c>
      <c r="J136" s="29" t="s">
        <v>429</v>
      </c>
      <c r="K136" s="119">
        <v>44505</v>
      </c>
      <c r="L136" s="34">
        <v>2</v>
      </c>
      <c r="M136" s="119" t="s">
        <v>12</v>
      </c>
      <c r="N136" s="235" t="s">
        <v>1</v>
      </c>
    </row>
    <row r="137" spans="2:14" ht="18" hidden="1" customHeight="1" x14ac:dyDescent="0.25">
      <c r="B137" s="234">
        <f t="shared" ca="1" si="1"/>
        <v>127</v>
      </c>
      <c r="C137" s="83">
        <v>44489</v>
      </c>
      <c r="D137" s="118" t="s">
        <v>53</v>
      </c>
      <c r="E137" s="26" t="s">
        <v>44</v>
      </c>
      <c r="F137" s="26" t="s">
        <v>141</v>
      </c>
      <c r="G137" s="29" t="s">
        <v>420</v>
      </c>
      <c r="H137" s="54" t="s">
        <v>419</v>
      </c>
      <c r="I137" s="29" t="s">
        <v>53</v>
      </c>
      <c r="J137" s="29" t="s">
        <v>418</v>
      </c>
      <c r="K137" s="119">
        <v>44489</v>
      </c>
      <c r="L137" s="34">
        <v>3</v>
      </c>
      <c r="M137" s="119" t="s">
        <v>12</v>
      </c>
      <c r="N137" s="235" t="s">
        <v>1</v>
      </c>
    </row>
    <row r="138" spans="2:14" ht="37.5" hidden="1" x14ac:dyDescent="0.25">
      <c r="B138" s="234">
        <f t="shared" ca="1" si="1"/>
        <v>128</v>
      </c>
      <c r="C138" s="83">
        <v>44489</v>
      </c>
      <c r="D138" s="118" t="s">
        <v>34</v>
      </c>
      <c r="E138" s="26" t="s">
        <v>117</v>
      </c>
      <c r="F138" s="26" t="s">
        <v>442</v>
      </c>
      <c r="G138" s="29" t="s">
        <v>444</v>
      </c>
      <c r="H138" s="54" t="s">
        <v>441</v>
      </c>
      <c r="I138" s="29" t="s">
        <v>34</v>
      </c>
      <c r="J138" s="29" t="s">
        <v>427</v>
      </c>
      <c r="K138" s="119">
        <v>44490</v>
      </c>
      <c r="L138" s="34">
        <v>3</v>
      </c>
      <c r="M138" s="119" t="s">
        <v>12</v>
      </c>
      <c r="N138" s="235" t="s">
        <v>1</v>
      </c>
    </row>
    <row r="139" spans="2:14" ht="37.5" hidden="1" x14ac:dyDescent="0.25">
      <c r="B139" s="234">
        <f t="shared" ca="1" si="1"/>
        <v>129</v>
      </c>
      <c r="C139" s="83">
        <v>44490</v>
      </c>
      <c r="D139" s="118" t="s">
        <v>34</v>
      </c>
      <c r="E139" s="26" t="s">
        <v>117</v>
      </c>
      <c r="F139" s="26" t="s">
        <v>442</v>
      </c>
      <c r="G139" s="29" t="s">
        <v>445</v>
      </c>
      <c r="H139" s="54" t="s">
        <v>424</v>
      </c>
      <c r="I139" s="29" t="s">
        <v>34</v>
      </c>
      <c r="J139" s="29" t="s">
        <v>33</v>
      </c>
      <c r="K139" s="119">
        <v>44491</v>
      </c>
      <c r="L139" s="34">
        <v>3</v>
      </c>
      <c r="M139" s="119" t="s">
        <v>12</v>
      </c>
      <c r="N139" s="235" t="s">
        <v>1</v>
      </c>
    </row>
    <row r="140" spans="2:14" ht="18" hidden="1" customHeight="1" x14ac:dyDescent="0.25">
      <c r="B140" s="234">
        <f t="shared" ref="B140:B203" ca="1" si="2">OFFSET(B140,-1,0)+1</f>
        <v>130</v>
      </c>
      <c r="C140" s="83">
        <v>44494</v>
      </c>
      <c r="D140" s="118" t="s">
        <v>53</v>
      </c>
      <c r="E140" s="26" t="s">
        <v>38</v>
      </c>
      <c r="F140" s="26" t="s">
        <v>50</v>
      </c>
      <c r="G140" s="29" t="s">
        <v>430</v>
      </c>
      <c r="H140" s="54" t="s">
        <v>431</v>
      </c>
      <c r="I140" s="29" t="s">
        <v>53</v>
      </c>
      <c r="J140" s="29" t="s">
        <v>135</v>
      </c>
      <c r="K140" s="119">
        <v>44494</v>
      </c>
      <c r="L140" s="34">
        <v>3</v>
      </c>
      <c r="M140" s="119" t="s">
        <v>12</v>
      </c>
      <c r="N140" s="235" t="s">
        <v>1</v>
      </c>
    </row>
    <row r="141" spans="2:14" ht="18" hidden="1" customHeight="1" x14ac:dyDescent="0.25">
      <c r="B141" s="234">
        <f t="shared" ca="1" si="2"/>
        <v>131</v>
      </c>
      <c r="C141" s="83">
        <v>44494</v>
      </c>
      <c r="D141" s="118" t="s">
        <v>53</v>
      </c>
      <c r="E141" s="26" t="s">
        <v>44</v>
      </c>
      <c r="F141" s="26" t="s">
        <v>242</v>
      </c>
      <c r="G141" s="29" t="s">
        <v>432</v>
      </c>
      <c r="H141" s="54" t="s">
        <v>433</v>
      </c>
      <c r="I141" s="29" t="s">
        <v>53</v>
      </c>
      <c r="J141" s="29" t="s">
        <v>251</v>
      </c>
      <c r="K141" s="119">
        <v>44494</v>
      </c>
      <c r="L141" s="34">
        <v>3</v>
      </c>
      <c r="M141" s="119" t="s">
        <v>12</v>
      </c>
      <c r="N141" s="235" t="s">
        <v>1</v>
      </c>
    </row>
    <row r="142" spans="2:14" ht="18" hidden="1" customHeight="1" x14ac:dyDescent="0.25">
      <c r="B142" s="234">
        <f t="shared" ca="1" si="2"/>
        <v>132</v>
      </c>
      <c r="C142" s="83">
        <v>44497</v>
      </c>
      <c r="D142" s="118" t="s">
        <v>53</v>
      </c>
      <c r="E142" s="26" t="s">
        <v>38</v>
      </c>
      <c r="F142" s="26" t="s">
        <v>50</v>
      </c>
      <c r="G142" s="29" t="s">
        <v>434</v>
      </c>
      <c r="H142" s="54" t="s">
        <v>435</v>
      </c>
      <c r="I142" s="29" t="s">
        <v>53</v>
      </c>
      <c r="J142" s="29" t="s">
        <v>174</v>
      </c>
      <c r="K142" s="119">
        <v>44497</v>
      </c>
      <c r="L142" s="34">
        <v>3</v>
      </c>
      <c r="M142" s="119" t="s">
        <v>12</v>
      </c>
      <c r="N142" s="235" t="s">
        <v>1</v>
      </c>
    </row>
    <row r="143" spans="2:14" ht="18" hidden="1" customHeight="1" x14ac:dyDescent="0.25">
      <c r="B143" s="234">
        <f t="shared" ca="1" si="2"/>
        <v>133</v>
      </c>
      <c r="C143" s="83">
        <v>44501</v>
      </c>
      <c r="D143" s="118" t="s">
        <v>53</v>
      </c>
      <c r="E143" s="26" t="s">
        <v>38</v>
      </c>
      <c r="F143" s="26" t="s">
        <v>50</v>
      </c>
      <c r="G143" s="29" t="s">
        <v>436</v>
      </c>
      <c r="H143" s="54" t="s">
        <v>437</v>
      </c>
      <c r="I143" s="29" t="s">
        <v>53</v>
      </c>
      <c r="J143" s="29" t="s">
        <v>438</v>
      </c>
      <c r="K143" s="119">
        <v>44501</v>
      </c>
      <c r="L143" s="34">
        <v>3</v>
      </c>
      <c r="M143" s="119" t="s">
        <v>12</v>
      </c>
      <c r="N143" s="235" t="s">
        <v>1</v>
      </c>
    </row>
    <row r="144" spans="2:14" ht="37.5" hidden="1" x14ac:dyDescent="0.25">
      <c r="B144" s="234">
        <f t="shared" ca="1" si="2"/>
        <v>134</v>
      </c>
      <c r="C144" s="83">
        <v>44501</v>
      </c>
      <c r="D144" s="118" t="s">
        <v>34</v>
      </c>
      <c r="E144" s="26" t="s">
        <v>117</v>
      </c>
      <c r="F144" s="26" t="s">
        <v>442</v>
      </c>
      <c r="G144" s="29" t="s">
        <v>605</v>
      </c>
      <c r="H144" s="54" t="s">
        <v>693</v>
      </c>
      <c r="I144" s="29" t="s">
        <v>515</v>
      </c>
      <c r="J144" s="29" t="s">
        <v>427</v>
      </c>
      <c r="K144" s="119">
        <v>44592</v>
      </c>
      <c r="L144" s="34">
        <v>1</v>
      </c>
      <c r="M144" s="119" t="s">
        <v>12</v>
      </c>
      <c r="N144" s="235" t="s">
        <v>1</v>
      </c>
    </row>
    <row r="145" spans="2:15" ht="37.5" hidden="1" x14ac:dyDescent="0.25">
      <c r="B145" s="234">
        <f t="shared" ca="1" si="2"/>
        <v>135</v>
      </c>
      <c r="C145" s="83">
        <v>44501</v>
      </c>
      <c r="D145" s="118" t="s">
        <v>34</v>
      </c>
      <c r="E145" s="26" t="s">
        <v>117</v>
      </c>
      <c r="F145" s="26" t="s">
        <v>442</v>
      </c>
      <c r="G145" s="29" t="s">
        <v>428</v>
      </c>
      <c r="H145" s="54" t="s">
        <v>526</v>
      </c>
      <c r="I145" s="29" t="s">
        <v>34</v>
      </c>
      <c r="J145" s="91" t="s">
        <v>429</v>
      </c>
      <c r="K145" s="119">
        <v>44511</v>
      </c>
      <c r="L145" s="34">
        <v>1</v>
      </c>
      <c r="M145" s="119" t="s">
        <v>12</v>
      </c>
      <c r="N145" s="235" t="s">
        <v>1</v>
      </c>
    </row>
    <row r="146" spans="2:15" ht="18.75" hidden="1" x14ac:dyDescent="0.25">
      <c r="B146" s="234">
        <f t="shared" ca="1" si="2"/>
        <v>136</v>
      </c>
      <c r="C146" s="83">
        <v>44503</v>
      </c>
      <c r="D146" s="118" t="s">
        <v>448</v>
      </c>
      <c r="E146" s="26" t="s">
        <v>64</v>
      </c>
      <c r="F146" s="26" t="s">
        <v>45</v>
      </c>
      <c r="G146" s="29" t="s">
        <v>449</v>
      </c>
      <c r="H146" s="29" t="s">
        <v>450</v>
      </c>
      <c r="I146" s="29" t="s">
        <v>448</v>
      </c>
      <c r="J146" s="29" t="s">
        <v>62</v>
      </c>
      <c r="K146" s="119">
        <v>44512</v>
      </c>
      <c r="L146" s="34">
        <v>3</v>
      </c>
      <c r="M146" s="119" t="s">
        <v>12</v>
      </c>
      <c r="N146" s="235" t="s">
        <v>1</v>
      </c>
    </row>
    <row r="147" spans="2:15" ht="18.75" hidden="1" x14ac:dyDescent="0.25">
      <c r="B147" s="234">
        <f t="shared" ca="1" si="2"/>
        <v>137</v>
      </c>
      <c r="C147" s="83">
        <v>44503</v>
      </c>
      <c r="D147" s="118" t="s">
        <v>448</v>
      </c>
      <c r="E147" s="26" t="s">
        <v>64</v>
      </c>
      <c r="F147" s="26" t="s">
        <v>45</v>
      </c>
      <c r="G147" s="29" t="s">
        <v>449</v>
      </c>
      <c r="H147" s="29" t="s">
        <v>451</v>
      </c>
      <c r="I147" s="29" t="s">
        <v>448</v>
      </c>
      <c r="J147" s="29" t="s">
        <v>62</v>
      </c>
      <c r="K147" s="119">
        <v>44512</v>
      </c>
      <c r="L147" s="34">
        <v>3</v>
      </c>
      <c r="M147" s="119" t="s">
        <v>12</v>
      </c>
      <c r="N147" s="235" t="s">
        <v>1</v>
      </c>
      <c r="O147"/>
    </row>
    <row r="148" spans="2:15" ht="18.75" hidden="1" x14ac:dyDescent="0.25">
      <c r="B148" s="234">
        <f t="shared" ca="1" si="2"/>
        <v>138</v>
      </c>
      <c r="C148" s="203">
        <v>44470</v>
      </c>
      <c r="D148" s="118" t="s">
        <v>37</v>
      </c>
      <c r="E148" s="26" t="s">
        <v>64</v>
      </c>
      <c r="F148" s="26" t="s">
        <v>45</v>
      </c>
      <c r="G148" s="72" t="s">
        <v>452</v>
      </c>
      <c r="H148" s="54" t="s">
        <v>453</v>
      </c>
      <c r="I148" s="29" t="s">
        <v>37</v>
      </c>
      <c r="J148" s="29" t="s">
        <v>454</v>
      </c>
      <c r="K148" s="119">
        <v>44479</v>
      </c>
      <c r="L148" s="52">
        <v>3</v>
      </c>
      <c r="M148" s="119" t="s">
        <v>12</v>
      </c>
      <c r="N148" s="235" t="s">
        <v>1</v>
      </c>
    </row>
    <row r="149" spans="2:15" ht="75" hidden="1" x14ac:dyDescent="0.25">
      <c r="B149" s="234">
        <f t="shared" ca="1" si="2"/>
        <v>139</v>
      </c>
      <c r="C149" s="83">
        <v>44440</v>
      </c>
      <c r="D149" s="118" t="s">
        <v>457</v>
      </c>
      <c r="E149" s="26" t="s">
        <v>64</v>
      </c>
      <c r="F149" s="26" t="s">
        <v>45</v>
      </c>
      <c r="G149" s="29" t="s">
        <v>458</v>
      </c>
      <c r="H149" s="54" t="s">
        <v>460</v>
      </c>
      <c r="I149" s="29" t="s">
        <v>459</v>
      </c>
      <c r="J149" s="29" t="s">
        <v>235</v>
      </c>
      <c r="K149" s="119">
        <v>44515</v>
      </c>
      <c r="L149" s="34">
        <v>3</v>
      </c>
      <c r="M149" s="119" t="s">
        <v>12</v>
      </c>
      <c r="N149" s="235" t="s">
        <v>1</v>
      </c>
    </row>
    <row r="150" spans="2:15" ht="37.5" hidden="1" x14ac:dyDescent="0.25">
      <c r="B150" s="234">
        <f t="shared" ca="1" si="2"/>
        <v>140</v>
      </c>
      <c r="C150" s="83">
        <v>44440</v>
      </c>
      <c r="D150" s="118" t="s">
        <v>457</v>
      </c>
      <c r="E150" s="26" t="s">
        <v>64</v>
      </c>
      <c r="F150" s="26" t="s">
        <v>45</v>
      </c>
      <c r="G150" s="29" t="s">
        <v>461</v>
      </c>
      <c r="H150" s="54" t="s">
        <v>462</v>
      </c>
      <c r="I150" s="29" t="s">
        <v>459</v>
      </c>
      <c r="J150" s="29" t="s">
        <v>235</v>
      </c>
      <c r="K150" s="119">
        <v>44498</v>
      </c>
      <c r="L150" s="34">
        <v>3</v>
      </c>
      <c r="M150" s="119" t="s">
        <v>12</v>
      </c>
      <c r="N150" s="235" t="s">
        <v>1</v>
      </c>
    </row>
    <row r="151" spans="2:15" ht="18.75" hidden="1" x14ac:dyDescent="0.25">
      <c r="B151" s="234">
        <f t="shared" ca="1" si="2"/>
        <v>141</v>
      </c>
      <c r="C151" s="83">
        <v>44440</v>
      </c>
      <c r="D151" s="118" t="s">
        <v>37</v>
      </c>
      <c r="E151" s="26" t="s">
        <v>64</v>
      </c>
      <c r="F151" s="26" t="s">
        <v>45</v>
      </c>
      <c r="G151" s="72" t="s">
        <v>463</v>
      </c>
      <c r="H151" s="54" t="s">
        <v>464</v>
      </c>
      <c r="I151" s="29" t="s">
        <v>37</v>
      </c>
      <c r="J151" s="29" t="s">
        <v>189</v>
      </c>
      <c r="K151" s="119">
        <v>44498</v>
      </c>
      <c r="L151" s="52">
        <v>3</v>
      </c>
      <c r="M151" s="119" t="s">
        <v>12</v>
      </c>
      <c r="N151" s="235" t="s">
        <v>1</v>
      </c>
    </row>
    <row r="152" spans="2:15" ht="75" hidden="1" x14ac:dyDescent="0.25">
      <c r="B152" s="234">
        <f t="shared" ca="1" si="2"/>
        <v>142</v>
      </c>
      <c r="C152" s="83">
        <v>44489</v>
      </c>
      <c r="D152" s="118" t="s">
        <v>37</v>
      </c>
      <c r="E152" s="26" t="s">
        <v>64</v>
      </c>
      <c r="F152" s="26" t="s">
        <v>45</v>
      </c>
      <c r="G152" s="72" t="s">
        <v>465</v>
      </c>
      <c r="H152" s="54" t="s">
        <v>512</v>
      </c>
      <c r="I152" s="29" t="s">
        <v>513</v>
      </c>
      <c r="J152" s="29" t="s">
        <v>189</v>
      </c>
      <c r="K152" s="119"/>
      <c r="L152" s="34">
        <v>2</v>
      </c>
      <c r="M152" s="119" t="s">
        <v>12</v>
      </c>
      <c r="N152" s="235" t="s">
        <v>1</v>
      </c>
    </row>
    <row r="153" spans="2:15" ht="18.75" hidden="1" x14ac:dyDescent="0.25">
      <c r="B153" s="234">
        <f t="shared" ca="1" si="2"/>
        <v>143</v>
      </c>
      <c r="C153" s="83">
        <v>44455</v>
      </c>
      <c r="D153" s="118" t="s">
        <v>37</v>
      </c>
      <c r="E153" s="26" t="s">
        <v>64</v>
      </c>
      <c r="F153" s="26" t="s">
        <v>45</v>
      </c>
      <c r="G153" s="72" t="s">
        <v>468</v>
      </c>
      <c r="H153" s="54" t="s">
        <v>469</v>
      </c>
      <c r="I153" s="29" t="s">
        <v>37</v>
      </c>
      <c r="J153" s="29" t="s">
        <v>189</v>
      </c>
      <c r="K153" s="119">
        <v>44469</v>
      </c>
      <c r="L153" s="69">
        <v>2</v>
      </c>
      <c r="M153" s="119" t="s">
        <v>12</v>
      </c>
      <c r="N153" s="235" t="s">
        <v>1</v>
      </c>
    </row>
    <row r="154" spans="2:15" ht="93.75" hidden="1" x14ac:dyDescent="0.25">
      <c r="B154" s="234">
        <f t="shared" ca="1" si="2"/>
        <v>144</v>
      </c>
      <c r="C154" s="83">
        <v>44412</v>
      </c>
      <c r="D154" s="118" t="s">
        <v>37</v>
      </c>
      <c r="E154" s="26" t="s">
        <v>64</v>
      </c>
      <c r="F154" s="26" t="s">
        <v>45</v>
      </c>
      <c r="G154" s="72" t="s">
        <v>470</v>
      </c>
      <c r="H154" s="54" t="s">
        <v>570</v>
      </c>
      <c r="I154" s="29" t="s">
        <v>571</v>
      </c>
      <c r="J154" s="29"/>
      <c r="K154" s="119"/>
      <c r="L154" s="34">
        <v>2</v>
      </c>
      <c r="M154" s="119" t="s">
        <v>12</v>
      </c>
      <c r="N154" s="235" t="s">
        <v>1</v>
      </c>
    </row>
    <row r="155" spans="2:15" ht="37.5" hidden="1" x14ac:dyDescent="0.25">
      <c r="B155" s="234">
        <f t="shared" ca="1" si="2"/>
        <v>145</v>
      </c>
      <c r="C155" s="83">
        <v>44503</v>
      </c>
      <c r="D155" s="118" t="s">
        <v>459</v>
      </c>
      <c r="E155" s="26" t="s">
        <v>64</v>
      </c>
      <c r="F155" s="26" t="s">
        <v>45</v>
      </c>
      <c r="G155" s="72" t="s">
        <v>471</v>
      </c>
      <c r="H155" s="54" t="s">
        <v>472</v>
      </c>
      <c r="I155" s="29" t="s">
        <v>190</v>
      </c>
      <c r="J155" s="29" t="s">
        <v>279</v>
      </c>
      <c r="K155" s="119">
        <v>44530</v>
      </c>
      <c r="L155" s="34">
        <v>3</v>
      </c>
      <c r="M155" s="119" t="s">
        <v>12</v>
      </c>
      <c r="N155" s="235" t="s">
        <v>13</v>
      </c>
    </row>
    <row r="156" spans="2:15" ht="112.5" x14ac:dyDescent="0.25">
      <c r="B156" s="26">
        <f t="shared" ca="1" si="2"/>
        <v>146</v>
      </c>
      <c r="C156" s="83">
        <v>44355</v>
      </c>
      <c r="D156" s="118" t="s">
        <v>448</v>
      </c>
      <c r="E156" s="26" t="s">
        <v>64</v>
      </c>
      <c r="F156" s="26" t="s">
        <v>45</v>
      </c>
      <c r="G156" s="72" t="s">
        <v>473</v>
      </c>
      <c r="H156" s="54" t="s">
        <v>1013</v>
      </c>
      <c r="I156" s="29" t="s">
        <v>235</v>
      </c>
      <c r="J156" s="29" t="s">
        <v>62</v>
      </c>
      <c r="K156" s="119"/>
      <c r="L156" s="34">
        <v>3</v>
      </c>
      <c r="M156" s="119" t="s">
        <v>12</v>
      </c>
      <c r="N156" s="29" t="s">
        <v>0</v>
      </c>
    </row>
    <row r="157" spans="2:15" ht="37.5" hidden="1" x14ac:dyDescent="0.25">
      <c r="B157" s="234">
        <f t="shared" ca="1" si="2"/>
        <v>147</v>
      </c>
      <c r="C157" s="83">
        <v>44516</v>
      </c>
      <c r="D157" s="118" t="s">
        <v>34</v>
      </c>
      <c r="E157" s="26" t="s">
        <v>117</v>
      </c>
      <c r="F157" s="26" t="s">
        <v>442</v>
      </c>
      <c r="G157" s="29" t="s">
        <v>561</v>
      </c>
      <c r="H157" s="54" t="s">
        <v>562</v>
      </c>
      <c r="I157" s="29" t="s">
        <v>34</v>
      </c>
      <c r="J157" s="29" t="s">
        <v>427</v>
      </c>
      <c r="K157" s="119">
        <v>44576</v>
      </c>
      <c r="L157" s="34">
        <v>1</v>
      </c>
      <c r="M157" s="119" t="s">
        <v>5</v>
      </c>
      <c r="N157" s="235" t="s">
        <v>1</v>
      </c>
    </row>
    <row r="158" spans="2:15" ht="18" hidden="1" customHeight="1" x14ac:dyDescent="0.25">
      <c r="B158" s="234">
        <f t="shared" ca="1" si="2"/>
        <v>148</v>
      </c>
      <c r="C158" s="83">
        <v>44517</v>
      </c>
      <c r="D158" s="118" t="s">
        <v>53</v>
      </c>
      <c r="E158" s="26" t="s">
        <v>38</v>
      </c>
      <c r="F158" s="26" t="s">
        <v>50</v>
      </c>
      <c r="G158" s="29" t="s">
        <v>478</v>
      </c>
      <c r="H158" s="54" t="s">
        <v>479</v>
      </c>
      <c r="I158" s="29" t="s">
        <v>53</v>
      </c>
      <c r="J158" s="29" t="s">
        <v>480</v>
      </c>
      <c r="K158" s="119">
        <v>44518</v>
      </c>
      <c r="L158" s="34">
        <v>3</v>
      </c>
      <c r="M158" s="119" t="s">
        <v>12</v>
      </c>
      <c r="N158" s="235" t="s">
        <v>1</v>
      </c>
    </row>
    <row r="159" spans="2:15" ht="18" hidden="1" customHeight="1" x14ac:dyDescent="0.3">
      <c r="B159" s="234">
        <f t="shared" ca="1" si="2"/>
        <v>149</v>
      </c>
      <c r="C159" s="98">
        <v>44522</v>
      </c>
      <c r="D159" s="118" t="s">
        <v>53</v>
      </c>
      <c r="E159" s="26" t="s">
        <v>38</v>
      </c>
      <c r="F159" s="26" t="s">
        <v>324</v>
      </c>
      <c r="G159" s="29" t="s">
        <v>482</v>
      </c>
      <c r="H159" s="54" t="s">
        <v>483</v>
      </c>
      <c r="I159" s="29" t="s">
        <v>53</v>
      </c>
      <c r="J159" s="29" t="s">
        <v>484</v>
      </c>
      <c r="K159" s="119">
        <v>44525</v>
      </c>
      <c r="L159" s="34">
        <v>3</v>
      </c>
      <c r="M159" s="119" t="s">
        <v>12</v>
      </c>
      <c r="N159" s="235" t="s">
        <v>1</v>
      </c>
    </row>
    <row r="160" spans="2:15" ht="18" hidden="1" customHeight="1" x14ac:dyDescent="0.25">
      <c r="B160" s="234">
        <f t="shared" ca="1" si="2"/>
        <v>150</v>
      </c>
      <c r="C160" s="83">
        <v>44526</v>
      </c>
      <c r="D160" s="118" t="s">
        <v>53</v>
      </c>
      <c r="E160" s="26" t="s">
        <v>38</v>
      </c>
      <c r="F160" s="26" t="s">
        <v>50</v>
      </c>
      <c r="G160" s="29" t="s">
        <v>478</v>
      </c>
      <c r="H160" s="54" t="s">
        <v>485</v>
      </c>
      <c r="I160" s="29" t="s">
        <v>53</v>
      </c>
      <c r="J160" s="29" t="s">
        <v>480</v>
      </c>
      <c r="K160" s="119">
        <v>44529</v>
      </c>
      <c r="L160" s="34">
        <v>3</v>
      </c>
      <c r="M160" s="119" t="s">
        <v>12</v>
      </c>
      <c r="N160" s="235" t="s">
        <v>1</v>
      </c>
    </row>
    <row r="161" spans="2:14" ht="18" hidden="1" customHeight="1" x14ac:dyDescent="0.25">
      <c r="B161" s="234">
        <f t="shared" ca="1" si="2"/>
        <v>151</v>
      </c>
      <c r="C161" s="83">
        <v>44526</v>
      </c>
      <c r="D161" s="118" t="s">
        <v>53</v>
      </c>
      <c r="E161" s="26" t="s">
        <v>38</v>
      </c>
      <c r="F161" s="26" t="s">
        <v>50</v>
      </c>
      <c r="G161" s="29" t="s">
        <v>486</v>
      </c>
      <c r="H161" s="54" t="s">
        <v>487</v>
      </c>
      <c r="I161" s="29" t="s">
        <v>53</v>
      </c>
      <c r="J161" s="29" t="s">
        <v>399</v>
      </c>
      <c r="K161" s="119">
        <v>44529</v>
      </c>
      <c r="L161" s="34">
        <v>3</v>
      </c>
      <c r="M161" s="119" t="s">
        <v>12</v>
      </c>
      <c r="N161" s="235" t="s">
        <v>1</v>
      </c>
    </row>
    <row r="162" spans="2:14" ht="18" hidden="1" customHeight="1" x14ac:dyDescent="0.25">
      <c r="B162" s="234">
        <f t="shared" ca="1" si="2"/>
        <v>152</v>
      </c>
      <c r="C162" s="83">
        <v>44529</v>
      </c>
      <c r="D162" s="118" t="s">
        <v>53</v>
      </c>
      <c r="E162" s="26" t="s">
        <v>44</v>
      </c>
      <c r="F162" s="26" t="s">
        <v>242</v>
      </c>
      <c r="G162" s="29" t="s">
        <v>488</v>
      </c>
      <c r="H162" s="54" t="s">
        <v>490</v>
      </c>
      <c r="I162" s="29" t="s">
        <v>53</v>
      </c>
      <c r="J162" s="29" t="s">
        <v>489</v>
      </c>
      <c r="K162" s="119">
        <v>44530</v>
      </c>
      <c r="L162" s="34">
        <v>3</v>
      </c>
      <c r="M162" s="119" t="s">
        <v>12</v>
      </c>
      <c r="N162" s="235" t="s">
        <v>1</v>
      </c>
    </row>
    <row r="163" spans="2:14" ht="18" hidden="1" customHeight="1" x14ac:dyDescent="0.25">
      <c r="B163" s="234">
        <f t="shared" ca="1" si="2"/>
        <v>153</v>
      </c>
      <c r="C163" s="83">
        <v>44529</v>
      </c>
      <c r="D163" s="118" t="s">
        <v>53</v>
      </c>
      <c r="E163" s="26" t="s">
        <v>38</v>
      </c>
      <c r="F163" s="26" t="s">
        <v>50</v>
      </c>
      <c r="G163" s="29" t="s">
        <v>491</v>
      </c>
      <c r="H163" s="54" t="s">
        <v>492</v>
      </c>
      <c r="I163" s="29" t="s">
        <v>53</v>
      </c>
      <c r="J163" s="29" t="s">
        <v>135</v>
      </c>
      <c r="K163" s="119">
        <v>44529</v>
      </c>
      <c r="L163" s="34">
        <v>3</v>
      </c>
      <c r="M163" s="119" t="s">
        <v>12</v>
      </c>
      <c r="N163" s="235" t="s">
        <v>1</v>
      </c>
    </row>
    <row r="164" spans="2:14" ht="18" hidden="1" customHeight="1" x14ac:dyDescent="0.25">
      <c r="B164" s="234">
        <f t="shared" ca="1" si="2"/>
        <v>154</v>
      </c>
      <c r="C164" s="83">
        <v>44530</v>
      </c>
      <c r="D164" s="118" t="s">
        <v>53</v>
      </c>
      <c r="E164" s="26" t="s">
        <v>38</v>
      </c>
      <c r="F164" s="26" t="s">
        <v>50</v>
      </c>
      <c r="G164" s="29" t="s">
        <v>495</v>
      </c>
      <c r="H164" s="54" t="s">
        <v>497</v>
      </c>
      <c r="I164" s="29" t="s">
        <v>53</v>
      </c>
      <c r="J164" s="29" t="s">
        <v>135</v>
      </c>
      <c r="K164" s="119">
        <v>44531</v>
      </c>
      <c r="L164" s="34">
        <v>3</v>
      </c>
      <c r="M164" s="119" t="s">
        <v>12</v>
      </c>
      <c r="N164" s="235" t="s">
        <v>1</v>
      </c>
    </row>
    <row r="165" spans="2:14" ht="18" hidden="1" customHeight="1" x14ac:dyDescent="0.25">
      <c r="B165" s="234">
        <f t="shared" ca="1" si="2"/>
        <v>155</v>
      </c>
      <c r="C165" s="83">
        <v>44531</v>
      </c>
      <c r="D165" s="118" t="s">
        <v>53</v>
      </c>
      <c r="E165" s="26" t="s">
        <v>38</v>
      </c>
      <c r="F165" s="26" t="s">
        <v>50</v>
      </c>
      <c r="G165" s="29" t="s">
        <v>496</v>
      </c>
      <c r="H165" s="54" t="s">
        <v>498</v>
      </c>
      <c r="I165" s="29" t="s">
        <v>53</v>
      </c>
      <c r="J165" s="29" t="s">
        <v>480</v>
      </c>
      <c r="K165" s="119">
        <v>44532</v>
      </c>
      <c r="L165" s="34">
        <v>3</v>
      </c>
      <c r="M165" s="119" t="s">
        <v>12</v>
      </c>
      <c r="N165" s="235" t="s">
        <v>1</v>
      </c>
    </row>
    <row r="166" spans="2:14" ht="18" hidden="1" customHeight="1" x14ac:dyDescent="0.25">
      <c r="B166" s="234">
        <f t="shared" ca="1" si="2"/>
        <v>156</v>
      </c>
      <c r="C166" s="83">
        <v>44531</v>
      </c>
      <c r="D166" s="118" t="s">
        <v>53</v>
      </c>
      <c r="E166" s="26" t="s">
        <v>38</v>
      </c>
      <c r="F166" s="26" t="s">
        <v>50</v>
      </c>
      <c r="G166" s="29" t="s">
        <v>499</v>
      </c>
      <c r="H166" s="54" t="s">
        <v>502</v>
      </c>
      <c r="I166" s="29" t="s">
        <v>135</v>
      </c>
      <c r="J166" s="29" t="s">
        <v>135</v>
      </c>
      <c r="K166" s="119">
        <v>44533</v>
      </c>
      <c r="L166" s="34">
        <v>3</v>
      </c>
      <c r="M166" s="119" t="s">
        <v>12</v>
      </c>
      <c r="N166" s="235" t="s">
        <v>13</v>
      </c>
    </row>
    <row r="167" spans="2:14" ht="18" hidden="1" customHeight="1" x14ac:dyDescent="0.25">
      <c r="B167" s="234">
        <f t="shared" ca="1" si="2"/>
        <v>157</v>
      </c>
      <c r="C167" s="83">
        <v>44531</v>
      </c>
      <c r="D167" s="118" t="s">
        <v>53</v>
      </c>
      <c r="E167" s="26" t="s">
        <v>38</v>
      </c>
      <c r="F167" s="26" t="s">
        <v>50</v>
      </c>
      <c r="G167" s="29" t="s">
        <v>500</v>
      </c>
      <c r="H167" s="54" t="s">
        <v>501</v>
      </c>
      <c r="I167" s="29" t="s">
        <v>53</v>
      </c>
      <c r="J167" s="29" t="s">
        <v>53</v>
      </c>
      <c r="K167" s="119">
        <v>44531</v>
      </c>
      <c r="L167" s="34">
        <v>3</v>
      </c>
      <c r="M167" s="119" t="s">
        <v>12</v>
      </c>
      <c r="N167" s="235" t="s">
        <v>1</v>
      </c>
    </row>
    <row r="168" spans="2:14" ht="18" hidden="1" customHeight="1" x14ac:dyDescent="0.25">
      <c r="B168" s="234">
        <f t="shared" ca="1" si="2"/>
        <v>158</v>
      </c>
      <c r="C168" s="83">
        <v>44532</v>
      </c>
      <c r="D168" s="118" t="s">
        <v>503</v>
      </c>
      <c r="E168" s="26"/>
      <c r="F168" s="26" t="s">
        <v>66</v>
      </c>
      <c r="G168" s="29" t="s">
        <v>504</v>
      </c>
      <c r="H168" s="54" t="s">
        <v>505</v>
      </c>
      <c r="I168" s="29" t="s">
        <v>503</v>
      </c>
      <c r="J168" s="29" t="s">
        <v>506</v>
      </c>
      <c r="K168" s="119">
        <v>44532</v>
      </c>
      <c r="L168" s="34">
        <v>3</v>
      </c>
      <c r="M168" s="119" t="s">
        <v>12</v>
      </c>
      <c r="N168" s="235" t="s">
        <v>1</v>
      </c>
    </row>
    <row r="169" spans="2:14" ht="18" hidden="1" customHeight="1" x14ac:dyDescent="0.25">
      <c r="B169" s="234">
        <f t="shared" ca="1" si="2"/>
        <v>159</v>
      </c>
      <c r="C169" s="83">
        <v>44533</v>
      </c>
      <c r="D169" s="118" t="s">
        <v>503</v>
      </c>
      <c r="E169" s="26" t="s">
        <v>117</v>
      </c>
      <c r="F169" s="26" t="s">
        <v>66</v>
      </c>
      <c r="G169" s="29" t="s">
        <v>507</v>
      </c>
      <c r="H169" s="54" t="s">
        <v>508</v>
      </c>
      <c r="I169" s="29" t="s">
        <v>503</v>
      </c>
      <c r="J169" s="29" t="s">
        <v>275</v>
      </c>
      <c r="K169" s="119">
        <v>44533</v>
      </c>
      <c r="L169" s="34">
        <v>3</v>
      </c>
      <c r="M169" s="119" t="s">
        <v>12</v>
      </c>
      <c r="N169" s="235" t="s">
        <v>1</v>
      </c>
    </row>
    <row r="170" spans="2:14" ht="18" hidden="1" customHeight="1" x14ac:dyDescent="0.25">
      <c r="B170" s="234">
        <f t="shared" ca="1" si="2"/>
        <v>160</v>
      </c>
      <c r="C170" s="83">
        <v>44536</v>
      </c>
      <c r="D170" s="118" t="s">
        <v>53</v>
      </c>
      <c r="E170" s="26" t="s">
        <v>38</v>
      </c>
      <c r="F170" s="26" t="s">
        <v>324</v>
      </c>
      <c r="G170" s="29" t="s">
        <v>518</v>
      </c>
      <c r="H170" s="54" t="s">
        <v>546</v>
      </c>
      <c r="I170" s="29" t="s">
        <v>522</v>
      </c>
      <c r="J170" s="29" t="s">
        <v>517</v>
      </c>
      <c r="K170" s="119">
        <v>44551</v>
      </c>
      <c r="L170" s="34">
        <v>3</v>
      </c>
      <c r="M170" s="119" t="s">
        <v>12</v>
      </c>
      <c r="N170" s="235" t="s">
        <v>1</v>
      </c>
    </row>
    <row r="171" spans="2:14" ht="18" hidden="1" customHeight="1" x14ac:dyDescent="0.25">
      <c r="B171" s="234">
        <f t="shared" ca="1" si="2"/>
        <v>161</v>
      </c>
      <c r="C171" s="83">
        <v>44537</v>
      </c>
      <c r="D171" s="118" t="s">
        <v>53</v>
      </c>
      <c r="E171" s="26" t="s">
        <v>44</v>
      </c>
      <c r="F171" s="26" t="s">
        <v>242</v>
      </c>
      <c r="G171" s="29" t="s">
        <v>519</v>
      </c>
      <c r="H171" s="54" t="s">
        <v>521</v>
      </c>
      <c r="I171" s="29" t="s">
        <v>53</v>
      </c>
      <c r="J171" s="29" t="s">
        <v>520</v>
      </c>
      <c r="K171" s="119">
        <v>44537</v>
      </c>
      <c r="L171" s="34">
        <v>3</v>
      </c>
      <c r="M171" s="119" t="s">
        <v>12</v>
      </c>
      <c r="N171" s="235" t="s">
        <v>1</v>
      </c>
    </row>
    <row r="172" spans="2:14" ht="37.5" hidden="1" x14ac:dyDescent="0.25">
      <c r="B172" s="234">
        <f t="shared" ca="1" si="2"/>
        <v>162</v>
      </c>
      <c r="C172" s="83">
        <v>44537</v>
      </c>
      <c r="D172" s="118" t="s">
        <v>34</v>
      </c>
      <c r="E172" s="26" t="s">
        <v>117</v>
      </c>
      <c r="F172" s="26" t="s">
        <v>442</v>
      </c>
      <c r="G172" s="29" t="s">
        <v>528</v>
      </c>
      <c r="H172" s="54" t="s">
        <v>693</v>
      </c>
      <c r="I172" s="29" t="s">
        <v>606</v>
      </c>
      <c r="J172" s="29" t="s">
        <v>427</v>
      </c>
      <c r="K172" s="119">
        <v>44576</v>
      </c>
      <c r="L172" s="34">
        <v>1</v>
      </c>
      <c r="M172" s="119" t="s">
        <v>12</v>
      </c>
      <c r="N172" s="235" t="s">
        <v>1</v>
      </c>
    </row>
    <row r="173" spans="2:14" ht="18" hidden="1" customHeight="1" x14ac:dyDescent="0.25">
      <c r="B173" s="234">
        <f t="shared" ca="1" si="2"/>
        <v>163</v>
      </c>
      <c r="C173" s="100">
        <v>44540</v>
      </c>
      <c r="D173" s="101" t="s">
        <v>53</v>
      </c>
      <c r="E173" s="99" t="s">
        <v>38</v>
      </c>
      <c r="F173" s="99" t="s">
        <v>50</v>
      </c>
      <c r="G173" s="29" t="s">
        <v>557</v>
      </c>
      <c r="H173" s="54" t="s">
        <v>564</v>
      </c>
      <c r="I173" s="102" t="s">
        <v>543</v>
      </c>
      <c r="J173" s="102" t="s">
        <v>130</v>
      </c>
      <c r="K173" s="119">
        <v>44572</v>
      </c>
      <c r="L173" s="34">
        <v>3</v>
      </c>
      <c r="M173" s="103" t="s">
        <v>12</v>
      </c>
      <c r="N173" s="235" t="s">
        <v>1</v>
      </c>
    </row>
    <row r="174" spans="2:14" ht="18" hidden="1" customHeight="1" x14ac:dyDescent="0.25">
      <c r="B174" s="234">
        <f t="shared" ca="1" si="2"/>
        <v>164</v>
      </c>
      <c r="C174" s="83">
        <v>44543</v>
      </c>
      <c r="D174" s="118" t="s">
        <v>503</v>
      </c>
      <c r="E174" s="26" t="s">
        <v>117</v>
      </c>
      <c r="F174" s="26" t="s">
        <v>66</v>
      </c>
      <c r="G174" s="29" t="s">
        <v>529</v>
      </c>
      <c r="H174" s="54" t="s">
        <v>508</v>
      </c>
      <c r="I174" s="29" t="s">
        <v>503</v>
      </c>
      <c r="J174" s="29" t="s">
        <v>275</v>
      </c>
      <c r="K174" s="119">
        <v>44543</v>
      </c>
      <c r="L174" s="34">
        <v>3</v>
      </c>
      <c r="M174" s="119" t="s">
        <v>12</v>
      </c>
      <c r="N174" s="235" t="s">
        <v>1</v>
      </c>
    </row>
    <row r="175" spans="2:14" ht="18" hidden="1" customHeight="1" x14ac:dyDescent="0.25">
      <c r="B175" s="234">
        <f t="shared" ca="1" si="2"/>
        <v>165</v>
      </c>
      <c r="C175" s="83">
        <v>44544</v>
      </c>
      <c r="D175" s="118" t="s">
        <v>503</v>
      </c>
      <c r="E175" s="26" t="s">
        <v>117</v>
      </c>
      <c r="F175" s="26" t="s">
        <v>66</v>
      </c>
      <c r="G175" s="29" t="s">
        <v>530</v>
      </c>
      <c r="H175" s="54" t="s">
        <v>508</v>
      </c>
      <c r="I175" s="29" t="s">
        <v>503</v>
      </c>
      <c r="J175" s="29" t="s">
        <v>275</v>
      </c>
      <c r="K175" s="119">
        <v>44544</v>
      </c>
      <c r="L175" s="34">
        <v>3</v>
      </c>
      <c r="M175" s="119" t="s">
        <v>12</v>
      </c>
      <c r="N175" s="235" t="s">
        <v>1</v>
      </c>
    </row>
    <row r="176" spans="2:14" ht="18" hidden="1" customHeight="1" x14ac:dyDescent="0.25">
      <c r="B176" s="234">
        <f t="shared" ca="1" si="2"/>
        <v>166</v>
      </c>
      <c r="C176" s="83">
        <v>44543</v>
      </c>
      <c r="D176" s="118" t="s">
        <v>503</v>
      </c>
      <c r="E176" s="26" t="s">
        <v>531</v>
      </c>
      <c r="F176" s="26" t="s">
        <v>66</v>
      </c>
      <c r="G176" s="29" t="s">
        <v>532</v>
      </c>
      <c r="H176" s="54" t="s">
        <v>533</v>
      </c>
      <c r="I176" s="29" t="s">
        <v>503</v>
      </c>
      <c r="J176" s="29" t="s">
        <v>534</v>
      </c>
      <c r="K176" s="119">
        <v>44543</v>
      </c>
      <c r="L176" s="34">
        <v>3</v>
      </c>
      <c r="M176" s="119" t="s">
        <v>12</v>
      </c>
      <c r="N176" s="235" t="s">
        <v>1</v>
      </c>
    </row>
    <row r="177" spans="2:14" ht="18" hidden="1" customHeight="1" x14ac:dyDescent="0.25">
      <c r="B177" s="234">
        <f t="shared" ca="1" si="2"/>
        <v>167</v>
      </c>
      <c r="C177" s="83">
        <v>44544</v>
      </c>
      <c r="D177" s="118" t="s">
        <v>37</v>
      </c>
      <c r="E177" s="26"/>
      <c r="F177" s="26" t="s">
        <v>536</v>
      </c>
      <c r="G177" s="29" t="s">
        <v>537</v>
      </c>
      <c r="H177" s="54" t="s">
        <v>538</v>
      </c>
      <c r="I177" s="29" t="s">
        <v>539</v>
      </c>
      <c r="J177" s="29" t="s">
        <v>535</v>
      </c>
      <c r="K177" s="119">
        <v>44544</v>
      </c>
      <c r="L177" s="34">
        <v>3</v>
      </c>
      <c r="M177" s="119" t="s">
        <v>12</v>
      </c>
      <c r="N177" s="235" t="s">
        <v>1</v>
      </c>
    </row>
    <row r="178" spans="2:14" ht="18" hidden="1" customHeight="1" x14ac:dyDescent="0.25">
      <c r="B178" s="234">
        <f t="shared" ca="1" si="2"/>
        <v>168</v>
      </c>
      <c r="C178" s="83">
        <v>44544</v>
      </c>
      <c r="D178" s="118" t="s">
        <v>503</v>
      </c>
      <c r="E178" s="26"/>
      <c r="F178" s="26"/>
      <c r="G178" s="29" t="s">
        <v>540</v>
      </c>
      <c r="H178" s="54" t="s">
        <v>542</v>
      </c>
      <c r="I178" s="29" t="s">
        <v>503</v>
      </c>
      <c r="J178" s="29" t="s">
        <v>541</v>
      </c>
      <c r="K178" s="119">
        <v>44544</v>
      </c>
      <c r="L178" s="34">
        <v>3</v>
      </c>
      <c r="M178" s="119" t="s">
        <v>12</v>
      </c>
      <c r="N178" s="235" t="s">
        <v>1</v>
      </c>
    </row>
    <row r="179" spans="2:14" ht="18" hidden="1" customHeight="1" x14ac:dyDescent="0.25">
      <c r="B179" s="234">
        <f t="shared" ca="1" si="2"/>
        <v>169</v>
      </c>
      <c r="C179" s="100">
        <v>44550</v>
      </c>
      <c r="D179" s="101" t="s">
        <v>53</v>
      </c>
      <c r="E179" s="99" t="s">
        <v>44</v>
      </c>
      <c r="F179" s="99" t="s">
        <v>141</v>
      </c>
      <c r="G179" s="29" t="s">
        <v>544</v>
      </c>
      <c r="H179" s="54" t="s">
        <v>545</v>
      </c>
      <c r="I179" s="29" t="s">
        <v>53</v>
      </c>
      <c r="J179" s="102" t="s">
        <v>418</v>
      </c>
      <c r="K179" s="103">
        <v>44550</v>
      </c>
      <c r="L179" s="34">
        <v>3</v>
      </c>
      <c r="M179" s="103" t="s">
        <v>12</v>
      </c>
      <c r="N179" s="235" t="s">
        <v>1</v>
      </c>
    </row>
    <row r="180" spans="2:14" ht="18" hidden="1" customHeight="1" x14ac:dyDescent="0.25">
      <c r="B180" s="234">
        <f t="shared" ca="1" si="2"/>
        <v>170</v>
      </c>
      <c r="C180" s="100">
        <v>44551</v>
      </c>
      <c r="D180" s="101" t="s">
        <v>53</v>
      </c>
      <c r="E180" s="99" t="s">
        <v>38</v>
      </c>
      <c r="F180" s="99" t="s">
        <v>50</v>
      </c>
      <c r="G180" s="29" t="s">
        <v>547</v>
      </c>
      <c r="H180" s="54" t="s">
        <v>565</v>
      </c>
      <c r="I180" s="29" t="s">
        <v>548</v>
      </c>
      <c r="J180" s="102" t="s">
        <v>135</v>
      </c>
      <c r="K180" s="103">
        <v>44571</v>
      </c>
      <c r="L180" s="34">
        <v>3</v>
      </c>
      <c r="M180" s="103" t="s">
        <v>12</v>
      </c>
      <c r="N180" s="235" t="s">
        <v>1</v>
      </c>
    </row>
    <row r="181" spans="2:14" ht="18" hidden="1" customHeight="1" x14ac:dyDescent="0.25">
      <c r="B181" s="234">
        <f t="shared" ca="1" si="2"/>
        <v>171</v>
      </c>
      <c r="C181" s="100">
        <v>44546</v>
      </c>
      <c r="D181" s="118" t="s">
        <v>549</v>
      </c>
      <c r="E181" s="26" t="s">
        <v>31</v>
      </c>
      <c r="F181" s="26" t="s">
        <v>423</v>
      </c>
      <c r="G181" s="29" t="s">
        <v>425</v>
      </c>
      <c r="H181" s="54" t="s">
        <v>550</v>
      </c>
      <c r="I181" s="102" t="s">
        <v>549</v>
      </c>
      <c r="J181" s="91" t="s">
        <v>426</v>
      </c>
      <c r="K181" s="103">
        <v>44550</v>
      </c>
      <c r="L181" s="34">
        <v>3</v>
      </c>
      <c r="M181" s="119" t="s">
        <v>12</v>
      </c>
      <c r="N181" s="235" t="s">
        <v>551</v>
      </c>
    </row>
    <row r="182" spans="2:14" ht="18" hidden="1" customHeight="1" x14ac:dyDescent="0.25">
      <c r="B182" s="234">
        <f t="shared" ca="1" si="2"/>
        <v>172</v>
      </c>
      <c r="C182" s="100">
        <v>44567</v>
      </c>
      <c r="D182" s="118" t="s">
        <v>558</v>
      </c>
      <c r="E182" s="26" t="s">
        <v>80</v>
      </c>
      <c r="F182" s="26" t="s">
        <v>66</v>
      </c>
      <c r="G182" s="29" t="s">
        <v>552</v>
      </c>
      <c r="H182" s="54" t="s">
        <v>554</v>
      </c>
      <c r="I182" s="102" t="s">
        <v>503</v>
      </c>
      <c r="J182" s="91" t="s">
        <v>553</v>
      </c>
      <c r="K182" s="103">
        <v>44567</v>
      </c>
      <c r="L182" s="34">
        <v>3</v>
      </c>
      <c r="M182" s="119" t="s">
        <v>12</v>
      </c>
      <c r="N182" s="235" t="s">
        <v>551</v>
      </c>
    </row>
    <row r="183" spans="2:14" ht="18" hidden="1" customHeight="1" x14ac:dyDescent="0.25">
      <c r="B183" s="234">
        <f t="shared" ca="1" si="2"/>
        <v>173</v>
      </c>
      <c r="C183" s="100">
        <v>44911</v>
      </c>
      <c r="D183" s="101" t="s">
        <v>53</v>
      </c>
      <c r="E183" s="99" t="s">
        <v>38</v>
      </c>
      <c r="F183" s="99" t="s">
        <v>50</v>
      </c>
      <c r="G183" s="29" t="s">
        <v>556</v>
      </c>
      <c r="H183" s="54" t="s">
        <v>569</v>
      </c>
      <c r="I183" s="102" t="s">
        <v>555</v>
      </c>
      <c r="J183" s="102" t="s">
        <v>53</v>
      </c>
      <c r="K183" s="119">
        <v>44578</v>
      </c>
      <c r="L183" s="34">
        <v>3</v>
      </c>
      <c r="M183" s="103" t="s">
        <v>12</v>
      </c>
      <c r="N183" s="235" t="s">
        <v>1</v>
      </c>
    </row>
    <row r="184" spans="2:14" ht="18" hidden="1" customHeight="1" x14ac:dyDescent="0.25">
      <c r="B184" s="234">
        <f t="shared" ca="1" si="2"/>
        <v>174</v>
      </c>
      <c r="C184" s="100">
        <v>44568</v>
      </c>
      <c r="D184" s="101" t="s">
        <v>509</v>
      </c>
      <c r="E184" s="99" t="s">
        <v>64</v>
      </c>
      <c r="F184" s="99" t="s">
        <v>141</v>
      </c>
      <c r="G184" s="29" t="s">
        <v>142</v>
      </c>
      <c r="H184" s="54" t="s">
        <v>559</v>
      </c>
      <c r="I184" s="102" t="s">
        <v>558</v>
      </c>
      <c r="J184" s="102" t="s">
        <v>560</v>
      </c>
      <c r="K184" s="119">
        <v>44574</v>
      </c>
      <c r="L184" s="34">
        <v>3</v>
      </c>
      <c r="M184" s="103" t="s">
        <v>12</v>
      </c>
      <c r="N184" s="235" t="s">
        <v>1</v>
      </c>
    </row>
    <row r="185" spans="2:14" ht="18" hidden="1" customHeight="1" x14ac:dyDescent="0.25">
      <c r="B185" s="234">
        <f t="shared" ca="1" si="2"/>
        <v>175</v>
      </c>
      <c r="C185" s="100">
        <v>44572</v>
      </c>
      <c r="D185" s="101" t="s">
        <v>53</v>
      </c>
      <c r="E185" s="99" t="s">
        <v>38</v>
      </c>
      <c r="F185" s="99" t="s">
        <v>493</v>
      </c>
      <c r="G185" s="29" t="s">
        <v>566</v>
      </c>
      <c r="H185" s="54" t="s">
        <v>567</v>
      </c>
      <c r="I185" s="29" t="s">
        <v>53</v>
      </c>
      <c r="J185" s="102" t="s">
        <v>568</v>
      </c>
      <c r="K185" s="103">
        <v>44877</v>
      </c>
      <c r="L185" s="34">
        <v>3</v>
      </c>
      <c r="M185" s="103" t="s">
        <v>12</v>
      </c>
      <c r="N185" s="235" t="s">
        <v>1</v>
      </c>
    </row>
    <row r="186" spans="2:14" ht="337.5" hidden="1" x14ac:dyDescent="0.25">
      <c r="B186" s="234">
        <f t="shared" ca="1" si="2"/>
        <v>176</v>
      </c>
      <c r="C186" s="83">
        <v>44911</v>
      </c>
      <c r="D186" s="118" t="s">
        <v>558</v>
      </c>
      <c r="E186" s="26" t="s">
        <v>80</v>
      </c>
      <c r="F186" s="26" t="s">
        <v>64</v>
      </c>
      <c r="G186" s="29" t="s">
        <v>583</v>
      </c>
      <c r="H186" s="54" t="s">
        <v>927</v>
      </c>
      <c r="I186" s="29" t="s">
        <v>814</v>
      </c>
      <c r="J186" s="29" t="s">
        <v>33</v>
      </c>
      <c r="K186" s="119" t="s">
        <v>754</v>
      </c>
      <c r="L186" s="34">
        <v>3</v>
      </c>
      <c r="M186" s="119" t="s">
        <v>12</v>
      </c>
      <c r="N186" s="235" t="s">
        <v>1</v>
      </c>
    </row>
    <row r="187" spans="2:14" ht="18" hidden="1" customHeight="1" x14ac:dyDescent="0.25">
      <c r="B187" s="234">
        <f t="shared" ca="1" si="2"/>
        <v>177</v>
      </c>
      <c r="C187" s="100">
        <v>44571</v>
      </c>
      <c r="D187" s="101" t="s">
        <v>503</v>
      </c>
      <c r="E187" s="99" t="s">
        <v>575</v>
      </c>
      <c r="F187" s="99" t="s">
        <v>576</v>
      </c>
      <c r="G187" s="29" t="s">
        <v>573</v>
      </c>
      <c r="H187" s="54" t="s">
        <v>574</v>
      </c>
      <c r="I187" s="29" t="s">
        <v>503</v>
      </c>
      <c r="J187" s="102" t="s">
        <v>577</v>
      </c>
      <c r="K187" s="103">
        <v>44571</v>
      </c>
      <c r="L187" s="34">
        <v>3</v>
      </c>
      <c r="M187" s="103" t="s">
        <v>12</v>
      </c>
      <c r="N187" s="235" t="s">
        <v>1</v>
      </c>
    </row>
    <row r="188" spans="2:14" ht="12.6" hidden="1" customHeight="1" x14ac:dyDescent="0.25">
      <c r="B188" s="234">
        <f t="shared" ca="1" si="2"/>
        <v>178</v>
      </c>
      <c r="C188" s="100">
        <v>44575</v>
      </c>
      <c r="D188" s="101" t="s">
        <v>53</v>
      </c>
      <c r="E188" s="99" t="s">
        <v>38</v>
      </c>
      <c r="F188" s="99" t="s">
        <v>50</v>
      </c>
      <c r="G188" s="29" t="s">
        <v>578</v>
      </c>
      <c r="H188" s="54" t="s">
        <v>580</v>
      </c>
      <c r="I188" s="29" t="s">
        <v>53</v>
      </c>
      <c r="J188" s="102" t="s">
        <v>579</v>
      </c>
      <c r="K188" s="103">
        <v>44575</v>
      </c>
      <c r="L188" s="34">
        <v>3</v>
      </c>
      <c r="M188" s="103" t="s">
        <v>12</v>
      </c>
      <c r="N188" s="235" t="s">
        <v>1</v>
      </c>
    </row>
    <row r="189" spans="2:14" ht="112.5" hidden="1" x14ac:dyDescent="0.25">
      <c r="B189" s="234">
        <f t="shared" ca="1" si="2"/>
        <v>179</v>
      </c>
      <c r="C189" s="105">
        <v>44544</v>
      </c>
      <c r="D189" s="106" t="s">
        <v>581</v>
      </c>
      <c r="E189" s="107" t="s">
        <v>44</v>
      </c>
      <c r="F189" s="107" t="s">
        <v>242</v>
      </c>
      <c r="G189" s="109" t="s">
        <v>584</v>
      </c>
      <c r="H189" s="54" t="s">
        <v>1014</v>
      </c>
      <c r="I189" s="111" t="s">
        <v>582</v>
      </c>
      <c r="J189" s="111" t="s">
        <v>515</v>
      </c>
      <c r="K189" s="108">
        <v>44620</v>
      </c>
      <c r="L189" s="34">
        <v>3</v>
      </c>
      <c r="M189" s="108" t="s">
        <v>12</v>
      </c>
      <c r="N189" s="235" t="s">
        <v>30</v>
      </c>
    </row>
    <row r="190" spans="2:14" ht="18.75" hidden="1" x14ac:dyDescent="0.25">
      <c r="B190" s="234">
        <f t="shared" ca="1" si="2"/>
        <v>180</v>
      </c>
      <c r="C190" s="105">
        <v>44580</v>
      </c>
      <c r="D190" s="118" t="s">
        <v>558</v>
      </c>
      <c r="E190" s="107" t="s">
        <v>80</v>
      </c>
      <c r="F190" s="107" t="s">
        <v>141</v>
      </c>
      <c r="G190" s="109" t="s">
        <v>587</v>
      </c>
      <c r="H190" s="110" t="s">
        <v>588</v>
      </c>
      <c r="I190" s="111" t="s">
        <v>503</v>
      </c>
      <c r="J190" s="111" t="s">
        <v>589</v>
      </c>
      <c r="K190" s="108">
        <v>44581</v>
      </c>
      <c r="L190" s="34">
        <v>3</v>
      </c>
      <c r="M190" s="108" t="s">
        <v>12</v>
      </c>
      <c r="N190" s="238" t="s">
        <v>1</v>
      </c>
    </row>
    <row r="191" spans="2:14" ht="56.25" hidden="1" x14ac:dyDescent="0.25">
      <c r="B191" s="234">
        <f t="shared" ca="1" si="2"/>
        <v>181</v>
      </c>
      <c r="C191" s="105">
        <v>44580</v>
      </c>
      <c r="D191" s="118" t="s">
        <v>558</v>
      </c>
      <c r="E191" s="107" t="s">
        <v>80</v>
      </c>
      <c r="F191" s="26" t="s">
        <v>64</v>
      </c>
      <c r="G191" s="109" t="s">
        <v>139</v>
      </c>
      <c r="H191" s="110" t="s">
        <v>591</v>
      </c>
      <c r="I191" s="111" t="s">
        <v>503</v>
      </c>
      <c r="J191" s="111" t="s">
        <v>590</v>
      </c>
      <c r="K191" s="108">
        <v>44581</v>
      </c>
      <c r="L191" s="34">
        <v>3</v>
      </c>
      <c r="M191" s="108" t="s">
        <v>12</v>
      </c>
      <c r="N191" s="238" t="s">
        <v>1</v>
      </c>
    </row>
    <row r="192" spans="2:14" ht="35.450000000000003" hidden="1" customHeight="1" x14ac:dyDescent="0.25">
      <c r="B192" s="234">
        <f t="shared" ca="1" si="2"/>
        <v>182</v>
      </c>
      <c r="C192" s="105">
        <v>44580</v>
      </c>
      <c r="D192" s="118" t="s">
        <v>558</v>
      </c>
      <c r="E192" s="107" t="s">
        <v>80</v>
      </c>
      <c r="F192" s="107" t="s">
        <v>593</v>
      </c>
      <c r="G192" s="109" t="s">
        <v>592</v>
      </c>
      <c r="H192" s="110" t="s">
        <v>595</v>
      </c>
      <c r="I192" s="111" t="s">
        <v>503</v>
      </c>
      <c r="J192" s="111" t="s">
        <v>594</v>
      </c>
      <c r="K192" s="108">
        <v>44581</v>
      </c>
      <c r="L192" s="34">
        <v>3</v>
      </c>
      <c r="M192" s="108" t="s">
        <v>12</v>
      </c>
      <c r="N192" s="238" t="s">
        <v>1</v>
      </c>
    </row>
    <row r="193" spans="2:14" ht="18" hidden="1" customHeight="1" x14ac:dyDescent="0.25">
      <c r="B193" s="234">
        <f t="shared" ca="1" si="2"/>
        <v>183</v>
      </c>
      <c r="C193" s="83">
        <v>44582</v>
      </c>
      <c r="D193" s="118" t="s">
        <v>53</v>
      </c>
      <c r="E193" s="26" t="s">
        <v>38</v>
      </c>
      <c r="F193" s="26" t="s">
        <v>50</v>
      </c>
      <c r="G193" s="29" t="s">
        <v>600</v>
      </c>
      <c r="H193" s="54" t="s">
        <v>602</v>
      </c>
      <c r="I193" s="29" t="s">
        <v>53</v>
      </c>
      <c r="J193" s="29" t="s">
        <v>601</v>
      </c>
      <c r="K193" s="119">
        <v>44582</v>
      </c>
      <c r="L193" s="34">
        <v>3</v>
      </c>
      <c r="M193" s="119" t="s">
        <v>12</v>
      </c>
      <c r="N193" s="235" t="s">
        <v>1</v>
      </c>
    </row>
    <row r="194" spans="2:14" ht="72" hidden="1" customHeight="1" x14ac:dyDescent="0.25">
      <c r="B194" s="234">
        <f t="shared" ca="1" si="2"/>
        <v>184</v>
      </c>
      <c r="C194" s="105">
        <v>44582</v>
      </c>
      <c r="D194" s="106" t="s">
        <v>53</v>
      </c>
      <c r="E194" s="107" t="s">
        <v>38</v>
      </c>
      <c r="F194" s="107" t="s">
        <v>50</v>
      </c>
      <c r="G194" s="72" t="s">
        <v>603</v>
      </c>
      <c r="H194" s="54" t="s">
        <v>630</v>
      </c>
      <c r="I194" s="111" t="s">
        <v>604</v>
      </c>
      <c r="J194" s="111" t="s">
        <v>447</v>
      </c>
      <c r="K194" s="108">
        <v>44615</v>
      </c>
      <c r="L194" s="34">
        <v>3</v>
      </c>
      <c r="M194" s="108" t="s">
        <v>12</v>
      </c>
      <c r="N194" s="235" t="s">
        <v>1</v>
      </c>
    </row>
    <row r="195" spans="2:14" ht="18" hidden="1" customHeight="1" x14ac:dyDescent="0.25">
      <c r="B195" s="234">
        <f t="shared" ca="1" si="2"/>
        <v>185</v>
      </c>
      <c r="C195" s="83">
        <v>44587</v>
      </c>
      <c r="D195" s="118" t="s">
        <v>53</v>
      </c>
      <c r="E195" s="26" t="s">
        <v>38</v>
      </c>
      <c r="F195" s="26" t="s">
        <v>324</v>
      </c>
      <c r="G195" s="29" t="s">
        <v>607</v>
      </c>
      <c r="H195" s="54" t="s">
        <v>608</v>
      </c>
      <c r="I195" s="29" t="s">
        <v>53</v>
      </c>
      <c r="J195" s="29" t="s">
        <v>609</v>
      </c>
      <c r="K195" s="119">
        <v>44588</v>
      </c>
      <c r="L195" s="34">
        <v>3</v>
      </c>
      <c r="M195" s="119" t="s">
        <v>12</v>
      </c>
      <c r="N195" s="235" t="s">
        <v>1</v>
      </c>
    </row>
    <row r="196" spans="2:14" ht="18" hidden="1" customHeight="1" x14ac:dyDescent="0.25">
      <c r="B196" s="234">
        <f t="shared" ca="1" si="2"/>
        <v>186</v>
      </c>
      <c r="C196" s="100">
        <v>44586</v>
      </c>
      <c r="D196" s="118" t="s">
        <v>558</v>
      </c>
      <c r="E196" s="26" t="s">
        <v>80</v>
      </c>
      <c r="F196" s="26" t="s">
        <v>593</v>
      </c>
      <c r="G196" s="29" t="s">
        <v>612</v>
      </c>
      <c r="H196" s="54" t="s">
        <v>611</v>
      </c>
      <c r="I196" s="102" t="s">
        <v>503</v>
      </c>
      <c r="J196" s="91" t="s">
        <v>610</v>
      </c>
      <c r="K196" s="103">
        <v>44617</v>
      </c>
      <c r="L196" s="34">
        <v>3</v>
      </c>
      <c r="M196" s="119" t="s">
        <v>12</v>
      </c>
      <c r="N196" s="235" t="s">
        <v>1</v>
      </c>
    </row>
    <row r="197" spans="2:14" ht="18" hidden="1" customHeight="1" x14ac:dyDescent="0.25">
      <c r="B197" s="234">
        <f t="shared" ca="1" si="2"/>
        <v>187</v>
      </c>
      <c r="C197" s="100">
        <v>44588</v>
      </c>
      <c r="D197" s="118" t="s">
        <v>53</v>
      </c>
      <c r="E197" s="26" t="s">
        <v>38</v>
      </c>
      <c r="F197" s="26" t="s">
        <v>324</v>
      </c>
      <c r="G197" s="29" t="s">
        <v>614</v>
      </c>
      <c r="H197" s="54" t="s">
        <v>640</v>
      </c>
      <c r="I197" s="102" t="s">
        <v>53</v>
      </c>
      <c r="J197" s="91" t="s">
        <v>609</v>
      </c>
      <c r="K197" s="103">
        <v>44620</v>
      </c>
      <c r="L197" s="34">
        <v>3</v>
      </c>
      <c r="M197" s="119" t="s">
        <v>12</v>
      </c>
      <c r="N197" s="235" t="s">
        <v>1</v>
      </c>
    </row>
    <row r="198" spans="2:14" ht="18" hidden="1" customHeight="1" x14ac:dyDescent="0.25">
      <c r="B198" s="234">
        <f t="shared" ca="1" si="2"/>
        <v>188</v>
      </c>
      <c r="C198" s="100">
        <v>44594</v>
      </c>
      <c r="D198" s="118" t="s">
        <v>53</v>
      </c>
      <c r="E198" s="26" t="s">
        <v>38</v>
      </c>
      <c r="F198" s="26" t="s">
        <v>50</v>
      </c>
      <c r="G198" s="29" t="s">
        <v>615</v>
      </c>
      <c r="H198" s="54" t="s">
        <v>621</v>
      </c>
      <c r="I198" s="102" t="s">
        <v>53</v>
      </c>
      <c r="J198" s="91" t="s">
        <v>135</v>
      </c>
      <c r="K198" s="103">
        <v>44594</v>
      </c>
      <c r="L198" s="34">
        <v>3</v>
      </c>
      <c r="M198" s="119" t="s">
        <v>12</v>
      </c>
      <c r="N198" s="235" t="s">
        <v>1</v>
      </c>
    </row>
    <row r="199" spans="2:14" ht="18" hidden="1" customHeight="1" x14ac:dyDescent="0.25">
      <c r="B199" s="234">
        <f t="shared" ca="1" si="2"/>
        <v>189</v>
      </c>
      <c r="C199" s="100">
        <v>44594</v>
      </c>
      <c r="D199" s="118" t="s">
        <v>558</v>
      </c>
      <c r="E199" s="26" t="s">
        <v>80</v>
      </c>
      <c r="F199" s="26" t="s">
        <v>66</v>
      </c>
      <c r="G199" s="29" t="s">
        <v>618</v>
      </c>
      <c r="H199" s="54" t="s">
        <v>619</v>
      </c>
      <c r="I199" s="102" t="s">
        <v>503</v>
      </c>
      <c r="J199" s="91" t="s">
        <v>553</v>
      </c>
      <c r="K199" s="103">
        <v>44594</v>
      </c>
      <c r="L199" s="34">
        <v>3</v>
      </c>
      <c r="M199" s="119" t="s">
        <v>12</v>
      </c>
      <c r="N199" s="235" t="s">
        <v>1</v>
      </c>
    </row>
    <row r="200" spans="2:14" ht="18" hidden="1" customHeight="1" x14ac:dyDescent="0.25">
      <c r="B200" s="234">
        <f t="shared" ca="1" si="2"/>
        <v>190</v>
      </c>
      <c r="C200" s="100">
        <v>44596</v>
      </c>
      <c r="D200" s="118" t="s">
        <v>53</v>
      </c>
      <c r="E200" s="26" t="s">
        <v>38</v>
      </c>
      <c r="F200" s="26" t="s">
        <v>50</v>
      </c>
      <c r="G200" s="29" t="s">
        <v>620</v>
      </c>
      <c r="H200" s="54" t="s">
        <v>622</v>
      </c>
      <c r="I200" s="102" t="s">
        <v>53</v>
      </c>
      <c r="J200" s="91" t="s">
        <v>135</v>
      </c>
      <c r="K200" s="103">
        <v>44599</v>
      </c>
      <c r="L200" s="34">
        <v>3</v>
      </c>
      <c r="M200" s="119" t="s">
        <v>12</v>
      </c>
      <c r="N200" s="235" t="s">
        <v>1</v>
      </c>
    </row>
    <row r="201" spans="2:14" ht="18" hidden="1" customHeight="1" x14ac:dyDescent="0.25">
      <c r="B201" s="234">
        <f t="shared" ca="1" si="2"/>
        <v>191</v>
      </c>
      <c r="C201" s="100">
        <v>44595</v>
      </c>
      <c r="D201" s="118" t="s">
        <v>53</v>
      </c>
      <c r="E201" s="26" t="s">
        <v>38</v>
      </c>
      <c r="F201" s="26" t="s">
        <v>50</v>
      </c>
      <c r="G201" s="29" t="s">
        <v>623</v>
      </c>
      <c r="H201" s="54" t="s">
        <v>625</v>
      </c>
      <c r="I201" s="102" t="s">
        <v>53</v>
      </c>
      <c r="J201" s="91" t="s">
        <v>624</v>
      </c>
      <c r="K201" s="103">
        <v>44606</v>
      </c>
      <c r="L201" s="34">
        <v>3</v>
      </c>
      <c r="M201" s="119" t="s">
        <v>12</v>
      </c>
      <c r="N201" s="235" t="s">
        <v>1</v>
      </c>
    </row>
    <row r="202" spans="2:14" ht="18" hidden="1" customHeight="1" x14ac:dyDescent="0.25">
      <c r="B202" s="234">
        <f t="shared" ca="1" si="2"/>
        <v>192</v>
      </c>
      <c r="C202" s="100">
        <v>44602</v>
      </c>
      <c r="D202" s="118" t="s">
        <v>53</v>
      </c>
      <c r="E202" s="26" t="s">
        <v>38</v>
      </c>
      <c r="F202" s="26" t="s">
        <v>50</v>
      </c>
      <c r="G202" s="29" t="s">
        <v>626</v>
      </c>
      <c r="H202" s="54" t="s">
        <v>628</v>
      </c>
      <c r="I202" s="102" t="s">
        <v>53</v>
      </c>
      <c r="J202" s="91" t="s">
        <v>53</v>
      </c>
      <c r="K202" s="103">
        <v>44610</v>
      </c>
      <c r="L202" s="34">
        <v>3</v>
      </c>
      <c r="M202" s="119" t="s">
        <v>12</v>
      </c>
      <c r="N202" s="235" t="s">
        <v>1</v>
      </c>
    </row>
    <row r="203" spans="2:14" ht="79.900000000000006" hidden="1" customHeight="1" x14ac:dyDescent="0.25">
      <c r="B203" s="234">
        <f t="shared" ca="1" si="2"/>
        <v>193</v>
      </c>
      <c r="C203" s="113">
        <v>44609</v>
      </c>
      <c r="D203" s="114" t="s">
        <v>37</v>
      </c>
      <c r="E203" s="112" t="s">
        <v>80</v>
      </c>
      <c r="F203" s="112"/>
      <c r="G203" s="115" t="s">
        <v>627</v>
      </c>
      <c r="H203" s="54" t="s">
        <v>1165</v>
      </c>
      <c r="I203" s="29" t="s">
        <v>696</v>
      </c>
      <c r="J203" s="116" t="s">
        <v>553</v>
      </c>
      <c r="K203" s="117"/>
      <c r="L203" s="34">
        <v>3</v>
      </c>
      <c r="M203" s="117" t="s">
        <v>12</v>
      </c>
      <c r="N203" s="235" t="s">
        <v>1</v>
      </c>
    </row>
    <row r="204" spans="2:14" ht="37.5" hidden="1" x14ac:dyDescent="0.25">
      <c r="B204" s="234">
        <f t="shared" ref="B204:B267" ca="1" si="3">OFFSET(B204,-1,0)+1</f>
        <v>194</v>
      </c>
      <c r="C204" s="113">
        <v>44610</v>
      </c>
      <c r="D204" s="114" t="s">
        <v>581</v>
      </c>
      <c r="E204" s="112" t="s">
        <v>44</v>
      </c>
      <c r="F204" s="112" t="s">
        <v>141</v>
      </c>
      <c r="G204" s="115" t="s">
        <v>629</v>
      </c>
      <c r="H204" s="54" t="s">
        <v>1015</v>
      </c>
      <c r="I204" s="116" t="s">
        <v>549</v>
      </c>
      <c r="J204" s="116" t="s">
        <v>33</v>
      </c>
      <c r="K204" s="117">
        <v>44620</v>
      </c>
      <c r="L204" s="34">
        <v>3</v>
      </c>
      <c r="M204" s="117" t="s">
        <v>12</v>
      </c>
      <c r="N204" s="235" t="s">
        <v>30</v>
      </c>
    </row>
    <row r="205" spans="2:14" ht="63" customHeight="1" x14ac:dyDescent="0.25">
      <c r="B205" s="26">
        <f t="shared" ca="1" si="3"/>
        <v>195</v>
      </c>
      <c r="C205" s="113">
        <v>44610</v>
      </c>
      <c r="D205" s="114" t="s">
        <v>53</v>
      </c>
      <c r="E205" s="112" t="s">
        <v>44</v>
      </c>
      <c r="F205" s="112" t="s">
        <v>56</v>
      </c>
      <c r="G205" s="115" t="s">
        <v>631</v>
      </c>
      <c r="H205" s="54" t="s">
        <v>825</v>
      </c>
      <c r="I205" s="29" t="s">
        <v>827</v>
      </c>
      <c r="J205" s="111" t="s">
        <v>515</v>
      </c>
      <c r="K205" s="117"/>
      <c r="L205" s="34">
        <v>3</v>
      </c>
      <c r="M205" s="117" t="s">
        <v>12</v>
      </c>
      <c r="N205" s="116" t="s">
        <v>0</v>
      </c>
    </row>
    <row r="206" spans="2:14" ht="30.6" hidden="1" customHeight="1" x14ac:dyDescent="0.25">
      <c r="B206" s="234">
        <f t="shared" ca="1" si="3"/>
        <v>196</v>
      </c>
      <c r="C206" s="113">
        <v>44616</v>
      </c>
      <c r="D206" s="118" t="s">
        <v>37</v>
      </c>
      <c r="E206" s="26" t="s">
        <v>80</v>
      </c>
      <c r="F206" s="26" t="s">
        <v>593</v>
      </c>
      <c r="G206" s="72" t="s">
        <v>634</v>
      </c>
      <c r="H206" s="54" t="s">
        <v>635</v>
      </c>
      <c r="I206" s="29" t="s">
        <v>503</v>
      </c>
      <c r="J206" s="29" t="s">
        <v>633</v>
      </c>
      <c r="K206" s="117">
        <v>44615</v>
      </c>
      <c r="L206" s="34">
        <v>3</v>
      </c>
      <c r="M206" s="119" t="s">
        <v>12</v>
      </c>
      <c r="N206" s="235" t="s">
        <v>1</v>
      </c>
    </row>
    <row r="207" spans="2:14" ht="18" hidden="1" customHeight="1" x14ac:dyDescent="0.25">
      <c r="B207" s="234">
        <f t="shared" ca="1" si="3"/>
        <v>197</v>
      </c>
      <c r="C207" s="100">
        <v>44620</v>
      </c>
      <c r="D207" s="118" t="s">
        <v>53</v>
      </c>
      <c r="E207" s="26" t="s">
        <v>38</v>
      </c>
      <c r="F207" s="26" t="s">
        <v>324</v>
      </c>
      <c r="G207" s="29" t="s">
        <v>636</v>
      </c>
      <c r="H207" s="54" t="s">
        <v>637</v>
      </c>
      <c r="I207" s="102" t="s">
        <v>53</v>
      </c>
      <c r="J207" s="91" t="s">
        <v>638</v>
      </c>
      <c r="K207" s="103">
        <v>44620</v>
      </c>
      <c r="L207" s="34">
        <v>3</v>
      </c>
      <c r="M207" s="119" t="s">
        <v>12</v>
      </c>
      <c r="N207" s="235" t="s">
        <v>1</v>
      </c>
    </row>
    <row r="208" spans="2:14" ht="18" hidden="1" customHeight="1" x14ac:dyDescent="0.25">
      <c r="B208" s="234">
        <f t="shared" ca="1" si="3"/>
        <v>198</v>
      </c>
      <c r="C208" s="100">
        <v>44624</v>
      </c>
      <c r="D208" s="118" t="s">
        <v>53</v>
      </c>
      <c r="E208" s="26" t="s">
        <v>38</v>
      </c>
      <c r="F208" s="26" t="s">
        <v>324</v>
      </c>
      <c r="G208" s="29" t="s">
        <v>641</v>
      </c>
      <c r="H208" s="54" t="s">
        <v>642</v>
      </c>
      <c r="I208" s="102" t="s">
        <v>53</v>
      </c>
      <c r="J208" s="91" t="s">
        <v>609</v>
      </c>
      <c r="K208" s="103">
        <v>44624</v>
      </c>
      <c r="L208" s="34">
        <v>3</v>
      </c>
      <c r="M208" s="119" t="s">
        <v>12</v>
      </c>
      <c r="N208" s="235" t="s">
        <v>1</v>
      </c>
    </row>
    <row r="209" spans="2:14" ht="18" hidden="1" customHeight="1" x14ac:dyDescent="0.25">
      <c r="B209" s="234">
        <f t="shared" ca="1" si="3"/>
        <v>199</v>
      </c>
      <c r="C209" s="100">
        <v>44621</v>
      </c>
      <c r="D209" s="118" t="s">
        <v>37</v>
      </c>
      <c r="E209" s="26" t="s">
        <v>117</v>
      </c>
      <c r="F209" s="26" t="s">
        <v>141</v>
      </c>
      <c r="G209" s="29" t="s">
        <v>643</v>
      </c>
      <c r="H209" s="54" t="s">
        <v>644</v>
      </c>
      <c r="I209" s="102" t="s">
        <v>503</v>
      </c>
      <c r="J209" s="91" t="s">
        <v>645</v>
      </c>
      <c r="K209" s="103">
        <v>44621</v>
      </c>
      <c r="L209" s="34">
        <v>3</v>
      </c>
      <c r="M209" s="119" t="s">
        <v>12</v>
      </c>
      <c r="N209" s="235" t="s">
        <v>1</v>
      </c>
    </row>
    <row r="210" spans="2:14" ht="18" hidden="1" customHeight="1" x14ac:dyDescent="0.25">
      <c r="B210" s="234">
        <f t="shared" ca="1" si="3"/>
        <v>200</v>
      </c>
      <c r="C210" s="100">
        <v>44629</v>
      </c>
      <c r="D210" s="118" t="s">
        <v>503</v>
      </c>
      <c r="E210" s="26" t="s">
        <v>80</v>
      </c>
      <c r="F210" s="26" t="s">
        <v>593</v>
      </c>
      <c r="G210" s="29" t="s">
        <v>646</v>
      </c>
      <c r="H210" s="54" t="s">
        <v>647</v>
      </c>
      <c r="I210" s="102" t="s">
        <v>503</v>
      </c>
      <c r="J210" s="91" t="s">
        <v>610</v>
      </c>
      <c r="K210" s="103">
        <v>44629</v>
      </c>
      <c r="L210" s="34">
        <v>3</v>
      </c>
      <c r="M210" s="119" t="s">
        <v>12</v>
      </c>
      <c r="N210" s="235" t="s">
        <v>1</v>
      </c>
    </row>
    <row r="211" spans="2:14" ht="18" hidden="1" customHeight="1" x14ac:dyDescent="0.25">
      <c r="B211" s="234">
        <f t="shared" ca="1" si="3"/>
        <v>201</v>
      </c>
      <c r="C211" s="100">
        <v>44636</v>
      </c>
      <c r="D211" s="118" t="s">
        <v>53</v>
      </c>
      <c r="E211" s="26" t="s">
        <v>38</v>
      </c>
      <c r="F211" s="26" t="s">
        <v>50</v>
      </c>
      <c r="G211" s="29" t="s">
        <v>648</v>
      </c>
      <c r="H211" s="54" t="s">
        <v>649</v>
      </c>
      <c r="I211" s="102" t="s">
        <v>53</v>
      </c>
      <c r="J211" s="91" t="s">
        <v>650</v>
      </c>
      <c r="K211" s="103">
        <v>44636</v>
      </c>
      <c r="L211" s="34">
        <v>3</v>
      </c>
      <c r="M211" s="119" t="s">
        <v>12</v>
      </c>
      <c r="N211" s="235" t="s">
        <v>1</v>
      </c>
    </row>
    <row r="212" spans="2:14" ht="56.25" hidden="1" x14ac:dyDescent="0.25">
      <c r="B212" s="234">
        <f t="shared" ca="1" si="3"/>
        <v>202</v>
      </c>
      <c r="C212" s="83">
        <v>44637</v>
      </c>
      <c r="D212" s="118" t="s">
        <v>53</v>
      </c>
      <c r="E212" s="26" t="s">
        <v>44</v>
      </c>
      <c r="F212" s="26" t="s">
        <v>141</v>
      </c>
      <c r="G212" s="72" t="s">
        <v>652</v>
      </c>
      <c r="H212" s="54" t="s">
        <v>651</v>
      </c>
      <c r="I212" s="29" t="s">
        <v>53</v>
      </c>
      <c r="J212" s="29" t="s">
        <v>418</v>
      </c>
      <c r="K212" s="119">
        <v>44637</v>
      </c>
      <c r="L212" s="34">
        <v>3</v>
      </c>
      <c r="M212" s="119" t="s">
        <v>12</v>
      </c>
      <c r="N212" s="235" t="s">
        <v>1</v>
      </c>
    </row>
    <row r="213" spans="2:14" ht="75" hidden="1" x14ac:dyDescent="0.25">
      <c r="B213" s="234">
        <f t="shared" ca="1" si="3"/>
        <v>203</v>
      </c>
      <c r="C213" s="83">
        <v>44637</v>
      </c>
      <c r="D213" s="118" t="s">
        <v>53</v>
      </c>
      <c r="E213" s="26" t="s">
        <v>38</v>
      </c>
      <c r="F213" s="26" t="s">
        <v>50</v>
      </c>
      <c r="G213" s="72" t="s">
        <v>653</v>
      </c>
      <c r="H213" s="54" t="s">
        <v>654</v>
      </c>
      <c r="I213" s="29" t="s">
        <v>655</v>
      </c>
      <c r="J213" s="29" t="s">
        <v>135</v>
      </c>
      <c r="K213" s="119">
        <v>44649</v>
      </c>
      <c r="L213" s="34">
        <v>3</v>
      </c>
      <c r="M213" s="119" t="s">
        <v>12</v>
      </c>
      <c r="N213" s="235" t="s">
        <v>1</v>
      </c>
    </row>
    <row r="214" spans="2:14" ht="18.75" hidden="1" x14ac:dyDescent="0.25">
      <c r="B214" s="234">
        <f t="shared" ca="1" si="3"/>
        <v>204</v>
      </c>
      <c r="C214" s="83">
        <v>44631</v>
      </c>
      <c r="D214" s="124" t="s">
        <v>509</v>
      </c>
      <c r="E214" s="122" t="s">
        <v>80</v>
      </c>
      <c r="F214" s="122" t="s">
        <v>145</v>
      </c>
      <c r="G214" s="72" t="s">
        <v>587</v>
      </c>
      <c r="H214" s="54" t="s">
        <v>656</v>
      </c>
      <c r="I214" s="29" t="s">
        <v>503</v>
      </c>
      <c r="J214" s="204" t="s">
        <v>657</v>
      </c>
      <c r="K214" s="119">
        <v>44641</v>
      </c>
      <c r="L214" s="34">
        <v>3</v>
      </c>
      <c r="M214" s="119" t="s">
        <v>12</v>
      </c>
      <c r="N214" s="235" t="s">
        <v>1</v>
      </c>
    </row>
    <row r="215" spans="2:14" ht="18" hidden="1" customHeight="1" x14ac:dyDescent="0.25">
      <c r="B215" s="234">
        <f t="shared" ca="1" si="3"/>
        <v>205</v>
      </c>
      <c r="C215" s="83">
        <v>44641</v>
      </c>
      <c r="D215" s="124" t="s">
        <v>53</v>
      </c>
      <c r="E215" s="122" t="s">
        <v>38</v>
      </c>
      <c r="F215" s="122" t="s">
        <v>50</v>
      </c>
      <c r="G215" s="72" t="s">
        <v>658</v>
      </c>
      <c r="H215" s="54" t="s">
        <v>659</v>
      </c>
      <c r="I215" s="29" t="s">
        <v>53</v>
      </c>
      <c r="J215" s="204" t="s">
        <v>660</v>
      </c>
      <c r="K215" s="119">
        <v>44642</v>
      </c>
      <c r="L215" s="34">
        <v>3</v>
      </c>
      <c r="M215" s="119"/>
      <c r="N215" s="235" t="s">
        <v>1</v>
      </c>
    </row>
    <row r="216" spans="2:14" ht="18" hidden="1" customHeight="1" x14ac:dyDescent="0.25">
      <c r="B216" s="234">
        <f t="shared" ca="1" si="3"/>
        <v>206</v>
      </c>
      <c r="C216" s="123">
        <v>44641</v>
      </c>
      <c r="D216" s="124" t="s">
        <v>661</v>
      </c>
      <c r="E216" s="122" t="s">
        <v>38</v>
      </c>
      <c r="F216" s="122" t="s">
        <v>50</v>
      </c>
      <c r="G216" s="205" t="s">
        <v>664</v>
      </c>
      <c r="H216" s="206" t="s">
        <v>662</v>
      </c>
      <c r="I216" s="204" t="s">
        <v>661</v>
      </c>
      <c r="J216" s="204" t="s">
        <v>663</v>
      </c>
      <c r="K216" s="125">
        <v>44642</v>
      </c>
      <c r="L216" s="34">
        <v>3</v>
      </c>
      <c r="M216" s="125" t="s">
        <v>12</v>
      </c>
      <c r="N216" s="239" t="s">
        <v>1</v>
      </c>
    </row>
    <row r="217" spans="2:14" ht="40.15" hidden="1" customHeight="1" x14ac:dyDescent="0.25">
      <c r="B217" s="234">
        <f t="shared" ca="1" si="3"/>
        <v>207</v>
      </c>
      <c r="C217" s="123">
        <v>44641</v>
      </c>
      <c r="D217" s="124" t="s">
        <v>53</v>
      </c>
      <c r="E217" s="122" t="s">
        <v>38</v>
      </c>
      <c r="F217" s="122" t="s">
        <v>50</v>
      </c>
      <c r="G217" s="72" t="s">
        <v>669</v>
      </c>
      <c r="H217" s="54" t="s">
        <v>702</v>
      </c>
      <c r="I217" s="29" t="s">
        <v>682</v>
      </c>
      <c r="J217" s="204" t="s">
        <v>670</v>
      </c>
      <c r="K217" s="125">
        <v>44666</v>
      </c>
      <c r="L217" s="34">
        <v>3</v>
      </c>
      <c r="M217" s="125" t="s">
        <v>12</v>
      </c>
      <c r="N217" s="235" t="s">
        <v>1</v>
      </c>
    </row>
    <row r="218" spans="2:14" ht="56.25" hidden="1" x14ac:dyDescent="0.25">
      <c r="B218" s="234">
        <f t="shared" ca="1" si="3"/>
        <v>208</v>
      </c>
      <c r="C218" s="123">
        <v>44643</v>
      </c>
      <c r="D218" s="124" t="s">
        <v>53</v>
      </c>
      <c r="E218" s="122" t="s">
        <v>44</v>
      </c>
      <c r="F218" s="122" t="s">
        <v>141</v>
      </c>
      <c r="G218" s="205" t="s">
        <v>665</v>
      </c>
      <c r="H218" s="206" t="s">
        <v>666</v>
      </c>
      <c r="I218" s="204" t="s">
        <v>53</v>
      </c>
      <c r="J218" s="204" t="s">
        <v>418</v>
      </c>
      <c r="K218" s="125">
        <v>44643</v>
      </c>
      <c r="L218" s="34">
        <v>3</v>
      </c>
      <c r="M218" s="125" t="s">
        <v>12</v>
      </c>
      <c r="N218" s="239" t="s">
        <v>1</v>
      </c>
    </row>
    <row r="219" spans="2:14" ht="56.25" hidden="1" x14ac:dyDescent="0.25">
      <c r="B219" s="234">
        <f t="shared" ca="1" si="3"/>
        <v>209</v>
      </c>
      <c r="C219" s="123">
        <v>44643</v>
      </c>
      <c r="D219" s="124" t="s">
        <v>53</v>
      </c>
      <c r="E219" s="122" t="s">
        <v>38</v>
      </c>
      <c r="F219" s="122" t="s">
        <v>50</v>
      </c>
      <c r="G219" s="205" t="s">
        <v>667</v>
      </c>
      <c r="H219" s="206" t="s">
        <v>668</v>
      </c>
      <c r="I219" s="204" t="s">
        <v>53</v>
      </c>
      <c r="J219" s="204" t="s">
        <v>660</v>
      </c>
      <c r="K219" s="125">
        <v>44643</v>
      </c>
      <c r="L219" s="34">
        <v>3</v>
      </c>
      <c r="M219" s="125" t="s">
        <v>12</v>
      </c>
      <c r="N219" s="239" t="s">
        <v>1</v>
      </c>
    </row>
    <row r="220" spans="2:14" ht="18.75" hidden="1" x14ac:dyDescent="0.25">
      <c r="B220" s="234">
        <f t="shared" ca="1" si="3"/>
        <v>210</v>
      </c>
      <c r="C220" s="83">
        <v>44645</v>
      </c>
      <c r="D220" s="118" t="s">
        <v>53</v>
      </c>
      <c r="E220" s="26" t="s">
        <v>38</v>
      </c>
      <c r="F220" s="26" t="s">
        <v>50</v>
      </c>
      <c r="G220" s="72" t="s">
        <v>671</v>
      </c>
      <c r="H220" s="54" t="s">
        <v>672</v>
      </c>
      <c r="I220" s="29" t="s">
        <v>53</v>
      </c>
      <c r="J220" s="204" t="s">
        <v>673</v>
      </c>
      <c r="K220" s="119">
        <v>44645</v>
      </c>
      <c r="L220" s="34">
        <v>3</v>
      </c>
      <c r="M220" s="125" t="s">
        <v>12</v>
      </c>
      <c r="N220" s="239" t="s">
        <v>1</v>
      </c>
    </row>
    <row r="221" spans="2:14" ht="55.9" hidden="1" customHeight="1" x14ac:dyDescent="0.25">
      <c r="B221" s="234">
        <f t="shared" ca="1" si="3"/>
        <v>211</v>
      </c>
      <c r="C221" s="127">
        <v>44643</v>
      </c>
      <c r="D221" s="128" t="s">
        <v>37</v>
      </c>
      <c r="E221" s="126" t="s">
        <v>64</v>
      </c>
      <c r="F221" s="126" t="s">
        <v>674</v>
      </c>
      <c r="G221" s="130" t="s">
        <v>675</v>
      </c>
      <c r="H221" s="54" t="s">
        <v>706</v>
      </c>
      <c r="I221" s="29" t="s">
        <v>694</v>
      </c>
      <c r="J221" s="130" t="s">
        <v>676</v>
      </c>
      <c r="K221" s="119">
        <v>44651</v>
      </c>
      <c r="L221" s="34">
        <v>3</v>
      </c>
      <c r="M221" s="129" t="s">
        <v>12</v>
      </c>
      <c r="N221" s="235" t="s">
        <v>1</v>
      </c>
    </row>
    <row r="222" spans="2:14" ht="56.25" hidden="1" x14ac:dyDescent="0.25">
      <c r="B222" s="234">
        <f t="shared" ca="1" si="3"/>
        <v>212</v>
      </c>
      <c r="C222" s="146">
        <v>44649</v>
      </c>
      <c r="D222" s="118" t="s">
        <v>53</v>
      </c>
      <c r="E222" s="26" t="s">
        <v>38</v>
      </c>
      <c r="F222" s="26" t="s">
        <v>50</v>
      </c>
      <c r="G222" s="207" t="s">
        <v>677</v>
      </c>
      <c r="H222" s="208" t="s">
        <v>678</v>
      </c>
      <c r="I222" s="209" t="s">
        <v>53</v>
      </c>
      <c r="J222" s="209" t="s">
        <v>130</v>
      </c>
      <c r="K222" s="210">
        <v>44649</v>
      </c>
      <c r="L222" s="34">
        <v>3</v>
      </c>
      <c r="M222" s="210" t="s">
        <v>12</v>
      </c>
      <c r="N222" s="240" t="s">
        <v>1</v>
      </c>
    </row>
    <row r="223" spans="2:14" ht="40.15" hidden="1" customHeight="1" x14ac:dyDescent="0.25">
      <c r="B223" s="234">
        <f t="shared" ca="1" si="3"/>
        <v>213</v>
      </c>
      <c r="C223" s="146">
        <v>44650</v>
      </c>
      <c r="D223" s="118" t="s">
        <v>53</v>
      </c>
      <c r="E223" s="26" t="s">
        <v>38</v>
      </c>
      <c r="F223" s="26" t="s">
        <v>50</v>
      </c>
      <c r="G223" s="29" t="s">
        <v>683</v>
      </c>
      <c r="H223" s="54" t="s">
        <v>684</v>
      </c>
      <c r="I223" s="29" t="s">
        <v>53</v>
      </c>
      <c r="J223" s="91" t="s">
        <v>624</v>
      </c>
      <c r="K223" s="210">
        <v>44658</v>
      </c>
      <c r="L223" s="34">
        <v>3</v>
      </c>
      <c r="M223" s="119" t="s">
        <v>12</v>
      </c>
      <c r="N223" s="235" t="s">
        <v>1</v>
      </c>
    </row>
    <row r="224" spans="2:14" ht="30" hidden="1" customHeight="1" x14ac:dyDescent="0.25">
      <c r="B224" s="234">
        <f t="shared" ca="1" si="3"/>
        <v>214</v>
      </c>
      <c r="C224" s="132">
        <v>44662</v>
      </c>
      <c r="D224" s="133" t="s">
        <v>53</v>
      </c>
      <c r="E224" s="131" t="s">
        <v>38</v>
      </c>
      <c r="F224" s="131" t="s">
        <v>50</v>
      </c>
      <c r="G224" s="140" t="s">
        <v>698</v>
      </c>
      <c r="H224" s="54" t="s">
        <v>714</v>
      </c>
      <c r="I224" s="134" t="s">
        <v>699</v>
      </c>
      <c r="J224" s="134" t="s">
        <v>135</v>
      </c>
      <c r="K224" s="137">
        <v>44672</v>
      </c>
      <c r="L224" s="34">
        <v>3</v>
      </c>
      <c r="M224" s="129" t="s">
        <v>12</v>
      </c>
      <c r="N224" s="235" t="s">
        <v>1</v>
      </c>
    </row>
    <row r="225" spans="2:14" ht="37.5" hidden="1" x14ac:dyDescent="0.25">
      <c r="B225" s="234">
        <f t="shared" ca="1" si="3"/>
        <v>215</v>
      </c>
      <c r="C225" s="132">
        <v>44655</v>
      </c>
      <c r="D225" s="133" t="s">
        <v>549</v>
      </c>
      <c r="E225" s="131" t="s">
        <v>31</v>
      </c>
      <c r="F225" s="131" t="s">
        <v>32</v>
      </c>
      <c r="G225" s="140" t="s">
        <v>700</v>
      </c>
      <c r="H225" s="141" t="s">
        <v>701</v>
      </c>
      <c r="I225" s="134" t="s">
        <v>549</v>
      </c>
      <c r="J225" s="134"/>
      <c r="K225" s="137">
        <v>44664</v>
      </c>
      <c r="L225" s="34">
        <v>3</v>
      </c>
      <c r="M225" s="137" t="s">
        <v>12</v>
      </c>
      <c r="N225" s="241" t="s">
        <v>1</v>
      </c>
    </row>
    <row r="226" spans="2:14" ht="56.25" hidden="1" x14ac:dyDescent="0.25">
      <c r="B226" s="234">
        <f t="shared" ca="1" si="3"/>
        <v>216</v>
      </c>
      <c r="C226" s="132">
        <v>44665</v>
      </c>
      <c r="D226" s="118" t="s">
        <v>53</v>
      </c>
      <c r="E226" s="26" t="s">
        <v>38</v>
      </c>
      <c r="F226" s="26" t="s">
        <v>50</v>
      </c>
      <c r="G226" s="72" t="s">
        <v>703</v>
      </c>
      <c r="H226" s="54" t="s">
        <v>704</v>
      </c>
      <c r="I226" s="29" t="s">
        <v>53</v>
      </c>
      <c r="J226" s="134" t="s">
        <v>135</v>
      </c>
      <c r="K226" s="137">
        <v>44666</v>
      </c>
      <c r="L226" s="34">
        <v>3</v>
      </c>
      <c r="M226" s="119" t="s">
        <v>12</v>
      </c>
      <c r="N226" s="235" t="s">
        <v>1</v>
      </c>
    </row>
    <row r="227" spans="2:14" ht="75" hidden="1" x14ac:dyDescent="0.25">
      <c r="B227" s="234">
        <f t="shared" ca="1" si="3"/>
        <v>217</v>
      </c>
      <c r="C227" s="132">
        <v>44661</v>
      </c>
      <c r="D227" s="133" t="s">
        <v>503</v>
      </c>
      <c r="E227" s="126" t="s">
        <v>64</v>
      </c>
      <c r="F227" s="131" t="s">
        <v>141</v>
      </c>
      <c r="G227" s="140" t="s">
        <v>709</v>
      </c>
      <c r="H227" s="141" t="s">
        <v>708</v>
      </c>
      <c r="I227" s="134" t="s">
        <v>503</v>
      </c>
      <c r="J227" s="134" t="s">
        <v>707</v>
      </c>
      <c r="K227" s="137">
        <v>44663</v>
      </c>
      <c r="L227" s="34">
        <v>3</v>
      </c>
      <c r="M227" s="137" t="s">
        <v>12</v>
      </c>
      <c r="N227" s="235" t="s">
        <v>1</v>
      </c>
    </row>
    <row r="228" spans="2:14" ht="37.5" hidden="1" x14ac:dyDescent="0.25">
      <c r="B228" s="234">
        <f t="shared" ca="1" si="3"/>
        <v>218</v>
      </c>
      <c r="C228" s="132">
        <v>44663</v>
      </c>
      <c r="D228" s="133" t="s">
        <v>503</v>
      </c>
      <c r="E228" s="131" t="s">
        <v>80</v>
      </c>
      <c r="F228" s="131" t="s">
        <v>576</v>
      </c>
      <c r="G228" s="140" t="s">
        <v>710</v>
      </c>
      <c r="H228" s="141" t="s">
        <v>711</v>
      </c>
      <c r="I228" s="29" t="s">
        <v>503</v>
      </c>
      <c r="J228" s="134" t="s">
        <v>275</v>
      </c>
      <c r="K228" s="137">
        <v>44663</v>
      </c>
      <c r="L228" s="138">
        <v>3</v>
      </c>
      <c r="M228" s="119" t="s">
        <v>12</v>
      </c>
      <c r="N228" s="235" t="s">
        <v>1</v>
      </c>
    </row>
    <row r="229" spans="2:14" ht="56.25" hidden="1" x14ac:dyDescent="0.25">
      <c r="B229" s="234">
        <f t="shared" ca="1" si="3"/>
        <v>219</v>
      </c>
      <c r="C229" s="132">
        <v>44671</v>
      </c>
      <c r="D229" s="118" t="s">
        <v>53</v>
      </c>
      <c r="E229" s="26" t="s">
        <v>38</v>
      </c>
      <c r="F229" s="26" t="s">
        <v>50</v>
      </c>
      <c r="G229" s="140" t="s">
        <v>712</v>
      </c>
      <c r="H229" s="54" t="s">
        <v>713</v>
      </c>
      <c r="I229" s="29" t="s">
        <v>53</v>
      </c>
      <c r="J229" s="134" t="s">
        <v>135</v>
      </c>
      <c r="K229" s="137">
        <v>44672</v>
      </c>
      <c r="L229" s="34">
        <v>3</v>
      </c>
      <c r="M229" s="119" t="s">
        <v>12</v>
      </c>
      <c r="N229" s="235" t="s">
        <v>1</v>
      </c>
    </row>
    <row r="230" spans="2:14" ht="56.25" hidden="1" x14ac:dyDescent="0.25">
      <c r="B230" s="234">
        <f t="shared" ca="1" si="3"/>
        <v>220</v>
      </c>
      <c r="C230" s="132">
        <v>44672</v>
      </c>
      <c r="D230" s="133" t="s">
        <v>53</v>
      </c>
      <c r="E230" s="131" t="s">
        <v>38</v>
      </c>
      <c r="F230" s="131" t="s">
        <v>64</v>
      </c>
      <c r="G230" s="140" t="s">
        <v>715</v>
      </c>
      <c r="H230" s="141" t="s">
        <v>716</v>
      </c>
      <c r="I230" s="134" t="s">
        <v>53</v>
      </c>
      <c r="J230" s="134" t="s">
        <v>717</v>
      </c>
      <c r="K230" s="137">
        <v>44672</v>
      </c>
      <c r="L230" s="34">
        <v>3</v>
      </c>
      <c r="M230" s="119" t="s">
        <v>12</v>
      </c>
      <c r="N230" s="235" t="s">
        <v>1</v>
      </c>
    </row>
    <row r="231" spans="2:14" ht="56.25" hidden="1" x14ac:dyDescent="0.25">
      <c r="B231" s="234">
        <f t="shared" ca="1" si="3"/>
        <v>221</v>
      </c>
      <c r="C231" s="132">
        <v>44677</v>
      </c>
      <c r="D231" s="133" t="s">
        <v>53</v>
      </c>
      <c r="E231" s="131" t="s">
        <v>38</v>
      </c>
      <c r="F231" s="131" t="s">
        <v>50</v>
      </c>
      <c r="G231" s="140" t="s">
        <v>719</v>
      </c>
      <c r="H231" s="141" t="s">
        <v>720</v>
      </c>
      <c r="I231" s="134" t="s">
        <v>53</v>
      </c>
      <c r="J231" s="134" t="s">
        <v>135</v>
      </c>
      <c r="K231" s="137">
        <v>44677</v>
      </c>
      <c r="L231" s="138">
        <v>3</v>
      </c>
      <c r="M231" s="137" t="s">
        <v>12</v>
      </c>
      <c r="N231" s="241" t="s">
        <v>1</v>
      </c>
    </row>
    <row r="232" spans="2:14" ht="18.75" hidden="1" x14ac:dyDescent="0.25">
      <c r="B232" s="234">
        <f t="shared" ca="1" si="3"/>
        <v>222</v>
      </c>
      <c r="C232" s="132">
        <v>44671.040000000001</v>
      </c>
      <c r="D232" s="133" t="s">
        <v>503</v>
      </c>
      <c r="E232" s="131" t="s">
        <v>80</v>
      </c>
      <c r="F232" s="131" t="s">
        <v>576</v>
      </c>
      <c r="G232" s="140" t="s">
        <v>627</v>
      </c>
      <c r="H232" s="141" t="s">
        <v>726</v>
      </c>
      <c r="I232" s="134" t="s">
        <v>503</v>
      </c>
      <c r="J232" s="134" t="s">
        <v>503</v>
      </c>
      <c r="K232" s="137">
        <v>44680</v>
      </c>
      <c r="L232" s="138">
        <v>3</v>
      </c>
      <c r="M232" s="137" t="s">
        <v>12</v>
      </c>
      <c r="N232" s="241" t="s">
        <v>1</v>
      </c>
    </row>
    <row r="233" spans="2:14" ht="18.75" hidden="1" x14ac:dyDescent="0.25">
      <c r="B233" s="234">
        <f t="shared" ca="1" si="3"/>
        <v>223</v>
      </c>
      <c r="C233" s="132">
        <v>44671.040000000001</v>
      </c>
      <c r="D233" s="133" t="s">
        <v>503</v>
      </c>
      <c r="E233" s="131" t="s">
        <v>80</v>
      </c>
      <c r="F233" s="131" t="s">
        <v>149</v>
      </c>
      <c r="G233" s="140" t="s">
        <v>727</v>
      </c>
      <c r="H233" s="141" t="s">
        <v>728</v>
      </c>
      <c r="I233" s="134" t="s">
        <v>509</v>
      </c>
      <c r="J233" s="134" t="s">
        <v>729</v>
      </c>
      <c r="K233" s="137">
        <v>44677</v>
      </c>
      <c r="L233" s="138">
        <v>3</v>
      </c>
      <c r="M233" s="137" t="s">
        <v>12</v>
      </c>
      <c r="N233" s="241" t="s">
        <v>1</v>
      </c>
    </row>
    <row r="234" spans="2:14" ht="18" hidden="1" customHeight="1" x14ac:dyDescent="0.25">
      <c r="B234" s="234">
        <f t="shared" ca="1" si="3"/>
        <v>224</v>
      </c>
      <c r="C234" s="132">
        <v>44671</v>
      </c>
      <c r="D234" s="133" t="s">
        <v>503</v>
      </c>
      <c r="E234" s="131" t="s">
        <v>80</v>
      </c>
      <c r="F234" s="131" t="s">
        <v>64</v>
      </c>
      <c r="G234" s="140" t="s">
        <v>731</v>
      </c>
      <c r="H234" s="141" t="s">
        <v>730</v>
      </c>
      <c r="I234" s="134" t="s">
        <v>503</v>
      </c>
      <c r="J234" s="134" t="s">
        <v>732</v>
      </c>
      <c r="K234" s="137">
        <v>44671</v>
      </c>
      <c r="L234" s="138">
        <v>3</v>
      </c>
      <c r="M234" s="137" t="s">
        <v>12</v>
      </c>
      <c r="N234" s="241" t="s">
        <v>1</v>
      </c>
    </row>
    <row r="235" spans="2:14" ht="56.25" hidden="1" x14ac:dyDescent="0.25">
      <c r="B235" s="234">
        <f t="shared" ca="1" si="3"/>
        <v>225</v>
      </c>
      <c r="C235" s="132">
        <v>44669</v>
      </c>
      <c r="D235" s="133" t="s">
        <v>503</v>
      </c>
      <c r="E235" s="131" t="s">
        <v>80</v>
      </c>
      <c r="F235" s="131" t="s">
        <v>576</v>
      </c>
      <c r="G235" s="140" t="s">
        <v>733</v>
      </c>
      <c r="H235" s="54" t="s">
        <v>735</v>
      </c>
      <c r="I235" s="134" t="s">
        <v>503</v>
      </c>
      <c r="J235" s="134" t="s">
        <v>734</v>
      </c>
      <c r="K235" s="137">
        <v>44669</v>
      </c>
      <c r="L235" s="138">
        <v>3</v>
      </c>
      <c r="M235" s="137" t="s">
        <v>12</v>
      </c>
      <c r="N235" s="241" t="s">
        <v>1</v>
      </c>
    </row>
    <row r="236" spans="2:14" ht="37.5" hidden="1" x14ac:dyDescent="0.25">
      <c r="B236" s="234">
        <f t="shared" ca="1" si="3"/>
        <v>226</v>
      </c>
      <c r="C236" s="132">
        <v>44676</v>
      </c>
      <c r="D236" s="133" t="s">
        <v>503</v>
      </c>
      <c r="E236" s="131" t="s">
        <v>80</v>
      </c>
      <c r="F236" s="131" t="s">
        <v>576</v>
      </c>
      <c r="G236" s="72" t="s">
        <v>736</v>
      </c>
      <c r="H236" s="54" t="s">
        <v>756</v>
      </c>
      <c r="I236" s="29" t="s">
        <v>503</v>
      </c>
      <c r="J236" s="29" t="s">
        <v>577</v>
      </c>
      <c r="K236" s="137">
        <v>44680</v>
      </c>
      <c r="L236" s="34">
        <v>3</v>
      </c>
      <c r="M236" s="119" t="s">
        <v>12</v>
      </c>
      <c r="N236" s="235" t="s">
        <v>1</v>
      </c>
    </row>
    <row r="237" spans="2:14" ht="77.45" hidden="1" customHeight="1" x14ac:dyDescent="0.25">
      <c r="B237" s="234">
        <f t="shared" ca="1" si="3"/>
        <v>227</v>
      </c>
      <c r="C237" s="132">
        <v>44669</v>
      </c>
      <c r="D237" s="133" t="s">
        <v>503</v>
      </c>
      <c r="E237" s="131" t="s">
        <v>80</v>
      </c>
      <c r="F237" s="26" t="s">
        <v>141</v>
      </c>
      <c r="G237" s="72" t="s">
        <v>737</v>
      </c>
      <c r="H237" s="54" t="s">
        <v>738</v>
      </c>
      <c r="I237" s="29" t="s">
        <v>503</v>
      </c>
      <c r="J237" s="29" t="s">
        <v>694</v>
      </c>
      <c r="K237" s="137">
        <v>44669</v>
      </c>
      <c r="L237" s="34">
        <v>3</v>
      </c>
      <c r="M237" s="119" t="s">
        <v>12</v>
      </c>
      <c r="N237" s="235" t="s">
        <v>1</v>
      </c>
    </row>
    <row r="238" spans="2:14" ht="18.75" hidden="1" x14ac:dyDescent="0.25">
      <c r="B238" s="234">
        <f t="shared" ca="1" si="3"/>
        <v>228</v>
      </c>
      <c r="C238" s="132">
        <v>44666</v>
      </c>
      <c r="D238" s="118" t="s">
        <v>503</v>
      </c>
      <c r="E238" s="26"/>
      <c r="F238" s="26" t="s">
        <v>64</v>
      </c>
      <c r="G238" s="72" t="s">
        <v>739</v>
      </c>
      <c r="H238" s="54" t="s">
        <v>740</v>
      </c>
      <c r="I238" s="29" t="s">
        <v>503</v>
      </c>
      <c r="J238" s="29" t="s">
        <v>741</v>
      </c>
      <c r="K238" s="137">
        <v>44666</v>
      </c>
      <c r="L238" s="34">
        <v>3</v>
      </c>
      <c r="M238" s="119" t="s">
        <v>12</v>
      </c>
      <c r="N238" s="235" t="s">
        <v>1</v>
      </c>
    </row>
    <row r="239" spans="2:14" ht="56.25" hidden="1" x14ac:dyDescent="0.25">
      <c r="B239" s="234">
        <f t="shared" ca="1" si="3"/>
        <v>229</v>
      </c>
      <c r="C239" s="132">
        <v>44676</v>
      </c>
      <c r="D239" s="118" t="s">
        <v>503</v>
      </c>
      <c r="E239" s="131" t="s">
        <v>80</v>
      </c>
      <c r="F239" s="131" t="s">
        <v>149</v>
      </c>
      <c r="G239" s="140" t="s">
        <v>742</v>
      </c>
      <c r="H239" s="141" t="s">
        <v>743</v>
      </c>
      <c r="I239" s="29" t="s">
        <v>503</v>
      </c>
      <c r="J239" s="134" t="s">
        <v>744</v>
      </c>
      <c r="K239" s="137">
        <v>44678</v>
      </c>
      <c r="L239" s="34">
        <v>3</v>
      </c>
      <c r="M239" s="119" t="s">
        <v>12</v>
      </c>
      <c r="N239" s="235" t="s">
        <v>1</v>
      </c>
    </row>
    <row r="240" spans="2:14" ht="56.25" hidden="1" x14ac:dyDescent="0.25">
      <c r="B240" s="234">
        <f t="shared" ca="1" si="3"/>
        <v>230</v>
      </c>
      <c r="C240" s="132">
        <v>44676</v>
      </c>
      <c r="D240" s="118" t="s">
        <v>503</v>
      </c>
      <c r="E240" s="131" t="s">
        <v>80</v>
      </c>
      <c r="F240" s="131" t="s">
        <v>576</v>
      </c>
      <c r="G240" s="140" t="s">
        <v>746</v>
      </c>
      <c r="H240" s="141" t="s">
        <v>761</v>
      </c>
      <c r="I240" s="134" t="s">
        <v>747</v>
      </c>
      <c r="J240" s="134" t="s">
        <v>745</v>
      </c>
      <c r="K240" s="137">
        <v>44678</v>
      </c>
      <c r="L240" s="34">
        <v>3</v>
      </c>
      <c r="M240" s="119" t="s">
        <v>12</v>
      </c>
      <c r="N240" s="235" t="s">
        <v>1</v>
      </c>
    </row>
    <row r="241" spans="2:14" ht="56.25" hidden="1" x14ac:dyDescent="0.25">
      <c r="B241" s="234">
        <f t="shared" ca="1" si="3"/>
        <v>231</v>
      </c>
      <c r="C241" s="132">
        <v>44672</v>
      </c>
      <c r="D241" s="118" t="s">
        <v>503</v>
      </c>
      <c r="E241" s="131" t="s">
        <v>80</v>
      </c>
      <c r="F241" s="131"/>
      <c r="G241" s="140" t="s">
        <v>749</v>
      </c>
      <c r="H241" s="141" t="s">
        <v>753</v>
      </c>
      <c r="I241" s="134" t="s">
        <v>503</v>
      </c>
      <c r="J241" s="134" t="s">
        <v>748</v>
      </c>
      <c r="K241" s="137">
        <v>44678</v>
      </c>
      <c r="L241" s="34">
        <v>3</v>
      </c>
      <c r="M241" s="119" t="s">
        <v>12</v>
      </c>
      <c r="N241" s="235" t="s">
        <v>1</v>
      </c>
    </row>
    <row r="242" spans="2:14" ht="54" hidden="1" customHeight="1" x14ac:dyDescent="0.25">
      <c r="B242" s="234">
        <f t="shared" ca="1" si="3"/>
        <v>232</v>
      </c>
      <c r="C242" s="132">
        <v>44676</v>
      </c>
      <c r="D242" s="118" t="s">
        <v>503</v>
      </c>
      <c r="E242" s="131" t="s">
        <v>80</v>
      </c>
      <c r="F242" s="131" t="s">
        <v>576</v>
      </c>
      <c r="G242" s="140" t="s">
        <v>750</v>
      </c>
      <c r="H242" s="141" t="s">
        <v>752</v>
      </c>
      <c r="I242" s="134" t="s">
        <v>503</v>
      </c>
      <c r="J242" s="134" t="s">
        <v>751</v>
      </c>
      <c r="K242" s="137">
        <v>44677</v>
      </c>
      <c r="L242" s="34">
        <v>3</v>
      </c>
      <c r="M242" s="119" t="s">
        <v>12</v>
      </c>
      <c r="N242" s="235" t="s">
        <v>1</v>
      </c>
    </row>
    <row r="243" spans="2:14" ht="225" hidden="1" x14ac:dyDescent="0.25">
      <c r="B243" s="234">
        <f t="shared" ca="1" si="3"/>
        <v>233</v>
      </c>
      <c r="C243" s="132">
        <v>27</v>
      </c>
      <c r="D243" s="133" t="s">
        <v>503</v>
      </c>
      <c r="E243" s="131" t="s">
        <v>80</v>
      </c>
      <c r="F243" s="131" t="s">
        <v>510</v>
      </c>
      <c r="G243" s="140" t="s">
        <v>755</v>
      </c>
      <c r="H243" s="54" t="s">
        <v>1021</v>
      </c>
      <c r="I243" s="29" t="s">
        <v>771</v>
      </c>
      <c r="J243" s="29" t="s">
        <v>771</v>
      </c>
      <c r="K243" s="137"/>
      <c r="L243" s="34">
        <v>3</v>
      </c>
      <c r="M243" s="119" t="s">
        <v>12</v>
      </c>
      <c r="N243" s="235" t="s">
        <v>1</v>
      </c>
    </row>
    <row r="244" spans="2:14" ht="37.5" hidden="1" x14ac:dyDescent="0.25">
      <c r="B244" s="234">
        <f t="shared" ca="1" si="3"/>
        <v>234</v>
      </c>
      <c r="C244" s="132">
        <v>44678</v>
      </c>
      <c r="D244" s="133" t="s">
        <v>549</v>
      </c>
      <c r="E244" s="131" t="s">
        <v>31</v>
      </c>
      <c r="F244" s="131" t="s">
        <v>423</v>
      </c>
      <c r="G244" s="140" t="s">
        <v>425</v>
      </c>
      <c r="H244" s="54" t="s">
        <v>757</v>
      </c>
      <c r="I244" s="29" t="s">
        <v>549</v>
      </c>
      <c r="J244" s="134" t="s">
        <v>758</v>
      </c>
      <c r="K244" s="137">
        <v>44678</v>
      </c>
      <c r="L244" s="138">
        <v>3</v>
      </c>
      <c r="M244" s="119" t="s">
        <v>12</v>
      </c>
      <c r="N244" s="235" t="s">
        <v>1</v>
      </c>
    </row>
    <row r="245" spans="2:14" ht="56.25" hidden="1" x14ac:dyDescent="0.25">
      <c r="B245" s="234">
        <f t="shared" ca="1" si="3"/>
        <v>235</v>
      </c>
      <c r="C245" s="132">
        <v>44676</v>
      </c>
      <c r="D245" s="133" t="s">
        <v>503</v>
      </c>
      <c r="E245" s="131" t="s">
        <v>80</v>
      </c>
      <c r="F245" s="131" t="s">
        <v>149</v>
      </c>
      <c r="G245" s="140" t="s">
        <v>742</v>
      </c>
      <c r="H245" s="141" t="s">
        <v>743</v>
      </c>
      <c r="I245" s="134" t="s">
        <v>503</v>
      </c>
      <c r="J245" s="134" t="s">
        <v>744</v>
      </c>
      <c r="K245" s="137">
        <v>44678</v>
      </c>
      <c r="L245" s="138">
        <v>3</v>
      </c>
      <c r="M245" s="137" t="s">
        <v>12</v>
      </c>
      <c r="N245" s="241" t="s">
        <v>1</v>
      </c>
    </row>
    <row r="246" spans="2:14" ht="37.5" hidden="1" x14ac:dyDescent="0.25">
      <c r="B246" s="234">
        <f t="shared" ca="1" si="3"/>
        <v>236</v>
      </c>
      <c r="C246" s="132">
        <v>44678</v>
      </c>
      <c r="D246" s="133" t="s">
        <v>503</v>
      </c>
      <c r="E246" s="131" t="s">
        <v>80</v>
      </c>
      <c r="F246" s="131"/>
      <c r="G246" s="140" t="s">
        <v>749</v>
      </c>
      <c r="H246" s="141" t="s">
        <v>759</v>
      </c>
      <c r="I246" s="134" t="s">
        <v>509</v>
      </c>
      <c r="J246" s="134" t="s">
        <v>760</v>
      </c>
      <c r="K246" s="137">
        <v>44678</v>
      </c>
      <c r="L246" s="138">
        <v>3</v>
      </c>
      <c r="M246" s="137" t="s">
        <v>12</v>
      </c>
      <c r="N246" s="241" t="s">
        <v>1</v>
      </c>
    </row>
    <row r="247" spans="2:14" ht="93.75" hidden="1" x14ac:dyDescent="0.25">
      <c r="B247" s="234">
        <f t="shared" ca="1" si="3"/>
        <v>237</v>
      </c>
      <c r="C247" s="132">
        <v>44662</v>
      </c>
      <c r="D247" s="133" t="s">
        <v>53</v>
      </c>
      <c r="E247" s="131" t="s">
        <v>38</v>
      </c>
      <c r="F247" s="131" t="s">
        <v>50</v>
      </c>
      <c r="G247" s="140" t="s">
        <v>764</v>
      </c>
      <c r="H247" s="141" t="s">
        <v>765</v>
      </c>
      <c r="I247" s="134" t="s">
        <v>53</v>
      </c>
      <c r="J247" s="134" t="s">
        <v>763</v>
      </c>
      <c r="K247" s="137">
        <v>44687</v>
      </c>
      <c r="L247" s="34">
        <v>3</v>
      </c>
      <c r="M247" s="119" t="s">
        <v>12</v>
      </c>
      <c r="N247" s="241" t="s">
        <v>1</v>
      </c>
    </row>
    <row r="248" spans="2:14" ht="56.25" hidden="1" x14ac:dyDescent="0.25">
      <c r="B248" s="234">
        <f t="shared" ca="1" si="3"/>
        <v>238</v>
      </c>
      <c r="C248" s="132">
        <v>44686</v>
      </c>
      <c r="D248" s="148" t="s">
        <v>503</v>
      </c>
      <c r="E248" s="147" t="s">
        <v>80</v>
      </c>
      <c r="F248" s="147" t="s">
        <v>141</v>
      </c>
      <c r="G248" s="150" t="s">
        <v>770</v>
      </c>
      <c r="H248" s="54" t="s">
        <v>772</v>
      </c>
      <c r="I248" s="29" t="s">
        <v>503</v>
      </c>
      <c r="J248" s="151" t="s">
        <v>769</v>
      </c>
      <c r="K248" s="137">
        <v>44686</v>
      </c>
      <c r="L248" s="149">
        <v>3</v>
      </c>
      <c r="M248" s="119" t="s">
        <v>12</v>
      </c>
      <c r="N248" s="235" t="s">
        <v>1</v>
      </c>
    </row>
    <row r="249" spans="2:14" ht="112.5" hidden="1" x14ac:dyDescent="0.25">
      <c r="B249" s="234">
        <f t="shared" ca="1" si="3"/>
        <v>239</v>
      </c>
      <c r="C249" s="132">
        <v>44686</v>
      </c>
      <c r="D249" s="148" t="s">
        <v>503</v>
      </c>
      <c r="E249" s="147" t="s">
        <v>80</v>
      </c>
      <c r="F249" s="147" t="s">
        <v>576</v>
      </c>
      <c r="G249" s="150" t="s">
        <v>773</v>
      </c>
      <c r="H249" s="54" t="s">
        <v>862</v>
      </c>
      <c r="I249" s="29" t="s">
        <v>503</v>
      </c>
      <c r="J249" s="151" t="s">
        <v>774</v>
      </c>
      <c r="K249" s="152">
        <v>44679</v>
      </c>
      <c r="L249" s="149">
        <v>3</v>
      </c>
      <c r="M249" s="152" t="s">
        <v>12</v>
      </c>
      <c r="N249" s="235" t="s">
        <v>1</v>
      </c>
    </row>
    <row r="250" spans="2:14" ht="150" hidden="1" x14ac:dyDescent="0.25">
      <c r="B250" s="234">
        <f t="shared" ca="1" si="3"/>
        <v>240</v>
      </c>
      <c r="C250" s="83">
        <v>44690</v>
      </c>
      <c r="D250" s="118" t="s">
        <v>53</v>
      </c>
      <c r="E250" s="26" t="s">
        <v>38</v>
      </c>
      <c r="F250" s="26" t="s">
        <v>50</v>
      </c>
      <c r="G250" s="26" t="s">
        <v>775</v>
      </c>
      <c r="H250" s="54" t="s">
        <v>777</v>
      </c>
      <c r="I250" s="29" t="s">
        <v>776</v>
      </c>
      <c r="J250" s="29" t="s">
        <v>660</v>
      </c>
      <c r="K250" s="119">
        <v>44691</v>
      </c>
      <c r="L250" s="34">
        <v>3</v>
      </c>
      <c r="M250" s="119" t="s">
        <v>12</v>
      </c>
      <c r="N250" s="235" t="s">
        <v>1</v>
      </c>
    </row>
    <row r="251" spans="2:14" ht="37.5" hidden="1" x14ac:dyDescent="0.25">
      <c r="B251" s="234">
        <f t="shared" ca="1" si="3"/>
        <v>241</v>
      </c>
      <c r="C251" s="83">
        <v>44692</v>
      </c>
      <c r="D251" s="118" t="s">
        <v>53</v>
      </c>
      <c r="E251" s="26" t="s">
        <v>38</v>
      </c>
      <c r="F251" s="26" t="s">
        <v>50</v>
      </c>
      <c r="G251" s="72" t="s">
        <v>778</v>
      </c>
      <c r="H251" s="54" t="s">
        <v>780</v>
      </c>
      <c r="I251" s="134" t="s">
        <v>53</v>
      </c>
      <c r="J251" s="29" t="s">
        <v>779</v>
      </c>
      <c r="K251" s="119">
        <v>44692</v>
      </c>
      <c r="L251" s="34">
        <v>3</v>
      </c>
      <c r="M251" s="119" t="s">
        <v>12</v>
      </c>
      <c r="N251" s="235" t="s">
        <v>1</v>
      </c>
    </row>
    <row r="252" spans="2:14" ht="56.25" hidden="1" x14ac:dyDescent="0.25">
      <c r="B252" s="234">
        <f t="shared" ca="1" si="3"/>
        <v>242</v>
      </c>
      <c r="C252" s="83">
        <v>44687</v>
      </c>
      <c r="D252" s="118" t="s">
        <v>503</v>
      </c>
      <c r="E252" s="26" t="s">
        <v>80</v>
      </c>
      <c r="F252" s="26"/>
      <c r="G252" s="72" t="s">
        <v>781</v>
      </c>
      <c r="H252" s="54" t="s">
        <v>799</v>
      </c>
      <c r="I252" s="29" t="s">
        <v>503</v>
      </c>
      <c r="J252" s="29" t="s">
        <v>782</v>
      </c>
      <c r="K252" s="119">
        <v>44694</v>
      </c>
      <c r="L252" s="34">
        <v>3</v>
      </c>
      <c r="M252" s="119" t="s">
        <v>12</v>
      </c>
      <c r="N252" s="235" t="s">
        <v>1</v>
      </c>
    </row>
    <row r="253" spans="2:14" ht="56.25" hidden="1" x14ac:dyDescent="0.25">
      <c r="B253" s="234">
        <f t="shared" ca="1" si="3"/>
        <v>243</v>
      </c>
      <c r="C253" s="83">
        <v>44693</v>
      </c>
      <c r="D253" s="118" t="s">
        <v>503</v>
      </c>
      <c r="E253" s="26" t="s">
        <v>117</v>
      </c>
      <c r="F253" s="26" t="s">
        <v>141</v>
      </c>
      <c r="G253" s="72" t="s">
        <v>783</v>
      </c>
      <c r="H253" s="54" t="s">
        <v>784</v>
      </c>
      <c r="I253" s="29" t="s">
        <v>503</v>
      </c>
      <c r="J253" s="29" t="s">
        <v>707</v>
      </c>
      <c r="K253" s="119">
        <v>44694</v>
      </c>
      <c r="L253" s="34">
        <v>3</v>
      </c>
      <c r="M253" s="119" t="s">
        <v>12</v>
      </c>
      <c r="N253" s="235" t="s">
        <v>1</v>
      </c>
    </row>
    <row r="254" spans="2:14" ht="56.25" hidden="1" x14ac:dyDescent="0.25">
      <c r="B254" s="234">
        <f t="shared" ca="1" si="3"/>
        <v>244</v>
      </c>
      <c r="C254" s="83">
        <v>44693</v>
      </c>
      <c r="D254" s="118" t="s">
        <v>503</v>
      </c>
      <c r="E254" s="26" t="s">
        <v>80</v>
      </c>
      <c r="F254" s="26" t="s">
        <v>576</v>
      </c>
      <c r="G254" s="72" t="s">
        <v>785</v>
      </c>
      <c r="H254" s="54" t="s">
        <v>794</v>
      </c>
      <c r="I254" s="29" t="s">
        <v>503</v>
      </c>
      <c r="J254" s="29" t="s">
        <v>294</v>
      </c>
      <c r="K254" s="119">
        <v>44694</v>
      </c>
      <c r="L254" s="34">
        <v>3</v>
      </c>
      <c r="M254" s="119" t="s">
        <v>12</v>
      </c>
      <c r="N254" s="235" t="s">
        <v>1</v>
      </c>
    </row>
    <row r="255" spans="2:14" ht="75" hidden="1" x14ac:dyDescent="0.25">
      <c r="B255" s="234">
        <f t="shared" ca="1" si="3"/>
        <v>245</v>
      </c>
      <c r="C255" s="83">
        <v>44693</v>
      </c>
      <c r="D255" s="118" t="s">
        <v>503</v>
      </c>
      <c r="E255" s="26" t="s">
        <v>80</v>
      </c>
      <c r="F255" s="26" t="s">
        <v>146</v>
      </c>
      <c r="G255" s="72" t="s">
        <v>787</v>
      </c>
      <c r="H255" s="54" t="s">
        <v>810</v>
      </c>
      <c r="I255" s="29" t="s">
        <v>104</v>
      </c>
      <c r="J255" s="29" t="s">
        <v>786</v>
      </c>
      <c r="K255" s="119">
        <v>44694</v>
      </c>
      <c r="L255" s="34">
        <v>3</v>
      </c>
      <c r="M255" s="119" t="s">
        <v>12</v>
      </c>
      <c r="N255" s="235" t="s">
        <v>1</v>
      </c>
    </row>
    <row r="256" spans="2:14" ht="28.15" hidden="1" customHeight="1" x14ac:dyDescent="0.25">
      <c r="B256" s="234">
        <f t="shared" ca="1" si="3"/>
        <v>246</v>
      </c>
      <c r="C256" s="83">
        <v>44690</v>
      </c>
      <c r="D256" s="118" t="s">
        <v>503</v>
      </c>
      <c r="E256" s="26" t="s">
        <v>117</v>
      </c>
      <c r="F256" s="26" t="s">
        <v>64</v>
      </c>
      <c r="G256" s="29" t="s">
        <v>788</v>
      </c>
      <c r="H256" s="54" t="s">
        <v>789</v>
      </c>
      <c r="I256" s="29" t="s">
        <v>503</v>
      </c>
      <c r="J256" s="29" t="s">
        <v>790</v>
      </c>
      <c r="K256" s="119">
        <v>44694</v>
      </c>
      <c r="L256" s="34">
        <v>3</v>
      </c>
      <c r="M256" s="119" t="s">
        <v>12</v>
      </c>
      <c r="N256" s="235" t="s">
        <v>1</v>
      </c>
    </row>
    <row r="257" spans="2:14" ht="56.25" hidden="1" x14ac:dyDescent="0.25">
      <c r="B257" s="234">
        <f t="shared" ca="1" si="3"/>
        <v>247</v>
      </c>
      <c r="C257" s="83">
        <v>44690</v>
      </c>
      <c r="D257" s="118" t="s">
        <v>503</v>
      </c>
      <c r="E257" s="26"/>
      <c r="F257" s="26" t="s">
        <v>50</v>
      </c>
      <c r="G257" s="72" t="s">
        <v>791</v>
      </c>
      <c r="H257" s="54" t="s">
        <v>793</v>
      </c>
      <c r="I257" s="29" t="s">
        <v>503</v>
      </c>
      <c r="J257" s="29" t="s">
        <v>792</v>
      </c>
      <c r="K257" s="83">
        <v>44690</v>
      </c>
      <c r="L257" s="34">
        <v>3</v>
      </c>
      <c r="M257" s="119" t="s">
        <v>12</v>
      </c>
      <c r="N257" s="235" t="s">
        <v>1</v>
      </c>
    </row>
    <row r="258" spans="2:14" ht="56.25" hidden="1" x14ac:dyDescent="0.25">
      <c r="B258" s="234">
        <f t="shared" ca="1" si="3"/>
        <v>248</v>
      </c>
      <c r="C258" s="83">
        <v>44693</v>
      </c>
      <c r="D258" s="118" t="s">
        <v>503</v>
      </c>
      <c r="E258" s="26" t="s">
        <v>80</v>
      </c>
      <c r="F258" s="26" t="s">
        <v>145</v>
      </c>
      <c r="G258" s="72" t="s">
        <v>797</v>
      </c>
      <c r="H258" s="54" t="s">
        <v>796</v>
      </c>
      <c r="I258" s="29" t="s">
        <v>503</v>
      </c>
      <c r="J258" s="29" t="s">
        <v>795</v>
      </c>
      <c r="K258" s="119">
        <v>44694</v>
      </c>
      <c r="L258" s="34">
        <v>3</v>
      </c>
      <c r="M258" s="119" t="s">
        <v>12</v>
      </c>
      <c r="N258" s="235" t="s">
        <v>1</v>
      </c>
    </row>
    <row r="259" spans="2:14" ht="56.25" hidden="1" x14ac:dyDescent="0.25">
      <c r="B259" s="234">
        <f t="shared" ca="1" si="3"/>
        <v>249</v>
      </c>
      <c r="C259" s="83">
        <v>44693</v>
      </c>
      <c r="D259" s="118" t="s">
        <v>503</v>
      </c>
      <c r="E259" s="26" t="s">
        <v>80</v>
      </c>
      <c r="F259" s="26" t="s">
        <v>141</v>
      </c>
      <c r="G259" s="72" t="s">
        <v>742</v>
      </c>
      <c r="H259" s="54" t="s">
        <v>809</v>
      </c>
      <c r="I259" s="29" t="s">
        <v>503</v>
      </c>
      <c r="J259" s="29" t="s">
        <v>798</v>
      </c>
      <c r="K259" s="119">
        <v>44695</v>
      </c>
      <c r="L259" s="34">
        <v>3</v>
      </c>
      <c r="M259" s="119" t="s">
        <v>12</v>
      </c>
      <c r="N259" s="235" t="s">
        <v>1</v>
      </c>
    </row>
    <row r="260" spans="2:14" ht="37.5" hidden="1" x14ac:dyDescent="0.25">
      <c r="B260" s="234">
        <f t="shared" ca="1" si="3"/>
        <v>250</v>
      </c>
      <c r="C260" s="154">
        <v>44690</v>
      </c>
      <c r="D260" s="155" t="s">
        <v>549</v>
      </c>
      <c r="E260" s="153" t="s">
        <v>31</v>
      </c>
      <c r="F260" s="153" t="s">
        <v>32</v>
      </c>
      <c r="G260" s="156" t="s">
        <v>804</v>
      </c>
      <c r="H260" s="54" t="s">
        <v>964</v>
      </c>
      <c r="I260" s="157" t="s">
        <v>549</v>
      </c>
      <c r="J260" s="157"/>
      <c r="K260" s="158">
        <v>44739</v>
      </c>
      <c r="L260" s="159">
        <v>3</v>
      </c>
      <c r="M260" s="158" t="s">
        <v>12</v>
      </c>
      <c r="N260" s="235" t="s">
        <v>1</v>
      </c>
    </row>
    <row r="261" spans="2:14" ht="56.25" hidden="1" x14ac:dyDescent="0.25">
      <c r="B261" s="234">
        <f t="shared" ca="1" si="3"/>
        <v>251</v>
      </c>
      <c r="C261" s="83">
        <v>44697</v>
      </c>
      <c r="D261" s="118" t="s">
        <v>53</v>
      </c>
      <c r="E261" s="26" t="s">
        <v>38</v>
      </c>
      <c r="F261" s="26" t="s">
        <v>324</v>
      </c>
      <c r="G261" s="72" t="s">
        <v>805</v>
      </c>
      <c r="H261" s="54" t="s">
        <v>806</v>
      </c>
      <c r="I261" s="29" t="s">
        <v>53</v>
      </c>
      <c r="J261" s="29" t="s">
        <v>638</v>
      </c>
      <c r="K261" s="119">
        <v>44697</v>
      </c>
      <c r="L261" s="34">
        <v>3</v>
      </c>
      <c r="M261" s="119" t="s">
        <v>12</v>
      </c>
      <c r="N261" s="235" t="s">
        <v>1</v>
      </c>
    </row>
    <row r="262" spans="2:14" ht="56.25" hidden="1" x14ac:dyDescent="0.25">
      <c r="B262" s="234">
        <f t="shared" ca="1" si="3"/>
        <v>252</v>
      </c>
      <c r="C262" s="83">
        <v>44697</v>
      </c>
      <c r="D262" s="118" t="s">
        <v>53</v>
      </c>
      <c r="E262" s="26" t="s">
        <v>38</v>
      </c>
      <c r="F262" s="26" t="s">
        <v>50</v>
      </c>
      <c r="G262" s="72" t="s">
        <v>807</v>
      </c>
      <c r="H262" s="54" t="s">
        <v>808</v>
      </c>
      <c r="I262" s="29" t="s">
        <v>53</v>
      </c>
      <c r="J262" s="29" t="s">
        <v>135</v>
      </c>
      <c r="K262" s="119">
        <v>44697</v>
      </c>
      <c r="L262" s="34">
        <v>3</v>
      </c>
      <c r="M262" s="119" t="s">
        <v>12</v>
      </c>
      <c r="N262" s="235" t="s">
        <v>1</v>
      </c>
    </row>
    <row r="263" spans="2:14" ht="37.5" hidden="1" x14ac:dyDescent="0.25">
      <c r="B263" s="234">
        <f t="shared" ca="1" si="3"/>
        <v>253</v>
      </c>
      <c r="C263" s="161">
        <v>44699</v>
      </c>
      <c r="D263" s="162" t="s">
        <v>549</v>
      </c>
      <c r="E263" s="160" t="s">
        <v>31</v>
      </c>
      <c r="F263" s="160" t="s">
        <v>423</v>
      </c>
      <c r="G263" s="165" t="s">
        <v>811</v>
      </c>
      <c r="H263" s="166" t="s">
        <v>812</v>
      </c>
      <c r="I263" s="91" t="s">
        <v>813</v>
      </c>
      <c r="J263" s="91" t="s">
        <v>813</v>
      </c>
      <c r="K263" s="163">
        <v>44701</v>
      </c>
      <c r="L263" s="167">
        <v>3</v>
      </c>
      <c r="M263" s="163" t="s">
        <v>12</v>
      </c>
      <c r="N263" s="242" t="s">
        <v>1</v>
      </c>
    </row>
    <row r="264" spans="2:14" ht="56.25" hidden="1" x14ac:dyDescent="0.25">
      <c r="B264" s="234">
        <f t="shared" ca="1" si="3"/>
        <v>254</v>
      </c>
      <c r="C264" s="161">
        <v>44701</v>
      </c>
      <c r="D264" s="162" t="s">
        <v>53</v>
      </c>
      <c r="E264" s="160" t="s">
        <v>64</v>
      </c>
      <c r="F264" s="160" t="s">
        <v>50</v>
      </c>
      <c r="G264" s="165" t="s">
        <v>727</v>
      </c>
      <c r="H264" s="166" t="s">
        <v>820</v>
      </c>
      <c r="I264" s="29" t="s">
        <v>53</v>
      </c>
      <c r="J264" s="164" t="s">
        <v>821</v>
      </c>
      <c r="K264" s="163">
        <v>44701</v>
      </c>
      <c r="L264" s="167">
        <v>3</v>
      </c>
      <c r="M264" s="119" t="s">
        <v>12</v>
      </c>
      <c r="N264" s="235" t="s">
        <v>1</v>
      </c>
    </row>
    <row r="265" spans="2:14" ht="56.25" hidden="1" x14ac:dyDescent="0.25">
      <c r="B265" s="234">
        <f t="shared" ca="1" si="3"/>
        <v>255</v>
      </c>
      <c r="C265" s="83">
        <v>44701</v>
      </c>
      <c r="D265" s="118" t="s">
        <v>53</v>
      </c>
      <c r="E265" s="26" t="s">
        <v>38</v>
      </c>
      <c r="F265" s="26" t="s">
        <v>50</v>
      </c>
      <c r="G265" s="72" t="s">
        <v>822</v>
      </c>
      <c r="H265" s="54" t="s">
        <v>823</v>
      </c>
      <c r="I265" s="29" t="s">
        <v>824</v>
      </c>
      <c r="J265" s="29" t="s">
        <v>135</v>
      </c>
      <c r="K265" s="119">
        <v>44704</v>
      </c>
      <c r="L265" s="34">
        <v>3</v>
      </c>
      <c r="M265" s="119" t="s">
        <v>12</v>
      </c>
      <c r="N265" s="235" t="s">
        <v>1</v>
      </c>
    </row>
    <row r="266" spans="2:14" ht="56.25" hidden="1" x14ac:dyDescent="0.25">
      <c r="B266" s="234">
        <f t="shared" ca="1" si="3"/>
        <v>256</v>
      </c>
      <c r="C266" s="161">
        <v>44705</v>
      </c>
      <c r="D266" s="162" t="s">
        <v>53</v>
      </c>
      <c r="E266" s="160" t="s">
        <v>64</v>
      </c>
      <c r="F266" s="160" t="s">
        <v>50</v>
      </c>
      <c r="G266" s="165" t="s">
        <v>830</v>
      </c>
      <c r="H266" s="166" t="s">
        <v>832</v>
      </c>
      <c r="I266" s="164" t="s">
        <v>53</v>
      </c>
      <c r="J266" s="164" t="s">
        <v>831</v>
      </c>
      <c r="K266" s="163">
        <v>44706</v>
      </c>
      <c r="L266" s="167">
        <v>3</v>
      </c>
      <c r="M266" s="163" t="s">
        <v>12</v>
      </c>
      <c r="N266" s="242" t="s">
        <v>1</v>
      </c>
    </row>
    <row r="267" spans="2:14" ht="18.75" hidden="1" x14ac:dyDescent="0.25">
      <c r="B267" s="234">
        <f t="shared" ca="1" si="3"/>
        <v>257</v>
      </c>
      <c r="C267" s="161">
        <v>44704</v>
      </c>
      <c r="D267" s="118" t="s">
        <v>503</v>
      </c>
      <c r="E267" s="26" t="s">
        <v>80</v>
      </c>
      <c r="F267" s="26" t="s">
        <v>65</v>
      </c>
      <c r="G267" s="72" t="s">
        <v>833</v>
      </c>
      <c r="H267" s="54" t="s">
        <v>834</v>
      </c>
      <c r="I267" s="29" t="s">
        <v>503</v>
      </c>
      <c r="J267" s="29" t="s">
        <v>835</v>
      </c>
      <c r="K267" s="161">
        <v>44704</v>
      </c>
      <c r="L267" s="34">
        <v>3</v>
      </c>
      <c r="M267" s="119" t="s">
        <v>12</v>
      </c>
      <c r="N267" s="235" t="s">
        <v>1</v>
      </c>
    </row>
    <row r="268" spans="2:14" ht="18.75" hidden="1" x14ac:dyDescent="0.25">
      <c r="B268" s="234">
        <f t="shared" ref="B268:B331" ca="1" si="4">OFFSET(B268,-1,0)+1</f>
        <v>258</v>
      </c>
      <c r="C268" s="161">
        <v>44706</v>
      </c>
      <c r="D268" s="118" t="s">
        <v>503</v>
      </c>
      <c r="E268" s="26" t="s">
        <v>80</v>
      </c>
      <c r="F268" s="26" t="s">
        <v>146</v>
      </c>
      <c r="G268" s="72" t="s">
        <v>836</v>
      </c>
      <c r="H268" s="54" t="s">
        <v>837</v>
      </c>
      <c r="I268" s="29" t="s">
        <v>503</v>
      </c>
      <c r="J268" s="29" t="s">
        <v>838</v>
      </c>
      <c r="K268" s="161">
        <v>44706</v>
      </c>
      <c r="L268" s="34">
        <v>3</v>
      </c>
      <c r="M268" s="119" t="s">
        <v>12</v>
      </c>
      <c r="N268" s="235" t="s">
        <v>1</v>
      </c>
    </row>
    <row r="269" spans="2:14" ht="56.25" hidden="1" x14ac:dyDescent="0.25">
      <c r="B269" s="234">
        <f t="shared" ca="1" si="4"/>
        <v>259</v>
      </c>
      <c r="C269" s="161">
        <v>44707</v>
      </c>
      <c r="D269" s="118" t="s">
        <v>503</v>
      </c>
      <c r="E269" s="26" t="s">
        <v>80</v>
      </c>
      <c r="F269" s="26" t="s">
        <v>64</v>
      </c>
      <c r="G269" s="72" t="s">
        <v>839</v>
      </c>
      <c r="H269" s="54" t="s">
        <v>840</v>
      </c>
      <c r="I269" s="29" t="s">
        <v>503</v>
      </c>
      <c r="J269" s="29" t="s">
        <v>841</v>
      </c>
      <c r="K269" s="161">
        <v>44708</v>
      </c>
      <c r="L269" s="34">
        <v>3</v>
      </c>
      <c r="M269" s="119" t="s">
        <v>12</v>
      </c>
      <c r="N269" s="235" t="s">
        <v>1</v>
      </c>
    </row>
    <row r="270" spans="2:14" ht="56.25" hidden="1" x14ac:dyDescent="0.25">
      <c r="B270" s="234">
        <f t="shared" ca="1" si="4"/>
        <v>260</v>
      </c>
      <c r="C270" s="161">
        <v>44707</v>
      </c>
      <c r="D270" s="118" t="s">
        <v>503</v>
      </c>
      <c r="E270" s="26" t="s">
        <v>80</v>
      </c>
      <c r="F270" s="26" t="s">
        <v>64</v>
      </c>
      <c r="G270" s="72" t="s">
        <v>839</v>
      </c>
      <c r="H270" s="54" t="s">
        <v>856</v>
      </c>
      <c r="I270" s="29" t="s">
        <v>855</v>
      </c>
      <c r="J270" s="29" t="s">
        <v>842</v>
      </c>
      <c r="K270" s="161">
        <v>44709</v>
      </c>
      <c r="L270" s="34">
        <v>3</v>
      </c>
      <c r="M270" s="119" t="s">
        <v>12</v>
      </c>
      <c r="N270" s="235" t="s">
        <v>1</v>
      </c>
    </row>
    <row r="271" spans="2:14" ht="56.25" hidden="1" x14ac:dyDescent="0.25">
      <c r="B271" s="234">
        <f t="shared" ca="1" si="4"/>
        <v>261</v>
      </c>
      <c r="C271" s="169">
        <v>44718</v>
      </c>
      <c r="D271" s="170" t="s">
        <v>53</v>
      </c>
      <c r="E271" s="168" t="s">
        <v>38</v>
      </c>
      <c r="F271" s="168" t="s">
        <v>50</v>
      </c>
      <c r="G271" s="173" t="s">
        <v>857</v>
      </c>
      <c r="H271" s="174" t="s">
        <v>859</v>
      </c>
      <c r="I271" s="175" t="s">
        <v>53</v>
      </c>
      <c r="J271" s="175" t="s">
        <v>861</v>
      </c>
      <c r="K271" s="171">
        <v>44718</v>
      </c>
      <c r="L271" s="172">
        <v>3</v>
      </c>
      <c r="M271" s="171" t="s">
        <v>12</v>
      </c>
      <c r="N271" s="243" t="s">
        <v>1</v>
      </c>
    </row>
    <row r="272" spans="2:14" ht="56.25" hidden="1" x14ac:dyDescent="0.25">
      <c r="B272" s="234">
        <f t="shared" ca="1" si="4"/>
        <v>262</v>
      </c>
      <c r="C272" s="169">
        <v>44718</v>
      </c>
      <c r="D272" s="170" t="s">
        <v>53</v>
      </c>
      <c r="E272" s="168" t="s">
        <v>38</v>
      </c>
      <c r="F272" s="168" t="s">
        <v>50</v>
      </c>
      <c r="G272" s="173" t="s">
        <v>858</v>
      </c>
      <c r="H272" s="174" t="s">
        <v>860</v>
      </c>
      <c r="I272" s="175" t="s">
        <v>53</v>
      </c>
      <c r="J272" s="175" t="s">
        <v>861</v>
      </c>
      <c r="K272" s="171">
        <v>44718</v>
      </c>
      <c r="L272" s="172">
        <v>3</v>
      </c>
      <c r="M272" s="171" t="s">
        <v>12</v>
      </c>
      <c r="N272" s="243" t="s">
        <v>1</v>
      </c>
    </row>
    <row r="273" spans="2:14" ht="18.75" hidden="1" x14ac:dyDescent="0.25">
      <c r="B273" s="234">
        <f t="shared" ca="1" si="4"/>
        <v>263</v>
      </c>
      <c r="C273" s="169">
        <v>44711</v>
      </c>
      <c r="D273" s="170" t="s">
        <v>503</v>
      </c>
      <c r="E273" s="168" t="s">
        <v>80</v>
      </c>
      <c r="F273" s="168" t="s">
        <v>576</v>
      </c>
      <c r="G273" s="173" t="s">
        <v>863</v>
      </c>
      <c r="H273" s="174" t="s">
        <v>865</v>
      </c>
      <c r="I273" s="175" t="s">
        <v>503</v>
      </c>
      <c r="J273" s="175" t="s">
        <v>864</v>
      </c>
      <c r="K273" s="171">
        <v>44711</v>
      </c>
      <c r="L273" s="172">
        <v>3</v>
      </c>
      <c r="M273" s="171" t="s">
        <v>12</v>
      </c>
      <c r="N273" s="243" t="s">
        <v>1</v>
      </c>
    </row>
    <row r="274" spans="2:14" ht="18.75" hidden="1" x14ac:dyDescent="0.25">
      <c r="B274" s="234">
        <f t="shared" ca="1" si="4"/>
        <v>264</v>
      </c>
      <c r="C274" s="169">
        <v>44711</v>
      </c>
      <c r="D274" s="170" t="s">
        <v>503</v>
      </c>
      <c r="E274" s="168" t="s">
        <v>117</v>
      </c>
      <c r="F274" s="168" t="s">
        <v>64</v>
      </c>
      <c r="G274" s="173" t="s">
        <v>868</v>
      </c>
      <c r="H274" s="174" t="s">
        <v>866</v>
      </c>
      <c r="I274" s="175" t="s">
        <v>503</v>
      </c>
      <c r="J274" s="175" t="s">
        <v>867</v>
      </c>
      <c r="K274" s="171">
        <v>44715</v>
      </c>
      <c r="L274" s="172">
        <v>3</v>
      </c>
      <c r="M274" s="171" t="s">
        <v>12</v>
      </c>
      <c r="N274" s="243" t="s">
        <v>1</v>
      </c>
    </row>
    <row r="275" spans="2:14" ht="56.25" hidden="1" x14ac:dyDescent="0.25">
      <c r="B275" s="234">
        <f t="shared" ca="1" si="4"/>
        <v>265</v>
      </c>
      <c r="C275" s="169">
        <v>44704</v>
      </c>
      <c r="D275" s="170" t="s">
        <v>503</v>
      </c>
      <c r="E275" s="168" t="s">
        <v>64</v>
      </c>
      <c r="F275" s="168" t="s">
        <v>64</v>
      </c>
      <c r="G275" s="173" t="s">
        <v>872</v>
      </c>
      <c r="H275" s="174" t="s">
        <v>871</v>
      </c>
      <c r="I275" s="175" t="s">
        <v>503</v>
      </c>
      <c r="J275" s="175" t="s">
        <v>870</v>
      </c>
      <c r="K275" s="171"/>
      <c r="L275" s="172">
        <v>3</v>
      </c>
      <c r="M275" s="171" t="s">
        <v>12</v>
      </c>
      <c r="N275" s="243" t="s">
        <v>1</v>
      </c>
    </row>
    <row r="276" spans="2:14" ht="75" hidden="1" x14ac:dyDescent="0.25">
      <c r="B276" s="234">
        <f t="shared" ca="1" si="4"/>
        <v>266</v>
      </c>
      <c r="C276" s="169"/>
      <c r="D276" s="170" t="s">
        <v>855</v>
      </c>
      <c r="E276" s="168" t="s">
        <v>64</v>
      </c>
      <c r="F276" s="168" t="s">
        <v>874</v>
      </c>
      <c r="G276" s="173" t="s">
        <v>142</v>
      </c>
      <c r="H276" s="174" t="s">
        <v>877</v>
      </c>
      <c r="I276" s="175" t="s">
        <v>875</v>
      </c>
      <c r="J276" s="175" t="s">
        <v>876</v>
      </c>
      <c r="K276" s="171">
        <v>44714</v>
      </c>
      <c r="L276" s="172">
        <v>3</v>
      </c>
      <c r="M276" s="171" t="s">
        <v>12</v>
      </c>
      <c r="N276" s="243" t="s">
        <v>1</v>
      </c>
    </row>
    <row r="277" spans="2:14" ht="56.25" hidden="1" x14ac:dyDescent="0.25">
      <c r="B277" s="234">
        <f t="shared" ca="1" si="4"/>
        <v>267</v>
      </c>
      <c r="C277" s="169">
        <v>44718</v>
      </c>
      <c r="D277" s="170" t="s">
        <v>53</v>
      </c>
      <c r="E277" s="168" t="s">
        <v>38</v>
      </c>
      <c r="F277" s="168" t="s">
        <v>324</v>
      </c>
      <c r="G277" s="173" t="s">
        <v>878</v>
      </c>
      <c r="H277" s="174" t="s">
        <v>859</v>
      </c>
      <c r="I277" s="175" t="s">
        <v>53</v>
      </c>
      <c r="J277" s="175" t="s">
        <v>517</v>
      </c>
      <c r="K277" s="171">
        <v>44719</v>
      </c>
      <c r="L277" s="172">
        <v>3</v>
      </c>
      <c r="M277" s="171" t="s">
        <v>12</v>
      </c>
      <c r="N277" s="243" t="s">
        <v>1</v>
      </c>
    </row>
    <row r="278" spans="2:14" ht="56.25" hidden="1" x14ac:dyDescent="0.25">
      <c r="B278" s="234">
        <f t="shared" ca="1" si="4"/>
        <v>268</v>
      </c>
      <c r="C278" s="169">
        <v>44721</v>
      </c>
      <c r="D278" s="170" t="s">
        <v>53</v>
      </c>
      <c r="E278" s="168" t="s">
        <v>38</v>
      </c>
      <c r="F278" s="168" t="s">
        <v>50</v>
      </c>
      <c r="G278" s="72" t="s">
        <v>881</v>
      </c>
      <c r="H278" s="174" t="s">
        <v>880</v>
      </c>
      <c r="I278" s="175" t="s">
        <v>53</v>
      </c>
      <c r="J278" s="175" t="s">
        <v>879</v>
      </c>
      <c r="K278" s="171">
        <v>44721</v>
      </c>
      <c r="L278" s="172">
        <v>3</v>
      </c>
      <c r="M278" s="171" t="s">
        <v>12</v>
      </c>
      <c r="N278" s="243" t="s">
        <v>1</v>
      </c>
    </row>
    <row r="279" spans="2:14" ht="56.25" hidden="1" x14ac:dyDescent="0.25">
      <c r="B279" s="234">
        <f t="shared" ca="1" si="4"/>
        <v>269</v>
      </c>
      <c r="C279" s="169">
        <v>44721</v>
      </c>
      <c r="D279" s="170" t="s">
        <v>53</v>
      </c>
      <c r="E279" s="26" t="s">
        <v>64</v>
      </c>
      <c r="F279" s="168" t="s">
        <v>50</v>
      </c>
      <c r="G279" s="173" t="s">
        <v>882</v>
      </c>
      <c r="H279" s="174" t="s">
        <v>880</v>
      </c>
      <c r="I279" s="175" t="s">
        <v>53</v>
      </c>
      <c r="J279" s="175" t="s">
        <v>879</v>
      </c>
      <c r="K279" s="171">
        <v>44721</v>
      </c>
      <c r="L279" s="172">
        <v>3</v>
      </c>
      <c r="M279" s="171" t="s">
        <v>12</v>
      </c>
      <c r="N279" s="243" t="s">
        <v>1</v>
      </c>
    </row>
    <row r="280" spans="2:14" ht="18.75" hidden="1" x14ac:dyDescent="0.25">
      <c r="B280" s="234">
        <f t="shared" ca="1" si="4"/>
        <v>270</v>
      </c>
      <c r="C280" s="169">
        <v>44719</v>
      </c>
      <c r="D280" s="118" t="s">
        <v>503</v>
      </c>
      <c r="E280" s="26" t="s">
        <v>80</v>
      </c>
      <c r="F280" s="26" t="s">
        <v>884</v>
      </c>
      <c r="G280" s="72" t="s">
        <v>883</v>
      </c>
      <c r="H280" s="54" t="s">
        <v>885</v>
      </c>
      <c r="I280" s="29" t="s">
        <v>503</v>
      </c>
      <c r="J280" s="29" t="s">
        <v>886</v>
      </c>
      <c r="K280" s="171">
        <v>44719</v>
      </c>
      <c r="L280" s="172">
        <v>3</v>
      </c>
      <c r="M280" s="171" t="s">
        <v>12</v>
      </c>
      <c r="N280" s="243" t="s">
        <v>1</v>
      </c>
    </row>
    <row r="281" spans="2:14" ht="75" hidden="1" x14ac:dyDescent="0.25">
      <c r="B281" s="234">
        <f t="shared" ca="1" si="4"/>
        <v>271</v>
      </c>
      <c r="C281" s="169">
        <v>44721</v>
      </c>
      <c r="D281" s="118" t="s">
        <v>855</v>
      </c>
      <c r="E281" s="26" t="s">
        <v>80</v>
      </c>
      <c r="F281" s="26" t="s">
        <v>576</v>
      </c>
      <c r="G281" s="72" t="s">
        <v>887</v>
      </c>
      <c r="H281" s="54" t="s">
        <v>940</v>
      </c>
      <c r="I281" s="29" t="s">
        <v>503</v>
      </c>
      <c r="J281" s="29" t="s">
        <v>553</v>
      </c>
      <c r="K281" s="171">
        <v>44729</v>
      </c>
      <c r="L281" s="172">
        <v>3</v>
      </c>
      <c r="M281" s="171" t="s">
        <v>12</v>
      </c>
      <c r="N281" s="235" t="s">
        <v>551</v>
      </c>
    </row>
    <row r="282" spans="2:14" ht="14.45" hidden="1" customHeight="1" x14ac:dyDescent="0.25">
      <c r="B282" s="234">
        <f t="shared" ca="1" si="4"/>
        <v>272</v>
      </c>
      <c r="C282" s="169">
        <v>44718</v>
      </c>
      <c r="D282" s="118" t="s">
        <v>855</v>
      </c>
      <c r="E282" s="26" t="s">
        <v>80</v>
      </c>
      <c r="F282" s="26" t="s">
        <v>576</v>
      </c>
      <c r="G282" s="72" t="s">
        <v>888</v>
      </c>
      <c r="H282" s="54" t="s">
        <v>926</v>
      </c>
      <c r="I282" s="29" t="s">
        <v>889</v>
      </c>
      <c r="J282" s="29" t="s">
        <v>553</v>
      </c>
      <c r="K282" s="171">
        <v>44733</v>
      </c>
      <c r="L282" s="172">
        <v>3</v>
      </c>
      <c r="M282" s="171" t="s">
        <v>12</v>
      </c>
      <c r="N282" s="235" t="s">
        <v>1</v>
      </c>
    </row>
    <row r="283" spans="2:14" ht="56.25" hidden="1" x14ac:dyDescent="0.25">
      <c r="B283" s="234">
        <f t="shared" ca="1" si="4"/>
        <v>273</v>
      </c>
      <c r="C283" s="211">
        <v>44722</v>
      </c>
      <c r="D283" s="212" t="s">
        <v>53</v>
      </c>
      <c r="E283" s="168" t="s">
        <v>38</v>
      </c>
      <c r="F283" s="168" t="s">
        <v>50</v>
      </c>
      <c r="G283" s="72" t="s">
        <v>890</v>
      </c>
      <c r="H283" s="54" t="s">
        <v>859</v>
      </c>
      <c r="I283" s="175" t="s">
        <v>53</v>
      </c>
      <c r="J283" s="175" t="s">
        <v>861</v>
      </c>
      <c r="K283" s="171">
        <v>44722</v>
      </c>
      <c r="L283" s="172">
        <v>3</v>
      </c>
      <c r="M283" s="171" t="s">
        <v>12</v>
      </c>
      <c r="N283" s="243" t="s">
        <v>1</v>
      </c>
    </row>
    <row r="284" spans="2:14" ht="56.25" hidden="1" x14ac:dyDescent="0.25">
      <c r="B284" s="234">
        <f t="shared" ca="1" si="4"/>
        <v>274</v>
      </c>
      <c r="C284" s="211">
        <v>44721</v>
      </c>
      <c r="D284" s="118" t="s">
        <v>855</v>
      </c>
      <c r="E284" s="26" t="s">
        <v>80</v>
      </c>
      <c r="F284" s="26" t="s">
        <v>576</v>
      </c>
      <c r="G284" s="72" t="s">
        <v>891</v>
      </c>
      <c r="H284" s="54" t="s">
        <v>899</v>
      </c>
      <c r="I284" s="213" t="s">
        <v>889</v>
      </c>
      <c r="J284" s="213" t="s">
        <v>892</v>
      </c>
      <c r="K284" s="171">
        <v>44722</v>
      </c>
      <c r="L284" s="214">
        <v>3</v>
      </c>
      <c r="M284" s="171" t="s">
        <v>12</v>
      </c>
      <c r="N284" s="244" t="s">
        <v>1</v>
      </c>
    </row>
    <row r="285" spans="2:14" ht="18.75" hidden="1" x14ac:dyDescent="0.25">
      <c r="B285" s="234">
        <f t="shared" ca="1" si="4"/>
        <v>275</v>
      </c>
      <c r="C285" s="83">
        <v>44722</v>
      </c>
      <c r="D285" s="118" t="s">
        <v>53</v>
      </c>
      <c r="E285" s="26" t="s">
        <v>64</v>
      </c>
      <c r="F285" s="26" t="s">
        <v>50</v>
      </c>
      <c r="G285" s="72" t="s">
        <v>893</v>
      </c>
      <c r="H285" s="54" t="s">
        <v>894</v>
      </c>
      <c r="I285" s="29" t="s">
        <v>895</v>
      </c>
      <c r="J285" s="29" t="s">
        <v>896</v>
      </c>
      <c r="K285" s="119">
        <v>44725</v>
      </c>
      <c r="L285" s="34">
        <v>3</v>
      </c>
      <c r="M285" s="119" t="s">
        <v>12</v>
      </c>
      <c r="N285" s="235" t="s">
        <v>1</v>
      </c>
    </row>
    <row r="286" spans="2:14" ht="56.25" hidden="1" x14ac:dyDescent="0.25">
      <c r="B286" s="234">
        <f t="shared" ca="1" si="4"/>
        <v>276</v>
      </c>
      <c r="C286" s="83">
        <v>44726</v>
      </c>
      <c r="D286" s="118" t="s">
        <v>53</v>
      </c>
      <c r="E286" s="168" t="s">
        <v>38</v>
      </c>
      <c r="F286" s="168" t="s">
        <v>50</v>
      </c>
      <c r="G286" s="72" t="s">
        <v>897</v>
      </c>
      <c r="H286" s="54" t="s">
        <v>898</v>
      </c>
      <c r="I286" s="175" t="s">
        <v>53</v>
      </c>
      <c r="J286" s="175" t="s">
        <v>861</v>
      </c>
      <c r="K286" s="171">
        <v>44726</v>
      </c>
      <c r="L286" s="172">
        <v>3</v>
      </c>
      <c r="M286" s="171" t="s">
        <v>12</v>
      </c>
      <c r="N286" s="243" t="s">
        <v>1</v>
      </c>
    </row>
    <row r="287" spans="2:14" ht="56.25" hidden="1" x14ac:dyDescent="0.25">
      <c r="B287" s="234">
        <f t="shared" ca="1" si="4"/>
        <v>277</v>
      </c>
      <c r="C287" s="216">
        <v>44726</v>
      </c>
      <c r="D287" s="217" t="s">
        <v>53</v>
      </c>
      <c r="E287" s="215" t="s">
        <v>38</v>
      </c>
      <c r="F287" s="99" t="s">
        <v>493</v>
      </c>
      <c r="G287" s="29" t="s">
        <v>566</v>
      </c>
      <c r="H287" s="218" t="s">
        <v>900</v>
      </c>
      <c r="I287" s="219" t="s">
        <v>53</v>
      </c>
      <c r="J287" s="219" t="s">
        <v>901</v>
      </c>
      <c r="K287" s="220">
        <v>44726</v>
      </c>
      <c r="L287" s="221">
        <v>3</v>
      </c>
      <c r="M287" s="220" t="s">
        <v>12</v>
      </c>
      <c r="N287" s="245" t="s">
        <v>1</v>
      </c>
    </row>
    <row r="288" spans="2:14" ht="37.5" hidden="1" x14ac:dyDescent="0.25">
      <c r="B288" s="234">
        <f t="shared" ca="1" si="4"/>
        <v>278</v>
      </c>
      <c r="C288" s="83">
        <v>44728</v>
      </c>
      <c r="D288" s="118" t="s">
        <v>53</v>
      </c>
      <c r="E288" s="26" t="s">
        <v>38</v>
      </c>
      <c r="F288" s="26" t="s">
        <v>50</v>
      </c>
      <c r="G288" s="72" t="s">
        <v>902</v>
      </c>
      <c r="H288" s="54" t="s">
        <v>903</v>
      </c>
      <c r="I288" s="29" t="s">
        <v>53</v>
      </c>
      <c r="J288" s="29" t="s">
        <v>904</v>
      </c>
      <c r="K288" s="119">
        <v>44728</v>
      </c>
      <c r="L288" s="34">
        <v>3</v>
      </c>
      <c r="M288" s="119" t="s">
        <v>12</v>
      </c>
      <c r="N288" s="235" t="s">
        <v>1</v>
      </c>
    </row>
    <row r="289" spans="2:14" ht="206.25" hidden="1" x14ac:dyDescent="0.25">
      <c r="B289" s="234">
        <f t="shared" ca="1" si="4"/>
        <v>279</v>
      </c>
      <c r="C289" s="83">
        <v>44727</v>
      </c>
      <c r="D289" s="118" t="s">
        <v>53</v>
      </c>
      <c r="E289" s="26" t="s">
        <v>38</v>
      </c>
      <c r="F289" s="26" t="s">
        <v>50</v>
      </c>
      <c r="G289" s="72" t="s">
        <v>906</v>
      </c>
      <c r="H289" s="54" t="s">
        <v>957</v>
      </c>
      <c r="I289" s="29" t="s">
        <v>946</v>
      </c>
      <c r="J289" s="29" t="s">
        <v>135</v>
      </c>
      <c r="K289" s="119">
        <v>44742</v>
      </c>
      <c r="L289" s="34">
        <v>3</v>
      </c>
      <c r="M289" s="119" t="s">
        <v>12</v>
      </c>
      <c r="N289" s="235" t="s">
        <v>1</v>
      </c>
    </row>
    <row r="290" spans="2:14" ht="56.25" hidden="1" x14ac:dyDescent="0.25">
      <c r="B290" s="234">
        <f t="shared" ca="1" si="4"/>
        <v>280</v>
      </c>
      <c r="C290" s="179">
        <v>44729</v>
      </c>
      <c r="D290" s="180" t="s">
        <v>53</v>
      </c>
      <c r="E290" s="177" t="s">
        <v>64</v>
      </c>
      <c r="F290" s="177" t="s">
        <v>50</v>
      </c>
      <c r="G290" s="182" t="s">
        <v>908</v>
      </c>
      <c r="H290" s="54" t="s">
        <v>909</v>
      </c>
      <c r="I290" s="184" t="s">
        <v>53</v>
      </c>
      <c r="J290" s="184" t="s">
        <v>879</v>
      </c>
      <c r="K290" s="181">
        <v>44729</v>
      </c>
      <c r="L290" s="178">
        <v>3</v>
      </c>
      <c r="M290" s="181" t="s">
        <v>12</v>
      </c>
      <c r="N290" s="246" t="s">
        <v>1</v>
      </c>
    </row>
    <row r="291" spans="2:14" ht="56.25" hidden="1" x14ac:dyDescent="0.25">
      <c r="B291" s="234">
        <f t="shared" ca="1" si="4"/>
        <v>281</v>
      </c>
      <c r="C291" s="179">
        <v>44732</v>
      </c>
      <c r="D291" s="180" t="s">
        <v>53</v>
      </c>
      <c r="E291" s="177" t="s">
        <v>38</v>
      </c>
      <c r="F291" s="177" t="s">
        <v>50</v>
      </c>
      <c r="G291" s="182" t="s">
        <v>897</v>
      </c>
      <c r="H291" s="183" t="s">
        <v>907</v>
      </c>
      <c r="I291" s="184" t="s">
        <v>53</v>
      </c>
      <c r="J291" s="184" t="s">
        <v>861</v>
      </c>
      <c r="K291" s="181">
        <v>44732</v>
      </c>
      <c r="L291" s="178">
        <v>3</v>
      </c>
      <c r="M291" s="181" t="s">
        <v>12</v>
      </c>
      <c r="N291" s="246" t="s">
        <v>1</v>
      </c>
    </row>
    <row r="292" spans="2:14" ht="18.75" hidden="1" x14ac:dyDescent="0.25">
      <c r="B292" s="234">
        <f t="shared" ca="1" si="4"/>
        <v>282</v>
      </c>
      <c r="C292" s="179">
        <v>44732</v>
      </c>
      <c r="D292" s="180" t="s">
        <v>910</v>
      </c>
      <c r="E292" s="177" t="s">
        <v>64</v>
      </c>
      <c r="F292" s="177" t="s">
        <v>64</v>
      </c>
      <c r="G292" s="182" t="s">
        <v>911</v>
      </c>
      <c r="H292" s="183" t="s">
        <v>913</v>
      </c>
      <c r="I292" s="184" t="s">
        <v>910</v>
      </c>
      <c r="J292" s="184" t="s">
        <v>912</v>
      </c>
      <c r="K292" s="181">
        <v>44733</v>
      </c>
      <c r="L292" s="178">
        <v>3</v>
      </c>
      <c r="M292" s="181" t="s">
        <v>12</v>
      </c>
      <c r="N292" s="246" t="s">
        <v>1</v>
      </c>
    </row>
    <row r="293" spans="2:14" ht="75" hidden="1" x14ac:dyDescent="0.25">
      <c r="B293" s="234">
        <f t="shared" ca="1" si="4"/>
        <v>283</v>
      </c>
      <c r="C293" s="83">
        <v>44733</v>
      </c>
      <c r="D293" s="118" t="s">
        <v>53</v>
      </c>
      <c r="E293" s="26" t="s">
        <v>64</v>
      </c>
      <c r="F293" s="26" t="s">
        <v>50</v>
      </c>
      <c r="G293" s="72" t="s">
        <v>914</v>
      </c>
      <c r="H293" s="54" t="s">
        <v>921</v>
      </c>
      <c r="I293" s="29" t="s">
        <v>53</v>
      </c>
      <c r="J293" s="29" t="s">
        <v>879</v>
      </c>
      <c r="K293" s="119">
        <v>44734</v>
      </c>
      <c r="L293" s="34">
        <v>3</v>
      </c>
      <c r="M293" s="119" t="s">
        <v>12</v>
      </c>
      <c r="N293" s="235" t="s">
        <v>1</v>
      </c>
    </row>
    <row r="294" spans="2:14" ht="56.25" hidden="1" x14ac:dyDescent="0.25">
      <c r="B294" s="234">
        <f t="shared" ca="1" si="4"/>
        <v>284</v>
      </c>
      <c r="C294" s="83">
        <v>44733</v>
      </c>
      <c r="D294" s="118" t="s">
        <v>53</v>
      </c>
      <c r="E294" s="26" t="s">
        <v>38</v>
      </c>
      <c r="F294" s="26" t="s">
        <v>493</v>
      </c>
      <c r="G294" s="72" t="s">
        <v>915</v>
      </c>
      <c r="H294" s="54" t="s">
        <v>916</v>
      </c>
      <c r="I294" s="29" t="s">
        <v>53</v>
      </c>
      <c r="J294" s="29" t="s">
        <v>917</v>
      </c>
      <c r="K294" s="119">
        <v>44734</v>
      </c>
      <c r="L294" s="34">
        <v>3</v>
      </c>
      <c r="M294" s="119" t="s">
        <v>12</v>
      </c>
      <c r="N294" s="235" t="s">
        <v>1</v>
      </c>
    </row>
    <row r="295" spans="2:14" ht="56.25" hidden="1" x14ac:dyDescent="0.25">
      <c r="B295" s="234">
        <f t="shared" ca="1" si="4"/>
        <v>285</v>
      </c>
      <c r="C295" s="83">
        <v>44733</v>
      </c>
      <c r="D295" s="118" t="s">
        <v>53</v>
      </c>
      <c r="E295" s="26" t="s">
        <v>44</v>
      </c>
      <c r="F295" s="26" t="s">
        <v>64</v>
      </c>
      <c r="G295" s="29" t="s">
        <v>918</v>
      </c>
      <c r="H295" s="54" t="s">
        <v>919</v>
      </c>
      <c r="I295" s="29" t="s">
        <v>53</v>
      </c>
      <c r="J295" s="29" t="s">
        <v>920</v>
      </c>
      <c r="K295" s="119">
        <v>44736</v>
      </c>
      <c r="L295" s="34">
        <v>3</v>
      </c>
      <c r="M295" s="119" t="s">
        <v>12</v>
      </c>
      <c r="N295" s="235" t="s">
        <v>1</v>
      </c>
    </row>
    <row r="296" spans="2:14" ht="56.25" hidden="1" x14ac:dyDescent="0.25">
      <c r="B296" s="234">
        <f t="shared" ca="1" si="4"/>
        <v>286</v>
      </c>
      <c r="C296" s="83">
        <v>44733</v>
      </c>
      <c r="D296" s="118" t="s">
        <v>503</v>
      </c>
      <c r="E296" s="26" t="s">
        <v>80</v>
      </c>
      <c r="F296" s="26" t="s">
        <v>593</v>
      </c>
      <c r="G296" s="72" t="s">
        <v>930</v>
      </c>
      <c r="H296" s="54" t="s">
        <v>931</v>
      </c>
      <c r="I296" s="29" t="s">
        <v>855</v>
      </c>
      <c r="J296" s="29" t="s">
        <v>610</v>
      </c>
      <c r="K296" s="119">
        <v>44741</v>
      </c>
      <c r="L296" s="34">
        <v>3</v>
      </c>
      <c r="M296" s="119" t="s">
        <v>12</v>
      </c>
      <c r="N296" s="235" t="s">
        <v>1</v>
      </c>
    </row>
    <row r="297" spans="2:14" ht="56.25" hidden="1" x14ac:dyDescent="0.25">
      <c r="B297" s="234">
        <f t="shared" ca="1" si="4"/>
        <v>287</v>
      </c>
      <c r="C297" s="185">
        <v>44734</v>
      </c>
      <c r="D297" s="223" t="s">
        <v>910</v>
      </c>
      <c r="E297" s="222" t="s">
        <v>64</v>
      </c>
      <c r="F297" s="222" t="s">
        <v>141</v>
      </c>
      <c r="G297" s="224" t="s">
        <v>923</v>
      </c>
      <c r="H297" s="225" t="s">
        <v>924</v>
      </c>
      <c r="I297" s="226" t="s">
        <v>910</v>
      </c>
      <c r="J297" s="226" t="s">
        <v>925</v>
      </c>
      <c r="K297" s="186">
        <v>44736</v>
      </c>
      <c r="L297" s="227">
        <v>3</v>
      </c>
      <c r="M297" s="186" t="s">
        <v>12</v>
      </c>
      <c r="N297" s="247" t="s">
        <v>1</v>
      </c>
    </row>
    <row r="298" spans="2:14" ht="18.75" hidden="1" x14ac:dyDescent="0.25">
      <c r="B298" s="234">
        <f t="shared" ca="1" si="4"/>
        <v>288</v>
      </c>
      <c r="C298" s="83">
        <v>44734</v>
      </c>
      <c r="D298" s="118" t="s">
        <v>34</v>
      </c>
      <c r="E298" s="26" t="s">
        <v>31</v>
      </c>
      <c r="F298" s="26" t="s">
        <v>442</v>
      </c>
      <c r="G298" s="29" t="s">
        <v>1071</v>
      </c>
      <c r="H298" s="54" t="s">
        <v>693</v>
      </c>
      <c r="I298" s="29" t="s">
        <v>34</v>
      </c>
      <c r="J298" s="29" t="s">
        <v>984</v>
      </c>
      <c r="K298" s="119">
        <v>44748</v>
      </c>
      <c r="L298" s="34">
        <v>1</v>
      </c>
      <c r="M298" s="119" t="s">
        <v>12</v>
      </c>
      <c r="N298" s="235" t="s">
        <v>1</v>
      </c>
    </row>
    <row r="299" spans="2:14" ht="131.25" hidden="1" x14ac:dyDescent="0.25">
      <c r="B299" s="234">
        <f t="shared" ca="1" si="4"/>
        <v>289</v>
      </c>
      <c r="C299" s="83">
        <v>44713</v>
      </c>
      <c r="D299" s="118" t="s">
        <v>503</v>
      </c>
      <c r="E299" s="26" t="s">
        <v>117</v>
      </c>
      <c r="F299" s="26" t="s">
        <v>576</v>
      </c>
      <c r="G299" s="29" t="s">
        <v>936</v>
      </c>
      <c r="H299" s="54" t="s">
        <v>1018</v>
      </c>
      <c r="I299" s="29" t="s">
        <v>889</v>
      </c>
      <c r="J299" s="29" t="s">
        <v>782</v>
      </c>
      <c r="K299" s="119"/>
      <c r="L299" s="34">
        <v>3</v>
      </c>
      <c r="M299" s="119" t="s">
        <v>12</v>
      </c>
      <c r="N299" s="235" t="s">
        <v>1</v>
      </c>
    </row>
    <row r="300" spans="2:14" ht="18.75" hidden="1" x14ac:dyDescent="0.25">
      <c r="B300" s="234">
        <f t="shared" ca="1" si="4"/>
        <v>290</v>
      </c>
      <c r="C300" s="185">
        <v>44733</v>
      </c>
      <c r="D300" s="118" t="s">
        <v>503</v>
      </c>
      <c r="E300" s="26" t="s">
        <v>117</v>
      </c>
      <c r="F300" s="26" t="s">
        <v>576</v>
      </c>
      <c r="G300" s="72" t="s">
        <v>932</v>
      </c>
      <c r="H300" s="54" t="s">
        <v>935</v>
      </c>
      <c r="I300" s="29" t="s">
        <v>503</v>
      </c>
      <c r="J300" s="29" t="s">
        <v>912</v>
      </c>
      <c r="K300" s="186">
        <v>44736</v>
      </c>
      <c r="L300" s="34">
        <v>3</v>
      </c>
      <c r="M300" s="119" t="s">
        <v>12</v>
      </c>
      <c r="N300" s="235" t="s">
        <v>1</v>
      </c>
    </row>
    <row r="301" spans="2:14" ht="56.25" hidden="1" x14ac:dyDescent="0.25">
      <c r="B301" s="234">
        <f t="shared" ca="1" si="4"/>
        <v>291</v>
      </c>
      <c r="C301" s="83">
        <v>44735</v>
      </c>
      <c r="D301" s="118" t="s">
        <v>503</v>
      </c>
      <c r="E301" s="26" t="s">
        <v>80</v>
      </c>
      <c r="F301" s="26" t="s">
        <v>64</v>
      </c>
      <c r="G301" s="72" t="s">
        <v>934</v>
      </c>
      <c r="H301" s="54" t="s">
        <v>933</v>
      </c>
      <c r="I301" s="29" t="s">
        <v>503</v>
      </c>
      <c r="J301" s="29" t="s">
        <v>294</v>
      </c>
      <c r="K301" s="186">
        <v>44735</v>
      </c>
      <c r="L301" s="34">
        <v>3</v>
      </c>
      <c r="M301" s="119" t="s">
        <v>12</v>
      </c>
      <c r="N301" s="235" t="s">
        <v>551</v>
      </c>
    </row>
    <row r="302" spans="2:14" ht="37.5" hidden="1" x14ac:dyDescent="0.25">
      <c r="B302" s="234">
        <f t="shared" ca="1" si="4"/>
        <v>292</v>
      </c>
      <c r="C302" s="83">
        <v>44736</v>
      </c>
      <c r="D302" s="118" t="s">
        <v>503</v>
      </c>
      <c r="E302" s="26" t="s">
        <v>80</v>
      </c>
      <c r="F302" s="26" t="s">
        <v>64</v>
      </c>
      <c r="G302" s="72" t="s">
        <v>937</v>
      </c>
      <c r="H302" s="54" t="s">
        <v>938</v>
      </c>
      <c r="I302" s="29" t="s">
        <v>855</v>
      </c>
      <c r="J302" s="29" t="s">
        <v>939</v>
      </c>
      <c r="K302" s="186">
        <v>44739</v>
      </c>
      <c r="L302" s="34">
        <v>3</v>
      </c>
      <c r="M302" s="119" t="s">
        <v>12</v>
      </c>
      <c r="N302" s="235" t="s">
        <v>1</v>
      </c>
    </row>
    <row r="303" spans="2:14" ht="27.6" hidden="1" customHeight="1" x14ac:dyDescent="0.25">
      <c r="B303" s="234">
        <f t="shared" ca="1" si="4"/>
        <v>293</v>
      </c>
      <c r="C303" s="83">
        <v>44736</v>
      </c>
      <c r="D303" s="118" t="s">
        <v>503</v>
      </c>
      <c r="E303" s="26" t="s">
        <v>80</v>
      </c>
      <c r="F303" s="26" t="s">
        <v>64</v>
      </c>
      <c r="G303" s="72" t="s">
        <v>934</v>
      </c>
      <c r="H303" s="54" t="s">
        <v>941</v>
      </c>
      <c r="I303" s="29" t="s">
        <v>503</v>
      </c>
      <c r="J303" s="29" t="s">
        <v>774</v>
      </c>
      <c r="K303" s="119">
        <v>44736</v>
      </c>
      <c r="L303" s="34">
        <v>3</v>
      </c>
      <c r="M303" s="119" t="s">
        <v>12</v>
      </c>
      <c r="N303" s="235" t="s">
        <v>1</v>
      </c>
    </row>
    <row r="304" spans="2:14" ht="56.25" hidden="1" x14ac:dyDescent="0.25">
      <c r="B304" s="234">
        <f t="shared" ca="1" si="4"/>
        <v>294</v>
      </c>
      <c r="C304" s="83">
        <v>44736</v>
      </c>
      <c r="D304" s="118" t="s">
        <v>942</v>
      </c>
      <c r="E304" s="26" t="s">
        <v>64</v>
      </c>
      <c r="F304" s="26" t="s">
        <v>64</v>
      </c>
      <c r="G304" s="72" t="s">
        <v>945</v>
      </c>
      <c r="H304" s="54" t="s">
        <v>958</v>
      </c>
      <c r="I304" s="29" t="s">
        <v>855</v>
      </c>
      <c r="J304" s="29" t="s">
        <v>33</v>
      </c>
      <c r="K304" s="119"/>
      <c r="L304" s="34">
        <v>3</v>
      </c>
      <c r="M304" s="119" t="s">
        <v>12</v>
      </c>
      <c r="N304" s="235" t="s">
        <v>1</v>
      </c>
    </row>
    <row r="305" spans="2:14" ht="37.5" hidden="1" x14ac:dyDescent="0.25">
      <c r="B305" s="234">
        <f t="shared" ca="1" si="4"/>
        <v>295</v>
      </c>
      <c r="C305" s="83">
        <v>44734</v>
      </c>
      <c r="D305" s="118" t="s">
        <v>942</v>
      </c>
      <c r="E305" s="26" t="s">
        <v>64</v>
      </c>
      <c r="F305" s="26" t="s">
        <v>64</v>
      </c>
      <c r="G305" s="72" t="s">
        <v>944</v>
      </c>
      <c r="H305" s="54" t="s">
        <v>943</v>
      </c>
      <c r="I305" s="29" t="s">
        <v>192</v>
      </c>
      <c r="J305" s="29" t="s">
        <v>33</v>
      </c>
      <c r="K305" s="119">
        <v>44736</v>
      </c>
      <c r="L305" s="34">
        <v>4</v>
      </c>
      <c r="M305" s="119" t="s">
        <v>12</v>
      </c>
      <c r="N305" s="235" t="s">
        <v>1</v>
      </c>
    </row>
    <row r="306" spans="2:14" ht="56.25" hidden="1" x14ac:dyDescent="0.25">
      <c r="B306" s="234">
        <f t="shared" ca="1" si="4"/>
        <v>296</v>
      </c>
      <c r="C306" s="83">
        <v>44739</v>
      </c>
      <c r="D306" s="118" t="s">
        <v>53</v>
      </c>
      <c r="E306" s="26" t="s">
        <v>38</v>
      </c>
      <c r="F306" s="26" t="s">
        <v>50</v>
      </c>
      <c r="G306" s="72" t="s">
        <v>952</v>
      </c>
      <c r="H306" s="54" t="s">
        <v>953</v>
      </c>
      <c r="I306" s="29" t="s">
        <v>53</v>
      </c>
      <c r="J306" s="29" t="s">
        <v>744</v>
      </c>
      <c r="K306" s="119">
        <v>44740</v>
      </c>
      <c r="L306" s="34">
        <v>3</v>
      </c>
      <c r="M306" s="119" t="s">
        <v>12</v>
      </c>
      <c r="N306" s="235" t="s">
        <v>1</v>
      </c>
    </row>
    <row r="307" spans="2:14" ht="18" hidden="1" customHeight="1" x14ac:dyDescent="0.25">
      <c r="B307" s="234">
        <f t="shared" ca="1" si="4"/>
        <v>297</v>
      </c>
      <c r="C307" s="83">
        <v>44742</v>
      </c>
      <c r="D307" s="118" t="s">
        <v>53</v>
      </c>
      <c r="E307" s="26" t="s">
        <v>38</v>
      </c>
      <c r="F307" s="26" t="s">
        <v>324</v>
      </c>
      <c r="G307" s="72" t="s">
        <v>955</v>
      </c>
      <c r="H307" s="54" t="s">
        <v>956</v>
      </c>
      <c r="I307" s="29" t="s">
        <v>53</v>
      </c>
      <c r="J307" s="29" t="s">
        <v>517</v>
      </c>
      <c r="K307" s="119">
        <v>44742</v>
      </c>
      <c r="L307" s="34">
        <v>3</v>
      </c>
      <c r="M307" s="119" t="s">
        <v>12</v>
      </c>
      <c r="N307" s="235" t="s">
        <v>1</v>
      </c>
    </row>
    <row r="308" spans="2:14" ht="56.25" hidden="1" x14ac:dyDescent="0.25">
      <c r="B308" s="234">
        <f t="shared" ca="1" si="4"/>
        <v>298</v>
      </c>
      <c r="C308" s="190">
        <v>44746</v>
      </c>
      <c r="D308" s="191" t="s">
        <v>53</v>
      </c>
      <c r="E308" s="177" t="s">
        <v>64</v>
      </c>
      <c r="F308" s="177" t="s">
        <v>50</v>
      </c>
      <c r="G308" s="72" t="s">
        <v>959</v>
      </c>
      <c r="H308" s="54" t="s">
        <v>960</v>
      </c>
      <c r="I308" s="184" t="s">
        <v>53</v>
      </c>
      <c r="J308" s="184" t="s">
        <v>130</v>
      </c>
      <c r="K308" s="181">
        <v>44746</v>
      </c>
      <c r="L308" s="178">
        <v>3</v>
      </c>
      <c r="M308" s="181" t="s">
        <v>12</v>
      </c>
      <c r="N308" s="246" t="s">
        <v>1</v>
      </c>
    </row>
    <row r="309" spans="2:14" ht="75" hidden="1" x14ac:dyDescent="0.25">
      <c r="B309" s="234">
        <f t="shared" ca="1" si="4"/>
        <v>299</v>
      </c>
      <c r="C309" s="190">
        <v>44739</v>
      </c>
      <c r="D309" s="191" t="s">
        <v>549</v>
      </c>
      <c r="E309" s="189" t="s">
        <v>31</v>
      </c>
      <c r="F309" s="189" t="s">
        <v>423</v>
      </c>
      <c r="G309" s="194" t="s">
        <v>425</v>
      </c>
      <c r="H309" s="54" t="s">
        <v>1054</v>
      </c>
      <c r="I309" s="195" t="s">
        <v>961</v>
      </c>
      <c r="J309" s="195" t="s">
        <v>962</v>
      </c>
      <c r="K309" s="192">
        <v>44776</v>
      </c>
      <c r="L309" s="193">
        <v>3</v>
      </c>
      <c r="M309" s="119" t="s">
        <v>12</v>
      </c>
      <c r="N309" s="235" t="s">
        <v>1</v>
      </c>
    </row>
    <row r="310" spans="2:14" ht="56.25" hidden="1" x14ac:dyDescent="0.25">
      <c r="B310" s="234">
        <f t="shared" ca="1" si="4"/>
        <v>300</v>
      </c>
      <c r="C310" s="190">
        <v>44725</v>
      </c>
      <c r="D310" s="191" t="s">
        <v>549</v>
      </c>
      <c r="E310" s="189" t="s">
        <v>31</v>
      </c>
      <c r="F310" s="189" t="s">
        <v>423</v>
      </c>
      <c r="G310" s="194" t="s">
        <v>425</v>
      </c>
      <c r="H310" s="54" t="s">
        <v>1070</v>
      </c>
      <c r="I310" s="195" t="s">
        <v>963</v>
      </c>
      <c r="J310" s="195" t="s">
        <v>846</v>
      </c>
      <c r="K310" s="192">
        <v>44784</v>
      </c>
      <c r="L310" s="193">
        <v>3</v>
      </c>
      <c r="M310" s="119" t="s">
        <v>12</v>
      </c>
      <c r="N310" s="235" t="s">
        <v>1</v>
      </c>
    </row>
    <row r="311" spans="2:14" ht="356.25" hidden="1" x14ac:dyDescent="0.25">
      <c r="B311" s="234">
        <f t="shared" ca="1" si="4"/>
        <v>301</v>
      </c>
      <c r="C311" s="187">
        <v>44742</v>
      </c>
      <c r="D311" s="39" t="s">
        <v>910</v>
      </c>
      <c r="E311" s="38" t="s">
        <v>64</v>
      </c>
      <c r="F311" s="38" t="s">
        <v>141</v>
      </c>
      <c r="G311" s="176" t="s">
        <v>965</v>
      </c>
      <c r="H311" s="248" t="s">
        <v>966</v>
      </c>
      <c r="I311" s="40" t="s">
        <v>875</v>
      </c>
      <c r="J311" s="40" t="s">
        <v>707</v>
      </c>
      <c r="K311" s="192">
        <v>44749</v>
      </c>
      <c r="L311" s="188">
        <v>3</v>
      </c>
      <c r="M311" s="121" t="s">
        <v>12</v>
      </c>
      <c r="N311" s="249" t="s">
        <v>1</v>
      </c>
    </row>
    <row r="312" spans="2:14" ht="131.25" hidden="1" x14ac:dyDescent="0.25">
      <c r="B312" s="234">
        <f t="shared" ca="1" si="4"/>
        <v>302</v>
      </c>
      <c r="C312" s="37">
        <v>44746</v>
      </c>
      <c r="D312" s="39" t="s">
        <v>53</v>
      </c>
      <c r="E312" s="38" t="s">
        <v>64</v>
      </c>
      <c r="F312" s="38" t="s">
        <v>50</v>
      </c>
      <c r="G312" s="176" t="s">
        <v>967</v>
      </c>
      <c r="H312" s="248" t="s">
        <v>970</v>
      </c>
      <c r="I312" s="40" t="s">
        <v>969</v>
      </c>
      <c r="J312" s="40" t="s">
        <v>968</v>
      </c>
      <c r="K312" s="121">
        <v>44753</v>
      </c>
      <c r="L312" s="51">
        <v>3</v>
      </c>
      <c r="M312" s="121" t="s">
        <v>12</v>
      </c>
      <c r="N312" s="249" t="s">
        <v>1</v>
      </c>
    </row>
    <row r="313" spans="2:14" ht="56.25" hidden="1" x14ac:dyDescent="0.25">
      <c r="B313" s="234">
        <f t="shared" ca="1" si="4"/>
        <v>303</v>
      </c>
      <c r="C313" s="37">
        <v>44750</v>
      </c>
      <c r="D313" s="39" t="s">
        <v>53</v>
      </c>
      <c r="E313" s="38" t="s">
        <v>38</v>
      </c>
      <c r="F313" s="38" t="s">
        <v>50</v>
      </c>
      <c r="G313" s="176" t="s">
        <v>971</v>
      </c>
      <c r="H313" s="248" t="s">
        <v>972</v>
      </c>
      <c r="I313" s="40" t="s">
        <v>53</v>
      </c>
      <c r="J313" s="40" t="s">
        <v>973</v>
      </c>
      <c r="K313" s="121"/>
      <c r="L313" s="51">
        <v>3</v>
      </c>
      <c r="M313" s="121" t="s">
        <v>12</v>
      </c>
      <c r="N313" s="249" t="s">
        <v>1</v>
      </c>
    </row>
    <row r="314" spans="2:14" ht="56.25" hidden="1" x14ac:dyDescent="0.25">
      <c r="B314" s="234">
        <f t="shared" ca="1" si="4"/>
        <v>304</v>
      </c>
      <c r="C314" s="37">
        <v>44750</v>
      </c>
      <c r="D314" s="39" t="s">
        <v>53</v>
      </c>
      <c r="E314" s="38" t="s">
        <v>44</v>
      </c>
      <c r="F314" s="38" t="s">
        <v>56</v>
      </c>
      <c r="G314" s="176" t="s">
        <v>974</v>
      </c>
      <c r="H314" s="248" t="s">
        <v>975</v>
      </c>
      <c r="I314" s="40" t="s">
        <v>53</v>
      </c>
      <c r="J314" s="40" t="s">
        <v>598</v>
      </c>
      <c r="K314" s="121"/>
      <c r="L314" s="51">
        <v>3</v>
      </c>
      <c r="M314" s="121" t="s">
        <v>12</v>
      </c>
      <c r="N314" s="249" t="s">
        <v>1</v>
      </c>
    </row>
    <row r="315" spans="2:14" ht="37.5" hidden="1" x14ac:dyDescent="0.25">
      <c r="B315" s="234">
        <f t="shared" ca="1" si="4"/>
        <v>305</v>
      </c>
      <c r="C315" s="37">
        <v>44746</v>
      </c>
      <c r="D315" s="39" t="s">
        <v>503</v>
      </c>
      <c r="E315" s="38" t="s">
        <v>64</v>
      </c>
      <c r="F315" s="38"/>
      <c r="G315" s="176" t="s">
        <v>833</v>
      </c>
      <c r="H315" s="248" t="s">
        <v>976</v>
      </c>
      <c r="I315" s="40" t="s">
        <v>855</v>
      </c>
      <c r="J315" s="40" t="s">
        <v>977</v>
      </c>
      <c r="K315" s="121">
        <v>3</v>
      </c>
      <c r="L315" s="250">
        <v>44746</v>
      </c>
      <c r="M315" s="121" t="s">
        <v>12</v>
      </c>
      <c r="N315" s="249" t="s">
        <v>1</v>
      </c>
    </row>
    <row r="316" spans="2:14" ht="56.25" hidden="1" x14ac:dyDescent="0.25">
      <c r="B316" s="234">
        <f t="shared" ca="1" si="4"/>
        <v>306</v>
      </c>
      <c r="C316" s="37">
        <v>44753</v>
      </c>
      <c r="D316" s="39" t="s">
        <v>53</v>
      </c>
      <c r="E316" s="38" t="s">
        <v>44</v>
      </c>
      <c r="F316" s="38" t="s">
        <v>64</v>
      </c>
      <c r="G316" s="176" t="s">
        <v>981</v>
      </c>
      <c r="H316" s="248" t="s">
        <v>982</v>
      </c>
      <c r="I316" s="40" t="s">
        <v>53</v>
      </c>
      <c r="J316" s="40" t="s">
        <v>744</v>
      </c>
      <c r="K316" s="121">
        <v>44753</v>
      </c>
      <c r="L316" s="51">
        <v>3</v>
      </c>
      <c r="M316" s="121" t="s">
        <v>12</v>
      </c>
      <c r="N316" s="249" t="s">
        <v>1</v>
      </c>
    </row>
    <row r="317" spans="2:14" ht="56.25" hidden="1" x14ac:dyDescent="0.25">
      <c r="B317" s="234">
        <f t="shared" ca="1" si="4"/>
        <v>307</v>
      </c>
      <c r="C317" s="83">
        <v>44755</v>
      </c>
      <c r="D317" s="118" t="s">
        <v>53</v>
      </c>
      <c r="E317" s="26" t="s">
        <v>38</v>
      </c>
      <c r="F317" s="26" t="s">
        <v>50</v>
      </c>
      <c r="G317" s="72" t="s">
        <v>986</v>
      </c>
      <c r="H317" s="54" t="s">
        <v>987</v>
      </c>
      <c r="I317" s="29" t="s">
        <v>53</v>
      </c>
      <c r="J317" s="29" t="s">
        <v>988</v>
      </c>
      <c r="K317" s="119">
        <v>44755</v>
      </c>
      <c r="L317" s="34">
        <v>3</v>
      </c>
      <c r="M317" s="119" t="s">
        <v>12</v>
      </c>
      <c r="N317" s="235" t="s">
        <v>1</v>
      </c>
    </row>
    <row r="318" spans="2:14" ht="18.75" hidden="1" x14ac:dyDescent="0.25">
      <c r="B318" s="234">
        <f t="shared" ca="1" si="4"/>
        <v>308</v>
      </c>
      <c r="C318" s="83">
        <v>44754</v>
      </c>
      <c r="D318" s="118" t="s">
        <v>503</v>
      </c>
      <c r="E318" s="26" t="s">
        <v>80</v>
      </c>
      <c r="F318" s="26" t="s">
        <v>990</v>
      </c>
      <c r="G318" s="72" t="s">
        <v>773</v>
      </c>
      <c r="H318" s="54" t="s">
        <v>991</v>
      </c>
      <c r="I318" s="29" t="s">
        <v>503</v>
      </c>
      <c r="J318" s="29" t="s">
        <v>992</v>
      </c>
      <c r="K318" s="119">
        <v>44754</v>
      </c>
      <c r="L318" s="34">
        <v>3</v>
      </c>
      <c r="M318" s="119" t="s">
        <v>12</v>
      </c>
      <c r="N318" s="235" t="s">
        <v>1</v>
      </c>
    </row>
    <row r="319" spans="2:14" ht="18.75" hidden="1" x14ac:dyDescent="0.25">
      <c r="B319" s="234">
        <f t="shared" ca="1" si="4"/>
        <v>309</v>
      </c>
      <c r="C319" s="83">
        <v>44754</v>
      </c>
      <c r="D319" s="118" t="s">
        <v>503</v>
      </c>
      <c r="E319" s="26" t="s">
        <v>80</v>
      </c>
      <c r="F319" s="26" t="s">
        <v>576</v>
      </c>
      <c r="G319" s="72" t="s">
        <v>993</v>
      </c>
      <c r="H319" s="54" t="s">
        <v>994</v>
      </c>
      <c r="I319" s="29" t="s">
        <v>503</v>
      </c>
      <c r="J319" s="29" t="s">
        <v>864</v>
      </c>
      <c r="K319" s="119">
        <v>44754</v>
      </c>
      <c r="L319" s="34">
        <v>3</v>
      </c>
      <c r="M319" s="119" t="s">
        <v>12</v>
      </c>
      <c r="N319" s="235" t="s">
        <v>1</v>
      </c>
    </row>
    <row r="320" spans="2:14" ht="26.45" hidden="1" customHeight="1" x14ac:dyDescent="0.25">
      <c r="B320" s="234">
        <f t="shared" ca="1" si="4"/>
        <v>310</v>
      </c>
      <c r="C320" s="83">
        <v>44754</v>
      </c>
      <c r="D320" s="118" t="s">
        <v>503</v>
      </c>
      <c r="E320" s="26" t="s">
        <v>80</v>
      </c>
      <c r="F320" s="26" t="s">
        <v>990</v>
      </c>
      <c r="G320" s="72" t="s">
        <v>773</v>
      </c>
      <c r="H320" s="54" t="s">
        <v>995</v>
      </c>
      <c r="I320" s="29" t="s">
        <v>503</v>
      </c>
      <c r="J320" s="29" t="s">
        <v>992</v>
      </c>
      <c r="K320" s="119">
        <v>44755</v>
      </c>
      <c r="L320" s="34">
        <v>3</v>
      </c>
      <c r="M320" s="119" t="s">
        <v>12</v>
      </c>
      <c r="N320" s="235" t="s">
        <v>1</v>
      </c>
    </row>
    <row r="321" spans="2:14" ht="33.6" hidden="1" customHeight="1" x14ac:dyDescent="0.25">
      <c r="B321" s="234">
        <f t="shared" ca="1" si="4"/>
        <v>311</v>
      </c>
      <c r="C321" s="83">
        <v>44753</v>
      </c>
      <c r="D321" s="118" t="s">
        <v>503</v>
      </c>
      <c r="E321" s="26" t="s">
        <v>80</v>
      </c>
      <c r="F321" s="26" t="s">
        <v>65</v>
      </c>
      <c r="G321" s="72" t="s">
        <v>996</v>
      </c>
      <c r="H321" s="54" t="s">
        <v>998</v>
      </c>
      <c r="I321" s="29" t="s">
        <v>503</v>
      </c>
      <c r="J321" s="29" t="s">
        <v>997</v>
      </c>
      <c r="K321" s="119">
        <v>44753</v>
      </c>
      <c r="L321" s="34">
        <v>3</v>
      </c>
      <c r="M321" s="119" t="s">
        <v>12</v>
      </c>
      <c r="N321" s="235" t="s">
        <v>1</v>
      </c>
    </row>
    <row r="322" spans="2:14" ht="48" hidden="1" customHeight="1" x14ac:dyDescent="0.25">
      <c r="B322" s="234">
        <f t="shared" ca="1" si="4"/>
        <v>312</v>
      </c>
      <c r="C322" s="83">
        <v>44756</v>
      </c>
      <c r="D322" s="118" t="s">
        <v>503</v>
      </c>
      <c r="E322" s="26" t="s">
        <v>80</v>
      </c>
      <c r="F322" s="26" t="s">
        <v>576</v>
      </c>
      <c r="G322" s="72" t="s">
        <v>999</v>
      </c>
      <c r="H322" s="54" t="s">
        <v>1063</v>
      </c>
      <c r="I322" s="29" t="s">
        <v>1059</v>
      </c>
      <c r="J322" s="29" t="s">
        <v>553</v>
      </c>
      <c r="K322" s="119">
        <v>44782</v>
      </c>
      <c r="L322" s="34">
        <v>3</v>
      </c>
      <c r="M322" s="119" t="s">
        <v>12</v>
      </c>
      <c r="N322" s="29" t="s">
        <v>1</v>
      </c>
    </row>
    <row r="323" spans="2:14" ht="18" hidden="1" customHeight="1" x14ac:dyDescent="0.25">
      <c r="B323" s="234">
        <f t="shared" ca="1" si="4"/>
        <v>313</v>
      </c>
      <c r="C323" s="83">
        <v>44751</v>
      </c>
      <c r="D323" s="118" t="s">
        <v>503</v>
      </c>
      <c r="E323" s="26" t="s">
        <v>80</v>
      </c>
      <c r="F323" s="26"/>
      <c r="G323" s="72" t="s">
        <v>1000</v>
      </c>
      <c r="H323" s="54" t="s">
        <v>1001</v>
      </c>
      <c r="I323" s="29" t="s">
        <v>503</v>
      </c>
      <c r="J323" s="29" t="s">
        <v>1002</v>
      </c>
      <c r="K323" s="119">
        <v>44754</v>
      </c>
      <c r="L323" s="34">
        <v>3</v>
      </c>
      <c r="M323" s="119" t="s">
        <v>12</v>
      </c>
      <c r="N323" s="235" t="s">
        <v>1</v>
      </c>
    </row>
    <row r="324" spans="2:14" ht="30" hidden="1" customHeight="1" x14ac:dyDescent="0.25">
      <c r="B324" s="234">
        <f t="shared" ca="1" si="4"/>
        <v>314</v>
      </c>
      <c r="C324" s="83">
        <v>44753</v>
      </c>
      <c r="D324" s="118" t="s">
        <v>503</v>
      </c>
      <c r="E324" s="26" t="s">
        <v>80</v>
      </c>
      <c r="F324" s="26" t="s">
        <v>64</v>
      </c>
      <c r="G324" s="72" t="s">
        <v>773</v>
      </c>
      <c r="H324" s="54" t="s">
        <v>1003</v>
      </c>
      <c r="I324" s="29" t="s">
        <v>503</v>
      </c>
      <c r="J324" s="29" t="s">
        <v>1004</v>
      </c>
      <c r="K324" s="119">
        <v>44755</v>
      </c>
      <c r="L324" s="34">
        <v>3</v>
      </c>
      <c r="M324" s="119" t="s">
        <v>12</v>
      </c>
      <c r="N324" s="235" t="s">
        <v>1</v>
      </c>
    </row>
    <row r="325" spans="2:14" ht="56.25" hidden="1" x14ac:dyDescent="0.25">
      <c r="B325" s="234">
        <f t="shared" ca="1" si="4"/>
        <v>315</v>
      </c>
      <c r="C325" s="83">
        <v>44762</v>
      </c>
      <c r="D325" s="39" t="s">
        <v>53</v>
      </c>
      <c r="E325" s="38" t="s">
        <v>44</v>
      </c>
      <c r="F325" s="38" t="s">
        <v>64</v>
      </c>
      <c r="G325" s="176" t="s">
        <v>1009</v>
      </c>
      <c r="H325" s="248" t="s">
        <v>1062</v>
      </c>
      <c r="I325" s="40" t="s">
        <v>53</v>
      </c>
      <c r="J325" s="40" t="s">
        <v>744</v>
      </c>
      <c r="K325" s="121">
        <v>44762</v>
      </c>
      <c r="L325" s="51">
        <v>3</v>
      </c>
      <c r="M325" s="121" t="s">
        <v>12</v>
      </c>
      <c r="N325" s="249" t="s">
        <v>1</v>
      </c>
    </row>
    <row r="326" spans="2:14" ht="56.25" hidden="1" x14ac:dyDescent="0.25">
      <c r="B326" s="234">
        <f t="shared" ca="1" si="4"/>
        <v>316</v>
      </c>
      <c r="C326" s="83">
        <v>44762</v>
      </c>
      <c r="D326" s="39" t="s">
        <v>53</v>
      </c>
      <c r="E326" s="38" t="s">
        <v>44</v>
      </c>
      <c r="F326" s="38" t="s">
        <v>64</v>
      </c>
      <c r="G326" s="176" t="s">
        <v>1012</v>
      </c>
      <c r="H326" s="248" t="s">
        <v>1010</v>
      </c>
      <c r="I326" s="40" t="s">
        <v>53</v>
      </c>
      <c r="J326" s="40" t="s">
        <v>1011</v>
      </c>
      <c r="K326" s="121">
        <v>44762</v>
      </c>
      <c r="L326" s="51">
        <v>3</v>
      </c>
      <c r="M326" s="121" t="s">
        <v>12</v>
      </c>
      <c r="N326" s="249" t="s">
        <v>1</v>
      </c>
    </row>
    <row r="327" spans="2:14" ht="131.25" hidden="1" x14ac:dyDescent="0.25">
      <c r="B327" s="234">
        <f t="shared" ca="1" si="4"/>
        <v>317</v>
      </c>
      <c r="C327" s="83">
        <v>44764</v>
      </c>
      <c r="D327" s="39" t="s">
        <v>855</v>
      </c>
      <c r="E327" s="38" t="s">
        <v>1019</v>
      </c>
      <c r="F327" s="38"/>
      <c r="G327" s="176" t="s">
        <v>1020</v>
      </c>
      <c r="H327" s="248" t="s">
        <v>1225</v>
      </c>
      <c r="I327" s="40" t="s">
        <v>1224</v>
      </c>
      <c r="J327" s="40" t="s">
        <v>912</v>
      </c>
      <c r="K327" s="121">
        <v>44771</v>
      </c>
      <c r="L327" s="51">
        <v>3</v>
      </c>
      <c r="M327" s="121" t="s">
        <v>12</v>
      </c>
      <c r="N327" s="249" t="s">
        <v>30</v>
      </c>
    </row>
    <row r="328" spans="2:14" ht="37.5" hidden="1" x14ac:dyDescent="0.25">
      <c r="B328" s="234">
        <f t="shared" ca="1" si="4"/>
        <v>318</v>
      </c>
      <c r="C328" s="83">
        <v>44760</v>
      </c>
      <c r="D328" s="39" t="s">
        <v>503</v>
      </c>
      <c r="E328" s="38" t="s">
        <v>117</v>
      </c>
      <c r="F328" s="38" t="s">
        <v>64</v>
      </c>
      <c r="G328" s="176" t="s">
        <v>1022</v>
      </c>
      <c r="H328" s="248" t="s">
        <v>1023</v>
      </c>
      <c r="I328" s="40" t="s">
        <v>503</v>
      </c>
      <c r="J328" s="40" t="s">
        <v>1024</v>
      </c>
      <c r="K328" s="121">
        <v>44760</v>
      </c>
      <c r="L328" s="51">
        <v>3</v>
      </c>
      <c r="M328" s="121" t="s">
        <v>12</v>
      </c>
      <c r="N328" s="249" t="s">
        <v>1</v>
      </c>
    </row>
    <row r="329" spans="2:14" ht="18.75" hidden="1" x14ac:dyDescent="0.25">
      <c r="B329" s="234">
        <f t="shared" ca="1" si="4"/>
        <v>319</v>
      </c>
      <c r="C329" s="83">
        <v>44761</v>
      </c>
      <c r="D329" s="39" t="s">
        <v>503</v>
      </c>
      <c r="E329" s="38" t="s">
        <v>80</v>
      </c>
      <c r="F329" s="38" t="s">
        <v>510</v>
      </c>
      <c r="G329" s="176" t="s">
        <v>1025</v>
      </c>
      <c r="H329" s="248" t="s">
        <v>1026</v>
      </c>
      <c r="I329" s="40" t="s">
        <v>503</v>
      </c>
      <c r="J329" s="40" t="s">
        <v>1027</v>
      </c>
      <c r="K329" s="121">
        <v>44761</v>
      </c>
      <c r="L329" s="51">
        <v>3</v>
      </c>
      <c r="M329" s="121" t="s">
        <v>12</v>
      </c>
      <c r="N329" s="249" t="s">
        <v>1</v>
      </c>
    </row>
    <row r="330" spans="2:14" ht="18.75" hidden="1" x14ac:dyDescent="0.25">
      <c r="B330" s="234">
        <f t="shared" ca="1" si="4"/>
        <v>320</v>
      </c>
      <c r="C330" s="83">
        <v>44764</v>
      </c>
      <c r="D330" s="39" t="s">
        <v>503</v>
      </c>
      <c r="E330" s="38" t="s">
        <v>145</v>
      </c>
      <c r="F330" s="38"/>
      <c r="G330" s="176" t="s">
        <v>1028</v>
      </c>
      <c r="H330" s="248" t="s">
        <v>1029</v>
      </c>
      <c r="I330" s="40" t="s">
        <v>503</v>
      </c>
      <c r="J330" s="40" t="s">
        <v>1030</v>
      </c>
      <c r="K330" s="121">
        <v>44767</v>
      </c>
      <c r="L330" s="51">
        <v>3</v>
      </c>
      <c r="M330" s="121" t="s">
        <v>12</v>
      </c>
      <c r="N330" s="249" t="s">
        <v>1</v>
      </c>
    </row>
    <row r="331" spans="2:14" ht="56.25" hidden="1" x14ac:dyDescent="0.25">
      <c r="B331" s="234">
        <f t="shared" ca="1" si="4"/>
        <v>321</v>
      </c>
      <c r="C331" s="83">
        <v>44764</v>
      </c>
      <c r="D331" s="39" t="s">
        <v>503</v>
      </c>
      <c r="E331" s="38" t="s">
        <v>80</v>
      </c>
      <c r="F331" s="38" t="s">
        <v>146</v>
      </c>
      <c r="G331" s="176" t="s">
        <v>883</v>
      </c>
      <c r="H331" s="248" t="s">
        <v>1031</v>
      </c>
      <c r="I331" s="40" t="s">
        <v>503</v>
      </c>
      <c r="J331" s="40" t="s">
        <v>1030</v>
      </c>
      <c r="K331" s="121">
        <v>44767</v>
      </c>
      <c r="L331" s="51">
        <v>3</v>
      </c>
      <c r="M331" s="121" t="s">
        <v>12</v>
      </c>
      <c r="N331" s="249" t="s">
        <v>1</v>
      </c>
    </row>
    <row r="332" spans="2:14" ht="18.75" hidden="1" x14ac:dyDescent="0.25">
      <c r="B332" s="234">
        <f t="shared" ref="B332:B346" ca="1" si="5">OFFSET(B332,-1,0)+1</f>
        <v>322</v>
      </c>
      <c r="C332" s="83">
        <v>44764</v>
      </c>
      <c r="D332" s="39" t="s">
        <v>503</v>
      </c>
      <c r="E332" s="38" t="s">
        <v>80</v>
      </c>
      <c r="F332" s="38" t="s">
        <v>510</v>
      </c>
      <c r="G332" s="176" t="s">
        <v>755</v>
      </c>
      <c r="H332" s="248" t="s">
        <v>1032</v>
      </c>
      <c r="I332" s="40" t="s">
        <v>503</v>
      </c>
      <c r="J332" s="40" t="s">
        <v>1027</v>
      </c>
      <c r="K332" s="121">
        <v>44768</v>
      </c>
      <c r="L332" s="51">
        <v>3</v>
      </c>
      <c r="M332" s="121" t="s">
        <v>12</v>
      </c>
      <c r="N332" s="249" t="s">
        <v>1</v>
      </c>
    </row>
    <row r="333" spans="2:14" ht="56.25" hidden="1" x14ac:dyDescent="0.25">
      <c r="B333" s="234">
        <f t="shared" ca="1" si="5"/>
        <v>323</v>
      </c>
      <c r="C333" s="83">
        <v>44767</v>
      </c>
      <c r="D333" s="39" t="s">
        <v>910</v>
      </c>
      <c r="E333" s="38" t="s">
        <v>64</v>
      </c>
      <c r="F333" s="38" t="s">
        <v>64</v>
      </c>
      <c r="G333" s="176" t="s">
        <v>1033</v>
      </c>
      <c r="H333" s="248" t="s">
        <v>1034</v>
      </c>
      <c r="I333" s="40" t="s">
        <v>503</v>
      </c>
      <c r="J333" s="40" t="s">
        <v>1035</v>
      </c>
      <c r="K333" s="121">
        <v>44767</v>
      </c>
      <c r="L333" s="51">
        <v>3</v>
      </c>
      <c r="M333" s="121" t="s">
        <v>12</v>
      </c>
      <c r="N333" s="249" t="s">
        <v>1</v>
      </c>
    </row>
    <row r="334" spans="2:14" ht="75" hidden="1" x14ac:dyDescent="0.25">
      <c r="B334" s="234">
        <f t="shared" ca="1" si="5"/>
        <v>324</v>
      </c>
      <c r="C334" s="83">
        <v>44768</v>
      </c>
      <c r="D334" s="39" t="s">
        <v>910</v>
      </c>
      <c r="E334" s="38" t="s">
        <v>64</v>
      </c>
      <c r="F334" s="38" t="s">
        <v>64</v>
      </c>
      <c r="G334" s="176" t="s">
        <v>1036</v>
      </c>
      <c r="H334" s="248" t="s">
        <v>1037</v>
      </c>
      <c r="I334" s="40" t="s">
        <v>503</v>
      </c>
      <c r="J334" s="40" t="s">
        <v>1038</v>
      </c>
      <c r="K334" s="121">
        <v>44768</v>
      </c>
      <c r="L334" s="51">
        <v>3</v>
      </c>
      <c r="M334" s="121" t="s">
        <v>12</v>
      </c>
      <c r="N334" s="249" t="s">
        <v>1</v>
      </c>
    </row>
    <row r="335" spans="2:14" ht="56.25" hidden="1" x14ac:dyDescent="0.25">
      <c r="B335" s="234">
        <f t="shared" ca="1" si="5"/>
        <v>325</v>
      </c>
      <c r="C335" s="83">
        <v>44770</v>
      </c>
      <c r="D335" s="39" t="s">
        <v>910</v>
      </c>
      <c r="E335" s="38" t="s">
        <v>145</v>
      </c>
      <c r="F335" s="38"/>
      <c r="G335" s="176" t="s">
        <v>1039</v>
      </c>
      <c r="H335" s="248" t="s">
        <v>1061</v>
      </c>
      <c r="I335" s="40" t="s">
        <v>503</v>
      </c>
      <c r="J335" s="40" t="s">
        <v>1040</v>
      </c>
      <c r="K335" s="121">
        <v>44770</v>
      </c>
      <c r="L335" s="51">
        <v>3</v>
      </c>
      <c r="M335" s="121" t="s">
        <v>12</v>
      </c>
      <c r="N335" s="249" t="s">
        <v>1</v>
      </c>
    </row>
    <row r="336" spans="2:14" ht="47.45" hidden="1" customHeight="1" x14ac:dyDescent="0.25">
      <c r="B336" s="234">
        <f t="shared" ca="1" si="5"/>
        <v>326</v>
      </c>
      <c r="C336" s="83">
        <v>44771</v>
      </c>
      <c r="D336" s="39" t="s">
        <v>910</v>
      </c>
      <c r="E336" s="38" t="s">
        <v>38</v>
      </c>
      <c r="F336" s="38"/>
      <c r="G336" s="176" t="s">
        <v>1041</v>
      </c>
      <c r="H336" s="248" t="s">
        <v>1042</v>
      </c>
      <c r="I336" s="40" t="s">
        <v>503</v>
      </c>
      <c r="J336" s="40" t="s">
        <v>1043</v>
      </c>
      <c r="K336" s="121">
        <v>44771</v>
      </c>
      <c r="L336" s="51">
        <v>3</v>
      </c>
      <c r="M336" s="121" t="s">
        <v>12</v>
      </c>
      <c r="N336" s="249" t="s">
        <v>1</v>
      </c>
    </row>
    <row r="337" spans="2:14" ht="47.45" hidden="1" customHeight="1" x14ac:dyDescent="0.25">
      <c r="B337" s="234">
        <f t="shared" ca="1" si="5"/>
        <v>327</v>
      </c>
      <c r="C337" s="83">
        <v>44770</v>
      </c>
      <c r="D337" s="39" t="s">
        <v>581</v>
      </c>
      <c r="E337" s="38" t="s">
        <v>44</v>
      </c>
      <c r="F337" s="38" t="s">
        <v>56</v>
      </c>
      <c r="G337" s="176" t="s">
        <v>1044</v>
      </c>
      <c r="H337" s="248" t="s">
        <v>1045</v>
      </c>
      <c r="I337" s="40" t="s">
        <v>581</v>
      </c>
      <c r="J337" s="40" t="s">
        <v>689</v>
      </c>
      <c r="K337" s="121">
        <v>44775</v>
      </c>
      <c r="L337" s="51">
        <v>3</v>
      </c>
      <c r="M337" s="121" t="s">
        <v>12</v>
      </c>
      <c r="N337" s="249" t="s">
        <v>1</v>
      </c>
    </row>
    <row r="338" spans="2:14" ht="47.45" hidden="1" customHeight="1" x14ac:dyDescent="0.25">
      <c r="B338" s="234">
        <f t="shared" ca="1" si="5"/>
        <v>328</v>
      </c>
      <c r="C338" s="83">
        <v>44771</v>
      </c>
      <c r="D338" s="39" t="s">
        <v>53</v>
      </c>
      <c r="E338" s="38" t="s">
        <v>44</v>
      </c>
      <c r="F338" s="38" t="s">
        <v>64</v>
      </c>
      <c r="G338" s="176" t="s">
        <v>1046</v>
      </c>
      <c r="H338" s="248" t="s">
        <v>1047</v>
      </c>
      <c r="I338" s="40" t="s">
        <v>53</v>
      </c>
      <c r="J338" s="40" t="s">
        <v>1048</v>
      </c>
      <c r="K338" s="121">
        <v>44775</v>
      </c>
      <c r="L338" s="51">
        <v>3</v>
      </c>
      <c r="M338" s="121" t="s">
        <v>12</v>
      </c>
      <c r="N338" s="249" t="s">
        <v>1</v>
      </c>
    </row>
    <row r="339" spans="2:14" ht="47.45" hidden="1" customHeight="1" x14ac:dyDescent="0.25">
      <c r="B339" s="234">
        <f t="shared" ca="1" si="5"/>
        <v>329</v>
      </c>
      <c r="C339" s="83">
        <v>44769</v>
      </c>
      <c r="D339" s="39" t="s">
        <v>53</v>
      </c>
      <c r="E339" s="38" t="s">
        <v>38</v>
      </c>
      <c r="F339" s="38" t="s">
        <v>50</v>
      </c>
      <c r="G339" s="176" t="s">
        <v>1049</v>
      </c>
      <c r="H339" s="248" t="s">
        <v>1050</v>
      </c>
      <c r="I339" s="40" t="s">
        <v>53</v>
      </c>
      <c r="J339" s="40" t="s">
        <v>135</v>
      </c>
      <c r="K339" s="121">
        <v>44775</v>
      </c>
      <c r="L339" s="51">
        <v>3</v>
      </c>
      <c r="M339" s="121" t="s">
        <v>12</v>
      </c>
      <c r="N339" s="249" t="s">
        <v>1</v>
      </c>
    </row>
    <row r="340" spans="2:14" ht="47.45" hidden="1" customHeight="1" x14ac:dyDescent="0.25">
      <c r="B340" s="234">
        <f t="shared" ca="1" si="5"/>
        <v>330</v>
      </c>
      <c r="C340" s="83">
        <v>44775</v>
      </c>
      <c r="D340" s="39" t="s">
        <v>53</v>
      </c>
      <c r="E340" s="38" t="s">
        <v>44</v>
      </c>
      <c r="F340" s="38" t="s">
        <v>141</v>
      </c>
      <c r="G340" s="176" t="s">
        <v>1051</v>
      </c>
      <c r="H340" s="248" t="s">
        <v>1052</v>
      </c>
      <c r="I340" s="40" t="s">
        <v>53</v>
      </c>
      <c r="J340" s="40" t="s">
        <v>1053</v>
      </c>
      <c r="K340" s="121">
        <v>44775</v>
      </c>
      <c r="L340" s="51">
        <v>3</v>
      </c>
      <c r="M340" s="121" t="s">
        <v>12</v>
      </c>
      <c r="N340" s="249" t="s">
        <v>1</v>
      </c>
    </row>
    <row r="341" spans="2:14" ht="47.45" hidden="1" customHeight="1" x14ac:dyDescent="0.25">
      <c r="B341" s="234">
        <f t="shared" ca="1" si="5"/>
        <v>331</v>
      </c>
      <c r="C341" s="83">
        <v>44768</v>
      </c>
      <c r="D341" s="39" t="s">
        <v>549</v>
      </c>
      <c r="E341" s="38" t="s">
        <v>38</v>
      </c>
      <c r="F341" s="38" t="s">
        <v>50</v>
      </c>
      <c r="G341" s="176" t="s">
        <v>1055</v>
      </c>
      <c r="H341" s="248" t="s">
        <v>1056</v>
      </c>
      <c r="I341" s="40" t="s">
        <v>1057</v>
      </c>
      <c r="J341" s="40" t="s">
        <v>1058</v>
      </c>
      <c r="K341" s="121">
        <v>44769</v>
      </c>
      <c r="L341" s="51">
        <v>3</v>
      </c>
      <c r="M341" s="121" t="s">
        <v>12</v>
      </c>
      <c r="N341" s="249" t="s">
        <v>1</v>
      </c>
    </row>
    <row r="342" spans="2:14" ht="18.75" hidden="1" x14ac:dyDescent="0.25">
      <c r="B342" s="234">
        <f t="shared" ca="1" si="5"/>
        <v>332</v>
      </c>
      <c r="C342" s="83">
        <v>44774</v>
      </c>
      <c r="D342" s="39" t="s">
        <v>503</v>
      </c>
      <c r="E342" s="38" t="s">
        <v>64</v>
      </c>
      <c r="F342" s="38" t="s">
        <v>64</v>
      </c>
      <c r="G342" s="176" t="s">
        <v>1028</v>
      </c>
      <c r="H342" s="248" t="s">
        <v>1060</v>
      </c>
      <c r="I342" s="40" t="s">
        <v>503</v>
      </c>
      <c r="J342" s="40" t="s">
        <v>1030</v>
      </c>
      <c r="K342" s="121">
        <v>44774</v>
      </c>
      <c r="L342" s="51">
        <v>3</v>
      </c>
      <c r="M342" s="121" t="s">
        <v>12</v>
      </c>
      <c r="N342" s="249" t="s">
        <v>1</v>
      </c>
    </row>
    <row r="343" spans="2:14" ht="47.45" hidden="1" customHeight="1" x14ac:dyDescent="0.25">
      <c r="B343" s="234">
        <f t="shared" ca="1" si="5"/>
        <v>333</v>
      </c>
      <c r="C343" s="83">
        <v>44777</v>
      </c>
      <c r="D343" s="39" t="s">
        <v>53</v>
      </c>
      <c r="E343" s="38" t="s">
        <v>44</v>
      </c>
      <c r="F343" s="38" t="s">
        <v>56</v>
      </c>
      <c r="G343" s="176" t="s">
        <v>1067</v>
      </c>
      <c r="H343" s="248" t="s">
        <v>1100</v>
      </c>
      <c r="I343" s="40" t="s">
        <v>1092</v>
      </c>
      <c r="J343" s="40" t="s">
        <v>1064</v>
      </c>
      <c r="K343" s="121">
        <v>44798</v>
      </c>
      <c r="L343" s="51">
        <v>3</v>
      </c>
      <c r="M343" s="121" t="s">
        <v>12</v>
      </c>
      <c r="N343" s="249" t="s">
        <v>1</v>
      </c>
    </row>
    <row r="344" spans="2:14" ht="47.45" hidden="1" customHeight="1" x14ac:dyDescent="0.25">
      <c r="B344" s="234">
        <f t="shared" ca="1" si="5"/>
        <v>334</v>
      </c>
      <c r="C344" s="83">
        <v>44782</v>
      </c>
      <c r="D344" s="39" t="s">
        <v>53</v>
      </c>
      <c r="E344" s="38" t="s">
        <v>65</v>
      </c>
      <c r="F344" s="38" t="s">
        <v>50</v>
      </c>
      <c r="G344" s="176" t="s">
        <v>1065</v>
      </c>
      <c r="H344" s="248" t="s">
        <v>1076</v>
      </c>
      <c r="I344" s="40" t="s">
        <v>1066</v>
      </c>
      <c r="J344" s="40" t="s">
        <v>792</v>
      </c>
      <c r="K344" s="121">
        <v>44784</v>
      </c>
      <c r="L344" s="51">
        <v>3</v>
      </c>
      <c r="M344" s="121" t="s">
        <v>12</v>
      </c>
      <c r="N344" s="249" t="s">
        <v>1</v>
      </c>
    </row>
    <row r="345" spans="2:14" ht="47.45" hidden="1" customHeight="1" x14ac:dyDescent="0.25">
      <c r="B345" s="234">
        <f t="shared" ca="1" si="5"/>
        <v>335</v>
      </c>
      <c r="C345" s="83">
        <v>44782</v>
      </c>
      <c r="D345" s="39" t="s">
        <v>53</v>
      </c>
      <c r="E345" s="38" t="s">
        <v>38</v>
      </c>
      <c r="F345" s="38" t="s">
        <v>50</v>
      </c>
      <c r="G345" s="176" t="s">
        <v>1068</v>
      </c>
      <c r="H345" s="248" t="s">
        <v>1069</v>
      </c>
      <c r="I345" s="40" t="s">
        <v>53</v>
      </c>
      <c r="J345" s="40" t="s">
        <v>980</v>
      </c>
      <c r="K345" s="121">
        <v>44784</v>
      </c>
      <c r="L345" s="51">
        <v>3</v>
      </c>
      <c r="M345" s="121" t="s">
        <v>12</v>
      </c>
      <c r="N345" s="249" t="s">
        <v>1</v>
      </c>
    </row>
    <row r="346" spans="2:14" ht="18" hidden="1" customHeight="1" x14ac:dyDescent="0.25">
      <c r="B346" s="234">
        <f t="shared" ca="1" si="5"/>
        <v>336</v>
      </c>
      <c r="C346" s="83">
        <v>44783</v>
      </c>
      <c r="D346" s="39" t="s">
        <v>910</v>
      </c>
      <c r="E346" s="38" t="s">
        <v>80</v>
      </c>
      <c r="F346" s="38" t="s">
        <v>64</v>
      </c>
      <c r="G346" s="176" t="s">
        <v>1072</v>
      </c>
      <c r="H346" s="248" t="s">
        <v>1073</v>
      </c>
      <c r="I346" s="40" t="s">
        <v>503</v>
      </c>
      <c r="J346" s="40" t="s">
        <v>553</v>
      </c>
      <c r="K346" s="121">
        <v>44783</v>
      </c>
      <c r="L346" s="51">
        <v>3</v>
      </c>
      <c r="M346" s="121" t="s">
        <v>12</v>
      </c>
      <c r="N346" s="249" t="s">
        <v>1</v>
      </c>
    </row>
    <row r="347" spans="2:14" ht="18" hidden="1" customHeight="1" x14ac:dyDescent="0.25">
      <c r="B347" s="234">
        <f t="shared" ref="B347:B352" ca="1" si="6">OFFSET(B347,-1,0)+1</f>
        <v>337</v>
      </c>
      <c r="C347" s="83">
        <v>44788</v>
      </c>
      <c r="D347" s="39" t="s">
        <v>53</v>
      </c>
      <c r="E347" s="38" t="s">
        <v>64</v>
      </c>
      <c r="F347" s="38" t="s">
        <v>50</v>
      </c>
      <c r="G347" s="176" t="s">
        <v>1075</v>
      </c>
      <c r="H347" s="248" t="s">
        <v>1074</v>
      </c>
      <c r="I347" s="40" t="s">
        <v>53</v>
      </c>
      <c r="J347" s="40" t="s">
        <v>130</v>
      </c>
      <c r="K347" s="121">
        <v>44788</v>
      </c>
      <c r="L347" s="51">
        <v>3</v>
      </c>
      <c r="M347" s="121" t="s">
        <v>12</v>
      </c>
      <c r="N347" s="249" t="s">
        <v>1</v>
      </c>
    </row>
    <row r="348" spans="2:14" ht="30" hidden="1" x14ac:dyDescent="0.25">
      <c r="B348" s="251">
        <f t="shared" ca="1" si="6"/>
        <v>338</v>
      </c>
      <c r="C348" s="252">
        <v>44791</v>
      </c>
      <c r="D348" s="253" t="s">
        <v>549</v>
      </c>
      <c r="E348" s="254" t="s">
        <v>31</v>
      </c>
      <c r="F348" s="254" t="s">
        <v>32</v>
      </c>
      <c r="G348" s="255" t="s">
        <v>1077</v>
      </c>
      <c r="H348" s="256" t="s">
        <v>1078</v>
      </c>
      <c r="I348" s="257" t="s">
        <v>549</v>
      </c>
      <c r="J348" s="261" t="s">
        <v>1079</v>
      </c>
      <c r="K348" s="258">
        <v>44795</v>
      </c>
      <c r="L348" s="259">
        <v>3</v>
      </c>
      <c r="M348" s="258" t="s">
        <v>12</v>
      </c>
      <c r="N348" s="260" t="s">
        <v>1</v>
      </c>
    </row>
    <row r="349" spans="2:14" ht="47.45" hidden="1" customHeight="1" x14ac:dyDescent="0.25">
      <c r="B349" s="234">
        <f t="shared" ca="1" si="6"/>
        <v>339</v>
      </c>
      <c r="C349" s="83">
        <v>44792</v>
      </c>
      <c r="D349" s="39" t="s">
        <v>53</v>
      </c>
      <c r="E349" s="38" t="s">
        <v>38</v>
      </c>
      <c r="F349" s="38" t="s">
        <v>50</v>
      </c>
      <c r="G349" s="176" t="s">
        <v>1080</v>
      </c>
      <c r="H349" s="248" t="s">
        <v>1081</v>
      </c>
      <c r="I349" s="40" t="s">
        <v>53</v>
      </c>
      <c r="J349" s="40" t="s">
        <v>130</v>
      </c>
      <c r="K349" s="121">
        <v>44792</v>
      </c>
      <c r="L349" s="51">
        <v>3</v>
      </c>
      <c r="M349" s="121" t="s">
        <v>12</v>
      </c>
      <c r="N349" s="249" t="s">
        <v>1</v>
      </c>
    </row>
    <row r="350" spans="2:14" ht="18" hidden="1" customHeight="1" x14ac:dyDescent="0.25">
      <c r="B350" s="234">
        <f t="shared" ca="1" si="6"/>
        <v>340</v>
      </c>
      <c r="C350" s="83">
        <v>44788</v>
      </c>
      <c r="D350" s="262" t="s">
        <v>503</v>
      </c>
      <c r="E350" s="263" t="s">
        <v>80</v>
      </c>
      <c r="F350" s="263" t="s">
        <v>593</v>
      </c>
      <c r="G350" s="264" t="s">
        <v>1082</v>
      </c>
      <c r="H350" s="265" t="s">
        <v>1083</v>
      </c>
      <c r="I350" s="266" t="s">
        <v>503</v>
      </c>
      <c r="J350" s="266" t="s">
        <v>610</v>
      </c>
      <c r="K350" s="121">
        <v>44788</v>
      </c>
      <c r="L350" s="51">
        <v>3</v>
      </c>
      <c r="M350" s="121" t="s">
        <v>12</v>
      </c>
      <c r="N350" s="249" t="s">
        <v>1</v>
      </c>
    </row>
    <row r="351" spans="2:14" ht="56.25" hidden="1" x14ac:dyDescent="0.25">
      <c r="B351" s="234">
        <f t="shared" ca="1" si="6"/>
        <v>341</v>
      </c>
      <c r="C351" s="83">
        <v>44792</v>
      </c>
      <c r="D351" s="262" t="s">
        <v>503</v>
      </c>
      <c r="E351" s="263" t="s">
        <v>80</v>
      </c>
      <c r="F351" s="263" t="s">
        <v>593</v>
      </c>
      <c r="G351" s="264" t="s">
        <v>1084</v>
      </c>
      <c r="H351" s="265" t="s">
        <v>1085</v>
      </c>
      <c r="I351" s="266" t="s">
        <v>855</v>
      </c>
      <c r="J351" s="266" t="s">
        <v>610</v>
      </c>
      <c r="K351" s="121">
        <v>44795</v>
      </c>
      <c r="L351" s="51">
        <v>3</v>
      </c>
      <c r="M351" s="121" t="s">
        <v>12</v>
      </c>
      <c r="N351" s="249" t="s">
        <v>1</v>
      </c>
    </row>
    <row r="352" spans="2:14" ht="18.75" hidden="1" x14ac:dyDescent="0.25">
      <c r="B352" s="234">
        <f t="shared" ca="1" si="6"/>
        <v>342</v>
      </c>
      <c r="C352" s="83">
        <v>44799</v>
      </c>
      <c r="D352" s="262" t="s">
        <v>503</v>
      </c>
      <c r="E352" s="263" t="s">
        <v>80</v>
      </c>
      <c r="F352" s="263" t="s">
        <v>510</v>
      </c>
      <c r="G352" s="264" t="s">
        <v>1086</v>
      </c>
      <c r="H352" s="265" t="s">
        <v>1087</v>
      </c>
      <c r="I352" s="266" t="s">
        <v>855</v>
      </c>
      <c r="J352" s="266" t="s">
        <v>1027</v>
      </c>
      <c r="K352" s="121">
        <v>44792</v>
      </c>
      <c r="L352" s="51">
        <v>3</v>
      </c>
      <c r="M352" s="121" t="s">
        <v>12</v>
      </c>
      <c r="N352" s="249" t="s">
        <v>1</v>
      </c>
    </row>
    <row r="353" spans="2:14" ht="56.25" hidden="1" x14ac:dyDescent="0.25">
      <c r="B353" s="234">
        <f ca="1">OFFSET(B353,-1,0)+1</f>
        <v>343</v>
      </c>
      <c r="C353" s="83">
        <v>44795</v>
      </c>
      <c r="D353" s="262" t="s">
        <v>53</v>
      </c>
      <c r="E353" s="263" t="s">
        <v>44</v>
      </c>
      <c r="F353" s="263" t="s">
        <v>56</v>
      </c>
      <c r="G353" s="264" t="s">
        <v>1088</v>
      </c>
      <c r="H353" s="265" t="s">
        <v>1089</v>
      </c>
      <c r="I353" s="266" t="s">
        <v>53</v>
      </c>
      <c r="J353" s="266" t="s">
        <v>687</v>
      </c>
      <c r="K353" s="121">
        <v>44795</v>
      </c>
      <c r="L353" s="51">
        <v>3</v>
      </c>
      <c r="M353" s="121" t="s">
        <v>12</v>
      </c>
      <c r="N353" s="249" t="s">
        <v>1</v>
      </c>
    </row>
    <row r="354" spans="2:14" ht="49.9" hidden="1" customHeight="1" x14ac:dyDescent="0.25">
      <c r="B354" s="234">
        <f ca="1">OFFSET(B354,-1,0)+1</f>
        <v>344</v>
      </c>
      <c r="C354" s="83">
        <v>44792</v>
      </c>
      <c r="D354" s="262" t="s">
        <v>53</v>
      </c>
      <c r="E354" s="263" t="s">
        <v>38</v>
      </c>
      <c r="F354" s="263" t="s">
        <v>50</v>
      </c>
      <c r="G354" s="264" t="s">
        <v>1093</v>
      </c>
      <c r="H354" s="265" t="s">
        <v>1094</v>
      </c>
      <c r="I354" s="266" t="s">
        <v>1091</v>
      </c>
      <c r="J354" s="266" t="s">
        <v>1090</v>
      </c>
      <c r="K354" s="121">
        <v>44798</v>
      </c>
      <c r="L354" s="51">
        <v>3</v>
      </c>
      <c r="M354" s="121" t="s">
        <v>12</v>
      </c>
      <c r="N354" s="249" t="s">
        <v>1</v>
      </c>
    </row>
    <row r="355" spans="2:14" ht="49.9" hidden="1" customHeight="1" x14ac:dyDescent="0.25">
      <c r="B355" s="234">
        <f ca="1">OFFSET(B355,-1,0)+1</f>
        <v>345</v>
      </c>
      <c r="C355" s="83">
        <v>44795</v>
      </c>
      <c r="D355" s="262" t="s">
        <v>53</v>
      </c>
      <c r="E355" s="263" t="s">
        <v>44</v>
      </c>
      <c r="F355" s="263" t="s">
        <v>56</v>
      </c>
      <c r="G355" s="264" t="s">
        <v>1095</v>
      </c>
      <c r="H355" s="265" t="s">
        <v>1096</v>
      </c>
      <c r="I355" s="266" t="s">
        <v>1098</v>
      </c>
      <c r="J355" s="266" t="s">
        <v>1097</v>
      </c>
      <c r="K355" s="121">
        <v>44797</v>
      </c>
      <c r="L355" s="51">
        <v>3</v>
      </c>
      <c r="M355" s="121" t="s">
        <v>12</v>
      </c>
      <c r="N355" s="249" t="s">
        <v>1</v>
      </c>
    </row>
    <row r="356" spans="2:14" ht="37.5" hidden="1" x14ac:dyDescent="0.25">
      <c r="B356" s="234">
        <f ca="1">OFFSET(B356,-1,0)+1</f>
        <v>346</v>
      </c>
      <c r="C356" s="83">
        <v>44797</v>
      </c>
      <c r="D356" s="267" t="s">
        <v>910</v>
      </c>
      <c r="E356" s="268" t="s">
        <v>117</v>
      </c>
      <c r="F356" s="268" t="s">
        <v>576</v>
      </c>
      <c r="G356" s="269" t="s">
        <v>1101</v>
      </c>
      <c r="H356" s="270" t="s">
        <v>1102</v>
      </c>
      <c r="I356" s="271" t="s">
        <v>855</v>
      </c>
      <c r="J356" s="271" t="s">
        <v>1103</v>
      </c>
      <c r="K356" s="121">
        <v>44798</v>
      </c>
      <c r="L356" s="51">
        <v>3</v>
      </c>
      <c r="M356" s="121" t="s">
        <v>12</v>
      </c>
      <c r="N356" s="249" t="s">
        <v>1</v>
      </c>
    </row>
    <row r="357" spans="2:14" ht="56.25" hidden="1" x14ac:dyDescent="0.25">
      <c r="B357" s="234">
        <v>347</v>
      </c>
      <c r="C357" s="83">
        <v>44797</v>
      </c>
      <c r="D357" s="267" t="s">
        <v>503</v>
      </c>
      <c r="E357" s="268" t="s">
        <v>1019</v>
      </c>
      <c r="F357" s="268" t="s">
        <v>576</v>
      </c>
      <c r="G357" s="269" t="s">
        <v>1104</v>
      </c>
      <c r="H357" s="54" t="s">
        <v>1108</v>
      </c>
      <c r="I357" s="271" t="s">
        <v>855</v>
      </c>
      <c r="J357" s="271" t="s">
        <v>1105</v>
      </c>
      <c r="K357" s="121">
        <v>44802</v>
      </c>
      <c r="L357" s="51">
        <v>3</v>
      </c>
      <c r="M357" s="121" t="s">
        <v>12</v>
      </c>
      <c r="N357" s="249" t="s">
        <v>1</v>
      </c>
    </row>
    <row r="358" spans="2:14" ht="49.9" hidden="1" customHeight="1" x14ac:dyDescent="0.25">
      <c r="B358" s="234">
        <f t="shared" ref="B358:B366" ca="1" si="7">OFFSET(B358,-1,0)+1</f>
        <v>348</v>
      </c>
      <c r="C358" s="83">
        <v>44804</v>
      </c>
      <c r="D358" s="262" t="s">
        <v>53</v>
      </c>
      <c r="E358" s="263" t="s">
        <v>64</v>
      </c>
      <c r="F358" s="263" t="s">
        <v>50</v>
      </c>
      <c r="G358" s="264" t="s">
        <v>1107</v>
      </c>
      <c r="H358" s="265" t="s">
        <v>1136</v>
      </c>
      <c r="I358" s="266" t="s">
        <v>53</v>
      </c>
      <c r="J358" s="266" t="s">
        <v>988</v>
      </c>
      <c r="K358" s="121">
        <v>44806</v>
      </c>
      <c r="L358" s="51">
        <v>3</v>
      </c>
      <c r="M358" s="121" t="s">
        <v>12</v>
      </c>
      <c r="N358" s="249" t="s">
        <v>1</v>
      </c>
    </row>
    <row r="359" spans="2:14" ht="18.75" hidden="1" x14ac:dyDescent="0.25">
      <c r="B359" s="272">
        <f t="shared" ca="1" si="7"/>
        <v>349</v>
      </c>
      <c r="C359" s="273">
        <v>44795</v>
      </c>
      <c r="D359" s="274" t="s">
        <v>1109</v>
      </c>
      <c r="E359" s="275" t="s">
        <v>31</v>
      </c>
      <c r="F359" s="275" t="s">
        <v>1110</v>
      </c>
      <c r="G359" s="276" t="s">
        <v>1110</v>
      </c>
      <c r="H359" s="277" t="s">
        <v>1111</v>
      </c>
      <c r="I359" s="278" t="s">
        <v>1109</v>
      </c>
      <c r="J359" s="278" t="s">
        <v>74</v>
      </c>
      <c r="K359" s="279">
        <v>44820</v>
      </c>
      <c r="L359" s="280">
        <v>3</v>
      </c>
      <c r="M359" s="121" t="s">
        <v>12</v>
      </c>
      <c r="N359" s="249" t="s">
        <v>1</v>
      </c>
    </row>
    <row r="360" spans="2:14" ht="37.5" hidden="1" x14ac:dyDescent="0.25">
      <c r="B360" s="272">
        <f t="shared" ca="1" si="7"/>
        <v>350</v>
      </c>
      <c r="C360" s="273">
        <v>44811</v>
      </c>
      <c r="D360" s="274" t="s">
        <v>549</v>
      </c>
      <c r="E360" s="275" t="s">
        <v>31</v>
      </c>
      <c r="F360" s="275" t="s">
        <v>423</v>
      </c>
      <c r="G360" s="276" t="s">
        <v>425</v>
      </c>
      <c r="H360" s="277" t="s">
        <v>1112</v>
      </c>
      <c r="I360" s="278" t="s">
        <v>549</v>
      </c>
      <c r="J360" s="278" t="s">
        <v>962</v>
      </c>
      <c r="K360" s="279">
        <v>44813</v>
      </c>
      <c r="L360" s="280">
        <v>3</v>
      </c>
      <c r="M360" s="279" t="s">
        <v>12</v>
      </c>
      <c r="N360" s="281" t="s">
        <v>1</v>
      </c>
    </row>
    <row r="361" spans="2:14" ht="75" hidden="1" x14ac:dyDescent="0.25">
      <c r="B361" s="234">
        <f t="shared" ca="1" si="7"/>
        <v>351</v>
      </c>
      <c r="C361" s="83">
        <v>44817</v>
      </c>
      <c r="D361" s="262" t="s">
        <v>53</v>
      </c>
      <c r="E361" s="263" t="s">
        <v>38</v>
      </c>
      <c r="F361" s="263" t="s">
        <v>50</v>
      </c>
      <c r="G361" s="264" t="s">
        <v>1113</v>
      </c>
      <c r="H361" s="265" t="s">
        <v>1115</v>
      </c>
      <c r="I361" s="266" t="s">
        <v>1114</v>
      </c>
      <c r="J361" s="266" t="s">
        <v>135</v>
      </c>
      <c r="K361" s="121">
        <v>44818</v>
      </c>
      <c r="L361" s="51">
        <v>3</v>
      </c>
      <c r="M361" s="121" t="s">
        <v>12</v>
      </c>
      <c r="N361" s="249" t="s">
        <v>1</v>
      </c>
    </row>
    <row r="362" spans="2:14" ht="56.25" hidden="1" x14ac:dyDescent="0.25">
      <c r="B362" s="234">
        <f t="shared" ca="1" si="7"/>
        <v>352</v>
      </c>
      <c r="C362" s="83">
        <v>44817</v>
      </c>
      <c r="D362" s="262" t="s">
        <v>53</v>
      </c>
      <c r="E362" s="263" t="s">
        <v>38</v>
      </c>
      <c r="F362" s="263" t="s">
        <v>50</v>
      </c>
      <c r="G362" s="264" t="s">
        <v>1116</v>
      </c>
      <c r="H362" s="265" t="s">
        <v>1117</v>
      </c>
      <c r="I362" s="266" t="s">
        <v>53</v>
      </c>
      <c r="J362" s="266" t="s">
        <v>601</v>
      </c>
      <c r="K362" s="121">
        <v>44818</v>
      </c>
      <c r="L362" s="51">
        <v>3</v>
      </c>
      <c r="M362" s="121" t="s">
        <v>12</v>
      </c>
      <c r="N362" s="249" t="s">
        <v>1</v>
      </c>
    </row>
    <row r="363" spans="2:14" ht="225" hidden="1" x14ac:dyDescent="0.25">
      <c r="B363" s="282">
        <f t="shared" ca="1" si="7"/>
        <v>353</v>
      </c>
      <c r="C363" s="283">
        <v>44806</v>
      </c>
      <c r="D363" s="284" t="s">
        <v>910</v>
      </c>
      <c r="E363" s="285" t="s">
        <v>64</v>
      </c>
      <c r="F363" s="285" t="s">
        <v>141</v>
      </c>
      <c r="G363" s="286" t="s">
        <v>965</v>
      </c>
      <c r="H363" s="287" t="s">
        <v>1118</v>
      </c>
      <c r="I363" s="288" t="s">
        <v>910</v>
      </c>
      <c r="J363" s="288" t="s">
        <v>707</v>
      </c>
      <c r="K363" s="289">
        <v>44818</v>
      </c>
      <c r="L363" s="290">
        <v>3</v>
      </c>
      <c r="M363" s="121" t="s">
        <v>12</v>
      </c>
      <c r="N363" s="291" t="s">
        <v>551</v>
      </c>
    </row>
    <row r="364" spans="2:14" ht="75" hidden="1" x14ac:dyDescent="0.25">
      <c r="B364" s="282">
        <f t="shared" ca="1" si="7"/>
        <v>354</v>
      </c>
      <c r="C364" s="283">
        <v>44812</v>
      </c>
      <c r="D364" s="284" t="s">
        <v>910</v>
      </c>
      <c r="E364" s="285" t="s">
        <v>1019</v>
      </c>
      <c r="F364" s="268" t="s">
        <v>576</v>
      </c>
      <c r="G364" s="269" t="s">
        <v>1104</v>
      </c>
      <c r="H364" s="287" t="s">
        <v>1119</v>
      </c>
      <c r="I364" s="288" t="s">
        <v>910</v>
      </c>
      <c r="J364" s="288" t="s">
        <v>553</v>
      </c>
      <c r="K364" s="289">
        <v>44818</v>
      </c>
      <c r="L364" s="290">
        <v>3</v>
      </c>
      <c r="M364" s="289" t="s">
        <v>12</v>
      </c>
      <c r="N364" s="291" t="s">
        <v>1</v>
      </c>
    </row>
    <row r="365" spans="2:14" ht="56.25" hidden="1" x14ac:dyDescent="0.25">
      <c r="B365" s="282">
        <f ca="1">OFFSET(B365,-1,0)+1</f>
        <v>355</v>
      </c>
      <c r="C365" s="283">
        <v>44813</v>
      </c>
      <c r="D365" s="284" t="s">
        <v>910</v>
      </c>
      <c r="E365" s="285" t="s">
        <v>64</v>
      </c>
      <c r="F365" s="285" t="s">
        <v>66</v>
      </c>
      <c r="G365" s="286" t="s">
        <v>1120</v>
      </c>
      <c r="H365" s="287" t="s">
        <v>1122</v>
      </c>
      <c r="I365" s="288" t="s">
        <v>910</v>
      </c>
      <c r="J365" s="288" t="s">
        <v>1121</v>
      </c>
      <c r="K365" s="279">
        <v>44827</v>
      </c>
      <c r="L365" s="290">
        <v>1</v>
      </c>
      <c r="M365" s="289" t="s">
        <v>12</v>
      </c>
      <c r="N365" s="291" t="s">
        <v>1</v>
      </c>
    </row>
    <row r="366" spans="2:14" ht="56.25" hidden="1" x14ac:dyDescent="0.25">
      <c r="B366" s="282">
        <f t="shared" ca="1" si="7"/>
        <v>356</v>
      </c>
      <c r="C366" s="283">
        <v>44820</v>
      </c>
      <c r="D366" s="284" t="s">
        <v>34</v>
      </c>
      <c r="E366" s="285" t="s">
        <v>64</v>
      </c>
      <c r="F366" s="285" t="s">
        <v>32</v>
      </c>
      <c r="G366" s="286" t="s">
        <v>1154</v>
      </c>
      <c r="H366" s="287" t="s">
        <v>1155</v>
      </c>
      <c r="I366" s="288" t="s">
        <v>34</v>
      </c>
      <c r="J366" s="40" t="s">
        <v>1124</v>
      </c>
      <c r="K366" s="289">
        <v>44827</v>
      </c>
      <c r="L366" s="290">
        <v>3</v>
      </c>
      <c r="M366" s="289" t="s">
        <v>12</v>
      </c>
      <c r="N366" s="291" t="s">
        <v>1</v>
      </c>
    </row>
    <row r="367" spans="2:14" ht="56.25" hidden="1" x14ac:dyDescent="0.25">
      <c r="B367" s="234">
        <f t="shared" ref="B367:B373" ca="1" si="8">OFFSET(B367,-1,0)+1</f>
        <v>357</v>
      </c>
      <c r="C367" s="83">
        <v>44831</v>
      </c>
      <c r="D367" s="284" t="s">
        <v>53</v>
      </c>
      <c r="E367" s="285" t="s">
        <v>44</v>
      </c>
      <c r="F367" s="285" t="s">
        <v>56</v>
      </c>
      <c r="G367" s="286" t="s">
        <v>1126</v>
      </c>
      <c r="H367" s="287" t="s">
        <v>1125</v>
      </c>
      <c r="I367" s="288" t="s">
        <v>53</v>
      </c>
      <c r="J367" s="288" t="s">
        <v>586</v>
      </c>
      <c r="K367" s="289">
        <v>44832</v>
      </c>
      <c r="L367" s="290">
        <v>3</v>
      </c>
      <c r="M367" s="289" t="s">
        <v>12</v>
      </c>
      <c r="N367" s="291" t="s">
        <v>1</v>
      </c>
    </row>
    <row r="368" spans="2:14" ht="75" hidden="1" x14ac:dyDescent="0.25">
      <c r="B368" s="282">
        <f t="shared" ca="1" si="8"/>
        <v>358</v>
      </c>
      <c r="C368" s="283">
        <v>44831</v>
      </c>
      <c r="D368" s="284" t="s">
        <v>549</v>
      </c>
      <c r="E368" s="285" t="s">
        <v>31</v>
      </c>
      <c r="F368" s="285" t="s">
        <v>423</v>
      </c>
      <c r="G368" s="286" t="s">
        <v>1127</v>
      </c>
      <c r="H368" s="287" t="s">
        <v>1130</v>
      </c>
      <c r="I368" s="288" t="s">
        <v>963</v>
      </c>
      <c r="J368" s="288" t="s">
        <v>846</v>
      </c>
      <c r="K368" s="289">
        <v>44837</v>
      </c>
      <c r="L368" s="290">
        <v>3</v>
      </c>
      <c r="M368" s="289" t="s">
        <v>12</v>
      </c>
      <c r="N368" s="291" t="s">
        <v>1</v>
      </c>
    </row>
    <row r="369" spans="2:14" ht="56.25" hidden="1" x14ac:dyDescent="0.25">
      <c r="B369" s="282">
        <f t="shared" ca="1" si="8"/>
        <v>359</v>
      </c>
      <c r="C369" s="283">
        <v>44830</v>
      </c>
      <c r="D369" s="284" t="s">
        <v>1109</v>
      </c>
      <c r="E369" s="285" t="s">
        <v>31</v>
      </c>
      <c r="F369" s="285" t="s">
        <v>32</v>
      </c>
      <c r="G369" s="286" t="s">
        <v>1128</v>
      </c>
      <c r="H369" s="287" t="s">
        <v>1129</v>
      </c>
      <c r="I369" s="288" t="s">
        <v>1109</v>
      </c>
      <c r="J369" s="288" t="s">
        <v>1124</v>
      </c>
      <c r="K369" s="289">
        <v>44844</v>
      </c>
      <c r="L369" s="290">
        <v>3</v>
      </c>
      <c r="M369" s="289" t="s">
        <v>12</v>
      </c>
      <c r="N369" s="291" t="s">
        <v>1</v>
      </c>
    </row>
    <row r="370" spans="2:14" ht="56.25" hidden="1" x14ac:dyDescent="0.25">
      <c r="B370" s="282">
        <f t="shared" ca="1" si="8"/>
        <v>360</v>
      </c>
      <c r="C370" s="283">
        <v>44838</v>
      </c>
      <c r="D370" s="284" t="s">
        <v>549</v>
      </c>
      <c r="E370" s="285" t="s">
        <v>31</v>
      </c>
      <c r="F370" s="285" t="s">
        <v>32</v>
      </c>
      <c r="G370" s="286" t="s">
        <v>1131</v>
      </c>
      <c r="H370" s="287" t="s">
        <v>1132</v>
      </c>
      <c r="I370" s="288" t="s">
        <v>549</v>
      </c>
      <c r="J370" s="288" t="s">
        <v>1124</v>
      </c>
      <c r="K370" s="289">
        <v>44838</v>
      </c>
      <c r="L370" s="290">
        <v>3</v>
      </c>
      <c r="M370" s="289" t="s">
        <v>12</v>
      </c>
      <c r="N370" s="291" t="s">
        <v>1</v>
      </c>
    </row>
    <row r="371" spans="2:14" ht="206.25" hidden="1" x14ac:dyDescent="0.25">
      <c r="B371" s="234">
        <f t="shared" ca="1" si="8"/>
        <v>361</v>
      </c>
      <c r="C371" s="83">
        <v>44838</v>
      </c>
      <c r="D371" s="284" t="s">
        <v>53</v>
      </c>
      <c r="E371" s="285" t="s">
        <v>38</v>
      </c>
      <c r="F371" s="285" t="s">
        <v>324</v>
      </c>
      <c r="G371" s="286" t="s">
        <v>1134</v>
      </c>
      <c r="H371" s="287" t="s">
        <v>1170</v>
      </c>
      <c r="I371" s="288" t="s">
        <v>1135</v>
      </c>
      <c r="J371" s="288" t="s">
        <v>1133</v>
      </c>
      <c r="K371" s="289">
        <v>44848</v>
      </c>
      <c r="L371" s="290">
        <v>3</v>
      </c>
      <c r="M371" s="289" t="s">
        <v>12</v>
      </c>
      <c r="N371" s="291" t="s">
        <v>1</v>
      </c>
    </row>
    <row r="372" spans="2:14" ht="49.9" hidden="1" customHeight="1" x14ac:dyDescent="0.25">
      <c r="B372" s="234">
        <f t="shared" ca="1" si="8"/>
        <v>362</v>
      </c>
      <c r="C372" s="83">
        <v>44844</v>
      </c>
      <c r="D372" s="262" t="s">
        <v>53</v>
      </c>
      <c r="E372" s="263" t="s">
        <v>64</v>
      </c>
      <c r="F372" s="263" t="s">
        <v>50</v>
      </c>
      <c r="G372" s="264" t="s">
        <v>1137</v>
      </c>
      <c r="H372" s="265" t="s">
        <v>1138</v>
      </c>
      <c r="I372" s="266" t="s">
        <v>53</v>
      </c>
      <c r="J372" s="266" t="s">
        <v>1139</v>
      </c>
      <c r="K372" s="121">
        <v>44844</v>
      </c>
      <c r="L372" s="51">
        <v>3</v>
      </c>
      <c r="M372" s="121" t="s">
        <v>12</v>
      </c>
      <c r="N372" s="249" t="s">
        <v>1</v>
      </c>
    </row>
    <row r="373" spans="2:14" ht="56.25" hidden="1" x14ac:dyDescent="0.25">
      <c r="B373" s="234">
        <f t="shared" ca="1" si="8"/>
        <v>363</v>
      </c>
      <c r="C373" s="83">
        <v>44839</v>
      </c>
      <c r="D373" s="262" t="s">
        <v>503</v>
      </c>
      <c r="E373" s="263" t="s">
        <v>80</v>
      </c>
      <c r="F373" s="263" t="s">
        <v>576</v>
      </c>
      <c r="G373" s="264" t="s">
        <v>1142</v>
      </c>
      <c r="H373" s="265" t="s">
        <v>1143</v>
      </c>
      <c r="I373" s="266" t="s">
        <v>855</v>
      </c>
      <c r="J373" s="266" t="s">
        <v>864</v>
      </c>
      <c r="K373" s="121">
        <v>44844</v>
      </c>
      <c r="L373" s="51">
        <v>3</v>
      </c>
      <c r="M373" s="121" t="s">
        <v>12</v>
      </c>
      <c r="N373" s="249" t="s">
        <v>1</v>
      </c>
    </row>
    <row r="374" spans="2:14" ht="56.25" hidden="1" x14ac:dyDescent="0.25">
      <c r="B374" s="234">
        <f ca="1">OFFSET(B374,-1,0)+1</f>
        <v>364</v>
      </c>
      <c r="C374" s="83">
        <v>44838</v>
      </c>
      <c r="D374" s="262" t="s">
        <v>503</v>
      </c>
      <c r="E374" s="263" t="s">
        <v>80</v>
      </c>
      <c r="F374" s="263" t="s">
        <v>576</v>
      </c>
      <c r="G374" s="264" t="s">
        <v>1144</v>
      </c>
      <c r="H374" s="54" t="s">
        <v>1176</v>
      </c>
      <c r="I374" s="266" t="s">
        <v>503</v>
      </c>
      <c r="J374" s="266" t="s">
        <v>1145</v>
      </c>
      <c r="K374" s="121">
        <v>44838</v>
      </c>
      <c r="L374" s="51">
        <v>3</v>
      </c>
      <c r="M374" s="121" t="s">
        <v>12</v>
      </c>
      <c r="N374" s="249" t="s">
        <v>1</v>
      </c>
    </row>
    <row r="375" spans="2:14" ht="49.9" hidden="1" customHeight="1" x14ac:dyDescent="0.25">
      <c r="B375" s="234">
        <f ca="1">OFFSET(B375,-1,0)+1</f>
        <v>365</v>
      </c>
      <c r="C375" s="83">
        <v>44846</v>
      </c>
      <c r="D375" s="262" t="s">
        <v>53</v>
      </c>
      <c r="E375" s="263" t="s">
        <v>38</v>
      </c>
      <c r="F375" s="263" t="s">
        <v>50</v>
      </c>
      <c r="G375" s="264" t="s">
        <v>1152</v>
      </c>
      <c r="H375" s="265" t="s">
        <v>1177</v>
      </c>
      <c r="I375" s="266" t="s">
        <v>1148</v>
      </c>
      <c r="J375" s="266" t="s">
        <v>130</v>
      </c>
      <c r="K375" s="121">
        <v>44851</v>
      </c>
      <c r="L375" s="51">
        <v>3</v>
      </c>
      <c r="M375" s="121" t="s">
        <v>12</v>
      </c>
      <c r="N375" s="249" t="s">
        <v>1</v>
      </c>
    </row>
    <row r="376" spans="2:14" ht="18" hidden="1" customHeight="1" x14ac:dyDescent="0.25">
      <c r="B376" s="282">
        <f ca="1">OFFSET(B376,-1,0)+1</f>
        <v>366</v>
      </c>
      <c r="C376" s="283">
        <v>44845</v>
      </c>
      <c r="D376" s="284" t="s">
        <v>53</v>
      </c>
      <c r="E376" s="285" t="s">
        <v>44</v>
      </c>
      <c r="F376" s="285" t="s">
        <v>141</v>
      </c>
      <c r="G376" s="176" t="s">
        <v>1151</v>
      </c>
      <c r="H376" s="287" t="s">
        <v>1153</v>
      </c>
      <c r="I376" s="288" t="s">
        <v>1150</v>
      </c>
      <c r="J376" s="288" t="s">
        <v>1149</v>
      </c>
      <c r="K376" s="289">
        <v>44853</v>
      </c>
      <c r="L376" s="290">
        <v>3</v>
      </c>
      <c r="M376" s="289" t="s">
        <v>12</v>
      </c>
      <c r="N376" s="291" t="s">
        <v>30</v>
      </c>
    </row>
    <row r="377" spans="2:14" ht="18.75" hidden="1" x14ac:dyDescent="0.25">
      <c r="B377" s="234">
        <f ca="1">OFFSET(B377,-1,0)+1</f>
        <v>367</v>
      </c>
      <c r="C377" s="83">
        <v>44847</v>
      </c>
      <c r="D377" s="262" t="s">
        <v>503</v>
      </c>
      <c r="E377" s="263" t="s">
        <v>80</v>
      </c>
      <c r="F377" s="263" t="s">
        <v>1156</v>
      </c>
      <c r="G377" s="264" t="s">
        <v>1157</v>
      </c>
      <c r="H377" s="265" t="s">
        <v>1158</v>
      </c>
      <c r="I377" s="266" t="s">
        <v>503</v>
      </c>
      <c r="J377" s="266" t="s">
        <v>1159</v>
      </c>
      <c r="K377" s="121">
        <v>44847</v>
      </c>
      <c r="L377" s="51">
        <v>3</v>
      </c>
      <c r="M377" s="121" t="s">
        <v>12</v>
      </c>
      <c r="N377" s="249" t="s">
        <v>1</v>
      </c>
    </row>
    <row r="378" spans="2:14" ht="18.75" hidden="1" x14ac:dyDescent="0.25">
      <c r="B378" s="234">
        <f t="shared" ref="B378:B379" ca="1" si="9">OFFSET(B378,-1,0)+1</f>
        <v>368</v>
      </c>
      <c r="C378" s="83">
        <v>44844</v>
      </c>
      <c r="D378" s="118" t="s">
        <v>503</v>
      </c>
      <c r="E378" s="26" t="s">
        <v>80</v>
      </c>
      <c r="F378" s="263" t="s">
        <v>1156</v>
      </c>
      <c r="G378" s="72" t="s">
        <v>1160</v>
      </c>
      <c r="H378" s="54" t="s">
        <v>1174</v>
      </c>
      <c r="I378" s="266" t="s">
        <v>503</v>
      </c>
      <c r="J378" s="29" t="s">
        <v>1161</v>
      </c>
      <c r="K378" s="121">
        <v>44844</v>
      </c>
      <c r="L378" s="51">
        <v>3</v>
      </c>
      <c r="M378" s="121" t="s">
        <v>12</v>
      </c>
      <c r="N378" s="249" t="s">
        <v>1</v>
      </c>
    </row>
    <row r="379" spans="2:14" ht="31.9" hidden="1" customHeight="1" x14ac:dyDescent="0.25">
      <c r="B379" s="234">
        <f t="shared" ca="1" si="9"/>
        <v>369</v>
      </c>
      <c r="C379" s="83">
        <v>44847</v>
      </c>
      <c r="D379" s="118" t="s">
        <v>503</v>
      </c>
      <c r="E379" s="26" t="s">
        <v>80</v>
      </c>
      <c r="F379" s="26" t="s">
        <v>576</v>
      </c>
      <c r="G379" s="72" t="s">
        <v>552</v>
      </c>
      <c r="H379" s="54" t="s">
        <v>1162</v>
      </c>
      <c r="I379" s="266" t="s">
        <v>503</v>
      </c>
      <c r="J379" s="29" t="s">
        <v>553</v>
      </c>
      <c r="K379" s="83">
        <v>44847</v>
      </c>
      <c r="L379" s="51">
        <v>3</v>
      </c>
      <c r="M379" s="121" t="s">
        <v>12</v>
      </c>
      <c r="N379" s="249" t="s">
        <v>1</v>
      </c>
    </row>
    <row r="380" spans="2:14" ht="30.6" hidden="1" customHeight="1" x14ac:dyDescent="0.25">
      <c r="B380" s="234">
        <f t="shared" ref="B380:B387" ca="1" si="10">OFFSET(B380,-1,0)+1</f>
        <v>370</v>
      </c>
      <c r="C380" s="83">
        <v>44847</v>
      </c>
      <c r="D380" s="118" t="s">
        <v>910</v>
      </c>
      <c r="E380" s="26" t="s">
        <v>117</v>
      </c>
      <c r="F380" s="26" t="s">
        <v>576</v>
      </c>
      <c r="G380" s="72" t="s">
        <v>1163</v>
      </c>
      <c r="H380" s="54" t="s">
        <v>1164</v>
      </c>
      <c r="I380" s="266" t="s">
        <v>503</v>
      </c>
      <c r="J380" s="29" t="s">
        <v>553</v>
      </c>
      <c r="K380" s="83">
        <v>44847</v>
      </c>
      <c r="L380" s="51">
        <v>3</v>
      </c>
      <c r="M380" s="121" t="s">
        <v>12</v>
      </c>
      <c r="N380" s="249" t="s">
        <v>1</v>
      </c>
    </row>
    <row r="381" spans="2:14" ht="18.75" hidden="1" x14ac:dyDescent="0.25">
      <c r="B381" s="292">
        <f t="shared" ca="1" si="10"/>
        <v>371</v>
      </c>
      <c r="C381" s="293">
        <v>44833</v>
      </c>
      <c r="D381" s="294" t="s">
        <v>910</v>
      </c>
      <c r="E381" s="295" t="s">
        <v>64</v>
      </c>
      <c r="F381" s="295" t="s">
        <v>141</v>
      </c>
      <c r="G381" s="296" t="s">
        <v>1171</v>
      </c>
      <c r="H381" s="297" t="s">
        <v>1172</v>
      </c>
      <c r="I381" s="298" t="s">
        <v>910</v>
      </c>
      <c r="J381" s="298" t="s">
        <v>74</v>
      </c>
      <c r="K381" s="299">
        <v>44926</v>
      </c>
      <c r="L381" s="300">
        <v>2</v>
      </c>
      <c r="M381" s="117" t="s">
        <v>12</v>
      </c>
      <c r="N381" s="249" t="s">
        <v>1</v>
      </c>
    </row>
    <row r="382" spans="2:14" ht="56.25" hidden="1" x14ac:dyDescent="0.25">
      <c r="B382" s="26">
        <f t="shared" ca="1" si="10"/>
        <v>372</v>
      </c>
      <c r="C382" s="83">
        <v>44846</v>
      </c>
      <c r="D382" s="118" t="s">
        <v>910</v>
      </c>
      <c r="E382" s="26" t="s">
        <v>80</v>
      </c>
      <c r="F382" s="26" t="s">
        <v>66</v>
      </c>
      <c r="G382" s="72" t="s">
        <v>1175</v>
      </c>
      <c r="H382" s="54" t="s">
        <v>1173</v>
      </c>
      <c r="I382" s="29" t="s">
        <v>910</v>
      </c>
      <c r="J382" s="29" t="s">
        <v>1121</v>
      </c>
      <c r="K382" s="119">
        <v>44849</v>
      </c>
      <c r="L382" s="34">
        <v>1</v>
      </c>
      <c r="M382" s="119" t="s">
        <v>12</v>
      </c>
      <c r="N382" s="29" t="s">
        <v>1</v>
      </c>
    </row>
    <row r="383" spans="2:14" ht="75" hidden="1" x14ac:dyDescent="0.25">
      <c r="B383" s="316">
        <f ca="1">OFFSET(B383,-1,0)+1</f>
        <v>373</v>
      </c>
      <c r="C383" s="317">
        <v>44846</v>
      </c>
      <c r="D383" s="301" t="s">
        <v>1195</v>
      </c>
      <c r="E383" s="302"/>
      <c r="F383" s="302" t="s">
        <v>1196</v>
      </c>
      <c r="G383" s="303" t="s">
        <v>1197</v>
      </c>
      <c r="H383" s="304" t="s">
        <v>1198</v>
      </c>
      <c r="I383" s="305" t="s">
        <v>1199</v>
      </c>
      <c r="J383" s="305" t="s">
        <v>74</v>
      </c>
      <c r="K383" s="318">
        <v>44851</v>
      </c>
      <c r="L383" s="319">
        <v>3</v>
      </c>
      <c r="M383" s="318" t="s">
        <v>12</v>
      </c>
      <c r="N383" s="320" t="s">
        <v>1</v>
      </c>
    </row>
    <row r="384" spans="2:14" ht="49.9" hidden="1" customHeight="1" x14ac:dyDescent="0.25">
      <c r="B384" s="234">
        <f t="shared" ca="1" si="10"/>
        <v>374</v>
      </c>
      <c r="C384" s="83">
        <v>44852</v>
      </c>
      <c r="D384" s="262" t="s">
        <v>53</v>
      </c>
      <c r="E384" s="263" t="s">
        <v>38</v>
      </c>
      <c r="F384" s="263" t="s">
        <v>50</v>
      </c>
      <c r="G384" s="264" t="s">
        <v>1178</v>
      </c>
      <c r="H384" s="265" t="s">
        <v>1179</v>
      </c>
      <c r="I384" s="266" t="s">
        <v>1114</v>
      </c>
      <c r="J384" s="266" t="s">
        <v>1180</v>
      </c>
      <c r="K384" s="121">
        <v>44852</v>
      </c>
      <c r="L384" s="51">
        <v>3</v>
      </c>
      <c r="M384" s="121" t="s">
        <v>12</v>
      </c>
      <c r="N384" s="249" t="s">
        <v>1</v>
      </c>
    </row>
    <row r="385" spans="2:14" ht="49.9" hidden="1" customHeight="1" x14ac:dyDescent="0.25">
      <c r="B385" s="234">
        <f t="shared" ca="1" si="10"/>
        <v>375</v>
      </c>
      <c r="C385" s="83">
        <v>44852</v>
      </c>
      <c r="D385" s="262" t="s">
        <v>53</v>
      </c>
      <c r="E385" s="263" t="s">
        <v>38</v>
      </c>
      <c r="F385" s="263" t="s">
        <v>50</v>
      </c>
      <c r="G385" s="264" t="s">
        <v>1181</v>
      </c>
      <c r="H385" s="265" t="s">
        <v>1182</v>
      </c>
      <c r="I385" s="266" t="s">
        <v>53</v>
      </c>
      <c r="J385" s="266" t="s">
        <v>1183</v>
      </c>
      <c r="K385" s="121">
        <v>44853</v>
      </c>
      <c r="L385" s="51">
        <v>3</v>
      </c>
      <c r="M385" s="121" t="s">
        <v>12</v>
      </c>
      <c r="N385" s="249" t="s">
        <v>1</v>
      </c>
    </row>
    <row r="386" spans="2:14" ht="56.25" hidden="1" x14ac:dyDescent="0.25">
      <c r="B386" s="26">
        <f t="shared" ca="1" si="10"/>
        <v>376</v>
      </c>
      <c r="C386" s="83">
        <v>44854</v>
      </c>
      <c r="D386" s="118" t="s">
        <v>53</v>
      </c>
      <c r="E386" s="26" t="s">
        <v>38</v>
      </c>
      <c r="F386" s="26" t="s">
        <v>50</v>
      </c>
      <c r="G386" s="72" t="s">
        <v>1185</v>
      </c>
      <c r="H386" s="54" t="s">
        <v>1186</v>
      </c>
      <c r="I386" s="29" t="s">
        <v>53</v>
      </c>
      <c r="J386" s="29" t="s">
        <v>1184</v>
      </c>
      <c r="K386" s="119">
        <v>44854</v>
      </c>
      <c r="L386" s="34">
        <v>3</v>
      </c>
      <c r="M386" s="119" t="s">
        <v>12</v>
      </c>
      <c r="N386" s="29" t="s">
        <v>1</v>
      </c>
    </row>
    <row r="387" spans="2:14" ht="56.25" hidden="1" x14ac:dyDescent="0.25">
      <c r="B387" s="26">
        <f t="shared" ca="1" si="10"/>
        <v>377</v>
      </c>
      <c r="C387" s="83">
        <v>44854</v>
      </c>
      <c r="D387" s="118" t="s">
        <v>53</v>
      </c>
      <c r="E387" s="26" t="s">
        <v>38</v>
      </c>
      <c r="F387" s="26" t="s">
        <v>324</v>
      </c>
      <c r="G387" s="72" t="s">
        <v>1187</v>
      </c>
      <c r="H387" s="54" t="s">
        <v>1188</v>
      </c>
      <c r="I387" s="29" t="s">
        <v>53</v>
      </c>
      <c r="J387" s="29" t="s">
        <v>517</v>
      </c>
      <c r="K387" s="119">
        <v>44855</v>
      </c>
      <c r="L387" s="34">
        <v>3</v>
      </c>
      <c r="M387" s="119" t="s">
        <v>12</v>
      </c>
      <c r="N387" s="29" t="s">
        <v>1</v>
      </c>
    </row>
    <row r="388" spans="2:14" ht="206.25" hidden="1" x14ac:dyDescent="0.25">
      <c r="B388" s="26">
        <f ca="1">OFFSET(B388,-1,0)+1</f>
        <v>378</v>
      </c>
      <c r="C388" s="83">
        <v>44854</v>
      </c>
      <c r="D388" s="118" t="s">
        <v>53</v>
      </c>
      <c r="E388" s="26" t="s">
        <v>44</v>
      </c>
      <c r="F388" s="26" t="s">
        <v>141</v>
      </c>
      <c r="G388" s="72" t="s">
        <v>1190</v>
      </c>
      <c r="H388" s="54" t="s">
        <v>1210</v>
      </c>
      <c r="I388" s="29" t="s">
        <v>1189</v>
      </c>
      <c r="J388" s="29" t="s">
        <v>920</v>
      </c>
      <c r="K388" s="119">
        <v>44867</v>
      </c>
      <c r="L388" s="34">
        <v>3</v>
      </c>
      <c r="M388" s="119" t="s">
        <v>12</v>
      </c>
      <c r="N388" s="29" t="s">
        <v>1</v>
      </c>
    </row>
    <row r="389" spans="2:14" ht="75" hidden="1" x14ac:dyDescent="0.25">
      <c r="B389" s="26">
        <f ca="1">OFFSET(B389,-1,0)+1</f>
        <v>379</v>
      </c>
      <c r="C389" s="83">
        <v>44855</v>
      </c>
      <c r="D389" s="301" t="s">
        <v>503</v>
      </c>
      <c r="E389" s="302" t="s">
        <v>80</v>
      </c>
      <c r="F389" s="302" t="s">
        <v>576</v>
      </c>
      <c r="G389" s="303" t="s">
        <v>1104</v>
      </c>
      <c r="H389" s="304" t="s">
        <v>1191</v>
      </c>
      <c r="I389" s="305" t="s">
        <v>503</v>
      </c>
      <c r="J389" s="305" t="s">
        <v>1192</v>
      </c>
      <c r="K389" s="119">
        <v>44855</v>
      </c>
      <c r="L389" s="34">
        <v>3</v>
      </c>
      <c r="M389" s="119" t="s">
        <v>12</v>
      </c>
      <c r="N389" s="29" t="s">
        <v>1</v>
      </c>
    </row>
    <row r="390" spans="2:14" ht="75" hidden="1" x14ac:dyDescent="0.25">
      <c r="B390" s="306">
        <f ca="1">OFFSET(B390,-1,0)+1</f>
        <v>380</v>
      </c>
      <c r="C390" s="307">
        <v>44858</v>
      </c>
      <c r="D390" s="308" t="s">
        <v>53</v>
      </c>
      <c r="E390" s="309" t="s">
        <v>38</v>
      </c>
      <c r="F390" s="309" t="s">
        <v>50</v>
      </c>
      <c r="G390" s="310" t="s">
        <v>1193</v>
      </c>
      <c r="H390" s="248" t="s">
        <v>1209</v>
      </c>
      <c r="I390" s="312" t="s">
        <v>1194</v>
      </c>
      <c r="J390" s="312" t="s">
        <v>1184</v>
      </c>
      <c r="K390" s="313">
        <v>44866</v>
      </c>
      <c r="L390" s="314">
        <v>3</v>
      </c>
      <c r="M390" s="313" t="s">
        <v>12</v>
      </c>
      <c r="N390" s="249" t="s">
        <v>1</v>
      </c>
    </row>
    <row r="391" spans="2:14" ht="93.75" hidden="1" x14ac:dyDescent="0.25">
      <c r="B391" s="306">
        <f ca="1">OFFSET(B391,-1,0)+1</f>
        <v>381</v>
      </c>
      <c r="C391" s="307">
        <v>44858</v>
      </c>
      <c r="D391" s="308" t="s">
        <v>910</v>
      </c>
      <c r="E391" s="309" t="s">
        <v>117</v>
      </c>
      <c r="F391" s="309" t="s">
        <v>66</v>
      </c>
      <c r="G391" s="310" t="s">
        <v>1173</v>
      </c>
      <c r="H391" s="311" t="s">
        <v>1200</v>
      </c>
      <c r="I391" s="312" t="s">
        <v>1121</v>
      </c>
      <c r="J391" s="312" t="s">
        <v>1121</v>
      </c>
      <c r="K391" s="313">
        <v>44861</v>
      </c>
      <c r="L391" s="314">
        <v>3</v>
      </c>
      <c r="M391" s="117" t="s">
        <v>12</v>
      </c>
      <c r="N391" s="315" t="s">
        <v>1</v>
      </c>
    </row>
    <row r="392" spans="2:14" ht="56.25" hidden="1" x14ac:dyDescent="0.25">
      <c r="B392" s="321">
        <f ca="1">OFFSET(B392,-1,0)+1</f>
        <v>382</v>
      </c>
      <c r="C392" s="37">
        <v>44865</v>
      </c>
      <c r="D392" s="39" t="s">
        <v>53</v>
      </c>
      <c r="E392" s="38" t="s">
        <v>38</v>
      </c>
      <c r="F392" s="38" t="s">
        <v>50</v>
      </c>
      <c r="G392" s="176" t="s">
        <v>1202</v>
      </c>
      <c r="H392" s="248" t="s">
        <v>1201</v>
      </c>
      <c r="I392" s="40" t="s">
        <v>53</v>
      </c>
      <c r="J392" s="40" t="s">
        <v>1139</v>
      </c>
      <c r="K392" s="121">
        <v>44865</v>
      </c>
      <c r="L392" s="51">
        <v>3</v>
      </c>
      <c r="M392" s="121" t="s">
        <v>12</v>
      </c>
      <c r="N392" s="249" t="s">
        <v>1</v>
      </c>
    </row>
    <row r="393" spans="2:14" ht="93.75" hidden="1" x14ac:dyDescent="0.25">
      <c r="B393" s="321">
        <f t="shared" ref="B393:B394" ca="1" si="11">OFFSET(B393,-1,0)+1</f>
        <v>383</v>
      </c>
      <c r="C393" s="322">
        <v>44859</v>
      </c>
      <c r="D393" s="323" t="s">
        <v>910</v>
      </c>
      <c r="E393" s="324" t="s">
        <v>117</v>
      </c>
      <c r="F393" s="324" t="s">
        <v>576</v>
      </c>
      <c r="G393" s="325" t="s">
        <v>1205</v>
      </c>
      <c r="H393" s="54" t="s">
        <v>1226</v>
      </c>
      <c r="I393" s="327" t="s">
        <v>1057</v>
      </c>
      <c r="J393" s="327" t="s">
        <v>1038</v>
      </c>
      <c r="K393" s="121">
        <v>44875</v>
      </c>
      <c r="L393" s="51">
        <v>3</v>
      </c>
      <c r="M393" s="121" t="s">
        <v>12</v>
      </c>
      <c r="N393" s="249" t="s">
        <v>1</v>
      </c>
    </row>
    <row r="394" spans="2:14" ht="56.25" hidden="1" x14ac:dyDescent="0.25">
      <c r="B394" s="321">
        <f t="shared" ca="1" si="11"/>
        <v>384</v>
      </c>
      <c r="C394" s="322">
        <v>44859</v>
      </c>
      <c r="D394" s="323" t="s">
        <v>910</v>
      </c>
      <c r="E394" s="324" t="s">
        <v>117</v>
      </c>
      <c r="F394" s="324" t="s">
        <v>576</v>
      </c>
      <c r="G394" s="325" t="s">
        <v>1203</v>
      </c>
      <c r="H394" s="326" t="s">
        <v>1204</v>
      </c>
      <c r="I394" s="327" t="s">
        <v>503</v>
      </c>
      <c r="J394" s="327" t="s">
        <v>1038</v>
      </c>
      <c r="K394" s="121">
        <v>44866</v>
      </c>
      <c r="L394" s="51">
        <v>3</v>
      </c>
      <c r="M394" s="121" t="s">
        <v>12</v>
      </c>
      <c r="N394" s="249" t="s">
        <v>1</v>
      </c>
    </row>
    <row r="395" spans="2:14" ht="56.25" hidden="1" x14ac:dyDescent="0.25">
      <c r="B395" s="321">
        <f t="shared" ref="B395:B400" ca="1" si="12">OFFSET(B395,-1,0)+1</f>
        <v>385</v>
      </c>
      <c r="C395" s="37">
        <v>44866</v>
      </c>
      <c r="D395" s="39" t="s">
        <v>53</v>
      </c>
      <c r="E395" s="38" t="s">
        <v>44</v>
      </c>
      <c r="F395" s="38" t="s">
        <v>56</v>
      </c>
      <c r="G395" s="176" t="s">
        <v>1206</v>
      </c>
      <c r="H395" s="248" t="s">
        <v>1207</v>
      </c>
      <c r="I395" s="40" t="s">
        <v>53</v>
      </c>
      <c r="J395" s="40" t="s">
        <v>1208</v>
      </c>
      <c r="K395" s="121">
        <v>44866</v>
      </c>
      <c r="L395" s="51">
        <v>3</v>
      </c>
      <c r="M395" s="121" t="s">
        <v>12</v>
      </c>
      <c r="N395" s="249" t="s">
        <v>1</v>
      </c>
    </row>
    <row r="396" spans="2:14" ht="56.25" hidden="1" x14ac:dyDescent="0.25">
      <c r="B396" s="328">
        <f t="shared" ca="1" si="12"/>
        <v>386</v>
      </c>
      <c r="C396" s="329">
        <v>44867</v>
      </c>
      <c r="D396" s="330" t="s">
        <v>53</v>
      </c>
      <c r="E396" s="331" t="s">
        <v>44</v>
      </c>
      <c r="F396" s="331" t="s">
        <v>56</v>
      </c>
      <c r="G396" s="332" t="s">
        <v>1212</v>
      </c>
      <c r="H396" s="333" t="s">
        <v>1211</v>
      </c>
      <c r="I396" s="334" t="s">
        <v>53</v>
      </c>
      <c r="J396" s="334" t="s">
        <v>1208</v>
      </c>
      <c r="K396" s="335">
        <v>44867</v>
      </c>
      <c r="L396" s="336">
        <v>3</v>
      </c>
      <c r="M396" s="335" t="s">
        <v>12</v>
      </c>
      <c r="N396" s="337" t="s">
        <v>1</v>
      </c>
    </row>
    <row r="397" spans="2:14" ht="56.25" hidden="1" x14ac:dyDescent="0.25">
      <c r="B397" s="328">
        <f t="shared" ca="1" si="12"/>
        <v>387</v>
      </c>
      <c r="C397" s="329">
        <v>44867</v>
      </c>
      <c r="D397" s="330" t="s">
        <v>53</v>
      </c>
      <c r="E397" s="331" t="s">
        <v>65</v>
      </c>
      <c r="F397" s="331" t="s">
        <v>50</v>
      </c>
      <c r="G397" s="332" t="s">
        <v>1213</v>
      </c>
      <c r="H397" s="333" t="s">
        <v>1211</v>
      </c>
      <c r="I397" s="334" t="s">
        <v>53</v>
      </c>
      <c r="J397" s="334" t="s">
        <v>1214</v>
      </c>
      <c r="K397" s="335">
        <v>44868</v>
      </c>
      <c r="L397" s="336">
        <v>3</v>
      </c>
      <c r="M397" s="335" t="s">
        <v>12</v>
      </c>
      <c r="N397" s="337" t="s">
        <v>1</v>
      </c>
    </row>
    <row r="398" spans="2:14" ht="49.9" hidden="1" customHeight="1" x14ac:dyDescent="0.25">
      <c r="B398" s="292">
        <f t="shared" ca="1" si="12"/>
        <v>388</v>
      </c>
      <c r="C398" s="293">
        <v>44868</v>
      </c>
      <c r="D398" s="294" t="s">
        <v>53</v>
      </c>
      <c r="E398" s="295" t="s">
        <v>44</v>
      </c>
      <c r="F398" s="295" t="s">
        <v>242</v>
      </c>
      <c r="G398" s="296" t="s">
        <v>1215</v>
      </c>
      <c r="H398" s="248" t="s">
        <v>1242</v>
      </c>
      <c r="I398" s="298" t="s">
        <v>1216</v>
      </c>
      <c r="J398" s="298" t="s">
        <v>251</v>
      </c>
      <c r="K398" s="299">
        <v>44895</v>
      </c>
      <c r="L398" s="300">
        <v>3</v>
      </c>
      <c r="M398" s="117" t="s">
        <v>12</v>
      </c>
      <c r="N398" s="249" t="s">
        <v>1</v>
      </c>
    </row>
    <row r="399" spans="2:14" ht="56.25" hidden="1" x14ac:dyDescent="0.25">
      <c r="B399" s="321">
        <f t="shared" ca="1" si="12"/>
        <v>389</v>
      </c>
      <c r="C399" s="37">
        <v>44876</v>
      </c>
      <c r="D399" s="39" t="s">
        <v>53</v>
      </c>
      <c r="E399" s="38" t="s">
        <v>44</v>
      </c>
      <c r="F399" s="38" t="s">
        <v>56</v>
      </c>
      <c r="G399" s="176" t="s">
        <v>1217</v>
      </c>
      <c r="H399" s="248" t="s">
        <v>1218</v>
      </c>
      <c r="I399" s="40" t="s">
        <v>53</v>
      </c>
      <c r="J399" s="40" t="s">
        <v>586</v>
      </c>
      <c r="K399" s="121">
        <v>44879</v>
      </c>
      <c r="L399" s="51">
        <v>3</v>
      </c>
      <c r="M399" s="345" t="s">
        <v>12</v>
      </c>
      <c r="N399" s="346" t="s">
        <v>1</v>
      </c>
    </row>
    <row r="400" spans="2:14" ht="56.25" hidden="1" x14ac:dyDescent="0.25">
      <c r="B400" s="338">
        <f t="shared" ca="1" si="12"/>
        <v>390</v>
      </c>
      <c r="C400" s="339">
        <v>44879</v>
      </c>
      <c r="D400" s="340" t="s">
        <v>1219</v>
      </c>
      <c r="E400" s="341" t="s">
        <v>64</v>
      </c>
      <c r="F400" s="341" t="s">
        <v>576</v>
      </c>
      <c r="G400" s="342" t="s">
        <v>1220</v>
      </c>
      <c r="H400" s="343" t="s">
        <v>1221</v>
      </c>
      <c r="I400" s="344" t="s">
        <v>1223</v>
      </c>
      <c r="J400" s="344" t="s">
        <v>1222</v>
      </c>
      <c r="K400" s="345">
        <v>44880</v>
      </c>
      <c r="L400" s="51">
        <v>3</v>
      </c>
      <c r="M400" s="345" t="s">
        <v>12</v>
      </c>
      <c r="N400" s="346" t="s">
        <v>1</v>
      </c>
    </row>
    <row r="401" spans="2:14" ht="75" hidden="1" x14ac:dyDescent="0.25">
      <c r="B401" s="338">
        <v>391</v>
      </c>
      <c r="C401" s="339">
        <v>44885</v>
      </c>
      <c r="D401" s="340" t="s">
        <v>1223</v>
      </c>
      <c r="E401" s="341" t="s">
        <v>80</v>
      </c>
      <c r="F401" s="341" t="s">
        <v>510</v>
      </c>
      <c r="G401" s="342" t="s">
        <v>1086</v>
      </c>
      <c r="H401" s="343" t="s">
        <v>1228</v>
      </c>
      <c r="I401" s="344" t="s">
        <v>1223</v>
      </c>
      <c r="J401" s="344" t="s">
        <v>1227</v>
      </c>
      <c r="K401" s="345">
        <v>44886</v>
      </c>
      <c r="L401" s="51">
        <v>3</v>
      </c>
      <c r="M401" s="345" t="s">
        <v>12</v>
      </c>
      <c r="N401" s="346" t="s">
        <v>1</v>
      </c>
    </row>
    <row r="402" spans="2:14" ht="18.75" hidden="1" x14ac:dyDescent="0.25">
      <c r="B402" s="338">
        <v>392</v>
      </c>
      <c r="C402" s="339">
        <v>44880</v>
      </c>
      <c r="D402" s="340" t="s">
        <v>1223</v>
      </c>
      <c r="E402" s="341" t="s">
        <v>80</v>
      </c>
      <c r="F402" s="341" t="s">
        <v>64</v>
      </c>
      <c r="G402" s="342" t="s">
        <v>1229</v>
      </c>
      <c r="H402" s="343" t="s">
        <v>1230</v>
      </c>
      <c r="I402" s="344" t="s">
        <v>1223</v>
      </c>
      <c r="J402" s="344" t="s">
        <v>33</v>
      </c>
      <c r="K402" s="345">
        <v>44890</v>
      </c>
      <c r="L402" s="51">
        <v>3</v>
      </c>
      <c r="M402" s="345" t="s">
        <v>12</v>
      </c>
      <c r="N402" s="346" t="s">
        <v>1</v>
      </c>
    </row>
    <row r="403" spans="2:14" ht="37.5" x14ac:dyDescent="0.25">
      <c r="B403" s="338">
        <v>392</v>
      </c>
      <c r="C403" s="339">
        <v>44881</v>
      </c>
      <c r="D403" s="340" t="s">
        <v>1223</v>
      </c>
      <c r="E403" s="341" t="s">
        <v>64</v>
      </c>
      <c r="F403" s="341" t="s">
        <v>64</v>
      </c>
      <c r="G403" s="342" t="s">
        <v>1232</v>
      </c>
      <c r="H403" s="343" t="s">
        <v>1231</v>
      </c>
      <c r="I403" s="344" t="s">
        <v>1223</v>
      </c>
      <c r="J403" s="344" t="s">
        <v>33</v>
      </c>
      <c r="K403" s="345">
        <v>44890</v>
      </c>
      <c r="L403" s="51">
        <v>3</v>
      </c>
      <c r="M403" s="345" t="s">
        <v>12</v>
      </c>
      <c r="N403" s="346" t="s">
        <v>0</v>
      </c>
    </row>
    <row r="404" spans="2:14" ht="49.9" hidden="1" customHeight="1" x14ac:dyDescent="0.25">
      <c r="B404" s="292">
        <f t="shared" ref="B404:B411" ca="1" si="13">OFFSET(B404,-1,0)+1</f>
        <v>393</v>
      </c>
      <c r="C404" s="293">
        <v>44886</v>
      </c>
      <c r="D404" s="294" t="s">
        <v>53</v>
      </c>
      <c r="E404" s="295" t="s">
        <v>38</v>
      </c>
      <c r="F404" s="295" t="s">
        <v>50</v>
      </c>
      <c r="G404" s="296" t="s">
        <v>1236</v>
      </c>
      <c r="H404" s="248" t="s">
        <v>1237</v>
      </c>
      <c r="I404" s="298" t="s">
        <v>1238</v>
      </c>
      <c r="J404" s="298" t="s">
        <v>1239</v>
      </c>
      <c r="K404" s="299">
        <v>44890</v>
      </c>
      <c r="L404" s="300">
        <v>3</v>
      </c>
      <c r="M404" s="117" t="s">
        <v>12</v>
      </c>
      <c r="N404" s="249" t="s">
        <v>1</v>
      </c>
    </row>
    <row r="405" spans="2:14" ht="49.9" hidden="1" customHeight="1" x14ac:dyDescent="0.25">
      <c r="B405" s="292">
        <f t="shared" ca="1" si="13"/>
        <v>394</v>
      </c>
      <c r="C405" s="293">
        <v>44886</v>
      </c>
      <c r="D405" s="294" t="s">
        <v>53</v>
      </c>
      <c r="E405" s="295" t="s">
        <v>44</v>
      </c>
      <c r="F405" s="295" t="s">
        <v>56</v>
      </c>
      <c r="G405" s="296" t="s">
        <v>1241</v>
      </c>
      <c r="H405" s="248" t="s">
        <v>1240</v>
      </c>
      <c r="I405" s="298" t="s">
        <v>53</v>
      </c>
      <c r="J405" s="298" t="s">
        <v>687</v>
      </c>
      <c r="K405" s="299">
        <v>44887</v>
      </c>
      <c r="L405" s="300">
        <v>3</v>
      </c>
      <c r="M405" s="117" t="s">
        <v>12</v>
      </c>
      <c r="N405" s="249" t="s">
        <v>1</v>
      </c>
    </row>
    <row r="406" spans="2:14" ht="18.75" hidden="1" x14ac:dyDescent="0.25">
      <c r="B406" s="358">
        <f t="shared" ca="1" si="13"/>
        <v>395</v>
      </c>
      <c r="C406" s="359">
        <v>44911</v>
      </c>
      <c r="D406" s="360" t="s">
        <v>549</v>
      </c>
      <c r="E406" s="361" t="s">
        <v>64</v>
      </c>
      <c r="F406" s="361" t="s">
        <v>423</v>
      </c>
      <c r="G406" s="362" t="s">
        <v>1243</v>
      </c>
      <c r="H406" s="363" t="s">
        <v>1244</v>
      </c>
      <c r="I406" s="364" t="s">
        <v>1245</v>
      </c>
      <c r="J406" s="364" t="s">
        <v>1246</v>
      </c>
      <c r="K406" s="365">
        <v>44914</v>
      </c>
      <c r="L406" s="366">
        <v>3</v>
      </c>
      <c r="M406" s="365" t="s">
        <v>12</v>
      </c>
      <c r="N406" s="367" t="s">
        <v>1</v>
      </c>
    </row>
    <row r="407" spans="2:14" ht="49.9" hidden="1" customHeight="1" x14ac:dyDescent="0.25">
      <c r="B407" s="292">
        <f t="shared" ca="1" si="13"/>
        <v>396</v>
      </c>
      <c r="C407" s="293">
        <v>44915</v>
      </c>
      <c r="D407" s="294" t="s">
        <v>53</v>
      </c>
      <c r="E407" s="295" t="s">
        <v>38</v>
      </c>
      <c r="F407" s="295" t="s">
        <v>50</v>
      </c>
      <c r="G407" s="296" t="s">
        <v>1247</v>
      </c>
      <c r="H407" s="248" t="s">
        <v>1248</v>
      </c>
      <c r="I407" s="298" t="s">
        <v>1249</v>
      </c>
      <c r="J407" s="298" t="s">
        <v>135</v>
      </c>
      <c r="K407" s="299">
        <v>44915</v>
      </c>
      <c r="L407" s="300">
        <v>3</v>
      </c>
      <c r="M407" s="117" t="s">
        <v>12</v>
      </c>
      <c r="N407" s="249" t="s">
        <v>1</v>
      </c>
    </row>
    <row r="408" spans="2:14" ht="18.75" hidden="1" x14ac:dyDescent="0.25">
      <c r="B408" s="368">
        <f t="shared" ca="1" si="13"/>
        <v>397</v>
      </c>
      <c r="C408" s="369">
        <v>45054</v>
      </c>
      <c r="D408" s="370" t="s">
        <v>549</v>
      </c>
      <c r="E408" s="371" t="s">
        <v>1250</v>
      </c>
      <c r="F408" s="371" t="s">
        <v>423</v>
      </c>
      <c r="G408" s="372" t="s">
        <v>1251</v>
      </c>
      <c r="H408" s="373" t="s">
        <v>1253</v>
      </c>
      <c r="I408" s="374" t="s">
        <v>549</v>
      </c>
      <c r="J408" s="374" t="s">
        <v>1252</v>
      </c>
      <c r="K408" s="375">
        <v>45061</v>
      </c>
      <c r="L408" s="376">
        <v>3</v>
      </c>
      <c r="M408" s="375" t="s">
        <v>12</v>
      </c>
      <c r="N408" s="377" t="s">
        <v>1</v>
      </c>
    </row>
    <row r="409" spans="2:14" ht="18.75" hidden="1" x14ac:dyDescent="0.25">
      <c r="B409" s="368">
        <f t="shared" ca="1" si="13"/>
        <v>398</v>
      </c>
      <c r="C409" s="369">
        <v>45056</v>
      </c>
      <c r="D409" s="370" t="s">
        <v>549</v>
      </c>
      <c r="E409" s="371" t="s">
        <v>1254</v>
      </c>
      <c r="F409" s="371" t="s">
        <v>423</v>
      </c>
      <c r="G409" s="372" t="s">
        <v>1255</v>
      </c>
      <c r="H409" s="373" t="s">
        <v>1256</v>
      </c>
      <c r="I409" s="374" t="s">
        <v>549</v>
      </c>
      <c r="J409" s="374" t="s">
        <v>1257</v>
      </c>
      <c r="K409" s="375">
        <v>45056</v>
      </c>
      <c r="L409" s="376">
        <v>3</v>
      </c>
      <c r="M409" s="375" t="s">
        <v>12</v>
      </c>
      <c r="N409" s="377" t="s">
        <v>1</v>
      </c>
    </row>
    <row r="410" spans="2:14" ht="56.25" hidden="1" x14ac:dyDescent="0.25">
      <c r="B410" s="368">
        <f t="shared" ca="1" si="13"/>
        <v>399</v>
      </c>
      <c r="C410" s="369">
        <v>45061</v>
      </c>
      <c r="D410" s="370" t="s">
        <v>549</v>
      </c>
      <c r="E410" s="371" t="s">
        <v>1250</v>
      </c>
      <c r="F410" s="371" t="s">
        <v>423</v>
      </c>
      <c r="G410" s="372" t="s">
        <v>1258</v>
      </c>
      <c r="H410" s="373" t="s">
        <v>1263</v>
      </c>
      <c r="I410" s="374" t="s">
        <v>549</v>
      </c>
      <c r="J410" s="374" t="s">
        <v>1259</v>
      </c>
      <c r="K410" s="375">
        <v>45075</v>
      </c>
      <c r="L410" s="376">
        <v>3</v>
      </c>
      <c r="M410" s="375" t="s">
        <v>12</v>
      </c>
      <c r="N410" s="377" t="s">
        <v>1</v>
      </c>
    </row>
    <row r="411" spans="2:14" ht="37.5" hidden="1" x14ac:dyDescent="0.25">
      <c r="B411" s="368">
        <f t="shared" ca="1" si="13"/>
        <v>400</v>
      </c>
      <c r="C411" s="369">
        <v>45072</v>
      </c>
      <c r="D411" s="370" t="s">
        <v>549</v>
      </c>
      <c r="E411" s="371" t="s">
        <v>1260</v>
      </c>
      <c r="F411" s="371" t="s">
        <v>423</v>
      </c>
      <c r="G411" s="372" t="s">
        <v>1258</v>
      </c>
      <c r="H411" s="373" t="s">
        <v>1262</v>
      </c>
      <c r="I411" s="374" t="s">
        <v>549</v>
      </c>
      <c r="J411" s="374" t="s">
        <v>1261</v>
      </c>
      <c r="K411" s="375">
        <v>45072</v>
      </c>
      <c r="L411" s="376">
        <v>3</v>
      </c>
      <c r="M411" s="375" t="s">
        <v>12</v>
      </c>
      <c r="N411" s="377" t="s">
        <v>1</v>
      </c>
    </row>
    <row r="412" spans="2:14" ht="37.5" hidden="1" x14ac:dyDescent="0.25">
      <c r="B412" s="368">
        <f ca="1">OFFSET(B412,-1,0)+1</f>
        <v>401</v>
      </c>
      <c r="C412" s="369">
        <v>45062</v>
      </c>
      <c r="D412" s="370" t="s">
        <v>549</v>
      </c>
      <c r="E412" s="371" t="s">
        <v>1264</v>
      </c>
      <c r="F412" s="371" t="s">
        <v>423</v>
      </c>
      <c r="G412" s="372" t="s">
        <v>1255</v>
      </c>
      <c r="H412" s="373" t="s">
        <v>1265</v>
      </c>
      <c r="I412" s="374" t="s">
        <v>549</v>
      </c>
      <c r="J412" s="261" t="s">
        <v>1266</v>
      </c>
      <c r="K412" s="375">
        <v>45100</v>
      </c>
      <c r="L412" s="376">
        <v>3</v>
      </c>
      <c r="M412" s="375" t="s">
        <v>12</v>
      </c>
      <c r="N412" s="377" t="s">
        <v>1</v>
      </c>
    </row>
    <row r="413" spans="2:14" ht="18.75" hidden="1" x14ac:dyDescent="0.25">
      <c r="B413" s="368">
        <f ca="1">OFFSET(B413,-1,0)+1</f>
        <v>402</v>
      </c>
      <c r="C413" s="369">
        <v>45166</v>
      </c>
      <c r="D413" s="370" t="s">
        <v>549</v>
      </c>
      <c r="E413" s="371" t="s">
        <v>1267</v>
      </c>
      <c r="F413" s="371" t="s">
        <v>423</v>
      </c>
      <c r="G413" s="372" t="s">
        <v>1268</v>
      </c>
      <c r="H413" s="373" t="s">
        <v>1269</v>
      </c>
      <c r="I413" s="374" t="s">
        <v>549</v>
      </c>
      <c r="J413" s="374" t="s">
        <v>1270</v>
      </c>
      <c r="K413" s="375">
        <v>45167</v>
      </c>
      <c r="L413" s="376">
        <v>3</v>
      </c>
      <c r="M413" s="375" t="s">
        <v>12</v>
      </c>
      <c r="N413" s="377" t="s">
        <v>1</v>
      </c>
    </row>
    <row r="414" spans="2:14" ht="37.5" hidden="1" x14ac:dyDescent="0.25">
      <c r="B414" s="378">
        <f ca="1">OFFSET(B414,-1,0)+1</f>
        <v>403</v>
      </c>
      <c r="C414" s="379">
        <v>45169</v>
      </c>
      <c r="D414" s="380" t="s">
        <v>549</v>
      </c>
      <c r="E414" s="381" t="s">
        <v>1267</v>
      </c>
      <c r="F414" s="381" t="s">
        <v>423</v>
      </c>
      <c r="G414" s="382" t="s">
        <v>1271</v>
      </c>
      <c r="H414" s="383" t="s">
        <v>1272</v>
      </c>
      <c r="I414" s="384" t="s">
        <v>1270</v>
      </c>
      <c r="J414" s="384" t="s">
        <v>1270</v>
      </c>
      <c r="K414" s="385">
        <v>45170</v>
      </c>
      <c r="L414" s="386">
        <v>3</v>
      </c>
      <c r="M414" s="345" t="s">
        <v>12</v>
      </c>
      <c r="N414" s="387" t="s">
        <v>1</v>
      </c>
    </row>
    <row r="415" spans="2:14" ht="18.75" hidden="1" x14ac:dyDescent="0.25">
      <c r="B415" s="368">
        <v>404</v>
      </c>
      <c r="C415" s="369">
        <v>45169</v>
      </c>
      <c r="D415" s="370" t="s">
        <v>549</v>
      </c>
      <c r="E415" s="371" t="s">
        <v>1254</v>
      </c>
      <c r="F415" s="371" t="s">
        <v>423</v>
      </c>
      <c r="G415" s="372" t="s">
        <v>1273</v>
      </c>
      <c r="H415" s="373" t="s">
        <v>1274</v>
      </c>
      <c r="I415" s="374" t="s">
        <v>549</v>
      </c>
      <c r="J415" s="374" t="s">
        <v>1275</v>
      </c>
      <c r="K415" s="375">
        <v>45181</v>
      </c>
      <c r="L415" s="376">
        <v>3</v>
      </c>
      <c r="M415" s="345" t="s">
        <v>12</v>
      </c>
      <c r="N415" s="377" t="s">
        <v>1</v>
      </c>
    </row>
    <row r="416" spans="2:14" ht="56.25" hidden="1" x14ac:dyDescent="0.25">
      <c r="B416" s="368">
        <f ca="1">OFFSET(B416,-1,0)+1</f>
        <v>405</v>
      </c>
      <c r="C416" s="369">
        <v>45278</v>
      </c>
      <c r="D416" s="370" t="s">
        <v>549</v>
      </c>
      <c r="E416" s="371" t="s">
        <v>64</v>
      </c>
      <c r="F416" s="371" t="s">
        <v>423</v>
      </c>
      <c r="G416" s="372" t="s">
        <v>1276</v>
      </c>
      <c r="H416" s="373" t="s">
        <v>1277</v>
      </c>
      <c r="I416" s="374" t="s">
        <v>1278</v>
      </c>
      <c r="J416" s="374" t="s">
        <v>1278</v>
      </c>
      <c r="K416" s="375"/>
      <c r="L416" s="376">
        <v>3</v>
      </c>
      <c r="M416" s="345" t="s">
        <v>12</v>
      </c>
      <c r="N416" s="377" t="s">
        <v>1</v>
      </c>
    </row>
    <row r="417" spans="2:14" ht="37.5" x14ac:dyDescent="0.25">
      <c r="B417" s="368">
        <f ca="1">OFFSET(B417,-1,0)+1</f>
        <v>406</v>
      </c>
      <c r="C417" s="369">
        <v>45327</v>
      </c>
      <c r="D417" s="370" t="s">
        <v>549</v>
      </c>
      <c r="E417" s="371" t="s">
        <v>64</v>
      </c>
      <c r="F417" s="371" t="s">
        <v>423</v>
      </c>
      <c r="G417" s="372" t="s">
        <v>1279</v>
      </c>
      <c r="H417" s="373" t="s">
        <v>1280</v>
      </c>
      <c r="I417" s="374" t="s">
        <v>1257</v>
      </c>
      <c r="J417" s="374" t="s">
        <v>1257</v>
      </c>
      <c r="K417" s="375">
        <v>45331</v>
      </c>
      <c r="L417" s="376">
        <v>3</v>
      </c>
      <c r="M417" s="375" t="s">
        <v>12</v>
      </c>
      <c r="N417" s="377" t="s">
        <v>1</v>
      </c>
    </row>
    <row r="418" spans="2:14" ht="18.75" customHeight="1" x14ac:dyDescent="0.25">
      <c r="B418" s="368">
        <f ca="1">OFFSET(B418,-1,0)+1</f>
        <v>407</v>
      </c>
      <c r="C418" s="369">
        <v>45358</v>
      </c>
      <c r="D418" s="370" t="s">
        <v>549</v>
      </c>
      <c r="E418" s="371" t="s">
        <v>64</v>
      </c>
      <c r="F418" s="371" t="s">
        <v>423</v>
      </c>
      <c r="G418" s="372" t="s">
        <v>1276</v>
      </c>
      <c r="H418" s="373" t="s">
        <v>1281</v>
      </c>
      <c r="I418" s="374" t="s">
        <v>549</v>
      </c>
      <c r="J418" s="374" t="s">
        <v>1282</v>
      </c>
      <c r="K418" s="375">
        <v>45358</v>
      </c>
      <c r="L418" s="376">
        <v>3</v>
      </c>
      <c r="M418" s="375" t="s">
        <v>12</v>
      </c>
      <c r="N418" s="377" t="s">
        <v>1</v>
      </c>
    </row>
  </sheetData>
  <mergeCells count="2">
    <mergeCell ref="D2:F2"/>
    <mergeCell ref="H2:M6"/>
  </mergeCells>
  <phoneticPr fontId="0" type="noConversion"/>
  <conditionalFormatting sqref="O12 O16:O26">
    <cfRule type="expression" dxfId="243" priority="3869">
      <formula>$O12="Closed"</formula>
    </cfRule>
  </conditionalFormatting>
  <conditionalFormatting sqref="O11">
    <cfRule type="expression" dxfId="242" priority="3334">
      <formula>$O11="Closed"</formula>
    </cfRule>
  </conditionalFormatting>
  <conditionalFormatting sqref="B11:N398 B399:K402 M399:N402 C403:G403">
    <cfRule type="expression" dxfId="241" priority="46" stopIfTrue="1">
      <formula>OR($N11="Closed",$N11="Cancelled")</formula>
    </cfRule>
  </conditionalFormatting>
  <conditionalFormatting sqref="M11:M402">
    <cfRule type="cellIs" dxfId="240" priority="47" operator="equal">
      <formula>"G"</formula>
    </cfRule>
    <cfRule type="cellIs" dxfId="239" priority="48" operator="equal">
      <formula>"R"</formula>
    </cfRule>
    <cfRule type="cellIs" dxfId="238" priority="49" operator="equal">
      <formula>"A"</formula>
    </cfRule>
  </conditionalFormatting>
  <conditionalFormatting sqref="M399:N399">
    <cfRule type="dataBar" priority="37">
      <dataBar>
        <cfvo type="min"/>
        <cfvo type="max"/>
        <color rgb="FF638EC6"/>
      </dataBar>
      <extLst>
        <ext xmlns:x14="http://schemas.microsoft.com/office/spreadsheetml/2009/9/main" uri="{B025F937-C7B1-47D3-B67F-A62EFF666E3E}">
          <x14:id>{BA1867E9-5E38-4207-BF45-E07C51AE42FB}</x14:id>
        </ext>
      </extLst>
    </cfRule>
  </conditionalFormatting>
  <conditionalFormatting sqref="M401:N402">
    <cfRule type="dataBar" priority="36">
      <dataBar>
        <cfvo type="min"/>
        <cfvo type="max"/>
        <color rgb="FF638EC6"/>
      </dataBar>
      <extLst>
        <ext xmlns:x14="http://schemas.microsoft.com/office/spreadsheetml/2009/9/main" uri="{B025F937-C7B1-47D3-B67F-A62EFF666E3E}">
          <x14:id>{F85BDF11-C7E8-4F67-99EB-812239D621DD}</x14:id>
        </ext>
      </extLst>
    </cfRule>
  </conditionalFormatting>
  <conditionalFormatting sqref="M399:N399">
    <cfRule type="dataBar" priority="35">
      <dataBar>
        <cfvo type="min"/>
        <cfvo type="max"/>
        <color rgb="FF638EC6"/>
      </dataBar>
      <extLst>
        <ext xmlns:x14="http://schemas.microsoft.com/office/spreadsheetml/2009/9/main" uri="{B025F937-C7B1-47D3-B67F-A62EFF666E3E}">
          <x14:id>{68F71655-31FC-44F5-8F3B-C1949D419235}</x14:id>
        </ext>
      </extLst>
    </cfRule>
  </conditionalFormatting>
  <conditionalFormatting sqref="L399:L402">
    <cfRule type="expression" dxfId="237" priority="34" stopIfTrue="1">
      <formula>OR($N399="Closed",$N399="Cancelled")</formula>
    </cfRule>
  </conditionalFormatting>
  <conditionalFormatting sqref="I403:K403 M403:N403">
    <cfRule type="expression" dxfId="236" priority="30" stopIfTrue="1">
      <formula>OR($N403="Closed",$N403="Cancelled")</formula>
    </cfRule>
  </conditionalFormatting>
  <conditionalFormatting sqref="M403">
    <cfRule type="cellIs" dxfId="235" priority="31" operator="equal">
      <formula>"G"</formula>
    </cfRule>
    <cfRule type="cellIs" dxfId="234" priority="32" operator="equal">
      <formula>"R"</formula>
    </cfRule>
    <cfRule type="cellIs" dxfId="233" priority="33" operator="equal">
      <formula>"A"</formula>
    </cfRule>
  </conditionalFormatting>
  <conditionalFormatting sqref="M403:N403">
    <cfRule type="dataBar" priority="29">
      <dataBar>
        <cfvo type="min"/>
        <cfvo type="max"/>
        <color rgb="FF638EC6"/>
      </dataBar>
      <extLst>
        <ext xmlns:x14="http://schemas.microsoft.com/office/spreadsheetml/2009/9/main" uri="{B025F937-C7B1-47D3-B67F-A62EFF666E3E}">
          <x14:id>{B564B68D-5A21-4DDB-9809-DF223FA6B9A8}</x14:id>
        </ext>
      </extLst>
    </cfRule>
  </conditionalFormatting>
  <conditionalFormatting sqref="L403">
    <cfRule type="expression" dxfId="232" priority="28" stopIfTrue="1">
      <formula>OR($N403="Closed",$N403="Cancelled")</formula>
    </cfRule>
  </conditionalFormatting>
  <conditionalFormatting sqref="B405:N405">
    <cfRule type="expression" dxfId="231" priority="24" stopIfTrue="1">
      <formula>OR($N405="Closed",$N405="Cancelled")</formula>
    </cfRule>
  </conditionalFormatting>
  <conditionalFormatting sqref="M405">
    <cfRule type="cellIs" dxfId="230" priority="25" operator="equal">
      <formula>"G"</formula>
    </cfRule>
    <cfRule type="cellIs" dxfId="229" priority="26" operator="equal">
      <formula>"R"</formula>
    </cfRule>
    <cfRule type="cellIs" dxfId="228" priority="27" operator="equal">
      <formula>"A"</formula>
    </cfRule>
  </conditionalFormatting>
  <conditionalFormatting sqref="B404:N404">
    <cfRule type="expression" dxfId="227" priority="20" stopIfTrue="1">
      <formula>OR($N404="Closed",$N404="Cancelled")</formula>
    </cfRule>
  </conditionalFormatting>
  <conditionalFormatting sqref="M404">
    <cfRule type="cellIs" dxfId="226" priority="21" operator="equal">
      <formula>"G"</formula>
    </cfRule>
    <cfRule type="cellIs" dxfId="225" priority="22" operator="equal">
      <formula>"R"</formula>
    </cfRule>
    <cfRule type="cellIs" dxfId="224" priority="23" operator="equal">
      <formula>"A"</formula>
    </cfRule>
  </conditionalFormatting>
  <conditionalFormatting sqref="B407:N407">
    <cfRule type="expression" dxfId="223" priority="16" stopIfTrue="1">
      <formula>OR($N407="Closed",$N407="Cancelled")</formula>
    </cfRule>
  </conditionalFormatting>
  <conditionalFormatting sqref="M407">
    <cfRule type="cellIs" dxfId="222" priority="17" operator="equal">
      <formula>"G"</formula>
    </cfRule>
    <cfRule type="cellIs" dxfId="221" priority="18" operator="equal">
      <formula>"R"</formula>
    </cfRule>
    <cfRule type="cellIs" dxfId="220" priority="19" operator="equal">
      <formula>"A"</formula>
    </cfRule>
  </conditionalFormatting>
  <conditionalFormatting sqref="M414">
    <cfRule type="expression" dxfId="219" priority="12" stopIfTrue="1">
      <formula>OR($N414="Closed",$N414="Cancelled")</formula>
    </cfRule>
  </conditionalFormatting>
  <conditionalFormatting sqref="M414">
    <cfRule type="cellIs" dxfId="218" priority="13" operator="equal">
      <formula>"G"</formula>
    </cfRule>
    <cfRule type="cellIs" dxfId="217" priority="14" operator="equal">
      <formula>"R"</formula>
    </cfRule>
    <cfRule type="cellIs" dxfId="216" priority="15" operator="equal">
      <formula>"A"</formula>
    </cfRule>
  </conditionalFormatting>
  <conditionalFormatting sqref="M414">
    <cfRule type="dataBar" priority="11">
      <dataBar>
        <cfvo type="min"/>
        <cfvo type="max"/>
        <color rgb="FF638EC6"/>
      </dataBar>
      <extLst>
        <ext xmlns:x14="http://schemas.microsoft.com/office/spreadsheetml/2009/9/main" uri="{B025F937-C7B1-47D3-B67F-A62EFF666E3E}">
          <x14:id>{08EEA3AF-0D01-450C-8540-8EB934102A14}</x14:id>
        </ext>
      </extLst>
    </cfRule>
  </conditionalFormatting>
  <conditionalFormatting sqref="M415">
    <cfRule type="expression" dxfId="215" priority="7" stopIfTrue="1">
      <formula>OR($N415="Closed",$N415="Cancelled")</formula>
    </cfRule>
  </conditionalFormatting>
  <conditionalFormatting sqref="M415">
    <cfRule type="cellIs" dxfId="214" priority="8" operator="equal">
      <formula>"G"</formula>
    </cfRule>
    <cfRule type="cellIs" dxfId="213" priority="9" operator="equal">
      <formula>"R"</formula>
    </cfRule>
    <cfRule type="cellIs" dxfId="212" priority="10" operator="equal">
      <formula>"A"</formula>
    </cfRule>
  </conditionalFormatting>
  <conditionalFormatting sqref="M415">
    <cfRule type="dataBar" priority="6">
      <dataBar>
        <cfvo type="min"/>
        <cfvo type="max"/>
        <color rgb="FF638EC6"/>
      </dataBar>
      <extLst>
        <ext xmlns:x14="http://schemas.microsoft.com/office/spreadsheetml/2009/9/main" uri="{B025F937-C7B1-47D3-B67F-A62EFF666E3E}">
          <x14:id>{9FDA7C04-23C1-4EC7-9C69-37E81286C921}</x14:id>
        </ext>
      </extLst>
    </cfRule>
  </conditionalFormatting>
  <conditionalFormatting sqref="M416">
    <cfRule type="expression" dxfId="211" priority="2" stopIfTrue="1">
      <formula>OR($N416="Closed",$N416="Cancelled")</formula>
    </cfRule>
  </conditionalFormatting>
  <conditionalFormatting sqref="M416">
    <cfRule type="cellIs" dxfId="210" priority="3" operator="equal">
      <formula>"G"</formula>
    </cfRule>
    <cfRule type="cellIs" dxfId="209" priority="4" operator="equal">
      <formula>"R"</formula>
    </cfRule>
    <cfRule type="cellIs" dxfId="208" priority="5" operator="equal">
      <formula>"A"</formula>
    </cfRule>
  </conditionalFormatting>
  <conditionalFormatting sqref="M416">
    <cfRule type="dataBar" priority="1">
      <dataBar>
        <cfvo type="min"/>
        <cfvo type="max"/>
        <color rgb="FF638EC6"/>
      </dataBar>
      <extLst>
        <ext xmlns:x14="http://schemas.microsoft.com/office/spreadsheetml/2009/9/main" uri="{B025F937-C7B1-47D3-B67F-A62EFF666E3E}">
          <x14:id>{A7D33930-668B-49D3-80F3-E78B722F54FC}</x14:id>
        </ext>
      </extLst>
    </cfRule>
  </conditionalFormatting>
  <hyperlinks>
    <hyperlink ref="J78" r:id="rId1"/>
    <hyperlink ref="I132" r:id="rId2"/>
    <hyperlink ref="J132" r:id="rId3"/>
    <hyperlink ref="J145" r:id="rId4"/>
    <hyperlink ref="J181" r:id="rId5"/>
    <hyperlink ref="J187" r:id="rId6" display="mailto:Kyle.McCormick@sitel.com"/>
    <hyperlink ref="J235" r:id="rId7" display="mailto:planningandperformance.contactcentres@johnlewis.co.uk"/>
    <hyperlink ref="I263" r:id="rId8"/>
    <hyperlink ref="J263" r:id="rId9"/>
    <hyperlink ref="I264" r:id="rId10" display="mailto:SSEReportingTeam@sitel.com"/>
    <hyperlink ref="J341" r:id="rId11"/>
    <hyperlink ref="I347" r:id="rId12" display="mailto:SSEReportingTeam@sitel.com"/>
    <hyperlink ref="J348" r:id="rId13"/>
    <hyperlink ref="J412" r:id="rId14"/>
  </hyperlinks>
  <pageMargins left="0.70866141732283472" right="0.70866141732283472" top="0.74803149606299213" bottom="0.74803149606299213" header="0.31496062992125984" footer="0.31496062992125984"/>
  <pageSetup paperSize="9" scale="41" fitToHeight="0" orientation="landscape" r:id="rId15"/>
  <drawing r:id="rId16"/>
  <legacyDrawing r:id="rId17"/>
  <tableParts count="1">
    <tablePart r:id="rId18"/>
  </tableParts>
  <extLst>
    <ext xmlns:x14="http://schemas.microsoft.com/office/spreadsheetml/2009/9/main" uri="{78C0D931-6437-407d-A8EE-F0AAD7539E65}">
      <x14:conditionalFormattings>
        <x14:conditionalFormatting xmlns:xm="http://schemas.microsoft.com/office/excel/2006/main">
          <x14:cfRule type="dataBar" id="{BA1867E9-5E38-4207-BF45-E07C51AE42FB}">
            <x14:dataBar minLength="0" maxLength="100" gradient="0">
              <x14:cfvo type="autoMin"/>
              <x14:cfvo type="autoMax"/>
              <x14:negativeFillColor rgb="FFFF0000"/>
              <x14:axisColor rgb="FF000000"/>
            </x14:dataBar>
          </x14:cfRule>
          <xm:sqref>M399:N399</xm:sqref>
        </x14:conditionalFormatting>
        <x14:conditionalFormatting xmlns:xm="http://schemas.microsoft.com/office/excel/2006/main">
          <x14:cfRule type="dataBar" id="{F85BDF11-C7E8-4F67-99EB-812239D621DD}">
            <x14:dataBar minLength="0" maxLength="100" gradient="0">
              <x14:cfvo type="autoMin"/>
              <x14:cfvo type="autoMax"/>
              <x14:negativeFillColor rgb="FFFF0000"/>
              <x14:axisColor rgb="FF000000"/>
            </x14:dataBar>
          </x14:cfRule>
          <xm:sqref>M401:N402</xm:sqref>
        </x14:conditionalFormatting>
        <x14:conditionalFormatting xmlns:xm="http://schemas.microsoft.com/office/excel/2006/main">
          <x14:cfRule type="dataBar" id="{68F71655-31FC-44F5-8F3B-C1949D419235}">
            <x14:dataBar minLength="0" maxLength="100" gradient="0">
              <x14:cfvo type="autoMin"/>
              <x14:cfvo type="autoMax"/>
              <x14:negativeFillColor rgb="FFFF0000"/>
              <x14:axisColor rgb="FF000000"/>
            </x14:dataBar>
          </x14:cfRule>
          <xm:sqref>M399:N399</xm:sqref>
        </x14:conditionalFormatting>
        <x14:conditionalFormatting xmlns:xm="http://schemas.microsoft.com/office/excel/2006/main">
          <x14:cfRule type="dataBar" id="{B564B68D-5A21-4DDB-9809-DF223FA6B9A8}">
            <x14:dataBar minLength="0" maxLength="100" gradient="0">
              <x14:cfvo type="autoMin"/>
              <x14:cfvo type="autoMax"/>
              <x14:negativeFillColor rgb="FFFF0000"/>
              <x14:axisColor rgb="FF000000"/>
            </x14:dataBar>
          </x14:cfRule>
          <xm:sqref>M403:N403</xm:sqref>
        </x14:conditionalFormatting>
        <x14:conditionalFormatting xmlns:xm="http://schemas.microsoft.com/office/excel/2006/main">
          <x14:cfRule type="dataBar" id="{08EEA3AF-0D01-450C-8540-8EB934102A14}">
            <x14:dataBar minLength="0" maxLength="100" gradient="0">
              <x14:cfvo type="autoMin"/>
              <x14:cfvo type="autoMax"/>
              <x14:negativeFillColor rgb="FFFF0000"/>
              <x14:axisColor rgb="FF000000"/>
            </x14:dataBar>
          </x14:cfRule>
          <xm:sqref>M414</xm:sqref>
        </x14:conditionalFormatting>
        <x14:conditionalFormatting xmlns:xm="http://schemas.microsoft.com/office/excel/2006/main">
          <x14:cfRule type="dataBar" id="{9FDA7C04-23C1-4EC7-9C69-37E81286C921}">
            <x14:dataBar minLength="0" maxLength="100" gradient="0">
              <x14:cfvo type="autoMin"/>
              <x14:cfvo type="autoMax"/>
              <x14:negativeFillColor rgb="FFFF0000"/>
              <x14:axisColor rgb="FF000000"/>
            </x14:dataBar>
          </x14:cfRule>
          <xm:sqref>M415</xm:sqref>
        </x14:conditionalFormatting>
        <x14:conditionalFormatting xmlns:xm="http://schemas.microsoft.com/office/excel/2006/main">
          <x14:cfRule type="dataBar" id="{A7D33930-668B-49D3-80F3-E78B722F54FC}">
            <x14:dataBar minLength="0" maxLength="100" gradient="0">
              <x14:cfvo type="autoMin"/>
              <x14:cfvo type="autoMax"/>
              <x14:negativeFillColor rgb="FFFF0000"/>
              <x14:axisColor rgb="FF000000"/>
            </x14:dataBar>
          </x14:cfRule>
          <xm:sqref>M416</xm:sqref>
        </x14:conditionalFormatting>
        <x14:conditionalFormatting xmlns:xm="http://schemas.microsoft.com/office/excel/2006/main">
          <x14:cfRule type="expression" priority="652" id="{ED4B0EE9-38C2-4406-8DC6-9880A0D1C34F}">
            <xm:f>'Report Creation'!$O34="Closed"</xm:f>
            <x14:dxf>
              <font>
                <color theme="0" tint="-0.499984740745262"/>
              </font>
              <fill>
                <patternFill>
                  <bgColor theme="0" tint="-0.14996795556505021"/>
                </patternFill>
              </fill>
            </x14:dxf>
          </x14:cfRule>
          <xm:sqref>O35</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O66"/>
  <sheetViews>
    <sheetView showGridLines="0" zoomScale="70" zoomScaleNormal="70" workbookViewId="0">
      <pane xSplit="2" ySplit="10" topLeftCell="C11" activePane="bottomRight" state="frozen"/>
      <selection pane="topRight" activeCell="C1" sqref="C1"/>
      <selection pane="bottomLeft" activeCell="A11" sqref="A11"/>
      <selection pane="bottomRight" activeCell="B10" sqref="B10"/>
    </sheetView>
  </sheetViews>
  <sheetFormatPr defaultColWidth="8.85546875" defaultRowHeight="15" x14ac:dyDescent="0.25"/>
  <cols>
    <col min="1" max="1" width="2.42578125" style="1" customWidth="1"/>
    <col min="2" max="2" width="13.42578125" bestFit="1" customWidth="1"/>
    <col min="3" max="3" width="29.5703125" bestFit="1" customWidth="1"/>
    <col min="4" max="4" width="19.5703125" bestFit="1" customWidth="1"/>
    <col min="5" max="5" width="36" bestFit="1" customWidth="1"/>
    <col min="6" max="6" width="24.85546875" bestFit="1" customWidth="1"/>
    <col min="7" max="7" width="35.85546875" customWidth="1"/>
    <col min="8" max="8" width="86" style="2" bestFit="1" customWidth="1"/>
    <col min="9" max="9" width="31" style="2" customWidth="1"/>
    <col min="10" max="10" width="25.5703125" style="2" customWidth="1"/>
    <col min="11" max="11" width="19.5703125" style="2" customWidth="1"/>
    <col min="12" max="12" width="22.42578125" style="2" bestFit="1" customWidth="1"/>
    <col min="13" max="13" width="29" style="2" bestFit="1" customWidth="1"/>
    <col min="14" max="14" width="29.28515625" style="2" bestFit="1" customWidth="1"/>
    <col min="15" max="15" width="9.28515625" style="2" customWidth="1"/>
    <col min="16" max="16" width="35" style="1" customWidth="1"/>
    <col min="17" max="19" width="8.85546875" style="1"/>
    <col min="20" max="20" width="12.140625" style="1" bestFit="1" customWidth="1"/>
    <col min="21" max="16384" width="8.85546875" style="1"/>
  </cols>
  <sheetData>
    <row r="1" spans="1:15" ht="7.5" customHeight="1" thickBot="1" x14ac:dyDescent="0.3">
      <c r="A1" s="9"/>
      <c r="B1" s="9"/>
      <c r="C1" s="10"/>
      <c r="D1" s="10"/>
      <c r="E1" s="10"/>
      <c r="F1" s="10"/>
      <c r="G1" s="9"/>
      <c r="H1" s="10"/>
      <c r="I1" s="10"/>
      <c r="J1" s="10"/>
      <c r="K1" s="10"/>
      <c r="L1" s="4"/>
      <c r="M1" s="4"/>
      <c r="N1" s="4"/>
      <c r="O1" s="1"/>
    </row>
    <row r="2" spans="1:15" ht="23.25" customHeight="1" thickBot="1" x14ac:dyDescent="0.3">
      <c r="A2" s="9"/>
      <c r="B2" s="9"/>
      <c r="C2" s="9"/>
      <c r="D2" s="388" t="s">
        <v>27</v>
      </c>
      <c r="E2" s="389"/>
      <c r="F2" s="390"/>
      <c r="G2" s="9"/>
      <c r="H2" s="391"/>
      <c r="I2" s="391"/>
      <c r="J2" s="391"/>
      <c r="K2" s="391"/>
      <c r="L2" s="391"/>
      <c r="M2" s="391"/>
      <c r="O2" s="1"/>
    </row>
    <row r="3" spans="1:15" ht="20.25" customHeight="1" thickBot="1" x14ac:dyDescent="0.3">
      <c r="A3" s="9"/>
      <c r="B3" s="9"/>
      <c r="C3" s="9"/>
      <c r="D3" s="15" t="s">
        <v>4</v>
      </c>
      <c r="E3" s="16" t="s">
        <v>5</v>
      </c>
      <c r="F3" s="16" t="s">
        <v>12</v>
      </c>
      <c r="G3" s="9"/>
      <c r="H3" s="391"/>
      <c r="I3" s="391"/>
      <c r="J3" s="391"/>
      <c r="K3" s="391"/>
      <c r="L3" s="391"/>
      <c r="M3" s="391"/>
    </row>
    <row r="4" spans="1:15" ht="19.5" thickBot="1" x14ac:dyDescent="0.3">
      <c r="A4" s="9"/>
      <c r="B4" s="9"/>
      <c r="C4" s="13" t="s">
        <v>0</v>
      </c>
      <c r="D4" s="17">
        <f>COUNTIFS($M$11:$M$1048576,D$3,$N$11:$N$1048576,"Open")</f>
        <v>0</v>
      </c>
      <c r="E4" s="17">
        <f>COUNTIFS($M$11:$M$1048576,E$3,$N$11:$N$1048576,"Open")</f>
        <v>0</v>
      </c>
      <c r="F4" s="17">
        <f>COUNTIFS($M$11:$M$1048576,F$3,$N$11:$N$1048576,"Open")</f>
        <v>2</v>
      </c>
      <c r="G4" s="9"/>
      <c r="H4" s="391"/>
      <c r="I4" s="391"/>
      <c r="J4" s="391"/>
      <c r="K4" s="391"/>
      <c r="L4" s="391"/>
      <c r="M4" s="391"/>
    </row>
    <row r="5" spans="1:15" ht="19.5" thickBot="1" x14ac:dyDescent="0.3">
      <c r="A5" s="9"/>
      <c r="B5" s="9"/>
      <c r="C5" s="13" t="s">
        <v>1</v>
      </c>
      <c r="D5" s="17">
        <f>COUNTIFS($M$11:$M$1048576,D$3,$N$11:$N$1048576,"Closed")</f>
        <v>0</v>
      </c>
      <c r="E5" s="17">
        <f>COUNTIFS($M$11:$M$1048576,E$3,$N$11:$N$1048576,"Closed")</f>
        <v>0</v>
      </c>
      <c r="F5" s="17">
        <f>COUNTIFS($M$11:$M$1048576,F$3,$N$11:$N$1048576,"Closed")</f>
        <v>46</v>
      </c>
      <c r="G5" s="9"/>
      <c r="H5" s="391"/>
      <c r="I5" s="391"/>
      <c r="J5" s="391"/>
      <c r="K5" s="391"/>
      <c r="L5" s="391"/>
      <c r="M5" s="391"/>
    </row>
    <row r="6" spans="1:15" ht="19.5" thickBot="1" x14ac:dyDescent="0.3">
      <c r="A6" s="9"/>
      <c r="B6" s="9"/>
      <c r="C6" s="13" t="s">
        <v>13</v>
      </c>
      <c r="D6" s="17">
        <f>COUNTIFS($M$11:$M$1048576,D$3,$N$11:$N$1048576,"Cancelled")</f>
        <v>0</v>
      </c>
      <c r="E6" s="17">
        <f>COUNTIFS($M$11:$M$1048576,E$3,$N$11:$N$1048576,"Cancelled")</f>
        <v>0</v>
      </c>
      <c r="F6" s="17">
        <f>COUNTIFS($M$11:$M$1048576,F$3,$N$11:$N$1048576,"Cancelled")</f>
        <v>5</v>
      </c>
      <c r="G6" s="9"/>
      <c r="H6" s="391"/>
      <c r="I6" s="391"/>
      <c r="J6" s="391"/>
      <c r="K6" s="391"/>
      <c r="L6" s="391"/>
      <c r="M6" s="391"/>
      <c r="N6" s="18">
        <f ca="1">TODAY()</f>
        <v>45358</v>
      </c>
    </row>
    <row r="7" spans="1:15" ht="47.25" thickBot="1" x14ac:dyDescent="0.3">
      <c r="A7" s="9"/>
      <c r="B7" s="9"/>
      <c r="C7" s="13" t="s">
        <v>30</v>
      </c>
      <c r="D7" s="17">
        <f>COUNTIFS($M$11:$M$1048576,D$3,$N$11:$N$1048576,"Pending")</f>
        <v>0</v>
      </c>
      <c r="E7" s="17">
        <f>COUNTIFS($M$11:$M$1048576,E$3,$N$11:$N$1048576,"Pending")</f>
        <v>0</v>
      </c>
      <c r="F7" s="17">
        <f>COUNTIFS($M$11:$M$1048576,F$3,$N$11:$N$1048576,"Pending")</f>
        <v>2</v>
      </c>
      <c r="G7" s="9"/>
      <c r="H7" s="9"/>
      <c r="I7" s="9"/>
      <c r="J7" s="9"/>
      <c r="K7" s="5"/>
      <c r="L7" s="11"/>
      <c r="M7" s="11"/>
      <c r="N7" s="11"/>
      <c r="O7" s="1"/>
    </row>
    <row r="8" spans="1:15" ht="15" customHeight="1" x14ac:dyDescent="0.25">
      <c r="B8" s="9"/>
      <c r="C8" s="9"/>
      <c r="D8" s="9"/>
      <c r="E8" s="9"/>
      <c r="F8" s="9"/>
      <c r="G8" s="9"/>
      <c r="H8" s="9"/>
      <c r="I8" s="9"/>
      <c r="J8" s="9"/>
      <c r="K8" s="5"/>
      <c r="L8" s="11"/>
      <c r="M8" s="11"/>
      <c r="N8" s="11"/>
      <c r="O8" s="1"/>
    </row>
    <row r="9" spans="1:15" ht="15" customHeight="1" thickBot="1" x14ac:dyDescent="0.3">
      <c r="B9" s="9"/>
      <c r="C9" s="9"/>
      <c r="D9" s="9"/>
      <c r="E9" s="9"/>
      <c r="F9" s="9"/>
      <c r="G9" s="9"/>
      <c r="H9" s="9"/>
      <c r="I9" s="9"/>
      <c r="J9" s="9"/>
      <c r="K9" s="5"/>
      <c r="L9" s="11"/>
      <c r="M9" s="11"/>
      <c r="N9" s="11"/>
      <c r="O9" s="1"/>
    </row>
    <row r="10" spans="1:15" s="3" customFormat="1" ht="67.5" customHeight="1" thickBot="1" x14ac:dyDescent="0.3">
      <c r="B10" s="12" t="s">
        <v>7</v>
      </c>
      <c r="C10" s="13" t="s">
        <v>6</v>
      </c>
      <c r="D10" s="13" t="s">
        <v>3</v>
      </c>
      <c r="E10" s="13" t="s">
        <v>9</v>
      </c>
      <c r="F10" s="13" t="s">
        <v>8</v>
      </c>
      <c r="G10" s="13" t="s">
        <v>20</v>
      </c>
      <c r="H10" s="13" t="s">
        <v>28</v>
      </c>
      <c r="I10" s="13" t="s">
        <v>29</v>
      </c>
      <c r="J10" s="14" t="s">
        <v>19</v>
      </c>
      <c r="K10" s="59" t="s">
        <v>10</v>
      </c>
      <c r="L10" s="60" t="s">
        <v>11</v>
      </c>
      <c r="M10" s="60" t="s">
        <v>15</v>
      </c>
      <c r="N10" s="61" t="s">
        <v>21</v>
      </c>
    </row>
    <row r="11" spans="1:15" ht="18" hidden="1" customHeight="1" x14ac:dyDescent="0.25">
      <c r="B11" s="26">
        <v>1</v>
      </c>
      <c r="C11" s="83">
        <v>44278</v>
      </c>
      <c r="D11" s="84" t="s">
        <v>49</v>
      </c>
      <c r="E11" s="26" t="s">
        <v>38</v>
      </c>
      <c r="F11" s="26" t="s">
        <v>50</v>
      </c>
      <c r="G11" s="29" t="s">
        <v>369</v>
      </c>
      <c r="H11" s="30" t="s">
        <v>365</v>
      </c>
      <c r="I11" s="31" t="s">
        <v>52</v>
      </c>
      <c r="J11" s="32" t="s">
        <v>51</v>
      </c>
      <c r="K11" s="85">
        <v>44427</v>
      </c>
      <c r="L11" s="34">
        <v>3</v>
      </c>
      <c r="M11" s="85" t="s">
        <v>12</v>
      </c>
      <c r="N11" s="29" t="s">
        <v>1</v>
      </c>
    </row>
    <row r="12" spans="1:15" ht="18" hidden="1" customHeight="1" x14ac:dyDescent="0.25">
      <c r="B12" s="26">
        <v>2</v>
      </c>
      <c r="C12" s="27">
        <v>44302</v>
      </c>
      <c r="D12" s="28" t="s">
        <v>53</v>
      </c>
      <c r="E12" s="26" t="s">
        <v>38</v>
      </c>
      <c r="F12" s="26" t="s">
        <v>249</v>
      </c>
      <c r="G12" s="29" t="s">
        <v>54</v>
      </c>
      <c r="H12" s="30" t="s">
        <v>181</v>
      </c>
      <c r="I12" s="31" t="s">
        <v>55</v>
      </c>
      <c r="J12" s="32" t="s">
        <v>55</v>
      </c>
      <c r="K12" s="33">
        <v>44331</v>
      </c>
      <c r="L12" s="34">
        <v>2</v>
      </c>
      <c r="M12" s="33" t="s">
        <v>12</v>
      </c>
      <c r="N12" s="29" t="s">
        <v>1</v>
      </c>
    </row>
    <row r="13" spans="1:15" ht="18" hidden="1" customHeight="1" x14ac:dyDescent="0.25">
      <c r="B13" s="26">
        <v>3</v>
      </c>
      <c r="C13" s="57">
        <v>44313</v>
      </c>
      <c r="D13" s="58" t="s">
        <v>43</v>
      </c>
      <c r="E13" s="56" t="s">
        <v>44</v>
      </c>
      <c r="F13" s="56" t="s">
        <v>45</v>
      </c>
      <c r="G13" s="55" t="s">
        <v>46</v>
      </c>
      <c r="H13" s="66" t="s">
        <v>47</v>
      </c>
      <c r="I13" s="62"/>
      <c r="J13" s="67" t="s">
        <v>48</v>
      </c>
      <c r="K13" s="68">
        <v>44362</v>
      </c>
      <c r="L13" s="69">
        <v>2</v>
      </c>
      <c r="M13" s="68" t="s">
        <v>12</v>
      </c>
      <c r="N13" s="34" t="s">
        <v>13</v>
      </c>
    </row>
    <row r="14" spans="1:15" ht="18" hidden="1" customHeight="1" x14ac:dyDescent="0.25">
      <c r="B14" s="26">
        <v>4</v>
      </c>
      <c r="C14" s="57">
        <v>44301</v>
      </c>
      <c r="D14" s="58" t="s">
        <v>74</v>
      </c>
      <c r="E14" s="56" t="s">
        <v>64</v>
      </c>
      <c r="F14" s="56" t="s">
        <v>75</v>
      </c>
      <c r="G14" s="55" t="s">
        <v>76</v>
      </c>
      <c r="H14" s="66" t="s">
        <v>77</v>
      </c>
      <c r="I14" s="62" t="s">
        <v>78</v>
      </c>
      <c r="J14" s="67" t="s">
        <v>79</v>
      </c>
      <c r="K14" s="68"/>
      <c r="L14" s="69">
        <v>1</v>
      </c>
      <c r="M14" s="68" t="s">
        <v>12</v>
      </c>
      <c r="N14" s="34" t="s">
        <v>13</v>
      </c>
    </row>
    <row r="15" spans="1:15" ht="18" hidden="1" customHeight="1" x14ac:dyDescent="0.25">
      <c r="B15" s="26">
        <v>5</v>
      </c>
      <c r="C15" s="27">
        <v>44307</v>
      </c>
      <c r="D15" s="28" t="s">
        <v>85</v>
      </c>
      <c r="E15" s="26"/>
      <c r="F15" s="26" t="s">
        <v>86</v>
      </c>
      <c r="G15" s="26" t="s">
        <v>89</v>
      </c>
      <c r="H15" s="29" t="s">
        <v>88</v>
      </c>
      <c r="I15" s="62"/>
      <c r="J15" s="32" t="s">
        <v>87</v>
      </c>
      <c r="K15" s="33"/>
      <c r="L15" s="34"/>
      <c r="M15" s="33"/>
      <c r="N15" s="29"/>
    </row>
    <row r="16" spans="1:15" ht="18.75" hidden="1" customHeight="1" x14ac:dyDescent="0.25">
      <c r="B16" s="26">
        <v>6</v>
      </c>
      <c r="C16" s="27">
        <v>44317</v>
      </c>
      <c r="D16" s="28" t="s">
        <v>37</v>
      </c>
      <c r="E16" s="26" t="s">
        <v>65</v>
      </c>
      <c r="F16" s="26" t="s">
        <v>50</v>
      </c>
      <c r="G16" s="29" t="s">
        <v>114</v>
      </c>
      <c r="H16" s="30" t="s">
        <v>115</v>
      </c>
      <c r="I16" s="31" t="s">
        <v>37</v>
      </c>
      <c r="J16" s="32" t="s">
        <v>112</v>
      </c>
      <c r="K16" s="33">
        <v>44326</v>
      </c>
      <c r="L16" s="34">
        <v>3</v>
      </c>
      <c r="M16" s="33" t="s">
        <v>12</v>
      </c>
      <c r="N16" s="29" t="s">
        <v>1</v>
      </c>
    </row>
    <row r="17" spans="2:14" ht="36" hidden="1" customHeight="1" x14ac:dyDescent="0.25">
      <c r="B17" s="26">
        <v>7</v>
      </c>
      <c r="C17" s="27">
        <v>44319</v>
      </c>
      <c r="D17" s="28" t="s">
        <v>37</v>
      </c>
      <c r="E17" s="26" t="s">
        <v>117</v>
      </c>
      <c r="F17" s="26" t="s">
        <v>66</v>
      </c>
      <c r="G17" s="29" t="s">
        <v>119</v>
      </c>
      <c r="H17" s="30" t="s">
        <v>120</v>
      </c>
      <c r="I17" s="31" t="s">
        <v>37</v>
      </c>
      <c r="J17" s="32" t="s">
        <v>118</v>
      </c>
      <c r="K17" s="33">
        <v>44326</v>
      </c>
      <c r="L17" s="34">
        <v>3</v>
      </c>
      <c r="M17" s="33" t="s">
        <v>12</v>
      </c>
      <c r="N17" s="29" t="s">
        <v>1</v>
      </c>
    </row>
    <row r="18" spans="2:14" ht="18" hidden="1" customHeight="1" x14ac:dyDescent="0.25">
      <c r="B18" s="26">
        <v>8</v>
      </c>
      <c r="C18" s="83">
        <v>44342</v>
      </c>
      <c r="D18" s="118" t="s">
        <v>53</v>
      </c>
      <c r="E18" s="26" t="s">
        <v>38</v>
      </c>
      <c r="F18" s="26" t="s">
        <v>324</v>
      </c>
      <c r="G18" s="29" t="s">
        <v>247</v>
      </c>
      <c r="H18" s="73" t="s">
        <v>310</v>
      </c>
      <c r="I18" s="29" t="s">
        <v>53</v>
      </c>
      <c r="J18" s="62" t="s">
        <v>248</v>
      </c>
      <c r="K18" s="119">
        <v>44372</v>
      </c>
      <c r="L18" s="34">
        <v>3</v>
      </c>
      <c r="M18" s="119" t="s">
        <v>12</v>
      </c>
      <c r="N18" s="29" t="s">
        <v>1</v>
      </c>
    </row>
    <row r="19" spans="2:14" ht="18" hidden="1" customHeight="1" x14ac:dyDescent="0.25">
      <c r="B19" s="26">
        <v>9</v>
      </c>
      <c r="C19" s="27">
        <v>44322</v>
      </c>
      <c r="D19" s="28" t="s">
        <v>37</v>
      </c>
      <c r="E19" s="26" t="s">
        <v>117</v>
      </c>
      <c r="F19" s="26" t="s">
        <v>146</v>
      </c>
      <c r="G19" s="29" t="s">
        <v>147</v>
      </c>
      <c r="H19" s="29" t="s">
        <v>148</v>
      </c>
      <c r="I19" s="29" t="s">
        <v>37</v>
      </c>
      <c r="J19" s="29" t="s">
        <v>104</v>
      </c>
      <c r="K19" s="33">
        <v>44330</v>
      </c>
      <c r="L19" s="34">
        <v>3</v>
      </c>
      <c r="M19" s="33" t="s">
        <v>12</v>
      </c>
      <c r="N19" s="29" t="s">
        <v>1</v>
      </c>
    </row>
    <row r="20" spans="2:14" ht="18" hidden="1" customHeight="1" x14ac:dyDescent="0.25">
      <c r="B20" s="26">
        <v>10</v>
      </c>
      <c r="C20" s="57">
        <v>44323</v>
      </c>
      <c r="D20" s="28" t="s">
        <v>7</v>
      </c>
      <c r="E20" s="26" t="s">
        <v>117</v>
      </c>
      <c r="F20" s="26" t="s">
        <v>141</v>
      </c>
      <c r="G20" s="45" t="s">
        <v>150</v>
      </c>
      <c r="H20" s="45" t="s">
        <v>151</v>
      </c>
      <c r="I20" s="46" t="s">
        <v>7</v>
      </c>
      <c r="J20" s="74" t="s">
        <v>153</v>
      </c>
      <c r="K20" s="68">
        <v>44330</v>
      </c>
      <c r="L20" s="34">
        <v>3</v>
      </c>
      <c r="M20" s="33" t="s">
        <v>12</v>
      </c>
      <c r="N20" s="29" t="s">
        <v>1</v>
      </c>
    </row>
    <row r="21" spans="2:14" ht="18" hidden="1" customHeight="1" x14ac:dyDescent="0.25">
      <c r="B21" s="26">
        <v>11</v>
      </c>
      <c r="C21" s="27">
        <v>44323</v>
      </c>
      <c r="D21" s="28" t="s">
        <v>7</v>
      </c>
      <c r="E21" s="26" t="s">
        <v>149</v>
      </c>
      <c r="F21" s="26" t="s">
        <v>141</v>
      </c>
      <c r="G21" s="45" t="s">
        <v>150</v>
      </c>
      <c r="H21" s="45" t="s">
        <v>152</v>
      </c>
      <c r="I21" s="46" t="s">
        <v>7</v>
      </c>
      <c r="J21" s="74" t="s">
        <v>153</v>
      </c>
      <c r="K21" s="68">
        <v>44330</v>
      </c>
      <c r="L21" s="34">
        <v>3</v>
      </c>
      <c r="M21" s="33" t="s">
        <v>12</v>
      </c>
      <c r="N21" s="29" t="s">
        <v>1</v>
      </c>
    </row>
    <row r="22" spans="2:14" ht="54" hidden="1" customHeight="1" x14ac:dyDescent="0.25">
      <c r="B22" s="26">
        <v>12</v>
      </c>
      <c r="C22" s="27">
        <v>44303</v>
      </c>
      <c r="D22" s="28" t="s">
        <v>37</v>
      </c>
      <c r="E22" s="26" t="s">
        <v>64</v>
      </c>
      <c r="F22" s="26" t="s">
        <v>66</v>
      </c>
      <c r="G22" s="29" t="s">
        <v>168</v>
      </c>
      <c r="H22" s="29" t="s">
        <v>314</v>
      </c>
      <c r="I22" s="31" t="s">
        <v>169</v>
      </c>
      <c r="J22" s="32" t="s">
        <v>169</v>
      </c>
      <c r="K22" s="33">
        <v>44377</v>
      </c>
      <c r="L22" s="34">
        <v>3</v>
      </c>
      <c r="M22" s="33" t="s">
        <v>12</v>
      </c>
      <c r="N22" s="29" t="s">
        <v>1</v>
      </c>
    </row>
    <row r="23" spans="2:14" ht="18" hidden="1" customHeight="1" x14ac:dyDescent="0.25">
      <c r="B23" s="26">
        <v>13</v>
      </c>
      <c r="C23" s="27">
        <v>44344</v>
      </c>
      <c r="D23" s="28" t="s">
        <v>254</v>
      </c>
      <c r="E23" s="26" t="s">
        <v>44</v>
      </c>
      <c r="F23" s="26" t="s">
        <v>141</v>
      </c>
      <c r="G23" s="29" t="s">
        <v>255</v>
      </c>
      <c r="H23" s="30" t="s">
        <v>300</v>
      </c>
      <c r="I23" s="31" t="s">
        <v>257</v>
      </c>
      <c r="J23" s="32" t="s">
        <v>256</v>
      </c>
      <c r="K23" s="33">
        <v>44365</v>
      </c>
      <c r="L23" s="34">
        <v>3</v>
      </c>
      <c r="M23" s="33" t="s">
        <v>12</v>
      </c>
      <c r="N23" s="29" t="s">
        <v>1</v>
      </c>
    </row>
    <row r="24" spans="2:14" ht="18" hidden="1" customHeight="1" x14ac:dyDescent="0.25">
      <c r="B24" s="26">
        <v>14</v>
      </c>
      <c r="C24" s="27">
        <v>44348</v>
      </c>
      <c r="D24" s="28" t="s">
        <v>37</v>
      </c>
      <c r="E24" s="26" t="s">
        <v>64</v>
      </c>
      <c r="F24" s="26" t="s">
        <v>64</v>
      </c>
      <c r="G24" s="29" t="s">
        <v>259</v>
      </c>
      <c r="H24" s="29" t="s">
        <v>260</v>
      </c>
      <c r="I24" s="29" t="s">
        <v>37</v>
      </c>
      <c r="J24" s="32" t="s">
        <v>261</v>
      </c>
      <c r="K24" s="33">
        <v>44349</v>
      </c>
      <c r="L24" s="34">
        <v>3</v>
      </c>
      <c r="M24" s="33" t="s">
        <v>12</v>
      </c>
      <c r="N24" s="29" t="s">
        <v>1</v>
      </c>
    </row>
    <row r="25" spans="2:14" ht="18" hidden="1" customHeight="1" x14ac:dyDescent="0.25">
      <c r="B25" s="26">
        <v>15</v>
      </c>
      <c r="C25" s="27">
        <v>44303</v>
      </c>
      <c r="D25" s="28" t="s">
        <v>37</v>
      </c>
      <c r="E25" s="26" t="s">
        <v>80</v>
      </c>
      <c r="F25" s="26" t="s">
        <v>66</v>
      </c>
      <c r="G25" s="29" t="s">
        <v>280</v>
      </c>
      <c r="H25" s="71" t="s">
        <v>281</v>
      </c>
      <c r="I25" s="62" t="s">
        <v>37</v>
      </c>
      <c r="J25" s="29" t="s">
        <v>282</v>
      </c>
      <c r="K25" s="33">
        <v>44372</v>
      </c>
      <c r="L25" s="34">
        <v>3</v>
      </c>
      <c r="M25" s="33" t="s">
        <v>12</v>
      </c>
      <c r="N25" s="36" t="s">
        <v>1</v>
      </c>
    </row>
    <row r="26" spans="2:14" ht="18" hidden="1" customHeight="1" x14ac:dyDescent="0.25">
      <c r="B26" s="26">
        <v>16</v>
      </c>
      <c r="C26" s="27">
        <v>44350</v>
      </c>
      <c r="D26" s="28" t="s">
        <v>37</v>
      </c>
      <c r="E26" s="26" t="s">
        <v>80</v>
      </c>
      <c r="F26" s="26" t="s">
        <v>66</v>
      </c>
      <c r="G26" s="29" t="s">
        <v>286</v>
      </c>
      <c r="H26" s="30" t="s">
        <v>287</v>
      </c>
      <c r="I26" s="31" t="s">
        <v>37</v>
      </c>
      <c r="J26" s="32" t="s">
        <v>288</v>
      </c>
      <c r="K26" s="33">
        <v>44372</v>
      </c>
      <c r="L26" s="34">
        <v>3</v>
      </c>
      <c r="M26" s="33" t="s">
        <v>12</v>
      </c>
      <c r="N26" s="29" t="s">
        <v>1</v>
      </c>
    </row>
    <row r="27" spans="2:14" ht="18" hidden="1" customHeight="1" x14ac:dyDescent="0.25">
      <c r="B27" s="26">
        <v>17</v>
      </c>
      <c r="C27" s="57">
        <v>44363</v>
      </c>
      <c r="D27" s="58" t="s">
        <v>43</v>
      </c>
      <c r="E27" s="26" t="s">
        <v>187</v>
      </c>
      <c r="F27" s="56" t="s">
        <v>45</v>
      </c>
      <c r="G27" s="29" t="s">
        <v>304</v>
      </c>
      <c r="H27" s="48" t="s">
        <v>305</v>
      </c>
      <c r="I27" s="62" t="s">
        <v>43</v>
      </c>
      <c r="J27" s="62" t="s">
        <v>306</v>
      </c>
      <c r="K27" s="68">
        <v>44369</v>
      </c>
      <c r="L27" s="69">
        <v>2</v>
      </c>
      <c r="M27" s="68" t="s">
        <v>12</v>
      </c>
      <c r="N27" s="34" t="s">
        <v>1</v>
      </c>
    </row>
    <row r="28" spans="2:14" ht="18" hidden="1" customHeight="1" x14ac:dyDescent="0.25">
      <c r="B28" s="26">
        <v>18</v>
      </c>
      <c r="C28" s="27">
        <v>44375</v>
      </c>
      <c r="D28" s="28" t="s">
        <v>53</v>
      </c>
      <c r="E28" s="26" t="s">
        <v>38</v>
      </c>
      <c r="F28" s="26" t="s">
        <v>324</v>
      </c>
      <c r="G28" s="29" t="s">
        <v>325</v>
      </c>
      <c r="H28" s="30" t="s">
        <v>1140</v>
      </c>
      <c r="I28" s="62" t="s">
        <v>387</v>
      </c>
      <c r="J28" s="29" t="s">
        <v>326</v>
      </c>
      <c r="K28" s="33">
        <v>44444</v>
      </c>
      <c r="L28" s="34">
        <v>3</v>
      </c>
      <c r="M28" s="33" t="s">
        <v>12</v>
      </c>
      <c r="N28" s="29" t="s">
        <v>13</v>
      </c>
    </row>
    <row r="29" spans="2:14" ht="18" hidden="1" customHeight="1" x14ac:dyDescent="0.25">
      <c r="B29" s="26">
        <v>19</v>
      </c>
      <c r="C29" s="27">
        <v>44404</v>
      </c>
      <c r="D29" s="28" t="s">
        <v>53</v>
      </c>
      <c r="E29" s="26" t="s">
        <v>38</v>
      </c>
      <c r="F29" s="26" t="s">
        <v>361</v>
      </c>
      <c r="G29" s="29" t="s">
        <v>54</v>
      </c>
      <c r="H29" s="30" t="s">
        <v>475</v>
      </c>
      <c r="I29" s="62" t="s">
        <v>409</v>
      </c>
      <c r="J29" s="29" t="s">
        <v>362</v>
      </c>
      <c r="K29" s="33">
        <v>44498</v>
      </c>
      <c r="L29" s="34">
        <v>3</v>
      </c>
      <c r="M29" s="33" t="s">
        <v>12</v>
      </c>
      <c r="N29" s="35" t="s">
        <v>13</v>
      </c>
    </row>
    <row r="30" spans="2:14" ht="18" hidden="1" customHeight="1" x14ac:dyDescent="0.25">
      <c r="B30" s="26">
        <v>20</v>
      </c>
      <c r="C30" s="77">
        <v>44475</v>
      </c>
      <c r="D30" s="78" t="s">
        <v>53</v>
      </c>
      <c r="E30" s="76" t="s">
        <v>44</v>
      </c>
      <c r="F30" s="76" t="s">
        <v>56</v>
      </c>
      <c r="G30" s="29" t="s">
        <v>413</v>
      </c>
      <c r="H30" s="80" t="s">
        <v>414</v>
      </c>
      <c r="I30" s="81" t="s">
        <v>53</v>
      </c>
      <c r="J30" s="79" t="s">
        <v>404</v>
      </c>
      <c r="K30" s="82">
        <v>44476</v>
      </c>
      <c r="L30" s="34">
        <v>3</v>
      </c>
      <c r="M30" s="82" t="s">
        <v>12</v>
      </c>
      <c r="N30" s="86" t="s">
        <v>1</v>
      </c>
    </row>
    <row r="31" spans="2:14" ht="40.15" hidden="1" customHeight="1" x14ac:dyDescent="0.25">
      <c r="B31" s="26">
        <v>21</v>
      </c>
      <c r="C31" s="27">
        <v>44504</v>
      </c>
      <c r="D31" s="28" t="s">
        <v>53</v>
      </c>
      <c r="E31" s="26" t="s">
        <v>38</v>
      </c>
      <c r="F31" s="26" t="s">
        <v>50</v>
      </c>
      <c r="G31" s="29" t="s">
        <v>446</v>
      </c>
      <c r="H31" s="29" t="s">
        <v>1166</v>
      </c>
      <c r="I31" s="62" t="s">
        <v>826</v>
      </c>
      <c r="J31" s="29" t="s">
        <v>447</v>
      </c>
      <c r="K31" s="33"/>
      <c r="L31" s="34">
        <v>3</v>
      </c>
      <c r="M31" s="33" t="s">
        <v>12</v>
      </c>
      <c r="N31" s="29" t="s">
        <v>1</v>
      </c>
    </row>
    <row r="32" spans="2:14" ht="18" hidden="1" customHeight="1" x14ac:dyDescent="0.25">
      <c r="B32" s="26">
        <v>22</v>
      </c>
      <c r="C32" s="27">
        <v>44428</v>
      </c>
      <c r="D32" s="28" t="s">
        <v>37</v>
      </c>
      <c r="E32" s="26" t="s">
        <v>64</v>
      </c>
      <c r="F32" s="26" t="s">
        <v>45</v>
      </c>
      <c r="G32" s="29" t="s">
        <v>455</v>
      </c>
      <c r="H32" s="30" t="s">
        <v>456</v>
      </c>
      <c r="I32" s="49" t="s">
        <v>37</v>
      </c>
      <c r="J32" s="50" t="s">
        <v>454</v>
      </c>
      <c r="K32" s="33">
        <v>44469</v>
      </c>
      <c r="L32" s="34">
        <v>2</v>
      </c>
      <c r="M32" s="33" t="s">
        <v>12</v>
      </c>
      <c r="N32" s="29" t="s">
        <v>1</v>
      </c>
    </row>
    <row r="33" spans="2:14" ht="18" hidden="1" customHeight="1" x14ac:dyDescent="0.25">
      <c r="B33" s="26">
        <v>23</v>
      </c>
      <c r="C33" s="37">
        <v>44489</v>
      </c>
      <c r="D33" s="39" t="s">
        <v>448</v>
      </c>
      <c r="E33" s="26" t="s">
        <v>64</v>
      </c>
      <c r="F33" s="26" t="s">
        <v>45</v>
      </c>
      <c r="G33" s="72" t="s">
        <v>466</v>
      </c>
      <c r="H33" s="54" t="s">
        <v>467</v>
      </c>
      <c r="I33" s="62" t="s">
        <v>448</v>
      </c>
      <c r="J33" s="29" t="s">
        <v>189</v>
      </c>
      <c r="K33" s="41">
        <v>44510</v>
      </c>
      <c r="L33" s="53">
        <v>2</v>
      </c>
      <c r="M33" s="41" t="s">
        <v>12</v>
      </c>
      <c r="N33" s="35" t="s">
        <v>1</v>
      </c>
    </row>
    <row r="34" spans="2:14" ht="18" hidden="1" customHeight="1" x14ac:dyDescent="0.25">
      <c r="B34" s="26">
        <v>24</v>
      </c>
      <c r="C34" s="27">
        <v>44510</v>
      </c>
      <c r="D34" s="28" t="s">
        <v>53</v>
      </c>
      <c r="E34" s="26" t="s">
        <v>38</v>
      </c>
      <c r="F34" s="26" t="s">
        <v>50</v>
      </c>
      <c r="G34" s="29" t="s">
        <v>476</v>
      </c>
      <c r="H34" s="30" t="s">
        <v>516</v>
      </c>
      <c r="I34" s="31" t="s">
        <v>481</v>
      </c>
      <c r="J34" s="29" t="s">
        <v>477</v>
      </c>
      <c r="K34" s="33">
        <v>44536</v>
      </c>
      <c r="L34" s="34">
        <v>3</v>
      </c>
      <c r="M34" s="33" t="s">
        <v>12</v>
      </c>
      <c r="N34" s="29" t="s">
        <v>1</v>
      </c>
    </row>
    <row r="35" spans="2:14" ht="18" hidden="1" customHeight="1" x14ac:dyDescent="0.25">
      <c r="B35" s="26">
        <v>25</v>
      </c>
      <c r="C35" s="27">
        <v>44529</v>
      </c>
      <c r="D35" s="28" t="s">
        <v>53</v>
      </c>
      <c r="E35" s="26" t="s">
        <v>38</v>
      </c>
      <c r="F35" s="26" t="s">
        <v>493</v>
      </c>
      <c r="G35" s="29" t="s">
        <v>494</v>
      </c>
      <c r="H35" s="30" t="s">
        <v>563</v>
      </c>
      <c r="I35" s="30" t="s">
        <v>525</v>
      </c>
      <c r="J35" s="29" t="s">
        <v>447</v>
      </c>
      <c r="K35" s="33">
        <v>44571</v>
      </c>
      <c r="L35" s="34">
        <v>3</v>
      </c>
      <c r="M35" s="33" t="s">
        <v>12</v>
      </c>
      <c r="N35" s="29" t="s">
        <v>1</v>
      </c>
    </row>
    <row r="36" spans="2:14" ht="289.14999999999998" hidden="1" customHeight="1" x14ac:dyDescent="0.25">
      <c r="B36" s="26">
        <v>26</v>
      </c>
      <c r="C36" s="83">
        <v>44529</v>
      </c>
      <c r="D36" s="28" t="s">
        <v>509</v>
      </c>
      <c r="E36" s="26"/>
      <c r="F36" s="26" t="s">
        <v>510</v>
      </c>
      <c r="G36" s="29" t="s">
        <v>613</v>
      </c>
      <c r="H36" s="29" t="s">
        <v>695</v>
      </c>
      <c r="I36" s="62" t="s">
        <v>632</v>
      </c>
      <c r="J36" s="29" t="s">
        <v>511</v>
      </c>
      <c r="K36" s="85"/>
      <c r="L36" s="34">
        <v>3</v>
      </c>
      <c r="M36" s="33" t="s">
        <v>12</v>
      </c>
      <c r="N36" s="29" t="s">
        <v>1</v>
      </c>
    </row>
    <row r="37" spans="2:14" ht="112.5" hidden="1" x14ac:dyDescent="0.25">
      <c r="B37" s="26">
        <v>27</v>
      </c>
      <c r="C37" s="93">
        <v>44536</v>
      </c>
      <c r="D37" s="94" t="s">
        <v>37</v>
      </c>
      <c r="E37" s="92" t="s">
        <v>64</v>
      </c>
      <c r="F37" s="92" t="s">
        <v>66</v>
      </c>
      <c r="G37" s="95" t="s">
        <v>514</v>
      </c>
      <c r="H37" s="29" t="s">
        <v>929</v>
      </c>
      <c r="I37" s="104" t="s">
        <v>572</v>
      </c>
      <c r="J37" s="96" t="s">
        <v>515</v>
      </c>
      <c r="K37" s="97"/>
      <c r="L37" s="51">
        <v>3</v>
      </c>
      <c r="M37" s="97" t="s">
        <v>12</v>
      </c>
      <c r="N37" s="35" t="s">
        <v>1</v>
      </c>
    </row>
    <row r="38" spans="2:14" ht="18" hidden="1" customHeight="1" x14ac:dyDescent="0.25">
      <c r="B38" s="26">
        <v>28</v>
      </c>
      <c r="C38" s="105">
        <v>44579</v>
      </c>
      <c r="D38" s="106" t="s">
        <v>53</v>
      </c>
      <c r="E38" s="107" t="s">
        <v>44</v>
      </c>
      <c r="F38" s="107" t="s">
        <v>56</v>
      </c>
      <c r="G38" s="109" t="s">
        <v>585</v>
      </c>
      <c r="H38" s="110" t="s">
        <v>596</v>
      </c>
      <c r="I38" s="111" t="s">
        <v>53</v>
      </c>
      <c r="J38" s="111" t="s">
        <v>586</v>
      </c>
      <c r="K38" s="108">
        <v>44581</v>
      </c>
      <c r="L38" s="34">
        <v>1</v>
      </c>
      <c r="M38" s="108" t="s">
        <v>12</v>
      </c>
      <c r="N38" s="111" t="s">
        <v>1</v>
      </c>
    </row>
    <row r="39" spans="2:14" ht="93.75" hidden="1" x14ac:dyDescent="0.25">
      <c r="B39" s="26">
        <v>29</v>
      </c>
      <c r="C39" s="105">
        <v>44581</v>
      </c>
      <c r="D39" s="106" t="s">
        <v>53</v>
      </c>
      <c r="E39" s="107" t="s">
        <v>44</v>
      </c>
      <c r="F39" s="107" t="s">
        <v>56</v>
      </c>
      <c r="G39" s="109" t="s">
        <v>597</v>
      </c>
      <c r="H39" s="110" t="s">
        <v>599</v>
      </c>
      <c r="I39" s="111" t="s">
        <v>53</v>
      </c>
      <c r="J39" s="111" t="s">
        <v>598</v>
      </c>
      <c r="K39" s="108">
        <v>44585</v>
      </c>
      <c r="L39" s="34">
        <v>3</v>
      </c>
      <c r="M39" s="108" t="s">
        <v>12</v>
      </c>
      <c r="N39" s="111" t="s">
        <v>1</v>
      </c>
    </row>
    <row r="40" spans="2:14" ht="40.15" hidden="1" customHeight="1" x14ac:dyDescent="0.25">
      <c r="B40" s="26">
        <v>30</v>
      </c>
      <c r="C40" s="27">
        <v>44588</v>
      </c>
      <c r="D40" s="28" t="s">
        <v>53</v>
      </c>
      <c r="E40" s="26" t="s">
        <v>38</v>
      </c>
      <c r="F40" s="26" t="s">
        <v>50</v>
      </c>
      <c r="G40" s="29" t="s">
        <v>948</v>
      </c>
      <c r="H40" s="30" t="s">
        <v>947</v>
      </c>
      <c r="I40" s="31" t="s">
        <v>617</v>
      </c>
      <c r="J40" s="29" t="s">
        <v>616</v>
      </c>
      <c r="K40" s="33">
        <v>44735</v>
      </c>
      <c r="L40" s="34">
        <v>3</v>
      </c>
      <c r="M40" s="33" t="s">
        <v>12</v>
      </c>
      <c r="N40" s="29" t="s">
        <v>1</v>
      </c>
    </row>
    <row r="41" spans="2:14" ht="40.15" hidden="1" customHeight="1" x14ac:dyDescent="0.25">
      <c r="B41" s="26">
        <v>31</v>
      </c>
      <c r="C41" s="27">
        <v>44645</v>
      </c>
      <c r="D41" s="28" t="s">
        <v>53</v>
      </c>
      <c r="E41" s="26" t="s">
        <v>44</v>
      </c>
      <c r="F41" s="26" t="s">
        <v>141</v>
      </c>
      <c r="G41" s="120" t="s">
        <v>514</v>
      </c>
      <c r="H41" s="30" t="s">
        <v>1167</v>
      </c>
      <c r="I41" s="31" t="s">
        <v>697</v>
      </c>
      <c r="J41" s="29" t="s">
        <v>447</v>
      </c>
      <c r="K41" s="33"/>
      <c r="L41" s="34">
        <v>3</v>
      </c>
      <c r="M41" s="33" t="s">
        <v>12</v>
      </c>
      <c r="N41" s="29" t="s">
        <v>1</v>
      </c>
    </row>
    <row r="42" spans="2:14" ht="40.15" hidden="1" customHeight="1" x14ac:dyDescent="0.25">
      <c r="B42" s="26">
        <v>32</v>
      </c>
      <c r="C42" s="83">
        <v>44645</v>
      </c>
      <c r="D42" s="118" t="s">
        <v>53</v>
      </c>
      <c r="E42" s="131" t="s">
        <v>38</v>
      </c>
      <c r="F42" s="131" t="s">
        <v>50</v>
      </c>
      <c r="G42" s="29" t="s">
        <v>514</v>
      </c>
      <c r="H42" s="30" t="s">
        <v>1168</v>
      </c>
      <c r="I42" s="31" t="s">
        <v>697</v>
      </c>
      <c r="J42" s="29" t="s">
        <v>447</v>
      </c>
      <c r="K42" s="119"/>
      <c r="L42" s="34">
        <v>3</v>
      </c>
      <c r="M42" s="119" t="s">
        <v>12</v>
      </c>
      <c r="N42" s="86" t="s">
        <v>1</v>
      </c>
    </row>
    <row r="43" spans="2:14" ht="40.15" hidden="1" customHeight="1" x14ac:dyDescent="0.25">
      <c r="B43" s="26">
        <v>33</v>
      </c>
      <c r="C43" s="27">
        <v>44649</v>
      </c>
      <c r="D43" s="28" t="s">
        <v>53</v>
      </c>
      <c r="E43" s="26" t="s">
        <v>44</v>
      </c>
      <c r="F43" s="26" t="s">
        <v>56</v>
      </c>
      <c r="G43" s="29" t="s">
        <v>679</v>
      </c>
      <c r="H43" s="30" t="s">
        <v>685</v>
      </c>
      <c r="I43" s="31" t="s">
        <v>681</v>
      </c>
      <c r="J43" s="91" t="s">
        <v>680</v>
      </c>
      <c r="K43" s="33">
        <v>44652</v>
      </c>
      <c r="L43" s="34">
        <v>3</v>
      </c>
      <c r="M43" s="33" t="s">
        <v>12</v>
      </c>
      <c r="N43" s="29" t="s">
        <v>1</v>
      </c>
    </row>
    <row r="44" spans="2:14" ht="18" hidden="1" customHeight="1" x14ac:dyDescent="0.25">
      <c r="B44" s="26">
        <v>34</v>
      </c>
      <c r="C44" s="27">
        <v>44648</v>
      </c>
      <c r="D44" s="28" t="s">
        <v>53</v>
      </c>
      <c r="E44" s="26" t="s">
        <v>38</v>
      </c>
      <c r="F44" s="26" t="s">
        <v>324</v>
      </c>
      <c r="G44" s="29" t="s">
        <v>325</v>
      </c>
      <c r="H44" s="30" t="s">
        <v>844</v>
      </c>
      <c r="I44" s="31" t="s">
        <v>845</v>
      </c>
      <c r="J44" s="29" t="s">
        <v>638</v>
      </c>
      <c r="K44" s="119">
        <v>44712</v>
      </c>
      <c r="L44" s="34">
        <v>2</v>
      </c>
      <c r="M44" s="33" t="s">
        <v>12</v>
      </c>
      <c r="N44" s="29" t="s">
        <v>1</v>
      </c>
    </row>
    <row r="45" spans="2:14" ht="18" hidden="1" customHeight="1" x14ac:dyDescent="0.25">
      <c r="B45" s="26">
        <v>35</v>
      </c>
      <c r="C45" s="132">
        <v>44655</v>
      </c>
      <c r="D45" s="133" t="s">
        <v>53</v>
      </c>
      <c r="E45" s="131" t="s">
        <v>44</v>
      </c>
      <c r="F45" s="131" t="s">
        <v>242</v>
      </c>
      <c r="G45" s="134" t="s">
        <v>690</v>
      </c>
      <c r="H45" s="30" t="s">
        <v>828</v>
      </c>
      <c r="I45" s="31" t="s">
        <v>1141</v>
      </c>
      <c r="J45" s="29" t="s">
        <v>689</v>
      </c>
      <c r="K45" s="119"/>
      <c r="L45" s="138">
        <v>3</v>
      </c>
      <c r="M45" s="137" t="s">
        <v>12</v>
      </c>
      <c r="N45" s="86" t="s">
        <v>30</v>
      </c>
    </row>
    <row r="46" spans="2:14" ht="18" hidden="1" customHeight="1" x14ac:dyDescent="0.25">
      <c r="B46" s="26">
        <v>36</v>
      </c>
      <c r="C46" s="132">
        <v>44656</v>
      </c>
      <c r="D46" s="118" t="s">
        <v>53</v>
      </c>
      <c r="E46" s="26" t="s">
        <v>44</v>
      </c>
      <c r="F46" s="26" t="s">
        <v>56</v>
      </c>
      <c r="G46" s="29" t="s">
        <v>691</v>
      </c>
      <c r="H46" s="135" t="s">
        <v>692</v>
      </c>
      <c r="I46" s="136" t="s">
        <v>53</v>
      </c>
      <c r="J46" s="134" t="s">
        <v>598</v>
      </c>
      <c r="K46" s="137">
        <v>44657</v>
      </c>
      <c r="L46" s="138">
        <v>3</v>
      </c>
      <c r="M46" s="137" t="s">
        <v>12</v>
      </c>
      <c r="N46" s="139" t="s">
        <v>1</v>
      </c>
    </row>
    <row r="47" spans="2:14" ht="18" hidden="1" customHeight="1" x14ac:dyDescent="0.25">
      <c r="B47" s="26">
        <v>37</v>
      </c>
      <c r="C47" s="27">
        <v>44657</v>
      </c>
      <c r="D47" s="28" t="s">
        <v>53</v>
      </c>
      <c r="E47" s="26" t="s">
        <v>44</v>
      </c>
      <c r="F47" s="26" t="s">
        <v>56</v>
      </c>
      <c r="G47" s="29" t="s">
        <v>686</v>
      </c>
      <c r="H47" s="30" t="s">
        <v>688</v>
      </c>
      <c r="I47" s="31" t="s">
        <v>53</v>
      </c>
      <c r="J47" s="29" t="s">
        <v>687</v>
      </c>
      <c r="K47" s="33">
        <v>44658</v>
      </c>
      <c r="L47" s="34">
        <v>3</v>
      </c>
      <c r="M47" s="33" t="s">
        <v>12</v>
      </c>
      <c r="N47" s="29" t="s">
        <v>1</v>
      </c>
    </row>
    <row r="48" spans="2:14" ht="18" hidden="1" customHeight="1" x14ac:dyDescent="0.25">
      <c r="B48" s="26">
        <v>38</v>
      </c>
      <c r="C48" s="132">
        <v>44663</v>
      </c>
      <c r="D48" s="118" t="s">
        <v>53</v>
      </c>
      <c r="E48" s="26" t="s">
        <v>44</v>
      </c>
      <c r="F48" s="26" t="s">
        <v>56</v>
      </c>
      <c r="G48" s="29" t="s">
        <v>691</v>
      </c>
      <c r="H48" s="30" t="s">
        <v>705</v>
      </c>
      <c r="I48" s="136" t="s">
        <v>53</v>
      </c>
      <c r="J48" s="134" t="s">
        <v>598</v>
      </c>
      <c r="K48" s="137">
        <v>44666</v>
      </c>
      <c r="L48" s="138">
        <v>3</v>
      </c>
      <c r="M48" s="137" t="s">
        <v>12</v>
      </c>
      <c r="N48" s="86" t="s">
        <v>1</v>
      </c>
    </row>
    <row r="49" spans="2:14" ht="18" hidden="1" customHeight="1" x14ac:dyDescent="0.25">
      <c r="B49" s="26">
        <v>39</v>
      </c>
      <c r="C49" s="27">
        <v>44663</v>
      </c>
      <c r="D49" s="28" t="s">
        <v>53</v>
      </c>
      <c r="E49" s="26" t="s">
        <v>44</v>
      </c>
      <c r="F49" s="26" t="s">
        <v>141</v>
      </c>
      <c r="G49" s="120" t="s">
        <v>718</v>
      </c>
      <c r="H49" s="30" t="s">
        <v>829</v>
      </c>
      <c r="I49" s="31" t="s">
        <v>803</v>
      </c>
      <c r="J49" s="29" t="s">
        <v>447</v>
      </c>
      <c r="K49" s="33"/>
      <c r="L49" s="34">
        <v>3</v>
      </c>
      <c r="M49" s="33" t="s">
        <v>12</v>
      </c>
      <c r="N49" s="29" t="s">
        <v>30</v>
      </c>
    </row>
    <row r="50" spans="2:14" ht="18" hidden="1" customHeight="1" x14ac:dyDescent="0.25">
      <c r="B50" s="26">
        <v>40</v>
      </c>
      <c r="C50" s="83">
        <v>44672</v>
      </c>
      <c r="D50" s="118" t="s">
        <v>53</v>
      </c>
      <c r="E50" s="26" t="s">
        <v>44</v>
      </c>
      <c r="F50" s="26" t="s">
        <v>56</v>
      </c>
      <c r="G50" s="29" t="s">
        <v>725</v>
      </c>
      <c r="H50" s="30" t="s">
        <v>762</v>
      </c>
      <c r="I50" s="31" t="s">
        <v>53</v>
      </c>
      <c r="J50" s="29" t="s">
        <v>586</v>
      </c>
      <c r="K50" s="119">
        <v>44681</v>
      </c>
      <c r="L50" s="34">
        <v>3</v>
      </c>
      <c r="M50" s="119" t="s">
        <v>12</v>
      </c>
      <c r="N50" s="29" t="s">
        <v>1</v>
      </c>
    </row>
    <row r="51" spans="2:14" ht="18" hidden="1" customHeight="1" x14ac:dyDescent="0.25">
      <c r="B51" s="26">
        <v>41</v>
      </c>
      <c r="C51" s="83">
        <v>44673</v>
      </c>
      <c r="D51" s="118" t="s">
        <v>53</v>
      </c>
      <c r="E51" s="26" t="s">
        <v>38</v>
      </c>
      <c r="F51" s="26" t="s">
        <v>721</v>
      </c>
      <c r="G51" s="29" t="s">
        <v>722</v>
      </c>
      <c r="H51" s="30" t="s">
        <v>853</v>
      </c>
      <c r="I51" s="31" t="s">
        <v>723</v>
      </c>
      <c r="J51" s="29" t="s">
        <v>724</v>
      </c>
      <c r="K51" s="119"/>
      <c r="L51" s="34">
        <v>3</v>
      </c>
      <c r="M51" s="119" t="s">
        <v>12</v>
      </c>
      <c r="N51" s="29" t="s">
        <v>13</v>
      </c>
    </row>
    <row r="52" spans="2:14" ht="40.15" hidden="1" customHeight="1" x14ac:dyDescent="0.25">
      <c r="B52" s="26">
        <v>42</v>
      </c>
      <c r="C52" s="83">
        <v>44677</v>
      </c>
      <c r="D52" s="118" t="s">
        <v>53</v>
      </c>
      <c r="E52" s="131" t="s">
        <v>64</v>
      </c>
      <c r="F52" s="131" t="s">
        <v>766</v>
      </c>
      <c r="G52" s="29" t="s">
        <v>767</v>
      </c>
      <c r="H52" s="30" t="s">
        <v>1169</v>
      </c>
      <c r="I52" s="31" t="s">
        <v>768</v>
      </c>
      <c r="J52" s="29" t="s">
        <v>353</v>
      </c>
      <c r="K52" s="119"/>
      <c r="L52" s="34">
        <v>3</v>
      </c>
      <c r="M52" s="119" t="s">
        <v>12</v>
      </c>
      <c r="N52" s="86" t="s">
        <v>1</v>
      </c>
    </row>
    <row r="53" spans="2:14" ht="75" hidden="1" x14ac:dyDescent="0.25">
      <c r="B53" s="26">
        <v>43</v>
      </c>
      <c r="C53" s="83">
        <v>44692</v>
      </c>
      <c r="D53" s="118" t="s">
        <v>53</v>
      </c>
      <c r="E53" s="131" t="s">
        <v>44</v>
      </c>
      <c r="F53" s="131" t="s">
        <v>56</v>
      </c>
      <c r="G53" s="29" t="s">
        <v>802</v>
      </c>
      <c r="H53" s="30" t="s">
        <v>801</v>
      </c>
      <c r="I53" s="31" t="s">
        <v>53</v>
      </c>
      <c r="J53" s="29" t="s">
        <v>800</v>
      </c>
      <c r="K53" s="119">
        <v>44693</v>
      </c>
      <c r="L53" s="34">
        <v>3</v>
      </c>
      <c r="M53" s="119" t="s">
        <v>12</v>
      </c>
      <c r="N53" s="139" t="s">
        <v>1</v>
      </c>
    </row>
    <row r="54" spans="2:14" ht="40.15" hidden="1" customHeight="1" x14ac:dyDescent="0.25">
      <c r="B54" s="26">
        <v>44</v>
      </c>
      <c r="C54" s="83">
        <v>44706</v>
      </c>
      <c r="D54" s="118" t="s">
        <v>53</v>
      </c>
      <c r="E54" s="131" t="s">
        <v>44</v>
      </c>
      <c r="F54" s="131" t="s">
        <v>56</v>
      </c>
      <c r="G54" s="29" t="s">
        <v>850</v>
      </c>
      <c r="H54" s="30" t="s">
        <v>851</v>
      </c>
      <c r="I54" s="31" t="s">
        <v>852</v>
      </c>
      <c r="J54" s="29" t="s">
        <v>598</v>
      </c>
      <c r="K54" s="119">
        <v>44712</v>
      </c>
      <c r="L54" s="34">
        <v>3</v>
      </c>
      <c r="M54" s="119" t="s">
        <v>12</v>
      </c>
      <c r="N54" s="139" t="s">
        <v>1</v>
      </c>
    </row>
    <row r="55" spans="2:14" ht="40.15" hidden="1" customHeight="1" x14ac:dyDescent="0.25">
      <c r="B55" s="26">
        <v>45</v>
      </c>
      <c r="C55" s="83">
        <v>44708</v>
      </c>
      <c r="D55" s="118" t="s">
        <v>53</v>
      </c>
      <c r="E55" s="131" t="s">
        <v>38</v>
      </c>
      <c r="F55" s="131" t="s">
        <v>50</v>
      </c>
      <c r="G55" s="29" t="s">
        <v>848</v>
      </c>
      <c r="H55" s="30" t="s">
        <v>905</v>
      </c>
      <c r="I55" s="31" t="s">
        <v>849</v>
      </c>
      <c r="J55" s="29" t="s">
        <v>847</v>
      </c>
      <c r="K55" s="119">
        <v>44729</v>
      </c>
      <c r="L55" s="34">
        <v>3</v>
      </c>
      <c r="M55" s="119" t="s">
        <v>12</v>
      </c>
      <c r="N55" s="139" t="s">
        <v>1</v>
      </c>
    </row>
    <row r="56" spans="2:14" ht="18" hidden="1" customHeight="1" x14ac:dyDescent="0.25">
      <c r="B56" s="26">
        <v>46</v>
      </c>
      <c r="C56" s="83">
        <v>44712</v>
      </c>
      <c r="D56" s="118" t="s">
        <v>53</v>
      </c>
      <c r="E56" s="131" t="s">
        <v>38</v>
      </c>
      <c r="F56" s="131" t="s">
        <v>50</v>
      </c>
      <c r="G56" s="29" t="s">
        <v>854</v>
      </c>
      <c r="H56" s="30" t="s">
        <v>922</v>
      </c>
      <c r="I56" s="31" t="s">
        <v>723</v>
      </c>
      <c r="J56" s="29" t="s">
        <v>724</v>
      </c>
      <c r="K56" s="119">
        <v>44735</v>
      </c>
      <c r="L56" s="34">
        <v>3</v>
      </c>
      <c r="M56" s="119" t="s">
        <v>12</v>
      </c>
      <c r="N56" s="139" t="s">
        <v>1</v>
      </c>
    </row>
    <row r="57" spans="2:14" ht="112.5" hidden="1" x14ac:dyDescent="0.25">
      <c r="B57" s="26">
        <v>47</v>
      </c>
      <c r="C57" s="83">
        <v>44692</v>
      </c>
      <c r="D57" s="118" t="s">
        <v>503</v>
      </c>
      <c r="E57" s="131" t="s">
        <v>64</v>
      </c>
      <c r="F57" s="131" t="s">
        <v>64</v>
      </c>
      <c r="G57" s="29" t="s">
        <v>815</v>
      </c>
      <c r="H57" s="30" t="s">
        <v>928</v>
      </c>
      <c r="I57" s="31" t="s">
        <v>816</v>
      </c>
      <c r="J57" s="29" t="s">
        <v>817</v>
      </c>
      <c r="K57" s="119">
        <v>44705</v>
      </c>
      <c r="L57" s="34">
        <v>3</v>
      </c>
      <c r="M57" s="119" t="s">
        <v>12</v>
      </c>
      <c r="N57" s="139" t="s">
        <v>1</v>
      </c>
    </row>
    <row r="58" spans="2:14" ht="75" hidden="1" x14ac:dyDescent="0.25">
      <c r="B58" s="26">
        <v>48</v>
      </c>
      <c r="C58" s="83">
        <v>44694</v>
      </c>
      <c r="D58" s="118" t="s">
        <v>503</v>
      </c>
      <c r="E58" s="131" t="s">
        <v>117</v>
      </c>
      <c r="F58" s="131" t="s">
        <v>64</v>
      </c>
      <c r="G58" s="29" t="s">
        <v>819</v>
      </c>
      <c r="H58" s="30" t="s">
        <v>843</v>
      </c>
      <c r="I58" s="31" t="s">
        <v>818</v>
      </c>
      <c r="J58" s="29" t="s">
        <v>818</v>
      </c>
      <c r="K58" s="119">
        <v>44707</v>
      </c>
      <c r="L58" s="34">
        <v>3</v>
      </c>
      <c r="M58" s="119" t="s">
        <v>12</v>
      </c>
      <c r="N58" s="139" t="s">
        <v>1</v>
      </c>
    </row>
    <row r="59" spans="2:14" ht="37.5" x14ac:dyDescent="0.25">
      <c r="B59" s="26">
        <f ca="1">OFFSET(B59,-1,0)+1</f>
        <v>49</v>
      </c>
      <c r="C59" s="83">
        <v>44734</v>
      </c>
      <c r="D59" s="118" t="s">
        <v>34</v>
      </c>
      <c r="E59" s="131" t="s">
        <v>31</v>
      </c>
      <c r="F59" s="131" t="s">
        <v>64</v>
      </c>
      <c r="G59" s="29" t="s">
        <v>983</v>
      </c>
      <c r="H59" s="30" t="s">
        <v>985</v>
      </c>
      <c r="I59" s="31" t="s">
        <v>984</v>
      </c>
      <c r="J59" s="29" t="s">
        <v>984</v>
      </c>
      <c r="K59" s="119">
        <v>44748</v>
      </c>
      <c r="L59" s="34">
        <v>2</v>
      </c>
      <c r="M59" s="119" t="s">
        <v>12</v>
      </c>
      <c r="N59" s="139" t="s">
        <v>0</v>
      </c>
    </row>
    <row r="60" spans="2:14" ht="393.75" hidden="1" x14ac:dyDescent="0.25">
      <c r="B60" s="26">
        <f ca="1">OFFSET(B60,-1,0)+1</f>
        <v>50</v>
      </c>
      <c r="C60" s="83">
        <v>44739</v>
      </c>
      <c r="D60" s="118" t="s">
        <v>53</v>
      </c>
      <c r="E60" s="131" t="s">
        <v>65</v>
      </c>
      <c r="F60" s="131" t="s">
        <v>141</v>
      </c>
      <c r="G60" s="29" t="s">
        <v>949</v>
      </c>
      <c r="H60" s="30" t="s">
        <v>1099</v>
      </c>
      <c r="I60" s="31" t="s">
        <v>950</v>
      </c>
      <c r="J60" s="29" t="s">
        <v>951</v>
      </c>
      <c r="K60" s="119">
        <v>44798</v>
      </c>
      <c r="L60" s="34">
        <v>3</v>
      </c>
      <c r="M60" s="119" t="s">
        <v>12</v>
      </c>
      <c r="N60" s="139" t="s">
        <v>1</v>
      </c>
    </row>
    <row r="61" spans="2:14" ht="75" hidden="1" x14ac:dyDescent="0.25">
      <c r="B61" s="26">
        <f ca="1">OFFSET(B61,-1,0)+1</f>
        <v>51</v>
      </c>
      <c r="C61" s="83">
        <v>44748</v>
      </c>
      <c r="D61" s="118" t="s">
        <v>53</v>
      </c>
      <c r="E61" s="131" t="s">
        <v>38</v>
      </c>
      <c r="F61" s="131" t="s">
        <v>50</v>
      </c>
      <c r="G61" s="29" t="s">
        <v>978</v>
      </c>
      <c r="H61" s="30" t="s">
        <v>979</v>
      </c>
      <c r="I61" s="31" t="s">
        <v>53</v>
      </c>
      <c r="J61" s="29" t="s">
        <v>980</v>
      </c>
      <c r="K61" s="119">
        <v>44753</v>
      </c>
      <c r="L61" s="34">
        <v>3</v>
      </c>
      <c r="M61" s="119" t="s">
        <v>12</v>
      </c>
      <c r="N61" s="139" t="s">
        <v>1</v>
      </c>
    </row>
    <row r="62" spans="2:14" ht="131.25" hidden="1" x14ac:dyDescent="0.25">
      <c r="B62" s="26">
        <f ca="1">OFFSET(B62,-1,0)+1</f>
        <v>52</v>
      </c>
      <c r="C62" s="83">
        <v>44755</v>
      </c>
      <c r="D62" s="118" t="s">
        <v>53</v>
      </c>
      <c r="E62" s="131" t="s">
        <v>38</v>
      </c>
      <c r="F62" s="131" t="s">
        <v>50</v>
      </c>
      <c r="G62" s="29" t="s">
        <v>989</v>
      </c>
      <c r="H62" s="30" t="s">
        <v>1008</v>
      </c>
      <c r="I62" s="31" t="s">
        <v>53</v>
      </c>
      <c r="J62" s="29" t="s">
        <v>980</v>
      </c>
      <c r="K62" s="119">
        <v>44761</v>
      </c>
      <c r="L62" s="34"/>
      <c r="M62" s="119" t="s">
        <v>12</v>
      </c>
      <c r="N62" s="139" t="s">
        <v>1</v>
      </c>
    </row>
    <row r="63" spans="2:14" ht="75" hidden="1" x14ac:dyDescent="0.25">
      <c r="B63" s="26">
        <f ca="1">OFFSET(B63,-1,0)+1</f>
        <v>53</v>
      </c>
      <c r="C63" s="83">
        <v>44760</v>
      </c>
      <c r="D63" s="118" t="s">
        <v>53</v>
      </c>
      <c r="E63" s="131" t="s">
        <v>44</v>
      </c>
      <c r="F63" s="131" t="s">
        <v>56</v>
      </c>
      <c r="G63" s="29" t="s">
        <v>1007</v>
      </c>
      <c r="H63" s="30" t="s">
        <v>1005</v>
      </c>
      <c r="I63" s="31" t="s">
        <v>53</v>
      </c>
      <c r="J63" s="29" t="s">
        <v>1006</v>
      </c>
      <c r="K63" s="119">
        <v>44760</v>
      </c>
      <c r="L63" s="34">
        <v>3</v>
      </c>
      <c r="M63" s="119" t="s">
        <v>12</v>
      </c>
      <c r="N63" s="139" t="s">
        <v>1</v>
      </c>
    </row>
    <row r="64" spans="2:14" ht="37.5" hidden="1" x14ac:dyDescent="0.25">
      <c r="B64" s="26">
        <v>51</v>
      </c>
      <c r="C64" s="83">
        <v>44734</v>
      </c>
      <c r="D64" s="118" t="s">
        <v>910</v>
      </c>
      <c r="E64" s="131" t="s">
        <v>64</v>
      </c>
      <c r="F64" s="131" t="s">
        <v>64</v>
      </c>
      <c r="G64" s="29" t="s">
        <v>1106</v>
      </c>
      <c r="H64" s="30" t="s">
        <v>1235</v>
      </c>
      <c r="I64" s="31" t="s">
        <v>855</v>
      </c>
      <c r="J64" s="29"/>
      <c r="K64" s="119">
        <v>44834</v>
      </c>
      <c r="L64" s="34">
        <v>3</v>
      </c>
      <c r="M64" s="119" t="s">
        <v>12</v>
      </c>
      <c r="N64" s="86" t="s">
        <v>1</v>
      </c>
    </row>
    <row r="65" spans="2:14" ht="56.25" hidden="1" x14ac:dyDescent="0.3">
      <c r="B65" s="350">
        <f ca="1">OFFSET(B65,-1,0)+1</f>
        <v>52</v>
      </c>
      <c r="C65" s="351">
        <v>44880</v>
      </c>
      <c r="D65" s="352" t="s">
        <v>910</v>
      </c>
      <c r="E65" s="350" t="s">
        <v>64</v>
      </c>
      <c r="F65" s="350" t="s">
        <v>766</v>
      </c>
      <c r="G65" s="353" t="s">
        <v>1123</v>
      </c>
      <c r="H65" s="354" t="s">
        <v>1122</v>
      </c>
      <c r="I65" s="354" t="s">
        <v>910</v>
      </c>
      <c r="J65" s="354" t="s">
        <v>1121</v>
      </c>
      <c r="K65" s="355">
        <v>44827</v>
      </c>
      <c r="L65" s="356">
        <v>1</v>
      </c>
      <c r="M65" s="355" t="s">
        <v>12</v>
      </c>
      <c r="N65" s="354" t="s">
        <v>1</v>
      </c>
    </row>
    <row r="66" spans="2:14" ht="37.5" x14ac:dyDescent="0.3">
      <c r="B66" s="348">
        <v>53</v>
      </c>
      <c r="C66" s="351">
        <v>44880</v>
      </c>
      <c r="D66" s="347" t="s">
        <v>1223</v>
      </c>
      <c r="E66" s="350" t="s">
        <v>64</v>
      </c>
      <c r="F66" s="350" t="s">
        <v>766</v>
      </c>
      <c r="G66" s="357" t="s">
        <v>1233</v>
      </c>
      <c r="H66" s="349" t="s">
        <v>1234</v>
      </c>
      <c r="I66" s="29" t="s">
        <v>1223</v>
      </c>
      <c r="J66" s="349" t="s">
        <v>33</v>
      </c>
      <c r="K66" s="355"/>
      <c r="L66" s="356">
        <v>3</v>
      </c>
      <c r="M66" s="355" t="s">
        <v>12</v>
      </c>
      <c r="N66" s="29" t="s">
        <v>0</v>
      </c>
    </row>
  </sheetData>
  <mergeCells count="2">
    <mergeCell ref="D2:F2"/>
    <mergeCell ref="H2:M6"/>
  </mergeCells>
  <conditionalFormatting sqref="O13 O19:O22 O24:O27 O15:O17">
    <cfRule type="expression" dxfId="188" priority="321">
      <formula>$O13="Closed"</formula>
    </cfRule>
  </conditionalFormatting>
  <conditionalFormatting sqref="C13:H13 C15:E15 C16:K17 C19:F19 I19:K19 L19:N22 C20:K22 C26:J26 L26:N26 C24:N24 C29:M29 J13:N13 C34:N34 C35:E35 G35:N35 C36:N36 C31:N32 G15:K15 C40:N40 C43:N43 C47:N47 C44:F46 C41:F42 H41:N41 C49:F49 H49:N49 I42:N42 H44:N46 B12:B13 B15:B51 L15:N17 B52:N191">
    <cfRule type="expression" dxfId="187" priority="316" stopIfTrue="1">
      <formula>OR($N12="Closed",$N12="Cancelled")</formula>
    </cfRule>
    <cfRule type="cellIs" dxfId="186" priority="317" operator="equal">
      <formula>"G"</formula>
    </cfRule>
    <cfRule type="cellIs" dxfId="185" priority="318" operator="equal">
      <formula>"R"</formula>
    </cfRule>
    <cfRule type="cellIs" dxfId="184" priority="319" operator="equal">
      <formula>"A"</formula>
    </cfRule>
  </conditionalFormatting>
  <conditionalFormatting sqref="F15">
    <cfRule type="expression" dxfId="183" priority="296" stopIfTrue="1">
      <formula>OR($N15="Closed",$N15="Cancelled")</formula>
    </cfRule>
    <cfRule type="cellIs" dxfId="182" priority="297" operator="equal">
      <formula>"G"</formula>
    </cfRule>
    <cfRule type="cellIs" dxfId="181" priority="298" operator="equal">
      <formula>"R"</formula>
    </cfRule>
    <cfRule type="cellIs" dxfId="180" priority="299" operator="equal">
      <formula>"A"</formula>
    </cfRule>
  </conditionalFormatting>
  <conditionalFormatting sqref="G19">
    <cfRule type="expression" dxfId="179" priority="288" stopIfTrue="1">
      <formula>OR($N19="Closed",$N19="Cancelled")</formula>
    </cfRule>
    <cfRule type="cellIs" dxfId="178" priority="289" operator="equal">
      <formula>"G"</formula>
    </cfRule>
    <cfRule type="cellIs" dxfId="177" priority="290" operator="equal">
      <formula>"R"</formula>
    </cfRule>
    <cfRule type="cellIs" dxfId="176" priority="291" operator="equal">
      <formula>"A"</formula>
    </cfRule>
  </conditionalFormatting>
  <conditionalFormatting sqref="H19">
    <cfRule type="expression" dxfId="175" priority="284" stopIfTrue="1">
      <formula>OR($N19="Closed",$N19="Cancelled")</formula>
    </cfRule>
    <cfRule type="cellIs" dxfId="174" priority="285" operator="equal">
      <formula>"G"</formula>
    </cfRule>
    <cfRule type="cellIs" dxfId="173" priority="286" operator="equal">
      <formula>"R"</formula>
    </cfRule>
    <cfRule type="cellIs" dxfId="172" priority="287" operator="equal">
      <formula>"A"</formula>
    </cfRule>
  </conditionalFormatting>
  <conditionalFormatting sqref="O12">
    <cfRule type="expression" dxfId="171" priority="278">
      <formula>$O12="Closed"</formula>
    </cfRule>
  </conditionalFormatting>
  <conditionalFormatting sqref="C12:N12">
    <cfRule type="expression" dxfId="170" priority="274" stopIfTrue="1">
      <formula>OR($N12="Closed",$N12="Cancelled")</formula>
    </cfRule>
    <cfRule type="cellIs" dxfId="169" priority="275" operator="equal">
      <formula>"G"</formula>
    </cfRule>
    <cfRule type="cellIs" dxfId="168" priority="276" operator="equal">
      <formula>"R"</formula>
    </cfRule>
    <cfRule type="cellIs" dxfId="167" priority="277" operator="equal">
      <formula>"A"</formula>
    </cfRule>
  </conditionalFormatting>
  <conditionalFormatting sqref="C25:N25">
    <cfRule type="expression" dxfId="166" priority="265" stopIfTrue="1">
      <formula>OR($N25="Closed",$N25="Cancelled")</formula>
    </cfRule>
    <cfRule type="cellIs" dxfId="165" priority="266" operator="equal">
      <formula>"G"</formula>
    </cfRule>
    <cfRule type="cellIs" dxfId="164" priority="267" operator="equal">
      <formula>"R"</formula>
    </cfRule>
    <cfRule type="cellIs" dxfId="163" priority="268" operator="equal">
      <formula>"A"</formula>
    </cfRule>
  </conditionalFormatting>
  <conditionalFormatting sqref="K26">
    <cfRule type="expression" dxfId="162" priority="257" stopIfTrue="1">
      <formula>OR($N26="Closed",$N26="Cancelled")</formula>
    </cfRule>
    <cfRule type="cellIs" dxfId="161" priority="258" operator="equal">
      <formula>"G"</formula>
    </cfRule>
    <cfRule type="cellIs" dxfId="160" priority="259" operator="equal">
      <formula>"R"</formula>
    </cfRule>
    <cfRule type="cellIs" dxfId="159" priority="260" operator="equal">
      <formula>"A"</formula>
    </cfRule>
  </conditionalFormatting>
  <conditionalFormatting sqref="C27:H27 J27:N27">
    <cfRule type="expression" dxfId="158" priority="253" stopIfTrue="1">
      <formula>OR($N27="Closed",$N27="Cancelled")</formula>
    </cfRule>
    <cfRule type="cellIs" dxfId="157" priority="254" operator="equal">
      <formula>"G"</formula>
    </cfRule>
    <cfRule type="cellIs" dxfId="156" priority="255" operator="equal">
      <formula>"R"</formula>
    </cfRule>
    <cfRule type="cellIs" dxfId="155" priority="256" operator="equal">
      <formula>"A"</formula>
    </cfRule>
  </conditionalFormatting>
  <conditionalFormatting sqref="I27">
    <cfRule type="expression" dxfId="154" priority="249" stopIfTrue="1">
      <formula>OR($N27="Closed",$N27="Cancelled")</formula>
    </cfRule>
    <cfRule type="cellIs" dxfId="153" priority="250" operator="equal">
      <formula>"G"</formula>
    </cfRule>
    <cfRule type="cellIs" dxfId="152" priority="251" operator="equal">
      <formula>"R"</formula>
    </cfRule>
    <cfRule type="cellIs" dxfId="151" priority="252" operator="equal">
      <formula>"A"</formula>
    </cfRule>
  </conditionalFormatting>
  <conditionalFormatting sqref="O23">
    <cfRule type="expression" dxfId="150" priority="243">
      <formula>$O23="Closed"</formula>
    </cfRule>
  </conditionalFormatting>
  <conditionalFormatting sqref="C23:N23">
    <cfRule type="expression" dxfId="149" priority="239" stopIfTrue="1">
      <formula>OR($N23="Closed",$N23="Cancelled")</formula>
    </cfRule>
    <cfRule type="cellIs" dxfId="148" priority="240" operator="equal">
      <formula>"G"</formula>
    </cfRule>
    <cfRule type="cellIs" dxfId="147" priority="241" operator="equal">
      <formula>"R"</formula>
    </cfRule>
    <cfRule type="cellIs" dxfId="146" priority="242" operator="equal">
      <formula>"A"</formula>
    </cfRule>
  </conditionalFormatting>
  <conditionalFormatting sqref="C28:N28">
    <cfRule type="expression" dxfId="145" priority="235" stopIfTrue="1">
      <formula>OR($N28="Closed",$N28="Cancelled")</formula>
    </cfRule>
    <cfRule type="cellIs" dxfId="144" priority="236" operator="equal">
      <formula>"G"</formula>
    </cfRule>
    <cfRule type="cellIs" dxfId="143" priority="237" operator="equal">
      <formula>"R"</formula>
    </cfRule>
    <cfRule type="cellIs" dxfId="142" priority="238" operator="equal">
      <formula>"A"</formula>
    </cfRule>
  </conditionalFormatting>
  <conditionalFormatting sqref="O11">
    <cfRule type="expression" dxfId="141" priority="230">
      <formula>$O11="Closed"</formula>
    </cfRule>
  </conditionalFormatting>
  <conditionalFormatting sqref="B11:N11">
    <cfRule type="expression" dxfId="140" priority="226" stopIfTrue="1">
      <formula>OR($N11="Closed",$N11="Cancelled")</formula>
    </cfRule>
    <cfRule type="cellIs" dxfId="139" priority="227" operator="equal">
      <formula>"G"</formula>
    </cfRule>
    <cfRule type="cellIs" dxfId="138" priority="228" operator="equal">
      <formula>"R"</formula>
    </cfRule>
    <cfRule type="cellIs" dxfId="137" priority="229" operator="equal">
      <formula>"A"</formula>
    </cfRule>
  </conditionalFormatting>
  <conditionalFormatting sqref="N29">
    <cfRule type="expression" dxfId="136" priority="222" stopIfTrue="1">
      <formula>OR($N29="Closed",$N29="Cancelled")</formula>
    </cfRule>
    <cfRule type="cellIs" dxfId="135" priority="223" operator="equal">
      <formula>"G"</formula>
    </cfRule>
    <cfRule type="cellIs" dxfId="134" priority="224" operator="equal">
      <formula>"R"</formula>
    </cfRule>
    <cfRule type="cellIs" dxfId="133" priority="225" operator="equal">
      <formula>"A"</formula>
    </cfRule>
  </conditionalFormatting>
  <conditionalFormatting sqref="C33:N33">
    <cfRule type="expression" dxfId="132" priority="218" stopIfTrue="1">
      <formula>OR($N33="Closed",$N33="Cancelled")</formula>
    </cfRule>
    <cfRule type="cellIs" dxfId="131" priority="219" operator="equal">
      <formula>"G"</formula>
    </cfRule>
    <cfRule type="cellIs" dxfId="130" priority="220" operator="equal">
      <formula>"R"</formula>
    </cfRule>
    <cfRule type="cellIs" dxfId="129" priority="221" operator="equal">
      <formula>"A"</formula>
    </cfRule>
  </conditionalFormatting>
  <conditionalFormatting sqref="F35">
    <cfRule type="expression" dxfId="128" priority="214" stopIfTrue="1">
      <formula>OR($N35="Closed",$N35="Cancelled")</formula>
    </cfRule>
    <cfRule type="cellIs" dxfId="127" priority="215" operator="equal">
      <formula>"G"</formula>
    </cfRule>
    <cfRule type="cellIs" dxfId="126" priority="216" operator="equal">
      <formula>"R"</formula>
    </cfRule>
    <cfRule type="cellIs" dxfId="125" priority="217" operator="equal">
      <formula>"A"</formula>
    </cfRule>
  </conditionalFormatting>
  <conditionalFormatting sqref="C37:G37 I37:N37">
    <cfRule type="expression" dxfId="124" priority="210" stopIfTrue="1">
      <formula>OR($N37="Closed",$N37="Cancelled")</formula>
    </cfRule>
    <cfRule type="cellIs" dxfId="123" priority="211" operator="equal">
      <formula>"G"</formula>
    </cfRule>
    <cfRule type="cellIs" dxfId="122" priority="212" operator="equal">
      <formula>"R"</formula>
    </cfRule>
    <cfRule type="cellIs" dxfId="121" priority="213" operator="equal">
      <formula>"A"</formula>
    </cfRule>
  </conditionalFormatting>
  <conditionalFormatting sqref="H37">
    <cfRule type="expression" dxfId="120" priority="206" stopIfTrue="1">
      <formula>OR($N37="Closed",$N37="Cancelled")</formula>
    </cfRule>
    <cfRule type="cellIs" dxfId="119" priority="207" operator="equal">
      <formula>"G"</formula>
    </cfRule>
    <cfRule type="cellIs" dxfId="118" priority="208" operator="equal">
      <formula>"R"</formula>
    </cfRule>
    <cfRule type="cellIs" dxfId="117" priority="209" operator="equal">
      <formula>"A"</formula>
    </cfRule>
  </conditionalFormatting>
  <conditionalFormatting sqref="G41">
    <cfRule type="expression" dxfId="116" priority="202" stopIfTrue="1">
      <formula>OR($N41="Closed",$N41="Cancelled")</formula>
    </cfRule>
    <cfRule type="cellIs" dxfId="115" priority="203" operator="equal">
      <formula>"G"</formula>
    </cfRule>
    <cfRule type="cellIs" dxfId="114" priority="204" operator="equal">
      <formula>"R"</formula>
    </cfRule>
    <cfRule type="cellIs" dxfId="113" priority="205" operator="equal">
      <formula>"A"</formula>
    </cfRule>
  </conditionalFormatting>
  <conditionalFormatting sqref="G44:G45">
    <cfRule type="expression" dxfId="112" priority="198" stopIfTrue="1">
      <formula>OR($N44="Closed",$N44="Cancelled")</formula>
    </cfRule>
    <cfRule type="cellIs" dxfId="111" priority="199" operator="equal">
      <formula>"G"</formula>
    </cfRule>
    <cfRule type="cellIs" dxfId="110" priority="200" operator="equal">
      <formula>"R"</formula>
    </cfRule>
    <cfRule type="cellIs" dxfId="109" priority="201" operator="equal">
      <formula>"A"</formula>
    </cfRule>
  </conditionalFormatting>
  <conditionalFormatting sqref="G46">
    <cfRule type="expression" dxfId="108" priority="194" stopIfTrue="1">
      <formula>OR($N46="Closed",$N46="Cancelled")</formula>
    </cfRule>
    <cfRule type="cellIs" dxfId="107" priority="195" operator="equal">
      <formula>"G"</formula>
    </cfRule>
    <cfRule type="cellIs" dxfId="106" priority="196" operator="equal">
      <formula>"R"</formula>
    </cfRule>
    <cfRule type="cellIs" dxfId="105" priority="197" operator="equal">
      <formula>"A"</formula>
    </cfRule>
  </conditionalFormatting>
  <conditionalFormatting sqref="H42">
    <cfRule type="expression" dxfId="104" priority="182" stopIfTrue="1">
      <formula>OR($N42="Closed",$N42="Cancelled")</formula>
    </cfRule>
    <cfRule type="cellIs" dxfId="103" priority="183" operator="equal">
      <formula>"G"</formula>
    </cfRule>
    <cfRule type="cellIs" dxfId="102" priority="184" operator="equal">
      <formula>"R"</formula>
    </cfRule>
    <cfRule type="cellIs" dxfId="101" priority="185" operator="equal">
      <formula>"A"</formula>
    </cfRule>
  </conditionalFormatting>
  <conditionalFormatting sqref="H48:N48 C48:F48">
    <cfRule type="expression" dxfId="100" priority="178" stopIfTrue="1">
      <formula>OR($N48="Closed",$N48="Cancelled")</formula>
    </cfRule>
    <cfRule type="cellIs" dxfId="99" priority="179" operator="equal">
      <formula>"G"</formula>
    </cfRule>
    <cfRule type="cellIs" dxfId="98" priority="180" operator="equal">
      <formula>"R"</formula>
    </cfRule>
    <cfRule type="cellIs" dxfId="97" priority="181" operator="equal">
      <formula>"A"</formula>
    </cfRule>
  </conditionalFormatting>
  <conditionalFormatting sqref="G48">
    <cfRule type="expression" dxfId="96" priority="174" stopIfTrue="1">
      <formula>OR($N48="Closed",$N48="Cancelled")</formula>
    </cfRule>
    <cfRule type="cellIs" dxfId="95" priority="175" operator="equal">
      <formula>"G"</formula>
    </cfRule>
    <cfRule type="cellIs" dxfId="94" priority="176" operator="equal">
      <formula>"R"</formula>
    </cfRule>
    <cfRule type="cellIs" dxfId="93" priority="177" operator="equal">
      <formula>"A"</formula>
    </cfRule>
  </conditionalFormatting>
  <conditionalFormatting sqref="G49">
    <cfRule type="expression" dxfId="92" priority="170" stopIfTrue="1">
      <formula>OR($N49="Closed",$N49="Cancelled")</formula>
    </cfRule>
    <cfRule type="cellIs" dxfId="91" priority="171" operator="equal">
      <formula>"G"</formula>
    </cfRule>
    <cfRule type="cellIs" dxfId="90" priority="172" operator="equal">
      <formula>"R"</formula>
    </cfRule>
    <cfRule type="cellIs" dxfId="89" priority="173" operator="equal">
      <formula>"A"</formula>
    </cfRule>
  </conditionalFormatting>
  <conditionalFormatting sqref="C51:N51">
    <cfRule type="expression" dxfId="88" priority="166" stopIfTrue="1">
      <formula>OR($N51="Closed",$N51="Cancelled")</formula>
    </cfRule>
    <cfRule type="cellIs" dxfId="87" priority="167" operator="equal">
      <formula>"G"</formula>
    </cfRule>
    <cfRule type="cellIs" dxfId="86" priority="168" operator="equal">
      <formula>"R"</formula>
    </cfRule>
    <cfRule type="cellIs" dxfId="85" priority="169" operator="equal">
      <formula>"A"</formula>
    </cfRule>
  </conditionalFormatting>
  <conditionalFormatting sqref="C50:N50">
    <cfRule type="expression" dxfId="84" priority="162" stopIfTrue="1">
      <formula>OR($N50="Closed",$N50="Cancelled")</formula>
    </cfRule>
    <cfRule type="cellIs" dxfId="83" priority="163" operator="equal">
      <formula>"G"</formula>
    </cfRule>
    <cfRule type="cellIs" dxfId="82" priority="164" operator="equal">
      <formula>"R"</formula>
    </cfRule>
    <cfRule type="cellIs" dxfId="81" priority="165" operator="equal">
      <formula>"A"</formula>
    </cfRule>
  </conditionalFormatting>
  <conditionalFormatting sqref="G42">
    <cfRule type="expression" dxfId="80" priority="154" stopIfTrue="1">
      <formula>OR($N42="Closed",$N42="Cancelled")</formula>
    </cfRule>
    <cfRule type="cellIs" dxfId="79" priority="155" operator="equal">
      <formula>"G"</formula>
    </cfRule>
    <cfRule type="cellIs" dxfId="78" priority="156" operator="equal">
      <formula>"R"</formula>
    </cfRule>
    <cfRule type="cellIs" dxfId="77" priority="157" operator="equal">
      <formula>"A"</formula>
    </cfRule>
  </conditionalFormatting>
  <conditionalFormatting sqref="C38:N39">
    <cfRule type="cellIs" dxfId="76" priority="127" operator="equal">
      <formula>"G"</formula>
    </cfRule>
    <cfRule type="cellIs" dxfId="75" priority="128" operator="equal">
      <formula>"R"</formula>
    </cfRule>
    <cfRule type="cellIs" dxfId="74" priority="129" operator="equal">
      <formula>"A"</formula>
    </cfRule>
  </conditionalFormatting>
  <conditionalFormatting sqref="G18">
    <cfRule type="expression" dxfId="73" priority="78" stopIfTrue="1">
      <formula>OR($N18="Closed",$N18="Cancelled")</formula>
    </cfRule>
    <cfRule type="cellIs" dxfId="72" priority="79" operator="equal">
      <formula>"G"</formula>
    </cfRule>
    <cfRule type="cellIs" dxfId="71" priority="80" operator="equal">
      <formula>"R"</formula>
    </cfRule>
    <cfRule type="cellIs" dxfId="70" priority="81" operator="equal">
      <formula>"A"</formula>
    </cfRule>
  </conditionalFormatting>
  <conditionalFormatting sqref="C30:N30 C18:F18 H18:N18">
    <cfRule type="cellIs" dxfId="69" priority="3304" operator="equal">
      <formula>"G"</formula>
    </cfRule>
    <cfRule type="cellIs" dxfId="68" priority="3305" operator="equal">
      <formula>"R"</formula>
    </cfRule>
    <cfRule type="cellIs" dxfId="67" priority="3306" operator="equal">
      <formula>"A"</formula>
    </cfRule>
  </conditionalFormatting>
  <conditionalFormatting sqref="O14">
    <cfRule type="expression" dxfId="66" priority="53">
      <formula>$O14="Closed"</formula>
    </cfRule>
  </conditionalFormatting>
  <conditionalFormatting sqref="J14:N14 B14:H14">
    <cfRule type="expression" dxfId="65" priority="49" stopIfTrue="1">
      <formula>OR($N14="Closed",$N14="Cancelled")</formula>
    </cfRule>
    <cfRule type="cellIs" dxfId="64" priority="50" operator="equal">
      <formula>"G"</formula>
    </cfRule>
    <cfRule type="cellIs" dxfId="63" priority="51" operator="equal">
      <formula>"R"</formula>
    </cfRule>
    <cfRule type="cellIs" dxfId="62" priority="52" operator="equal">
      <formula>"A"</formula>
    </cfRule>
  </conditionalFormatting>
  <conditionalFormatting sqref="I14">
    <cfRule type="expression" dxfId="61" priority="45" stopIfTrue="1">
      <formula>OR($N14="Closed",$N14="Cancelled")</formula>
    </cfRule>
    <cfRule type="cellIs" dxfId="60" priority="46" operator="equal">
      <formula>"G"</formula>
    </cfRule>
    <cfRule type="cellIs" dxfId="59" priority="47" operator="equal">
      <formula>"R"</formula>
    </cfRule>
    <cfRule type="cellIs" dxfId="58" priority="48" operator="equal">
      <formula>"A"</formula>
    </cfRule>
  </conditionalFormatting>
  <conditionalFormatting sqref="I13">
    <cfRule type="expression" dxfId="57" priority="41" stopIfTrue="1">
      <formula>OR($N13="Closed",$N13="Cancelled")</formula>
    </cfRule>
    <cfRule type="cellIs" dxfId="56" priority="42" operator="equal">
      <formula>"G"</formula>
    </cfRule>
    <cfRule type="cellIs" dxfId="55" priority="43" operator="equal">
      <formula>"R"</formula>
    </cfRule>
    <cfRule type="cellIs" dxfId="54" priority="44" operator="equal">
      <formula>"A"</formula>
    </cfRule>
  </conditionalFormatting>
  <hyperlinks>
    <hyperlink ref="J43" r:id="rId1"/>
  </hyperlinks>
  <pageMargins left="0.7" right="0.7" top="0.75" bottom="0.75" header="0.3" footer="0.3"/>
  <pageSetup orientation="portrait" horizontalDpi="300" verticalDpi="300" r:id="rId2"/>
  <drawing r:id="rId3"/>
  <tableParts count="1">
    <tablePart r:id="rId4"/>
  </tableParts>
  <extLst>
    <ext xmlns:x14="http://schemas.microsoft.com/office/spreadsheetml/2009/9/main" uri="{78C0D931-6437-407d-A8EE-F0AAD7539E65}">
      <x14:conditionalFormattings>
        <x14:conditionalFormatting xmlns:xm="http://schemas.microsoft.com/office/excel/2006/main">
          <x14:cfRule type="expression" priority="126" stopIfTrue="1" id="{57B9AD3B-B052-41B6-B8E2-D2DB99DEC112}">
            <xm:f>OR('Action Log'!$N39="Closed",'Action Log'!$N39="Cancelled")</xm:f>
            <x14:dxf>
              <fill>
                <patternFill>
                  <bgColor theme="0" tint="-0.24994659260841701"/>
                </patternFill>
              </fill>
            </x14:dxf>
          </x14:cfRule>
          <xm:sqref>C38:N39</xm:sqref>
        </x14:conditionalFormatting>
        <x14:conditionalFormatting xmlns:xm="http://schemas.microsoft.com/office/excel/2006/main">
          <x14:cfRule type="expression" priority="3303" stopIfTrue="1" id="{57B9AD3B-B052-41B6-B8E2-D2DB99DEC112}">
            <xm:f>OR('Action Log'!$N18="Closed",'Action Log'!$N18="Cancelled")</xm:f>
            <x14:dxf>
              <fill>
                <patternFill>
                  <bgColor theme="0" tint="-0.24994659260841701"/>
                </patternFill>
              </fill>
            </x14:dxf>
          </x14:cfRule>
          <xm:sqref>C30:N30 C18:F18 H18:N18</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1:O15"/>
  <sheetViews>
    <sheetView showGridLines="0" zoomScale="70" zoomScaleNormal="70" zoomScalePageLayoutView="75" workbookViewId="0">
      <pane xSplit="2" ySplit="10" topLeftCell="C11" activePane="bottomRight" state="frozen"/>
      <selection pane="topRight" activeCell="B1" sqref="B1"/>
      <selection pane="bottomLeft" activeCell="A14" sqref="A14"/>
      <selection pane="bottomRight" activeCell="H15" sqref="H15"/>
    </sheetView>
  </sheetViews>
  <sheetFormatPr defaultColWidth="8.85546875" defaultRowHeight="15" x14ac:dyDescent="0.25"/>
  <cols>
    <col min="1" max="1" width="2.42578125" style="1" customWidth="1"/>
    <col min="2" max="2" width="13.42578125" bestFit="1" customWidth="1"/>
    <col min="3" max="3" width="29.5703125" bestFit="1" customWidth="1"/>
    <col min="4" max="4" width="19.5703125" bestFit="1" customWidth="1"/>
    <col min="5" max="5" width="36" bestFit="1" customWidth="1"/>
    <col min="6" max="6" width="24.85546875" bestFit="1" customWidth="1"/>
    <col min="7" max="7" width="40.28515625" customWidth="1"/>
    <col min="8" max="8" width="110.7109375" style="22" customWidth="1"/>
    <col min="9" max="9" width="34.7109375" style="2" customWidth="1"/>
    <col min="10" max="10" width="25.5703125" style="2" customWidth="1"/>
    <col min="11" max="11" width="19.5703125" style="2" customWidth="1"/>
    <col min="12" max="12" width="22.42578125" style="145" bestFit="1" customWidth="1"/>
    <col min="13" max="13" width="29" style="2" bestFit="1" customWidth="1"/>
    <col min="14" max="14" width="29.28515625" style="2" bestFit="1" customWidth="1"/>
    <col min="15" max="15" width="9.28515625" style="2" customWidth="1"/>
    <col min="16" max="16" width="35" style="1" customWidth="1"/>
    <col min="17" max="19" width="8.85546875" style="1"/>
    <col min="20" max="20" width="12.140625" style="1" bestFit="1" customWidth="1"/>
    <col min="21" max="16384" width="8.85546875" style="1"/>
  </cols>
  <sheetData>
    <row r="1" spans="1:15" ht="7.5" customHeight="1" thickBot="1" x14ac:dyDescent="0.3">
      <c r="A1" s="9"/>
      <c r="B1" s="9"/>
      <c r="C1" s="10"/>
      <c r="D1" s="10"/>
      <c r="E1" s="10"/>
      <c r="F1" s="10"/>
      <c r="G1" s="9"/>
      <c r="H1" s="19"/>
      <c r="I1" s="10"/>
      <c r="J1" s="10"/>
      <c r="K1" s="10"/>
      <c r="L1" s="142"/>
      <c r="M1" s="4"/>
      <c r="N1" s="4"/>
      <c r="O1" s="1"/>
    </row>
    <row r="2" spans="1:15" ht="23.25" customHeight="1" thickBot="1" x14ac:dyDescent="0.3">
      <c r="A2" s="9"/>
      <c r="B2" s="9"/>
      <c r="C2" s="9"/>
      <c r="D2" s="388" t="s">
        <v>27</v>
      </c>
      <c r="E2" s="389"/>
      <c r="F2" s="390"/>
      <c r="G2" s="9"/>
      <c r="H2" s="391"/>
      <c r="I2" s="391"/>
      <c r="J2" s="391"/>
      <c r="K2" s="391"/>
      <c r="L2" s="391"/>
      <c r="M2" s="391"/>
      <c r="O2" s="1"/>
    </row>
    <row r="3" spans="1:15" ht="20.25" customHeight="1" thickBot="1" x14ac:dyDescent="0.3">
      <c r="A3" s="9"/>
      <c r="B3" s="9"/>
      <c r="C3" s="9"/>
      <c r="D3" s="15" t="s">
        <v>4</v>
      </c>
      <c r="E3" s="16" t="s">
        <v>5</v>
      </c>
      <c r="F3" s="16" t="s">
        <v>12</v>
      </c>
      <c r="G3" s="9"/>
      <c r="H3" s="391"/>
      <c r="I3" s="391"/>
      <c r="J3" s="391"/>
      <c r="K3" s="391"/>
      <c r="L3" s="391"/>
      <c r="M3" s="391"/>
    </row>
    <row r="4" spans="1:15" ht="19.5" thickBot="1" x14ac:dyDescent="0.3">
      <c r="A4" s="9"/>
      <c r="B4" s="9"/>
      <c r="C4" s="13" t="s">
        <v>0</v>
      </c>
      <c r="D4" s="17">
        <f>COUNTIFS($M$11:$M$1048576,D$3,$N$11:$N$1048576,"Open")</f>
        <v>0</v>
      </c>
      <c r="E4" s="17">
        <f>COUNTIFS($M$11:$M$1048576,E$3,$N$11:$N$1048576,"Open")</f>
        <v>0</v>
      </c>
      <c r="F4" s="17">
        <f>COUNTIFS($M$11:$M$1048576,F$3,$N$11:$N$1048576,"Open")</f>
        <v>0</v>
      </c>
      <c r="G4" s="9"/>
      <c r="H4" s="391"/>
      <c r="I4" s="391"/>
      <c r="J4" s="391"/>
      <c r="K4" s="391"/>
      <c r="L4" s="391"/>
      <c r="M4" s="391"/>
    </row>
    <row r="5" spans="1:15" ht="19.5" thickBot="1" x14ac:dyDescent="0.3">
      <c r="A5" s="9"/>
      <c r="B5" s="9"/>
      <c r="C5" s="13" t="s">
        <v>1</v>
      </c>
      <c r="D5" s="17">
        <f>COUNTIFS($M$11:$M$1048576,D$3,$N$11:$N$1048576,"Closed")</f>
        <v>0</v>
      </c>
      <c r="E5" s="17">
        <f>COUNTIFS($M$11:$M$1048576,E$3,$N$11:$N$1048576,"Closed")</f>
        <v>0</v>
      </c>
      <c r="F5" s="17">
        <f>COUNTIFS($M$11:$M$1048576,F$3,$N$11:$N$1048576,"Closed")</f>
        <v>5</v>
      </c>
      <c r="G5" s="9"/>
      <c r="H5" s="391"/>
      <c r="I5" s="391"/>
      <c r="J5" s="391"/>
      <c r="K5" s="391"/>
      <c r="L5" s="391"/>
      <c r="M5" s="391"/>
    </row>
    <row r="6" spans="1:15" ht="19.5" thickBot="1" x14ac:dyDescent="0.3">
      <c r="A6" s="9"/>
      <c r="B6" s="9"/>
      <c r="C6" s="13" t="s">
        <v>13</v>
      </c>
      <c r="D6" s="17">
        <f>COUNTIFS($M$11:$M$1048576,D$3,$N$11:$N$1048576,"Cancelled")</f>
        <v>0</v>
      </c>
      <c r="E6" s="17">
        <f>COUNTIFS($M$11:$M$1048576,E$3,$N$11:$N$1048576,"Cancelled")</f>
        <v>0</v>
      </c>
      <c r="F6" s="17">
        <f>COUNTIFS($M$11:$M$1048576,F$3,$N$11:$N$1048576,"Cancelled")</f>
        <v>0</v>
      </c>
      <c r="G6" s="9"/>
      <c r="H6" s="391"/>
      <c r="I6" s="391"/>
      <c r="J6" s="391"/>
      <c r="K6" s="391"/>
      <c r="L6" s="391"/>
      <c r="M6" s="391"/>
      <c r="N6" s="18">
        <f ca="1">TODAY()</f>
        <v>45358</v>
      </c>
    </row>
    <row r="7" spans="1:15" ht="47.25" thickBot="1" x14ac:dyDescent="0.3">
      <c r="A7" s="9"/>
      <c r="B7" s="9"/>
      <c r="C7" s="13" t="s">
        <v>30</v>
      </c>
      <c r="D7" s="17">
        <f>COUNTIFS($M$11:$M$1048576,D$3,$N$11:$N$1048576,"Pending")</f>
        <v>0</v>
      </c>
      <c r="E7" s="17">
        <f>COUNTIFS($M$11:$M$1048576,E$3,$N$11:$N$1048576,"Pending")</f>
        <v>0</v>
      </c>
      <c r="F7" s="17">
        <f>COUNTIFS($M$11:$M$1048576,F$3,$N$11:$N$1048576,"Pending")</f>
        <v>0</v>
      </c>
      <c r="G7" s="9"/>
      <c r="H7" s="20"/>
      <c r="I7" s="9"/>
      <c r="J7" s="9"/>
      <c r="K7" s="5"/>
      <c r="L7" s="143"/>
      <c r="M7" s="11"/>
      <c r="N7" s="11"/>
      <c r="O7" s="1"/>
    </row>
    <row r="8" spans="1:15" ht="15" customHeight="1" x14ac:dyDescent="0.25">
      <c r="B8" s="9"/>
      <c r="C8" s="9"/>
      <c r="D8" s="9"/>
      <c r="E8" s="9"/>
      <c r="F8" s="9"/>
      <c r="G8" s="9"/>
      <c r="H8" s="20"/>
      <c r="I8" s="9"/>
      <c r="J8" s="9"/>
      <c r="K8" s="5"/>
      <c r="L8" s="143"/>
      <c r="M8" s="11"/>
      <c r="N8" s="11"/>
      <c r="O8" s="1"/>
    </row>
    <row r="9" spans="1:15" ht="15" customHeight="1" thickBot="1" x14ac:dyDescent="0.3">
      <c r="B9" s="9"/>
      <c r="C9" s="9"/>
      <c r="D9" s="9"/>
      <c r="E9" s="9"/>
      <c r="F9" s="9"/>
      <c r="G9" s="9"/>
      <c r="H9" s="20"/>
      <c r="I9" s="9"/>
      <c r="J9" s="9"/>
      <c r="K9" s="5"/>
      <c r="L9" s="143"/>
      <c r="M9" s="11"/>
      <c r="N9" s="11"/>
      <c r="O9" s="1"/>
    </row>
    <row r="10" spans="1:15" s="3" customFormat="1" ht="67.5" customHeight="1" thickBot="1" x14ac:dyDescent="0.3">
      <c r="B10" s="12" t="s">
        <v>7</v>
      </c>
      <c r="C10" s="13" t="s">
        <v>6</v>
      </c>
      <c r="D10" s="13" t="s">
        <v>3</v>
      </c>
      <c r="E10" s="13" t="s">
        <v>9</v>
      </c>
      <c r="F10" s="13" t="s">
        <v>8</v>
      </c>
      <c r="G10" s="13" t="s">
        <v>20</v>
      </c>
      <c r="H10" s="21" t="s">
        <v>28</v>
      </c>
      <c r="I10" s="13" t="s">
        <v>29</v>
      </c>
      <c r="J10" s="14" t="s">
        <v>19</v>
      </c>
      <c r="K10" s="14" t="s">
        <v>10</v>
      </c>
      <c r="L10" s="144" t="s">
        <v>11</v>
      </c>
      <c r="M10" s="13" t="s">
        <v>15</v>
      </c>
      <c r="N10" s="65" t="s">
        <v>21</v>
      </c>
    </row>
    <row r="11" spans="1:15" ht="18" customHeight="1" x14ac:dyDescent="0.25">
      <c r="B11" s="42">
        <v>1</v>
      </c>
      <c r="C11" s="43"/>
      <c r="D11" s="44" t="s">
        <v>503</v>
      </c>
      <c r="E11" s="42" t="s">
        <v>117</v>
      </c>
      <c r="F11" s="42" t="s">
        <v>576</v>
      </c>
      <c r="G11" s="45" t="s">
        <v>869</v>
      </c>
      <c r="H11" s="70" t="s">
        <v>954</v>
      </c>
      <c r="I11" s="45" t="s">
        <v>855</v>
      </c>
      <c r="J11" s="63" t="s">
        <v>818</v>
      </c>
      <c r="K11" s="47">
        <v>44740</v>
      </c>
      <c r="L11" s="64">
        <v>3</v>
      </c>
      <c r="M11" s="47" t="s">
        <v>12</v>
      </c>
      <c r="N11" s="45" t="s">
        <v>1</v>
      </c>
    </row>
    <row r="12" spans="1:15" ht="18.75" x14ac:dyDescent="0.25">
      <c r="B12" s="168">
        <v>2</v>
      </c>
      <c r="C12" s="169"/>
      <c r="D12" s="170" t="s">
        <v>503</v>
      </c>
      <c r="E12" s="168" t="s">
        <v>80</v>
      </c>
      <c r="F12" s="168"/>
      <c r="G12" s="173" t="s">
        <v>873</v>
      </c>
      <c r="H12" s="54" t="s">
        <v>954</v>
      </c>
      <c r="I12" s="29" t="s">
        <v>855</v>
      </c>
      <c r="J12" s="175"/>
      <c r="K12" s="171">
        <v>44740</v>
      </c>
      <c r="L12" s="34">
        <v>3</v>
      </c>
      <c r="M12" s="119" t="s">
        <v>12</v>
      </c>
      <c r="N12" s="29" t="s">
        <v>1</v>
      </c>
    </row>
    <row r="13" spans="1:15" ht="18.75" x14ac:dyDescent="0.25">
      <c r="B13" s="168">
        <v>3</v>
      </c>
      <c r="C13" s="169"/>
      <c r="D13" s="170" t="s">
        <v>503</v>
      </c>
      <c r="E13" s="168" t="s">
        <v>80</v>
      </c>
      <c r="F13" s="168" t="s">
        <v>576</v>
      </c>
      <c r="G13" s="173" t="s">
        <v>1016</v>
      </c>
      <c r="H13" s="54" t="s">
        <v>954</v>
      </c>
      <c r="I13" s="29" t="s">
        <v>855</v>
      </c>
      <c r="J13" s="175" t="s">
        <v>1017</v>
      </c>
      <c r="K13" s="171">
        <v>44764</v>
      </c>
      <c r="L13" s="34">
        <v>3</v>
      </c>
      <c r="M13" s="119" t="s">
        <v>12</v>
      </c>
      <c r="N13" s="29" t="s">
        <v>1</v>
      </c>
    </row>
    <row r="14" spans="1:15" ht="18.75" x14ac:dyDescent="0.25">
      <c r="B14" s="42">
        <v>4</v>
      </c>
      <c r="C14" s="43"/>
      <c r="D14" s="170" t="s">
        <v>503</v>
      </c>
      <c r="E14" s="42" t="s">
        <v>80</v>
      </c>
      <c r="F14" s="42"/>
      <c r="G14" s="45" t="s">
        <v>873</v>
      </c>
      <c r="H14" s="70" t="s">
        <v>1147</v>
      </c>
      <c r="I14" s="45" t="s">
        <v>855</v>
      </c>
      <c r="J14" s="63"/>
      <c r="K14" s="47">
        <v>44777</v>
      </c>
      <c r="L14" s="64">
        <v>3</v>
      </c>
      <c r="M14" s="47" t="s">
        <v>12</v>
      </c>
      <c r="N14" s="45" t="s">
        <v>1</v>
      </c>
    </row>
    <row r="15" spans="1:15" ht="18.75" x14ac:dyDescent="0.25">
      <c r="B15" s="42">
        <v>5</v>
      </c>
      <c r="C15" s="43"/>
      <c r="D15" s="170" t="s">
        <v>503</v>
      </c>
      <c r="E15" s="42" t="s">
        <v>80</v>
      </c>
      <c r="F15" s="42"/>
      <c r="G15" s="45" t="s">
        <v>873</v>
      </c>
      <c r="H15" s="70" t="s">
        <v>1146</v>
      </c>
      <c r="I15" s="45" t="s">
        <v>855</v>
      </c>
      <c r="J15" s="63"/>
      <c r="K15" s="47">
        <v>44829</v>
      </c>
      <c r="L15" s="64">
        <v>3</v>
      </c>
      <c r="M15" s="47" t="s">
        <v>12</v>
      </c>
      <c r="N15" s="45" t="s">
        <v>1</v>
      </c>
    </row>
  </sheetData>
  <mergeCells count="2">
    <mergeCell ref="D2:F2"/>
    <mergeCell ref="H2:M6"/>
  </mergeCells>
  <conditionalFormatting sqref="O11">
    <cfRule type="expression" dxfId="34" priority="1002">
      <formula>$O11="Closed"</formula>
    </cfRule>
  </conditionalFormatting>
  <conditionalFormatting sqref="B11:N15">
    <cfRule type="expression" dxfId="33" priority="1004" stopIfTrue="1">
      <formula>OR($N11="Closed",$N11="Cancelled")</formula>
    </cfRule>
    <cfRule type="cellIs" dxfId="32" priority="1005" operator="equal">
      <formula>"G"</formula>
    </cfRule>
    <cfRule type="cellIs" dxfId="31" priority="1006" operator="equal">
      <formula>"R"</formula>
    </cfRule>
    <cfRule type="cellIs" dxfId="30" priority="1007" operator="equal">
      <formula>"A"</formula>
    </cfRule>
  </conditionalFormatting>
  <conditionalFormatting sqref="B13:N13">
    <cfRule type="expression" dxfId="29" priority="1" stopIfTrue="1">
      <formula>OR($N13="Closed",$N13="Cancelled")</formula>
    </cfRule>
    <cfRule type="cellIs" dxfId="28" priority="2" operator="equal">
      <formula>"G"</formula>
    </cfRule>
    <cfRule type="cellIs" dxfId="27" priority="3" operator="equal">
      <formula>"R"</formula>
    </cfRule>
    <cfRule type="cellIs" dxfId="26" priority="4" operator="equal">
      <formula>"A"</formula>
    </cfRule>
  </conditionalFormatting>
  <pageMargins left="0.70866141732283472" right="0.70866141732283472" top="0.74803149606299213" bottom="0.74803149606299213" header="0.31496062992125984" footer="0.31496062992125984"/>
  <pageSetup paperSize="9" scale="41" fitToHeight="0" orientation="landscape"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D4:E4"/>
  <sheetViews>
    <sheetView workbookViewId="0">
      <selection activeCell="D4" sqref="D4:K5"/>
    </sheetView>
  </sheetViews>
  <sheetFormatPr defaultRowHeight="15" x14ac:dyDescent="0.25"/>
  <sheetData>
    <row r="4" spans="4:5" x14ac:dyDescent="0.25">
      <c r="D4" s="23"/>
      <c r="E4" s="24"/>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2:H7"/>
  <sheetViews>
    <sheetView workbookViewId="0">
      <selection activeCell="A8" sqref="A8"/>
    </sheetView>
  </sheetViews>
  <sheetFormatPr defaultRowHeight="15" x14ac:dyDescent="0.25"/>
  <cols>
    <col min="7" max="7" width="31" customWidth="1"/>
  </cols>
  <sheetData>
    <row r="2" spans="1:8" ht="30.75" thickBot="1" x14ac:dyDescent="0.3">
      <c r="A2" s="2" t="s">
        <v>2</v>
      </c>
      <c r="B2" s="2"/>
      <c r="C2" s="1" t="s">
        <v>11</v>
      </c>
      <c r="D2" s="1" t="s">
        <v>23</v>
      </c>
      <c r="E2" s="1"/>
      <c r="F2" s="1" t="s">
        <v>22</v>
      </c>
      <c r="G2" s="1" t="s">
        <v>23</v>
      </c>
      <c r="H2" s="1"/>
    </row>
    <row r="3" spans="1:8" ht="18.75" x14ac:dyDescent="0.25">
      <c r="A3" s="1" t="s">
        <v>0</v>
      </c>
      <c r="B3" s="2"/>
      <c r="C3" s="1">
        <v>1</v>
      </c>
      <c r="D3" s="1" t="s">
        <v>24</v>
      </c>
      <c r="E3" s="1"/>
      <c r="F3" s="1" t="s">
        <v>4</v>
      </c>
      <c r="G3" s="6" t="s">
        <v>16</v>
      </c>
      <c r="H3" s="1"/>
    </row>
    <row r="4" spans="1:8" ht="18.75" x14ac:dyDescent="0.25">
      <c r="A4" s="1" t="s">
        <v>14</v>
      </c>
      <c r="B4" s="2"/>
      <c r="C4" s="1">
        <v>2</v>
      </c>
      <c r="D4" s="1" t="s">
        <v>25</v>
      </c>
      <c r="E4" s="1"/>
      <c r="F4" s="1" t="s">
        <v>5</v>
      </c>
      <c r="G4" s="7" t="s">
        <v>17</v>
      </c>
      <c r="H4" s="1"/>
    </row>
    <row r="5" spans="1:8" ht="30.75" thickBot="1" x14ac:dyDescent="0.3">
      <c r="A5" s="1" t="s">
        <v>13</v>
      </c>
      <c r="B5" s="2"/>
      <c r="C5" s="1">
        <v>3</v>
      </c>
      <c r="D5" s="1" t="s">
        <v>26</v>
      </c>
      <c r="E5" s="1"/>
      <c r="F5" s="1" t="s">
        <v>12</v>
      </c>
      <c r="G5" s="8" t="s">
        <v>18</v>
      </c>
      <c r="H5" s="1"/>
    </row>
    <row r="6" spans="1:8" x14ac:dyDescent="0.25">
      <c r="A6" s="1" t="s">
        <v>1</v>
      </c>
      <c r="B6" s="1"/>
      <c r="C6" s="1"/>
      <c r="D6" s="1"/>
      <c r="E6" s="1"/>
      <c r="F6" s="1"/>
      <c r="G6" s="1"/>
      <c r="H6" s="1"/>
    </row>
    <row r="7" spans="1:8" x14ac:dyDescent="0.25">
      <c r="A7" s="1" t="s">
        <v>30</v>
      </c>
      <c r="B7" s="1"/>
      <c r="C7" s="1"/>
      <c r="D7" s="1"/>
      <c r="E7" s="1"/>
      <c r="F7" s="1"/>
      <c r="G7" s="1"/>
      <c r="H7" s="1"/>
    </row>
  </sheetData>
  <pageMargins left="0.7" right="0.7" top="0.75" bottom="0.75" header="0.3" footer="0.3"/>
  <tableParts count="3">
    <tablePart r:id="rId1"/>
    <tablePart r:id="rId2"/>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6</vt:i4>
      </vt:variant>
    </vt:vector>
  </HeadingPairs>
  <TitlesOfParts>
    <vt:vector size="11" baseType="lpstr">
      <vt:lpstr>Action Log</vt:lpstr>
      <vt:lpstr>Report Creation</vt:lpstr>
      <vt:lpstr>Monthly</vt:lpstr>
      <vt:lpstr>Sheet2</vt:lpstr>
      <vt:lpstr>System</vt:lpstr>
      <vt:lpstr>'Action Log'!Print_Titles</vt:lpstr>
      <vt:lpstr>Monthly!Print_Titles</vt:lpstr>
      <vt:lpstr>Monthly!Priority</vt:lpstr>
      <vt:lpstr>Priority</vt:lpstr>
      <vt:lpstr>Monthly!Status</vt:lpstr>
      <vt:lpstr>Status</vt:lpstr>
    </vt:vector>
  </TitlesOfParts>
  <Company>Edge Enterprise Ltd</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Project Action, Issue &amp; Risk Log</dc:title>
  <dc:creator>Matt.Cleveland@sitel.com</dc:creator>
  <dc:description>07795 555577_x000d_
rich@edge-enterprise.com</dc:description>
  <cp:lastModifiedBy>Silviya Todorova</cp:lastModifiedBy>
  <cp:lastPrinted>2016-10-24T10:01:20Z</cp:lastPrinted>
  <dcterms:created xsi:type="dcterms:W3CDTF">2011-03-10T13:18:38Z</dcterms:created>
  <dcterms:modified xsi:type="dcterms:W3CDTF">2024-03-07T12:17:14Z</dcterms:modified>
</cp:coreProperties>
</file>