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lube001\Desktop\Team Review\"/>
    </mc:Choice>
  </mc:AlternateContent>
  <bookViews>
    <workbookView xWindow="0" yWindow="4200" windowWidth="28800" windowHeight="12420" tabRatio="435" firstSheet="1" activeTab="1"/>
  </bookViews>
  <sheets>
    <sheet name="Split by sites v1" sheetId="2" state="hidden" r:id="rId1"/>
    <sheet name="Split by sites" sheetId="4" r:id="rId2"/>
    <sheet name="pivot" sheetId="3" r:id="rId3"/>
    <sheet name="Split by  campaign" sheetId="5" r:id="rId4"/>
  </sheets>
  <definedNames>
    <definedName name="_xlnm._FilterDatabase" localSheetId="1" hidden="1">'Split by sites'!$A$2:$I$114</definedName>
    <definedName name="_xlnm._FilterDatabase" localSheetId="0" hidden="1">'Split by sites v1'!$A$2:$I$101</definedName>
  </definedNames>
  <calcPr calcId="152511" calcMode="manual"/>
  <pivotCaches>
    <pivotCache cacheId="1" r:id="rId5"/>
    <pivotCache cacheId="2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6" i="3" l="1"/>
  <c r="U7" i="3"/>
  <c r="U8" i="3"/>
  <c r="U9" i="3"/>
  <c r="U5" i="3"/>
  <c r="B24" i="5"/>
  <c r="D12" i="3" l="1"/>
  <c r="D11" i="3"/>
  <c r="D10" i="3"/>
  <c r="D9" i="3"/>
  <c r="D8" i="3"/>
  <c r="D7" i="3"/>
  <c r="D6" i="3"/>
  <c r="D5" i="3"/>
  <c r="D4" i="3"/>
  <c r="R12" i="3"/>
  <c r="Q12" i="3"/>
  <c r="Q13" i="3" s="1"/>
  <c r="P12" i="3"/>
  <c r="P13" i="3" s="1"/>
  <c r="O12" i="3"/>
  <c r="O13" i="3" s="1"/>
  <c r="N12" i="3"/>
  <c r="N13" i="3" s="1"/>
  <c r="M12" i="3"/>
  <c r="M13" i="3" s="1"/>
  <c r="L12" i="3"/>
  <c r="L13" i="3" s="1"/>
  <c r="K12" i="3"/>
  <c r="K13" i="3" s="1"/>
  <c r="J12" i="3"/>
  <c r="J13" i="3" s="1"/>
  <c r="I12" i="3"/>
  <c r="I13" i="3" s="1"/>
  <c r="U5" i="4"/>
  <c r="D12" i="5"/>
  <c r="D14" i="5"/>
  <c r="D11" i="5"/>
  <c r="D13" i="5"/>
  <c r="D4" i="5"/>
  <c r="D10" i="5"/>
  <c r="D9" i="5"/>
  <c r="D5" i="5"/>
  <c r="D8" i="5"/>
  <c r="D7" i="5"/>
  <c r="D15" i="5"/>
  <c r="D6" i="5"/>
  <c r="D16" i="5"/>
  <c r="D17" i="5"/>
  <c r="D13" i="3" l="1"/>
  <c r="D14" i="3" s="1"/>
  <c r="E4" i="5"/>
  <c r="E13" i="5"/>
  <c r="F13" i="5" s="1"/>
  <c r="E6" i="5"/>
  <c r="F6" i="5" s="1"/>
  <c r="E8" i="5"/>
  <c r="F8" i="5" s="1"/>
  <c r="E11" i="5"/>
  <c r="F11" i="5" s="1"/>
  <c r="E17" i="5"/>
  <c r="F17" i="5" s="1"/>
  <c r="E14" i="5"/>
  <c r="F14" i="5" s="1"/>
  <c r="E10" i="5"/>
  <c r="F10" i="5" s="1"/>
  <c r="E12" i="5"/>
  <c r="F12" i="5" s="1"/>
  <c r="E5" i="5"/>
  <c r="F5" i="5" s="1"/>
  <c r="E15" i="5"/>
  <c r="F15" i="5" s="1"/>
  <c r="E7" i="5"/>
  <c r="F7" i="5" s="1"/>
  <c r="E16" i="5"/>
  <c r="F16" i="5" s="1"/>
  <c r="E9" i="5"/>
  <c r="F9" i="5" s="1"/>
  <c r="I58" i="4"/>
  <c r="I16" i="2"/>
  <c r="F4" i="5" l="1"/>
  <c r="F18" i="5" s="1"/>
  <c r="I9" i="5" s="1"/>
  <c r="E18" i="5"/>
  <c r="I14" i="5" l="1"/>
  <c r="I15" i="5"/>
  <c r="I7" i="5"/>
  <c r="I16" i="5"/>
  <c r="I8" i="5"/>
  <c r="I4" i="5"/>
  <c r="I13" i="5"/>
  <c r="I6" i="5"/>
  <c r="I10" i="5"/>
  <c r="I11" i="5"/>
  <c r="I17" i="5"/>
  <c r="I12" i="5"/>
  <c r="I5" i="5"/>
</calcChain>
</file>

<file path=xl/sharedStrings.xml><?xml version="1.0" encoding="utf-8"?>
<sst xmlns="http://schemas.openxmlformats.org/spreadsheetml/2006/main" count="1391" uniqueCount="157">
  <si>
    <t>#</t>
  </si>
  <si>
    <t>Site</t>
  </si>
  <si>
    <t>Sites applicable to</t>
  </si>
  <si>
    <t>Campaign</t>
  </si>
  <si>
    <t>Sub Campaign</t>
  </si>
  <si>
    <t>Report Name</t>
  </si>
  <si>
    <t>Frequency</t>
  </si>
  <si>
    <t>Weekly hrs</t>
  </si>
  <si>
    <t>Newcastle</t>
  </si>
  <si>
    <t>SSE</t>
  </si>
  <si>
    <t>Smart/Snowdon/Heritage/WHD/Inbound Collections/Backdating Report</t>
  </si>
  <si>
    <t>SSE MI Reports - Client(SFTP)</t>
  </si>
  <si>
    <t>Daily</t>
  </si>
  <si>
    <t>Smart</t>
  </si>
  <si>
    <t>SSE Client Report - Client(SFTP)</t>
  </si>
  <si>
    <t>SSE/Visa</t>
  </si>
  <si>
    <t>SSE and Visa MI &amp; TM reports - OPS</t>
  </si>
  <si>
    <t>D&amp;G/Hovis/Sotheby's/SSE/Visa/VM/JL</t>
  </si>
  <si>
    <t>GMR's</t>
  </si>
  <si>
    <t>Weekly</t>
  </si>
  <si>
    <t>Snowdon/SMART</t>
  </si>
  <si>
    <t>SSE NPS Report</t>
  </si>
  <si>
    <t xml:space="preserve">Coventry </t>
  </si>
  <si>
    <t>Elavon</t>
  </si>
  <si>
    <t>MI Report</t>
  </si>
  <si>
    <t>Philips</t>
  </si>
  <si>
    <t>TPV</t>
  </si>
  <si>
    <t>Philips TPV MTD</t>
  </si>
  <si>
    <t>Philips CL MTD</t>
  </si>
  <si>
    <t>Mon/Thu</t>
  </si>
  <si>
    <t>Exeter</t>
  </si>
  <si>
    <t>John Lewis</t>
  </si>
  <si>
    <t>TV Troubleshoot Dashboard</t>
  </si>
  <si>
    <t>Monday</t>
  </si>
  <si>
    <t>TV Troubleshoot Dashboard TM's Edition</t>
  </si>
  <si>
    <t>TV Troubleshoot 2020</t>
  </si>
  <si>
    <t>All</t>
  </si>
  <si>
    <t>Monthly Absence</t>
  </si>
  <si>
    <t>Monthly</t>
  </si>
  <si>
    <t>Plymouth</t>
  </si>
  <si>
    <t>Kingston</t>
  </si>
  <si>
    <t>Brother</t>
  </si>
  <si>
    <t>Brother Daily Dashboard</t>
  </si>
  <si>
    <t>Monthly Brother Invoicing</t>
  </si>
  <si>
    <t>Brother GMR</t>
  </si>
  <si>
    <t>Brother 2020 Upload</t>
  </si>
  <si>
    <t>Medtronic</t>
  </si>
  <si>
    <t>Medtronic MI</t>
  </si>
  <si>
    <t>Brother Agent Productivity</t>
  </si>
  <si>
    <t>Canon</t>
  </si>
  <si>
    <t>Canon MI</t>
  </si>
  <si>
    <t>ad hoc</t>
  </si>
  <si>
    <t>Coventry</t>
  </si>
  <si>
    <t>Absence Reporting (Coventry)</t>
  </si>
  <si>
    <t>Daily Summary</t>
  </si>
  <si>
    <t>D&amp;G Agent Commission Dashboard</t>
  </si>
  <si>
    <t>D&amp;G Weekly Kronos Report</t>
  </si>
  <si>
    <t>Thu/Weekly</t>
  </si>
  <si>
    <t>Agent AUX/Productivity Report</t>
  </si>
  <si>
    <t>D&amp;G</t>
  </si>
  <si>
    <t>YF</t>
  </si>
  <si>
    <t>ID</t>
  </si>
  <si>
    <t>GK</t>
  </si>
  <si>
    <t>MS</t>
  </si>
  <si>
    <t>Ad Hocs(D&amp;G, ex. Developing Performace report, 2020, QA Dashboard)</t>
  </si>
  <si>
    <t>Exeter/Plymouth/Newcastle</t>
  </si>
  <si>
    <t>Telephony Dashboard</t>
  </si>
  <si>
    <t>Absence Dashboard</t>
  </si>
  <si>
    <t>Heathrow</t>
  </si>
  <si>
    <t>Heathrow MI</t>
  </si>
  <si>
    <t>Voyage Prive</t>
  </si>
  <si>
    <t>Voyage Prive MI</t>
  </si>
  <si>
    <t>John Lewis IVR MI</t>
  </si>
  <si>
    <t>John Lewis EHT MI</t>
  </si>
  <si>
    <t>John Lewis HomeSolutions</t>
  </si>
  <si>
    <t>John Lewis TechnicalSupport</t>
  </si>
  <si>
    <t>Toshiba</t>
  </si>
  <si>
    <t>Toshiba MI</t>
  </si>
  <si>
    <t>Gradbay Telephony Performance</t>
  </si>
  <si>
    <t>John Lewis Customer Service</t>
  </si>
  <si>
    <t>Johnson &amp; Johnson</t>
  </si>
  <si>
    <t>J &amp; J MI</t>
  </si>
  <si>
    <t>Flybe</t>
  </si>
  <si>
    <t>Flybe MI</t>
  </si>
  <si>
    <t>EMT Maintenance</t>
  </si>
  <si>
    <t>Sitel 2020</t>
  </si>
  <si>
    <t>Support Tools Exeter PC</t>
  </si>
  <si>
    <t>EOM Absence</t>
  </si>
  <si>
    <t>Attrition</t>
  </si>
  <si>
    <t>QM Loggers</t>
  </si>
  <si>
    <t>Ad-Hoc</t>
  </si>
  <si>
    <t>Process Change Tracker</t>
  </si>
  <si>
    <t>Domestic &amp; General</t>
  </si>
  <si>
    <t>D&amp;G MI</t>
  </si>
  <si>
    <t>D&amp;G Agent MI</t>
  </si>
  <si>
    <t>D&amp;G Agent Comission</t>
  </si>
  <si>
    <t>CMSR data / Site Tracker Maintenance</t>
  </si>
  <si>
    <t>Site Tracker Maintenance</t>
  </si>
  <si>
    <t>Meetings/Discussions</t>
  </si>
  <si>
    <t>Kronos Reports</t>
  </si>
  <si>
    <t>MI Queries</t>
  </si>
  <si>
    <t>Report Queries</t>
  </si>
  <si>
    <t>Ad-Hoc Ops/Client Report (BO Report)</t>
  </si>
  <si>
    <t>Schedule/Change BO Report</t>
  </si>
  <si>
    <t>Flybe MI Migration</t>
  </si>
  <si>
    <t>Project</t>
  </si>
  <si>
    <t>SIOX Generic Dashboard</t>
  </si>
  <si>
    <t>VoC Report</t>
  </si>
  <si>
    <t>TCD Report</t>
  </si>
  <si>
    <t>JL MI Report (Customer Service)</t>
  </si>
  <si>
    <t>JL MI Report (Technical Support)</t>
  </si>
  <si>
    <t>Connex</t>
  </si>
  <si>
    <t>RN Implementation in Business Objects</t>
  </si>
  <si>
    <t>CMSR data in Site Tracker</t>
  </si>
  <si>
    <t>RA</t>
  </si>
  <si>
    <t>Belgrade</t>
  </si>
  <si>
    <t>Manilla</t>
  </si>
  <si>
    <t>BO Automations debugging and re-run</t>
  </si>
  <si>
    <t>Coventry SH</t>
  </si>
  <si>
    <t>Sum of Weekly hrs</t>
  </si>
  <si>
    <t>Row Labels</t>
  </si>
  <si>
    <t>Grand Total</t>
  </si>
  <si>
    <t>NL</t>
  </si>
  <si>
    <t>Daily Summary and validaitons</t>
  </si>
  <si>
    <t>2020 results</t>
  </si>
  <si>
    <r>
      <rPr>
        <sz val="12"/>
        <color rgb="FF1F497D"/>
        <rFont val="Times New Roman"/>
        <family val="1"/>
      </rPr>
      <t>Daily Login logout r</t>
    </r>
    <r>
      <rPr>
        <sz val="12"/>
        <color rgb="FF1F497D"/>
        <rFont val="Calibri"/>
        <family val="2"/>
        <scheme val="minor"/>
      </rPr>
      <t>eport</t>
    </r>
  </si>
  <si>
    <t>Disney</t>
  </si>
  <si>
    <t>Coventry EP</t>
  </si>
  <si>
    <t>SSE/Visa Domestic</t>
  </si>
  <si>
    <t>Visa International</t>
  </si>
  <si>
    <t>(blank)</t>
  </si>
  <si>
    <t>Various Projects work, e.g TV Dashboard implementation, JL migraiton, Mapping tools</t>
  </si>
  <si>
    <t>Monthly/Weekly</t>
  </si>
  <si>
    <t>Forecasts</t>
  </si>
  <si>
    <t>Column Labels</t>
  </si>
  <si>
    <t>Total Avalable</t>
  </si>
  <si>
    <t>Total Monhtly</t>
  </si>
  <si>
    <t>VISA</t>
  </si>
  <si>
    <t>% split</t>
  </si>
  <si>
    <t>Various ad hoc</t>
  </si>
  <si>
    <t>By Campaign</t>
  </si>
  <si>
    <t>All site</t>
  </si>
  <si>
    <t>Campaign weight</t>
  </si>
  <si>
    <t>Total campaign hours (weekly)</t>
  </si>
  <si>
    <t>% Workload</t>
  </si>
  <si>
    <t>Telephony Dashboard and back office</t>
  </si>
  <si>
    <t>Absence Reporting</t>
  </si>
  <si>
    <t>Other Report Queries</t>
  </si>
  <si>
    <t>BO Development, debugging and validation</t>
  </si>
  <si>
    <t>Schedule and modify BO Reports</t>
  </si>
  <si>
    <t>Monthly Brother Invoicing and data querying</t>
  </si>
  <si>
    <t>FTE weekly avail.</t>
  </si>
  <si>
    <t>avg. monthly woking hours</t>
  </si>
  <si>
    <t>Split by site</t>
  </si>
  <si>
    <t>Split by agent and site</t>
  </si>
  <si>
    <t>Total Hours weekly avg.</t>
  </si>
  <si>
    <t>Site level reports hours ,contributed to individual campaigns (weekly hrs) based on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</si>
</sst>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1F497D"/>
      <name val="Times New Roman"/>
      <family val="1"/>
    </font>
    <font>
      <sz val="12"/>
      <color rgb="FF1F497D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0" fillId="2" borderId="3" xfId="0" applyFont="1" applyFill="1" applyBorder="1" applyAlignment="1">
      <alignment horizontal="left" vertical="top"/>
    </xf>
    <xf numFmtId="0" fontId="0" fillId="2" borderId="3" xfId="0" applyFont="1" applyFill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/>
    </xf>
    <xf numFmtId="0" fontId="0" fillId="0" borderId="4" xfId="0" applyFont="1" applyBorder="1" applyAlignment="1">
      <alignment horizontal="left" vertical="top"/>
    </xf>
    <xf numFmtId="0" fontId="0" fillId="2" borderId="4" xfId="0" applyFont="1" applyFill="1" applyBorder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0" fillId="2" borderId="2" xfId="0" applyFont="1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2" borderId="5" xfId="0" applyFont="1" applyFill="1" applyBorder="1" applyAlignment="1">
      <alignment horizontal="left" vertical="top"/>
    </xf>
    <xf numFmtId="0" fontId="0" fillId="2" borderId="0" xfId="0" applyFont="1" applyFill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0" fillId="0" borderId="6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0" xfId="0" pivotButton="1"/>
    <xf numFmtId="0" fontId="0" fillId="0" borderId="0" xfId="0" applyFill="1" applyBorder="1" applyAlignment="1">
      <alignment horizontal="left" vertical="top"/>
    </xf>
    <xf numFmtId="9" fontId="0" fillId="0" borderId="0" xfId="0" applyNumberFormat="1"/>
    <xf numFmtId="9" fontId="0" fillId="0" borderId="0" xfId="1" applyFont="1"/>
    <xf numFmtId="165" fontId="0" fillId="0" borderId="0" xfId="0" applyNumberFormat="1"/>
    <xf numFmtId="0" fontId="0" fillId="0" borderId="6" xfId="0" applyFill="1" applyBorder="1" applyAlignment="1">
      <alignment horizontal="left" vertical="top"/>
    </xf>
    <xf numFmtId="0" fontId="0" fillId="0" borderId="6" xfId="0" applyBorder="1"/>
    <xf numFmtId="0" fontId="0" fillId="0" borderId="6" xfId="0" applyFont="1" applyFill="1" applyBorder="1" applyAlignment="1">
      <alignment horizontal="left" vertical="top"/>
    </xf>
    <xf numFmtId="0" fontId="0" fillId="0" borderId="0" xfId="0" applyAlignment="1">
      <alignment wrapText="1"/>
    </xf>
    <xf numFmtId="165" fontId="0" fillId="3" borderId="0" xfId="0" applyNumberFormat="1" applyFill="1"/>
    <xf numFmtId="0" fontId="0" fillId="0" borderId="6" xfId="0" applyBorder="1" applyAlignment="1">
      <alignment horizontal="left"/>
    </xf>
    <xf numFmtId="164" fontId="0" fillId="0" borderId="6" xfId="0" applyNumberFormat="1" applyBorder="1"/>
    <xf numFmtId="0" fontId="2" fillId="4" borderId="11" xfId="0" applyFont="1" applyFill="1" applyBorder="1" applyAlignment="1">
      <alignment horizontal="left"/>
    </xf>
    <xf numFmtId="0" fontId="2" fillId="0" borderId="12" xfId="0" applyFont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/>
    </xf>
    <xf numFmtId="0" fontId="0" fillId="0" borderId="6" xfId="0" applyFill="1" applyBorder="1"/>
    <xf numFmtId="0" fontId="0" fillId="0" borderId="6" xfId="0" applyNumberFormat="1" applyFill="1" applyBorder="1" applyAlignment="1">
      <alignment horizontal="left" vertical="top"/>
    </xf>
    <xf numFmtId="0" fontId="0" fillId="0" borderId="6" xfId="0" applyFont="1" applyFill="1" applyBorder="1" applyAlignment="1">
      <alignment horizontal="left" vertical="top" wrapText="1"/>
    </xf>
    <xf numFmtId="2" fontId="0" fillId="0" borderId="0" xfId="0" applyNumberFormat="1"/>
    <xf numFmtId="2" fontId="2" fillId="4" borderId="10" xfId="0" applyNumberFormat="1" applyFont="1" applyFill="1" applyBorder="1"/>
    <xf numFmtId="2" fontId="2" fillId="4" borderId="11" xfId="0" applyNumberFormat="1" applyFont="1" applyFill="1" applyBorder="1"/>
    <xf numFmtId="2" fontId="6" fillId="3" borderId="0" xfId="0" applyNumberFormat="1" applyFont="1" applyFill="1"/>
  </cellXfs>
  <cellStyles count="2">
    <cellStyle name="Normal" xfId="0" builtinId="0"/>
    <cellStyle name="Percent" xfId="1" builtinId="5"/>
  </cellStyles>
  <dxfs count="4">
    <dxf>
      <numFmt numFmtId="2" formatCode="0.00"/>
    </dxf>
    <dxf>
      <numFmt numFmtId="2" formatCode="0.00"/>
    </dxf>
    <dxf>
      <numFmt numFmtId="13" formatCode="0%"/>
    </dxf>
    <dxf>
      <numFmt numFmtId="165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eorgi Tsatsev" refreshedDate="43542.566896759257" createdVersion="5" refreshedVersion="5" minRefreshableVersion="3" recordCount="113">
  <cacheSource type="worksheet">
    <worksheetSource ref="A2:I132" sheet="Split by sites"/>
  </cacheSource>
  <cacheFields count="9">
    <cacheField name="RA" numFmtId="0">
      <sharedItems containsBlank="1" count="6">
        <s v="MS"/>
        <s v="YF"/>
        <s v="ID"/>
        <s v="NL"/>
        <s v="GK"/>
        <m/>
      </sharedItems>
    </cacheField>
    <cacheField name="#" numFmtId="0">
      <sharedItems containsString="0" containsBlank="1" containsNumber="1" containsInteger="1" minValue="1" maxValue="112"/>
    </cacheField>
    <cacheField name="Site" numFmtId="0">
      <sharedItems containsBlank="1" count="9">
        <s v="Belgrade"/>
        <s v="Coventry EP"/>
        <s v="Coventry SH"/>
        <s v="Exeter"/>
        <s v="Plymouth"/>
        <s v="Kingston"/>
        <s v="Manilla"/>
        <s v="Newcastle"/>
        <m/>
      </sharedItems>
    </cacheField>
    <cacheField name="Sites applicable to" numFmtId="0">
      <sharedItems containsBlank="1"/>
    </cacheField>
    <cacheField name="Campaign" numFmtId="0">
      <sharedItems containsBlank="1"/>
    </cacheField>
    <cacheField name="Sub Campaign" numFmtId="0">
      <sharedItems containsBlank="1"/>
    </cacheField>
    <cacheField name="Report Name" numFmtId="0">
      <sharedItems containsBlank="1" containsMixedTypes="1" containsNumber="1" containsInteger="1" minValue="2020" maxValue="2020"/>
    </cacheField>
    <cacheField name="Frequency" numFmtId="0">
      <sharedItems containsBlank="1"/>
    </cacheField>
    <cacheField name="Weekly hrs" numFmtId="0">
      <sharedItems containsString="0" containsBlank="1" containsNumber="1" minValue="0.1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Georgi Tsatsev" refreshedDate="43542.567242708334" createdVersion="5" refreshedVersion="5" minRefreshableVersion="3" recordCount="113">
  <cacheSource type="worksheet">
    <worksheetSource ref="A2:I130" sheet="Split by sites"/>
  </cacheSource>
  <cacheFields count="10">
    <cacheField name="RA" numFmtId="0">
      <sharedItems containsBlank="1"/>
    </cacheField>
    <cacheField name="#" numFmtId="0">
      <sharedItems containsString="0" containsBlank="1" containsNumber="1" containsInteger="1" minValue="1" maxValue="112"/>
    </cacheField>
    <cacheField name="Site" numFmtId="0">
      <sharedItems containsBlank="1" count="9">
        <s v="Belgrade"/>
        <s v="Coventry EP"/>
        <s v="Coventry SH"/>
        <s v="Exeter"/>
        <s v="Plymouth"/>
        <s v="Kingston"/>
        <s v="Manilla"/>
        <s v="Newcastle"/>
        <m/>
      </sharedItems>
    </cacheField>
    <cacheField name="Sites applicable to" numFmtId="0">
      <sharedItems containsBlank="1"/>
    </cacheField>
    <cacheField name="Campaign" numFmtId="0">
      <sharedItems containsBlank="1" count="20">
        <s v="Flybe"/>
        <s v="Visa International"/>
        <s v="Elavon"/>
        <s v="All"/>
        <s v="D&amp;G"/>
        <m/>
        <s v="John Lewis"/>
        <s v="Domestic &amp; General"/>
        <s v="Heathrow"/>
        <s v="Johnson &amp; Johnson"/>
        <s v="Brother"/>
        <s v="Medtronic"/>
        <s v="Canon"/>
        <s v="SSE"/>
        <s v="SSE/Visa Domestic"/>
        <s v="D&amp;G/Hovis/Sotheby's/SSE/Visa/VM/JL"/>
        <s v="Philips"/>
        <s v="Toshiba"/>
        <s v="Voyage Prive"/>
        <s v="Telephony Dashboard" u="1"/>
      </sharedItems>
      <fieldGroup par="9"/>
    </cacheField>
    <cacheField name="Sub Campaign" numFmtId="0">
      <sharedItems containsBlank="1"/>
    </cacheField>
    <cacheField name="Report Name" numFmtId="0">
      <sharedItems containsBlank="1" containsMixedTypes="1" containsNumber="1" containsInteger="1" minValue="2020" maxValue="2020"/>
    </cacheField>
    <cacheField name="Frequency" numFmtId="0">
      <sharedItems containsBlank="1"/>
    </cacheField>
    <cacheField name="Weekly hrs" numFmtId="0">
      <sharedItems containsString="0" containsBlank="1" containsNumber="1" minValue="0.1" maxValue="16"/>
    </cacheField>
    <cacheField name="Campaign2" numFmtId="0" databaseField="0">
      <fieldGroup base="4">
        <discretePr count="20">
          <x v="0"/>
          <x v="14"/>
          <x v="11"/>
          <x v="15"/>
          <x v="13"/>
          <x v="15"/>
          <x v="1"/>
          <x v="13"/>
          <x v="2"/>
          <x v="5"/>
          <x v="7"/>
          <x v="8"/>
          <x v="9"/>
          <x v="10"/>
          <x v="14"/>
          <x v="13"/>
          <x v="12"/>
          <x v="4"/>
          <x v="3"/>
          <x v="6"/>
        </discretePr>
        <groupItems count="16">
          <s v="Flybe"/>
          <s v="John Lewis"/>
          <s v="Heathrow"/>
          <s v="Voyage Prive"/>
          <s v="Toshiba"/>
          <s v="Johnson &amp; Johnson"/>
          <s v="Telephony Dashboard"/>
          <s v="Brother"/>
          <s v="Medtronic"/>
          <s v="Canon"/>
          <s v="SSE"/>
          <s v="Elavon"/>
          <s v="Philips"/>
          <s v="Group1"/>
          <s v="Group2"/>
          <s v="Group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3">
  <r>
    <x v="0"/>
    <n v="1"/>
    <x v="0"/>
    <s v="Belgrade"/>
    <s v="Flybe"/>
    <m/>
    <s v="Flybe MI"/>
    <s v="Daily"/>
    <n v="0.25"/>
  </r>
  <r>
    <x v="0"/>
    <n v="2"/>
    <x v="0"/>
    <s v="Belgrade"/>
    <s v="Flybe"/>
    <m/>
    <s v="QM Loggers"/>
    <s v="Ad-Hoc"/>
    <n v="0.5"/>
  </r>
  <r>
    <x v="0"/>
    <n v="3"/>
    <x v="0"/>
    <s v="Belgrade"/>
    <s v="Flybe"/>
    <m/>
    <s v="Flybe MI Migration"/>
    <s v="Ad-Hoc"/>
    <n v="0.5"/>
  </r>
  <r>
    <x v="1"/>
    <n v="4"/>
    <x v="1"/>
    <m/>
    <s v="Visa International"/>
    <m/>
    <m/>
    <m/>
    <n v="3"/>
  </r>
  <r>
    <x v="1"/>
    <n v="5"/>
    <x v="1"/>
    <s v="Coventry "/>
    <s v="Elavon"/>
    <s v="Elavon"/>
    <s v="MI Report"/>
    <s v="Daily"/>
    <n v="2.5"/>
  </r>
  <r>
    <x v="1"/>
    <n v="6"/>
    <x v="1"/>
    <m/>
    <s v="Visa International"/>
    <m/>
    <m/>
    <s v="Ad hoc"/>
    <n v="2"/>
  </r>
  <r>
    <x v="1"/>
    <n v="7"/>
    <x v="2"/>
    <s v="Coventry"/>
    <s v="All"/>
    <m/>
    <s v="Absence Reporting (Coventry)"/>
    <s v="Daily"/>
    <n v="0.25"/>
  </r>
  <r>
    <x v="2"/>
    <n v="8"/>
    <x v="2"/>
    <s v="Coventry"/>
    <s v="D&amp;G"/>
    <m/>
    <s v="Daily Summary and validaitons"/>
    <s v="Daily"/>
    <n v="6"/>
  </r>
  <r>
    <x v="1"/>
    <n v="9"/>
    <x v="2"/>
    <s v="Coventry"/>
    <s v="D&amp;G"/>
    <m/>
    <s v="D&amp;G Agent Commission Dashboard"/>
    <s v="Weekly"/>
    <n v="0.25"/>
  </r>
  <r>
    <x v="1"/>
    <n v="10"/>
    <x v="2"/>
    <s v="Coventry"/>
    <s v="D&amp;G"/>
    <m/>
    <s v="D&amp;G Weekly Kronos Report"/>
    <s v="Thu/Weekly"/>
    <n v="0.25"/>
  </r>
  <r>
    <x v="2"/>
    <n v="11"/>
    <x v="2"/>
    <s v="Coventry"/>
    <s v="D&amp;G"/>
    <m/>
    <s v="Agent AUX/Productivity Report"/>
    <s v="Daily"/>
    <n v="4"/>
  </r>
  <r>
    <x v="2"/>
    <n v="12"/>
    <x v="2"/>
    <m/>
    <s v="D&amp;G"/>
    <m/>
    <s v="2020 results"/>
    <s v="Weekly"/>
    <n v="0.25"/>
  </r>
  <r>
    <x v="2"/>
    <n v="13"/>
    <x v="2"/>
    <s v="Coventry"/>
    <s v="D&amp;G"/>
    <m/>
    <s v="Ad Hocs(D&amp;G, ex. Developing Performace report, 2020, QA Dashboard)"/>
    <s v="Ad hoc"/>
    <n v="16"/>
  </r>
  <r>
    <x v="2"/>
    <n v="14"/>
    <x v="3"/>
    <s v="Exeter"/>
    <s v="All"/>
    <m/>
    <s v="Absence Dashboard"/>
    <s v="Daily"/>
    <n v="0.5"/>
  </r>
  <r>
    <x v="0"/>
    <n v="15"/>
    <x v="4"/>
    <s v="Plymouth"/>
    <s v="All"/>
    <m/>
    <s v="Absence Dashboard"/>
    <s v="Daily"/>
    <n v="0.33333333333333331"/>
  </r>
  <r>
    <x v="0"/>
    <n v="16"/>
    <x v="3"/>
    <s v="Exeter"/>
    <s v="All"/>
    <m/>
    <s v="Ad-Hoc Ops/Client Report (BO Report)"/>
    <s v="Ad-Hoc"/>
    <n v="2"/>
  </r>
  <r>
    <x v="0"/>
    <n v="17"/>
    <x v="4"/>
    <s v="Plymouth"/>
    <s v="All"/>
    <m/>
    <s v="Attrition"/>
    <s v="Monthly/Weekly"/>
    <n v="1"/>
  </r>
  <r>
    <x v="2"/>
    <n v="18"/>
    <x v="3"/>
    <s v="Exeter"/>
    <s v="All"/>
    <m/>
    <s v="Attrition"/>
    <s v="Monthly/Weekly"/>
    <n v="1"/>
  </r>
  <r>
    <x v="3"/>
    <n v="19"/>
    <x v="4"/>
    <s v="Plymouth"/>
    <s v="All"/>
    <m/>
    <s v="BO Automations debugging and re-run"/>
    <s v="Ad-Hoc"/>
    <n v="2"/>
  </r>
  <r>
    <x v="0"/>
    <n v="20"/>
    <x v="3"/>
    <s v="Exeter"/>
    <s v="All"/>
    <m/>
    <s v="BO Development, debugging and validation"/>
    <s v="Ad-Hoc"/>
    <n v="1"/>
  </r>
  <r>
    <x v="0"/>
    <n v="21"/>
    <x v="4"/>
    <s v="Exeter"/>
    <s v="All"/>
    <m/>
    <s v="BO Development, debugging and validation"/>
    <s v="Ad-Hoc"/>
    <n v="1"/>
  </r>
  <r>
    <x v="2"/>
    <n v="22"/>
    <x v="3"/>
    <s v="Exeter"/>
    <s v="All"/>
    <m/>
    <s v="BO Development, debugging and validation"/>
    <s v="Ad-Hoc"/>
    <n v="2"/>
  </r>
  <r>
    <x v="0"/>
    <n v="23"/>
    <x v="4"/>
    <s v="Plymouth"/>
    <m/>
    <m/>
    <s v="CMSR data / Site Tracker Maintenance"/>
    <s v="Monthly"/>
    <n v="0.5"/>
  </r>
  <r>
    <x v="2"/>
    <n v="24"/>
    <x v="4"/>
    <s v="Exeter"/>
    <s v="All"/>
    <m/>
    <s v="BO Development, debugging and validation"/>
    <s v="Ad-Hoc"/>
    <n v="2"/>
  </r>
  <r>
    <x v="2"/>
    <n v="25"/>
    <x v="3"/>
    <s v="Exeter"/>
    <s v="All"/>
    <m/>
    <s v="CMSR data / Site Tracker Maintenance"/>
    <s v="Monthly"/>
    <n v="0.5"/>
  </r>
  <r>
    <x v="3"/>
    <n v="26"/>
    <x v="4"/>
    <s v="Plymouth"/>
    <s v="All"/>
    <m/>
    <s v="CMSR data in Site Tracker"/>
    <s v="Project"/>
    <n v="2"/>
  </r>
  <r>
    <x v="0"/>
    <n v="27"/>
    <x v="4"/>
    <s v="Plymouth"/>
    <s v="John Lewis"/>
    <m/>
    <s v="Connex"/>
    <s v="Project"/>
    <n v="2"/>
  </r>
  <r>
    <x v="0"/>
    <n v="28"/>
    <x v="4"/>
    <s v="Plymouth"/>
    <s v="Domestic &amp; General"/>
    <m/>
    <s v="D&amp;G Agent Comission"/>
    <s v="Monthly"/>
    <n v="0.33333333333333331"/>
  </r>
  <r>
    <x v="0"/>
    <n v="29"/>
    <x v="4"/>
    <s v="Plymouth"/>
    <s v="Domestic &amp; General"/>
    <m/>
    <s v="D&amp;G Agent MI"/>
    <s v="Daily"/>
    <n v="0.5"/>
  </r>
  <r>
    <x v="0"/>
    <n v="30"/>
    <x v="4"/>
    <s v="Plymouth"/>
    <s v="Domestic &amp; General"/>
    <m/>
    <s v="D&amp;G MI"/>
    <s v="Daily"/>
    <n v="0.5"/>
  </r>
  <r>
    <x v="0"/>
    <n v="31"/>
    <x v="4"/>
    <s v="Plymouth"/>
    <s v="All"/>
    <m/>
    <s v="EOM Absence"/>
    <s v="Monthly"/>
    <n v="0.5"/>
  </r>
  <r>
    <x v="0"/>
    <n v="32"/>
    <x v="3"/>
    <s v="Exeter"/>
    <s v="Flybe"/>
    <m/>
    <s v="Flybe MI"/>
    <s v="Daily"/>
    <n v="0.25"/>
  </r>
  <r>
    <x v="0"/>
    <n v="33"/>
    <x v="3"/>
    <s v="Exeter"/>
    <s v="All"/>
    <m/>
    <s v="Forecasts"/>
    <s v="Monthly/Weekly"/>
    <n v="0.5"/>
  </r>
  <r>
    <x v="2"/>
    <n v="34"/>
    <x v="3"/>
    <s v="Exeter"/>
    <s v="All"/>
    <m/>
    <s v="EOM Absence"/>
    <s v="Monthly"/>
    <n v="0.5"/>
  </r>
  <r>
    <x v="0"/>
    <n v="35"/>
    <x v="4"/>
    <s v="Plymouth"/>
    <s v="All"/>
    <m/>
    <s v="Forecasts"/>
    <s v="Monthly/Weekly"/>
    <n v="0.25"/>
  </r>
  <r>
    <x v="0"/>
    <n v="36"/>
    <x v="3"/>
    <s v="Exeter"/>
    <s v="John Lewis"/>
    <m/>
    <s v="Gradbay Telephony Performance"/>
    <s v="Weekly"/>
    <n v="0.5"/>
  </r>
  <r>
    <x v="0"/>
    <n v="37"/>
    <x v="3"/>
    <s v="Exeter"/>
    <s v="Heathrow"/>
    <m/>
    <s v="Heathrow MI"/>
    <s v="Daily"/>
    <n v="0.33333333333333331"/>
  </r>
  <r>
    <x v="0"/>
    <n v="38"/>
    <x v="3"/>
    <s v="Exeter"/>
    <s v="Johnson &amp; Johnson"/>
    <m/>
    <s v="J &amp; J MI"/>
    <s v="Daily"/>
    <n v="0.25"/>
  </r>
  <r>
    <x v="0"/>
    <n v="39"/>
    <x v="4"/>
    <s v="Plymouth"/>
    <s v="John Lewis"/>
    <m/>
    <s v="JL MI Report (Customer Service)"/>
    <s v="Project"/>
    <n v="1.5"/>
  </r>
  <r>
    <x v="0"/>
    <n v="40"/>
    <x v="4"/>
    <s v="Plymouth"/>
    <s v="John Lewis"/>
    <m/>
    <s v="John Lewis Customer Service"/>
    <s v="Daily"/>
    <n v="0.33333333333333331"/>
  </r>
  <r>
    <x v="0"/>
    <n v="41"/>
    <x v="3"/>
    <s v="Exeter"/>
    <s v="John Lewis"/>
    <m/>
    <s v="John Lewis EHT MI"/>
    <s v="Daily"/>
    <n v="0.5"/>
  </r>
  <r>
    <x v="0"/>
    <n v="42"/>
    <x v="3"/>
    <s v="Exeter"/>
    <s v="John Lewis"/>
    <m/>
    <s v="John Lewis HomeSolutions"/>
    <s v="Daily"/>
    <n v="0.5"/>
  </r>
  <r>
    <x v="0"/>
    <n v="43"/>
    <x v="3"/>
    <s v="Exeter"/>
    <s v="John Lewis"/>
    <m/>
    <s v="John Lewis IVR MI"/>
    <s v="Daily"/>
    <n v="0.5"/>
  </r>
  <r>
    <x v="0"/>
    <n v="44"/>
    <x v="3"/>
    <s v="Exeter"/>
    <s v="John Lewis"/>
    <m/>
    <s v="John Lewis TechnicalSupport"/>
    <s v="Daily"/>
    <n v="0.5"/>
  </r>
  <r>
    <x v="0"/>
    <n v="45"/>
    <x v="4"/>
    <s v="Plymouth"/>
    <s v="All"/>
    <m/>
    <s v="Kronos Reports"/>
    <s v="Ad-Hoc"/>
    <n v="0.25"/>
  </r>
  <r>
    <x v="0"/>
    <n v="46"/>
    <x v="3"/>
    <s v="Exeter"/>
    <s v="All"/>
    <m/>
    <s v="Meetings/Discussions"/>
    <s v="Daily"/>
    <n v="4"/>
  </r>
  <r>
    <x v="0"/>
    <n v="47"/>
    <x v="4"/>
    <s v="Plymouth"/>
    <m/>
    <m/>
    <s v="Meetings/Discussions"/>
    <s v="Daily"/>
    <n v="3"/>
  </r>
  <r>
    <x v="0"/>
    <n v="48"/>
    <x v="3"/>
    <s v="Exeter"/>
    <s v="John Lewis"/>
    <m/>
    <s v="MI Queries"/>
    <s v="Ad-Hoc"/>
    <n v="2"/>
  </r>
  <r>
    <x v="0"/>
    <n v="49"/>
    <x v="4"/>
    <s v="Plymouth"/>
    <s v="Domestic &amp; General"/>
    <m/>
    <s v="MI Queries"/>
    <s v="Ad-Hoc"/>
    <n v="1"/>
  </r>
  <r>
    <x v="3"/>
    <n v="50"/>
    <x v="4"/>
    <s v="Plymouth"/>
    <s v="John Lewis"/>
    <m/>
    <s v="MI Queries"/>
    <s v="Ad-Hoc"/>
    <n v="1"/>
  </r>
  <r>
    <x v="0"/>
    <n v="51"/>
    <x v="3"/>
    <s v="Exeter"/>
    <s v="John Lewis"/>
    <m/>
    <s v="Other Report Queries"/>
    <s v="Ad-Hoc"/>
    <n v="1"/>
  </r>
  <r>
    <x v="0"/>
    <n v="52"/>
    <x v="3"/>
    <s v="Exeter"/>
    <s v="Flybe"/>
    <m/>
    <s v="QM Loggers"/>
    <s v="Ad-Hoc"/>
    <n v="0.5"/>
  </r>
  <r>
    <x v="0"/>
    <n v="53"/>
    <x v="3"/>
    <s v="Exeter"/>
    <s v="John Lewis"/>
    <m/>
    <s v="RN Implementation in Business Objects"/>
    <s v="Project"/>
    <n v="0.5"/>
  </r>
  <r>
    <x v="0"/>
    <n v="54"/>
    <x v="4"/>
    <s v="Plymouth"/>
    <s v="John Lewis"/>
    <m/>
    <s v="RN Implementation in Business Objects"/>
    <s v="Project"/>
    <n v="0.5"/>
  </r>
  <r>
    <x v="0"/>
    <n v="55"/>
    <x v="4"/>
    <s v="Plymouth"/>
    <s v="D&amp;G"/>
    <m/>
    <s v="SIOX Generic Dashboard"/>
    <s v="Project"/>
    <n v="0.5"/>
  </r>
  <r>
    <x v="4"/>
    <n v="56"/>
    <x v="5"/>
    <s v="Kingston"/>
    <s v="Brother"/>
    <m/>
    <s v="Brother Daily Dashboard"/>
    <s v="Daily"/>
    <n v="5"/>
  </r>
  <r>
    <x v="4"/>
    <n v="57"/>
    <x v="5"/>
    <s v="Kingston"/>
    <s v="Brother"/>
    <m/>
    <s v="Monthly Brother Invoicing and data querying"/>
    <s v="Monthly"/>
    <n v="1"/>
  </r>
  <r>
    <x v="4"/>
    <n v="58"/>
    <x v="5"/>
    <s v="Kingston"/>
    <s v="Brother"/>
    <m/>
    <s v="Brother GMR"/>
    <s v="Weekly"/>
    <n v="0.5"/>
  </r>
  <r>
    <x v="4"/>
    <n v="59"/>
    <x v="5"/>
    <s v="Kingston"/>
    <s v="Brother"/>
    <m/>
    <s v="Brother 2020 Upload"/>
    <s v="Weekly"/>
    <n v="0.5"/>
  </r>
  <r>
    <x v="4"/>
    <n v="60"/>
    <x v="5"/>
    <s v="Kingston"/>
    <s v="Medtronic"/>
    <m/>
    <s v="Medtronic MI"/>
    <s v="Daily"/>
    <n v="2"/>
  </r>
  <r>
    <x v="4"/>
    <n v="61"/>
    <x v="5"/>
    <s v="Kingston"/>
    <s v="Brother"/>
    <m/>
    <s v="Brother Agent Productivity"/>
    <s v="Daily"/>
    <n v="2"/>
  </r>
  <r>
    <x v="4"/>
    <n v="62"/>
    <x v="5"/>
    <s v="Kingston"/>
    <s v="Canon"/>
    <m/>
    <s v="Canon MI"/>
    <s v="Daily"/>
    <n v="1"/>
  </r>
  <r>
    <x v="4"/>
    <n v="63"/>
    <x v="5"/>
    <s v="Kingston"/>
    <s v="Brother"/>
    <m/>
    <m/>
    <s v="Ad hoc"/>
    <n v="1"/>
  </r>
  <r>
    <x v="4"/>
    <n v="64"/>
    <x v="5"/>
    <s v="Kingston"/>
    <s v="D&amp;G"/>
    <m/>
    <s v="Telephony Dashboard and back office"/>
    <s v="Project"/>
    <n v="4"/>
  </r>
  <r>
    <x v="4"/>
    <n v="65"/>
    <x v="5"/>
    <s v="Kingston"/>
    <s v="D&amp;G"/>
    <m/>
    <n v="2020"/>
    <s v="Weekly"/>
    <n v="1"/>
  </r>
  <r>
    <x v="5"/>
    <n v="66"/>
    <x v="5"/>
    <s v="Kingston"/>
    <s v="All"/>
    <m/>
    <s v="Absence Reporting"/>
    <s v="Daily"/>
    <n v="1"/>
  </r>
  <r>
    <x v="3"/>
    <n v="67"/>
    <x v="6"/>
    <s v="Manilla"/>
    <s v="John Lewis"/>
    <m/>
    <s v="Process Change Tracker"/>
    <s v="Ad-Hoc"/>
    <n v="1"/>
  </r>
  <r>
    <x v="1"/>
    <n v="68"/>
    <x v="7"/>
    <s v="Newcastle"/>
    <s v="SSE"/>
    <s v="Smart/Snowdon/Heritage/WHD/Inbound Collections/Backdating Report"/>
    <s v="SSE MI Reports - Client(SFTP)"/>
    <s v="Daily"/>
    <n v="6"/>
  </r>
  <r>
    <x v="1"/>
    <n v="69"/>
    <x v="7"/>
    <s v="Newcastle"/>
    <s v="SSE"/>
    <s v="Smart"/>
    <s v="SSE Client Report - Client(SFTP)"/>
    <s v="Daily"/>
    <n v="2"/>
  </r>
  <r>
    <x v="1"/>
    <n v="70"/>
    <x v="7"/>
    <s v="Newcastle"/>
    <s v="SSE/Visa Domestic"/>
    <m/>
    <s v="SSE and Visa MI &amp; TM reports - OPS"/>
    <s v="Daily"/>
    <n v="2"/>
  </r>
  <r>
    <x v="1"/>
    <n v="71"/>
    <x v="7"/>
    <s v="Newcastle"/>
    <s v="D&amp;G/Hovis/Sotheby's/SSE/Visa/VM/JL"/>
    <m/>
    <s v="GMR's"/>
    <s v="Weekly"/>
    <n v="1"/>
  </r>
  <r>
    <x v="1"/>
    <n v="72"/>
    <x v="7"/>
    <s v="Newcastle"/>
    <s v="SSE"/>
    <s v="Snowdon/SMART"/>
    <s v="SSE NPS Report"/>
    <s v="Daily"/>
    <n v="3"/>
  </r>
  <r>
    <x v="1"/>
    <n v="73"/>
    <x v="7"/>
    <s v="Newcastle"/>
    <s v="Philips"/>
    <s v="TPV"/>
    <s v="Philips TPV MTD"/>
    <s v="Daily"/>
    <n v="6"/>
  </r>
  <r>
    <x v="1"/>
    <n v="74"/>
    <x v="7"/>
    <s v="Newcastle"/>
    <s v="Philips"/>
    <s v="Philips"/>
    <s v="Philips CL MTD"/>
    <s v="Mon/Thu"/>
    <n v="2"/>
  </r>
  <r>
    <x v="1"/>
    <n v="75"/>
    <x v="7"/>
    <s v="Newcastle"/>
    <s v="John Lewis"/>
    <m/>
    <s v="Process Change Tracker"/>
    <s v="Ad-Hoc"/>
    <n v="1"/>
  </r>
  <r>
    <x v="1"/>
    <n v="76"/>
    <x v="7"/>
    <s v="Newcastle"/>
    <s v="John Lewis"/>
    <m/>
    <s v="JL MI Report (Customer Service)"/>
    <s v="Project"/>
    <n v="1.5"/>
  </r>
  <r>
    <x v="1"/>
    <n v="77"/>
    <x v="7"/>
    <m/>
    <s v="SSE"/>
    <m/>
    <m/>
    <s v="Ad hoc"/>
    <n v="2"/>
  </r>
  <r>
    <x v="1"/>
    <n v="78"/>
    <x v="7"/>
    <s v="Philips"/>
    <s v="Philips"/>
    <s v="Philips CL MTD"/>
    <s v="Various ad hoc"/>
    <s v="Ad hoc"/>
    <n v="4"/>
  </r>
  <r>
    <x v="0"/>
    <n v="79"/>
    <x v="4"/>
    <s v="Plymouth"/>
    <s v="All"/>
    <m/>
    <s v="Site Tracker Maintenance"/>
    <s v="Monthly"/>
    <n v="0.25"/>
  </r>
  <r>
    <x v="2"/>
    <n v="80"/>
    <x v="3"/>
    <s v="Exeter"/>
    <s v="All"/>
    <s v="All"/>
    <s v="Monthly Absence"/>
    <s v="Monthly"/>
    <n v="0.25"/>
  </r>
  <r>
    <x v="2"/>
    <n v="81"/>
    <x v="4"/>
    <s v="Plymouth"/>
    <s v="All"/>
    <s v="All"/>
    <s v="Monthly Absence"/>
    <s v="Monthly"/>
    <n v="0.5"/>
  </r>
  <r>
    <x v="0"/>
    <n v="82"/>
    <x v="3"/>
    <s v="Exeter"/>
    <s v="All"/>
    <m/>
    <s v="Sitel 2020"/>
    <s v="Weekly"/>
    <n v="0.5"/>
  </r>
  <r>
    <x v="0"/>
    <n v="83"/>
    <x v="3"/>
    <s v="Exeter"/>
    <s v="All"/>
    <m/>
    <s v="Sitel 2020"/>
    <s v="Project"/>
    <n v="0.25"/>
  </r>
  <r>
    <x v="0"/>
    <n v="84"/>
    <x v="4"/>
    <s v="Plymouth"/>
    <s v="All"/>
    <m/>
    <s v="Sitel 2020"/>
    <s v="Weekly"/>
    <n v="0.25"/>
  </r>
  <r>
    <x v="0"/>
    <n v="85"/>
    <x v="4"/>
    <s v="Plymouth"/>
    <s v="All"/>
    <m/>
    <s v="Sitel 2020"/>
    <s v="Project"/>
    <n v="0.25"/>
  </r>
  <r>
    <x v="0"/>
    <n v="86"/>
    <x v="3"/>
    <s v="Exeter"/>
    <s v="All"/>
    <m/>
    <s v="Support Tools Exeter PC"/>
    <s v="Daily"/>
    <n v="0.5"/>
  </r>
  <r>
    <x v="0"/>
    <n v="87"/>
    <x v="4"/>
    <s v="Plymouth"/>
    <s v="John Lewis"/>
    <m/>
    <s v="TCD Report"/>
    <s v="Project"/>
    <n v="0.5"/>
  </r>
  <r>
    <x v="0"/>
    <n v="88"/>
    <x v="4"/>
    <s v="Exeter/Plymouth/Newcastle"/>
    <s v="All"/>
    <m/>
    <s v="Telephony Dashboard"/>
    <s v="Daily"/>
    <n v="0.33333333333333331"/>
  </r>
  <r>
    <x v="0"/>
    <n v="89"/>
    <x v="3"/>
    <s v="Exeter"/>
    <s v="Toshiba"/>
    <m/>
    <s v="Toshiba MI"/>
    <s v="Daily"/>
    <n v="0.25"/>
  </r>
  <r>
    <x v="0"/>
    <n v="90"/>
    <x v="3"/>
    <s v="Exeter"/>
    <s v="John Lewis"/>
    <m/>
    <s v="VoC Report"/>
    <s v="Project"/>
    <n v="1"/>
  </r>
  <r>
    <x v="0"/>
    <n v="91"/>
    <x v="4"/>
    <s v="Plymouth"/>
    <s v="John Lewis"/>
    <m/>
    <s v="VoC Report"/>
    <s v="Project"/>
    <n v="0.5"/>
  </r>
  <r>
    <x v="0"/>
    <n v="92"/>
    <x v="3"/>
    <s v="Exeter"/>
    <s v="Voyage Prive"/>
    <m/>
    <s v="Voyage Prive MI"/>
    <s v="Daily"/>
    <n v="0.1"/>
  </r>
  <r>
    <x v="3"/>
    <n v="93"/>
    <x v="4"/>
    <s v="Plymouth"/>
    <s v="All"/>
    <m/>
    <s v="Ad-Hoc Ops/Client Report (BO Report)"/>
    <s v="Ad-Hoc"/>
    <n v="1"/>
  </r>
  <r>
    <x v="3"/>
    <n v="94"/>
    <x v="3"/>
    <s v="Exeter"/>
    <s v="All"/>
    <m/>
    <s v="EMT Maintenance"/>
    <s v="Daily"/>
    <n v="3"/>
  </r>
  <r>
    <x v="3"/>
    <n v="95"/>
    <x v="4"/>
    <s v="Plymouth"/>
    <s v="All"/>
    <m/>
    <s v="EMT Maintenance"/>
    <s v="Daily"/>
    <n v="3"/>
  </r>
  <r>
    <x v="3"/>
    <n v="96"/>
    <x v="3"/>
    <s v="Exeter"/>
    <s v="Flybe"/>
    <m/>
    <s v="Flybe MI Migration"/>
    <s v="Project"/>
    <n v="1"/>
  </r>
  <r>
    <x v="3"/>
    <n v="97"/>
    <x v="3"/>
    <s v="Exeter"/>
    <s v="John Lewis"/>
    <m/>
    <s v="JL MI Report (Customer Service)"/>
    <s v="Project"/>
    <n v="1.5"/>
  </r>
  <r>
    <x v="0"/>
    <n v="98"/>
    <x v="3"/>
    <s v="Exeter"/>
    <s v="John Lewis"/>
    <m/>
    <s v="JL MI Report (Technical Support)"/>
    <s v="Project"/>
    <n v="4"/>
  </r>
  <r>
    <x v="3"/>
    <n v="99"/>
    <x v="3"/>
    <s v="Exeter"/>
    <s v="John Lewis"/>
    <m/>
    <s v="Process Change Tracker"/>
    <s v="Ad-Hoc"/>
    <n v="1"/>
  </r>
  <r>
    <x v="3"/>
    <n v="100"/>
    <x v="4"/>
    <s v="Plymouth"/>
    <s v="John Lewis"/>
    <m/>
    <s v="Process Change Tracker"/>
    <s v="Ad-Hoc"/>
    <n v="1"/>
  </r>
  <r>
    <x v="3"/>
    <n v="101"/>
    <x v="4"/>
    <s v="Plymouth"/>
    <s v="John Lewis"/>
    <m/>
    <s v="Report Queries"/>
    <s v="Ad-Hoc"/>
    <n v="0.33333333333333331"/>
  </r>
  <r>
    <x v="2"/>
    <n v="102"/>
    <x v="3"/>
    <s v="Exeter/Plymouth/Newcastle"/>
    <s v="All"/>
    <m/>
    <s v="Telephony Dashboard"/>
    <s v="Daily"/>
    <n v="0.5"/>
  </r>
  <r>
    <x v="3"/>
    <n v="103"/>
    <x v="3"/>
    <s v="Exeter"/>
    <s v="All"/>
    <m/>
    <s v="Schedule and modify BO Reports"/>
    <s v="Ad-Hoc"/>
    <n v="3"/>
  </r>
  <r>
    <x v="3"/>
    <n v="104"/>
    <x v="4"/>
    <s v="Plymouth"/>
    <s v="All"/>
    <m/>
    <s v="Schedule/Change BO Report"/>
    <s v="Ad-Hoc"/>
    <n v="1"/>
  </r>
  <r>
    <x v="2"/>
    <n v="105"/>
    <x v="3"/>
    <s v="Exeter"/>
    <s v="John Lewis"/>
    <s v="John Lewis"/>
    <s v="TV Troubleshoot 2020"/>
    <s v="Monday"/>
    <n v="0.25"/>
  </r>
  <r>
    <x v="2"/>
    <n v="106"/>
    <x v="3"/>
    <s v="Exeter"/>
    <s v="John Lewis"/>
    <s v="John Lewis"/>
    <s v="TV Troubleshoot Dashboard"/>
    <s v="Monday"/>
    <n v="0.5"/>
  </r>
  <r>
    <x v="2"/>
    <n v="107"/>
    <x v="3"/>
    <s v="Exeter"/>
    <s v="John Lewis"/>
    <s v="John Lewis"/>
    <s v="TV Troubleshoot Dashboard TM's Edition"/>
    <s v="Monday"/>
    <n v="0.25"/>
  </r>
  <r>
    <x v="2"/>
    <n v="108"/>
    <x v="3"/>
    <m/>
    <s v="John Lewis"/>
    <m/>
    <s v="Various Projects work, e.g TV Dashboard implementation, JL migraiton, Mapping tools"/>
    <s v="Project"/>
    <n v="5"/>
  </r>
  <r>
    <x v="3"/>
    <n v="109"/>
    <x v="3"/>
    <s v="Exeter"/>
    <s v="John Lewis"/>
    <m/>
    <s v="SIOX Generic Dashboard"/>
    <s v="Project"/>
    <n v="1"/>
  </r>
  <r>
    <x v="3"/>
    <n v="110"/>
    <x v="4"/>
    <s v="Plymouth"/>
    <s v="John Lewis"/>
    <m/>
    <s v="SIOX Generic Dashboard"/>
    <s v="Project"/>
    <n v="0.5"/>
  </r>
  <r>
    <x v="3"/>
    <n v="111"/>
    <x v="3"/>
    <s v="Exeter"/>
    <s v="John Lewis"/>
    <m/>
    <s v="TCD Report"/>
    <s v="Project"/>
    <n v="1"/>
  </r>
  <r>
    <x v="3"/>
    <n v="112"/>
    <x v="3"/>
    <m/>
    <s v="John Lewis"/>
    <m/>
    <s v="Various Projects work, e.g TV Dashboard implementation, JL migraiton, Mapping tools"/>
    <s v="Project"/>
    <n v="10"/>
  </r>
  <r>
    <x v="5"/>
    <m/>
    <x v="8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3">
  <r>
    <s v="MS"/>
    <n v="1"/>
    <x v="0"/>
    <s v="Belgrade"/>
    <x v="0"/>
    <m/>
    <s v="Flybe MI"/>
    <s v="Daily"/>
    <n v="0.25"/>
  </r>
  <r>
    <s v="MS"/>
    <n v="2"/>
    <x v="0"/>
    <s v="Belgrade"/>
    <x v="0"/>
    <m/>
    <s v="QM Loggers"/>
    <s v="Ad-Hoc"/>
    <n v="0.5"/>
  </r>
  <r>
    <s v="MS"/>
    <n v="3"/>
    <x v="0"/>
    <s v="Belgrade"/>
    <x v="0"/>
    <m/>
    <s v="Flybe MI Migration"/>
    <s v="Ad-Hoc"/>
    <n v="0.5"/>
  </r>
  <r>
    <s v="YF"/>
    <n v="4"/>
    <x v="1"/>
    <m/>
    <x v="1"/>
    <m/>
    <m/>
    <m/>
    <n v="3"/>
  </r>
  <r>
    <s v="YF"/>
    <n v="5"/>
    <x v="1"/>
    <s v="Coventry "/>
    <x v="2"/>
    <s v="Elavon"/>
    <s v="MI Report"/>
    <s v="Daily"/>
    <n v="2.5"/>
  </r>
  <r>
    <s v="YF"/>
    <n v="6"/>
    <x v="1"/>
    <m/>
    <x v="1"/>
    <m/>
    <m/>
    <s v="Ad hoc"/>
    <n v="2"/>
  </r>
  <r>
    <s v="YF"/>
    <n v="7"/>
    <x v="2"/>
    <s v="Coventry"/>
    <x v="3"/>
    <m/>
    <s v="Absence Reporting (Coventry)"/>
    <s v="Daily"/>
    <n v="0.25"/>
  </r>
  <r>
    <s v="ID"/>
    <n v="8"/>
    <x v="2"/>
    <s v="Coventry"/>
    <x v="4"/>
    <m/>
    <s v="Daily Summary and validaitons"/>
    <s v="Daily"/>
    <n v="6"/>
  </r>
  <r>
    <s v="YF"/>
    <n v="9"/>
    <x v="2"/>
    <s v="Coventry"/>
    <x v="4"/>
    <m/>
    <s v="D&amp;G Agent Commission Dashboard"/>
    <s v="Weekly"/>
    <n v="0.25"/>
  </r>
  <r>
    <s v="YF"/>
    <n v="10"/>
    <x v="2"/>
    <s v="Coventry"/>
    <x v="4"/>
    <m/>
    <s v="D&amp;G Weekly Kronos Report"/>
    <s v="Thu/Weekly"/>
    <n v="0.25"/>
  </r>
  <r>
    <s v="ID"/>
    <n v="11"/>
    <x v="2"/>
    <s v="Coventry"/>
    <x v="4"/>
    <m/>
    <s v="Agent AUX/Productivity Report"/>
    <s v="Daily"/>
    <n v="4"/>
  </r>
  <r>
    <s v="ID"/>
    <n v="12"/>
    <x v="2"/>
    <m/>
    <x v="4"/>
    <m/>
    <s v="2020 results"/>
    <s v="Weekly"/>
    <n v="0.25"/>
  </r>
  <r>
    <s v="ID"/>
    <n v="13"/>
    <x v="2"/>
    <s v="Coventry"/>
    <x v="4"/>
    <m/>
    <s v="Ad Hocs(D&amp;G, ex. Developing Performace report, 2020, QA Dashboard)"/>
    <s v="Ad hoc"/>
    <n v="16"/>
  </r>
  <r>
    <s v="ID"/>
    <n v="14"/>
    <x v="3"/>
    <s v="Exeter"/>
    <x v="3"/>
    <m/>
    <s v="Absence Dashboard"/>
    <s v="Daily"/>
    <n v="0.5"/>
  </r>
  <r>
    <s v="MS"/>
    <n v="15"/>
    <x v="4"/>
    <s v="Plymouth"/>
    <x v="3"/>
    <m/>
    <s v="Absence Dashboard"/>
    <s v="Daily"/>
    <n v="0.33333333333333331"/>
  </r>
  <r>
    <s v="MS"/>
    <n v="16"/>
    <x v="3"/>
    <s v="Exeter"/>
    <x v="3"/>
    <m/>
    <s v="Ad-Hoc Ops/Client Report (BO Report)"/>
    <s v="Ad-Hoc"/>
    <n v="2"/>
  </r>
  <r>
    <s v="MS"/>
    <n v="17"/>
    <x v="4"/>
    <s v="Plymouth"/>
    <x v="3"/>
    <m/>
    <s v="Attrition"/>
    <s v="Monthly/Weekly"/>
    <n v="1"/>
  </r>
  <r>
    <s v="ID"/>
    <n v="18"/>
    <x v="3"/>
    <s v="Exeter"/>
    <x v="3"/>
    <m/>
    <s v="Attrition"/>
    <s v="Monthly/Weekly"/>
    <n v="1"/>
  </r>
  <r>
    <s v="NL"/>
    <n v="19"/>
    <x v="4"/>
    <s v="Plymouth"/>
    <x v="3"/>
    <m/>
    <s v="BO Automations debugging and re-run"/>
    <s v="Ad-Hoc"/>
    <n v="2"/>
  </r>
  <r>
    <s v="MS"/>
    <n v="20"/>
    <x v="3"/>
    <s v="Exeter"/>
    <x v="3"/>
    <m/>
    <s v="BO Development, debugging and validation"/>
    <s v="Ad-Hoc"/>
    <n v="1"/>
  </r>
  <r>
    <s v="MS"/>
    <n v="21"/>
    <x v="4"/>
    <s v="Exeter"/>
    <x v="3"/>
    <m/>
    <s v="BO Development, debugging and validation"/>
    <s v="Ad-Hoc"/>
    <n v="1"/>
  </r>
  <r>
    <s v="ID"/>
    <n v="22"/>
    <x v="3"/>
    <s v="Exeter"/>
    <x v="3"/>
    <m/>
    <s v="BO Development, debugging and validation"/>
    <s v="Ad-Hoc"/>
    <n v="2"/>
  </r>
  <r>
    <s v="MS"/>
    <n v="23"/>
    <x v="4"/>
    <s v="Plymouth"/>
    <x v="5"/>
    <m/>
    <s v="CMSR data / Site Tracker Maintenance"/>
    <s v="Monthly"/>
    <n v="0.5"/>
  </r>
  <r>
    <s v="ID"/>
    <n v="24"/>
    <x v="4"/>
    <s v="Exeter"/>
    <x v="3"/>
    <m/>
    <s v="BO Development, debugging and validation"/>
    <s v="Ad-Hoc"/>
    <n v="2"/>
  </r>
  <r>
    <s v="ID"/>
    <n v="25"/>
    <x v="3"/>
    <s v="Exeter"/>
    <x v="3"/>
    <m/>
    <s v="CMSR data / Site Tracker Maintenance"/>
    <s v="Monthly"/>
    <n v="0.5"/>
  </r>
  <r>
    <s v="NL"/>
    <n v="26"/>
    <x v="4"/>
    <s v="Plymouth"/>
    <x v="3"/>
    <m/>
    <s v="CMSR data in Site Tracker"/>
    <s v="Project"/>
    <n v="2"/>
  </r>
  <r>
    <s v="MS"/>
    <n v="27"/>
    <x v="4"/>
    <s v="Plymouth"/>
    <x v="6"/>
    <m/>
    <s v="Connex"/>
    <s v="Project"/>
    <n v="2"/>
  </r>
  <r>
    <s v="MS"/>
    <n v="28"/>
    <x v="4"/>
    <s v="Plymouth"/>
    <x v="7"/>
    <m/>
    <s v="D&amp;G Agent Comission"/>
    <s v="Monthly"/>
    <n v="0.33333333333333331"/>
  </r>
  <r>
    <s v="MS"/>
    <n v="29"/>
    <x v="4"/>
    <s v="Plymouth"/>
    <x v="7"/>
    <m/>
    <s v="D&amp;G Agent MI"/>
    <s v="Daily"/>
    <n v="0.5"/>
  </r>
  <r>
    <s v="MS"/>
    <n v="30"/>
    <x v="4"/>
    <s v="Plymouth"/>
    <x v="7"/>
    <m/>
    <s v="D&amp;G MI"/>
    <s v="Daily"/>
    <n v="0.5"/>
  </r>
  <r>
    <s v="MS"/>
    <n v="31"/>
    <x v="4"/>
    <s v="Plymouth"/>
    <x v="3"/>
    <m/>
    <s v="EOM Absence"/>
    <s v="Monthly"/>
    <n v="0.5"/>
  </r>
  <r>
    <s v="MS"/>
    <n v="32"/>
    <x v="3"/>
    <s v="Exeter"/>
    <x v="0"/>
    <m/>
    <s v="Flybe MI"/>
    <s v="Daily"/>
    <n v="0.25"/>
  </r>
  <r>
    <s v="MS"/>
    <n v="33"/>
    <x v="3"/>
    <s v="Exeter"/>
    <x v="3"/>
    <m/>
    <s v="Forecasts"/>
    <s v="Monthly/Weekly"/>
    <n v="0.5"/>
  </r>
  <r>
    <s v="ID"/>
    <n v="34"/>
    <x v="3"/>
    <s v="Exeter"/>
    <x v="3"/>
    <m/>
    <s v="EOM Absence"/>
    <s v="Monthly"/>
    <n v="0.5"/>
  </r>
  <r>
    <s v="MS"/>
    <n v="35"/>
    <x v="4"/>
    <s v="Plymouth"/>
    <x v="3"/>
    <m/>
    <s v="Forecasts"/>
    <s v="Monthly/Weekly"/>
    <n v="0.25"/>
  </r>
  <r>
    <s v="MS"/>
    <n v="36"/>
    <x v="3"/>
    <s v="Exeter"/>
    <x v="6"/>
    <m/>
    <s v="Gradbay Telephony Performance"/>
    <s v="Weekly"/>
    <n v="0.5"/>
  </r>
  <r>
    <s v="MS"/>
    <n v="37"/>
    <x v="3"/>
    <s v="Exeter"/>
    <x v="8"/>
    <m/>
    <s v="Heathrow MI"/>
    <s v="Daily"/>
    <n v="0.33333333333333331"/>
  </r>
  <r>
    <s v="MS"/>
    <n v="38"/>
    <x v="3"/>
    <s v="Exeter"/>
    <x v="9"/>
    <m/>
    <s v="J &amp; J MI"/>
    <s v="Daily"/>
    <n v="0.25"/>
  </r>
  <r>
    <s v="MS"/>
    <n v="39"/>
    <x v="4"/>
    <s v="Plymouth"/>
    <x v="6"/>
    <m/>
    <s v="JL MI Report (Customer Service)"/>
    <s v="Project"/>
    <n v="1.5"/>
  </r>
  <r>
    <s v="MS"/>
    <n v="40"/>
    <x v="4"/>
    <s v="Plymouth"/>
    <x v="6"/>
    <m/>
    <s v="John Lewis Customer Service"/>
    <s v="Daily"/>
    <n v="0.33333333333333331"/>
  </r>
  <r>
    <s v="MS"/>
    <n v="41"/>
    <x v="3"/>
    <s v="Exeter"/>
    <x v="6"/>
    <m/>
    <s v="John Lewis EHT MI"/>
    <s v="Daily"/>
    <n v="0.5"/>
  </r>
  <r>
    <s v="MS"/>
    <n v="42"/>
    <x v="3"/>
    <s v="Exeter"/>
    <x v="6"/>
    <m/>
    <s v="John Lewis HomeSolutions"/>
    <s v="Daily"/>
    <n v="0.5"/>
  </r>
  <r>
    <s v="MS"/>
    <n v="43"/>
    <x v="3"/>
    <s v="Exeter"/>
    <x v="6"/>
    <m/>
    <s v="John Lewis IVR MI"/>
    <s v="Daily"/>
    <n v="0.5"/>
  </r>
  <r>
    <s v="MS"/>
    <n v="44"/>
    <x v="3"/>
    <s v="Exeter"/>
    <x v="6"/>
    <m/>
    <s v="John Lewis TechnicalSupport"/>
    <s v="Daily"/>
    <n v="0.5"/>
  </r>
  <r>
    <s v="MS"/>
    <n v="45"/>
    <x v="4"/>
    <s v="Plymouth"/>
    <x v="3"/>
    <m/>
    <s v="Kronos Reports"/>
    <s v="Ad-Hoc"/>
    <n v="0.25"/>
  </r>
  <r>
    <s v="MS"/>
    <n v="46"/>
    <x v="3"/>
    <s v="Exeter"/>
    <x v="3"/>
    <m/>
    <s v="Meetings/Discussions"/>
    <s v="Daily"/>
    <n v="4"/>
  </r>
  <r>
    <s v="MS"/>
    <n v="47"/>
    <x v="4"/>
    <s v="Plymouth"/>
    <x v="5"/>
    <m/>
    <s v="Meetings/Discussions"/>
    <s v="Daily"/>
    <n v="3"/>
  </r>
  <r>
    <s v="MS"/>
    <n v="48"/>
    <x v="3"/>
    <s v="Exeter"/>
    <x v="6"/>
    <m/>
    <s v="MI Queries"/>
    <s v="Ad-Hoc"/>
    <n v="2"/>
  </r>
  <r>
    <s v="MS"/>
    <n v="49"/>
    <x v="4"/>
    <s v="Plymouth"/>
    <x v="7"/>
    <m/>
    <s v="MI Queries"/>
    <s v="Ad-Hoc"/>
    <n v="1"/>
  </r>
  <r>
    <s v="NL"/>
    <n v="50"/>
    <x v="4"/>
    <s v="Plymouth"/>
    <x v="6"/>
    <m/>
    <s v="MI Queries"/>
    <s v="Ad-Hoc"/>
    <n v="1"/>
  </r>
  <r>
    <s v="MS"/>
    <n v="51"/>
    <x v="3"/>
    <s v="Exeter"/>
    <x v="6"/>
    <m/>
    <s v="Other Report Queries"/>
    <s v="Ad-Hoc"/>
    <n v="1"/>
  </r>
  <r>
    <s v="MS"/>
    <n v="52"/>
    <x v="3"/>
    <s v="Exeter"/>
    <x v="0"/>
    <m/>
    <s v="QM Loggers"/>
    <s v="Ad-Hoc"/>
    <n v="0.5"/>
  </r>
  <r>
    <s v="MS"/>
    <n v="53"/>
    <x v="3"/>
    <s v="Exeter"/>
    <x v="6"/>
    <m/>
    <s v="RN Implementation in Business Objects"/>
    <s v="Project"/>
    <n v="0.5"/>
  </r>
  <r>
    <s v="MS"/>
    <n v="54"/>
    <x v="4"/>
    <s v="Plymouth"/>
    <x v="6"/>
    <m/>
    <s v="RN Implementation in Business Objects"/>
    <s v="Project"/>
    <n v="0.5"/>
  </r>
  <r>
    <s v="MS"/>
    <n v="55"/>
    <x v="4"/>
    <s v="Plymouth"/>
    <x v="4"/>
    <m/>
    <s v="SIOX Generic Dashboard"/>
    <s v="Project"/>
    <n v="0.5"/>
  </r>
  <r>
    <s v="GK"/>
    <n v="56"/>
    <x v="5"/>
    <s v="Kingston"/>
    <x v="10"/>
    <m/>
    <s v="Brother Daily Dashboard"/>
    <s v="Daily"/>
    <n v="5"/>
  </r>
  <r>
    <s v="GK"/>
    <n v="57"/>
    <x v="5"/>
    <s v="Kingston"/>
    <x v="10"/>
    <m/>
    <s v="Monthly Brother Invoicing and data querying"/>
    <s v="Monthly"/>
    <n v="1"/>
  </r>
  <r>
    <s v="GK"/>
    <n v="58"/>
    <x v="5"/>
    <s v="Kingston"/>
    <x v="10"/>
    <m/>
    <s v="Brother GMR"/>
    <s v="Weekly"/>
    <n v="0.5"/>
  </r>
  <r>
    <s v="GK"/>
    <n v="59"/>
    <x v="5"/>
    <s v="Kingston"/>
    <x v="10"/>
    <m/>
    <s v="Brother 2020 Upload"/>
    <s v="Weekly"/>
    <n v="0.5"/>
  </r>
  <r>
    <s v="GK"/>
    <n v="60"/>
    <x v="5"/>
    <s v="Kingston"/>
    <x v="11"/>
    <m/>
    <s v="Medtronic MI"/>
    <s v="Daily"/>
    <n v="2"/>
  </r>
  <r>
    <s v="GK"/>
    <n v="61"/>
    <x v="5"/>
    <s v="Kingston"/>
    <x v="10"/>
    <m/>
    <s v="Brother Agent Productivity"/>
    <s v="Daily"/>
    <n v="2"/>
  </r>
  <r>
    <s v="GK"/>
    <n v="62"/>
    <x v="5"/>
    <s v="Kingston"/>
    <x v="12"/>
    <m/>
    <s v="Canon MI"/>
    <s v="Daily"/>
    <n v="1"/>
  </r>
  <r>
    <s v="GK"/>
    <n v="63"/>
    <x v="5"/>
    <s v="Kingston"/>
    <x v="10"/>
    <m/>
    <m/>
    <s v="Ad hoc"/>
    <n v="1"/>
  </r>
  <r>
    <s v="GK"/>
    <n v="64"/>
    <x v="5"/>
    <s v="Kingston"/>
    <x v="4"/>
    <m/>
    <s v="Telephony Dashboard and back office"/>
    <s v="Project"/>
    <n v="4"/>
  </r>
  <r>
    <s v="GK"/>
    <n v="65"/>
    <x v="5"/>
    <s v="Kingston"/>
    <x v="4"/>
    <m/>
    <n v="2020"/>
    <s v="Weekly"/>
    <n v="1"/>
  </r>
  <r>
    <m/>
    <n v="66"/>
    <x v="5"/>
    <s v="Kingston"/>
    <x v="3"/>
    <m/>
    <s v="Absence Reporting"/>
    <s v="Daily"/>
    <n v="1"/>
  </r>
  <r>
    <s v="NL"/>
    <n v="67"/>
    <x v="6"/>
    <s v="Manilla"/>
    <x v="6"/>
    <m/>
    <s v="Process Change Tracker"/>
    <s v="Ad-Hoc"/>
    <n v="1"/>
  </r>
  <r>
    <s v="YF"/>
    <n v="68"/>
    <x v="7"/>
    <s v="Newcastle"/>
    <x v="13"/>
    <s v="Smart/Snowdon/Heritage/WHD/Inbound Collections/Backdating Report"/>
    <s v="SSE MI Reports - Client(SFTP)"/>
    <s v="Daily"/>
    <n v="6"/>
  </r>
  <r>
    <s v="YF"/>
    <n v="69"/>
    <x v="7"/>
    <s v="Newcastle"/>
    <x v="13"/>
    <s v="Smart"/>
    <s v="SSE Client Report - Client(SFTP)"/>
    <s v="Daily"/>
    <n v="2"/>
  </r>
  <r>
    <s v="YF"/>
    <n v="70"/>
    <x v="7"/>
    <s v="Newcastle"/>
    <x v="14"/>
    <m/>
    <s v="SSE and Visa MI &amp; TM reports - OPS"/>
    <s v="Daily"/>
    <n v="2"/>
  </r>
  <r>
    <s v="YF"/>
    <n v="71"/>
    <x v="7"/>
    <s v="Newcastle"/>
    <x v="15"/>
    <m/>
    <s v="GMR's"/>
    <s v="Weekly"/>
    <n v="1"/>
  </r>
  <r>
    <s v="YF"/>
    <n v="72"/>
    <x v="7"/>
    <s v="Newcastle"/>
    <x v="13"/>
    <s v="Snowdon/SMART"/>
    <s v="SSE NPS Report"/>
    <s v="Daily"/>
    <n v="3"/>
  </r>
  <r>
    <s v="YF"/>
    <n v="73"/>
    <x v="7"/>
    <s v="Newcastle"/>
    <x v="16"/>
    <s v="TPV"/>
    <s v="Philips TPV MTD"/>
    <s v="Daily"/>
    <n v="6"/>
  </r>
  <r>
    <s v="YF"/>
    <n v="74"/>
    <x v="7"/>
    <s v="Newcastle"/>
    <x v="16"/>
    <s v="Philips"/>
    <s v="Philips CL MTD"/>
    <s v="Mon/Thu"/>
    <n v="2"/>
  </r>
  <r>
    <s v="YF"/>
    <n v="75"/>
    <x v="7"/>
    <s v="Newcastle"/>
    <x v="6"/>
    <m/>
    <s v="Process Change Tracker"/>
    <s v="Ad-Hoc"/>
    <n v="1"/>
  </r>
  <r>
    <s v="YF"/>
    <n v="76"/>
    <x v="7"/>
    <s v="Newcastle"/>
    <x v="6"/>
    <m/>
    <s v="JL MI Report (Customer Service)"/>
    <s v="Project"/>
    <n v="1.5"/>
  </r>
  <r>
    <s v="YF"/>
    <n v="77"/>
    <x v="7"/>
    <m/>
    <x v="13"/>
    <m/>
    <m/>
    <s v="Ad hoc"/>
    <n v="2"/>
  </r>
  <r>
    <s v="YF"/>
    <n v="78"/>
    <x v="7"/>
    <s v="Philips"/>
    <x v="16"/>
    <s v="Philips CL MTD"/>
    <s v="Various ad hoc"/>
    <s v="Ad hoc"/>
    <n v="4"/>
  </r>
  <r>
    <s v="MS"/>
    <n v="79"/>
    <x v="4"/>
    <s v="Plymouth"/>
    <x v="3"/>
    <m/>
    <s v="Site Tracker Maintenance"/>
    <s v="Monthly"/>
    <n v="0.25"/>
  </r>
  <r>
    <s v="ID"/>
    <n v="80"/>
    <x v="3"/>
    <s v="Exeter"/>
    <x v="3"/>
    <s v="All"/>
    <s v="Monthly Absence"/>
    <s v="Monthly"/>
    <n v="0.25"/>
  </r>
  <r>
    <s v="ID"/>
    <n v="81"/>
    <x v="4"/>
    <s v="Plymouth"/>
    <x v="3"/>
    <s v="All"/>
    <s v="Monthly Absence"/>
    <s v="Monthly"/>
    <n v="0.5"/>
  </r>
  <r>
    <s v="MS"/>
    <n v="82"/>
    <x v="3"/>
    <s v="Exeter"/>
    <x v="3"/>
    <m/>
    <s v="Sitel 2020"/>
    <s v="Weekly"/>
    <n v="0.5"/>
  </r>
  <r>
    <s v="MS"/>
    <n v="83"/>
    <x v="3"/>
    <s v="Exeter"/>
    <x v="3"/>
    <m/>
    <s v="Sitel 2020"/>
    <s v="Project"/>
    <n v="0.25"/>
  </r>
  <r>
    <s v="MS"/>
    <n v="84"/>
    <x v="4"/>
    <s v="Plymouth"/>
    <x v="3"/>
    <m/>
    <s v="Sitel 2020"/>
    <s v="Weekly"/>
    <n v="0.25"/>
  </r>
  <r>
    <s v="MS"/>
    <n v="85"/>
    <x v="4"/>
    <s v="Plymouth"/>
    <x v="3"/>
    <m/>
    <s v="Sitel 2020"/>
    <s v="Project"/>
    <n v="0.25"/>
  </r>
  <r>
    <s v="MS"/>
    <n v="86"/>
    <x v="3"/>
    <s v="Exeter"/>
    <x v="3"/>
    <m/>
    <s v="Support Tools Exeter PC"/>
    <s v="Daily"/>
    <n v="0.5"/>
  </r>
  <r>
    <s v="MS"/>
    <n v="87"/>
    <x v="4"/>
    <s v="Plymouth"/>
    <x v="6"/>
    <m/>
    <s v="TCD Report"/>
    <s v="Project"/>
    <n v="0.5"/>
  </r>
  <r>
    <s v="MS"/>
    <n v="88"/>
    <x v="4"/>
    <s v="Exeter/Plymouth/Newcastle"/>
    <x v="3"/>
    <m/>
    <s v="Telephony Dashboard"/>
    <s v="Daily"/>
    <n v="0.33333333333333331"/>
  </r>
  <r>
    <s v="MS"/>
    <n v="89"/>
    <x v="3"/>
    <s v="Exeter"/>
    <x v="17"/>
    <m/>
    <s v="Toshiba MI"/>
    <s v="Daily"/>
    <n v="0.25"/>
  </r>
  <r>
    <s v="MS"/>
    <n v="90"/>
    <x v="3"/>
    <s v="Exeter"/>
    <x v="6"/>
    <m/>
    <s v="VoC Report"/>
    <s v="Project"/>
    <n v="1"/>
  </r>
  <r>
    <s v="MS"/>
    <n v="91"/>
    <x v="4"/>
    <s v="Plymouth"/>
    <x v="6"/>
    <m/>
    <s v="VoC Report"/>
    <s v="Project"/>
    <n v="0.5"/>
  </r>
  <r>
    <s v="MS"/>
    <n v="92"/>
    <x v="3"/>
    <s v="Exeter"/>
    <x v="18"/>
    <m/>
    <s v="Voyage Prive MI"/>
    <s v="Daily"/>
    <n v="0.1"/>
  </r>
  <r>
    <s v="NL"/>
    <n v="93"/>
    <x v="4"/>
    <s v="Plymouth"/>
    <x v="3"/>
    <m/>
    <s v="Ad-Hoc Ops/Client Report (BO Report)"/>
    <s v="Ad-Hoc"/>
    <n v="1"/>
  </r>
  <r>
    <s v="NL"/>
    <n v="94"/>
    <x v="3"/>
    <s v="Exeter"/>
    <x v="3"/>
    <m/>
    <s v="EMT Maintenance"/>
    <s v="Daily"/>
    <n v="3"/>
  </r>
  <r>
    <s v="NL"/>
    <n v="95"/>
    <x v="4"/>
    <s v="Plymouth"/>
    <x v="3"/>
    <m/>
    <s v="EMT Maintenance"/>
    <s v="Daily"/>
    <n v="3"/>
  </r>
  <r>
    <s v="NL"/>
    <n v="96"/>
    <x v="3"/>
    <s v="Exeter"/>
    <x v="0"/>
    <m/>
    <s v="Flybe MI Migration"/>
    <s v="Project"/>
    <n v="1"/>
  </r>
  <r>
    <s v="NL"/>
    <n v="97"/>
    <x v="3"/>
    <s v="Exeter"/>
    <x v="6"/>
    <m/>
    <s v="JL MI Report (Customer Service)"/>
    <s v="Project"/>
    <n v="1.5"/>
  </r>
  <r>
    <s v="MS"/>
    <n v="98"/>
    <x v="3"/>
    <s v="Exeter"/>
    <x v="6"/>
    <m/>
    <s v="JL MI Report (Technical Support)"/>
    <s v="Project"/>
    <n v="4"/>
  </r>
  <r>
    <s v="NL"/>
    <n v="99"/>
    <x v="3"/>
    <s v="Exeter"/>
    <x v="6"/>
    <m/>
    <s v="Process Change Tracker"/>
    <s v="Ad-Hoc"/>
    <n v="1"/>
  </r>
  <r>
    <s v="NL"/>
    <n v="100"/>
    <x v="4"/>
    <s v="Plymouth"/>
    <x v="6"/>
    <m/>
    <s v="Process Change Tracker"/>
    <s v="Ad-Hoc"/>
    <n v="1"/>
  </r>
  <r>
    <s v="NL"/>
    <n v="101"/>
    <x v="4"/>
    <s v="Plymouth"/>
    <x v="6"/>
    <m/>
    <s v="Report Queries"/>
    <s v="Ad-Hoc"/>
    <n v="0.33333333333333331"/>
  </r>
  <r>
    <s v="ID"/>
    <n v="102"/>
    <x v="3"/>
    <s v="Exeter/Plymouth/Newcastle"/>
    <x v="3"/>
    <m/>
    <s v="Telephony Dashboard"/>
    <s v="Daily"/>
    <n v="0.5"/>
  </r>
  <r>
    <s v="NL"/>
    <n v="103"/>
    <x v="3"/>
    <s v="Exeter"/>
    <x v="3"/>
    <m/>
    <s v="Schedule and modify BO Reports"/>
    <s v="Ad-Hoc"/>
    <n v="3"/>
  </r>
  <r>
    <s v="NL"/>
    <n v="104"/>
    <x v="4"/>
    <s v="Plymouth"/>
    <x v="3"/>
    <m/>
    <s v="Schedule/Change BO Report"/>
    <s v="Ad-Hoc"/>
    <n v="1"/>
  </r>
  <r>
    <s v="ID"/>
    <n v="105"/>
    <x v="3"/>
    <s v="Exeter"/>
    <x v="6"/>
    <s v="John Lewis"/>
    <s v="TV Troubleshoot 2020"/>
    <s v="Monday"/>
    <n v="0.25"/>
  </r>
  <r>
    <s v="ID"/>
    <n v="106"/>
    <x v="3"/>
    <s v="Exeter"/>
    <x v="6"/>
    <s v="John Lewis"/>
    <s v="TV Troubleshoot Dashboard"/>
    <s v="Monday"/>
    <n v="0.5"/>
  </r>
  <r>
    <s v="ID"/>
    <n v="107"/>
    <x v="3"/>
    <s v="Exeter"/>
    <x v="6"/>
    <s v="John Lewis"/>
    <s v="TV Troubleshoot Dashboard TM's Edition"/>
    <s v="Monday"/>
    <n v="0.25"/>
  </r>
  <r>
    <s v="ID"/>
    <n v="108"/>
    <x v="3"/>
    <m/>
    <x v="6"/>
    <m/>
    <s v="Various Projects work, e.g TV Dashboard implementation, JL migraiton, Mapping tools"/>
    <s v="Project"/>
    <n v="5"/>
  </r>
  <r>
    <s v="NL"/>
    <n v="109"/>
    <x v="3"/>
    <s v="Exeter"/>
    <x v="6"/>
    <m/>
    <s v="SIOX Generic Dashboard"/>
    <s v="Project"/>
    <n v="1"/>
  </r>
  <r>
    <s v="NL"/>
    <n v="110"/>
    <x v="4"/>
    <s v="Plymouth"/>
    <x v="6"/>
    <m/>
    <s v="SIOX Generic Dashboard"/>
    <s v="Project"/>
    <n v="0.5"/>
  </r>
  <r>
    <s v="NL"/>
    <n v="111"/>
    <x v="3"/>
    <s v="Exeter"/>
    <x v="6"/>
    <m/>
    <s v="TCD Report"/>
    <s v="Project"/>
    <n v="1"/>
  </r>
  <r>
    <s v="NL"/>
    <n v="112"/>
    <x v="3"/>
    <m/>
    <x v="6"/>
    <m/>
    <s v="Various Projects work, e.g TV Dashboard implementation, JL migraiton, Mapping tools"/>
    <s v="Project"/>
    <n v="10"/>
  </r>
  <r>
    <m/>
    <m/>
    <x v="8"/>
    <m/>
    <x v="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H22:R30" firstHeaderRow="1" firstDataRow="2" firstDataCol="1"/>
  <pivotFields count="9">
    <pivotField axis="axisRow" showAll="0">
      <items count="7">
        <item x="4"/>
        <item x="2"/>
        <item x="0"/>
        <item x="3"/>
        <item x="1"/>
        <item x="5"/>
        <item t="default"/>
      </items>
    </pivotField>
    <pivotField showAll="0"/>
    <pivotField axis="axisCol" showAll="0">
      <items count="10">
        <item x="0"/>
        <item x="2"/>
        <item x="3"/>
        <item x="5"/>
        <item x="7"/>
        <item x="4"/>
        <item x="6"/>
        <item x="1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Weekly hrs" fld="8" showDataAs="percentOfRow" baseField="0" baseItem="0" numFmtId="9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H3:R11" firstHeaderRow="1" firstDataRow="2" firstDataCol="1"/>
  <pivotFields count="9">
    <pivotField axis="axisRow" showAll="0">
      <items count="7">
        <item x="4"/>
        <item x="2"/>
        <item x="0"/>
        <item x="3"/>
        <item x="1"/>
        <item x="5"/>
        <item t="default"/>
      </items>
    </pivotField>
    <pivotField showAll="0"/>
    <pivotField axis="axisCol" showAll="0">
      <items count="10">
        <item x="0"/>
        <item x="2"/>
        <item x="3"/>
        <item x="5"/>
        <item x="7"/>
        <item x="4"/>
        <item x="6"/>
        <item x="1"/>
        <item x="8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Weekly hr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3" firstHeaderRow="1" firstDataRow="1" firstDataCol="1"/>
  <pivotFields count="10">
    <pivotField showAll="0"/>
    <pivotField showAll="0"/>
    <pivotField axis="axisRow" showAll="0">
      <items count="10">
        <item x="0"/>
        <item x="2"/>
        <item x="3"/>
        <item x="5"/>
        <item x="7"/>
        <item x="4"/>
        <item x="6"/>
        <item x="1"/>
        <item x="8"/>
        <item t="default"/>
      </items>
    </pivotField>
    <pivotField showAll="0"/>
    <pivotField showAll="0">
      <items count="21">
        <item x="3"/>
        <item x="10"/>
        <item x="12"/>
        <item x="4"/>
        <item x="15"/>
        <item x="7"/>
        <item x="2"/>
        <item x="0"/>
        <item x="8"/>
        <item x="6"/>
        <item x="9"/>
        <item x="11"/>
        <item x="16"/>
        <item x="13"/>
        <item x="14"/>
        <item m="1" x="19"/>
        <item x="17"/>
        <item x="1"/>
        <item x="18"/>
        <item x="5"/>
        <item t="default"/>
      </items>
    </pivotField>
    <pivotField showAll="0"/>
    <pivotField showAll="0"/>
    <pivotField showAll="0"/>
    <pivotField dataField="1" showAll="0"/>
    <pivotField showAll="0" defaultSubtotal="0">
      <items count="16">
        <item x="15"/>
        <item x="7"/>
        <item x="9"/>
        <item x="13"/>
        <item x="11"/>
        <item x="0"/>
        <item x="2"/>
        <item x="1"/>
        <item x="5"/>
        <item x="8"/>
        <item x="12"/>
        <item x="10"/>
        <item x="14"/>
        <item x="6"/>
        <item x="4"/>
        <item x="3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Weekly hrs" fld="8" baseField="0" baseItem="0"/>
  </dataFields>
  <formats count="1">
    <format dxfId="3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8" firstHeaderRow="1" firstDataRow="1" firstDataCol="1"/>
  <pivotFields count="10">
    <pivotField showAll="0"/>
    <pivotField showAll="0"/>
    <pivotField showAll="0"/>
    <pivotField showAll="0"/>
    <pivotField showAll="0">
      <items count="21">
        <item x="3"/>
        <item x="10"/>
        <item x="12"/>
        <item x="4"/>
        <item x="15"/>
        <item x="7"/>
        <item x="2"/>
        <item x="0"/>
        <item x="8"/>
        <item x="6"/>
        <item x="9"/>
        <item x="11"/>
        <item x="16"/>
        <item x="13"/>
        <item x="14"/>
        <item m="1" x="19"/>
        <item x="17"/>
        <item x="1"/>
        <item x="18"/>
        <item x="5"/>
        <item t="default"/>
      </items>
    </pivotField>
    <pivotField showAll="0"/>
    <pivotField showAll="0"/>
    <pivotField showAll="0"/>
    <pivotField dataField="1" showAll="0"/>
    <pivotField axis="axisRow" showAll="0" defaultSubtotal="0">
      <items count="16">
        <item n="All" h="1" x="15"/>
        <item x="7"/>
        <item x="9"/>
        <item n="D&amp;G" x="13"/>
        <item x="11"/>
        <item x="0"/>
        <item x="2"/>
        <item x="1"/>
        <item x="5"/>
        <item x="8"/>
        <item x="12"/>
        <item x="10"/>
        <item n="VISA" x="14"/>
        <item x="6"/>
        <item x="4"/>
        <item x="3"/>
      </items>
    </pivotField>
  </pivotFields>
  <rowFields count="1">
    <field x="9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 t="grand">
      <x/>
    </i>
  </rowItems>
  <colItems count="1">
    <i/>
  </colItems>
  <dataFields count="1">
    <dataField name="Sum of Weekly hrs" fld="8" baseField="0" baseItem="0" numFmtId="2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I10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2" sqref="A32"/>
    </sheetView>
  </sheetViews>
  <sheetFormatPr defaultRowHeight="14.4" x14ac:dyDescent="0.3"/>
  <cols>
    <col min="2" max="2" width="3" bestFit="1" customWidth="1"/>
    <col min="3" max="3" width="10.33203125" bestFit="1" customWidth="1"/>
    <col min="4" max="4" width="35.5546875" bestFit="1" customWidth="1"/>
    <col min="5" max="5" width="35.6640625" bestFit="1" customWidth="1"/>
    <col min="6" max="6" width="30.5546875" customWidth="1"/>
    <col min="7" max="7" width="64.88671875" bestFit="1" customWidth="1"/>
    <col min="8" max="8" width="11.109375" bestFit="1" customWidth="1"/>
    <col min="9" max="9" width="7.88671875" bestFit="1" customWidth="1"/>
  </cols>
  <sheetData>
    <row r="2" spans="1:9" ht="29.4" thickBot="1" x14ac:dyDescent="0.35">
      <c r="A2" s="3" t="s">
        <v>114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5" t="s">
        <v>7</v>
      </c>
    </row>
    <row r="3" spans="1:9" ht="51.75" hidden="1" customHeight="1" x14ac:dyDescent="0.3">
      <c r="A3" s="3" t="s">
        <v>60</v>
      </c>
      <c r="B3" s="3">
        <v>1</v>
      </c>
      <c r="C3" s="6" t="s">
        <v>8</v>
      </c>
      <c r="D3" s="6" t="s">
        <v>8</v>
      </c>
      <c r="E3" s="6" t="s">
        <v>9</v>
      </c>
      <c r="F3" s="7" t="s">
        <v>10</v>
      </c>
      <c r="G3" s="6" t="s">
        <v>11</v>
      </c>
      <c r="H3" s="6" t="s">
        <v>12</v>
      </c>
      <c r="I3" s="3">
        <v>7</v>
      </c>
    </row>
    <row r="4" spans="1:9" hidden="1" x14ac:dyDescent="0.3">
      <c r="A4" s="3" t="s">
        <v>60</v>
      </c>
      <c r="B4" s="3">
        <v>2</v>
      </c>
      <c r="C4" s="8" t="s">
        <v>8</v>
      </c>
      <c r="D4" s="6" t="s">
        <v>8</v>
      </c>
      <c r="E4" s="8" t="s">
        <v>9</v>
      </c>
      <c r="F4" s="8" t="s">
        <v>13</v>
      </c>
      <c r="G4" s="8" t="s">
        <v>14</v>
      </c>
      <c r="H4" s="8" t="s">
        <v>12</v>
      </c>
      <c r="I4" s="3">
        <v>3</v>
      </c>
    </row>
    <row r="5" spans="1:9" hidden="1" x14ac:dyDescent="0.3">
      <c r="A5" s="3" t="s">
        <v>60</v>
      </c>
      <c r="B5" s="3">
        <v>3</v>
      </c>
      <c r="C5" s="6" t="s">
        <v>8</v>
      </c>
      <c r="D5" s="6" t="s">
        <v>8</v>
      </c>
      <c r="E5" s="6" t="s">
        <v>15</v>
      </c>
      <c r="F5" s="6"/>
      <c r="G5" s="6" t="s">
        <v>16</v>
      </c>
      <c r="H5" s="6" t="s">
        <v>12</v>
      </c>
      <c r="I5" s="3">
        <v>2</v>
      </c>
    </row>
    <row r="6" spans="1:9" hidden="1" x14ac:dyDescent="0.3">
      <c r="A6" s="3" t="s">
        <v>60</v>
      </c>
      <c r="B6" s="3">
        <v>4</v>
      </c>
      <c r="C6" s="8" t="s">
        <v>8</v>
      </c>
      <c r="D6" s="6" t="s">
        <v>8</v>
      </c>
      <c r="E6" s="8" t="s">
        <v>17</v>
      </c>
      <c r="F6" s="8"/>
      <c r="G6" s="8" t="s">
        <v>18</v>
      </c>
      <c r="H6" s="8" t="s">
        <v>19</v>
      </c>
      <c r="I6" s="3">
        <v>3</v>
      </c>
    </row>
    <row r="7" spans="1:9" hidden="1" x14ac:dyDescent="0.3">
      <c r="A7" s="3" t="s">
        <v>60</v>
      </c>
      <c r="B7" s="3">
        <v>5</v>
      </c>
      <c r="C7" s="6" t="s">
        <v>8</v>
      </c>
      <c r="D7" s="6" t="s">
        <v>8</v>
      </c>
      <c r="E7" s="6" t="s">
        <v>9</v>
      </c>
      <c r="F7" s="6" t="s">
        <v>20</v>
      </c>
      <c r="G7" s="6" t="s">
        <v>21</v>
      </c>
      <c r="H7" s="6" t="s">
        <v>12</v>
      </c>
      <c r="I7" s="3">
        <v>1</v>
      </c>
    </row>
    <row r="8" spans="1:9" hidden="1" x14ac:dyDescent="0.3">
      <c r="A8" s="3" t="s">
        <v>60</v>
      </c>
      <c r="B8" s="3">
        <v>6</v>
      </c>
      <c r="C8" s="8" t="s">
        <v>127</v>
      </c>
      <c r="D8" s="8" t="s">
        <v>127</v>
      </c>
      <c r="E8" s="8" t="s">
        <v>23</v>
      </c>
      <c r="F8" s="8" t="s">
        <v>23</v>
      </c>
      <c r="G8" s="8" t="s">
        <v>24</v>
      </c>
      <c r="H8" s="8" t="s">
        <v>12</v>
      </c>
      <c r="I8" s="3">
        <v>1</v>
      </c>
    </row>
    <row r="9" spans="1:9" hidden="1" x14ac:dyDescent="0.3">
      <c r="A9" s="3" t="s">
        <v>60</v>
      </c>
      <c r="B9" s="3">
        <v>7</v>
      </c>
      <c r="C9" s="8" t="s">
        <v>8</v>
      </c>
      <c r="D9" s="8" t="s">
        <v>8</v>
      </c>
      <c r="E9" s="8" t="s">
        <v>25</v>
      </c>
      <c r="F9" s="8" t="s">
        <v>26</v>
      </c>
      <c r="G9" s="8" t="s">
        <v>27</v>
      </c>
      <c r="H9" s="9" t="s">
        <v>12</v>
      </c>
      <c r="I9" s="3">
        <v>4</v>
      </c>
    </row>
    <row r="10" spans="1:9" hidden="1" x14ac:dyDescent="0.3">
      <c r="A10" s="3" t="s">
        <v>60</v>
      </c>
      <c r="B10" s="3">
        <v>8</v>
      </c>
      <c r="C10" s="6" t="s">
        <v>8</v>
      </c>
      <c r="D10" s="8" t="s">
        <v>8</v>
      </c>
      <c r="E10" s="6" t="s">
        <v>25</v>
      </c>
      <c r="F10" s="6" t="s">
        <v>25</v>
      </c>
      <c r="G10" s="6" t="s">
        <v>28</v>
      </c>
      <c r="H10" s="10" t="s">
        <v>29</v>
      </c>
      <c r="I10" s="3">
        <v>1</v>
      </c>
    </row>
    <row r="11" spans="1:9" x14ac:dyDescent="0.3">
      <c r="A11" s="3" t="s">
        <v>61</v>
      </c>
      <c r="B11" s="3">
        <v>9</v>
      </c>
      <c r="C11" s="6" t="s">
        <v>30</v>
      </c>
      <c r="D11" s="6" t="s">
        <v>30</v>
      </c>
      <c r="E11" s="6" t="s">
        <v>31</v>
      </c>
      <c r="F11" s="6" t="s">
        <v>31</v>
      </c>
      <c r="G11" s="6" t="s">
        <v>32</v>
      </c>
      <c r="H11" s="6" t="s">
        <v>33</v>
      </c>
      <c r="I11" s="3">
        <v>0.5</v>
      </c>
    </row>
    <row r="12" spans="1:9" x14ac:dyDescent="0.3">
      <c r="A12" s="3" t="s">
        <v>61</v>
      </c>
      <c r="B12" s="3">
        <v>10</v>
      </c>
      <c r="C12" s="8" t="s">
        <v>30</v>
      </c>
      <c r="D12" s="8" t="s">
        <v>30</v>
      </c>
      <c r="E12" s="8" t="s">
        <v>31</v>
      </c>
      <c r="F12" s="8" t="s">
        <v>31</v>
      </c>
      <c r="G12" s="8" t="s">
        <v>34</v>
      </c>
      <c r="H12" s="8" t="s">
        <v>33</v>
      </c>
      <c r="I12" s="3">
        <v>0.25</v>
      </c>
    </row>
    <row r="13" spans="1:9" x14ac:dyDescent="0.3">
      <c r="A13" s="3" t="s">
        <v>61</v>
      </c>
      <c r="B13" s="3">
        <v>11</v>
      </c>
      <c r="C13" s="6" t="s">
        <v>30</v>
      </c>
      <c r="D13" s="6" t="s">
        <v>30</v>
      </c>
      <c r="E13" s="6" t="s">
        <v>31</v>
      </c>
      <c r="F13" s="6" t="s">
        <v>31</v>
      </c>
      <c r="G13" s="6" t="s">
        <v>35</v>
      </c>
      <c r="H13" s="6" t="s">
        <v>33</v>
      </c>
      <c r="I13" s="3">
        <v>0.25</v>
      </c>
    </row>
    <row r="14" spans="1:9" x14ac:dyDescent="0.3">
      <c r="A14" s="3" t="s">
        <v>61</v>
      </c>
      <c r="B14" s="3">
        <v>12</v>
      </c>
      <c r="C14" s="8" t="s">
        <v>30</v>
      </c>
      <c r="D14" s="8" t="s">
        <v>30</v>
      </c>
      <c r="E14" s="8" t="s">
        <v>36</v>
      </c>
      <c r="F14" s="8" t="s">
        <v>36</v>
      </c>
      <c r="G14" s="8" t="s">
        <v>37</v>
      </c>
      <c r="H14" s="8" t="s">
        <v>38</v>
      </c>
      <c r="I14" s="3">
        <v>0.25</v>
      </c>
    </row>
    <row r="15" spans="1:9" hidden="1" x14ac:dyDescent="0.3">
      <c r="A15" s="3" t="s">
        <v>61</v>
      </c>
      <c r="B15" s="3">
        <v>13</v>
      </c>
      <c r="C15" s="3" t="s">
        <v>39</v>
      </c>
      <c r="D15" s="3" t="s">
        <v>39</v>
      </c>
      <c r="E15" s="8" t="s">
        <v>36</v>
      </c>
      <c r="F15" s="8" t="s">
        <v>36</v>
      </c>
      <c r="G15" s="8" t="s">
        <v>37</v>
      </c>
      <c r="H15" s="8" t="s">
        <v>38</v>
      </c>
      <c r="I15" s="3">
        <v>0.25</v>
      </c>
    </row>
    <row r="16" spans="1:9" hidden="1" x14ac:dyDescent="0.3">
      <c r="A16" s="3" t="s">
        <v>62</v>
      </c>
      <c r="B16" s="3">
        <v>14</v>
      </c>
      <c r="C16" s="6" t="s">
        <v>40</v>
      </c>
      <c r="D16" s="6" t="s">
        <v>40</v>
      </c>
      <c r="E16" s="6" t="s">
        <v>41</v>
      </c>
      <c r="F16" s="3"/>
      <c r="G16" s="6" t="s">
        <v>42</v>
      </c>
      <c r="H16" s="6" t="s">
        <v>12</v>
      </c>
      <c r="I16" s="11">
        <f>1*5</f>
        <v>5</v>
      </c>
    </row>
    <row r="17" spans="1:9" hidden="1" x14ac:dyDescent="0.3">
      <c r="A17" s="3" t="s">
        <v>62</v>
      </c>
      <c r="B17" s="3">
        <v>15</v>
      </c>
      <c r="C17" s="8" t="s">
        <v>40</v>
      </c>
      <c r="D17" s="8" t="s">
        <v>40</v>
      </c>
      <c r="E17" s="8" t="s">
        <v>41</v>
      </c>
      <c r="F17" s="3"/>
      <c r="G17" s="8" t="s">
        <v>43</v>
      </c>
      <c r="H17" s="8" t="s">
        <v>38</v>
      </c>
      <c r="I17" s="11">
        <v>0.5</v>
      </c>
    </row>
    <row r="18" spans="1:9" hidden="1" x14ac:dyDescent="0.3">
      <c r="A18" s="3" t="s">
        <v>62</v>
      </c>
      <c r="B18" s="3">
        <v>16</v>
      </c>
      <c r="C18" s="6" t="s">
        <v>40</v>
      </c>
      <c r="D18" s="6" t="s">
        <v>40</v>
      </c>
      <c r="E18" s="6" t="s">
        <v>41</v>
      </c>
      <c r="F18" s="3"/>
      <c r="G18" s="6" t="s">
        <v>44</v>
      </c>
      <c r="H18" s="6" t="s">
        <v>19</v>
      </c>
      <c r="I18" s="11">
        <v>0.5</v>
      </c>
    </row>
    <row r="19" spans="1:9" hidden="1" x14ac:dyDescent="0.3">
      <c r="A19" s="3" t="s">
        <v>62</v>
      </c>
      <c r="B19" s="3">
        <v>17</v>
      </c>
      <c r="C19" s="6" t="s">
        <v>40</v>
      </c>
      <c r="D19" s="6" t="s">
        <v>40</v>
      </c>
      <c r="E19" s="6" t="s">
        <v>41</v>
      </c>
      <c r="F19" s="3"/>
      <c r="G19" s="6" t="s">
        <v>45</v>
      </c>
      <c r="H19" s="6" t="s">
        <v>19</v>
      </c>
      <c r="I19" s="11">
        <v>0.5</v>
      </c>
    </row>
    <row r="20" spans="1:9" hidden="1" x14ac:dyDescent="0.3">
      <c r="A20" s="3" t="s">
        <v>62</v>
      </c>
      <c r="B20" s="3">
        <v>18</v>
      </c>
      <c r="C20" s="6" t="s">
        <v>40</v>
      </c>
      <c r="D20" s="6" t="s">
        <v>40</v>
      </c>
      <c r="E20" s="6" t="s">
        <v>46</v>
      </c>
      <c r="F20" s="3"/>
      <c r="G20" s="6" t="s">
        <v>47</v>
      </c>
      <c r="H20" s="6" t="s">
        <v>12</v>
      </c>
      <c r="I20" s="11">
        <v>2</v>
      </c>
    </row>
    <row r="21" spans="1:9" hidden="1" x14ac:dyDescent="0.3">
      <c r="A21" s="3" t="s">
        <v>62</v>
      </c>
      <c r="B21" s="3">
        <v>19</v>
      </c>
      <c r="C21" s="6" t="s">
        <v>40</v>
      </c>
      <c r="D21" s="6" t="s">
        <v>40</v>
      </c>
      <c r="E21" s="6" t="s">
        <v>41</v>
      </c>
      <c r="F21" s="3"/>
      <c r="G21" s="6" t="s">
        <v>48</v>
      </c>
      <c r="H21" s="6" t="s">
        <v>12</v>
      </c>
      <c r="I21" s="11">
        <v>2</v>
      </c>
    </row>
    <row r="22" spans="1:9" hidden="1" x14ac:dyDescent="0.3">
      <c r="A22" s="3" t="s">
        <v>62</v>
      </c>
      <c r="B22" s="3">
        <v>20</v>
      </c>
      <c r="C22" s="8" t="s">
        <v>40</v>
      </c>
      <c r="D22" s="8" t="s">
        <v>40</v>
      </c>
      <c r="E22" s="8" t="s">
        <v>49</v>
      </c>
      <c r="F22" s="3"/>
      <c r="G22" s="8" t="s">
        <v>50</v>
      </c>
      <c r="H22" s="8" t="s">
        <v>12</v>
      </c>
      <c r="I22" s="3">
        <v>2</v>
      </c>
    </row>
    <row r="23" spans="1:9" hidden="1" x14ac:dyDescent="0.3">
      <c r="A23" s="3" t="s">
        <v>62</v>
      </c>
      <c r="B23" s="3">
        <v>20</v>
      </c>
      <c r="C23" s="8" t="s">
        <v>40</v>
      </c>
      <c r="D23" s="8" t="s">
        <v>40</v>
      </c>
      <c r="E23" s="8" t="s">
        <v>126</v>
      </c>
      <c r="F23" s="3"/>
      <c r="G23" s="8" t="s">
        <v>126</v>
      </c>
      <c r="H23" s="8" t="s">
        <v>12</v>
      </c>
      <c r="I23" s="3">
        <v>0.25</v>
      </c>
    </row>
    <row r="24" spans="1:9" hidden="1" x14ac:dyDescent="0.3">
      <c r="A24" s="3" t="s">
        <v>62</v>
      </c>
      <c r="B24" s="3">
        <v>21</v>
      </c>
      <c r="C24" s="8" t="s">
        <v>40</v>
      </c>
      <c r="D24" s="8" t="s">
        <v>40</v>
      </c>
      <c r="E24" s="6" t="s">
        <v>41</v>
      </c>
      <c r="F24" s="3"/>
      <c r="G24" s="6"/>
      <c r="H24" s="3" t="s">
        <v>51</v>
      </c>
      <c r="I24" s="3">
        <v>1</v>
      </c>
    </row>
    <row r="25" spans="1:9" hidden="1" x14ac:dyDescent="0.3">
      <c r="A25" s="3" t="s">
        <v>61</v>
      </c>
      <c r="B25" s="3">
        <v>22</v>
      </c>
      <c r="C25" s="8" t="s">
        <v>118</v>
      </c>
      <c r="D25" s="8" t="s">
        <v>52</v>
      </c>
      <c r="E25" s="12" t="s">
        <v>36</v>
      </c>
      <c r="F25" s="3"/>
      <c r="G25" s="8" t="s">
        <v>53</v>
      </c>
      <c r="H25" s="8" t="s">
        <v>12</v>
      </c>
      <c r="I25" s="3">
        <v>0.25</v>
      </c>
    </row>
    <row r="26" spans="1:9" hidden="1" x14ac:dyDescent="0.3">
      <c r="A26" s="3" t="s">
        <v>61</v>
      </c>
      <c r="B26" s="3">
        <v>23</v>
      </c>
      <c r="C26" s="8" t="s">
        <v>118</v>
      </c>
      <c r="D26" s="8" t="s">
        <v>52</v>
      </c>
      <c r="E26" s="12" t="s">
        <v>59</v>
      </c>
      <c r="F26" s="3"/>
      <c r="G26" s="8" t="s">
        <v>54</v>
      </c>
      <c r="H26" s="8" t="s">
        <v>12</v>
      </c>
      <c r="I26" s="3">
        <v>4</v>
      </c>
    </row>
    <row r="27" spans="1:9" hidden="1" x14ac:dyDescent="0.3">
      <c r="A27" s="3" t="s">
        <v>60</v>
      </c>
      <c r="B27" s="3">
        <v>24</v>
      </c>
      <c r="C27" s="8" t="s">
        <v>118</v>
      </c>
      <c r="D27" s="8" t="s">
        <v>52</v>
      </c>
      <c r="E27" s="12" t="s">
        <v>59</v>
      </c>
      <c r="F27" s="3"/>
      <c r="G27" s="8" t="s">
        <v>55</v>
      </c>
      <c r="H27" s="3" t="s">
        <v>19</v>
      </c>
      <c r="I27" s="13">
        <v>0.5</v>
      </c>
    </row>
    <row r="28" spans="1:9" hidden="1" x14ac:dyDescent="0.3">
      <c r="A28" s="3" t="s">
        <v>60</v>
      </c>
      <c r="B28" s="3">
        <v>25</v>
      </c>
      <c r="C28" s="8" t="s">
        <v>118</v>
      </c>
      <c r="D28" s="6" t="s">
        <v>52</v>
      </c>
      <c r="E28" s="12" t="s">
        <v>59</v>
      </c>
      <c r="F28" s="3"/>
      <c r="G28" s="6" t="s">
        <v>56</v>
      </c>
      <c r="H28" s="6" t="s">
        <v>57</v>
      </c>
      <c r="I28" s="13">
        <v>0.5</v>
      </c>
    </row>
    <row r="29" spans="1:9" hidden="1" x14ac:dyDescent="0.3">
      <c r="A29" s="3" t="s">
        <v>61</v>
      </c>
      <c r="B29" s="3">
        <v>26</v>
      </c>
      <c r="C29" s="8" t="s">
        <v>118</v>
      </c>
      <c r="D29" s="6" t="s">
        <v>52</v>
      </c>
      <c r="E29" s="12" t="s">
        <v>59</v>
      </c>
      <c r="F29" s="3"/>
      <c r="G29" s="6" t="s">
        <v>58</v>
      </c>
      <c r="H29" s="14" t="s">
        <v>12</v>
      </c>
      <c r="I29" s="3">
        <v>4</v>
      </c>
    </row>
    <row r="30" spans="1:9" ht="15.6" hidden="1" x14ac:dyDescent="0.3">
      <c r="A30" s="3" t="s">
        <v>61</v>
      </c>
      <c r="B30" s="3">
        <v>27</v>
      </c>
      <c r="C30" s="8" t="s">
        <v>118</v>
      </c>
      <c r="D30" s="6" t="s">
        <v>52</v>
      </c>
      <c r="E30" s="12" t="s">
        <v>59</v>
      </c>
      <c r="F30" s="3"/>
      <c r="G30" s="6" t="s">
        <v>125</v>
      </c>
      <c r="H30" s="14" t="s">
        <v>12</v>
      </c>
      <c r="I30" s="3">
        <v>4</v>
      </c>
    </row>
    <row r="31" spans="1:9" hidden="1" x14ac:dyDescent="0.3">
      <c r="A31" s="3" t="s">
        <v>61</v>
      </c>
      <c r="B31" s="3">
        <v>28</v>
      </c>
      <c r="C31" s="8" t="s">
        <v>118</v>
      </c>
      <c r="D31" s="6" t="s">
        <v>52</v>
      </c>
      <c r="E31" s="12" t="s">
        <v>59</v>
      </c>
      <c r="F31" s="3"/>
      <c r="G31" s="15" t="s">
        <v>64</v>
      </c>
      <c r="H31" s="3" t="s">
        <v>51</v>
      </c>
      <c r="I31" s="3">
        <v>16</v>
      </c>
    </row>
    <row r="32" spans="1:9" x14ac:dyDescent="0.3">
      <c r="A32" s="3" t="s">
        <v>63</v>
      </c>
      <c r="B32" s="3">
        <v>29</v>
      </c>
      <c r="C32" s="16" t="s">
        <v>30</v>
      </c>
      <c r="D32" s="16" t="s">
        <v>65</v>
      </c>
      <c r="E32" s="16" t="s">
        <v>36</v>
      </c>
      <c r="F32" s="16"/>
      <c r="G32" s="16" t="s">
        <v>66</v>
      </c>
      <c r="H32" s="16" t="s">
        <v>12</v>
      </c>
      <c r="I32" s="16">
        <v>0.33333333333333331</v>
      </c>
    </row>
    <row r="33" spans="1:9" hidden="1" x14ac:dyDescent="0.3">
      <c r="A33" s="3" t="s">
        <v>63</v>
      </c>
      <c r="B33" s="3">
        <v>29</v>
      </c>
      <c r="C33" s="16" t="s">
        <v>39</v>
      </c>
      <c r="D33" s="16" t="s">
        <v>65</v>
      </c>
      <c r="E33" s="16" t="s">
        <v>36</v>
      </c>
      <c r="F33" s="16"/>
      <c r="G33" s="16" t="s">
        <v>66</v>
      </c>
      <c r="H33" s="16" t="s">
        <v>12</v>
      </c>
      <c r="I33" s="16">
        <v>0.33333333333333331</v>
      </c>
    </row>
    <row r="34" spans="1:9" ht="15.6" x14ac:dyDescent="0.3">
      <c r="A34" s="3" t="s">
        <v>63</v>
      </c>
      <c r="B34" s="3">
        <v>30</v>
      </c>
      <c r="C34" s="16" t="s">
        <v>30</v>
      </c>
      <c r="D34" s="17" t="s">
        <v>30</v>
      </c>
      <c r="E34" s="16" t="s">
        <v>36</v>
      </c>
      <c r="F34" s="16"/>
      <c r="G34" s="16" t="s">
        <v>67</v>
      </c>
      <c r="H34" s="16" t="s">
        <v>12</v>
      </c>
      <c r="I34" s="16">
        <v>0.33333333333333331</v>
      </c>
    </row>
    <row r="35" spans="1:9" ht="15.6" hidden="1" x14ac:dyDescent="0.3">
      <c r="A35" s="3" t="s">
        <v>63</v>
      </c>
      <c r="B35" s="3">
        <v>31</v>
      </c>
      <c r="C35" s="17" t="s">
        <v>39</v>
      </c>
      <c r="D35" s="17" t="s">
        <v>39</v>
      </c>
      <c r="E35" s="16" t="s">
        <v>36</v>
      </c>
      <c r="F35" s="16"/>
      <c r="G35" s="16" t="s">
        <v>67</v>
      </c>
      <c r="H35" s="16" t="s">
        <v>12</v>
      </c>
      <c r="I35" s="16">
        <v>0.33333333333333331</v>
      </c>
    </row>
    <row r="36" spans="1:9" ht="15.6" x14ac:dyDescent="0.3">
      <c r="A36" s="3" t="s">
        <v>63</v>
      </c>
      <c r="B36" s="3">
        <v>32</v>
      </c>
      <c r="C36" s="16" t="s">
        <v>30</v>
      </c>
      <c r="D36" s="17" t="s">
        <v>30</v>
      </c>
      <c r="E36" s="16" t="s">
        <v>68</v>
      </c>
      <c r="F36" s="16"/>
      <c r="G36" s="16" t="s">
        <v>69</v>
      </c>
      <c r="H36" s="16" t="s">
        <v>12</v>
      </c>
      <c r="I36" s="16">
        <v>0.33333333333333331</v>
      </c>
    </row>
    <row r="37" spans="1:9" ht="15.6" x14ac:dyDescent="0.3">
      <c r="A37" s="3" t="s">
        <v>63</v>
      </c>
      <c r="B37" s="3">
        <v>33</v>
      </c>
      <c r="C37" s="16" t="s">
        <v>30</v>
      </c>
      <c r="D37" s="17" t="s">
        <v>30</v>
      </c>
      <c r="E37" s="16" t="s">
        <v>70</v>
      </c>
      <c r="F37" s="16"/>
      <c r="G37" s="16" t="s">
        <v>71</v>
      </c>
      <c r="H37" s="16" t="s">
        <v>12</v>
      </c>
      <c r="I37" s="16">
        <v>0.1</v>
      </c>
    </row>
    <row r="38" spans="1:9" ht="15.6" x14ac:dyDescent="0.3">
      <c r="A38" s="3" t="s">
        <v>63</v>
      </c>
      <c r="B38" s="3">
        <v>34</v>
      </c>
      <c r="C38" s="16" t="s">
        <v>30</v>
      </c>
      <c r="D38" s="17" t="s">
        <v>30</v>
      </c>
      <c r="E38" s="16" t="s">
        <v>31</v>
      </c>
      <c r="F38" s="16"/>
      <c r="G38" s="16" t="s">
        <v>72</v>
      </c>
      <c r="H38" s="16" t="s">
        <v>12</v>
      </c>
      <c r="I38" s="16">
        <v>0.33333333333333331</v>
      </c>
    </row>
    <row r="39" spans="1:9" ht="15.6" x14ac:dyDescent="0.3">
      <c r="A39" s="3" t="s">
        <v>63</v>
      </c>
      <c r="B39" s="3">
        <v>35</v>
      </c>
      <c r="C39" s="16" t="s">
        <v>30</v>
      </c>
      <c r="D39" s="17" t="s">
        <v>30</v>
      </c>
      <c r="E39" s="16" t="s">
        <v>31</v>
      </c>
      <c r="F39" s="16"/>
      <c r="G39" s="16" t="s">
        <v>73</v>
      </c>
      <c r="H39" s="16" t="s">
        <v>12</v>
      </c>
      <c r="I39" s="16">
        <v>0.33333333333333331</v>
      </c>
    </row>
    <row r="40" spans="1:9" ht="15.6" x14ac:dyDescent="0.3">
      <c r="A40" s="3" t="s">
        <v>63</v>
      </c>
      <c r="B40" s="3">
        <v>36</v>
      </c>
      <c r="C40" s="16" t="s">
        <v>30</v>
      </c>
      <c r="D40" s="17" t="s">
        <v>30</v>
      </c>
      <c r="E40" s="16" t="s">
        <v>31</v>
      </c>
      <c r="F40" s="16"/>
      <c r="G40" s="16" t="s">
        <v>74</v>
      </c>
      <c r="H40" s="16" t="s">
        <v>12</v>
      </c>
      <c r="I40" s="16">
        <v>0.33333333333333331</v>
      </c>
    </row>
    <row r="41" spans="1:9" ht="15.6" x14ac:dyDescent="0.3">
      <c r="A41" s="3" t="s">
        <v>63</v>
      </c>
      <c r="B41" s="3">
        <v>37</v>
      </c>
      <c r="C41" s="16" t="s">
        <v>30</v>
      </c>
      <c r="D41" s="17" t="s">
        <v>30</v>
      </c>
      <c r="E41" s="16" t="s">
        <v>31</v>
      </c>
      <c r="F41" s="16"/>
      <c r="G41" s="16" t="s">
        <v>75</v>
      </c>
      <c r="H41" s="16" t="s">
        <v>12</v>
      </c>
      <c r="I41" s="16">
        <v>0.33333333333333331</v>
      </c>
    </row>
    <row r="42" spans="1:9" ht="15.6" x14ac:dyDescent="0.3">
      <c r="A42" s="3" t="s">
        <v>63</v>
      </c>
      <c r="B42" s="3">
        <v>38</v>
      </c>
      <c r="C42" s="16" t="s">
        <v>30</v>
      </c>
      <c r="D42" s="17" t="s">
        <v>30</v>
      </c>
      <c r="E42" s="16" t="s">
        <v>76</v>
      </c>
      <c r="F42" s="16"/>
      <c r="G42" s="16" t="s">
        <v>77</v>
      </c>
      <c r="H42" s="16" t="s">
        <v>12</v>
      </c>
      <c r="I42" s="16">
        <v>0.16666666666666666</v>
      </c>
    </row>
    <row r="43" spans="1:9" ht="15.6" x14ac:dyDescent="0.3">
      <c r="A43" s="3" t="s">
        <v>63</v>
      </c>
      <c r="B43" s="3">
        <v>39</v>
      </c>
      <c r="C43" s="16" t="s">
        <v>30</v>
      </c>
      <c r="D43" s="17" t="s">
        <v>30</v>
      </c>
      <c r="E43" s="16" t="s">
        <v>31</v>
      </c>
      <c r="F43" s="16"/>
      <c r="G43" s="16" t="s">
        <v>78</v>
      </c>
      <c r="H43" s="16" t="s">
        <v>19</v>
      </c>
      <c r="I43" s="16">
        <v>0.33333333333333331</v>
      </c>
    </row>
    <row r="44" spans="1:9" ht="15.6" hidden="1" x14ac:dyDescent="0.3">
      <c r="A44" s="3" t="s">
        <v>63</v>
      </c>
      <c r="B44" s="3">
        <v>40</v>
      </c>
      <c r="C44" s="17" t="s">
        <v>39</v>
      </c>
      <c r="D44" s="17" t="s">
        <v>39</v>
      </c>
      <c r="E44" s="16" t="s">
        <v>31</v>
      </c>
      <c r="F44" s="16"/>
      <c r="G44" s="16" t="s">
        <v>79</v>
      </c>
      <c r="H44" s="16" t="s">
        <v>12</v>
      </c>
      <c r="I44" s="16">
        <v>0.33333333333333331</v>
      </c>
    </row>
    <row r="45" spans="1:9" ht="15.6" x14ac:dyDescent="0.3">
      <c r="A45" s="3" t="s">
        <v>63</v>
      </c>
      <c r="B45" s="3">
        <v>41</v>
      </c>
      <c r="C45" s="16" t="s">
        <v>30</v>
      </c>
      <c r="D45" s="17" t="s">
        <v>30</v>
      </c>
      <c r="E45" s="16" t="s">
        <v>80</v>
      </c>
      <c r="F45" s="16"/>
      <c r="G45" s="16" t="s">
        <v>81</v>
      </c>
      <c r="H45" s="16" t="s">
        <v>12</v>
      </c>
      <c r="I45" s="16">
        <v>0.16666666666666666</v>
      </c>
    </row>
    <row r="46" spans="1:9" ht="15.6" x14ac:dyDescent="0.3">
      <c r="A46" s="3" t="s">
        <v>63</v>
      </c>
      <c r="B46" s="3">
        <v>42</v>
      </c>
      <c r="C46" s="16" t="s">
        <v>30</v>
      </c>
      <c r="D46" s="17" t="s">
        <v>30</v>
      </c>
      <c r="E46" s="16" t="s">
        <v>82</v>
      </c>
      <c r="F46" s="16"/>
      <c r="G46" s="16" t="s">
        <v>83</v>
      </c>
      <c r="H46" s="16" t="s">
        <v>12</v>
      </c>
      <c r="I46" s="16">
        <v>0.25</v>
      </c>
    </row>
    <row r="47" spans="1:9" ht="15.6" hidden="1" x14ac:dyDescent="0.3">
      <c r="A47" s="3" t="s">
        <v>63</v>
      </c>
      <c r="B47" s="3">
        <v>43</v>
      </c>
      <c r="C47" s="17" t="s">
        <v>115</v>
      </c>
      <c r="D47" s="17" t="s">
        <v>115</v>
      </c>
      <c r="E47" s="16" t="s">
        <v>82</v>
      </c>
      <c r="F47" s="16"/>
      <c r="G47" s="16" t="s">
        <v>83</v>
      </c>
      <c r="H47" s="16" t="s">
        <v>12</v>
      </c>
      <c r="I47" s="16">
        <v>0.25</v>
      </c>
    </row>
    <row r="48" spans="1:9" ht="15.6" x14ac:dyDescent="0.3">
      <c r="A48" s="3" t="s">
        <v>63</v>
      </c>
      <c r="B48" s="3">
        <v>43</v>
      </c>
      <c r="C48" s="16" t="s">
        <v>30</v>
      </c>
      <c r="D48" s="17" t="s">
        <v>30</v>
      </c>
      <c r="E48" s="16" t="s">
        <v>36</v>
      </c>
      <c r="F48" s="16"/>
      <c r="G48" s="16" t="s">
        <v>84</v>
      </c>
      <c r="H48" s="16" t="s">
        <v>12</v>
      </c>
      <c r="I48" s="16">
        <v>1</v>
      </c>
    </row>
    <row r="49" spans="1:9" ht="15.6" hidden="1" x14ac:dyDescent="0.3">
      <c r="A49" s="3" t="s">
        <v>63</v>
      </c>
      <c r="B49" s="3">
        <v>44</v>
      </c>
      <c r="C49" s="16" t="s">
        <v>39</v>
      </c>
      <c r="D49" s="17" t="s">
        <v>39</v>
      </c>
      <c r="E49" s="16" t="s">
        <v>36</v>
      </c>
      <c r="F49" s="16"/>
      <c r="G49" s="16" t="s">
        <v>84</v>
      </c>
      <c r="H49" s="16" t="s">
        <v>12</v>
      </c>
      <c r="I49" s="16">
        <v>1</v>
      </c>
    </row>
    <row r="50" spans="1:9" ht="15.6" x14ac:dyDescent="0.3">
      <c r="A50" s="3" t="s">
        <v>63</v>
      </c>
      <c r="B50" s="3">
        <v>45</v>
      </c>
      <c r="C50" s="16" t="s">
        <v>30</v>
      </c>
      <c r="D50" s="17" t="s">
        <v>30</v>
      </c>
      <c r="E50" s="16" t="s">
        <v>36</v>
      </c>
      <c r="F50" s="16"/>
      <c r="G50" s="16" t="s">
        <v>85</v>
      </c>
      <c r="H50" s="16" t="s">
        <v>19</v>
      </c>
      <c r="I50" s="16">
        <v>0.25</v>
      </c>
    </row>
    <row r="51" spans="1:9" ht="15.6" hidden="1" x14ac:dyDescent="0.3">
      <c r="A51" s="3" t="s">
        <v>63</v>
      </c>
      <c r="B51" s="3">
        <v>46</v>
      </c>
      <c r="C51" s="16" t="s">
        <v>39</v>
      </c>
      <c r="D51" s="17" t="s">
        <v>39</v>
      </c>
      <c r="E51" s="16" t="s">
        <v>36</v>
      </c>
      <c r="F51" s="16"/>
      <c r="G51" s="16" t="s">
        <v>85</v>
      </c>
      <c r="H51" s="16" t="s">
        <v>19</v>
      </c>
      <c r="I51" s="16">
        <v>0.25</v>
      </c>
    </row>
    <row r="52" spans="1:9" ht="15.6" x14ac:dyDescent="0.3">
      <c r="A52" s="3" t="s">
        <v>63</v>
      </c>
      <c r="B52" s="3">
        <v>47</v>
      </c>
      <c r="C52" s="16" t="s">
        <v>30</v>
      </c>
      <c r="D52" s="17" t="s">
        <v>30</v>
      </c>
      <c r="E52" s="16" t="s">
        <v>36</v>
      </c>
      <c r="F52" s="16"/>
      <c r="G52" s="16" t="s">
        <v>86</v>
      </c>
      <c r="H52" s="16" t="s">
        <v>12</v>
      </c>
      <c r="I52" s="16">
        <v>0.5</v>
      </c>
    </row>
    <row r="53" spans="1:9" ht="15.6" x14ac:dyDescent="0.3">
      <c r="A53" s="3" t="s">
        <v>63</v>
      </c>
      <c r="B53" s="3">
        <v>48</v>
      </c>
      <c r="C53" s="16" t="s">
        <v>30</v>
      </c>
      <c r="D53" s="17" t="s">
        <v>30</v>
      </c>
      <c r="E53" s="16" t="s">
        <v>36</v>
      </c>
      <c r="F53" s="16"/>
      <c r="G53" s="16" t="s">
        <v>87</v>
      </c>
      <c r="H53" s="16" t="s">
        <v>38</v>
      </c>
      <c r="I53" s="16">
        <v>0.5</v>
      </c>
    </row>
    <row r="54" spans="1:9" ht="15.6" x14ac:dyDescent="0.3">
      <c r="A54" s="3" t="s">
        <v>63</v>
      </c>
      <c r="B54" s="3">
        <v>49</v>
      </c>
      <c r="C54" s="16" t="s">
        <v>30</v>
      </c>
      <c r="D54" s="17" t="s">
        <v>30</v>
      </c>
      <c r="E54" s="16" t="s">
        <v>36</v>
      </c>
      <c r="F54" s="16"/>
      <c r="G54" s="16" t="s">
        <v>88</v>
      </c>
      <c r="H54" s="16" t="s">
        <v>38</v>
      </c>
      <c r="I54" s="16">
        <v>0.16666666666666666</v>
      </c>
    </row>
    <row r="55" spans="1:9" hidden="1" x14ac:dyDescent="0.3">
      <c r="A55" s="3" t="s">
        <v>63</v>
      </c>
      <c r="B55" s="3">
        <v>50</v>
      </c>
      <c r="C55" s="16" t="s">
        <v>39</v>
      </c>
      <c r="D55" s="18" t="s">
        <v>39</v>
      </c>
      <c r="E55" s="16" t="s">
        <v>36</v>
      </c>
      <c r="F55" s="16"/>
      <c r="G55" s="16" t="s">
        <v>87</v>
      </c>
      <c r="H55" s="16" t="s">
        <v>38</v>
      </c>
      <c r="I55" s="16">
        <v>0.5</v>
      </c>
    </row>
    <row r="56" spans="1:9" hidden="1" x14ac:dyDescent="0.3">
      <c r="A56" s="3" t="s">
        <v>63</v>
      </c>
      <c r="B56" s="3">
        <v>51</v>
      </c>
      <c r="C56" s="16" t="s">
        <v>39</v>
      </c>
      <c r="D56" s="18" t="s">
        <v>39</v>
      </c>
      <c r="E56" s="16" t="s">
        <v>36</v>
      </c>
      <c r="F56" s="16"/>
      <c r="G56" s="16" t="s">
        <v>88</v>
      </c>
      <c r="H56" s="16" t="s">
        <v>38</v>
      </c>
      <c r="I56" s="16">
        <v>0.25</v>
      </c>
    </row>
    <row r="57" spans="1:9" ht="15.6" x14ac:dyDescent="0.3">
      <c r="A57" s="3" t="s">
        <v>63</v>
      </c>
      <c r="B57" s="3">
        <v>52</v>
      </c>
      <c r="C57" s="16" t="s">
        <v>30</v>
      </c>
      <c r="D57" s="17" t="s">
        <v>30</v>
      </c>
      <c r="E57" s="16" t="s">
        <v>82</v>
      </c>
      <c r="F57" s="16"/>
      <c r="G57" s="16" t="s">
        <v>89</v>
      </c>
      <c r="H57" s="16" t="s">
        <v>90</v>
      </c>
      <c r="I57" s="16">
        <v>0.5</v>
      </c>
    </row>
    <row r="58" spans="1:9" ht="15.6" hidden="1" x14ac:dyDescent="0.3">
      <c r="A58" s="3"/>
      <c r="B58" s="3"/>
      <c r="C58" s="16" t="s">
        <v>115</v>
      </c>
      <c r="D58" s="17" t="s">
        <v>115</v>
      </c>
      <c r="E58" s="16" t="s">
        <v>82</v>
      </c>
      <c r="F58" s="16"/>
      <c r="G58" s="16" t="s">
        <v>89</v>
      </c>
      <c r="H58" s="16" t="s">
        <v>90</v>
      </c>
      <c r="I58" s="16">
        <v>0.5</v>
      </c>
    </row>
    <row r="59" spans="1:9" ht="15.6" x14ac:dyDescent="0.3">
      <c r="A59" s="3" t="s">
        <v>63</v>
      </c>
      <c r="B59" s="3">
        <v>53</v>
      </c>
      <c r="C59" s="17" t="s">
        <v>30</v>
      </c>
      <c r="D59" s="17" t="s">
        <v>30</v>
      </c>
      <c r="E59" s="16" t="s">
        <v>31</v>
      </c>
      <c r="F59" s="16"/>
      <c r="G59" s="16" t="s">
        <v>91</v>
      </c>
      <c r="H59" s="16" t="s">
        <v>90</v>
      </c>
      <c r="I59" s="16">
        <v>0.5</v>
      </c>
    </row>
    <row r="60" spans="1:9" ht="15.6" hidden="1" x14ac:dyDescent="0.3">
      <c r="A60" s="3"/>
      <c r="B60" s="3"/>
      <c r="C60" s="17" t="s">
        <v>39</v>
      </c>
      <c r="D60" s="17" t="s">
        <v>39</v>
      </c>
      <c r="E60" s="16" t="s">
        <v>31</v>
      </c>
      <c r="F60" s="16"/>
      <c r="G60" s="16" t="s">
        <v>91</v>
      </c>
      <c r="H60" s="16" t="s">
        <v>90</v>
      </c>
      <c r="I60" s="16">
        <v>0.5</v>
      </c>
    </row>
    <row r="61" spans="1:9" ht="15.6" hidden="1" x14ac:dyDescent="0.3">
      <c r="A61" s="3"/>
      <c r="B61" s="3"/>
      <c r="C61" s="17" t="s">
        <v>8</v>
      </c>
      <c r="D61" s="17" t="s">
        <v>8</v>
      </c>
      <c r="E61" s="16" t="s">
        <v>31</v>
      </c>
      <c r="F61" s="16"/>
      <c r="G61" s="16" t="s">
        <v>91</v>
      </c>
      <c r="H61" s="16" t="s">
        <v>90</v>
      </c>
      <c r="I61" s="16">
        <v>0.5</v>
      </c>
    </row>
    <row r="62" spans="1:9" ht="15.6" hidden="1" x14ac:dyDescent="0.3">
      <c r="A62" s="3"/>
      <c r="B62" s="3"/>
      <c r="C62" s="17" t="s">
        <v>116</v>
      </c>
      <c r="D62" s="17" t="s">
        <v>116</v>
      </c>
      <c r="E62" s="16" t="s">
        <v>31</v>
      </c>
      <c r="F62" s="16"/>
      <c r="G62" s="16" t="s">
        <v>91</v>
      </c>
      <c r="H62" s="16" t="s">
        <v>90</v>
      </c>
      <c r="I62" s="16">
        <v>0.5</v>
      </c>
    </row>
    <row r="63" spans="1:9" ht="15.6" x14ac:dyDescent="0.3">
      <c r="A63" s="3" t="s">
        <v>63</v>
      </c>
      <c r="B63" s="3">
        <v>54</v>
      </c>
      <c r="C63" s="17" t="s">
        <v>30</v>
      </c>
      <c r="D63" s="17" t="s">
        <v>30</v>
      </c>
      <c r="E63" s="16" t="s">
        <v>36</v>
      </c>
      <c r="F63" s="16"/>
      <c r="G63" s="16" t="s">
        <v>117</v>
      </c>
      <c r="H63" s="16" t="s">
        <v>90</v>
      </c>
      <c r="I63" s="16">
        <v>3</v>
      </c>
    </row>
    <row r="64" spans="1:9" ht="15.6" hidden="1" x14ac:dyDescent="0.3">
      <c r="A64" s="3"/>
      <c r="B64" s="3"/>
      <c r="C64" s="17" t="s">
        <v>39</v>
      </c>
      <c r="D64" s="17" t="s">
        <v>39</v>
      </c>
      <c r="E64" s="16" t="s">
        <v>36</v>
      </c>
      <c r="F64" s="16"/>
      <c r="G64" s="16" t="s">
        <v>117</v>
      </c>
      <c r="H64" s="16" t="s">
        <v>90</v>
      </c>
      <c r="I64" s="16">
        <v>2</v>
      </c>
    </row>
    <row r="65" spans="1:9" ht="15.6" hidden="1" x14ac:dyDescent="0.3">
      <c r="A65" s="3" t="s">
        <v>63</v>
      </c>
      <c r="B65" s="3">
        <v>55</v>
      </c>
      <c r="C65" s="16" t="s">
        <v>39</v>
      </c>
      <c r="D65" s="17" t="s">
        <v>39</v>
      </c>
      <c r="E65" s="16" t="s">
        <v>92</v>
      </c>
      <c r="F65" s="16"/>
      <c r="G65" s="16" t="s">
        <v>93</v>
      </c>
      <c r="H65" s="16" t="s">
        <v>12</v>
      </c>
      <c r="I65" s="16">
        <v>0.5</v>
      </c>
    </row>
    <row r="66" spans="1:9" ht="15.6" hidden="1" x14ac:dyDescent="0.3">
      <c r="A66" s="3" t="s">
        <v>63</v>
      </c>
      <c r="B66" s="3">
        <v>56</v>
      </c>
      <c r="C66" s="16" t="s">
        <v>39</v>
      </c>
      <c r="D66" s="17" t="s">
        <v>39</v>
      </c>
      <c r="E66" s="16" t="s">
        <v>92</v>
      </c>
      <c r="F66" s="16"/>
      <c r="G66" s="16" t="s">
        <v>94</v>
      </c>
      <c r="H66" s="16" t="s">
        <v>12</v>
      </c>
      <c r="I66" s="16">
        <v>0.5</v>
      </c>
    </row>
    <row r="67" spans="1:9" ht="15.6" hidden="1" x14ac:dyDescent="0.3">
      <c r="A67" s="3" t="s">
        <v>63</v>
      </c>
      <c r="B67" s="3">
        <v>57</v>
      </c>
      <c r="C67" s="16" t="s">
        <v>39</v>
      </c>
      <c r="D67" s="17" t="s">
        <v>39</v>
      </c>
      <c r="E67" s="16" t="s">
        <v>92</v>
      </c>
      <c r="F67" s="16"/>
      <c r="G67" s="16" t="s">
        <v>95</v>
      </c>
      <c r="H67" s="16" t="s">
        <v>38</v>
      </c>
      <c r="I67" s="16">
        <v>0.33333333333333331</v>
      </c>
    </row>
    <row r="68" spans="1:9" ht="15.6" x14ac:dyDescent="0.3">
      <c r="A68" s="3" t="s">
        <v>63</v>
      </c>
      <c r="B68" s="3">
        <v>58</v>
      </c>
      <c r="C68" s="16" t="s">
        <v>30</v>
      </c>
      <c r="D68" s="17" t="s">
        <v>30</v>
      </c>
      <c r="E68" s="16" t="s">
        <v>36</v>
      </c>
      <c r="F68" s="16"/>
      <c r="G68" s="16" t="s">
        <v>96</v>
      </c>
      <c r="H68" s="16" t="s">
        <v>38</v>
      </c>
      <c r="I68" s="16">
        <v>0.25</v>
      </c>
    </row>
    <row r="69" spans="1:9" ht="15.6" hidden="1" x14ac:dyDescent="0.3">
      <c r="A69" s="3" t="s">
        <v>63</v>
      </c>
      <c r="B69" s="3">
        <v>59</v>
      </c>
      <c r="C69" s="16" t="s">
        <v>39</v>
      </c>
      <c r="D69" s="17" t="s">
        <v>39</v>
      </c>
      <c r="E69" s="16" t="s">
        <v>36</v>
      </c>
      <c r="F69" s="16"/>
      <c r="G69" s="16" t="s">
        <v>97</v>
      </c>
      <c r="H69" s="16" t="s">
        <v>38</v>
      </c>
      <c r="I69" s="16">
        <v>0.15</v>
      </c>
    </row>
    <row r="70" spans="1:9" ht="16.2" thickBot="1" x14ac:dyDescent="0.35">
      <c r="A70" s="3" t="s">
        <v>63</v>
      </c>
      <c r="B70" s="3">
        <v>60</v>
      </c>
      <c r="C70" s="16" t="s">
        <v>30</v>
      </c>
      <c r="D70" s="17" t="s">
        <v>30</v>
      </c>
      <c r="E70" s="19" t="s">
        <v>36</v>
      </c>
      <c r="F70" s="19"/>
      <c r="G70" s="19" t="s">
        <v>98</v>
      </c>
      <c r="H70" s="19" t="s">
        <v>12</v>
      </c>
      <c r="I70" s="19">
        <v>4</v>
      </c>
    </row>
    <row r="71" spans="1:9" ht="16.2" hidden="1" thickBot="1" x14ac:dyDescent="0.35">
      <c r="A71" s="3" t="s">
        <v>63</v>
      </c>
      <c r="B71" s="3">
        <v>60</v>
      </c>
      <c r="C71" s="16" t="s">
        <v>39</v>
      </c>
      <c r="D71" s="17" t="s">
        <v>39</v>
      </c>
      <c r="E71" s="23"/>
      <c r="F71" s="23"/>
      <c r="G71" s="19" t="s">
        <v>98</v>
      </c>
      <c r="H71" s="19" t="s">
        <v>12</v>
      </c>
      <c r="I71" s="24">
        <v>2</v>
      </c>
    </row>
    <row r="72" spans="1:9" ht="15.6" hidden="1" x14ac:dyDescent="0.3">
      <c r="A72" s="3" t="s">
        <v>63</v>
      </c>
      <c r="B72" s="3">
        <v>61</v>
      </c>
      <c r="C72" s="21" t="s">
        <v>39</v>
      </c>
      <c r="D72" s="22" t="s">
        <v>39</v>
      </c>
      <c r="E72" s="21" t="s">
        <v>36</v>
      </c>
      <c r="F72" s="21"/>
      <c r="G72" s="21" t="s">
        <v>99</v>
      </c>
      <c r="H72" s="21" t="s">
        <v>90</v>
      </c>
      <c r="I72" s="3">
        <v>0.25</v>
      </c>
    </row>
    <row r="73" spans="1:9" ht="15.6" hidden="1" x14ac:dyDescent="0.3">
      <c r="A73" s="3" t="s">
        <v>63</v>
      </c>
      <c r="B73" s="3">
        <v>62</v>
      </c>
      <c r="C73" s="16" t="s">
        <v>39</v>
      </c>
      <c r="D73" s="17" t="s">
        <v>39</v>
      </c>
      <c r="E73" s="16" t="s">
        <v>92</v>
      </c>
      <c r="F73" s="16"/>
      <c r="G73" s="16" t="s">
        <v>100</v>
      </c>
      <c r="H73" s="16" t="s">
        <v>90</v>
      </c>
      <c r="I73" s="3">
        <v>1</v>
      </c>
    </row>
    <row r="74" spans="1:9" ht="15.6" hidden="1" x14ac:dyDescent="0.3">
      <c r="A74" s="3" t="s">
        <v>63</v>
      </c>
      <c r="B74" s="3">
        <v>63</v>
      </c>
      <c r="C74" s="16" t="s">
        <v>39</v>
      </c>
      <c r="D74" s="17" t="s">
        <v>39</v>
      </c>
      <c r="E74" s="16" t="s">
        <v>31</v>
      </c>
      <c r="F74" s="16"/>
      <c r="G74" s="16" t="s">
        <v>100</v>
      </c>
      <c r="H74" s="16" t="s">
        <v>90</v>
      </c>
      <c r="I74" s="3">
        <v>1</v>
      </c>
    </row>
    <row r="75" spans="1:9" ht="15.6" x14ac:dyDescent="0.3">
      <c r="A75" s="3" t="s">
        <v>63</v>
      </c>
      <c r="B75" s="3">
        <v>64</v>
      </c>
      <c r="C75" s="16" t="s">
        <v>30</v>
      </c>
      <c r="D75" s="17" t="s">
        <v>30</v>
      </c>
      <c r="E75" s="16" t="s">
        <v>31</v>
      </c>
      <c r="F75" s="16"/>
      <c r="G75" s="16" t="s">
        <v>100</v>
      </c>
      <c r="H75" s="16" t="s">
        <v>90</v>
      </c>
      <c r="I75" s="3">
        <v>1</v>
      </c>
    </row>
    <row r="76" spans="1:9" ht="15.6" hidden="1" x14ac:dyDescent="0.3">
      <c r="A76" s="3" t="s">
        <v>63</v>
      </c>
      <c r="B76" s="3">
        <v>65</v>
      </c>
      <c r="C76" s="16" t="s">
        <v>39</v>
      </c>
      <c r="D76" s="17" t="s">
        <v>39</v>
      </c>
      <c r="E76" s="16" t="s">
        <v>66</v>
      </c>
      <c r="F76" s="16"/>
      <c r="G76" s="16" t="s">
        <v>101</v>
      </c>
      <c r="H76" s="16" t="s">
        <v>90</v>
      </c>
      <c r="I76" s="3">
        <v>0.33333333333333331</v>
      </c>
    </row>
    <row r="77" spans="1:9" ht="15.6" x14ac:dyDescent="0.3">
      <c r="A77" s="3" t="s">
        <v>63</v>
      </c>
      <c r="B77" s="3">
        <v>66</v>
      </c>
      <c r="C77" s="16" t="s">
        <v>30</v>
      </c>
      <c r="D77" s="17" t="s">
        <v>30</v>
      </c>
      <c r="E77" s="16" t="s">
        <v>66</v>
      </c>
      <c r="F77" s="16"/>
      <c r="G77" s="16" t="s">
        <v>101</v>
      </c>
      <c r="H77" s="16" t="s">
        <v>90</v>
      </c>
      <c r="I77" s="3">
        <v>0.33333333333333331</v>
      </c>
    </row>
    <row r="78" spans="1:9" ht="15.6" x14ac:dyDescent="0.3">
      <c r="A78" s="3" t="s">
        <v>63</v>
      </c>
      <c r="B78" s="3">
        <v>67</v>
      </c>
      <c r="C78" s="16" t="s">
        <v>30</v>
      </c>
      <c r="D78" s="17" t="s">
        <v>30</v>
      </c>
      <c r="E78" s="16" t="s">
        <v>36</v>
      </c>
      <c r="F78" s="16"/>
      <c r="G78" s="16" t="s">
        <v>102</v>
      </c>
      <c r="H78" s="16" t="s">
        <v>90</v>
      </c>
      <c r="I78" s="3">
        <v>1</v>
      </c>
    </row>
    <row r="79" spans="1:9" ht="15.6" hidden="1" x14ac:dyDescent="0.3">
      <c r="A79" s="3" t="s">
        <v>63</v>
      </c>
      <c r="B79" s="3">
        <v>68</v>
      </c>
      <c r="C79" s="16" t="s">
        <v>39</v>
      </c>
      <c r="D79" s="17" t="s">
        <v>39</v>
      </c>
      <c r="E79" s="16" t="s">
        <v>36</v>
      </c>
      <c r="F79" s="16"/>
      <c r="G79" s="16" t="s">
        <v>102</v>
      </c>
      <c r="H79" s="16" t="s">
        <v>90</v>
      </c>
      <c r="I79" s="3">
        <v>1</v>
      </c>
    </row>
    <row r="80" spans="1:9" ht="15.6" x14ac:dyDescent="0.3">
      <c r="A80" s="3" t="s">
        <v>63</v>
      </c>
      <c r="B80" s="3">
        <v>69</v>
      </c>
      <c r="C80" s="16" t="s">
        <v>30</v>
      </c>
      <c r="D80" s="17" t="s">
        <v>30</v>
      </c>
      <c r="E80" s="16" t="s">
        <v>36</v>
      </c>
      <c r="F80" s="16"/>
      <c r="G80" s="16" t="s">
        <v>103</v>
      </c>
      <c r="H80" s="16" t="s">
        <v>90</v>
      </c>
      <c r="I80" s="3">
        <v>1</v>
      </c>
    </row>
    <row r="81" spans="1:9" ht="16.2" hidden="1" thickBot="1" x14ac:dyDescent="0.35">
      <c r="A81" s="3" t="s">
        <v>63</v>
      </c>
      <c r="B81" s="3">
        <v>70</v>
      </c>
      <c r="C81" s="19" t="s">
        <v>39</v>
      </c>
      <c r="D81" s="20" t="s">
        <v>39</v>
      </c>
      <c r="E81" s="19" t="s">
        <v>36</v>
      </c>
      <c r="F81" s="19"/>
      <c r="G81" s="19" t="s">
        <v>103</v>
      </c>
      <c r="H81" s="19" t="s">
        <v>90</v>
      </c>
      <c r="I81" s="3">
        <v>1</v>
      </c>
    </row>
    <row r="82" spans="1:9" x14ac:dyDescent="0.3">
      <c r="A82" s="3" t="s">
        <v>63</v>
      </c>
      <c r="B82" s="3">
        <v>71</v>
      </c>
      <c r="C82" s="3" t="s">
        <v>30</v>
      </c>
      <c r="D82" s="3" t="s">
        <v>30</v>
      </c>
      <c r="E82" s="3" t="s">
        <v>82</v>
      </c>
      <c r="F82" s="3"/>
      <c r="G82" s="3" t="s">
        <v>104</v>
      </c>
      <c r="H82" s="3" t="s">
        <v>105</v>
      </c>
      <c r="I82" s="3">
        <v>0.5</v>
      </c>
    </row>
    <row r="83" spans="1:9" hidden="1" x14ac:dyDescent="0.3">
      <c r="A83" s="3"/>
      <c r="B83" s="3">
        <v>72</v>
      </c>
      <c r="C83" s="3" t="s">
        <v>115</v>
      </c>
      <c r="D83" s="3" t="s">
        <v>115</v>
      </c>
      <c r="E83" s="3" t="s">
        <v>82</v>
      </c>
      <c r="F83" s="3"/>
      <c r="G83" s="3" t="s">
        <v>104</v>
      </c>
      <c r="H83" s="3"/>
      <c r="I83" s="3">
        <v>0.5</v>
      </c>
    </row>
    <row r="84" spans="1:9" x14ac:dyDescent="0.3">
      <c r="A84" s="3" t="s">
        <v>63</v>
      </c>
      <c r="B84" s="3">
        <v>72</v>
      </c>
      <c r="C84" s="3" t="s">
        <v>30</v>
      </c>
      <c r="D84" s="3" t="s">
        <v>30</v>
      </c>
      <c r="E84" s="3" t="s">
        <v>31</v>
      </c>
      <c r="F84" s="3"/>
      <c r="G84" s="3" t="s">
        <v>106</v>
      </c>
      <c r="H84" s="3" t="s">
        <v>105</v>
      </c>
      <c r="I84" s="3">
        <v>0.3</v>
      </c>
    </row>
    <row r="85" spans="1:9" ht="16.2" hidden="1" thickBot="1" x14ac:dyDescent="0.35">
      <c r="A85" s="3"/>
      <c r="B85" s="3"/>
      <c r="C85" s="3" t="s">
        <v>39</v>
      </c>
      <c r="D85" s="20" t="s">
        <v>39</v>
      </c>
      <c r="E85" s="3" t="s">
        <v>31</v>
      </c>
      <c r="F85" s="3"/>
      <c r="G85" s="3" t="s">
        <v>106</v>
      </c>
      <c r="H85" s="3" t="s">
        <v>105</v>
      </c>
      <c r="I85" s="3">
        <v>0.3</v>
      </c>
    </row>
    <row r="86" spans="1:9" ht="16.2" hidden="1" thickBot="1" x14ac:dyDescent="0.35">
      <c r="A86" s="3"/>
      <c r="B86" s="3"/>
      <c r="C86" s="3" t="s">
        <v>39</v>
      </c>
      <c r="D86" s="20" t="s">
        <v>39</v>
      </c>
      <c r="E86" s="3" t="s">
        <v>59</v>
      </c>
      <c r="F86" s="3"/>
      <c r="G86" s="3" t="s">
        <v>106</v>
      </c>
      <c r="H86" s="3" t="s">
        <v>105</v>
      </c>
      <c r="I86" s="3">
        <v>0.3</v>
      </c>
    </row>
    <row r="87" spans="1:9" hidden="1" x14ac:dyDescent="0.3">
      <c r="A87" s="3"/>
      <c r="B87" s="3"/>
      <c r="C87" s="3" t="s">
        <v>118</v>
      </c>
      <c r="D87" s="3" t="s">
        <v>118</v>
      </c>
      <c r="E87" s="3" t="s">
        <v>59</v>
      </c>
      <c r="F87" s="3"/>
      <c r="G87" s="3" t="s">
        <v>106</v>
      </c>
      <c r="H87" s="3" t="s">
        <v>105</v>
      </c>
      <c r="I87" s="3">
        <v>0.3</v>
      </c>
    </row>
    <row r="88" spans="1:9" ht="15.6" x14ac:dyDescent="0.3">
      <c r="A88" s="3" t="s">
        <v>63</v>
      </c>
      <c r="B88" s="3">
        <v>73</v>
      </c>
      <c r="C88" s="3" t="s">
        <v>30</v>
      </c>
      <c r="D88" s="17" t="s">
        <v>30</v>
      </c>
      <c r="E88" s="3" t="s">
        <v>31</v>
      </c>
      <c r="F88" s="3"/>
      <c r="G88" s="3" t="s">
        <v>107</v>
      </c>
      <c r="H88" s="3" t="s">
        <v>105</v>
      </c>
      <c r="I88" s="3">
        <v>0.5</v>
      </c>
    </row>
    <row r="89" spans="1:9" ht="16.2" hidden="1" thickBot="1" x14ac:dyDescent="0.35">
      <c r="A89" s="3"/>
      <c r="B89" s="3"/>
      <c r="C89" s="3" t="s">
        <v>39</v>
      </c>
      <c r="D89" s="20" t="s">
        <v>39</v>
      </c>
      <c r="E89" s="3" t="s">
        <v>31</v>
      </c>
      <c r="F89" s="3"/>
      <c r="G89" s="3" t="s">
        <v>107</v>
      </c>
      <c r="H89" s="3" t="s">
        <v>105</v>
      </c>
      <c r="I89" s="3">
        <v>0.5</v>
      </c>
    </row>
    <row r="90" spans="1:9" ht="15.6" x14ac:dyDescent="0.3">
      <c r="A90" s="3" t="s">
        <v>63</v>
      </c>
      <c r="B90" s="3">
        <v>74</v>
      </c>
      <c r="C90" s="17" t="s">
        <v>30</v>
      </c>
      <c r="D90" s="17" t="s">
        <v>30</v>
      </c>
      <c r="E90" s="3" t="s">
        <v>31</v>
      </c>
      <c r="F90" s="3"/>
      <c r="G90" s="3" t="s">
        <v>108</v>
      </c>
      <c r="H90" s="3" t="s">
        <v>105</v>
      </c>
      <c r="I90" s="3">
        <v>0.5</v>
      </c>
    </row>
    <row r="91" spans="1:9" ht="16.2" hidden="1" thickBot="1" x14ac:dyDescent="0.35">
      <c r="A91" s="3"/>
      <c r="B91" s="3"/>
      <c r="C91" s="20" t="s">
        <v>39</v>
      </c>
      <c r="D91" s="20" t="s">
        <v>39</v>
      </c>
      <c r="E91" s="3" t="s">
        <v>31</v>
      </c>
      <c r="F91" s="3"/>
      <c r="G91" s="3" t="s">
        <v>108</v>
      </c>
      <c r="H91" s="3" t="s">
        <v>105</v>
      </c>
      <c r="I91" s="3">
        <v>0.5</v>
      </c>
    </row>
    <row r="92" spans="1:9" hidden="1" x14ac:dyDescent="0.3">
      <c r="A92" s="3" t="s">
        <v>63</v>
      </c>
      <c r="B92" s="3">
        <v>75</v>
      </c>
      <c r="C92" s="3" t="s">
        <v>39</v>
      </c>
      <c r="D92" s="3" t="s">
        <v>39</v>
      </c>
      <c r="E92" s="3" t="s">
        <v>31</v>
      </c>
      <c r="F92" s="3"/>
      <c r="G92" s="3" t="s">
        <v>109</v>
      </c>
      <c r="H92" s="3" t="s">
        <v>105</v>
      </c>
      <c r="I92" s="3">
        <v>1.5</v>
      </c>
    </row>
    <row r="93" spans="1:9" x14ac:dyDescent="0.3">
      <c r="A93" s="3"/>
      <c r="B93" s="3"/>
      <c r="C93" s="3" t="s">
        <v>30</v>
      </c>
      <c r="D93" s="3" t="s">
        <v>30</v>
      </c>
      <c r="E93" s="3" t="s">
        <v>31</v>
      </c>
      <c r="F93" s="3"/>
      <c r="G93" s="3" t="s">
        <v>109</v>
      </c>
      <c r="H93" s="3" t="s">
        <v>105</v>
      </c>
      <c r="I93" s="3">
        <v>1.5</v>
      </c>
    </row>
    <row r="94" spans="1:9" hidden="1" x14ac:dyDescent="0.3">
      <c r="A94" s="3"/>
      <c r="B94" s="3"/>
      <c r="C94" s="3" t="s">
        <v>8</v>
      </c>
      <c r="D94" s="3" t="s">
        <v>8</v>
      </c>
      <c r="E94" s="3" t="s">
        <v>31</v>
      </c>
      <c r="F94" s="3"/>
      <c r="G94" s="3" t="s">
        <v>109</v>
      </c>
      <c r="H94" s="3" t="s">
        <v>105</v>
      </c>
      <c r="I94" s="3">
        <v>1.5</v>
      </c>
    </row>
    <row r="95" spans="1:9" x14ac:dyDescent="0.3">
      <c r="A95" s="3" t="s">
        <v>63</v>
      </c>
      <c r="B95" s="3">
        <v>76</v>
      </c>
      <c r="C95" s="3" t="s">
        <v>30</v>
      </c>
      <c r="D95" s="3" t="s">
        <v>30</v>
      </c>
      <c r="E95" s="3" t="s">
        <v>31</v>
      </c>
      <c r="F95" s="3"/>
      <c r="G95" s="3" t="s">
        <v>110</v>
      </c>
      <c r="H95" s="3" t="s">
        <v>105</v>
      </c>
      <c r="I95" s="3">
        <v>4</v>
      </c>
    </row>
    <row r="96" spans="1:9" hidden="1" x14ac:dyDescent="0.3">
      <c r="A96" s="3" t="s">
        <v>63</v>
      </c>
      <c r="B96" s="3">
        <v>77</v>
      </c>
      <c r="C96" s="3" t="s">
        <v>39</v>
      </c>
      <c r="D96" s="3" t="s">
        <v>39</v>
      </c>
      <c r="E96" s="3" t="s">
        <v>31</v>
      </c>
      <c r="F96" s="3"/>
      <c r="G96" s="3" t="s">
        <v>111</v>
      </c>
      <c r="H96" s="3" t="s">
        <v>105</v>
      </c>
      <c r="I96" s="3">
        <v>0.5</v>
      </c>
    </row>
    <row r="97" spans="1:9" x14ac:dyDescent="0.3">
      <c r="A97" s="3" t="s">
        <v>63</v>
      </c>
      <c r="B97" s="3">
        <v>78</v>
      </c>
      <c r="C97" s="3" t="s">
        <v>30</v>
      </c>
      <c r="D97" s="3" t="s">
        <v>30</v>
      </c>
      <c r="E97" s="3" t="s">
        <v>36</v>
      </c>
      <c r="F97" s="3"/>
      <c r="G97" s="3" t="s">
        <v>85</v>
      </c>
      <c r="H97" s="3" t="s">
        <v>105</v>
      </c>
      <c r="I97" s="3">
        <v>0.25</v>
      </c>
    </row>
    <row r="98" spans="1:9" hidden="1" x14ac:dyDescent="0.3">
      <c r="A98" s="3" t="s">
        <v>63</v>
      </c>
      <c r="B98" s="3">
        <v>79</v>
      </c>
      <c r="C98" s="3" t="s">
        <v>39</v>
      </c>
      <c r="D98" s="3" t="s">
        <v>39</v>
      </c>
      <c r="E98" s="3" t="s">
        <v>36</v>
      </c>
      <c r="F98" s="3"/>
      <c r="G98" s="3" t="s">
        <v>85</v>
      </c>
      <c r="H98" s="3" t="s">
        <v>105</v>
      </c>
      <c r="I98" s="3">
        <v>0.25</v>
      </c>
    </row>
    <row r="99" spans="1:9" x14ac:dyDescent="0.3">
      <c r="A99" s="3" t="s">
        <v>63</v>
      </c>
      <c r="B99" s="3">
        <v>80</v>
      </c>
      <c r="C99" s="3" t="s">
        <v>30</v>
      </c>
      <c r="D99" s="3" t="s">
        <v>30</v>
      </c>
      <c r="E99" s="3" t="s">
        <v>31</v>
      </c>
      <c r="F99" s="3"/>
      <c r="G99" s="3" t="s">
        <v>112</v>
      </c>
      <c r="H99" s="3" t="s">
        <v>105</v>
      </c>
      <c r="I99" s="3">
        <v>0.5</v>
      </c>
    </row>
    <row r="100" spans="1:9" hidden="1" x14ac:dyDescent="0.3">
      <c r="A100" s="3"/>
      <c r="B100" s="3"/>
      <c r="C100" s="3" t="s">
        <v>39</v>
      </c>
      <c r="D100" s="3" t="s">
        <v>39</v>
      </c>
      <c r="E100" s="3" t="s">
        <v>31</v>
      </c>
      <c r="F100" s="3"/>
      <c r="G100" s="3" t="s">
        <v>112</v>
      </c>
      <c r="H100" s="3" t="s">
        <v>105</v>
      </c>
      <c r="I100" s="3">
        <v>0.5</v>
      </c>
    </row>
    <row r="101" spans="1:9" hidden="1" x14ac:dyDescent="0.3">
      <c r="A101" s="3" t="s">
        <v>63</v>
      </c>
      <c r="B101" s="3">
        <v>81</v>
      </c>
      <c r="C101" s="3" t="s">
        <v>39</v>
      </c>
      <c r="D101" s="3" t="s">
        <v>39</v>
      </c>
      <c r="E101" s="3" t="s">
        <v>36</v>
      </c>
      <c r="F101" s="3"/>
      <c r="G101" s="3" t="s">
        <v>113</v>
      </c>
      <c r="H101" s="3" t="s">
        <v>105</v>
      </c>
      <c r="I101" s="3">
        <v>1</v>
      </c>
    </row>
    <row r="102" spans="1:9" x14ac:dyDescent="0.3">
      <c r="C102" s="26"/>
      <c r="D102" s="26"/>
    </row>
  </sheetData>
  <autoFilter ref="A2:I101">
    <filterColumn colId="2">
      <filters>
        <filter val="Exete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14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4" sqref="E14"/>
    </sheetView>
  </sheetViews>
  <sheetFormatPr defaultRowHeight="14.4" x14ac:dyDescent="0.3"/>
  <cols>
    <col min="2" max="2" width="3" bestFit="1" customWidth="1"/>
    <col min="3" max="3" width="11.6640625" bestFit="1" customWidth="1"/>
    <col min="4" max="4" width="35.5546875" customWidth="1"/>
    <col min="5" max="5" width="35.6640625" bestFit="1" customWidth="1"/>
    <col min="6" max="6" width="30.5546875" customWidth="1"/>
    <col min="7" max="7" width="78.6640625" bestFit="1" customWidth="1"/>
    <col min="8" max="8" width="11.109375" bestFit="1" customWidth="1"/>
    <col min="9" max="9" width="7.88671875" bestFit="1" customWidth="1"/>
  </cols>
  <sheetData>
    <row r="2" spans="1:21" ht="29.4" thickBot="1" x14ac:dyDescent="0.35">
      <c r="A2" s="3" t="s">
        <v>114</v>
      </c>
      <c r="B2" s="4" t="s">
        <v>0</v>
      </c>
      <c r="C2" s="38" t="s">
        <v>1</v>
      </c>
      <c r="D2" s="38" t="s">
        <v>2</v>
      </c>
      <c r="E2" s="38" t="s">
        <v>3</v>
      </c>
      <c r="F2" s="38" t="s">
        <v>4</v>
      </c>
      <c r="G2" s="38" t="s">
        <v>5</v>
      </c>
      <c r="H2" s="38" t="s">
        <v>6</v>
      </c>
      <c r="I2" s="5" t="s">
        <v>7</v>
      </c>
    </row>
    <row r="3" spans="1:21" ht="15.6" x14ac:dyDescent="0.3">
      <c r="A3" s="3" t="s">
        <v>63</v>
      </c>
      <c r="B3" s="3">
        <v>1</v>
      </c>
      <c r="C3" s="39" t="s">
        <v>115</v>
      </c>
      <c r="D3" s="39" t="s">
        <v>115</v>
      </c>
      <c r="E3" s="30" t="s">
        <v>82</v>
      </c>
      <c r="F3" s="30"/>
      <c r="G3" s="30" t="s">
        <v>83</v>
      </c>
      <c r="H3" s="30" t="s">
        <v>12</v>
      </c>
      <c r="I3" s="30">
        <v>0.25</v>
      </c>
    </row>
    <row r="4" spans="1:21" ht="15.6" x14ac:dyDescent="0.3">
      <c r="A4" s="3" t="s">
        <v>63</v>
      </c>
      <c r="B4" s="3">
        <v>2</v>
      </c>
      <c r="C4" s="30" t="s">
        <v>115</v>
      </c>
      <c r="D4" s="39" t="s">
        <v>115</v>
      </c>
      <c r="E4" s="30" t="s">
        <v>82</v>
      </c>
      <c r="F4" s="30"/>
      <c r="G4" s="30" t="s">
        <v>89</v>
      </c>
      <c r="H4" s="30" t="s">
        <v>90</v>
      </c>
      <c r="I4" s="30">
        <v>0.5</v>
      </c>
    </row>
    <row r="5" spans="1:21" x14ac:dyDescent="0.3">
      <c r="A5" s="3" t="s">
        <v>63</v>
      </c>
      <c r="B5" s="3">
        <v>3</v>
      </c>
      <c r="C5" s="30" t="s">
        <v>115</v>
      </c>
      <c r="D5" s="30" t="s">
        <v>115</v>
      </c>
      <c r="E5" s="30" t="s">
        <v>82</v>
      </c>
      <c r="F5" s="30"/>
      <c r="G5" s="30" t="s">
        <v>104</v>
      </c>
      <c r="H5" s="30" t="s">
        <v>90</v>
      </c>
      <c r="I5" s="30">
        <v>0.5</v>
      </c>
      <c r="U5" t="e">
        <f>T5*'Split by sites'!G49</f>
        <v>#VALUE!</v>
      </c>
    </row>
    <row r="6" spans="1:21" x14ac:dyDescent="0.3">
      <c r="A6" s="3" t="s">
        <v>60</v>
      </c>
      <c r="B6" s="3">
        <v>4</v>
      </c>
      <c r="C6" s="32" t="s">
        <v>127</v>
      </c>
      <c r="D6" s="32"/>
      <c r="E6" s="32" t="s">
        <v>129</v>
      </c>
      <c r="F6" s="32"/>
      <c r="G6" s="32"/>
      <c r="H6" s="32" t="s">
        <v>12</v>
      </c>
      <c r="I6" s="30">
        <v>3</v>
      </c>
    </row>
    <row r="7" spans="1:21" x14ac:dyDescent="0.3">
      <c r="A7" s="3" t="s">
        <v>60</v>
      </c>
      <c r="B7" s="3">
        <v>5</v>
      </c>
      <c r="C7" s="32" t="s">
        <v>127</v>
      </c>
      <c r="D7" s="32" t="s">
        <v>22</v>
      </c>
      <c r="E7" s="32" t="s">
        <v>23</v>
      </c>
      <c r="F7" s="32" t="s">
        <v>23</v>
      </c>
      <c r="G7" s="32" t="s">
        <v>24</v>
      </c>
      <c r="H7" s="32" t="s">
        <v>12</v>
      </c>
      <c r="I7" s="30">
        <v>2.5</v>
      </c>
    </row>
    <row r="8" spans="1:21" x14ac:dyDescent="0.3">
      <c r="A8" s="3" t="s">
        <v>60</v>
      </c>
      <c r="B8" s="3">
        <v>6</v>
      </c>
      <c r="C8" s="30" t="s">
        <v>127</v>
      </c>
      <c r="D8" s="40"/>
      <c r="E8" s="32" t="s">
        <v>129</v>
      </c>
      <c r="F8" s="40"/>
      <c r="G8" s="40"/>
      <c r="H8" s="30" t="s">
        <v>90</v>
      </c>
      <c r="I8" s="30">
        <v>2</v>
      </c>
    </row>
    <row r="9" spans="1:21" x14ac:dyDescent="0.3">
      <c r="A9" s="3" t="s">
        <v>60</v>
      </c>
      <c r="B9" s="3">
        <v>7</v>
      </c>
      <c r="C9" s="32" t="s">
        <v>118</v>
      </c>
      <c r="D9" s="32" t="s">
        <v>52</v>
      </c>
      <c r="E9" s="32" t="s">
        <v>36</v>
      </c>
      <c r="F9" s="30"/>
      <c r="G9" s="32" t="s">
        <v>53</v>
      </c>
      <c r="H9" s="32" t="s">
        <v>12</v>
      </c>
      <c r="I9" s="30">
        <v>0.25</v>
      </c>
    </row>
    <row r="10" spans="1:21" x14ac:dyDescent="0.3">
      <c r="A10" s="3" t="s">
        <v>61</v>
      </c>
      <c r="B10" s="3">
        <v>8</v>
      </c>
      <c r="C10" s="32" t="s">
        <v>118</v>
      </c>
      <c r="D10" s="32" t="s">
        <v>52</v>
      </c>
      <c r="E10" s="32" t="s">
        <v>59</v>
      </c>
      <c r="F10" s="30"/>
      <c r="G10" s="32" t="s">
        <v>123</v>
      </c>
      <c r="H10" s="32" t="s">
        <v>12</v>
      </c>
      <c r="I10" s="30">
        <v>6</v>
      </c>
    </row>
    <row r="11" spans="1:21" x14ac:dyDescent="0.3">
      <c r="A11" s="3" t="s">
        <v>60</v>
      </c>
      <c r="B11" s="3">
        <v>9</v>
      </c>
      <c r="C11" s="32" t="s">
        <v>118</v>
      </c>
      <c r="D11" s="32" t="s">
        <v>52</v>
      </c>
      <c r="E11" s="32" t="s">
        <v>59</v>
      </c>
      <c r="F11" s="30"/>
      <c r="G11" s="32" t="s">
        <v>55</v>
      </c>
      <c r="H11" s="30" t="s">
        <v>19</v>
      </c>
      <c r="I11" s="30">
        <v>0.25</v>
      </c>
    </row>
    <row r="12" spans="1:21" x14ac:dyDescent="0.3">
      <c r="A12" s="3" t="s">
        <v>60</v>
      </c>
      <c r="B12" s="3">
        <v>10</v>
      </c>
      <c r="C12" s="32" t="s">
        <v>118</v>
      </c>
      <c r="D12" s="32" t="s">
        <v>52</v>
      </c>
      <c r="E12" s="32" t="s">
        <v>59</v>
      </c>
      <c r="F12" s="30"/>
      <c r="G12" s="32" t="s">
        <v>56</v>
      </c>
      <c r="H12" s="32" t="s">
        <v>57</v>
      </c>
      <c r="I12" s="30">
        <v>0.25</v>
      </c>
    </row>
    <row r="13" spans="1:21" x14ac:dyDescent="0.3">
      <c r="A13" s="3" t="s">
        <v>61</v>
      </c>
      <c r="B13" s="3">
        <v>11</v>
      </c>
      <c r="C13" s="32" t="s">
        <v>118</v>
      </c>
      <c r="D13" s="32" t="s">
        <v>52</v>
      </c>
      <c r="E13" s="32" t="s">
        <v>59</v>
      </c>
      <c r="F13" s="30"/>
      <c r="G13" s="32" t="s">
        <v>58</v>
      </c>
      <c r="H13" s="32" t="s">
        <v>12</v>
      </c>
      <c r="I13" s="30">
        <v>4</v>
      </c>
    </row>
    <row r="14" spans="1:21" x14ac:dyDescent="0.3">
      <c r="A14" s="3" t="s">
        <v>61</v>
      </c>
      <c r="B14" s="3">
        <v>12</v>
      </c>
      <c r="C14" s="32" t="s">
        <v>118</v>
      </c>
      <c r="D14" s="32"/>
      <c r="E14" s="32" t="s">
        <v>59</v>
      </c>
      <c r="F14" s="30"/>
      <c r="G14" s="32" t="s">
        <v>124</v>
      </c>
      <c r="H14" s="30" t="s">
        <v>19</v>
      </c>
      <c r="I14" s="30">
        <v>0.25</v>
      </c>
    </row>
    <row r="15" spans="1:21" x14ac:dyDescent="0.3">
      <c r="A15" s="3" t="s">
        <v>61</v>
      </c>
      <c r="B15" s="3">
        <v>13</v>
      </c>
      <c r="C15" s="32" t="s">
        <v>118</v>
      </c>
      <c r="D15" s="32" t="s">
        <v>52</v>
      </c>
      <c r="E15" s="32" t="s">
        <v>59</v>
      </c>
      <c r="F15" s="30"/>
      <c r="G15" s="32" t="s">
        <v>64</v>
      </c>
      <c r="H15" s="30" t="s">
        <v>90</v>
      </c>
      <c r="I15" s="30">
        <v>16</v>
      </c>
    </row>
    <row r="16" spans="1:21" ht="15.6" x14ac:dyDescent="0.3">
      <c r="A16" s="3" t="s">
        <v>61</v>
      </c>
      <c r="B16" s="3">
        <v>14</v>
      </c>
      <c r="C16" s="30" t="s">
        <v>30</v>
      </c>
      <c r="D16" s="39" t="s">
        <v>30</v>
      </c>
      <c r="E16" s="30" t="s">
        <v>36</v>
      </c>
      <c r="F16" s="30"/>
      <c r="G16" s="30" t="s">
        <v>67</v>
      </c>
      <c r="H16" s="30" t="s">
        <v>12</v>
      </c>
      <c r="I16" s="30">
        <v>0.5</v>
      </c>
    </row>
    <row r="17" spans="1:9" ht="15.6" x14ac:dyDescent="0.3">
      <c r="A17" s="3" t="s">
        <v>63</v>
      </c>
      <c r="B17" s="3">
        <v>15</v>
      </c>
      <c r="C17" s="39" t="s">
        <v>39</v>
      </c>
      <c r="D17" s="39" t="s">
        <v>39</v>
      </c>
      <c r="E17" s="30" t="s">
        <v>36</v>
      </c>
      <c r="F17" s="30"/>
      <c r="G17" s="30" t="s">
        <v>67</v>
      </c>
      <c r="H17" s="30" t="s">
        <v>12</v>
      </c>
      <c r="I17" s="30">
        <v>0.33333333333333331</v>
      </c>
    </row>
    <row r="18" spans="1:9" ht="15.6" x14ac:dyDescent="0.3">
      <c r="A18" s="3" t="s">
        <v>63</v>
      </c>
      <c r="B18" s="3">
        <v>16</v>
      </c>
      <c r="C18" s="30" t="s">
        <v>30</v>
      </c>
      <c r="D18" s="39" t="s">
        <v>30</v>
      </c>
      <c r="E18" s="30" t="s">
        <v>36</v>
      </c>
      <c r="F18" s="30"/>
      <c r="G18" s="30" t="s">
        <v>102</v>
      </c>
      <c r="H18" s="30" t="s">
        <v>90</v>
      </c>
      <c r="I18" s="30">
        <v>2</v>
      </c>
    </row>
    <row r="19" spans="1:9" x14ac:dyDescent="0.3">
      <c r="A19" s="3" t="s">
        <v>63</v>
      </c>
      <c r="B19" s="3">
        <v>17</v>
      </c>
      <c r="C19" s="30" t="s">
        <v>39</v>
      </c>
      <c r="D19" s="32" t="s">
        <v>39</v>
      </c>
      <c r="E19" s="30" t="s">
        <v>36</v>
      </c>
      <c r="F19" s="30"/>
      <c r="G19" s="30" t="s">
        <v>88</v>
      </c>
      <c r="H19" s="30" t="s">
        <v>132</v>
      </c>
      <c r="I19" s="30">
        <v>1</v>
      </c>
    </row>
    <row r="20" spans="1:9" ht="15.6" x14ac:dyDescent="0.3">
      <c r="A20" s="3" t="s">
        <v>61</v>
      </c>
      <c r="B20" s="3">
        <v>18</v>
      </c>
      <c r="C20" s="30" t="s">
        <v>30</v>
      </c>
      <c r="D20" s="39" t="s">
        <v>30</v>
      </c>
      <c r="E20" s="30" t="s">
        <v>36</v>
      </c>
      <c r="F20" s="30"/>
      <c r="G20" s="30" t="s">
        <v>88</v>
      </c>
      <c r="H20" s="30" t="s">
        <v>132</v>
      </c>
      <c r="I20" s="30">
        <v>1</v>
      </c>
    </row>
    <row r="21" spans="1:9" ht="15.6" x14ac:dyDescent="0.3">
      <c r="A21" s="3" t="s">
        <v>122</v>
      </c>
      <c r="B21" s="3">
        <v>19</v>
      </c>
      <c r="C21" s="39" t="s">
        <v>39</v>
      </c>
      <c r="D21" s="39" t="s">
        <v>39</v>
      </c>
      <c r="E21" s="30" t="s">
        <v>36</v>
      </c>
      <c r="F21" s="30"/>
      <c r="G21" s="30" t="s">
        <v>117</v>
      </c>
      <c r="H21" s="30" t="s">
        <v>90</v>
      </c>
      <c r="I21" s="30">
        <v>2</v>
      </c>
    </row>
    <row r="22" spans="1:9" ht="15.6" x14ac:dyDescent="0.3">
      <c r="A22" s="3" t="s">
        <v>63</v>
      </c>
      <c r="B22" s="3">
        <v>20</v>
      </c>
      <c r="C22" s="39" t="s">
        <v>30</v>
      </c>
      <c r="D22" s="39" t="s">
        <v>30</v>
      </c>
      <c r="E22" s="30" t="s">
        <v>36</v>
      </c>
      <c r="F22" s="30"/>
      <c r="G22" s="30" t="s">
        <v>148</v>
      </c>
      <c r="H22" s="30" t="s">
        <v>90</v>
      </c>
      <c r="I22" s="30">
        <v>1</v>
      </c>
    </row>
    <row r="23" spans="1:9" ht="15.6" x14ac:dyDescent="0.3">
      <c r="A23" s="3" t="s">
        <v>63</v>
      </c>
      <c r="B23" s="3">
        <v>21</v>
      </c>
      <c r="C23" s="39" t="s">
        <v>39</v>
      </c>
      <c r="D23" s="39" t="s">
        <v>30</v>
      </c>
      <c r="E23" s="30" t="s">
        <v>36</v>
      </c>
      <c r="F23" s="30"/>
      <c r="G23" s="30" t="s">
        <v>148</v>
      </c>
      <c r="H23" s="30" t="s">
        <v>90</v>
      </c>
      <c r="I23" s="30">
        <v>1</v>
      </c>
    </row>
    <row r="24" spans="1:9" ht="15.6" x14ac:dyDescent="0.3">
      <c r="A24" s="3" t="s">
        <v>61</v>
      </c>
      <c r="B24" s="3">
        <v>22</v>
      </c>
      <c r="C24" s="39" t="s">
        <v>30</v>
      </c>
      <c r="D24" s="39" t="s">
        <v>30</v>
      </c>
      <c r="E24" s="30" t="s">
        <v>36</v>
      </c>
      <c r="F24" s="30"/>
      <c r="G24" s="30" t="s">
        <v>148</v>
      </c>
      <c r="H24" s="30" t="s">
        <v>90</v>
      </c>
      <c r="I24" s="30">
        <v>2</v>
      </c>
    </row>
    <row r="25" spans="1:9" x14ac:dyDescent="0.3">
      <c r="A25" s="3" t="s">
        <v>63</v>
      </c>
      <c r="B25" s="3">
        <v>23</v>
      </c>
      <c r="C25" s="30" t="s">
        <v>39</v>
      </c>
      <c r="D25" s="30" t="s">
        <v>39</v>
      </c>
      <c r="E25" s="30"/>
      <c r="F25" s="40"/>
      <c r="G25" s="30" t="s">
        <v>96</v>
      </c>
      <c r="H25" s="30" t="s">
        <v>38</v>
      </c>
      <c r="I25" s="30">
        <v>0.5</v>
      </c>
    </row>
    <row r="26" spans="1:9" ht="15.6" x14ac:dyDescent="0.3">
      <c r="A26" s="3" t="s">
        <v>61</v>
      </c>
      <c r="B26" s="3">
        <v>24</v>
      </c>
      <c r="C26" s="39" t="s">
        <v>39</v>
      </c>
      <c r="D26" s="39" t="s">
        <v>30</v>
      </c>
      <c r="E26" s="30" t="s">
        <v>36</v>
      </c>
      <c r="F26" s="30"/>
      <c r="G26" s="30" t="s">
        <v>148</v>
      </c>
      <c r="H26" s="30" t="s">
        <v>90</v>
      </c>
      <c r="I26" s="30">
        <v>2</v>
      </c>
    </row>
    <row r="27" spans="1:9" ht="15.6" x14ac:dyDescent="0.3">
      <c r="A27" s="3" t="s">
        <v>61</v>
      </c>
      <c r="B27" s="3">
        <v>25</v>
      </c>
      <c r="C27" s="30" t="s">
        <v>30</v>
      </c>
      <c r="D27" s="39" t="s">
        <v>30</v>
      </c>
      <c r="E27" s="30" t="s">
        <v>36</v>
      </c>
      <c r="F27" s="30"/>
      <c r="G27" s="30" t="s">
        <v>96</v>
      </c>
      <c r="H27" s="30" t="s">
        <v>38</v>
      </c>
      <c r="I27" s="30">
        <v>0.5</v>
      </c>
    </row>
    <row r="28" spans="1:9" x14ac:dyDescent="0.3">
      <c r="A28" s="3" t="s">
        <v>122</v>
      </c>
      <c r="B28" s="3">
        <v>26</v>
      </c>
      <c r="C28" s="30" t="s">
        <v>39</v>
      </c>
      <c r="D28" s="30" t="s">
        <v>39</v>
      </c>
      <c r="E28" s="30" t="s">
        <v>36</v>
      </c>
      <c r="F28" s="30"/>
      <c r="G28" s="30" t="s">
        <v>113</v>
      </c>
      <c r="H28" s="30" t="s">
        <v>105</v>
      </c>
      <c r="I28" s="30">
        <v>2</v>
      </c>
    </row>
    <row r="29" spans="1:9" x14ac:dyDescent="0.3">
      <c r="A29" s="3" t="s">
        <v>63</v>
      </c>
      <c r="B29" s="3">
        <v>27</v>
      </c>
      <c r="C29" s="30" t="s">
        <v>39</v>
      </c>
      <c r="D29" s="30" t="s">
        <v>39</v>
      </c>
      <c r="E29" s="30" t="s">
        <v>31</v>
      </c>
      <c r="F29" s="30"/>
      <c r="G29" s="30" t="s">
        <v>111</v>
      </c>
      <c r="H29" s="30" t="s">
        <v>105</v>
      </c>
      <c r="I29" s="30">
        <v>2</v>
      </c>
    </row>
    <row r="30" spans="1:9" ht="15.6" x14ac:dyDescent="0.3">
      <c r="A30" s="3" t="s">
        <v>63</v>
      </c>
      <c r="B30" s="3">
        <v>28</v>
      </c>
      <c r="C30" s="30" t="s">
        <v>39</v>
      </c>
      <c r="D30" s="39" t="s">
        <v>39</v>
      </c>
      <c r="E30" s="30" t="s">
        <v>92</v>
      </c>
      <c r="F30" s="30"/>
      <c r="G30" s="30" t="s">
        <v>95</v>
      </c>
      <c r="H30" s="30" t="s">
        <v>38</v>
      </c>
      <c r="I30" s="30">
        <v>0.33333333333333331</v>
      </c>
    </row>
    <row r="31" spans="1:9" ht="15.6" x14ac:dyDescent="0.3">
      <c r="A31" s="3" t="s">
        <v>63</v>
      </c>
      <c r="B31" s="3">
        <v>29</v>
      </c>
      <c r="C31" s="30" t="s">
        <v>39</v>
      </c>
      <c r="D31" s="39" t="s">
        <v>39</v>
      </c>
      <c r="E31" s="30" t="s">
        <v>92</v>
      </c>
      <c r="F31" s="30"/>
      <c r="G31" s="30" t="s">
        <v>94</v>
      </c>
      <c r="H31" s="30" t="s">
        <v>12</v>
      </c>
      <c r="I31" s="30">
        <v>0.5</v>
      </c>
    </row>
    <row r="32" spans="1:9" ht="15.6" x14ac:dyDescent="0.3">
      <c r="A32" s="3" t="s">
        <v>63</v>
      </c>
      <c r="B32" s="3">
        <v>30</v>
      </c>
      <c r="C32" s="30" t="s">
        <v>39</v>
      </c>
      <c r="D32" s="39" t="s">
        <v>39</v>
      </c>
      <c r="E32" s="30" t="s">
        <v>92</v>
      </c>
      <c r="F32" s="30"/>
      <c r="G32" s="30" t="s">
        <v>93</v>
      </c>
      <c r="H32" s="30" t="s">
        <v>12</v>
      </c>
      <c r="I32" s="30">
        <v>0.5</v>
      </c>
    </row>
    <row r="33" spans="1:9" x14ac:dyDescent="0.3">
      <c r="A33" s="3" t="s">
        <v>63</v>
      </c>
      <c r="B33" s="3">
        <v>31</v>
      </c>
      <c r="C33" s="30" t="s">
        <v>39</v>
      </c>
      <c r="D33" s="32" t="s">
        <v>39</v>
      </c>
      <c r="E33" s="30" t="s">
        <v>36</v>
      </c>
      <c r="F33" s="30"/>
      <c r="G33" s="30" t="s">
        <v>87</v>
      </c>
      <c r="H33" s="30" t="s">
        <v>38</v>
      </c>
      <c r="I33" s="30">
        <v>0.5</v>
      </c>
    </row>
    <row r="34" spans="1:9" ht="15.6" x14ac:dyDescent="0.3">
      <c r="A34" s="3" t="s">
        <v>63</v>
      </c>
      <c r="B34" s="3">
        <v>32</v>
      </c>
      <c r="C34" s="30" t="s">
        <v>30</v>
      </c>
      <c r="D34" s="39" t="s">
        <v>30</v>
      </c>
      <c r="E34" s="30" t="s">
        <v>82</v>
      </c>
      <c r="F34" s="30"/>
      <c r="G34" s="30" t="s">
        <v>83</v>
      </c>
      <c r="H34" s="30" t="s">
        <v>12</v>
      </c>
      <c r="I34" s="30">
        <v>0.25</v>
      </c>
    </row>
    <row r="35" spans="1:9" ht="15.6" x14ac:dyDescent="0.3">
      <c r="A35" s="3" t="s">
        <v>63</v>
      </c>
      <c r="B35" s="3">
        <v>33</v>
      </c>
      <c r="C35" s="30" t="s">
        <v>30</v>
      </c>
      <c r="D35" s="39" t="s">
        <v>30</v>
      </c>
      <c r="E35" s="30" t="s">
        <v>36</v>
      </c>
      <c r="F35" s="30"/>
      <c r="G35" s="30" t="s">
        <v>133</v>
      </c>
      <c r="H35" s="30" t="s">
        <v>132</v>
      </c>
      <c r="I35" s="30">
        <v>0.5</v>
      </c>
    </row>
    <row r="36" spans="1:9" ht="15.6" x14ac:dyDescent="0.3">
      <c r="A36" s="3" t="s">
        <v>61</v>
      </c>
      <c r="B36" s="3">
        <v>34</v>
      </c>
      <c r="C36" s="30" t="s">
        <v>30</v>
      </c>
      <c r="D36" s="39" t="s">
        <v>30</v>
      </c>
      <c r="E36" s="30" t="s">
        <v>36</v>
      </c>
      <c r="F36" s="30"/>
      <c r="G36" s="30" t="s">
        <v>87</v>
      </c>
      <c r="H36" s="30" t="s">
        <v>38</v>
      </c>
      <c r="I36" s="30">
        <v>0.5</v>
      </c>
    </row>
    <row r="37" spans="1:9" x14ac:dyDescent="0.3">
      <c r="A37" s="3" t="s">
        <v>63</v>
      </c>
      <c r="B37" s="3">
        <v>35</v>
      </c>
      <c r="C37" s="30" t="s">
        <v>39</v>
      </c>
      <c r="D37" s="32" t="s">
        <v>39</v>
      </c>
      <c r="E37" s="30" t="s">
        <v>36</v>
      </c>
      <c r="F37" s="30"/>
      <c r="G37" s="30" t="s">
        <v>133</v>
      </c>
      <c r="H37" s="30" t="s">
        <v>132</v>
      </c>
      <c r="I37" s="30">
        <v>0.25</v>
      </c>
    </row>
    <row r="38" spans="1:9" ht="15.6" x14ac:dyDescent="0.3">
      <c r="A38" s="3" t="s">
        <v>63</v>
      </c>
      <c r="B38" s="3">
        <v>36</v>
      </c>
      <c r="C38" s="30" t="s">
        <v>30</v>
      </c>
      <c r="D38" s="39" t="s">
        <v>30</v>
      </c>
      <c r="E38" s="30" t="s">
        <v>31</v>
      </c>
      <c r="F38" s="30"/>
      <c r="G38" s="30" t="s">
        <v>78</v>
      </c>
      <c r="H38" s="30" t="s">
        <v>19</v>
      </c>
      <c r="I38" s="30">
        <v>0.5</v>
      </c>
    </row>
    <row r="39" spans="1:9" ht="15.6" x14ac:dyDescent="0.3">
      <c r="A39" s="3" t="s">
        <v>63</v>
      </c>
      <c r="B39" s="3">
        <v>37</v>
      </c>
      <c r="C39" s="30" t="s">
        <v>30</v>
      </c>
      <c r="D39" s="39" t="s">
        <v>30</v>
      </c>
      <c r="E39" s="30" t="s">
        <v>68</v>
      </c>
      <c r="F39" s="30"/>
      <c r="G39" s="30" t="s">
        <v>69</v>
      </c>
      <c r="H39" s="30" t="s">
        <v>12</v>
      </c>
      <c r="I39" s="30">
        <v>0.33333333333333331</v>
      </c>
    </row>
    <row r="40" spans="1:9" ht="15.6" x14ac:dyDescent="0.3">
      <c r="A40" s="3" t="s">
        <v>63</v>
      </c>
      <c r="B40" s="3">
        <v>38</v>
      </c>
      <c r="C40" s="30" t="s">
        <v>30</v>
      </c>
      <c r="D40" s="39" t="s">
        <v>30</v>
      </c>
      <c r="E40" s="30" t="s">
        <v>80</v>
      </c>
      <c r="F40" s="30"/>
      <c r="G40" s="30" t="s">
        <v>81</v>
      </c>
      <c r="H40" s="30" t="s">
        <v>12</v>
      </c>
      <c r="I40" s="30">
        <v>0.25</v>
      </c>
    </row>
    <row r="41" spans="1:9" x14ac:dyDescent="0.3">
      <c r="A41" s="3" t="s">
        <v>63</v>
      </c>
      <c r="B41" s="3">
        <v>39</v>
      </c>
      <c r="C41" s="30" t="s">
        <v>39</v>
      </c>
      <c r="D41" s="30" t="s">
        <v>39</v>
      </c>
      <c r="E41" s="30" t="s">
        <v>31</v>
      </c>
      <c r="F41" s="30"/>
      <c r="G41" s="30" t="s">
        <v>109</v>
      </c>
      <c r="H41" s="30" t="s">
        <v>105</v>
      </c>
      <c r="I41" s="30">
        <v>1.5</v>
      </c>
    </row>
    <row r="42" spans="1:9" ht="15.6" x14ac:dyDescent="0.3">
      <c r="A42" s="3" t="s">
        <v>63</v>
      </c>
      <c r="B42" s="3">
        <v>40</v>
      </c>
      <c r="C42" s="39" t="s">
        <v>39</v>
      </c>
      <c r="D42" s="39" t="s">
        <v>39</v>
      </c>
      <c r="E42" s="30" t="s">
        <v>31</v>
      </c>
      <c r="F42" s="30"/>
      <c r="G42" s="30" t="s">
        <v>79</v>
      </c>
      <c r="H42" s="30" t="s">
        <v>12</v>
      </c>
      <c r="I42" s="30">
        <v>0.33333333333333331</v>
      </c>
    </row>
    <row r="43" spans="1:9" ht="15.6" x14ac:dyDescent="0.3">
      <c r="A43" s="3" t="s">
        <v>63</v>
      </c>
      <c r="B43" s="3">
        <v>41</v>
      </c>
      <c r="C43" s="30" t="s">
        <v>30</v>
      </c>
      <c r="D43" s="39" t="s">
        <v>30</v>
      </c>
      <c r="E43" s="30" t="s">
        <v>31</v>
      </c>
      <c r="F43" s="30"/>
      <c r="G43" s="30" t="s">
        <v>73</v>
      </c>
      <c r="H43" s="30" t="s">
        <v>12</v>
      </c>
      <c r="I43" s="30">
        <v>0.5</v>
      </c>
    </row>
    <row r="44" spans="1:9" ht="15.6" x14ac:dyDescent="0.3">
      <c r="A44" s="3" t="s">
        <v>63</v>
      </c>
      <c r="B44" s="3">
        <v>42</v>
      </c>
      <c r="C44" s="30" t="s">
        <v>30</v>
      </c>
      <c r="D44" s="39" t="s">
        <v>30</v>
      </c>
      <c r="E44" s="30" t="s">
        <v>31</v>
      </c>
      <c r="F44" s="30"/>
      <c r="G44" s="30" t="s">
        <v>74</v>
      </c>
      <c r="H44" s="30" t="s">
        <v>12</v>
      </c>
      <c r="I44" s="30">
        <v>0.5</v>
      </c>
    </row>
    <row r="45" spans="1:9" ht="15.6" x14ac:dyDescent="0.3">
      <c r="A45" s="3" t="s">
        <v>63</v>
      </c>
      <c r="B45" s="3">
        <v>43</v>
      </c>
      <c r="C45" s="30" t="s">
        <v>30</v>
      </c>
      <c r="D45" s="39" t="s">
        <v>30</v>
      </c>
      <c r="E45" s="30" t="s">
        <v>31</v>
      </c>
      <c r="F45" s="30"/>
      <c r="G45" s="30" t="s">
        <v>72</v>
      </c>
      <c r="H45" s="30" t="s">
        <v>12</v>
      </c>
      <c r="I45" s="30">
        <v>0.5</v>
      </c>
    </row>
    <row r="46" spans="1:9" ht="15.6" x14ac:dyDescent="0.3">
      <c r="A46" s="3" t="s">
        <v>63</v>
      </c>
      <c r="B46" s="3">
        <v>44</v>
      </c>
      <c r="C46" s="30" t="s">
        <v>30</v>
      </c>
      <c r="D46" s="39" t="s">
        <v>30</v>
      </c>
      <c r="E46" s="30" t="s">
        <v>31</v>
      </c>
      <c r="F46" s="30"/>
      <c r="G46" s="30" t="s">
        <v>75</v>
      </c>
      <c r="H46" s="30" t="s">
        <v>12</v>
      </c>
      <c r="I46" s="30">
        <v>0.5</v>
      </c>
    </row>
    <row r="47" spans="1:9" ht="15.6" x14ac:dyDescent="0.3">
      <c r="A47" s="3" t="s">
        <v>63</v>
      </c>
      <c r="B47" s="3">
        <v>45</v>
      </c>
      <c r="C47" s="30" t="s">
        <v>39</v>
      </c>
      <c r="D47" s="39" t="s">
        <v>39</v>
      </c>
      <c r="E47" s="30" t="s">
        <v>36</v>
      </c>
      <c r="F47" s="30"/>
      <c r="G47" s="30" t="s">
        <v>99</v>
      </c>
      <c r="H47" s="30" t="s">
        <v>90</v>
      </c>
      <c r="I47" s="30">
        <v>0.25</v>
      </c>
    </row>
    <row r="48" spans="1:9" ht="15.6" x14ac:dyDescent="0.3">
      <c r="A48" s="3" t="s">
        <v>63</v>
      </c>
      <c r="B48" s="3">
        <v>46</v>
      </c>
      <c r="C48" s="30" t="s">
        <v>30</v>
      </c>
      <c r="D48" s="39" t="s">
        <v>30</v>
      </c>
      <c r="E48" s="30" t="s">
        <v>36</v>
      </c>
      <c r="F48" s="30"/>
      <c r="G48" s="30" t="s">
        <v>98</v>
      </c>
      <c r="H48" s="30" t="s">
        <v>12</v>
      </c>
      <c r="I48" s="30">
        <v>4</v>
      </c>
    </row>
    <row r="49" spans="1:9" ht="15.6" x14ac:dyDescent="0.3">
      <c r="A49" s="3" t="s">
        <v>63</v>
      </c>
      <c r="B49" s="3">
        <v>47</v>
      </c>
      <c r="C49" s="30" t="s">
        <v>39</v>
      </c>
      <c r="D49" s="39" t="s">
        <v>39</v>
      </c>
      <c r="E49" s="30"/>
      <c r="F49" s="30"/>
      <c r="G49" s="30" t="s">
        <v>98</v>
      </c>
      <c r="H49" s="30" t="s">
        <v>12</v>
      </c>
      <c r="I49" s="30">
        <v>3</v>
      </c>
    </row>
    <row r="50" spans="1:9" ht="15.6" x14ac:dyDescent="0.3">
      <c r="A50" s="3" t="s">
        <v>63</v>
      </c>
      <c r="B50" s="3">
        <v>48</v>
      </c>
      <c r="C50" s="30" t="s">
        <v>30</v>
      </c>
      <c r="D50" s="39" t="s">
        <v>30</v>
      </c>
      <c r="E50" s="30" t="s">
        <v>31</v>
      </c>
      <c r="F50" s="30"/>
      <c r="G50" s="30" t="s">
        <v>100</v>
      </c>
      <c r="H50" s="30" t="s">
        <v>90</v>
      </c>
      <c r="I50" s="30">
        <v>2</v>
      </c>
    </row>
    <row r="51" spans="1:9" ht="15.6" x14ac:dyDescent="0.3">
      <c r="A51" s="3" t="s">
        <v>63</v>
      </c>
      <c r="B51" s="3">
        <v>49</v>
      </c>
      <c r="C51" s="30" t="s">
        <v>39</v>
      </c>
      <c r="D51" s="39" t="s">
        <v>39</v>
      </c>
      <c r="E51" s="30" t="s">
        <v>92</v>
      </c>
      <c r="F51" s="30"/>
      <c r="G51" s="30" t="s">
        <v>100</v>
      </c>
      <c r="H51" s="30" t="s">
        <v>90</v>
      </c>
      <c r="I51" s="30">
        <v>1</v>
      </c>
    </row>
    <row r="52" spans="1:9" ht="15.6" x14ac:dyDescent="0.3">
      <c r="A52" s="3" t="s">
        <v>122</v>
      </c>
      <c r="B52" s="3">
        <v>50</v>
      </c>
      <c r="C52" s="30" t="s">
        <v>39</v>
      </c>
      <c r="D52" s="39" t="s">
        <v>39</v>
      </c>
      <c r="E52" s="30" t="s">
        <v>31</v>
      </c>
      <c r="F52" s="30"/>
      <c r="G52" s="30" t="s">
        <v>100</v>
      </c>
      <c r="H52" s="30" t="s">
        <v>90</v>
      </c>
      <c r="I52" s="30">
        <v>1</v>
      </c>
    </row>
    <row r="53" spans="1:9" ht="15.6" x14ac:dyDescent="0.3">
      <c r="A53" s="3" t="s">
        <v>63</v>
      </c>
      <c r="B53" s="3">
        <v>51</v>
      </c>
      <c r="C53" s="30" t="s">
        <v>30</v>
      </c>
      <c r="D53" s="39" t="s">
        <v>30</v>
      </c>
      <c r="E53" s="30" t="s">
        <v>31</v>
      </c>
      <c r="F53" s="30"/>
      <c r="G53" s="30" t="s">
        <v>147</v>
      </c>
      <c r="H53" s="30" t="s">
        <v>90</v>
      </c>
      <c r="I53" s="30">
        <v>1</v>
      </c>
    </row>
    <row r="54" spans="1:9" ht="15.6" x14ac:dyDescent="0.3">
      <c r="A54" s="3" t="s">
        <v>63</v>
      </c>
      <c r="B54" s="3">
        <v>52</v>
      </c>
      <c r="C54" s="30" t="s">
        <v>30</v>
      </c>
      <c r="D54" s="39" t="s">
        <v>30</v>
      </c>
      <c r="E54" s="30" t="s">
        <v>82</v>
      </c>
      <c r="F54" s="30"/>
      <c r="G54" s="30" t="s">
        <v>89</v>
      </c>
      <c r="H54" s="30" t="s">
        <v>90</v>
      </c>
      <c r="I54" s="30">
        <v>0.5</v>
      </c>
    </row>
    <row r="55" spans="1:9" x14ac:dyDescent="0.3">
      <c r="A55" s="3" t="s">
        <v>63</v>
      </c>
      <c r="B55" s="3">
        <v>53</v>
      </c>
      <c r="C55" s="30" t="s">
        <v>30</v>
      </c>
      <c r="D55" s="30" t="s">
        <v>30</v>
      </c>
      <c r="E55" s="30" t="s">
        <v>31</v>
      </c>
      <c r="F55" s="30"/>
      <c r="G55" s="30" t="s">
        <v>112</v>
      </c>
      <c r="H55" s="30" t="s">
        <v>105</v>
      </c>
      <c r="I55" s="30">
        <v>0.5</v>
      </c>
    </row>
    <row r="56" spans="1:9" x14ac:dyDescent="0.3">
      <c r="A56" s="3" t="s">
        <v>63</v>
      </c>
      <c r="B56" s="3">
        <v>54</v>
      </c>
      <c r="C56" s="30" t="s">
        <v>39</v>
      </c>
      <c r="D56" s="30" t="s">
        <v>39</v>
      </c>
      <c r="E56" s="30" t="s">
        <v>31</v>
      </c>
      <c r="F56" s="30"/>
      <c r="G56" s="30" t="s">
        <v>112</v>
      </c>
      <c r="H56" s="30" t="s">
        <v>105</v>
      </c>
      <c r="I56" s="30">
        <v>0.5</v>
      </c>
    </row>
    <row r="57" spans="1:9" ht="15.6" x14ac:dyDescent="0.3">
      <c r="A57" s="3" t="s">
        <v>63</v>
      </c>
      <c r="B57" s="3">
        <v>55</v>
      </c>
      <c r="C57" s="30" t="s">
        <v>39</v>
      </c>
      <c r="D57" s="39" t="s">
        <v>39</v>
      </c>
      <c r="E57" s="30" t="s">
        <v>59</v>
      </c>
      <c r="F57" s="30"/>
      <c r="G57" s="30" t="s">
        <v>106</v>
      </c>
      <c r="H57" s="30" t="s">
        <v>105</v>
      </c>
      <c r="I57" s="30">
        <v>0.5</v>
      </c>
    </row>
    <row r="58" spans="1:9" x14ac:dyDescent="0.3">
      <c r="A58" s="3" t="s">
        <v>62</v>
      </c>
      <c r="B58" s="3">
        <v>56</v>
      </c>
      <c r="C58" s="32" t="s">
        <v>40</v>
      </c>
      <c r="D58" s="32" t="s">
        <v>40</v>
      </c>
      <c r="E58" s="32" t="s">
        <v>41</v>
      </c>
      <c r="F58" s="30"/>
      <c r="G58" s="32" t="s">
        <v>42</v>
      </c>
      <c r="H58" s="32" t="s">
        <v>12</v>
      </c>
      <c r="I58" s="41">
        <f>1*5</f>
        <v>5</v>
      </c>
    </row>
    <row r="59" spans="1:9" x14ac:dyDescent="0.3">
      <c r="A59" s="3" t="s">
        <v>62</v>
      </c>
      <c r="B59" s="3">
        <v>57</v>
      </c>
      <c r="C59" s="32" t="s">
        <v>40</v>
      </c>
      <c r="D59" s="32" t="s">
        <v>40</v>
      </c>
      <c r="E59" s="32" t="s">
        <v>41</v>
      </c>
      <c r="F59" s="30"/>
      <c r="G59" s="32" t="s">
        <v>150</v>
      </c>
      <c r="H59" s="32" t="s">
        <v>38</v>
      </c>
      <c r="I59" s="41">
        <v>1</v>
      </c>
    </row>
    <row r="60" spans="1:9" x14ac:dyDescent="0.3">
      <c r="A60" s="3" t="s">
        <v>62</v>
      </c>
      <c r="B60" s="3">
        <v>58</v>
      </c>
      <c r="C60" s="32" t="s">
        <v>40</v>
      </c>
      <c r="D60" s="32" t="s">
        <v>40</v>
      </c>
      <c r="E60" s="32" t="s">
        <v>41</v>
      </c>
      <c r="F60" s="30"/>
      <c r="G60" s="32" t="s">
        <v>44</v>
      </c>
      <c r="H60" s="32" t="s">
        <v>19</v>
      </c>
      <c r="I60" s="41">
        <v>0.5</v>
      </c>
    </row>
    <row r="61" spans="1:9" x14ac:dyDescent="0.3">
      <c r="A61" s="3" t="s">
        <v>62</v>
      </c>
      <c r="B61" s="3">
        <v>59</v>
      </c>
      <c r="C61" s="32" t="s">
        <v>40</v>
      </c>
      <c r="D61" s="32" t="s">
        <v>40</v>
      </c>
      <c r="E61" s="32" t="s">
        <v>41</v>
      </c>
      <c r="F61" s="30"/>
      <c r="G61" s="32" t="s">
        <v>45</v>
      </c>
      <c r="H61" s="32" t="s">
        <v>19</v>
      </c>
      <c r="I61" s="41">
        <v>0.5</v>
      </c>
    </row>
    <row r="62" spans="1:9" x14ac:dyDescent="0.3">
      <c r="A62" s="3" t="s">
        <v>62</v>
      </c>
      <c r="B62" s="3">
        <v>60</v>
      </c>
      <c r="C62" s="32" t="s">
        <v>40</v>
      </c>
      <c r="D62" s="32" t="s">
        <v>40</v>
      </c>
      <c r="E62" s="32" t="s">
        <v>46</v>
      </c>
      <c r="F62" s="30"/>
      <c r="G62" s="32" t="s">
        <v>47</v>
      </c>
      <c r="H62" s="32" t="s">
        <v>12</v>
      </c>
      <c r="I62" s="41">
        <v>2</v>
      </c>
    </row>
    <row r="63" spans="1:9" x14ac:dyDescent="0.3">
      <c r="A63" s="3" t="s">
        <v>62</v>
      </c>
      <c r="B63" s="3">
        <v>61</v>
      </c>
      <c r="C63" s="32" t="s">
        <v>40</v>
      </c>
      <c r="D63" s="32" t="s">
        <v>40</v>
      </c>
      <c r="E63" s="32" t="s">
        <v>41</v>
      </c>
      <c r="F63" s="30"/>
      <c r="G63" s="32" t="s">
        <v>48</v>
      </c>
      <c r="H63" s="32" t="s">
        <v>12</v>
      </c>
      <c r="I63" s="41">
        <v>2</v>
      </c>
    </row>
    <row r="64" spans="1:9" x14ac:dyDescent="0.3">
      <c r="A64" s="3" t="s">
        <v>62</v>
      </c>
      <c r="B64" s="3">
        <v>62</v>
      </c>
      <c r="C64" s="32" t="s">
        <v>40</v>
      </c>
      <c r="D64" s="32" t="s">
        <v>40</v>
      </c>
      <c r="E64" s="32" t="s">
        <v>49</v>
      </c>
      <c r="F64" s="30"/>
      <c r="G64" s="32" t="s">
        <v>50</v>
      </c>
      <c r="H64" s="32" t="s">
        <v>12</v>
      </c>
      <c r="I64" s="30">
        <v>1</v>
      </c>
    </row>
    <row r="65" spans="1:9" x14ac:dyDescent="0.3">
      <c r="A65" s="3" t="s">
        <v>62</v>
      </c>
      <c r="B65" s="3">
        <v>63</v>
      </c>
      <c r="C65" s="32" t="s">
        <v>40</v>
      </c>
      <c r="D65" s="32" t="s">
        <v>40</v>
      </c>
      <c r="E65" s="32" t="s">
        <v>41</v>
      </c>
      <c r="F65" s="30"/>
      <c r="G65" s="32"/>
      <c r="H65" s="30" t="s">
        <v>90</v>
      </c>
      <c r="I65" s="30">
        <v>1</v>
      </c>
    </row>
    <row r="66" spans="1:9" x14ac:dyDescent="0.3">
      <c r="A66" s="3" t="s">
        <v>62</v>
      </c>
      <c r="B66" s="3">
        <v>64</v>
      </c>
      <c r="C66" s="32" t="s">
        <v>40</v>
      </c>
      <c r="D66" s="32" t="s">
        <v>40</v>
      </c>
      <c r="E66" s="32" t="s">
        <v>59</v>
      </c>
      <c r="F66" s="30"/>
      <c r="G66" s="32" t="s">
        <v>145</v>
      </c>
      <c r="H66" s="30" t="s">
        <v>105</v>
      </c>
      <c r="I66" s="30">
        <v>4</v>
      </c>
    </row>
    <row r="67" spans="1:9" x14ac:dyDescent="0.3">
      <c r="A67" s="3" t="s">
        <v>62</v>
      </c>
      <c r="B67" s="3">
        <v>65</v>
      </c>
      <c r="C67" s="32" t="s">
        <v>40</v>
      </c>
      <c r="D67" s="32" t="s">
        <v>40</v>
      </c>
      <c r="E67" s="32" t="s">
        <v>59</v>
      </c>
      <c r="F67" s="30"/>
      <c r="G67" s="32">
        <v>2020</v>
      </c>
      <c r="H67" s="30" t="s">
        <v>19</v>
      </c>
      <c r="I67" s="30">
        <v>1</v>
      </c>
    </row>
    <row r="68" spans="1:9" x14ac:dyDescent="0.3">
      <c r="A68" s="3"/>
      <c r="B68" s="3">
        <v>66</v>
      </c>
      <c r="C68" s="32" t="s">
        <v>40</v>
      </c>
      <c r="D68" s="32" t="s">
        <v>40</v>
      </c>
      <c r="E68" s="32" t="s">
        <v>36</v>
      </c>
      <c r="F68" s="30"/>
      <c r="G68" s="32" t="s">
        <v>146</v>
      </c>
      <c r="H68" s="30" t="s">
        <v>12</v>
      </c>
      <c r="I68" s="30">
        <v>1</v>
      </c>
    </row>
    <row r="69" spans="1:9" ht="15.6" x14ac:dyDescent="0.3">
      <c r="A69" s="3" t="s">
        <v>122</v>
      </c>
      <c r="B69" s="3">
        <v>67</v>
      </c>
      <c r="C69" s="39" t="s">
        <v>116</v>
      </c>
      <c r="D69" s="39" t="s">
        <v>116</v>
      </c>
      <c r="E69" s="30" t="s">
        <v>31</v>
      </c>
      <c r="F69" s="30"/>
      <c r="G69" s="30" t="s">
        <v>91</v>
      </c>
      <c r="H69" s="30" t="s">
        <v>90</v>
      </c>
      <c r="I69" s="30">
        <v>1</v>
      </c>
    </row>
    <row r="70" spans="1:9" ht="43.2" x14ac:dyDescent="0.3">
      <c r="A70" s="3" t="s">
        <v>60</v>
      </c>
      <c r="B70" s="3">
        <v>68</v>
      </c>
      <c r="C70" s="32" t="s">
        <v>8</v>
      </c>
      <c r="D70" s="32" t="s">
        <v>8</v>
      </c>
      <c r="E70" s="32" t="s">
        <v>9</v>
      </c>
      <c r="F70" s="42" t="s">
        <v>10</v>
      </c>
      <c r="G70" s="32" t="s">
        <v>11</v>
      </c>
      <c r="H70" s="32" t="s">
        <v>12</v>
      </c>
      <c r="I70" s="30">
        <v>6</v>
      </c>
    </row>
    <row r="71" spans="1:9" x14ac:dyDescent="0.3">
      <c r="A71" s="3" t="s">
        <v>60</v>
      </c>
      <c r="B71" s="3">
        <v>69</v>
      </c>
      <c r="C71" s="32" t="s">
        <v>8</v>
      </c>
      <c r="D71" s="32" t="s">
        <v>8</v>
      </c>
      <c r="E71" s="32" t="s">
        <v>9</v>
      </c>
      <c r="F71" s="32" t="s">
        <v>13</v>
      </c>
      <c r="G71" s="32" t="s">
        <v>14</v>
      </c>
      <c r="H71" s="32" t="s">
        <v>12</v>
      </c>
      <c r="I71" s="30">
        <v>2</v>
      </c>
    </row>
    <row r="72" spans="1:9" x14ac:dyDescent="0.3">
      <c r="A72" s="3" t="s">
        <v>60</v>
      </c>
      <c r="B72" s="3">
        <v>70</v>
      </c>
      <c r="C72" s="32" t="s">
        <v>8</v>
      </c>
      <c r="D72" s="32" t="s">
        <v>8</v>
      </c>
      <c r="E72" s="32" t="s">
        <v>128</v>
      </c>
      <c r="F72" s="32"/>
      <c r="G72" s="32" t="s">
        <v>16</v>
      </c>
      <c r="H72" s="32" t="s">
        <v>12</v>
      </c>
      <c r="I72" s="30">
        <v>2</v>
      </c>
    </row>
    <row r="73" spans="1:9" x14ac:dyDescent="0.3">
      <c r="A73" s="3" t="s">
        <v>60</v>
      </c>
      <c r="B73" s="3">
        <v>71</v>
      </c>
      <c r="C73" s="32" t="s">
        <v>8</v>
      </c>
      <c r="D73" s="32" t="s">
        <v>8</v>
      </c>
      <c r="E73" s="32" t="s">
        <v>17</v>
      </c>
      <c r="F73" s="32"/>
      <c r="G73" s="32" t="s">
        <v>18</v>
      </c>
      <c r="H73" s="32" t="s">
        <v>19</v>
      </c>
      <c r="I73" s="30">
        <v>1</v>
      </c>
    </row>
    <row r="74" spans="1:9" x14ac:dyDescent="0.3">
      <c r="A74" s="3" t="s">
        <v>60</v>
      </c>
      <c r="B74" s="3">
        <v>72</v>
      </c>
      <c r="C74" s="32" t="s">
        <v>8</v>
      </c>
      <c r="D74" s="32" t="s">
        <v>8</v>
      </c>
      <c r="E74" s="32" t="s">
        <v>9</v>
      </c>
      <c r="F74" s="32" t="s">
        <v>20</v>
      </c>
      <c r="G74" s="32" t="s">
        <v>21</v>
      </c>
      <c r="H74" s="32" t="s">
        <v>12</v>
      </c>
      <c r="I74" s="30">
        <v>3</v>
      </c>
    </row>
    <row r="75" spans="1:9" x14ac:dyDescent="0.3">
      <c r="A75" s="3" t="s">
        <v>60</v>
      </c>
      <c r="B75" s="3">
        <v>73</v>
      </c>
      <c r="C75" s="32" t="s">
        <v>8</v>
      </c>
      <c r="D75" s="32" t="s">
        <v>8</v>
      </c>
      <c r="E75" s="32" t="s">
        <v>25</v>
      </c>
      <c r="F75" s="32" t="s">
        <v>26</v>
      </c>
      <c r="G75" s="32" t="s">
        <v>27</v>
      </c>
      <c r="H75" s="32" t="s">
        <v>12</v>
      </c>
      <c r="I75" s="30">
        <v>6</v>
      </c>
    </row>
    <row r="76" spans="1:9" x14ac:dyDescent="0.3">
      <c r="A76" s="3" t="s">
        <v>60</v>
      </c>
      <c r="B76" s="3">
        <v>74</v>
      </c>
      <c r="C76" s="32" t="s">
        <v>8</v>
      </c>
      <c r="D76" s="32" t="s">
        <v>8</v>
      </c>
      <c r="E76" s="32" t="s">
        <v>25</v>
      </c>
      <c r="F76" s="32" t="s">
        <v>25</v>
      </c>
      <c r="G76" s="32" t="s">
        <v>28</v>
      </c>
      <c r="H76" s="32" t="s">
        <v>29</v>
      </c>
      <c r="I76" s="30">
        <v>2</v>
      </c>
    </row>
    <row r="77" spans="1:9" ht="15.6" x14ac:dyDescent="0.3">
      <c r="A77" s="3" t="s">
        <v>60</v>
      </c>
      <c r="B77" s="3">
        <v>75</v>
      </c>
      <c r="C77" s="39" t="s">
        <v>8</v>
      </c>
      <c r="D77" s="39" t="s">
        <v>8</v>
      </c>
      <c r="E77" s="30" t="s">
        <v>31</v>
      </c>
      <c r="F77" s="30"/>
      <c r="G77" s="30" t="s">
        <v>91</v>
      </c>
      <c r="H77" s="30" t="s">
        <v>90</v>
      </c>
      <c r="I77" s="30">
        <v>1</v>
      </c>
    </row>
    <row r="78" spans="1:9" x14ac:dyDescent="0.3">
      <c r="A78" s="3" t="s">
        <v>60</v>
      </c>
      <c r="B78" s="3">
        <v>76</v>
      </c>
      <c r="C78" s="30" t="s">
        <v>8</v>
      </c>
      <c r="D78" s="30" t="s">
        <v>8</v>
      </c>
      <c r="E78" s="30" t="s">
        <v>31</v>
      </c>
      <c r="F78" s="30"/>
      <c r="G78" s="30" t="s">
        <v>109</v>
      </c>
      <c r="H78" s="30" t="s">
        <v>105</v>
      </c>
      <c r="I78" s="30">
        <v>1.5</v>
      </c>
    </row>
    <row r="79" spans="1:9" x14ac:dyDescent="0.3">
      <c r="A79" s="3" t="s">
        <v>60</v>
      </c>
      <c r="B79" s="3">
        <v>77</v>
      </c>
      <c r="C79" s="30" t="s">
        <v>8</v>
      </c>
      <c r="D79" s="40"/>
      <c r="E79" s="30" t="s">
        <v>9</v>
      </c>
      <c r="F79" s="40"/>
      <c r="G79" s="40"/>
      <c r="H79" s="30" t="s">
        <v>90</v>
      </c>
      <c r="I79" s="30">
        <v>2</v>
      </c>
    </row>
    <row r="80" spans="1:9" x14ac:dyDescent="0.3">
      <c r="A80" s="3" t="s">
        <v>60</v>
      </c>
      <c r="B80" s="3">
        <v>78</v>
      </c>
      <c r="C80" s="32" t="s">
        <v>8</v>
      </c>
      <c r="D80" s="32" t="s">
        <v>25</v>
      </c>
      <c r="E80" s="32" t="s">
        <v>25</v>
      </c>
      <c r="F80" s="32" t="s">
        <v>28</v>
      </c>
      <c r="G80" s="32" t="s">
        <v>139</v>
      </c>
      <c r="H80" s="30" t="s">
        <v>90</v>
      </c>
      <c r="I80" s="30">
        <v>4</v>
      </c>
    </row>
    <row r="81" spans="1:9" ht="15.6" x14ac:dyDescent="0.3">
      <c r="A81" s="3" t="s">
        <v>63</v>
      </c>
      <c r="B81" s="3">
        <v>79</v>
      </c>
      <c r="C81" s="30" t="s">
        <v>39</v>
      </c>
      <c r="D81" s="39" t="s">
        <v>39</v>
      </c>
      <c r="E81" s="30" t="s">
        <v>36</v>
      </c>
      <c r="F81" s="30"/>
      <c r="G81" s="30" t="s">
        <v>97</v>
      </c>
      <c r="H81" s="30" t="s">
        <v>38</v>
      </c>
      <c r="I81" s="30">
        <v>0.25</v>
      </c>
    </row>
    <row r="82" spans="1:9" x14ac:dyDescent="0.3">
      <c r="A82" s="3" t="s">
        <v>61</v>
      </c>
      <c r="B82" s="3">
        <v>80</v>
      </c>
      <c r="C82" s="32" t="s">
        <v>30</v>
      </c>
      <c r="D82" s="32" t="s">
        <v>30</v>
      </c>
      <c r="E82" s="32" t="s">
        <v>36</v>
      </c>
      <c r="F82" s="32" t="s">
        <v>36</v>
      </c>
      <c r="G82" s="32" t="s">
        <v>37</v>
      </c>
      <c r="H82" s="32" t="s">
        <v>38</v>
      </c>
      <c r="I82" s="30">
        <v>0.25</v>
      </c>
    </row>
    <row r="83" spans="1:9" x14ac:dyDescent="0.3">
      <c r="A83" s="3" t="s">
        <v>61</v>
      </c>
      <c r="B83" s="3">
        <v>81</v>
      </c>
      <c r="C83" s="30" t="s">
        <v>39</v>
      </c>
      <c r="D83" s="30" t="s">
        <v>39</v>
      </c>
      <c r="E83" s="32" t="s">
        <v>36</v>
      </c>
      <c r="F83" s="32" t="s">
        <v>36</v>
      </c>
      <c r="G83" s="32" t="s">
        <v>37</v>
      </c>
      <c r="H83" s="32" t="s">
        <v>38</v>
      </c>
      <c r="I83" s="30">
        <v>0.5</v>
      </c>
    </row>
    <row r="84" spans="1:9" ht="15.6" x14ac:dyDescent="0.3">
      <c r="A84" s="3" t="s">
        <v>63</v>
      </c>
      <c r="B84" s="3">
        <v>82</v>
      </c>
      <c r="C84" s="30" t="s">
        <v>30</v>
      </c>
      <c r="D84" s="39" t="s">
        <v>30</v>
      </c>
      <c r="E84" s="30" t="s">
        <v>36</v>
      </c>
      <c r="F84" s="30"/>
      <c r="G84" s="30" t="s">
        <v>85</v>
      </c>
      <c r="H84" s="30" t="s">
        <v>19</v>
      </c>
      <c r="I84" s="30">
        <v>0.5</v>
      </c>
    </row>
    <row r="85" spans="1:9" x14ac:dyDescent="0.3">
      <c r="A85" s="3" t="s">
        <v>63</v>
      </c>
      <c r="B85" s="3">
        <v>83</v>
      </c>
      <c r="C85" s="30" t="s">
        <v>30</v>
      </c>
      <c r="D85" s="30" t="s">
        <v>30</v>
      </c>
      <c r="E85" s="30" t="s">
        <v>36</v>
      </c>
      <c r="F85" s="30"/>
      <c r="G85" s="30" t="s">
        <v>85</v>
      </c>
      <c r="H85" s="30" t="s">
        <v>105</v>
      </c>
      <c r="I85" s="30">
        <v>0.25</v>
      </c>
    </row>
    <row r="86" spans="1:9" ht="15.6" x14ac:dyDescent="0.3">
      <c r="A86" s="3" t="s">
        <v>63</v>
      </c>
      <c r="B86" s="3">
        <v>84</v>
      </c>
      <c r="C86" s="30" t="s">
        <v>39</v>
      </c>
      <c r="D86" s="39" t="s">
        <v>39</v>
      </c>
      <c r="E86" s="30" t="s">
        <v>36</v>
      </c>
      <c r="F86" s="30"/>
      <c r="G86" s="30" t="s">
        <v>85</v>
      </c>
      <c r="H86" s="30" t="s">
        <v>19</v>
      </c>
      <c r="I86" s="30">
        <v>0.25</v>
      </c>
    </row>
    <row r="87" spans="1:9" x14ac:dyDescent="0.3">
      <c r="A87" s="3" t="s">
        <v>63</v>
      </c>
      <c r="B87" s="3">
        <v>85</v>
      </c>
      <c r="C87" s="30" t="s">
        <v>39</v>
      </c>
      <c r="D87" s="30" t="s">
        <v>39</v>
      </c>
      <c r="E87" s="30" t="s">
        <v>36</v>
      </c>
      <c r="F87" s="30"/>
      <c r="G87" s="30" t="s">
        <v>85</v>
      </c>
      <c r="H87" s="30" t="s">
        <v>105</v>
      </c>
      <c r="I87" s="30">
        <v>0.25</v>
      </c>
    </row>
    <row r="88" spans="1:9" ht="15.6" x14ac:dyDescent="0.3">
      <c r="A88" s="3" t="s">
        <v>63</v>
      </c>
      <c r="B88" s="3">
        <v>86</v>
      </c>
      <c r="C88" s="30" t="s">
        <v>30</v>
      </c>
      <c r="D88" s="39" t="s">
        <v>30</v>
      </c>
      <c r="E88" s="30" t="s">
        <v>36</v>
      </c>
      <c r="F88" s="30"/>
      <c r="G88" s="30" t="s">
        <v>86</v>
      </c>
      <c r="H88" s="30" t="s">
        <v>12</v>
      </c>
      <c r="I88" s="30">
        <v>0.5</v>
      </c>
    </row>
    <row r="89" spans="1:9" ht="15.6" x14ac:dyDescent="0.3">
      <c r="A89" s="3" t="s">
        <v>63</v>
      </c>
      <c r="B89" s="3">
        <v>87</v>
      </c>
      <c r="C89" s="39" t="s">
        <v>39</v>
      </c>
      <c r="D89" s="39" t="s">
        <v>39</v>
      </c>
      <c r="E89" s="30" t="s">
        <v>31</v>
      </c>
      <c r="F89" s="30"/>
      <c r="G89" s="30" t="s">
        <v>108</v>
      </c>
      <c r="H89" s="30" t="s">
        <v>105</v>
      </c>
      <c r="I89" s="30">
        <v>0.5</v>
      </c>
    </row>
    <row r="90" spans="1:9" x14ac:dyDescent="0.3">
      <c r="A90" s="3" t="s">
        <v>63</v>
      </c>
      <c r="B90" s="3">
        <v>88</v>
      </c>
      <c r="C90" s="30" t="s">
        <v>39</v>
      </c>
      <c r="D90" s="30" t="s">
        <v>65</v>
      </c>
      <c r="E90" s="30" t="s">
        <v>36</v>
      </c>
      <c r="F90" s="30"/>
      <c r="G90" s="30" t="s">
        <v>66</v>
      </c>
      <c r="H90" s="30" t="s">
        <v>12</v>
      </c>
      <c r="I90" s="30">
        <v>0.33333333333333331</v>
      </c>
    </row>
    <row r="91" spans="1:9" ht="15.6" x14ac:dyDescent="0.3">
      <c r="A91" s="3" t="s">
        <v>63</v>
      </c>
      <c r="B91" s="3">
        <v>89</v>
      </c>
      <c r="C91" s="30" t="s">
        <v>30</v>
      </c>
      <c r="D91" s="39" t="s">
        <v>30</v>
      </c>
      <c r="E91" s="30" t="s">
        <v>76</v>
      </c>
      <c r="F91" s="30"/>
      <c r="G91" s="30" t="s">
        <v>77</v>
      </c>
      <c r="H91" s="30" t="s">
        <v>12</v>
      </c>
      <c r="I91" s="30">
        <v>0.25</v>
      </c>
    </row>
    <row r="92" spans="1:9" ht="15.6" x14ac:dyDescent="0.3">
      <c r="A92" s="3" t="s">
        <v>63</v>
      </c>
      <c r="B92" s="3">
        <v>90</v>
      </c>
      <c r="C92" s="30" t="s">
        <v>30</v>
      </c>
      <c r="D92" s="39" t="s">
        <v>30</v>
      </c>
      <c r="E92" s="30" t="s">
        <v>31</v>
      </c>
      <c r="F92" s="30"/>
      <c r="G92" s="30" t="s">
        <v>107</v>
      </c>
      <c r="H92" s="30" t="s">
        <v>105</v>
      </c>
      <c r="I92" s="30">
        <v>1</v>
      </c>
    </row>
    <row r="93" spans="1:9" ht="15.6" x14ac:dyDescent="0.3">
      <c r="A93" s="3" t="s">
        <v>63</v>
      </c>
      <c r="B93" s="3">
        <v>91</v>
      </c>
      <c r="C93" s="30" t="s">
        <v>39</v>
      </c>
      <c r="D93" s="39" t="s">
        <v>39</v>
      </c>
      <c r="E93" s="30" t="s">
        <v>31</v>
      </c>
      <c r="F93" s="30"/>
      <c r="G93" s="30" t="s">
        <v>107</v>
      </c>
      <c r="H93" s="30" t="s">
        <v>105</v>
      </c>
      <c r="I93" s="30">
        <v>0.5</v>
      </c>
    </row>
    <row r="94" spans="1:9" ht="15.6" x14ac:dyDescent="0.3">
      <c r="A94" s="3" t="s">
        <v>63</v>
      </c>
      <c r="B94" s="3">
        <v>92</v>
      </c>
      <c r="C94" s="30" t="s">
        <v>30</v>
      </c>
      <c r="D94" s="39" t="s">
        <v>30</v>
      </c>
      <c r="E94" s="30" t="s">
        <v>70</v>
      </c>
      <c r="F94" s="30"/>
      <c r="G94" s="30" t="s">
        <v>71</v>
      </c>
      <c r="H94" s="30" t="s">
        <v>12</v>
      </c>
      <c r="I94" s="30">
        <v>0.1</v>
      </c>
    </row>
    <row r="95" spans="1:9" ht="15.6" x14ac:dyDescent="0.3">
      <c r="A95" s="3" t="s">
        <v>122</v>
      </c>
      <c r="B95" s="3">
        <v>93</v>
      </c>
      <c r="C95" s="30" t="s">
        <v>39</v>
      </c>
      <c r="D95" s="39" t="s">
        <v>39</v>
      </c>
      <c r="E95" s="30" t="s">
        <v>36</v>
      </c>
      <c r="F95" s="30"/>
      <c r="G95" s="30" t="s">
        <v>102</v>
      </c>
      <c r="H95" s="30" t="s">
        <v>90</v>
      </c>
      <c r="I95" s="30">
        <v>1</v>
      </c>
    </row>
    <row r="96" spans="1:9" ht="15.6" x14ac:dyDescent="0.3">
      <c r="A96" s="3" t="s">
        <v>122</v>
      </c>
      <c r="B96" s="3">
        <v>94</v>
      </c>
      <c r="C96" s="30" t="s">
        <v>30</v>
      </c>
      <c r="D96" s="39" t="s">
        <v>30</v>
      </c>
      <c r="E96" s="30" t="s">
        <v>36</v>
      </c>
      <c r="F96" s="30"/>
      <c r="G96" s="30" t="s">
        <v>84</v>
      </c>
      <c r="H96" s="30" t="s">
        <v>12</v>
      </c>
      <c r="I96" s="30">
        <v>3</v>
      </c>
    </row>
    <row r="97" spans="1:9" ht="15.6" x14ac:dyDescent="0.3">
      <c r="A97" s="3" t="s">
        <v>122</v>
      </c>
      <c r="B97" s="3">
        <v>95</v>
      </c>
      <c r="C97" s="30" t="s">
        <v>39</v>
      </c>
      <c r="D97" s="39" t="s">
        <v>39</v>
      </c>
      <c r="E97" s="30" t="s">
        <v>36</v>
      </c>
      <c r="F97" s="30"/>
      <c r="G97" s="30" t="s">
        <v>84</v>
      </c>
      <c r="H97" s="30" t="s">
        <v>12</v>
      </c>
      <c r="I97" s="30">
        <v>3</v>
      </c>
    </row>
    <row r="98" spans="1:9" x14ac:dyDescent="0.3">
      <c r="A98" s="3" t="s">
        <v>122</v>
      </c>
      <c r="B98" s="3">
        <v>96</v>
      </c>
      <c r="C98" s="30" t="s">
        <v>30</v>
      </c>
      <c r="D98" s="30" t="s">
        <v>30</v>
      </c>
      <c r="E98" s="30" t="s">
        <v>82</v>
      </c>
      <c r="F98" s="30"/>
      <c r="G98" s="30" t="s">
        <v>104</v>
      </c>
      <c r="H98" s="30" t="s">
        <v>105</v>
      </c>
      <c r="I98" s="30">
        <v>1</v>
      </c>
    </row>
    <row r="99" spans="1:9" x14ac:dyDescent="0.3">
      <c r="A99" s="3" t="s">
        <v>122</v>
      </c>
      <c r="B99" s="3">
        <v>97</v>
      </c>
      <c r="C99" s="30" t="s">
        <v>30</v>
      </c>
      <c r="D99" s="30" t="s">
        <v>30</v>
      </c>
      <c r="E99" s="30" t="s">
        <v>31</v>
      </c>
      <c r="F99" s="30"/>
      <c r="G99" s="30" t="s">
        <v>109</v>
      </c>
      <c r="H99" s="30" t="s">
        <v>105</v>
      </c>
      <c r="I99" s="30">
        <v>1.5</v>
      </c>
    </row>
    <row r="100" spans="1:9" x14ac:dyDescent="0.3">
      <c r="A100" s="3" t="s">
        <v>63</v>
      </c>
      <c r="B100" s="3">
        <v>98</v>
      </c>
      <c r="C100" s="30" t="s">
        <v>30</v>
      </c>
      <c r="D100" s="30" t="s">
        <v>30</v>
      </c>
      <c r="E100" s="30" t="s">
        <v>31</v>
      </c>
      <c r="F100" s="30"/>
      <c r="G100" s="30" t="s">
        <v>110</v>
      </c>
      <c r="H100" s="30" t="s">
        <v>105</v>
      </c>
      <c r="I100" s="30">
        <v>4</v>
      </c>
    </row>
    <row r="101" spans="1:9" ht="15.6" x14ac:dyDescent="0.3">
      <c r="A101" s="3" t="s">
        <v>122</v>
      </c>
      <c r="B101" s="3">
        <v>99</v>
      </c>
      <c r="C101" s="39" t="s">
        <v>30</v>
      </c>
      <c r="D101" s="39" t="s">
        <v>30</v>
      </c>
      <c r="E101" s="30" t="s">
        <v>31</v>
      </c>
      <c r="F101" s="30"/>
      <c r="G101" s="30" t="s">
        <v>91</v>
      </c>
      <c r="H101" s="30" t="s">
        <v>90</v>
      </c>
      <c r="I101" s="30">
        <v>1</v>
      </c>
    </row>
    <row r="102" spans="1:9" ht="15.6" x14ac:dyDescent="0.3">
      <c r="A102" s="3" t="s">
        <v>122</v>
      </c>
      <c r="B102" s="3">
        <v>100</v>
      </c>
      <c r="C102" s="39" t="s">
        <v>39</v>
      </c>
      <c r="D102" s="39" t="s">
        <v>39</v>
      </c>
      <c r="E102" s="30" t="s">
        <v>31</v>
      </c>
      <c r="F102" s="30"/>
      <c r="G102" s="30" t="s">
        <v>91</v>
      </c>
      <c r="H102" s="30" t="s">
        <v>90</v>
      </c>
      <c r="I102" s="30">
        <v>1</v>
      </c>
    </row>
    <row r="103" spans="1:9" ht="15.6" x14ac:dyDescent="0.3">
      <c r="A103" s="3" t="s">
        <v>122</v>
      </c>
      <c r="B103" s="3">
        <v>101</v>
      </c>
      <c r="C103" s="30" t="s">
        <v>39</v>
      </c>
      <c r="D103" s="39" t="s">
        <v>39</v>
      </c>
      <c r="E103" s="30" t="s">
        <v>31</v>
      </c>
      <c r="F103" s="30"/>
      <c r="G103" s="30" t="s">
        <v>101</v>
      </c>
      <c r="H103" s="30" t="s">
        <v>90</v>
      </c>
      <c r="I103" s="30">
        <v>0.33333333333333331</v>
      </c>
    </row>
    <row r="104" spans="1:9" x14ac:dyDescent="0.3">
      <c r="A104" s="3" t="s">
        <v>61</v>
      </c>
      <c r="B104" s="3">
        <v>102</v>
      </c>
      <c r="C104" s="30" t="s">
        <v>30</v>
      </c>
      <c r="D104" s="30" t="s">
        <v>65</v>
      </c>
      <c r="E104" s="30" t="s">
        <v>36</v>
      </c>
      <c r="F104" s="30"/>
      <c r="G104" s="30" t="s">
        <v>66</v>
      </c>
      <c r="H104" s="30" t="s">
        <v>12</v>
      </c>
      <c r="I104" s="30">
        <v>0.5</v>
      </c>
    </row>
    <row r="105" spans="1:9" ht="15.6" x14ac:dyDescent="0.3">
      <c r="A105" s="3" t="s">
        <v>122</v>
      </c>
      <c r="B105" s="3">
        <v>103</v>
      </c>
      <c r="C105" s="30" t="s">
        <v>30</v>
      </c>
      <c r="D105" s="39" t="s">
        <v>30</v>
      </c>
      <c r="E105" s="30" t="s">
        <v>36</v>
      </c>
      <c r="F105" s="30"/>
      <c r="G105" s="30" t="s">
        <v>149</v>
      </c>
      <c r="H105" s="30" t="s">
        <v>90</v>
      </c>
      <c r="I105" s="30">
        <v>3</v>
      </c>
    </row>
    <row r="106" spans="1:9" ht="15.6" x14ac:dyDescent="0.3">
      <c r="A106" s="3" t="s">
        <v>122</v>
      </c>
      <c r="B106" s="3">
        <v>104</v>
      </c>
      <c r="C106" s="30" t="s">
        <v>39</v>
      </c>
      <c r="D106" s="39" t="s">
        <v>39</v>
      </c>
      <c r="E106" s="30" t="s">
        <v>36</v>
      </c>
      <c r="F106" s="30"/>
      <c r="G106" s="30" t="s">
        <v>103</v>
      </c>
      <c r="H106" s="30" t="s">
        <v>90</v>
      </c>
      <c r="I106" s="30">
        <v>1</v>
      </c>
    </row>
    <row r="107" spans="1:9" x14ac:dyDescent="0.3">
      <c r="A107" s="3" t="s">
        <v>61</v>
      </c>
      <c r="B107" s="3">
        <v>105</v>
      </c>
      <c r="C107" s="32" t="s">
        <v>30</v>
      </c>
      <c r="D107" s="32" t="s">
        <v>30</v>
      </c>
      <c r="E107" s="32" t="s">
        <v>31</v>
      </c>
      <c r="F107" s="32" t="s">
        <v>31</v>
      </c>
      <c r="G107" s="32" t="s">
        <v>35</v>
      </c>
      <c r="H107" s="32" t="s">
        <v>33</v>
      </c>
      <c r="I107" s="30">
        <v>0.25</v>
      </c>
    </row>
    <row r="108" spans="1:9" x14ac:dyDescent="0.3">
      <c r="A108" s="3" t="s">
        <v>61</v>
      </c>
      <c r="B108" s="3">
        <v>106</v>
      </c>
      <c r="C108" s="32" t="s">
        <v>30</v>
      </c>
      <c r="D108" s="32" t="s">
        <v>30</v>
      </c>
      <c r="E108" s="32" t="s">
        <v>31</v>
      </c>
      <c r="F108" s="32" t="s">
        <v>31</v>
      </c>
      <c r="G108" s="32" t="s">
        <v>32</v>
      </c>
      <c r="H108" s="32" t="s">
        <v>33</v>
      </c>
      <c r="I108" s="30">
        <v>0.5</v>
      </c>
    </row>
    <row r="109" spans="1:9" x14ac:dyDescent="0.3">
      <c r="A109" s="3" t="s">
        <v>61</v>
      </c>
      <c r="B109" s="3">
        <v>107</v>
      </c>
      <c r="C109" s="32" t="s">
        <v>30</v>
      </c>
      <c r="D109" s="32" t="s">
        <v>30</v>
      </c>
      <c r="E109" s="32" t="s">
        <v>31</v>
      </c>
      <c r="F109" s="32" t="s">
        <v>31</v>
      </c>
      <c r="G109" s="32" t="s">
        <v>34</v>
      </c>
      <c r="H109" s="32" t="s">
        <v>33</v>
      </c>
      <c r="I109" s="30">
        <v>0.25</v>
      </c>
    </row>
    <row r="110" spans="1:9" x14ac:dyDescent="0.3">
      <c r="A110" s="3" t="s">
        <v>61</v>
      </c>
      <c r="B110" s="3">
        <v>108</v>
      </c>
      <c r="C110" s="30" t="s">
        <v>30</v>
      </c>
      <c r="D110" s="40"/>
      <c r="E110" s="32" t="s">
        <v>31</v>
      </c>
      <c r="F110" s="40"/>
      <c r="G110" s="32" t="s">
        <v>131</v>
      </c>
      <c r="H110" s="32" t="s">
        <v>105</v>
      </c>
      <c r="I110" s="30">
        <v>5</v>
      </c>
    </row>
    <row r="111" spans="1:9" x14ac:dyDescent="0.3">
      <c r="A111" s="3" t="s">
        <v>122</v>
      </c>
      <c r="B111" s="3">
        <v>109</v>
      </c>
      <c r="C111" s="30" t="s">
        <v>30</v>
      </c>
      <c r="D111" s="30" t="s">
        <v>30</v>
      </c>
      <c r="E111" s="30" t="s">
        <v>31</v>
      </c>
      <c r="F111" s="30"/>
      <c r="G111" s="30" t="s">
        <v>106</v>
      </c>
      <c r="H111" s="30" t="s">
        <v>105</v>
      </c>
      <c r="I111" s="30">
        <v>1</v>
      </c>
    </row>
    <row r="112" spans="1:9" ht="15.6" x14ac:dyDescent="0.3">
      <c r="A112" s="3" t="s">
        <v>122</v>
      </c>
      <c r="B112" s="3">
        <v>110</v>
      </c>
      <c r="C112" s="30" t="s">
        <v>39</v>
      </c>
      <c r="D112" s="39" t="s">
        <v>39</v>
      </c>
      <c r="E112" s="30" t="s">
        <v>31</v>
      </c>
      <c r="F112" s="30"/>
      <c r="G112" s="30" t="s">
        <v>106</v>
      </c>
      <c r="H112" s="30" t="s">
        <v>105</v>
      </c>
      <c r="I112" s="30">
        <v>0.5</v>
      </c>
    </row>
    <row r="113" spans="1:9" ht="15.6" x14ac:dyDescent="0.3">
      <c r="A113" s="3" t="s">
        <v>122</v>
      </c>
      <c r="B113" s="3">
        <v>111</v>
      </c>
      <c r="C113" s="39" t="s">
        <v>30</v>
      </c>
      <c r="D113" s="39" t="s">
        <v>30</v>
      </c>
      <c r="E113" s="30" t="s">
        <v>31</v>
      </c>
      <c r="F113" s="30"/>
      <c r="G113" s="30" t="s">
        <v>108</v>
      </c>
      <c r="H113" s="30" t="s">
        <v>105</v>
      </c>
      <c r="I113" s="30">
        <v>1</v>
      </c>
    </row>
    <row r="114" spans="1:9" x14ac:dyDescent="0.3">
      <c r="A114" s="3" t="s">
        <v>122</v>
      </c>
      <c r="B114" s="3">
        <v>112</v>
      </c>
      <c r="C114" s="30" t="s">
        <v>30</v>
      </c>
      <c r="D114" s="40"/>
      <c r="E114" s="32" t="s">
        <v>31</v>
      </c>
      <c r="F114" s="40"/>
      <c r="G114" s="32" t="s">
        <v>131</v>
      </c>
      <c r="H114" s="32" t="s">
        <v>105</v>
      </c>
      <c r="I114" s="30">
        <v>10</v>
      </c>
    </row>
  </sheetData>
  <autoFilter ref="A2:I114">
    <sortState ref="A17:I114">
      <sortCondition ref="A2:A11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Views>
    <sheetView zoomScale="85" zoomScaleNormal="85" workbookViewId="0">
      <selection activeCell="J19" sqref="J19"/>
    </sheetView>
  </sheetViews>
  <sheetFormatPr defaultRowHeight="14.4" x14ac:dyDescent="0.3"/>
  <cols>
    <col min="1" max="1" width="13.33203125" customWidth="1"/>
    <col min="2" max="2" width="17.88671875" bestFit="1" customWidth="1"/>
    <col min="8" max="8" width="17.88671875" bestFit="1" customWidth="1"/>
    <col min="9" max="9" width="16.33203125" customWidth="1"/>
    <col min="10" max="10" width="11.6640625" customWidth="1"/>
    <col min="11" max="11" width="12.33203125" customWidth="1"/>
    <col min="12" max="12" width="8.6640625" customWidth="1"/>
    <col min="13" max="13" width="10.33203125" customWidth="1"/>
    <col min="14" max="14" width="12.33203125" customWidth="1"/>
    <col min="15" max="15" width="7.6640625" customWidth="1"/>
    <col min="16" max="16" width="11.5546875" customWidth="1"/>
    <col min="17" max="17" width="7.33203125" customWidth="1"/>
    <col min="18" max="18" width="12.33203125" customWidth="1"/>
    <col min="20" max="20" width="26" bestFit="1" customWidth="1"/>
  </cols>
  <sheetData>
    <row r="1" spans="1:21" x14ac:dyDescent="0.3">
      <c r="A1" t="s">
        <v>153</v>
      </c>
      <c r="H1" t="s">
        <v>154</v>
      </c>
    </row>
    <row r="3" spans="1:21" x14ac:dyDescent="0.3">
      <c r="A3" s="25" t="s">
        <v>120</v>
      </c>
      <c r="B3" t="s">
        <v>119</v>
      </c>
      <c r="H3" s="25" t="s">
        <v>119</v>
      </c>
      <c r="I3" s="25" t="s">
        <v>134</v>
      </c>
    </row>
    <row r="4" spans="1:21" x14ac:dyDescent="0.3">
      <c r="A4" s="2" t="s">
        <v>115</v>
      </c>
      <c r="B4" s="29">
        <v>1.25</v>
      </c>
      <c r="D4">
        <f>B4*52/12</f>
        <v>5.416666666666667</v>
      </c>
      <c r="H4" s="25" t="s">
        <v>120</v>
      </c>
      <c r="I4" t="s">
        <v>115</v>
      </c>
      <c r="J4" t="s">
        <v>118</v>
      </c>
      <c r="K4" t="s">
        <v>30</v>
      </c>
      <c r="L4" t="s">
        <v>40</v>
      </c>
      <c r="M4" t="s">
        <v>8</v>
      </c>
      <c r="N4" t="s">
        <v>39</v>
      </c>
      <c r="O4" t="s">
        <v>116</v>
      </c>
      <c r="P4" t="s">
        <v>127</v>
      </c>
      <c r="Q4" t="s">
        <v>130</v>
      </c>
      <c r="R4" t="s">
        <v>121</v>
      </c>
      <c r="T4" t="s">
        <v>135</v>
      </c>
      <c r="U4" t="s">
        <v>151</v>
      </c>
    </row>
    <row r="5" spans="1:21" x14ac:dyDescent="0.3">
      <c r="A5" s="2" t="s">
        <v>118</v>
      </c>
      <c r="B5" s="29">
        <v>27</v>
      </c>
      <c r="D5">
        <f t="shared" ref="D5:D12" si="0">B5*52/12</f>
        <v>117</v>
      </c>
      <c r="H5" s="2" t="s">
        <v>62</v>
      </c>
      <c r="I5" s="1"/>
      <c r="J5" s="1"/>
      <c r="K5" s="1"/>
      <c r="L5" s="1">
        <v>18</v>
      </c>
      <c r="M5" s="1"/>
      <c r="N5" s="1"/>
      <c r="O5" s="1"/>
      <c r="P5" s="1"/>
      <c r="Q5" s="1"/>
      <c r="R5" s="1">
        <v>18</v>
      </c>
      <c r="T5">
        <v>40</v>
      </c>
      <c r="U5">
        <f>T5*0.9</f>
        <v>36</v>
      </c>
    </row>
    <row r="6" spans="1:21" x14ac:dyDescent="0.3">
      <c r="A6" s="2" t="s">
        <v>30</v>
      </c>
      <c r="B6" s="29">
        <v>54.183333333333337</v>
      </c>
      <c r="D6">
        <f t="shared" si="0"/>
        <v>234.79444444444448</v>
      </c>
      <c r="H6" s="2" t="s">
        <v>61</v>
      </c>
      <c r="I6" s="1"/>
      <c r="J6" s="1">
        <v>26.25</v>
      </c>
      <c r="K6" s="1">
        <v>11.25</v>
      </c>
      <c r="L6" s="1"/>
      <c r="M6" s="1"/>
      <c r="N6" s="1">
        <v>2.5</v>
      </c>
      <c r="O6" s="1"/>
      <c r="P6" s="1"/>
      <c r="Q6" s="1"/>
      <c r="R6" s="1">
        <v>40</v>
      </c>
      <c r="T6">
        <v>40</v>
      </c>
      <c r="U6">
        <f t="shared" ref="U6:U9" si="1">T6*0.8</f>
        <v>32</v>
      </c>
    </row>
    <row r="7" spans="1:21" x14ac:dyDescent="0.3">
      <c r="A7" s="2" t="s">
        <v>40</v>
      </c>
      <c r="B7" s="29">
        <v>19</v>
      </c>
      <c r="D7">
        <f t="shared" si="0"/>
        <v>82.333333333333329</v>
      </c>
      <c r="H7" s="2" t="s">
        <v>63</v>
      </c>
      <c r="I7" s="1">
        <v>1.25</v>
      </c>
      <c r="J7" s="1"/>
      <c r="K7" s="1">
        <v>21.433333333333334</v>
      </c>
      <c r="L7" s="1"/>
      <c r="M7" s="1"/>
      <c r="N7" s="1">
        <v>16.083333333333336</v>
      </c>
      <c r="O7" s="1"/>
      <c r="P7" s="1"/>
      <c r="Q7" s="1"/>
      <c r="R7" s="1">
        <v>38.766666666666666</v>
      </c>
      <c r="T7">
        <v>40</v>
      </c>
      <c r="U7">
        <f t="shared" si="1"/>
        <v>32</v>
      </c>
    </row>
    <row r="8" spans="1:21" x14ac:dyDescent="0.3">
      <c r="A8" s="2" t="s">
        <v>8</v>
      </c>
      <c r="B8" s="29">
        <v>30.5</v>
      </c>
      <c r="D8">
        <f t="shared" si="0"/>
        <v>132.16666666666666</v>
      </c>
      <c r="H8" s="2" t="s">
        <v>122</v>
      </c>
      <c r="I8" s="1"/>
      <c r="J8" s="1"/>
      <c r="K8" s="1">
        <v>21.5</v>
      </c>
      <c r="L8" s="1"/>
      <c r="M8" s="1"/>
      <c r="N8" s="1">
        <v>11.833333333333334</v>
      </c>
      <c r="O8" s="1">
        <v>1</v>
      </c>
      <c r="P8" s="1"/>
      <c r="Q8" s="1"/>
      <c r="R8" s="1">
        <v>34.333333333333336</v>
      </c>
      <c r="T8">
        <v>40</v>
      </c>
      <c r="U8">
        <f t="shared" si="1"/>
        <v>32</v>
      </c>
    </row>
    <row r="9" spans="1:21" x14ac:dyDescent="0.3">
      <c r="A9" s="2" t="s">
        <v>39</v>
      </c>
      <c r="B9" s="29">
        <v>30.416666666666664</v>
      </c>
      <c r="D9">
        <f t="shared" si="0"/>
        <v>131.80555555555554</v>
      </c>
      <c r="H9" s="2" t="s">
        <v>60</v>
      </c>
      <c r="I9" s="1"/>
      <c r="J9" s="1">
        <v>0.75</v>
      </c>
      <c r="K9" s="1"/>
      <c r="L9" s="1"/>
      <c r="M9" s="1">
        <v>30.5</v>
      </c>
      <c r="N9" s="1"/>
      <c r="O9" s="1"/>
      <c r="P9" s="1">
        <v>7.5</v>
      </c>
      <c r="Q9" s="1"/>
      <c r="R9" s="1">
        <v>38.75</v>
      </c>
      <c r="T9">
        <v>40</v>
      </c>
      <c r="U9">
        <f t="shared" si="1"/>
        <v>32</v>
      </c>
    </row>
    <row r="10" spans="1:21" x14ac:dyDescent="0.3">
      <c r="A10" s="2" t="s">
        <v>116</v>
      </c>
      <c r="B10" s="29">
        <v>1</v>
      </c>
      <c r="D10">
        <f t="shared" si="0"/>
        <v>4.333333333333333</v>
      </c>
      <c r="H10" s="2" t="s">
        <v>130</v>
      </c>
      <c r="I10" s="1"/>
      <c r="J10" s="1"/>
      <c r="K10" s="1"/>
      <c r="L10" s="1">
        <v>1</v>
      </c>
      <c r="M10" s="1"/>
      <c r="N10" s="1"/>
      <c r="O10" s="1"/>
      <c r="P10" s="1"/>
      <c r="Q10" s="1"/>
      <c r="R10" s="1">
        <v>1</v>
      </c>
    </row>
    <row r="11" spans="1:21" x14ac:dyDescent="0.3">
      <c r="A11" s="2" t="s">
        <v>127</v>
      </c>
      <c r="B11" s="29">
        <v>7.5</v>
      </c>
      <c r="D11">
        <f t="shared" si="0"/>
        <v>32.5</v>
      </c>
      <c r="H11" s="2" t="s">
        <v>121</v>
      </c>
      <c r="I11" s="1">
        <v>1.25</v>
      </c>
      <c r="J11" s="1">
        <v>27</v>
      </c>
      <c r="K11" s="1">
        <v>54.183333333333337</v>
      </c>
      <c r="L11" s="1">
        <v>19</v>
      </c>
      <c r="M11" s="1">
        <v>30.5</v>
      </c>
      <c r="N11" s="1">
        <v>30.416666666666671</v>
      </c>
      <c r="O11" s="1">
        <v>1</v>
      </c>
      <c r="P11" s="1">
        <v>7.5</v>
      </c>
      <c r="Q11" s="1"/>
      <c r="R11" s="1">
        <v>170.85</v>
      </c>
      <c r="T11" t="s">
        <v>152</v>
      </c>
      <c r="U11">
        <v>173.333</v>
      </c>
    </row>
    <row r="12" spans="1:21" x14ac:dyDescent="0.3">
      <c r="A12" s="2" t="s">
        <v>130</v>
      </c>
      <c r="B12" s="29"/>
      <c r="D12">
        <f t="shared" si="0"/>
        <v>0</v>
      </c>
      <c r="H12" s="2" t="s">
        <v>136</v>
      </c>
      <c r="I12">
        <f>I11*52/12</f>
        <v>5.416666666666667</v>
      </c>
      <c r="J12">
        <f t="shared" ref="J12:R12" si="2">J11*52/12</f>
        <v>117</v>
      </c>
      <c r="K12">
        <f t="shared" si="2"/>
        <v>234.79444444444448</v>
      </c>
      <c r="L12">
        <f t="shared" si="2"/>
        <v>82.333333333333329</v>
      </c>
      <c r="M12">
        <f t="shared" si="2"/>
        <v>132.16666666666666</v>
      </c>
      <c r="N12">
        <f t="shared" si="2"/>
        <v>131.80555555555557</v>
      </c>
      <c r="O12">
        <f t="shared" si="2"/>
        <v>4.333333333333333</v>
      </c>
      <c r="P12">
        <f t="shared" si="2"/>
        <v>32.5</v>
      </c>
      <c r="Q12">
        <f t="shared" si="2"/>
        <v>0</v>
      </c>
      <c r="R12">
        <f t="shared" si="2"/>
        <v>740.34999999999991</v>
      </c>
    </row>
    <row r="13" spans="1:21" x14ac:dyDescent="0.3">
      <c r="A13" s="2" t="s">
        <v>121</v>
      </c>
      <c r="B13" s="1">
        <v>170.85</v>
      </c>
      <c r="D13">
        <f>SUM(D4:D12)</f>
        <v>740.35</v>
      </c>
      <c r="I13" s="27">
        <f t="shared" ref="I13:N13" si="3">I12/($U$11*0.8)</f>
        <v>3.906257512033677E-2</v>
      </c>
      <c r="J13" s="27">
        <f t="shared" si="3"/>
        <v>0.84375162259927416</v>
      </c>
      <c r="K13" s="27">
        <f t="shared" si="3"/>
        <v>1.6932324228828646</v>
      </c>
      <c r="L13" s="27">
        <f t="shared" si="3"/>
        <v>0.59375114182911881</v>
      </c>
      <c r="M13" s="27">
        <f t="shared" si="3"/>
        <v>0.95312683293621703</v>
      </c>
      <c r="N13" s="27">
        <f t="shared" si="3"/>
        <v>0.95052266126152807</v>
      </c>
      <c r="O13" s="27">
        <f t="shared" ref="O13:Q13" si="4">O12/($U$11*0.8)</f>
        <v>3.1250060096269412E-2</v>
      </c>
      <c r="P13" s="27">
        <f t="shared" si="4"/>
        <v>0.2343754507220206</v>
      </c>
      <c r="Q13" s="27">
        <f t="shared" si="4"/>
        <v>0</v>
      </c>
      <c r="R13" s="27"/>
    </row>
    <row r="14" spans="1:21" x14ac:dyDescent="0.3">
      <c r="D14">
        <f>D13/(U11*80%)</f>
        <v>5.3390727674476297</v>
      </c>
    </row>
    <row r="22" spans="8:18" x14ac:dyDescent="0.3">
      <c r="H22" s="25" t="s">
        <v>119</v>
      </c>
      <c r="I22" s="25" t="s">
        <v>134</v>
      </c>
    </row>
    <row r="23" spans="8:18" x14ac:dyDescent="0.3">
      <c r="H23" s="25" t="s">
        <v>120</v>
      </c>
      <c r="I23" t="s">
        <v>115</v>
      </c>
      <c r="J23" t="s">
        <v>118</v>
      </c>
      <c r="K23" t="s">
        <v>30</v>
      </c>
      <c r="L23" t="s">
        <v>40</v>
      </c>
      <c r="M23" t="s">
        <v>8</v>
      </c>
      <c r="N23" t="s">
        <v>39</v>
      </c>
      <c r="O23" t="s">
        <v>116</v>
      </c>
      <c r="P23" t="s">
        <v>127</v>
      </c>
      <c r="Q23" t="s">
        <v>130</v>
      </c>
      <c r="R23" t="s">
        <v>121</v>
      </c>
    </row>
    <row r="24" spans="8:18" x14ac:dyDescent="0.3">
      <c r="H24" s="2" t="s">
        <v>62</v>
      </c>
      <c r="I24" s="27">
        <v>0</v>
      </c>
      <c r="J24" s="27">
        <v>0</v>
      </c>
      <c r="K24" s="27">
        <v>0</v>
      </c>
      <c r="L24" s="27">
        <v>1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1</v>
      </c>
    </row>
    <row r="25" spans="8:18" x14ac:dyDescent="0.3">
      <c r="H25" s="2" t="s">
        <v>61</v>
      </c>
      <c r="I25" s="27">
        <v>0</v>
      </c>
      <c r="J25" s="27">
        <v>0.65625</v>
      </c>
      <c r="K25" s="27">
        <v>0.28125</v>
      </c>
      <c r="L25" s="27">
        <v>0</v>
      </c>
      <c r="M25" s="27">
        <v>0</v>
      </c>
      <c r="N25" s="27">
        <v>6.25E-2</v>
      </c>
      <c r="O25" s="27">
        <v>0</v>
      </c>
      <c r="P25" s="27">
        <v>0</v>
      </c>
      <c r="Q25" s="27">
        <v>0</v>
      </c>
      <c r="R25" s="27">
        <v>1</v>
      </c>
    </row>
    <row r="26" spans="8:18" x14ac:dyDescent="0.3">
      <c r="H26" s="2" t="s">
        <v>63</v>
      </c>
      <c r="I26" s="27">
        <v>3.2244196044711952E-2</v>
      </c>
      <c r="J26" s="27">
        <v>0</v>
      </c>
      <c r="K26" s="27">
        <v>0.55288048151332758</v>
      </c>
      <c r="L26" s="27">
        <v>0</v>
      </c>
      <c r="M26" s="27">
        <v>0</v>
      </c>
      <c r="N26" s="27">
        <v>0.41487532244196051</v>
      </c>
      <c r="O26" s="27">
        <v>0</v>
      </c>
      <c r="P26" s="27">
        <v>0</v>
      </c>
      <c r="Q26" s="27">
        <v>0</v>
      </c>
      <c r="R26" s="27">
        <v>1</v>
      </c>
    </row>
    <row r="27" spans="8:18" x14ac:dyDescent="0.3">
      <c r="H27" s="2" t="s">
        <v>122</v>
      </c>
      <c r="I27" s="27">
        <v>0</v>
      </c>
      <c r="J27" s="27">
        <v>0</v>
      </c>
      <c r="K27" s="27">
        <v>0.62621359223300965</v>
      </c>
      <c r="L27" s="27">
        <v>0</v>
      </c>
      <c r="M27" s="27">
        <v>0</v>
      </c>
      <c r="N27" s="27">
        <v>0.3446601941747573</v>
      </c>
      <c r="O27" s="27">
        <v>2.9126213592233007E-2</v>
      </c>
      <c r="P27" s="27">
        <v>0</v>
      </c>
      <c r="Q27" s="27">
        <v>0</v>
      </c>
      <c r="R27" s="27">
        <v>1</v>
      </c>
    </row>
    <row r="28" spans="8:18" x14ac:dyDescent="0.3">
      <c r="H28" s="2" t="s">
        <v>60</v>
      </c>
      <c r="I28" s="27">
        <v>0</v>
      </c>
      <c r="J28" s="27">
        <v>1.935483870967742E-2</v>
      </c>
      <c r="K28" s="27">
        <v>0</v>
      </c>
      <c r="L28" s="27">
        <v>0</v>
      </c>
      <c r="M28" s="27">
        <v>0.7870967741935484</v>
      </c>
      <c r="N28" s="27">
        <v>0</v>
      </c>
      <c r="O28" s="27">
        <v>0</v>
      </c>
      <c r="P28" s="27">
        <v>0.19354838709677419</v>
      </c>
      <c r="Q28" s="27">
        <v>0</v>
      </c>
      <c r="R28" s="27">
        <v>1</v>
      </c>
    </row>
    <row r="29" spans="8:18" x14ac:dyDescent="0.3">
      <c r="H29" s="2" t="s">
        <v>130</v>
      </c>
      <c r="I29" s="27">
        <v>0</v>
      </c>
      <c r="J29" s="27">
        <v>0</v>
      </c>
      <c r="K29" s="27">
        <v>0</v>
      </c>
      <c r="L29" s="27">
        <v>1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1</v>
      </c>
    </row>
    <row r="30" spans="8:18" x14ac:dyDescent="0.3">
      <c r="H30" s="2" t="s">
        <v>121</v>
      </c>
      <c r="I30" s="27">
        <v>7.3163593795727245E-3</v>
      </c>
      <c r="J30" s="27">
        <v>0.15803336259877085</v>
      </c>
      <c r="K30" s="27">
        <v>0.31713979123987907</v>
      </c>
      <c r="L30" s="27">
        <v>0.11120866256950541</v>
      </c>
      <c r="M30" s="27">
        <v>0.17851916886157448</v>
      </c>
      <c r="N30" s="27">
        <v>0.178031411569603</v>
      </c>
      <c r="O30" s="27">
        <v>5.8530875036581801E-3</v>
      </c>
      <c r="P30" s="27">
        <v>4.3898156277436352E-2</v>
      </c>
      <c r="Q30" s="27">
        <v>0</v>
      </c>
      <c r="R30" s="27">
        <v>1</v>
      </c>
    </row>
  </sheetData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4"/>
  <sheetViews>
    <sheetView workbookViewId="0">
      <selection activeCell="F23" sqref="F23"/>
    </sheetView>
  </sheetViews>
  <sheetFormatPr defaultRowHeight="14.4" x14ac:dyDescent="0.3"/>
  <cols>
    <col min="1" max="1" width="22.33203125" bestFit="1" customWidth="1"/>
    <col min="2" max="2" width="17.88671875" customWidth="1"/>
    <col min="4" max="4" width="15" bestFit="1" customWidth="1"/>
    <col min="5" max="5" width="33.88671875" bestFit="1" customWidth="1"/>
    <col min="6" max="6" width="28.5546875" bestFit="1" customWidth="1"/>
    <col min="8" max="8" width="18.109375" bestFit="1" customWidth="1"/>
    <col min="9" max="9" width="10.88671875" bestFit="1" customWidth="1"/>
    <col min="12" max="12" width="18.109375" bestFit="1" customWidth="1"/>
  </cols>
  <sheetData>
    <row r="2" spans="1:13" x14ac:dyDescent="0.3">
      <c r="A2" t="s">
        <v>140</v>
      </c>
    </row>
    <row r="3" spans="1:13" ht="46.95" customHeight="1" x14ac:dyDescent="0.3">
      <c r="A3" s="25" t="s">
        <v>120</v>
      </c>
      <c r="B3" s="43" t="s">
        <v>119</v>
      </c>
      <c r="D3" t="s">
        <v>142</v>
      </c>
      <c r="E3" s="33" t="s">
        <v>156</v>
      </c>
      <c r="F3" t="s">
        <v>143</v>
      </c>
      <c r="H3" s="31" t="s">
        <v>3</v>
      </c>
      <c r="I3" s="31" t="s">
        <v>144</v>
      </c>
      <c r="L3" s="31" t="s">
        <v>3</v>
      </c>
      <c r="M3" s="31" t="s">
        <v>138</v>
      </c>
    </row>
    <row r="4" spans="1:13" x14ac:dyDescent="0.3">
      <c r="A4" s="2" t="s">
        <v>41</v>
      </c>
      <c r="B4" s="43">
        <v>10</v>
      </c>
      <c r="D4" s="28">
        <f>B4/GETPIVOTDATA("Weekly hrs",$A$3)</f>
        <v>7.6814748431698901E-2</v>
      </c>
      <c r="E4" s="29">
        <f>$B$22*D4</f>
        <v>3.1237997695557578</v>
      </c>
      <c r="F4" s="29">
        <f>B4+E4</f>
        <v>13.123799769555758</v>
      </c>
      <c r="H4" s="35" t="s">
        <v>41</v>
      </c>
      <c r="I4" s="36">
        <f t="shared" ref="I4:I17" si="0">F4/$F$18</f>
        <v>7.6814748431698887E-2</v>
      </c>
      <c r="L4" s="31" t="s">
        <v>41</v>
      </c>
      <c r="M4" s="36">
        <v>6.6141101015499734E-2</v>
      </c>
    </row>
    <row r="5" spans="1:13" x14ac:dyDescent="0.3">
      <c r="A5" s="2" t="s">
        <v>49</v>
      </c>
      <c r="B5" s="43">
        <v>1</v>
      </c>
      <c r="D5" s="28">
        <f t="shared" ref="D5:D17" si="1">B5/GETPIVOTDATA("Weekly hrs",$A$3)</f>
        <v>7.6814748431698904E-3</v>
      </c>
      <c r="E5" s="29">
        <f t="shared" ref="E5:E17" si="2">$B$22*D5</f>
        <v>0.31237997695557579</v>
      </c>
      <c r="F5" s="29">
        <f t="shared" ref="F5:F17" si="3">B5+E5</f>
        <v>1.3123799769555757</v>
      </c>
      <c r="H5" s="35" t="s">
        <v>49</v>
      </c>
      <c r="I5" s="36">
        <f t="shared" si="0"/>
        <v>7.6814748431698887E-3</v>
      </c>
      <c r="L5" s="31" t="s">
        <v>49</v>
      </c>
      <c r="M5" s="36">
        <v>8.0171031533939081E-3</v>
      </c>
    </row>
    <row r="6" spans="1:13" x14ac:dyDescent="0.3">
      <c r="A6" s="2" t="s">
        <v>59</v>
      </c>
      <c r="B6" s="43">
        <v>35.583333333333329</v>
      </c>
      <c r="D6" s="28">
        <f t="shared" si="1"/>
        <v>0.27333247983612857</v>
      </c>
      <c r="E6" s="29">
        <f t="shared" si="2"/>
        <v>11.115520846669238</v>
      </c>
      <c r="F6" s="29">
        <f t="shared" si="3"/>
        <v>46.69885418000257</v>
      </c>
      <c r="H6" s="35" t="s">
        <v>59</v>
      </c>
      <c r="I6" s="36">
        <f t="shared" si="0"/>
        <v>0.27333247983612857</v>
      </c>
      <c r="L6" s="31" t="s">
        <v>59</v>
      </c>
      <c r="M6" s="36">
        <v>0.27164617851416356</v>
      </c>
    </row>
    <row r="7" spans="1:13" x14ac:dyDescent="0.3">
      <c r="A7" s="2" t="s">
        <v>23</v>
      </c>
      <c r="B7" s="43">
        <v>2.5</v>
      </c>
      <c r="D7" s="28">
        <f t="shared" si="1"/>
        <v>1.9203687107924725E-2</v>
      </c>
      <c r="E7" s="29">
        <f t="shared" si="2"/>
        <v>0.78094994238893944</v>
      </c>
      <c r="F7" s="29">
        <f t="shared" si="3"/>
        <v>3.2809499423889394</v>
      </c>
      <c r="H7" s="35" t="s">
        <v>23</v>
      </c>
      <c r="I7" s="36">
        <f t="shared" si="0"/>
        <v>1.9203687107924722E-2</v>
      </c>
      <c r="L7" s="31" t="s">
        <v>23</v>
      </c>
      <c r="M7" s="36">
        <v>2.0042757883484766E-2</v>
      </c>
    </row>
    <row r="8" spans="1:13" x14ac:dyDescent="0.3">
      <c r="A8" s="2" t="s">
        <v>82</v>
      </c>
      <c r="B8" s="43">
        <v>3</v>
      </c>
      <c r="D8" s="28">
        <f t="shared" si="1"/>
        <v>2.304442452950967E-2</v>
      </c>
      <c r="E8" s="29">
        <f t="shared" si="2"/>
        <v>0.93713993086672731</v>
      </c>
      <c r="F8" s="29">
        <f t="shared" si="3"/>
        <v>3.9371399308667274</v>
      </c>
      <c r="H8" s="35" t="s">
        <v>82</v>
      </c>
      <c r="I8" s="36">
        <f t="shared" si="0"/>
        <v>2.304442452950967E-2</v>
      </c>
      <c r="L8" s="31" t="s">
        <v>82</v>
      </c>
      <c r="M8" s="36">
        <v>2.4051309460181719E-2</v>
      </c>
    </row>
    <row r="9" spans="1:13" x14ac:dyDescent="0.3">
      <c r="A9" s="2" t="s">
        <v>68</v>
      </c>
      <c r="B9" s="43">
        <v>0.33333333333333331</v>
      </c>
      <c r="D9" s="28">
        <f t="shared" si="1"/>
        <v>2.5604916143899632E-3</v>
      </c>
      <c r="E9" s="29">
        <f t="shared" si="2"/>
        <v>0.10412665898519192</v>
      </c>
      <c r="F9" s="29">
        <f t="shared" si="3"/>
        <v>0.43745999231852523</v>
      </c>
      <c r="H9" s="35" t="s">
        <v>68</v>
      </c>
      <c r="I9" s="36">
        <f t="shared" si="0"/>
        <v>2.5604916143899628E-3</v>
      </c>
      <c r="L9" s="31" t="s">
        <v>68</v>
      </c>
      <c r="M9" s="36">
        <v>2.6723677177979688E-3</v>
      </c>
    </row>
    <row r="10" spans="1:13" x14ac:dyDescent="0.3">
      <c r="A10" s="2" t="s">
        <v>31</v>
      </c>
      <c r="B10" s="43">
        <v>43.166666666666664</v>
      </c>
      <c r="D10" s="28">
        <f t="shared" si="1"/>
        <v>0.33158366406350026</v>
      </c>
      <c r="E10" s="29">
        <f t="shared" si="2"/>
        <v>13.484402338582354</v>
      </c>
      <c r="F10" s="29">
        <f t="shared" si="3"/>
        <v>56.65106900524902</v>
      </c>
      <c r="H10" s="35" t="s">
        <v>31</v>
      </c>
      <c r="I10" s="36">
        <f t="shared" si="0"/>
        <v>0.33158366406350021</v>
      </c>
      <c r="L10" s="31" t="s">
        <v>31</v>
      </c>
      <c r="M10" s="36">
        <v>0.33003741314804913</v>
      </c>
    </row>
    <row r="11" spans="1:13" x14ac:dyDescent="0.3">
      <c r="A11" s="2" t="s">
        <v>80</v>
      </c>
      <c r="B11" s="43">
        <v>0.25</v>
      </c>
      <c r="D11" s="28">
        <f t="shared" si="1"/>
        <v>1.9203687107924726E-3</v>
      </c>
      <c r="E11" s="29">
        <f t="shared" si="2"/>
        <v>7.8094994238893947E-2</v>
      </c>
      <c r="F11" s="29">
        <f t="shared" si="3"/>
        <v>0.32809499423889393</v>
      </c>
      <c r="H11" s="35" t="s">
        <v>80</v>
      </c>
      <c r="I11" s="36">
        <f t="shared" si="0"/>
        <v>1.9203687107924722E-3</v>
      </c>
      <c r="L11" s="31" t="s">
        <v>80</v>
      </c>
      <c r="M11" s="36">
        <v>2.004275788348477E-3</v>
      </c>
    </row>
    <row r="12" spans="1:13" x14ac:dyDescent="0.3">
      <c r="A12" s="2" t="s">
        <v>46</v>
      </c>
      <c r="B12" s="43">
        <v>2</v>
      </c>
      <c r="D12" s="28">
        <f t="shared" si="1"/>
        <v>1.5362949686339781E-2</v>
      </c>
      <c r="E12" s="29">
        <f t="shared" si="2"/>
        <v>0.62475995391115158</v>
      </c>
      <c r="F12" s="29">
        <f t="shared" si="3"/>
        <v>2.6247599539111515</v>
      </c>
      <c r="H12" s="35" t="s">
        <v>46</v>
      </c>
      <c r="I12" s="36">
        <f t="shared" si="0"/>
        <v>1.5362949686339777E-2</v>
      </c>
      <c r="L12" s="31" t="s">
        <v>46</v>
      </c>
      <c r="M12" s="36">
        <v>1.6034206306787816E-2</v>
      </c>
    </row>
    <row r="13" spans="1:13" x14ac:dyDescent="0.3">
      <c r="A13" s="2" t="s">
        <v>25</v>
      </c>
      <c r="B13" s="43">
        <v>12</v>
      </c>
      <c r="D13" s="28">
        <f t="shared" si="1"/>
        <v>9.2177698118038678E-2</v>
      </c>
      <c r="E13" s="29">
        <f t="shared" si="2"/>
        <v>3.7485597234669092</v>
      </c>
      <c r="F13" s="29">
        <f t="shared" si="3"/>
        <v>15.74855972346691</v>
      </c>
      <c r="H13" s="35" t="s">
        <v>25</v>
      </c>
      <c r="I13" s="36">
        <f t="shared" si="0"/>
        <v>9.2177698118038678E-2</v>
      </c>
      <c r="L13" s="31" t="s">
        <v>25</v>
      </c>
      <c r="M13" s="36">
        <v>9.6205237840726876E-2</v>
      </c>
    </row>
    <row r="14" spans="1:13" x14ac:dyDescent="0.3">
      <c r="A14" s="2" t="s">
        <v>9</v>
      </c>
      <c r="B14" s="43">
        <v>13</v>
      </c>
      <c r="D14" s="28">
        <f t="shared" si="1"/>
        <v>9.9859172961208567E-2</v>
      </c>
      <c r="E14" s="29">
        <f t="shared" si="2"/>
        <v>4.0609397004224848</v>
      </c>
      <c r="F14" s="29">
        <f t="shared" si="3"/>
        <v>17.060939700422484</v>
      </c>
      <c r="H14" s="35" t="s">
        <v>9</v>
      </c>
      <c r="I14" s="36">
        <f t="shared" si="0"/>
        <v>9.9859172961208553E-2</v>
      </c>
      <c r="L14" s="31" t="s">
        <v>9</v>
      </c>
      <c r="M14" s="36">
        <v>0.10422234099412078</v>
      </c>
    </row>
    <row r="15" spans="1:13" x14ac:dyDescent="0.3">
      <c r="A15" s="2" t="s">
        <v>137</v>
      </c>
      <c r="B15" s="43">
        <v>7</v>
      </c>
      <c r="D15" s="28">
        <f t="shared" si="1"/>
        <v>5.3770323902189228E-2</v>
      </c>
      <c r="E15" s="29">
        <f t="shared" si="2"/>
        <v>2.1866598386890304</v>
      </c>
      <c r="F15" s="29">
        <f t="shared" si="3"/>
        <v>9.1866598386890299</v>
      </c>
      <c r="H15" s="35" t="s">
        <v>137</v>
      </c>
      <c r="I15" s="36">
        <f t="shared" si="0"/>
        <v>5.3770323902189221E-2</v>
      </c>
      <c r="L15" s="31" t="s">
        <v>137</v>
      </c>
      <c r="M15" s="36">
        <v>5.6119722073757351E-2</v>
      </c>
    </row>
    <row r="16" spans="1:13" x14ac:dyDescent="0.3">
      <c r="A16" s="2" t="s">
        <v>76</v>
      </c>
      <c r="B16" s="43">
        <v>0.25</v>
      </c>
      <c r="D16" s="28">
        <f t="shared" si="1"/>
        <v>1.9203687107924726E-3</v>
      </c>
      <c r="E16" s="29">
        <f t="shared" si="2"/>
        <v>7.8094994238893947E-2</v>
      </c>
      <c r="F16" s="29">
        <f t="shared" si="3"/>
        <v>0.32809499423889393</v>
      </c>
      <c r="H16" s="35" t="s">
        <v>76</v>
      </c>
      <c r="I16" s="36">
        <f t="shared" si="0"/>
        <v>1.9203687107924722E-3</v>
      </c>
      <c r="L16" s="31" t="s">
        <v>76</v>
      </c>
      <c r="M16" s="36">
        <v>2.004275788348477E-3</v>
      </c>
    </row>
    <row r="17" spans="1:13" x14ac:dyDescent="0.3">
      <c r="A17" s="2" t="s">
        <v>70</v>
      </c>
      <c r="B17" s="43">
        <v>0.1</v>
      </c>
      <c r="D17" s="28">
        <f t="shared" si="1"/>
        <v>7.6814748431698902E-4</v>
      </c>
      <c r="E17" s="29">
        <f t="shared" si="2"/>
        <v>3.123799769555758E-2</v>
      </c>
      <c r="F17" s="29">
        <f t="shared" si="3"/>
        <v>0.13123799769555758</v>
      </c>
      <c r="H17" s="35" t="s">
        <v>70</v>
      </c>
      <c r="I17" s="36">
        <f t="shared" si="0"/>
        <v>7.6814748431698891E-4</v>
      </c>
      <c r="L17" s="31" t="s">
        <v>70</v>
      </c>
      <c r="M17" s="36">
        <v>8.0171031533939074E-4</v>
      </c>
    </row>
    <row r="18" spans="1:13" x14ac:dyDescent="0.3">
      <c r="A18" s="2" t="s">
        <v>121</v>
      </c>
      <c r="B18" s="43">
        <v>130.18333333333331</v>
      </c>
      <c r="E18" s="34">
        <f>SUM(E4:E17)</f>
        <v>40.666666666666707</v>
      </c>
      <c r="F18" s="43">
        <f>SUM(F4:F17)</f>
        <v>170.85000000000002</v>
      </c>
      <c r="G18" s="27"/>
    </row>
    <row r="19" spans="1:13" x14ac:dyDescent="0.3">
      <c r="B19" s="43"/>
    </row>
    <row r="20" spans="1:13" x14ac:dyDescent="0.3">
      <c r="B20" s="43"/>
    </row>
    <row r="21" spans="1:13" x14ac:dyDescent="0.3">
      <c r="A21" s="2" t="s">
        <v>141</v>
      </c>
      <c r="B21" s="44" t="s">
        <v>119</v>
      </c>
    </row>
    <row r="22" spans="1:13" x14ac:dyDescent="0.3">
      <c r="A22" s="37" t="s">
        <v>121</v>
      </c>
      <c r="B22" s="45">
        <v>40.6666666666667</v>
      </c>
    </row>
    <row r="23" spans="1:13" x14ac:dyDescent="0.3">
      <c r="B23" s="43"/>
    </row>
    <row r="24" spans="1:13" x14ac:dyDescent="0.3">
      <c r="A24" t="s">
        <v>155</v>
      </c>
      <c r="B24" s="46">
        <f>GETPIVOTDATA("Weekly hrs",$A$3)+B22</f>
        <v>170.85000000000002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Split by sites v1</vt:lpstr>
      <vt:lpstr>Split by sites</vt:lpstr>
      <vt:lpstr>pivot</vt:lpstr>
      <vt:lpstr>Split by  campaign</vt:lpstr>
    </vt:vector>
  </TitlesOfParts>
  <Company>Sitel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 Tsatsev</dc:creator>
  <cp:lastModifiedBy>Nikolay Lubenov</cp:lastModifiedBy>
  <dcterms:created xsi:type="dcterms:W3CDTF">2019-02-12T12:13:35Z</dcterms:created>
  <dcterms:modified xsi:type="dcterms:W3CDTF">2020-09-24T10:59:28Z</dcterms:modified>
</cp:coreProperties>
</file>