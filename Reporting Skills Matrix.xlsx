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2.xml" ContentType="application/vnd.openxmlformats-officedocument.spreadsheetml.comments+xml"/>
  <Override PartName="/xl/tables/table5.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mc:AlternateContent xmlns:mc="http://schemas.openxmlformats.org/markup-compatibility/2006">
    <mc:Choice Requires="x15">
      <x15ac:absPath xmlns:x15ac="http://schemas.microsoft.com/office/spreadsheetml/2010/11/ac" url="\\10.17.25.15\Administrative$\Reporting\Data_Reporting\Private\"/>
    </mc:Choice>
  </mc:AlternateContent>
  <xr:revisionPtr revIDLastSave="0" documentId="13_ncr:1_{F4C4E6E9-B47A-493D-ACEE-ABCC4783016B}" xr6:coauthVersionLast="47" xr6:coauthVersionMax="47" xr10:uidLastSave="{00000000-0000-0000-0000-000000000000}"/>
  <bookViews>
    <workbookView xWindow="-120" yWindow="-120" windowWidth="29040" windowHeight="15720" tabRatio="752" xr2:uid="{00000000-000D-0000-FFFF-FFFF00000000}"/>
  </bookViews>
  <sheets>
    <sheet name="Skills Matrix Reports" sheetId="1" r:id="rId1"/>
    <sheet name="Skills Matrix Tools" sheetId="2" r:id="rId2"/>
    <sheet name="Sitel Platforms" sheetId="5" r:id="rId3"/>
    <sheet name="BO reports" sheetId="6" r:id="rId4"/>
    <sheet name="Skills Matrix Reports Archive"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33" i="1" l="1"/>
  <c r="B400" i="1"/>
  <c r="B401" i="1" s="1"/>
  <c r="B405" i="1"/>
  <c r="B406" i="1" s="1"/>
  <c r="B407" i="1" s="1"/>
  <c r="B408" i="1" s="1"/>
  <c r="B409" i="1" s="1"/>
  <c r="B410" i="1" s="1"/>
  <c r="B411" i="1" s="1"/>
  <c r="B412" i="1" s="1"/>
  <c r="B413" i="1" s="1"/>
  <c r="B414" i="1" s="1"/>
  <c r="B415" i="1" s="1"/>
  <c r="B416" i="1" s="1"/>
  <c r="B417" i="1" s="1"/>
  <c r="B418" i="1" s="1"/>
  <c r="B419" i="1" s="1"/>
  <c r="B420" i="1" s="1"/>
  <c r="B43" i="2"/>
  <c r="B421" i="1" l="1"/>
  <c r="B422" i="1" s="1"/>
  <c r="B423" i="1" s="1"/>
  <c r="B424" i="1" s="1"/>
  <c r="B425" i="1" s="1"/>
  <c r="B426" i="1" s="1"/>
  <c r="B427" i="1" s="1"/>
  <c r="B428" i="1" s="1"/>
  <c r="B429" i="1" s="1"/>
  <c r="B430" i="1" s="1"/>
  <c r="B431" i="1" s="1"/>
  <c r="B285" i="1"/>
  <c r="B286" i="1" s="1"/>
  <c r="B241" i="6" l="1"/>
  <c r="B242" i="6"/>
  <c r="B243" i="6"/>
  <c r="B244" i="6"/>
  <c r="B245" i="6"/>
  <c r="B246" i="6"/>
  <c r="B247" i="6"/>
  <c r="B187" i="6" l="1"/>
  <c r="B42" i="2" l="1"/>
  <c r="B9" i="6" l="1"/>
  <c r="B3" i="6" l="1"/>
  <c r="B2" i="6" l="1"/>
  <c r="B4" i="6"/>
  <c r="B5" i="6"/>
  <c r="B6" i="6"/>
  <c r="B7" i="6"/>
  <c r="B8"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41" i="2" l="1"/>
  <c r="B40" i="2"/>
  <c r="B39" i="2"/>
  <c r="B38" i="2" l="1"/>
  <c r="B37" i="2"/>
  <c r="B36" i="2"/>
  <c r="B35" i="2"/>
  <c r="B34" i="2"/>
  <c r="B33" i="2"/>
  <c r="B32" i="2"/>
  <c r="B31" i="2"/>
  <c r="A3" i="6" l="1"/>
  <c r="A4" i="6" s="1"/>
  <c r="A5" i="6" s="1"/>
  <c r="A6" i="6" s="1"/>
  <c r="A7" i="6" s="1"/>
  <c r="A8" i="6" s="1"/>
  <c r="A9" i="6" s="1"/>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A100" i="6" s="1"/>
  <c r="A101" i="6" s="1"/>
  <c r="A102" i="6" s="1"/>
  <c r="A103" i="6" s="1"/>
  <c r="A104" i="6" s="1"/>
  <c r="A105" i="6" s="1"/>
  <c r="A106" i="6" s="1"/>
  <c r="A107" i="6" s="1"/>
  <c r="A108" i="6" s="1"/>
  <c r="A109" i="6" s="1"/>
  <c r="A110" i="6" s="1"/>
  <c r="A111" i="6" s="1"/>
  <c r="A112" i="6" s="1"/>
  <c r="A113" i="6" s="1"/>
  <c r="A114" i="6" s="1"/>
  <c r="A115" i="6" s="1"/>
  <c r="A116" i="6" s="1"/>
  <c r="A117" i="6" s="1"/>
  <c r="A118" i="6" s="1"/>
  <c r="A119" i="6" s="1"/>
  <c r="A120" i="6" s="1"/>
  <c r="A121" i="6" s="1"/>
  <c r="A122" i="6" s="1"/>
  <c r="A123" i="6" s="1"/>
  <c r="A124" i="6" s="1"/>
  <c r="A125" i="6" s="1"/>
  <c r="A126" i="6" s="1"/>
  <c r="A127" i="6" s="1"/>
  <c r="A128" i="6" s="1"/>
  <c r="A129" i="6" s="1"/>
  <c r="A130" i="6" s="1"/>
  <c r="A131" i="6" s="1"/>
  <c r="A132" i="6" s="1"/>
  <c r="A133" i="6" s="1"/>
  <c r="A134" i="6" s="1"/>
  <c r="A135" i="6" s="1"/>
  <c r="A136" i="6" s="1"/>
  <c r="A137" i="6" s="1"/>
  <c r="A138" i="6" s="1"/>
  <c r="A139" i="6" s="1"/>
  <c r="A140" i="6" s="1"/>
  <c r="A141" i="6" s="1"/>
  <c r="A142" i="6" s="1"/>
  <c r="A143" i="6" s="1"/>
  <c r="A144" i="6" s="1"/>
  <c r="A145" i="6" s="1"/>
  <c r="A146" i="6" s="1"/>
  <c r="A147" i="6" s="1"/>
  <c r="A148" i="6" s="1"/>
  <c r="A149" i="6" s="1"/>
  <c r="A150" i="6" s="1"/>
  <c r="A151" i="6" s="1"/>
  <c r="A152" i="6" s="1"/>
  <c r="A153" i="6" s="1"/>
  <c r="A154" i="6" s="1"/>
  <c r="A155" i="6" s="1"/>
  <c r="A156" i="6" s="1"/>
  <c r="A157" i="6" s="1"/>
  <c r="A158" i="6" s="1"/>
  <c r="A159" i="6" s="1"/>
  <c r="A160" i="6" s="1"/>
  <c r="A161" i="6" s="1"/>
  <c r="A162" i="6" s="1"/>
  <c r="A163" i="6" s="1"/>
  <c r="A164" i="6" s="1"/>
  <c r="A165" i="6" s="1"/>
  <c r="A166" i="6" s="1"/>
  <c r="A167" i="6" s="1"/>
  <c r="A168" i="6" s="1"/>
  <c r="A169" i="6" s="1"/>
  <c r="A170" i="6" s="1"/>
  <c r="A171" i="6" s="1"/>
  <c r="A172" i="6" s="1"/>
  <c r="A173" i="6" s="1"/>
  <c r="A174" i="6" s="1"/>
  <c r="A175" i="6" s="1"/>
  <c r="A176" i="6" s="1"/>
  <c r="A177" i="6" s="1"/>
  <c r="A178" i="6" s="1"/>
  <c r="A179" i="6" s="1"/>
  <c r="A180" i="6" s="1"/>
  <c r="A181" i="6" s="1"/>
  <c r="A182" i="6" s="1"/>
  <c r="A183" i="6" s="1"/>
  <c r="A184" i="6" s="1"/>
  <c r="A185" i="6" s="1"/>
  <c r="A186" i="6" s="1"/>
  <c r="A187" i="6" s="1"/>
  <c r="A188" i="6" s="1"/>
  <c r="A189" i="6" s="1"/>
  <c r="A190" i="6" s="1"/>
  <c r="A191" i="6" s="1"/>
  <c r="A192" i="6" s="1"/>
  <c r="A193" i="6" s="1"/>
  <c r="A194" i="6" s="1"/>
  <c r="A195" i="6" s="1"/>
  <c r="A196" i="6" s="1"/>
  <c r="A197" i="6" s="1"/>
  <c r="A198" i="6" s="1"/>
  <c r="A199" i="6" s="1"/>
  <c r="A200" i="6" s="1"/>
  <c r="A201" i="6" s="1"/>
  <c r="A202" i="6" s="1"/>
  <c r="A203" i="6" s="1"/>
  <c r="A204" i="6" s="1"/>
  <c r="A205" i="6" s="1"/>
  <c r="A206" i="6" s="1"/>
  <c r="A207" i="6" s="1"/>
  <c r="A208" i="6" s="1"/>
  <c r="A209" i="6" s="1"/>
  <c r="A210" i="6" s="1"/>
  <c r="A211" i="6" s="1"/>
  <c r="A212" i="6" s="1"/>
  <c r="A213" i="6" s="1"/>
  <c r="A214" i="6" s="1"/>
  <c r="A215" i="6" s="1"/>
  <c r="A216" i="6" s="1"/>
  <c r="A217" i="6" s="1"/>
  <c r="A218" i="6" s="1"/>
  <c r="A219" i="6" s="1"/>
  <c r="A220" i="6" s="1"/>
  <c r="A221" i="6" s="1"/>
  <c r="A222" i="6" s="1"/>
  <c r="A223" i="6" s="1"/>
  <c r="A224" i="6" s="1"/>
  <c r="A225" i="6" s="1"/>
  <c r="A226" i="6" s="1"/>
  <c r="A227" i="6" s="1"/>
  <c r="A228" i="6" s="1"/>
  <c r="A229" i="6" s="1"/>
  <c r="A230" i="6" s="1"/>
  <c r="A231" i="6" s="1"/>
  <c r="A232" i="6" s="1"/>
  <c r="A233" i="6" s="1"/>
  <c r="A234" i="6" s="1"/>
  <c r="A235" i="6" s="1"/>
  <c r="A236" i="6" s="1"/>
  <c r="A237" i="6" s="1"/>
  <c r="A238" i="6" s="1"/>
  <c r="A239" i="6" s="1"/>
  <c r="A240" i="6" s="1"/>
  <c r="A241" i="6" s="1"/>
  <c r="A242" i="6" s="1"/>
  <c r="A243" i="6" s="1"/>
  <c r="A244" i="6" s="1"/>
  <c r="A245" i="6" s="1"/>
  <c r="A246" i="6" s="1"/>
  <c r="A247" i="6" s="1"/>
  <c r="B12" i="3" l="1"/>
  <c r="B13" i="3" s="1"/>
  <c r="B14" i="3" s="1"/>
  <c r="B15" i="3" s="1"/>
  <c r="B16" i="3" s="1"/>
  <c r="B17" i="3" s="1"/>
  <c r="B18" i="3" s="1"/>
  <c r="B19" i="3" s="1"/>
  <c r="B20" i="3" s="1"/>
  <c r="B21" i="3" s="1"/>
  <c r="B22" i="3" s="1"/>
  <c r="B23" i="3" s="1"/>
  <c r="B24" i="3" s="1"/>
  <c r="B25" i="3" s="1"/>
  <c r="B26" i="3" s="1"/>
  <c r="B27" i="3" s="1"/>
  <c r="B28" i="3" s="1"/>
  <c r="B29" i="3" s="1"/>
  <c r="B30" i="3" s="1"/>
  <c r="B31" i="3" s="1"/>
  <c r="B32" i="3" s="1"/>
  <c r="B33" i="3" s="1"/>
  <c r="B34" i="3" s="1"/>
  <c r="B35" i="3" s="1"/>
  <c r="B36" i="3" s="1"/>
  <c r="B37" i="3" s="1"/>
  <c r="B38" i="3" s="1"/>
  <c r="B39" i="3" s="1"/>
  <c r="B40" i="3" s="1"/>
  <c r="B41" i="3" s="1"/>
  <c r="B42" i="3" s="1"/>
  <c r="B43" i="3" s="1"/>
  <c r="B44" i="3" s="1"/>
  <c r="B45" i="3" s="1"/>
  <c r="B46" i="3" s="1"/>
  <c r="B47" i="3" s="1"/>
  <c r="B48" i="3" s="1"/>
  <c r="B49" i="3" s="1"/>
  <c r="B50" i="3" s="1"/>
  <c r="B51" i="3" s="1"/>
  <c r="B52" i="3" s="1"/>
  <c r="B53" i="3" s="1"/>
  <c r="B54" i="3" s="1"/>
  <c r="B55" i="3" s="1"/>
  <c r="B56" i="3" s="1"/>
  <c r="B57" i="3" s="1"/>
  <c r="B58" i="3" s="1"/>
  <c r="B59" i="3" s="1"/>
  <c r="B60" i="3" s="1"/>
  <c r="B61" i="3" s="1"/>
  <c r="B62" i="3" s="1"/>
  <c r="B63" i="3" s="1"/>
  <c r="B64" i="3" s="1"/>
  <c r="B65" i="3" s="1"/>
  <c r="B66" i="3" s="1"/>
  <c r="B67" i="3" s="1"/>
  <c r="B68" i="3" s="1"/>
  <c r="B69" i="3" s="1"/>
  <c r="B70" i="3" s="1"/>
  <c r="B71" i="3" s="1"/>
  <c r="B72" i="3" s="1"/>
  <c r="B73" i="3" s="1"/>
  <c r="B74" i="3" s="1"/>
  <c r="B75" i="3" s="1"/>
  <c r="B76" i="3" s="1"/>
  <c r="B77" i="3" s="1"/>
  <c r="B78" i="3" s="1"/>
  <c r="B79" i="3" s="1"/>
  <c r="B80" i="3" s="1"/>
  <c r="B81" i="3" s="1"/>
  <c r="B82" i="3" s="1"/>
  <c r="B83" i="3" s="1"/>
  <c r="B84" i="3" s="1"/>
  <c r="B85" i="3" s="1"/>
  <c r="B86" i="3" s="1"/>
  <c r="B87" i="3" s="1"/>
  <c r="B88" i="3" s="1"/>
  <c r="B89" i="3" s="1"/>
  <c r="B90" i="3" s="1"/>
  <c r="B91" i="3" s="1"/>
  <c r="B92" i="3" s="1"/>
  <c r="B93" i="3" s="1"/>
  <c r="B94" i="3" s="1"/>
  <c r="B95" i="3" s="1"/>
  <c r="B96" i="3" s="1"/>
  <c r="B97" i="3" s="1"/>
  <c r="B98" i="3" s="1"/>
  <c r="B99" i="3" s="1"/>
  <c r="B100" i="3" s="1"/>
  <c r="B101" i="3" s="1"/>
  <c r="B102" i="3" s="1"/>
  <c r="B103" i="3" s="1"/>
  <c r="B104" i="3" s="1"/>
  <c r="B105" i="3" s="1"/>
  <c r="B106" i="3" s="1"/>
  <c r="B107" i="3" s="1"/>
  <c r="B108" i="3" s="1"/>
  <c r="B109" i="3" s="1"/>
  <c r="B110" i="3" s="1"/>
  <c r="B111" i="3" s="1"/>
  <c r="B112" i="3" s="1"/>
  <c r="B113" i="3" s="1"/>
  <c r="B114" i="3" s="1"/>
  <c r="B115" i="3" s="1"/>
  <c r="B116" i="3" s="1"/>
  <c r="B117" i="3" s="1"/>
  <c r="B118" i="3" s="1"/>
  <c r="B119" i="3" s="1"/>
  <c r="B120" i="3" s="1"/>
  <c r="B121" i="3" s="1"/>
  <c r="B122" i="3" s="1"/>
  <c r="B123" i="3" s="1"/>
  <c r="B124" i="3" s="1"/>
  <c r="B125" i="3" s="1"/>
  <c r="B126" i="3" s="1"/>
  <c r="B127" i="3" s="1"/>
  <c r="B128" i="3" s="1"/>
  <c r="B129" i="3" s="1"/>
  <c r="B130" i="3" s="1"/>
  <c r="B131" i="3" s="1"/>
  <c r="B132" i="3" s="1"/>
  <c r="B133" i="3" s="1"/>
  <c r="B134" i="3" s="1"/>
  <c r="B135" i="3" s="1"/>
  <c r="B136" i="3" s="1"/>
  <c r="B137" i="3" s="1"/>
  <c r="B138" i="3" s="1"/>
  <c r="B139" i="3" s="1"/>
  <c r="B140" i="3" s="1"/>
  <c r="B141" i="3" s="1"/>
  <c r="B142" i="3" s="1"/>
  <c r="B143" i="3" s="1"/>
  <c r="B144" i="3" s="1"/>
  <c r="B145" i="3" s="1"/>
  <c r="B146" i="3" s="1"/>
  <c r="B147" i="3" s="1"/>
  <c r="B148" i="3" s="1"/>
  <c r="B149" i="3" s="1"/>
  <c r="B150" i="3" s="1"/>
  <c r="B151" i="3" s="1"/>
  <c r="B152" i="3" s="1"/>
  <c r="B153" i="3" s="1"/>
  <c r="B154" i="3" s="1"/>
  <c r="B155" i="3" s="1"/>
  <c r="B156" i="3" s="1"/>
  <c r="B157" i="3" s="1"/>
  <c r="B158" i="3" s="1"/>
  <c r="B159" i="3" s="1"/>
  <c r="B160" i="3" s="1"/>
  <c r="B161" i="3" s="1"/>
  <c r="B162" i="3" s="1"/>
  <c r="B163" i="3" s="1"/>
  <c r="B164" i="3" s="1"/>
  <c r="B165" i="3" s="1"/>
  <c r="B166" i="3" s="1"/>
  <c r="B167" i="3" s="1"/>
  <c r="B168" i="3" s="1"/>
  <c r="B169" i="3" s="1"/>
  <c r="B170" i="3" s="1"/>
  <c r="B171" i="3" s="1"/>
  <c r="B172" i="3" s="1"/>
  <c r="B173" i="3" s="1"/>
  <c r="B174" i="3" s="1"/>
  <c r="B175" i="3" s="1"/>
  <c r="B176" i="3" s="1"/>
  <c r="B177" i="3" s="1"/>
  <c r="B178" i="3" s="1"/>
  <c r="B179" i="3" s="1"/>
  <c r="B180" i="3" s="1"/>
  <c r="B181" i="3" s="1"/>
  <c r="B182" i="3" s="1"/>
  <c r="B183" i="3" s="1"/>
  <c r="B184" i="3" s="1"/>
  <c r="B185" i="3" s="1"/>
  <c r="B186" i="3" s="1"/>
  <c r="B187" i="3" s="1"/>
  <c r="B188" i="3" s="1"/>
  <c r="B189" i="3" s="1"/>
  <c r="B190" i="3" s="1"/>
  <c r="B191" i="3" s="1"/>
  <c r="B192" i="3" s="1"/>
  <c r="B193" i="3" s="1"/>
  <c r="B194" i="3" s="1"/>
  <c r="B195" i="3" s="1"/>
  <c r="B196" i="3" s="1"/>
  <c r="B197" i="3" s="1"/>
  <c r="B198" i="3" s="1"/>
  <c r="B199" i="3" s="1"/>
  <c r="B200" i="3" s="1"/>
  <c r="B201" i="3" s="1"/>
  <c r="B202" i="3" s="1"/>
  <c r="B203" i="3" s="1"/>
  <c r="B204" i="3" s="1"/>
  <c r="B205" i="3" s="1"/>
  <c r="B206" i="3" s="1"/>
  <c r="B207" i="3" s="1"/>
  <c r="B208" i="3" s="1"/>
  <c r="B209" i="3" s="1"/>
  <c r="B210" i="3" s="1"/>
  <c r="B211" i="3" s="1"/>
  <c r="B212" i="3" s="1"/>
  <c r="B213" i="3" s="1"/>
  <c r="B214" i="3" s="1"/>
  <c r="B215" i="3" s="1"/>
  <c r="B216" i="3" s="1"/>
  <c r="B217" i="3" s="1"/>
  <c r="B218" i="3" s="1"/>
  <c r="B219" i="3" s="1"/>
  <c r="B220" i="3" s="1"/>
  <c r="B221" i="3" s="1"/>
  <c r="B222" i="3" s="1"/>
  <c r="B223" i="3" s="1"/>
  <c r="B224" i="3" s="1"/>
  <c r="B225" i="3" s="1"/>
  <c r="B226" i="3" s="1"/>
  <c r="B227" i="3" s="1"/>
  <c r="B228" i="3" s="1"/>
  <c r="B229" i="3" s="1"/>
  <c r="B230" i="3" s="1"/>
  <c r="B231" i="3" s="1"/>
  <c r="B232" i="3" s="1"/>
  <c r="B233" i="3" s="1"/>
  <c r="B234" i="3" s="1"/>
  <c r="B235" i="3" s="1"/>
  <c r="B236" i="3" s="1"/>
  <c r="B237" i="3" s="1"/>
  <c r="B238" i="3" s="1"/>
  <c r="B239" i="3" s="1"/>
  <c r="B240" i="3" s="1"/>
  <c r="B241" i="3" s="1"/>
  <c r="B242" i="3" s="1"/>
  <c r="B243" i="3" s="1"/>
  <c r="B244" i="3" s="1"/>
  <c r="B245" i="3" s="1"/>
  <c r="B246" i="3" s="1"/>
  <c r="B247" i="3" s="1"/>
  <c r="B248" i="3" s="1"/>
  <c r="B249" i="3" s="1"/>
  <c r="B250" i="3" s="1"/>
  <c r="B251" i="3" s="1"/>
  <c r="B252" i="3" s="1"/>
  <c r="B253" i="3" s="1"/>
  <c r="B254" i="3" s="1"/>
  <c r="B255" i="3" s="1"/>
  <c r="B256" i="3" s="1"/>
  <c r="B257" i="3" s="1"/>
  <c r="B258" i="3" s="1"/>
  <c r="B259" i="3" s="1"/>
  <c r="B260" i="3" s="1"/>
  <c r="B261" i="3" s="1"/>
  <c r="B262" i="3" s="1"/>
  <c r="B263" i="3" s="1"/>
  <c r="B264" i="3" s="1"/>
  <c r="B265" i="3" s="1"/>
  <c r="B266" i="3" s="1"/>
  <c r="B267" i="3" s="1"/>
  <c r="B268" i="3" s="1"/>
  <c r="B269" i="3" s="1"/>
  <c r="B270" i="3" s="1"/>
  <c r="B271" i="3" s="1"/>
  <c r="B272" i="3" s="1"/>
  <c r="B273" i="3" s="1"/>
  <c r="B274" i="3" s="1"/>
  <c r="B275" i="3" s="1"/>
  <c r="B276" i="3" s="1"/>
  <c r="B277" i="3" s="1"/>
  <c r="B278" i="3" s="1"/>
  <c r="B279" i="3" s="1"/>
  <c r="B280" i="3" s="1"/>
  <c r="B281" i="3" s="1"/>
  <c r="B282" i="3" s="1"/>
  <c r="B283" i="3" s="1"/>
  <c r="B284" i="3" s="1"/>
  <c r="B285" i="3" s="1"/>
  <c r="B286" i="3" s="1"/>
  <c r="B287" i="3" s="1"/>
  <c r="B288" i="3" s="1"/>
  <c r="B289" i="3" s="1"/>
  <c r="B290" i="3" s="1"/>
  <c r="B291" i="3" s="1"/>
  <c r="B292" i="3" s="1"/>
  <c r="B293" i="3" s="1"/>
  <c r="B294" i="3" s="1"/>
  <c r="B295" i="3" s="1"/>
  <c r="B296" i="3" s="1"/>
  <c r="B297" i="3" s="1"/>
  <c r="B298" i="3" s="1"/>
  <c r="B299" i="3" s="1"/>
  <c r="B300" i="3" s="1"/>
  <c r="B301" i="3" s="1"/>
  <c r="B302" i="3" s="1"/>
  <c r="B303" i="3" s="1"/>
  <c r="B304" i="3" s="1"/>
  <c r="B305" i="3" s="1"/>
  <c r="B306" i="3" s="1"/>
  <c r="B307" i="3" s="1"/>
  <c r="B308" i="3" s="1"/>
  <c r="B309" i="3" s="1"/>
  <c r="B310" i="3" s="1"/>
  <c r="B311" i="3" s="1"/>
  <c r="B312" i="3" s="1"/>
  <c r="B313" i="3" s="1"/>
  <c r="B314" i="3" s="1"/>
  <c r="B315" i="3" s="1"/>
  <c r="B316" i="3" s="1"/>
  <c r="B317" i="3" s="1"/>
  <c r="B318" i="3" s="1"/>
  <c r="B30" i="2" l="1"/>
  <c r="B28" i="2"/>
  <c r="B29" i="2"/>
  <c r="B27" i="2"/>
  <c r="B26" i="2"/>
  <c r="B24" i="2"/>
  <c r="B23" i="2" l="1"/>
  <c r="B25" i="2" l="1"/>
  <c r="B22" i="2"/>
  <c r="B21" i="2" l="1"/>
  <c r="B12" i="2"/>
  <c r="B13" i="2"/>
  <c r="B14" i="2"/>
  <c r="B15" i="2"/>
  <c r="B16" i="2"/>
  <c r="B17" i="2"/>
  <c r="B18" i="2"/>
  <c r="B19" i="2"/>
  <c r="B20" i="2"/>
  <c r="B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Dimitrova</author>
  </authors>
  <commentList>
    <comment ref="J51" authorId="0" shapeId="0" xr:uid="{00000000-0006-0000-0000-000001000000}">
      <text>
        <r>
          <rPr>
            <b/>
            <sz val="9"/>
            <color indexed="81"/>
            <rFont val="Tahoma"/>
            <family val="2"/>
          </rPr>
          <t>Diana Dimitrova:</t>
        </r>
        <r>
          <rPr>
            <sz val="9"/>
            <color indexed="81"/>
            <rFont val="Tahoma"/>
            <family val="2"/>
          </rPr>
          <t xml:space="preserve">
Tue EBD</t>
        </r>
      </text>
    </comment>
    <comment ref="AA51" authorId="0" shapeId="0" xr:uid="{00000000-0006-0000-0000-000002000000}">
      <text>
        <r>
          <rPr>
            <b/>
            <sz val="9"/>
            <color indexed="81"/>
            <rFont val="Tahoma"/>
            <family val="2"/>
          </rPr>
          <t>Diana Dimitrova:</t>
        </r>
        <r>
          <rPr>
            <sz val="9"/>
            <color indexed="81"/>
            <rFont val="Tahoma"/>
            <family val="2"/>
          </rPr>
          <t xml:space="preserve">
+ video training</t>
        </r>
      </text>
    </comment>
    <comment ref="J79" authorId="0" shapeId="0" xr:uid="{00000000-0006-0000-0000-000003000000}">
      <text>
        <r>
          <rPr>
            <b/>
            <sz val="9"/>
            <color indexed="81"/>
            <rFont val="Tahoma"/>
            <family val="2"/>
          </rPr>
          <t>Diana Dimitrova:</t>
        </r>
        <r>
          <rPr>
            <sz val="9"/>
            <color indexed="81"/>
            <rFont val="Tahoma"/>
            <family val="2"/>
          </rPr>
          <t xml:space="preserve">
Mon/Thu EBD</t>
        </r>
      </text>
    </comment>
    <comment ref="J149" authorId="0" shapeId="0" xr:uid="{00000000-0006-0000-0000-000004000000}">
      <text>
        <r>
          <rPr>
            <b/>
            <sz val="9"/>
            <color indexed="81"/>
            <rFont val="Tahoma"/>
            <family val="2"/>
          </rPr>
          <t>Diana Dimitrova:</t>
        </r>
        <r>
          <rPr>
            <sz val="9"/>
            <color indexed="81"/>
            <rFont val="Tahoma"/>
            <family val="2"/>
          </rPr>
          <t xml:space="preserve">
Tue EBD</t>
        </r>
      </text>
    </comment>
    <comment ref="AA149" authorId="0" shapeId="0" xr:uid="{00000000-0006-0000-0000-000005000000}">
      <text>
        <r>
          <rPr>
            <b/>
            <sz val="9"/>
            <color indexed="81"/>
            <rFont val="Tahoma"/>
            <family val="2"/>
          </rPr>
          <t>Diana Dimitrova:</t>
        </r>
        <r>
          <rPr>
            <sz val="9"/>
            <color indexed="81"/>
            <rFont val="Tahoma"/>
            <family val="2"/>
          </rPr>
          <t xml:space="preserve">
+ video training</t>
        </r>
      </text>
    </comment>
    <comment ref="J208" authorId="0" shapeId="0" xr:uid="{00000000-0006-0000-0000-000006000000}">
      <text>
        <r>
          <rPr>
            <b/>
            <sz val="9"/>
            <color indexed="81"/>
            <rFont val="Tahoma"/>
            <family val="2"/>
          </rPr>
          <t>Diana Dimitrova:</t>
        </r>
        <r>
          <rPr>
            <sz val="9"/>
            <color indexed="81"/>
            <rFont val="Tahoma"/>
            <family val="2"/>
          </rPr>
          <t xml:space="preserve">
Mon/Thu 10:30</t>
        </r>
      </text>
    </comment>
    <comment ref="J214" authorId="0" shapeId="0" xr:uid="{00000000-0006-0000-0000-000007000000}">
      <text>
        <r>
          <rPr>
            <b/>
            <sz val="9"/>
            <color indexed="81"/>
            <rFont val="Tahoma"/>
            <family val="2"/>
          </rPr>
          <t>Diana Dimitrova:</t>
        </r>
        <r>
          <rPr>
            <sz val="9"/>
            <color indexed="81"/>
            <rFont val="Tahoma"/>
            <family val="2"/>
          </rPr>
          <t xml:space="preserve">
Mon 10:30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Dimitrova</author>
  </authors>
  <commentList>
    <comment ref="G157" authorId="0" shapeId="0" xr:uid="{00000000-0006-0000-0300-000001000000}">
      <text>
        <r>
          <rPr>
            <b/>
            <sz val="9"/>
            <color indexed="81"/>
            <rFont val="Tahoma"/>
            <family val="2"/>
          </rPr>
          <t>Diana Dimitrova:</t>
        </r>
        <r>
          <rPr>
            <sz val="9"/>
            <color indexed="81"/>
            <rFont val="Tahoma"/>
            <family val="2"/>
          </rPr>
          <t xml:space="preserve">
Every day from 09:15 GMT to 20:15 GMT</t>
        </r>
      </text>
    </comment>
    <comment ref="G190" authorId="0" shapeId="0" xr:uid="{00000000-0006-0000-0300-000002000000}">
      <text>
        <r>
          <rPr>
            <b/>
            <sz val="9"/>
            <color indexed="81"/>
            <rFont val="Tahoma"/>
            <family val="2"/>
          </rPr>
          <t>Diana Dimitrova:</t>
        </r>
        <r>
          <rPr>
            <sz val="9"/>
            <color indexed="81"/>
            <rFont val="Tahoma"/>
            <family val="2"/>
          </rPr>
          <t xml:space="preserve">
Hourly - every day at 11:00 AM GMT, 2:00 PM GMT, 5:00 PM GMT
Daily - every day till 08:00 AM GMT</t>
        </r>
      </text>
    </comment>
    <comment ref="G195" authorId="0" shapeId="0" xr:uid="{00000000-0006-0000-0300-000003000000}">
      <text>
        <r>
          <rPr>
            <b/>
            <sz val="9"/>
            <color indexed="81"/>
            <rFont val="Tahoma"/>
            <family val="2"/>
          </rPr>
          <t>Diana Dimitrova:</t>
        </r>
        <r>
          <rPr>
            <sz val="9"/>
            <color indexed="81"/>
            <rFont val="Tahoma"/>
            <family val="2"/>
          </rPr>
          <t xml:space="preserve">
Every Monday</t>
        </r>
      </text>
    </comment>
    <comment ref="G202" authorId="0" shapeId="0" xr:uid="{00000000-0006-0000-0300-000004000000}">
      <text>
        <r>
          <rPr>
            <b/>
            <sz val="9"/>
            <color indexed="81"/>
            <rFont val="Tahoma"/>
            <family val="2"/>
          </rPr>
          <t>Diana Dimitrova:</t>
        </r>
        <r>
          <rPr>
            <sz val="9"/>
            <color indexed="81"/>
            <rFont val="Tahoma"/>
            <family val="2"/>
          </rPr>
          <t xml:space="preserve">
Every Monday</t>
        </r>
      </text>
    </comment>
    <comment ref="G204" authorId="0" shapeId="0" xr:uid="{00000000-0006-0000-0300-000005000000}">
      <text>
        <r>
          <rPr>
            <b/>
            <sz val="9"/>
            <color indexed="81"/>
            <rFont val="Tahoma"/>
            <family val="2"/>
          </rPr>
          <t>Diana Dimitrova:</t>
        </r>
        <r>
          <rPr>
            <sz val="9"/>
            <color indexed="81"/>
            <rFont val="Tahoma"/>
            <family val="2"/>
          </rPr>
          <t xml:space="preserve">
Every Monday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Dimitrova</author>
  </authors>
  <commentList>
    <comment ref="I58" authorId="0" shapeId="0" xr:uid="{00000000-0006-0000-0400-000001000000}">
      <text>
        <r>
          <rPr>
            <b/>
            <sz val="9"/>
            <color indexed="81"/>
            <rFont val="Tahoma"/>
            <family val="2"/>
          </rPr>
          <t>Diana Dimitrova:</t>
        </r>
        <r>
          <rPr>
            <sz val="9"/>
            <color indexed="81"/>
            <rFont val="Tahoma"/>
            <family val="2"/>
          </rPr>
          <t xml:space="preserve">
Tue EBD</t>
        </r>
      </text>
    </comment>
    <comment ref="AK58" authorId="0" shapeId="0" xr:uid="{00000000-0006-0000-0400-000002000000}">
      <text>
        <r>
          <rPr>
            <b/>
            <sz val="9"/>
            <color indexed="81"/>
            <rFont val="Tahoma"/>
            <family val="2"/>
          </rPr>
          <t>Diana Dimitrova:</t>
        </r>
        <r>
          <rPr>
            <sz val="9"/>
            <color indexed="81"/>
            <rFont val="Tahoma"/>
            <family val="2"/>
          </rPr>
          <t xml:space="preserve">
+ video training</t>
        </r>
      </text>
    </comment>
    <comment ref="I94" authorId="0" shapeId="0" xr:uid="{00000000-0006-0000-0400-000003000000}">
      <text>
        <r>
          <rPr>
            <b/>
            <sz val="9"/>
            <color indexed="81"/>
            <rFont val="Tahoma"/>
            <family val="2"/>
          </rPr>
          <t>Diana Dimitrova:</t>
        </r>
        <r>
          <rPr>
            <sz val="9"/>
            <color indexed="81"/>
            <rFont val="Tahoma"/>
            <family val="2"/>
          </rPr>
          <t xml:space="preserve">
Mon/Thu EBD</t>
        </r>
      </text>
    </comment>
    <comment ref="I197" authorId="0" shapeId="0" xr:uid="{00000000-0006-0000-0400-000004000000}">
      <text>
        <r>
          <rPr>
            <b/>
            <sz val="9"/>
            <color indexed="81"/>
            <rFont val="Tahoma"/>
            <family val="2"/>
          </rPr>
          <t>Diana Dimitrova:</t>
        </r>
        <r>
          <rPr>
            <sz val="9"/>
            <color indexed="81"/>
            <rFont val="Tahoma"/>
            <family val="2"/>
          </rPr>
          <t xml:space="preserve">
Tue EBD</t>
        </r>
      </text>
    </comment>
    <comment ref="AK197" authorId="0" shapeId="0" xr:uid="{00000000-0006-0000-0400-000005000000}">
      <text>
        <r>
          <rPr>
            <b/>
            <sz val="9"/>
            <color indexed="81"/>
            <rFont val="Tahoma"/>
            <family val="2"/>
          </rPr>
          <t>Diana Dimitrova:</t>
        </r>
        <r>
          <rPr>
            <sz val="9"/>
            <color indexed="81"/>
            <rFont val="Tahoma"/>
            <family val="2"/>
          </rPr>
          <t xml:space="preserve">
+ video training</t>
        </r>
      </text>
    </comment>
    <comment ref="I285" authorId="0" shapeId="0" xr:uid="{00000000-0006-0000-0400-000006000000}">
      <text>
        <r>
          <rPr>
            <b/>
            <sz val="9"/>
            <color indexed="81"/>
            <rFont val="Tahoma"/>
            <family val="2"/>
          </rPr>
          <t>Diana Dimitrova:</t>
        </r>
        <r>
          <rPr>
            <sz val="9"/>
            <color indexed="81"/>
            <rFont val="Tahoma"/>
            <family val="2"/>
          </rPr>
          <t xml:space="preserve">
Mon/Thu 10:30</t>
        </r>
      </text>
    </comment>
    <comment ref="I291" authorId="0" shapeId="0" xr:uid="{00000000-0006-0000-0400-000007000000}">
      <text>
        <r>
          <rPr>
            <b/>
            <sz val="9"/>
            <color indexed="81"/>
            <rFont val="Tahoma"/>
            <family val="2"/>
          </rPr>
          <t>Diana Dimitrova:</t>
        </r>
        <r>
          <rPr>
            <sz val="9"/>
            <color indexed="81"/>
            <rFont val="Tahoma"/>
            <family val="2"/>
          </rPr>
          <t xml:space="preserve">
Mon 10:30</t>
        </r>
      </text>
    </comment>
  </commentList>
</comments>
</file>

<file path=xl/sharedStrings.xml><?xml version="1.0" encoding="utf-8"?>
<sst xmlns="http://schemas.openxmlformats.org/spreadsheetml/2006/main" count="10523" uniqueCount="1392">
  <si>
    <t>Levels</t>
  </si>
  <si>
    <t>Trained</t>
  </si>
  <si>
    <t>Status</t>
  </si>
  <si>
    <t>Definition</t>
  </si>
  <si>
    <t>Not trained</t>
  </si>
  <si>
    <t>Not applicable</t>
  </si>
  <si>
    <t>Not to be trained on this for now</t>
  </si>
  <si>
    <t>Not yet trained</t>
  </si>
  <si>
    <t>Independent</t>
  </si>
  <si>
    <t>Expert</t>
  </si>
  <si>
    <t>NL</t>
  </si>
  <si>
    <t>MS</t>
  </si>
  <si>
    <t>BS</t>
  </si>
  <si>
    <t>GK</t>
  </si>
  <si>
    <t>Site</t>
  </si>
  <si>
    <t>Campaign</t>
  </si>
  <si>
    <t>Report Name</t>
  </si>
  <si>
    <t>Documentation</t>
  </si>
  <si>
    <t>#</t>
  </si>
  <si>
    <t>Brother</t>
  </si>
  <si>
    <t>Main Backup Person</t>
  </si>
  <si>
    <t>YES</t>
  </si>
  <si>
    <t>Report Owner</t>
  </si>
  <si>
    <t>Sub Campaign</t>
  </si>
  <si>
    <t>Has intermediate knowledge, no supervision needed</t>
  </si>
  <si>
    <t>Can train others. Knows all specifics</t>
  </si>
  <si>
    <t>Passed the training but needs supervision to do the report. In parallel run.</t>
  </si>
  <si>
    <t>Comments</t>
  </si>
  <si>
    <t>Monthly Bosch Invoicing</t>
  </si>
  <si>
    <t>Bosch</t>
  </si>
  <si>
    <t>Exeter</t>
  </si>
  <si>
    <t>Flash Report</t>
  </si>
  <si>
    <t>NO</t>
  </si>
  <si>
    <t>J &amp; J MI report</t>
  </si>
  <si>
    <t>J &amp; J</t>
  </si>
  <si>
    <t>Skill By Manager</t>
  </si>
  <si>
    <t>Tosh, Flybe,NL, JL, VP</t>
  </si>
  <si>
    <t>Toshiba MI report</t>
  </si>
  <si>
    <t>Toshiba</t>
  </si>
  <si>
    <t>VP MI report</t>
  </si>
  <si>
    <t>JL MI report</t>
  </si>
  <si>
    <t>Flybe MI  report</t>
  </si>
  <si>
    <t>KPI Tracker/ 2020 SKEP</t>
  </si>
  <si>
    <t>John Lewis</t>
  </si>
  <si>
    <t>Voyage Prive</t>
  </si>
  <si>
    <t>SSE</t>
  </si>
  <si>
    <t>D&amp;G</t>
  </si>
  <si>
    <t>Outbound reports</t>
  </si>
  <si>
    <t>QM Loggers</t>
  </si>
  <si>
    <t>EMT</t>
  </si>
  <si>
    <t>QA</t>
  </si>
  <si>
    <t>IEX Extract</t>
  </si>
  <si>
    <t>Coventry</t>
  </si>
  <si>
    <t>Weekly Coventry Productivity Report</t>
  </si>
  <si>
    <t>N/A</t>
  </si>
  <si>
    <t>LG</t>
  </si>
  <si>
    <t>Daily Performance Dashboards</t>
  </si>
  <si>
    <t>LifeScan</t>
  </si>
  <si>
    <t>Weekly CMSR</t>
  </si>
  <si>
    <t>Monthly CMSR in 2020</t>
  </si>
  <si>
    <t>Monthly Stacked Ranking</t>
  </si>
  <si>
    <t>VI</t>
  </si>
  <si>
    <t>ID</t>
  </si>
  <si>
    <t>QBR - quarterly</t>
  </si>
  <si>
    <t>MBR - monthly</t>
  </si>
  <si>
    <t>Monthly Market Slides</t>
  </si>
  <si>
    <t>Inbound/PR</t>
  </si>
  <si>
    <t>Daily Summary</t>
  </si>
  <si>
    <t>Agent AUX/Productivity Report</t>
  </si>
  <si>
    <t>Monthly JnJ Reporting - JC</t>
  </si>
  <si>
    <t>JL Home Solutions MI</t>
  </si>
  <si>
    <t>Heathrow</t>
  </si>
  <si>
    <t>Heathrow MI</t>
  </si>
  <si>
    <t>Disney</t>
  </si>
  <si>
    <t>Disney DB update</t>
  </si>
  <si>
    <t>Disney MI report</t>
  </si>
  <si>
    <t>Mondays</t>
  </si>
  <si>
    <t>Every workday</t>
  </si>
  <si>
    <t xml:space="preserve">Every Monday/Tuesday. </t>
  </si>
  <si>
    <t xml:space="preserve">Send files to Silvia on Monday, and to Penny as soon as they are received back. </t>
  </si>
  <si>
    <t>On hold</t>
  </si>
  <si>
    <t xml:space="preserve">First step - first day of the new month. </t>
  </si>
  <si>
    <t xml:space="preserve">Until day 5 of the month. </t>
  </si>
  <si>
    <t xml:space="preserve">Start on day one, should be ready by day 5 of the month. </t>
  </si>
  <si>
    <t>Frequency</t>
  </si>
  <si>
    <t>Daily</t>
  </si>
  <si>
    <t>Monthly</t>
  </si>
  <si>
    <t>Weekly</t>
  </si>
  <si>
    <t>Quarterly</t>
  </si>
  <si>
    <t>Daily/Weekly/Monthly</t>
  </si>
  <si>
    <t>Daily/Weekly</t>
  </si>
  <si>
    <t>Sofia</t>
  </si>
  <si>
    <t>Wyndham</t>
  </si>
  <si>
    <t>Wyndham Dashboard</t>
  </si>
  <si>
    <t>IK</t>
  </si>
  <si>
    <t>Yes</t>
  </si>
  <si>
    <t>HMD</t>
  </si>
  <si>
    <t>HMD Dashboard</t>
  </si>
  <si>
    <t>MoneyGram</t>
  </si>
  <si>
    <t xml:space="preserve">MoneyGram Quarterly Skill Dashboard </t>
  </si>
  <si>
    <t>MoneyGram Agent Dashboard</t>
  </si>
  <si>
    <t>Varna</t>
  </si>
  <si>
    <t>Mobilcom</t>
  </si>
  <si>
    <t>Mobilcom Dashboard</t>
  </si>
  <si>
    <t>Klarmobil</t>
  </si>
  <si>
    <t>Mobilcom/Klarmobil</t>
  </si>
  <si>
    <t>Klarmobil Dashboard</t>
  </si>
  <si>
    <t>MoneyGram QA Details</t>
  </si>
  <si>
    <t>Weekly Agent ScoreCards</t>
  </si>
  <si>
    <t>Medtronic</t>
  </si>
  <si>
    <t>Canon</t>
  </si>
  <si>
    <t>JL OCCO Exeter</t>
  </si>
  <si>
    <t>JL OCCO Plymouth</t>
  </si>
  <si>
    <t>All</t>
  </si>
  <si>
    <t>Attrition Report</t>
  </si>
  <si>
    <t>Telephony Dashboard</t>
  </si>
  <si>
    <t>Login-Logout</t>
  </si>
  <si>
    <t>Wyndham Invoice</t>
  </si>
  <si>
    <t>JustEat</t>
  </si>
  <si>
    <t>JustEat Agent Dashboard</t>
  </si>
  <si>
    <t>JustEat Billable Time</t>
  </si>
  <si>
    <t>JustEat GlidePath</t>
  </si>
  <si>
    <t>JustEat QA Details</t>
  </si>
  <si>
    <t>Bosch SEN Non-Call Report</t>
  </si>
  <si>
    <t>Bosch SEB Non-Call Report</t>
  </si>
  <si>
    <t>Bosch SEN Interval Report</t>
  </si>
  <si>
    <t>SEB &amp; SEN Response report</t>
  </si>
  <si>
    <t>Bosch 2020 Upload</t>
  </si>
  <si>
    <t>Bosch Agent Productivity Report</t>
  </si>
  <si>
    <t>Bosch Daily Dashboard + CSAT</t>
  </si>
  <si>
    <t>Brother Daily Dashboard</t>
  </si>
  <si>
    <t>Brother GMR</t>
  </si>
  <si>
    <t>Brother 2020 Upload</t>
  </si>
  <si>
    <t xml:space="preserve"> Brother/Bosch CMSR</t>
  </si>
  <si>
    <t>Brother/Bosch</t>
  </si>
  <si>
    <t>JustEat Agent Unavailable Time</t>
  </si>
  <si>
    <t>Medtronic MI</t>
  </si>
  <si>
    <t>Canon MI</t>
  </si>
  <si>
    <t>Absence Reporting (Coventry)</t>
  </si>
  <si>
    <t>GMR's</t>
  </si>
  <si>
    <t>Smart</t>
  </si>
  <si>
    <t>JL Absence Database</t>
  </si>
  <si>
    <t>JL Telephony Database</t>
  </si>
  <si>
    <t>YF</t>
  </si>
  <si>
    <t>HMD Agent Breaks</t>
  </si>
  <si>
    <t>Automated process</t>
  </si>
  <si>
    <t>Currently not maintained by CRT</t>
  </si>
  <si>
    <t>HMD Agent Productivity</t>
  </si>
  <si>
    <t>Philips</t>
  </si>
  <si>
    <t>TPV</t>
  </si>
  <si>
    <t>Philips TPV MTD</t>
  </si>
  <si>
    <t>Philips CL MTD</t>
  </si>
  <si>
    <t>Documentation- ONE Note</t>
  </si>
  <si>
    <t>Bosch SEB Interval Report</t>
  </si>
  <si>
    <t>Validation Date</t>
  </si>
  <si>
    <t>Validation by</t>
  </si>
  <si>
    <t>D&amp;G Weekly Kronos Report</t>
  </si>
  <si>
    <t>Thu/Weekly</t>
  </si>
  <si>
    <t>D&amp;G Agent Commission Dashboard</t>
  </si>
  <si>
    <t>TV Troubleshoot Dashboard</t>
  </si>
  <si>
    <t>Monday</t>
  </si>
  <si>
    <t>TV Troubleshoot Dashboard TM's Edition</t>
  </si>
  <si>
    <t>TV Troubleshoot 2020</t>
  </si>
  <si>
    <t>EOL</t>
  </si>
  <si>
    <t>Brother Agent Productivity</t>
  </si>
  <si>
    <t>KN</t>
  </si>
  <si>
    <t>Elavon</t>
  </si>
  <si>
    <t>HMD Bogota Agent Productivity</t>
  </si>
  <si>
    <t>HMD Bogota Dashboard</t>
  </si>
  <si>
    <t>HMD China Dashboard</t>
  </si>
  <si>
    <t>SD</t>
  </si>
  <si>
    <t>D&amp;G 2020</t>
  </si>
  <si>
    <t>D&amp;G Agent Productivity</t>
  </si>
  <si>
    <t>Media Markt</t>
  </si>
  <si>
    <t>Media Markt Accruals</t>
  </si>
  <si>
    <t>Media Markt Altitude</t>
  </si>
  <si>
    <t xml:space="preserve">HP </t>
  </si>
  <si>
    <t>HP</t>
  </si>
  <si>
    <t>NL Attrition Report</t>
  </si>
  <si>
    <t>NL Absence Report</t>
  </si>
  <si>
    <t>NL Site Tracker</t>
  </si>
  <si>
    <t>HP Scorecard</t>
  </si>
  <si>
    <t>HP FTA Report</t>
  </si>
  <si>
    <t>Report List Group</t>
  </si>
  <si>
    <t>COV SH</t>
  </si>
  <si>
    <t>EXE/PLY Remote PC</t>
  </si>
  <si>
    <t>KING</t>
  </si>
  <si>
    <t>NCL</t>
  </si>
  <si>
    <t>Active</t>
  </si>
  <si>
    <t>Rate Dashboard</t>
  </si>
  <si>
    <t>replaces the old Commissions report</t>
  </si>
  <si>
    <t>Exeter/Plymouth</t>
  </si>
  <si>
    <t>Absence Report</t>
  </si>
  <si>
    <t>SIOX Dashboard</t>
  </si>
  <si>
    <t>JL TS MI report</t>
  </si>
  <si>
    <t>Flybe</t>
  </si>
  <si>
    <t>Plymouth</t>
  </si>
  <si>
    <t>JL CS MI Dashboard</t>
  </si>
  <si>
    <t>Monthly Absence LTS / CAPMAN</t>
  </si>
  <si>
    <t>JL EHT MI</t>
  </si>
  <si>
    <t>Monthly Absence LTS / CAPMAN / Site Tracker</t>
  </si>
  <si>
    <t>Gradbay Telephony Performance</t>
  </si>
  <si>
    <t>Maxim</t>
  </si>
  <si>
    <t>TCD Report</t>
  </si>
  <si>
    <t>2020 - RN</t>
  </si>
  <si>
    <t>2020 - SIOX</t>
  </si>
  <si>
    <t>EMT Scheduled reports - CRT Remote</t>
  </si>
  <si>
    <t>D &amp; G</t>
  </si>
  <si>
    <t>Daily MI &amp; Agent Report - Filezilla</t>
  </si>
  <si>
    <t>Plymouth EMT FTE Updater</t>
  </si>
  <si>
    <t>Maxim EMT FTE Updater</t>
  </si>
  <si>
    <t>Exeter EMT FTE Updater</t>
  </si>
  <si>
    <t>SOF/VAR</t>
  </si>
  <si>
    <t>Mobilcom Productive Time</t>
  </si>
  <si>
    <t>JustEat Interval Billable Time</t>
  </si>
  <si>
    <t>Mobilcom PresenseForm vs System</t>
  </si>
  <si>
    <t>CMSR Monthly Report</t>
  </si>
  <si>
    <t>Lifescan LMS Report</t>
  </si>
  <si>
    <t>SIOX 2020 John Lewis</t>
  </si>
  <si>
    <t>EXE/PLY BO</t>
  </si>
  <si>
    <t>EXE/PLY SQL Server</t>
  </si>
  <si>
    <t>EXE/PLY VBM upload (Monday)</t>
  </si>
  <si>
    <t>PLY DnG Firezilla (Weekdays)</t>
  </si>
  <si>
    <t>EXE JL Troubleshoot Dashboard and 2020</t>
  </si>
  <si>
    <t>Eindhoven</t>
  </si>
  <si>
    <t>Agent bonuses</t>
  </si>
  <si>
    <t>Tosh, Flybe, JL</t>
  </si>
  <si>
    <t>HMD WFM Dashboard</t>
  </si>
  <si>
    <t>COV EP/NCL</t>
  </si>
  <si>
    <t>Tool Name</t>
  </si>
  <si>
    <t>Tool Owner</t>
  </si>
  <si>
    <t>Reporting Portfolio Skills Matrix - Tools</t>
  </si>
  <si>
    <t>Reporting Portfolio Skills Matrix - Reports</t>
  </si>
  <si>
    <t>Site(s)</t>
  </si>
  <si>
    <t>Campaign(s)</t>
  </si>
  <si>
    <t>Tool last modified</t>
  </si>
  <si>
    <t>Process Change tracker</t>
  </si>
  <si>
    <t>EXE, PLY, NCL, MNL</t>
  </si>
  <si>
    <t>Virgin Media</t>
  </si>
  <si>
    <t>Exeter Recruitment Tool</t>
  </si>
  <si>
    <t>Coaching Tracker</t>
  </si>
  <si>
    <t>EXE</t>
  </si>
  <si>
    <t>31/05/2019</t>
  </si>
  <si>
    <t>Combined Login Tool</t>
  </si>
  <si>
    <t>VM IT Issue Logger</t>
  </si>
  <si>
    <t>HMD QM Logger</t>
  </si>
  <si>
    <t>Wyndham QM Logger</t>
  </si>
  <si>
    <t>JustEat Vacation Planner</t>
  </si>
  <si>
    <t>JustEat PresenseForm vs System</t>
  </si>
  <si>
    <t>John Lewis TCD</t>
  </si>
  <si>
    <t>Campaign Analyst</t>
  </si>
  <si>
    <t>ACS Report</t>
  </si>
  <si>
    <t>Leads</t>
  </si>
  <si>
    <t>Wrong Queue Cases</t>
  </si>
  <si>
    <t>JC Reports</t>
  </si>
  <si>
    <t>Complaints vs Enquiries</t>
  </si>
  <si>
    <t>Sofia Case Report</t>
  </si>
  <si>
    <t>Reflect Calls Report</t>
  </si>
  <si>
    <t>Siox Data to BO dashboard</t>
  </si>
  <si>
    <t>BE cases split - NL/FR</t>
  </si>
  <si>
    <t>FR email trends</t>
  </si>
  <si>
    <t>Complaints FR Meter</t>
  </si>
  <si>
    <t>Dials (Out Marketing)</t>
  </si>
  <si>
    <t>Update meter orders + status OTVU115</t>
  </si>
  <si>
    <t>Siox measurment</t>
  </si>
  <si>
    <t>Siox Report</t>
  </si>
  <si>
    <t>DE MBR Campaigns deck</t>
  </si>
  <si>
    <t>Add new contats to DE campaigns</t>
  </si>
  <si>
    <t>Send Campaign Calendar</t>
  </si>
  <si>
    <t>New Campaign Setup</t>
  </si>
  <si>
    <t>Warsaw</t>
  </si>
  <si>
    <t>Poland</t>
  </si>
  <si>
    <t>Brother Interval Report</t>
  </si>
  <si>
    <t>HP Cases Report</t>
  </si>
  <si>
    <t>AS Watson</t>
  </si>
  <si>
    <t>KING Absence report</t>
  </si>
  <si>
    <t>Kingston Absence Report</t>
  </si>
  <si>
    <t>Automated BO Report</t>
  </si>
  <si>
    <t>DnG IPR Chart Report</t>
  </si>
  <si>
    <t>Ebay Billable Time</t>
  </si>
  <si>
    <t>Ebay Agent Dashboard</t>
  </si>
  <si>
    <t>Ebay BR Charts</t>
  </si>
  <si>
    <t>Ebay</t>
  </si>
  <si>
    <t>COV</t>
  </si>
  <si>
    <t>Hunterboot</t>
  </si>
  <si>
    <t>HP SAPOS</t>
  </si>
  <si>
    <t>Ebay CSAT RCA table</t>
  </si>
  <si>
    <t>Ebay iCoach upload</t>
  </si>
  <si>
    <t>Wyndham iCoach Upload</t>
  </si>
  <si>
    <t>HMD iCoach Upload</t>
  </si>
  <si>
    <t>MoneyGram iCoach Upload</t>
  </si>
  <si>
    <t>Mobilcom iCoach Upload</t>
  </si>
  <si>
    <t>Klarmobil iCoach Upload</t>
  </si>
  <si>
    <t>JustEat iCoach Upload</t>
  </si>
  <si>
    <t>Multisite</t>
  </si>
  <si>
    <t>Snowdon/SMART/Waverly</t>
  </si>
  <si>
    <t>JustEat Ireland Dashboard</t>
  </si>
  <si>
    <t>JustEat Lunch Vauchers</t>
  </si>
  <si>
    <t>JustEat Menu Dashboard</t>
  </si>
  <si>
    <t>JustEat WhiteLabel Dashboard</t>
  </si>
  <si>
    <t xml:space="preserve">COV </t>
  </si>
  <si>
    <t>NICE Quality report</t>
  </si>
  <si>
    <t>No</t>
  </si>
  <si>
    <t>VISA</t>
  </si>
  <si>
    <t xml:space="preserve">Hunterboot </t>
  </si>
  <si>
    <t>TSC</t>
  </si>
  <si>
    <t>HMD TSC Dashboard</t>
  </si>
  <si>
    <t>HMD TSC Agent Productivity</t>
  </si>
  <si>
    <t>Discontinued</t>
  </si>
  <si>
    <t>Ebay Agent Breaks</t>
  </si>
  <si>
    <t>JustEat Serbia Dashboard</t>
  </si>
  <si>
    <t>JustEat UK Dashboard</t>
  </si>
  <si>
    <t>DD</t>
  </si>
  <si>
    <t>Visa MI &amp; TM reports - OPS</t>
  </si>
  <si>
    <t>Secret Escapes</t>
  </si>
  <si>
    <t>Secret Escapes Dashboard</t>
  </si>
  <si>
    <t>PSA MI</t>
  </si>
  <si>
    <t>PSA Agent Productivity</t>
  </si>
  <si>
    <t>PSA Quality</t>
  </si>
  <si>
    <t>PSA Repeat Callers</t>
  </si>
  <si>
    <t>QMR</t>
  </si>
  <si>
    <t>PSA</t>
  </si>
  <si>
    <t>Tier 2 &amp; 3 DHSC</t>
  </si>
  <si>
    <t>NHS - Track and Trace MI - EXTERNAL</t>
  </si>
  <si>
    <t>NHS - Track and Trace MI</t>
  </si>
  <si>
    <t>Synergy_Agent_Activity</t>
  </si>
  <si>
    <t>NHS - Track and Trace Synergy</t>
  </si>
  <si>
    <t>NHS - Track and Trace Synergy - Tier 2</t>
  </si>
  <si>
    <t>DHSC TnT</t>
  </si>
  <si>
    <t>GT</t>
  </si>
  <si>
    <t>EA</t>
  </si>
  <si>
    <t>VS</t>
  </si>
  <si>
    <t>Invoicing - LFS</t>
  </si>
  <si>
    <t>Bonuses - Agents &amp; TM's</t>
  </si>
  <si>
    <t>Complaints vs enquiries</t>
  </si>
  <si>
    <t>Ad Hoc</t>
  </si>
  <si>
    <t>By-Weekly</t>
  </si>
  <si>
    <t>German Insurance Campaign</t>
  </si>
  <si>
    <t>HCP vs. Customer Report</t>
  </si>
  <si>
    <t>Covid LifeScan Global Report</t>
  </si>
  <si>
    <t>NA</t>
  </si>
  <si>
    <t>Video training</t>
  </si>
  <si>
    <t>PSA Agent Bonus</t>
  </si>
  <si>
    <t>Documentation will be done after C1st switch in Q2 2021</t>
  </si>
  <si>
    <t>IT Tracker</t>
  </si>
  <si>
    <t>VM</t>
  </si>
  <si>
    <t>Swansea</t>
  </si>
  <si>
    <t>Newcastle</t>
  </si>
  <si>
    <t>WIP</t>
  </si>
  <si>
    <t>Temporary Campaign, Ad-hoc setup</t>
  </si>
  <si>
    <t>Klarmobil Vacation Planner</t>
  </si>
  <si>
    <t>Mobilcom Vacation Planner</t>
  </si>
  <si>
    <t>JustEat Productive Hours</t>
  </si>
  <si>
    <t>JustEat Schedule Adherence</t>
  </si>
  <si>
    <t>JustEat Login Adherence tool</t>
  </si>
  <si>
    <t>JustEat PF extractor</t>
  </si>
  <si>
    <t>JustEat CSAT RCA tool</t>
  </si>
  <si>
    <t>Ebay Skill Dashboard</t>
  </si>
  <si>
    <t>Ebay CSAT RCA tool</t>
  </si>
  <si>
    <t>Ebay Vacation Planner</t>
  </si>
  <si>
    <t>Ebay NBH tool</t>
  </si>
  <si>
    <t>Ebay Agent Bonuses</t>
  </si>
  <si>
    <t>Hunter Boot MI/Agent Snapshot</t>
  </si>
  <si>
    <t>HP Agent Performance Report</t>
  </si>
  <si>
    <t>HP Scorecard Report</t>
  </si>
  <si>
    <t>HP BIG Scorecard Report</t>
  </si>
  <si>
    <t>Call Typology</t>
  </si>
  <si>
    <t>Cloud Report</t>
  </si>
  <si>
    <t>Call Pattern Report</t>
  </si>
  <si>
    <t>NPS Overview</t>
  </si>
  <si>
    <t>NPS Agent Dashboard</t>
  </si>
  <si>
    <t>CMSR / PBI</t>
  </si>
  <si>
    <t>Media Markt VDN</t>
  </si>
  <si>
    <t>Repeated Calls Dashboard</t>
  </si>
  <si>
    <t>Sonderborg Agent Productivity</t>
  </si>
  <si>
    <t>DK Attrition Report</t>
  </si>
  <si>
    <t>OM Daily Report</t>
  </si>
  <si>
    <t>Monitoring Report</t>
  </si>
  <si>
    <t>Abbott Lateness</t>
  </si>
  <si>
    <t>Daily Attendance and KPI Tracker</t>
  </si>
  <si>
    <t>Abbott</t>
  </si>
  <si>
    <t>Copenhagen</t>
  </si>
  <si>
    <t>Copenhagen, Sonderborg</t>
  </si>
  <si>
    <t>Denmark</t>
  </si>
  <si>
    <r>
      <t>Quality - EMEA/Canada/</t>
    </r>
    <r>
      <rPr>
        <sz val="11"/>
        <color rgb="FFFF0000"/>
        <rFont val="Calibri"/>
        <family val="2"/>
        <scheme val="minor"/>
      </rPr>
      <t>USA/LATAM</t>
    </r>
  </si>
  <si>
    <r>
      <t>OneTouch Backoffice Dashboard/</t>
    </r>
    <r>
      <rPr>
        <sz val="11"/>
        <color rgb="FFFF0000"/>
        <rFont val="Calibri"/>
        <family val="2"/>
        <scheme val="minor"/>
      </rPr>
      <t>Cases by Agents</t>
    </r>
  </si>
  <si>
    <t>LS MultiGroup</t>
  </si>
  <si>
    <t>SS</t>
  </si>
  <si>
    <t>PSA Agent Quality</t>
  </si>
  <si>
    <t>PSA CSAT Comparison</t>
  </si>
  <si>
    <t>PSA Daily Stats</t>
  </si>
  <si>
    <t>PSA 2020 Upload</t>
  </si>
  <si>
    <t>PSA Weekly Business Review - UK</t>
  </si>
  <si>
    <t>PSA Weekly Business Review - FR</t>
  </si>
  <si>
    <t>PSA Weekly Business Review - BR</t>
  </si>
  <si>
    <t>PSA Agent Score</t>
  </si>
  <si>
    <t>PSA SIOX</t>
  </si>
  <si>
    <t>PSA SLA raw</t>
  </si>
  <si>
    <t>HP Weekly / MBR / QBR</t>
  </si>
  <si>
    <t>Brother CSat</t>
  </si>
  <si>
    <t>Medtronic NICE Quality</t>
  </si>
  <si>
    <t>Brother Invoice</t>
  </si>
  <si>
    <t>NCL/COV</t>
  </si>
  <si>
    <t>Newcastle/Coventry</t>
  </si>
  <si>
    <t>Visa</t>
  </si>
  <si>
    <t>First date of sending the report - 21st of Jun 2021</t>
  </si>
  <si>
    <t>Virgin Media MI Report</t>
  </si>
  <si>
    <t>Shark Ninja</t>
  </si>
  <si>
    <t>ST</t>
  </si>
  <si>
    <t>29/10/2020;21/07/2021</t>
  </si>
  <si>
    <t>EA;ST</t>
  </si>
  <si>
    <t>29/10/2020;15/09/2021</t>
  </si>
  <si>
    <t>21/07/2021;15/09/2021</t>
  </si>
  <si>
    <t>As of 23rd August 2021 the report is sending directly via BO publication</t>
  </si>
  <si>
    <t>As of 07th of  Sep SNOWDON CSAT is no longer active;</t>
  </si>
  <si>
    <t>29/10/2020;11/10/2021</t>
  </si>
  <si>
    <t>25/11/2020;11/10/2021</t>
  </si>
  <si>
    <t>AY</t>
  </si>
  <si>
    <t>BTS OM Daily Report</t>
  </si>
  <si>
    <t>BTS</t>
  </si>
  <si>
    <t>Documentation Accuracy</t>
  </si>
  <si>
    <t>CTP with no Child Case</t>
  </si>
  <si>
    <t>Repeated Callers Nordics</t>
  </si>
  <si>
    <t>Repeated Callers Nordics - Internal</t>
  </si>
  <si>
    <t>Logged vs Anwered by Agent</t>
  </si>
  <si>
    <t>Short Calls</t>
  </si>
  <si>
    <t>OCP Scorecard</t>
  </si>
  <si>
    <t>Daily PS Scorecard</t>
  </si>
  <si>
    <t>iCoach Data</t>
  </si>
  <si>
    <t>Nordics Interval Report</t>
  </si>
  <si>
    <t>Nordics Call Drivers</t>
  </si>
  <si>
    <t>Daily Scorecard</t>
  </si>
  <si>
    <t>Unity Emails</t>
  </si>
  <si>
    <t>Chatbot Dashboard</t>
  </si>
  <si>
    <t>Weekly FTE Tracker</t>
  </si>
  <si>
    <t>Weekly KPI Tracker</t>
  </si>
  <si>
    <t>LMS Report</t>
  </si>
  <si>
    <t>Biweekly</t>
  </si>
  <si>
    <t>TNT</t>
  </si>
  <si>
    <t>Hyderabad</t>
  </si>
  <si>
    <t>HP Hyderabad Dashboard</t>
  </si>
  <si>
    <t>SSE Backdating Transferred Report</t>
  </si>
  <si>
    <t>SSE Backdating Report_Sai</t>
  </si>
  <si>
    <t>SSE NPS Reports</t>
  </si>
  <si>
    <t>SSE Client Report</t>
  </si>
  <si>
    <t>SSE Backdating Skill Report</t>
  </si>
  <si>
    <t>Shark Ninja NICE Quality Report/Shark Ninja NICE Quality Report BO</t>
  </si>
  <si>
    <t>Hunter Boot Insight Report/Hunter Boot Insight Report MMM-YY/Raw Data Report</t>
  </si>
  <si>
    <t>SSE Backdating Transferred Calls via ACCESS has started from 24th of Feb 21; SSE Backdating Transferred Calls Report via SQL has started from 10th of Sep 21;</t>
  </si>
  <si>
    <t>SSE Backdating Agent Report.xlsb has stated from 3rd of Dec 20; SSE Backdating Agent Report Raw Data.csv has started from 29th of June 21;</t>
  </si>
  <si>
    <t>SSE Backdating Agent Report/SSE Backdating Agent Report  Raw Data</t>
  </si>
  <si>
    <t>29/10/2020;29/10/2021</t>
  </si>
  <si>
    <t>PR</t>
  </si>
  <si>
    <t>NN</t>
  </si>
  <si>
    <t>BM</t>
  </si>
  <si>
    <r>
      <t>Quality - Trending reports - EMEA/Canada/</t>
    </r>
    <r>
      <rPr>
        <sz val="11"/>
        <color rgb="FFFF0000"/>
        <rFont val="Calibri"/>
        <family val="2"/>
        <scheme val="minor"/>
      </rPr>
      <t>USA/LATAM</t>
    </r>
  </si>
  <si>
    <t>Quality Total Call Drivers (Alessandra Report)</t>
  </si>
  <si>
    <t xml:space="preserve">CEX Analyses </t>
  </si>
  <si>
    <t>Business account cases - all countries MBR</t>
  </si>
  <si>
    <t>Business account cases - FR</t>
  </si>
  <si>
    <t>Warranty Replacement UK IE</t>
  </si>
  <si>
    <t>Daily leads report - automated</t>
  </si>
  <si>
    <t>BR Control Solution Orders</t>
  </si>
  <si>
    <t>BR Delica Orders</t>
  </si>
  <si>
    <t>BR Orders with return product</t>
  </si>
  <si>
    <t>Back office dashboard</t>
  </si>
  <si>
    <t>Daily, Weekly, Monthly</t>
  </si>
  <si>
    <t>BR Charts - EMEA/Canada</t>
  </si>
  <si>
    <t>Wyndham Daily Results</t>
  </si>
  <si>
    <t>HMD BR Charts</t>
  </si>
  <si>
    <t xml:space="preserve">MoneyGram Team Skill Dashboard </t>
  </si>
  <si>
    <t>Moneygram Billable File</t>
  </si>
  <si>
    <t>Moneygram Bonus File</t>
  </si>
  <si>
    <t>Epson</t>
  </si>
  <si>
    <t>Epson Daily Report</t>
  </si>
  <si>
    <t>Epson Team Performance Report</t>
  </si>
  <si>
    <t>Epson Client View report</t>
  </si>
  <si>
    <t>Epson iCoach Upload</t>
  </si>
  <si>
    <t>J&amp;J Consumer Dashboard</t>
  </si>
  <si>
    <t>J&amp;J CSAT Analysis</t>
  </si>
  <si>
    <t>Ring Central</t>
  </si>
  <si>
    <t>RingCentral Dashboard</t>
  </si>
  <si>
    <t>DE Orders 2021</t>
  </si>
  <si>
    <t>TNT Service Hub / MI</t>
  </si>
  <si>
    <t>UKVI - HMPO Dashboard Agent Report</t>
  </si>
  <si>
    <t>First date of sending the scheduled BO report - 28th of Jun 2021; First date of sending the dashboard report - 26th of Jul 2021; Start sending the reports twice a week from 27th of Dec 21;</t>
  </si>
  <si>
    <t>SP</t>
  </si>
  <si>
    <t>Home Office-UK</t>
  </si>
  <si>
    <t>Smart/Snowdon/Heritage/Collections/Home Services/Waverley/eServices/Warm Home Discount Inbound (WHD)/HOCS/OVO Inbound/Rejections</t>
  </si>
  <si>
    <t>As of April Collections is no longer active; Home Services is no longer active; As of 20th of Nov 20 Warm Home Discount Inbound has started; As of 24th of Nov 20 e Services is no longer active; As of 05th of April WHDI is no longer active, tentative ETA to resume WHD operations is towards end of Sep (It’s just seasonal support so will restart later in the year (keep the report template as you an re-use it later in 2021!)); As of 03rd of May new LOB HOCS starts; As of beginning of Sep 2021 WHDI will be resumed; As of beginning of Sep 2021 WHDI was resumed; As of 29th of Nov 2021 new LOB OVO Inbound start; As of 10th of Jan 2022 new LOB Rejection start;</t>
  </si>
  <si>
    <t>As of 22nd of Jul 2021 Miro told me to stop sending the report because the project has been separated for DA (Domestic Appliances) and PH (Personal Health). All data and forecasts for Brazil are separated for DA and PH. I am waiting for Miro's feedback when all data and forecasts for other countries (except Brazil) are separated too and then I will start sending the report for DA and one for PH; On the 11th of Jan 2022 Milena Gurova told me that for now the forecasts can't be splitted for DA &amp; PH, Milena sends dashboards to the client and will give me feedback if I have to start sending the report again;</t>
  </si>
  <si>
    <t>VA</t>
  </si>
  <si>
    <t>ELAVON MI Report/Elavon Report via Power BI</t>
  </si>
  <si>
    <t>SSE Productivity Report via Power BI</t>
  </si>
  <si>
    <t>As of 06th of Apr 2022 the report is refreshing directly in Power BI</t>
  </si>
  <si>
    <t>As of April Collections is no longer active; Home Services is no longer active; As of 20th of Nov 20 Warm Home Discount Inbound has started; As of 24th of Nov 20 e Services is no longer active; As of 05th of April WHDI is no longer active, tentative ETA to resume WHD operations is towards end of Sep (It’s just seasonal support so will restart later in the year (keep the report template as you an re-use it later in 2021!)); As of 03rd of May new LOB HOCS starts; As of beginning of Sep 2021 WHDI will be resumed; As of beginning of Sep 2021 WHDI was resumed; As of 29th of Nov 2021 new LOB OVO Inbound start; As of 10th of Jan 2022 new LOB Rejection start; As of 28th of Jan 2022 the report is refreshing in Power BI as well;</t>
  </si>
  <si>
    <t>As of 10th of Mar 2022 the report is refreshing in Power BI as well</t>
  </si>
  <si>
    <t>SSE Productivity Report in Powe BI; As of 15th of Dec 2021 the report is refreshing directly in Power BI</t>
  </si>
  <si>
    <t>John Lewis &amp; Waitrose</t>
  </si>
  <si>
    <t>As of 12th of May 2022 the report is refreshing directly in Power BI</t>
  </si>
  <si>
    <t>SSE MI Combined Report/SSE MI Combined Report via Power BI</t>
  </si>
  <si>
    <t>SSE Interval Combined Report</t>
  </si>
  <si>
    <t>NR</t>
  </si>
  <si>
    <t>Video training; Hovis and SSE are no longer active; As of 29th of Jan 2021 D&amp;G is no longer active (e-mail from trevor.shirrefs@sitel.com); As of end of Mar 21 VISA GMR is no longer active (e-mail from Lynne.Pitchford@sitel.com); As of 1st of June 2021 it is not required from me to update Sotheby's GMR (e-mail from Deborah); As of 26th of Jan 22 it is not required from me to update Shark Ninja GMR (e-mails from Louise Rowe &lt;louise.rowe@sitel.com&gt; and Deborah Harrop &lt;deborah.harrop@sitel.com&gt;), it was the last  GMR Report that I had to update every Tuesday;
21/6/2022 - Start updating the new GMR every Tuesday - OVO GMR - 2022.xlsb</t>
  </si>
  <si>
    <t>D&amp;G/Hovis/Sotheby's/SSE/Visa/Shark Ninja/OVO</t>
  </si>
  <si>
    <t>29/10/2020;15/09/2021;05/07/2022</t>
  </si>
  <si>
    <t>C1st Cases Raw Data</t>
  </si>
  <si>
    <t>PSA Volume Report</t>
  </si>
  <si>
    <t>Centrical Data upload</t>
  </si>
  <si>
    <t>PSA Sizing Emails</t>
  </si>
  <si>
    <t>Open Cases</t>
  </si>
  <si>
    <t>Invoicing</t>
  </si>
  <si>
    <t>PSA Weekly Business Review - Almelo</t>
  </si>
  <si>
    <t>PBI - Productivity</t>
  </si>
  <si>
    <t>PBI - Call Drivers</t>
  </si>
  <si>
    <t>PPI - Varna Billable</t>
  </si>
  <si>
    <t>Genesys</t>
  </si>
  <si>
    <t>Manchester</t>
  </si>
  <si>
    <t>Sheffield</t>
  </si>
  <si>
    <t>Stockton</t>
  </si>
  <si>
    <t>Stratford</t>
  </si>
  <si>
    <t>The sending of the report started on 30th of Nov 2021; As of 13th Jul 2022 the sending of this return was stopped - email notification from Sarah.Ellis-Townend@homeoffice.gov.uk and Simon.Saunders@sitel.com</t>
  </si>
  <si>
    <t>John Lewis Dakota</t>
  </si>
  <si>
    <t xml:space="preserve">John Lewis Dakota Flash Report </t>
  </si>
  <si>
    <t>HP Agent Performance</t>
  </si>
  <si>
    <t>SSE Absence Report via Power BI/SSE Absence Detailed Report via Power BI</t>
  </si>
  <si>
    <t>Virgin Media Absence Report  via Power BI/Virgin Media Absence Detailed Report  via Power BI</t>
  </si>
  <si>
    <t>JL &amp; Waitrose Worked Hours Report via Power BI</t>
  </si>
  <si>
    <t>29/10/2020;29/10/2021; 10/10/2022</t>
  </si>
  <si>
    <t>As of 01st of Apr 2021 domestic service has moved to another provider (e-mail from Stephen May &lt;stephen.may@sitel.com&gt;); International Visa end of service was Tues 27th April 2021  (e-mail from Manvir Atwal &lt;Manvir.Atwal@sitel.com&gt;)</t>
  </si>
  <si>
    <t>SSE Backdating Report_Sai.xlsx has started from 26th of Nov 20; As of 29th of Aug 2022, the report is sending via e-mail;</t>
  </si>
  <si>
    <t>29/10/2020;29/10/2021;28/01/2022</t>
  </si>
  <si>
    <t>29/10/2020;15/09/2021;10/03/2022</t>
  </si>
  <si>
    <t>Netherlands</t>
  </si>
  <si>
    <t>HP Eindhoven iCoach</t>
  </si>
  <si>
    <t>Delivery method</t>
  </si>
  <si>
    <t>BO</t>
  </si>
  <si>
    <t>WI link</t>
  </si>
  <si>
    <t>Report output link</t>
  </si>
  <si>
    <t>IEX</t>
  </si>
  <si>
    <t>RightNow</t>
  </si>
  <si>
    <t>Salesforce</t>
  </si>
  <si>
    <t>INNSO</t>
  </si>
  <si>
    <t>Automation %</t>
  </si>
  <si>
    <t>Fully automated</t>
  </si>
  <si>
    <t>Manual step to send to audience; waiting on reports to be avail in directory and then run the code; quick check on raw data files and then run</t>
  </si>
  <si>
    <t>Manual download of reports and then click a button to execute</t>
  </si>
  <si>
    <t>Half manual work</t>
  </si>
  <si>
    <t>Siox</t>
  </si>
  <si>
    <t>Avaya</t>
  </si>
  <si>
    <t>Git</t>
  </si>
  <si>
    <t>BO Report Name</t>
  </si>
  <si>
    <t>Report Location</t>
  </si>
  <si>
    <t>To</t>
  </si>
  <si>
    <t>CC</t>
  </si>
  <si>
    <t>Owner</t>
  </si>
  <si>
    <t>Note</t>
  </si>
  <si>
    <t>Task ID</t>
  </si>
  <si>
    <t>Comment</t>
  </si>
  <si>
    <t>UK KRONOS CSV</t>
  </si>
  <si>
    <t>Public Folders - &gt; STANDART - &gt; TIMEKEEPING</t>
  </si>
  <si>
    <t>UK</t>
  </si>
  <si>
    <t>for FPnA</t>
  </si>
  <si>
    <t>Telephony_Sitel_All_</t>
  </si>
  <si>
    <t>\REGION\OPS\EMEA\BULGARIA\Sofia\CRT\UK\Plymouth\PHE</t>
  </si>
  <si>
    <t>Multiple</t>
  </si>
  <si>
    <t>PHE</t>
  </si>
  <si>
    <t>Sophia.anonatau@sitel.com</t>
  </si>
  <si>
    <t>Martin Shunanov &lt;Martin.Shunanov@sitel.com&gt;</t>
  </si>
  <si>
    <t>t_uk_cs_hunter_tickets</t>
  </si>
  <si>
    <t>\Public Folders\CLIENT\COR OPS\HUNTER BOOT LIMITED TOTAL</t>
  </si>
  <si>
    <t>\\10.7.16.12\ssis\Data Sources\BO_COR</t>
  </si>
  <si>
    <t>t_uk_cs_hunter_interactions</t>
  </si>
  <si>
    <t>Stratford Unassigned/Unapproved Hours Daily (Report &amp; Publication)</t>
  </si>
  <si>
    <t>\REGION\OPS\EMEA\BULGARIA\Sofia\CRT\UK\Stratford\~Kronos Reports</t>
  </si>
  <si>
    <t>Replaced by standard UK report for all sites</t>
  </si>
  <si>
    <t>Exeter Unapproved Hours Weekly (Report &amp; Publication)</t>
  </si>
  <si>
    <t>\REGION\OPS\EMEA\BULGARIA\Sofia\CRT\UK\Exeter\~Kronos Reports</t>
  </si>
  <si>
    <t>Bianca Stratford &lt;Bianca.Stratford@sitel.com&gt;; Lydia Humphreys &lt;lydia.humphreys@sitel.com&gt;</t>
  </si>
  <si>
    <t>Stratford Sickness Hours Weekly (Report &amp; Publication)</t>
  </si>
  <si>
    <t>Alita Clack &lt;alita.clack@sitel.com&gt;; Sarah Berry &lt;Sarah.Berry@sitel.com&gt;; Carly Holtom &lt;Carly.Holtom@sitel.com&gt;</t>
  </si>
  <si>
    <t>Paused 2020</t>
  </si>
  <si>
    <t>Stratford Sickness Hours MTD (Report &amp; Publication)</t>
  </si>
  <si>
    <t>silviya.petrova@sitel.com</t>
  </si>
  <si>
    <t>Split Data</t>
  </si>
  <si>
    <t>\REGION\OPS\EMEA\BULGARIA\Sofia\CRT\Denmark</t>
  </si>
  <si>
    <t>Denmark, Copenhagen</t>
  </si>
  <si>
    <t>\\10.7.16.12\ssis\Data Sources\CS ABBOTT</t>
  </si>
  <si>
    <t>Sitel2020 upload Voyage Prive (Exeter UK CS etc)</t>
  </si>
  <si>
    <t>-</t>
  </si>
  <si>
    <t>Automatic Uplaod to 2020</t>
  </si>
  <si>
    <t>Stopped 01/05/2019 as the campaign is no longer active</t>
  </si>
  <si>
    <t>Sitel2020 upload John Lewis (Newcastle Customer Service)</t>
  </si>
  <si>
    <t>Stopped 22/10/2019, no JL in NCL for some time now</t>
  </si>
  <si>
    <t>Sitel2020 upload John Lewis (Kingston Inbound CS)</t>
  </si>
  <si>
    <t>Kingston</t>
  </si>
  <si>
    <t>Stpped, no JL in Kingston</t>
  </si>
  <si>
    <t>SSE Maxim Agent Data</t>
  </si>
  <si>
    <t>\REGION\OPS\EMEA\BULGARIA\Sofia\CRT\UK\Maxim\SSE</t>
  </si>
  <si>
    <t>\\GB694K12FPS01\Client$\SSE\Team Manager</t>
  </si>
  <si>
    <t>PSA VDN Interval - Daily</t>
  </si>
  <si>
    <t>\REGION\OPS\EMEA\BULGARIA\Sofia\CRT\CS PSA</t>
  </si>
  <si>
    <t>sandeep.parsotam@ext.mpsa.com</t>
  </si>
  <si>
    <t>PSA migrated to Genesys and do not use Avaya anymore</t>
  </si>
  <si>
    <t>PSA Transferred Calls Daily - Richie</t>
  </si>
  <si>
    <t>richard.harris@sitel.com</t>
  </si>
  <si>
    <t>PSA Split Interval - Daily</t>
  </si>
  <si>
    <t>Sandeep Parsotam &lt;sandeep.parsotam@ext.mpsa.com&gt;; benjamin.steed@ext.mpsa.com</t>
  </si>
  <si>
    <t>PSA Repeat Callers - Daily</t>
  </si>
  <si>
    <t>Gurmeet Dhillon &lt;Gurmeet.Dhillon@sitel.com&gt;; David Hitching &lt;David.Hitching@sitel.com&gt;; Kate Reynolds &lt;Kate.Reynolds@sitel.com&gt;</t>
  </si>
  <si>
    <t>PSA NICE Quality Report</t>
  </si>
  <si>
    <t>\\10.7.16.12\ssis\Data Sources\CS PSA</t>
  </si>
  <si>
    <t>PSA Interval Split Dashboard - Coventry</t>
  </si>
  <si>
    <t>PSA Agent Unmapped CMS Login Report</t>
  </si>
  <si>
    <t>Matheus Kuroiwa &lt;Matheus.Kuroiwa@sitel.com&gt;; Yousra El Azzouzi &lt;YOUSRA.ELAZZOUZI@sitel.com&gt;; Carolina Thomaz &lt;Carolina.Thomaz@sitel.com&gt;; Edith Pegon Meur &lt;Edith.PegonMeur@sitel.com&gt;; Gurmeet Dhillon &lt;Gurmeet.Dhillon@sitel.com&gt;; Taha Ouahib &lt;Taha.Ouahib@sitel.com&gt;; David Hitching &lt;David.Hitching@sitel.com&gt;</t>
  </si>
  <si>
    <t>PSA Agent Report - Invoice Backup - Month End</t>
  </si>
  <si>
    <t>\\eu974k12fps02.emea.sitel-world.net\psa$\PSA Daily Reports\Invoice</t>
  </si>
  <si>
    <t>Plymouth Unassigned/Unapproved Hours Daily (Report &amp; Publication)</t>
  </si>
  <si>
    <t>\REGION\OPS\EMEA\BULGARIA\Sofia\CRT\UK\Plymouth\~Kronos Reports</t>
  </si>
  <si>
    <t>DL – GB645 Training &lt;DL-GB645Training@sitel.com&gt;; DL – GB645 John Lewis CS Team Managers &lt;DL-GB645JohnLewisCSTeamManagers@sitel.com&gt;; DL – GB645 John Lewis CS Operations Managers &lt;DL-GB645JohnLewisCSOperationsManagers@sitel.com&gt;; Plymouth D&amp;G Team Managers &lt;PlymouthD&amp;GTeamManagers@sitel.com&gt;</t>
  </si>
  <si>
    <t>Sam Goss &lt;Sam.Goss@sitel.com&gt;; Cameron Phillips &lt;Cameron.Phillips@sitel.com&gt;; Daniel Ellis &lt;Daniel.Ellis@sitel.com&gt;; Nathian Carnall &lt;nathian.carnall@sitel.com&gt;; Daniel Piper &lt;Daniel.Piper@sitel.com&gt;; Sharon Cox &lt;Sharon.Cox@sitel.com&gt;; Paul Faulkner &lt;Paul.Faulkner@sitel.com&gt;</t>
  </si>
  <si>
    <t>PSA Agent Report - Invoice Backup</t>
  </si>
  <si>
    <t>Plymouth Unapproved Hours Weekly (Report &amp; Publication)</t>
  </si>
  <si>
    <t>Sam Goss &lt;Sam.Goss@sitel.com&gt;; Cameron Phillips &lt;Cameron.Phillips@sitel.com&gt;</t>
  </si>
  <si>
    <t>Plymouth Sickness Hours Weekly (Report &amp; Publication)</t>
  </si>
  <si>
    <t>Plymouth Sickness Hours MTD (Report &amp; Publication)</t>
  </si>
  <si>
    <t>Sam.goss@sitel.com; lydia.humphreys@sitel.com</t>
  </si>
  <si>
    <t>Plymouth JL Calls Weekly VBM Report</t>
  </si>
  <si>
    <t>\REGION\OPS\EMEA\BULGARIA\Sofia\CRT\UK\Plymouth\John Lewis</t>
  </si>
  <si>
    <t>Mailbox John Lewis Dandi &lt;johnlewisdandi@sitel.com&gt;; Clive Barber &lt;Clive.Barber@sitel.com&gt;</t>
  </si>
  <si>
    <t>Plymouth Hours Per Agent Weekly (Report &amp; Publication)</t>
  </si>
  <si>
    <t>paused</t>
  </si>
  <si>
    <t>Plymouth Holiday Hours Per Agent Weekly</t>
  </si>
  <si>
    <t>Lydia Humphreys &lt;lydia.humphreys@sitel.com&gt;</t>
  </si>
  <si>
    <t>PL HP 2020 Agent Index</t>
  </si>
  <si>
    <t>Public Folders - &gt; REGION -&gt; OPS -&gt; EMEA -&gt; BULGARIA -&gt; Sofia -&gt; CRT -&gt; NL -&gt; Schedule</t>
  </si>
  <si>
    <t>CRT</t>
  </si>
  <si>
    <t>Plymouth Absence Report Weekly</t>
  </si>
  <si>
    <t>\REGION\OPS\EMEA\BULGARIA\Sofia\CRT\UK\Plymouth</t>
  </si>
  <si>
    <t>richard.goodchild@sitel.com</t>
  </si>
  <si>
    <t>PHE - Corona V Interval Productivity - Daily (Report &amp; Publication)</t>
  </si>
  <si>
    <t>michaela.young@sitel.com; Sonya.Arcos@sitel.com</t>
  </si>
  <si>
    <t>Campaign Stopped 04/04/22 Mail from Debbie Johnson</t>
  </si>
  <si>
    <t>PHE - Corona V Interval - Hourly (Report &amp; Publication)</t>
  </si>
  <si>
    <t>Hourly</t>
  </si>
  <si>
    <t>Pay-From-Switch John Lewis - Weekly</t>
  </si>
  <si>
    <t>\REGION\OPS\EMEA\BULGARIA\Sofia\CRT\UK\Exeter\John Lewis</t>
  </si>
  <si>
    <t>UNIGRPEMEA_Dist_998_John_Lewis_Operations_Managers@sitel.com; DL-GB645JohnLewisCSOperationsManagers@sitel.com; kim.hanchet@sitel.com</t>
  </si>
  <si>
    <t>Stopped 24/08/2020, Kim Hanchet</t>
  </si>
  <si>
    <t>OM Survey</t>
  </si>
  <si>
    <t>OM Agent</t>
  </si>
  <si>
    <t>NL HP 2020 Agent Index</t>
  </si>
  <si>
    <t>NL FTE</t>
  </si>
  <si>
    <t>PHE - Corona V Interval - Daily (7 Days Rolling) (Report &amp; Publication)</t>
  </si>
  <si>
    <t>NI - Corona V Interval Productivity - Daily (Report &amp; Publication)</t>
  </si>
  <si>
    <t>NI - Corona V Interval - Hourly (Report &amp; Publication)</t>
  </si>
  <si>
    <t>NI - Corona V Interval - Daily (7 Days Rolling) (Report &amp; Publication)</t>
  </si>
  <si>
    <t>NHS Team List</t>
  </si>
  <si>
    <t>\REGION\OPS\EMEA\BULGARIA\Sofia\CRT\CS NHS</t>
  </si>
  <si>
    <t>NHS</t>
  </si>
  <si>
    <t>\\EU974K12FPS03\administrative$\Reporting\Shared\1.NHS Team List</t>
  </si>
  <si>
    <t>Campaign stopped End of March-22</t>
  </si>
  <si>
    <t>NHS COVID 19 – Interval – Hourly (Report &amp; Publication)</t>
  </si>
  <si>
    <t>NHS COVID 19 – Daily Report</t>
  </si>
  <si>
    <t>Newcastle VISA Skill Report v1.2 Details</t>
  </si>
  <si>
    <t>\REGION\OPS\EMEA\BULGARIA\Sofia\CRT\UK\Newcastle\</t>
  </si>
  <si>
    <t>crt_uk@sitel.com</t>
  </si>
  <si>
    <t>Emil.Atanassov@sitel.com;Diana.Dimitrova@sitel.com;stephen.may@sitel.com</t>
  </si>
  <si>
    <t>Disabled, 01/04/21- Domestic service has moved to another provider; 27/4/21 -end of International Visa;</t>
  </si>
  <si>
    <t>Newcastle Customer Service - 1760-1766 - Answered calls</t>
  </si>
  <si>
    <t>\REGION\OPS\EMEA\BULGARIA\Sofia\CRT\UK\Newcastle\John Lewis</t>
  </si>
  <si>
    <t>Clive Barber &lt;Clive.Barber@sitel.com&gt;; Mailbox John Lewis Dandi &lt;johnlewisdandi@sitel.com&gt;; Leah Leydon &lt;Leah.Leydon@sitel.com&gt;</t>
  </si>
  <si>
    <t>Newcastle All BS v1.2 - Manila Details</t>
  </si>
  <si>
    <t>Emil.Atanassov@sitel.com;Diana.Dimitrova@sitel.com</t>
  </si>
  <si>
    <t>Disabled, 06/2021 - start sending the report from SQL</t>
  </si>
  <si>
    <t>NHS Enquiries Agent Data - Daily</t>
  </si>
  <si>
    <t>UKReporting&amp;InsightTeam@sitel.com</t>
  </si>
  <si>
    <t>New Starters Absence and Attrition Weekly (Report &amp; Publication)</t>
  </si>
  <si>
    <t>\REGION\OPS\EMEA\BULGARIA\Sofia\CRT\UK\Exeter</t>
  </si>
  <si>
    <t>UNIGRPEMEA_Dist_998_Site_Leadership@sitel.com</t>
  </si>
  <si>
    <t>Daniel.Piper@sitel.com</t>
  </si>
  <si>
    <t>Medtronic NICE Quality Report</t>
  </si>
  <si>
    <t>\REGION\OPS\EMEA\BULGARIA\Sofia\CRT\UK\Kingston\Medtronic</t>
  </si>
  <si>
    <t>\\10.7.16.12\ssis\Data Sources\BO</t>
  </si>
  <si>
    <t>Maxim Employee Logins and Kronos</t>
  </si>
  <si>
    <t>\REGION\OPS\EMEA\BULGARIA\Sofia\CRT\UK\Maxim</t>
  </si>
  <si>
    <t>Alun.Doble@sitel.com</t>
  </si>
  <si>
    <t>Maxim Agent Absence and Attrition Weekly</t>
  </si>
  <si>
    <t>kevin.carlin@sitel.com</t>
  </si>
  <si>
    <t>03/11/22 Paused, the recepient stated he now has access to the Sitel health dashboard, and does not need this report anymote</t>
  </si>
  <si>
    <t>Maxim Absence Report Daily (Report &amp; Publication)</t>
  </si>
  <si>
    <t>DL-GB694VirginMediaOperationsLeadershipTeam@sitel.com;  DL-GB694VirginMediaTeamManagers@sitel.com</t>
  </si>
  <si>
    <t>silviya.petrova@sitel.comivan.donchev@sitel.com</t>
  </si>
  <si>
    <t>New Starters Absence and Attrition Coventry - Weekly (Report &amp; Publication)</t>
  </si>
  <si>
    <t>\REGION\OPS\EMEA\BULGARIA\Sofia\CRT\UK\Coventry\~Kronos Reports</t>
  </si>
  <si>
    <t xml:space="preserve">Hayley.Barlow@sitel.com; </t>
  </si>
  <si>
    <t>diana.dimitrova@sitel.com; silviya.todorova@sitel.com</t>
  </si>
  <si>
    <t>Disabled, 08/08/2022</t>
  </si>
  <si>
    <t>Manila FTE</t>
  </si>
  <si>
    <t>Manila</t>
  </si>
  <si>
    <t>Manila Inbound Customer Service - Answered calls Manilla (5300-5302)</t>
  </si>
  <si>
    <t>\REGION\OPS\EMEA\BULGARIA\Sofia\CRT\UK\Manila\John Lewis</t>
  </si>
  <si>
    <t>LifeScan NICE Quality Report</t>
  </si>
  <si>
    <t>\REGION\OPS\EMEA\BULGARIA\Sofia\CRT\CS JNJ</t>
  </si>
  <si>
    <t>Lifescan</t>
  </si>
  <si>
    <t>silviya.petrova@sitel.com; Lyulina.Gibinska@sitel.com</t>
  </si>
  <si>
    <t>Not used anymore, was for old .accdb</t>
  </si>
  <si>
    <t>Lifescan Boost FTE with Logins</t>
  </si>
  <si>
    <t>Kingston Summary Outbound</t>
  </si>
  <si>
    <t>\REGION\OPS\EMEA\BULGARIA\Sofia\CRT\UK\Kingston</t>
  </si>
  <si>
    <t>Disabled 16/01/2020</t>
  </si>
  <si>
    <t>Lifescan Agent Unmapped CMS Login Report</t>
  </si>
  <si>
    <t>\REGION\OPS\EMEA\BULGARIA\Sofia\CRT\CS LS</t>
  </si>
  <si>
    <t>boyan.simeonov@sitel.com; lyulina.gibinska@sitel.com</t>
  </si>
  <si>
    <t>Kingston Sickness Hours Weekly</t>
  </si>
  <si>
    <t>\REGION\OPS\EMEA\BULGARIA\Sofia\CRT\UK\Kingston\~Kronos Reports</t>
  </si>
  <si>
    <t>Payroll.Hub@sitel.com; Danielle.Watts@sitel.com</t>
  </si>
  <si>
    <t>Kingston Employee Logins and Kronos</t>
  </si>
  <si>
    <t>Kingston Employee History Report</t>
  </si>
  <si>
    <t>Kingston Daily Summary Skill Level</t>
  </si>
  <si>
    <t>Kingston Daily Performance Detailed Agent</t>
  </si>
  <si>
    <t>Kingston Customer Service - 1760-1766 - Answered calls</t>
  </si>
  <si>
    <t>Mailbox John Lewis Dandi &lt;johnlewisdandi@sitel.com&gt;</t>
  </si>
  <si>
    <t>Kingston Absence Report - Daily</t>
  </si>
  <si>
    <t>Paul Lane &lt;Paul.Lane@sitel.com&gt;; Andrew Greer &lt;Andrew.Greer@sitel.com&gt;; Audrey Alexandre &lt;Audrey.Alexandre@sitel.com&gt;; Frances Waddingham &lt;Frances.Waddingham@sitel.com&gt;; Marie Gustafsson &lt;Marie.Gustafsson@sitel.com&gt;; Benoit Deconinck &lt;benoit.deconinck@sitel.com&gt;</t>
  </si>
  <si>
    <t>Martin Shunanov &lt;Martin.Shunanov@sitel.com&gt;; Nikolay Apostolov &lt;nikolay.apostolov@sitel.com&gt;</t>
  </si>
  <si>
    <t>JOHN_LEWIS_TCD_RIGHT_NOW</t>
  </si>
  <si>
    <t>\REGION\OPS\EMEA\BULGARIA\Sofia\CRT\-GEN\CS John Lewis</t>
  </si>
  <si>
    <t>Kingston Sickness Hours MTD</t>
  </si>
  <si>
    <t>lydia.humphreys@sitel.com; Danielle.Watts@sitel.com</t>
  </si>
  <si>
    <t>Nikolay Apostolov &lt;nikolay.apostolov@sitel.com&gt;</t>
  </si>
  <si>
    <t>John Lewis Weekly Absence</t>
  </si>
  <si>
    <t>\REGION\OPS\EMEA\BULGARIA\Sofia\CRT\CS John Lewis</t>
  </si>
  <si>
    <t>Mark.Stockwell-Weeks@sitel.com; paul.haley@sitel.com</t>
  </si>
  <si>
    <t>John Lewis Orderline - Daily (Report &amp; Publication)</t>
  </si>
  <si>
    <t>\REGION\OPS\EMEA\BULGARIA\Sofia\CRT\UK\Maxim\John Lewis</t>
  </si>
  <si>
    <t>Jonathan.Mcnelis@sitel.com; Sandra.Hillan@sitel.com; Nicola.Wotherspoon@sitel.com; Wilson.Pow@sitel.com; Jonathan.White@sitel.com</t>
  </si>
  <si>
    <t>Stopped, mail from Jonathan 06/02/2021</t>
  </si>
  <si>
    <t>John Lewis VDN Flash (Report &amp; Publication)</t>
  </si>
  <si>
    <t>Rowan Marshall &lt;Rowan.Marshall@sitel.com&gt;; Kylie Goodridge &lt;Kylie.Goodridge@sitel.com&gt;; DL - GB998 John Lewis BackOffice Team Managers &lt;UNIGRPEMEA_Dist_998_John_Lewis_BackOffice_Team_Managers@sitel.com&gt;; DL - GB998 John Lewis FrontLine Team Managers &lt;UNIGRPEMEA_Dist_998_John_Lewis_Frontline_Team_Managers@sitel.com&gt;</t>
  </si>
  <si>
    <t>13/04 paused, there was no data in them for a while now</t>
  </si>
  <si>
    <t>John Lewis Maxim Agent Data</t>
  </si>
  <si>
    <t>\REGION\OPS\EMEA\BULGARIA\Sofia\CRT\Maxim\John Lewis</t>
  </si>
  <si>
    <t>\\GB694K12FPS01\Client$\John Lewis\Team Manager</t>
  </si>
  <si>
    <t>John Lewis IEX Shrinkage Weekly (Report &amp; Publication)</t>
  </si>
  <si>
    <t>Sarita Banyard &lt;Sarita.Banyard@sitel.com&gt;; Louise Allerdyce &lt;Louise.Allerdyce@sitel.com&gt;; Daniel Piper &lt;Daniel.Piper@sitel.com&gt;; Paul Haley &lt;paul.haley@sitel.com&gt;; Alistair Cook &lt;alistair.cook@sitel.com&gt;; Rowan Marshall &lt;rowan.marshall@sitel.com&gt;; Nathian Carnall &lt;nathian.carnall@sitel.com&gt;; Richard Crellin &lt;richard.crellin@sitel.com&gt;; Christopher Adams &lt;christopher.adams@sitel.com&gt;; Richard Goodchild &lt;richard.goodchild@sitel.com&gt;; Audrey Alexandre &lt;Audrey.Alexandre@sitel.com&gt;; Sharon Cox &lt;Sharon.Cox@sitel.com&gt;; Paul Faulkner &lt;Paul.Faulkner@sitel.com&gt;; Mailbox JLCS WFM Admin &lt;jlcswfmadmin@sitel.com&gt;</t>
  </si>
  <si>
    <t>Paused</t>
  </si>
  <si>
    <t>John Lewis IEX Shrinkage Daily (Report &amp; Publication)</t>
  </si>
  <si>
    <t>John Lewis Branch General - Daily (Report &amp; Publication)</t>
  </si>
  <si>
    <t>Nikolay Raykov &lt;Nikolay.Raykov@sitel.com&gt;</t>
  </si>
  <si>
    <t>John Lewis Maxim Absence Report Daily (Report &amp; Publication)</t>
  </si>
  <si>
    <t>Jonathan Mcnelis &lt;Jonathan.Mcnelis@sitel.com&gt;</t>
  </si>
  <si>
    <t>John Lewis Agent Released Calls - Weekly</t>
  </si>
  <si>
    <t>paul.haley@sitel.com, johnlewisdandi@sitel.com</t>
  </si>
  <si>
    <t>JLTS PC Issues – Final Figures</t>
  </si>
  <si>
    <t>Paul Haley &lt;paul.haley@sitel.com&gt;; Mailbox John Lewis Dandi &lt;johnlewisdandi@sitel.com&gt;; Philippa Raw &lt;Philippa.Raw@sitel.com&gt;; Mailbox John Lewis RTA Exeter &lt;MB_Exeter_JL_RTA@sitel.com&gt;</t>
  </si>
  <si>
    <t>Stopped, e-mail from Philippa Raw 17/11/2020; Started again, mail from Philippa 23/11/2020</t>
  </si>
  <si>
    <t>JLTS Break Adherence Daily</t>
  </si>
  <si>
    <t>DL - GB998 John Lewis Senior Team Managers &lt;DL-GB998JohnLewisSeniorTeamManagers@sitel.com&gt;; Rowan Marshall &lt;Rowan.Marshall@sitel.com&gt;; Mark Stockwell-Weeks &lt;Mark.Stockwell-Weeks@sitel.com&gt;; Philippa Raw &lt;Philippa.Raw@sitel.com&gt;</t>
  </si>
  <si>
    <t>JLTS Agent AUX - Weekly</t>
  </si>
  <si>
    <t>Philippa.Raw@sitel.com; gareth.wright@sitel.com</t>
  </si>
  <si>
    <t>seems not active</t>
  </si>
  <si>
    <t>JLTS Agent AUX - Current Day</t>
  </si>
  <si>
    <t>See [CLIENT] Agent AUX - Current Day</t>
  </si>
  <si>
    <t>JL Team List</t>
  </si>
  <si>
    <t>//10.92.25.11/administrative$/Reports/Shared/3. John Lewis/9. JL Team List</t>
  </si>
  <si>
    <t>Forecast</t>
  </si>
  <si>
    <t>Flybe Weekly Interval</t>
  </si>
  <si>
    <t>\REGION\OPS\EMEA\BULGARIA\Sofia\CRT\UK\Exeter\Flybe</t>
  </si>
  <si>
    <t>UNIGRPEMEA_Dist_998_Flybe_Operations_Managers@sitel.com</t>
  </si>
  <si>
    <t>Campaign Stopped 05/03</t>
  </si>
  <si>
    <t>Flybe Break Adherence Weekly</t>
  </si>
  <si>
    <t>Philippa.Raw@sitel.com</t>
  </si>
  <si>
    <t>Flybe Break Adherence Daily</t>
  </si>
  <si>
    <t>Flybe - VDN Force Busy Calls</t>
  </si>
  <si>
    <t>Exeter Reports &lt;GB998_Reports@sitel.com&gt;</t>
  </si>
  <si>
    <t>Exeter Unassigned/Unapproved Hours Daily (Report &amp; Publication)</t>
  </si>
  <si>
    <t>UNIGRPEMEA_Dist_998_Team_Managers@sitel.com; Bianca.Stratford@sitel.com; richard.goodchild@sitel.com; Emma.Baker@sitel.com; Matt.Cleveland@sitel.com; lydia.humphreys@sitel.com; Sarah.Novel@sitel.com; alistair.cook@sitel.com; Sam.goss@sitel.com</t>
  </si>
  <si>
    <t>JL Agent Telephony - daily</t>
  </si>
  <si>
    <t>Exeter Sickness Hours Weekly (Report &amp; Publication)</t>
  </si>
  <si>
    <t>Bianca.Stratford@sitel.com; lydia.humphreys@sitel.com; Sam.goss@sitel.com</t>
  </si>
  <si>
    <t>Exeter Sickness Hours MTD (Report &amp; Publication)</t>
  </si>
  <si>
    <t>Exeter Outbound Calls - Monthly</t>
  </si>
  <si>
    <t>daniel.abrehart-smith@sitel.com</t>
  </si>
  <si>
    <t>Exeter JL Outbound - Accounts 130-139</t>
  </si>
  <si>
    <t>Clive Barber &lt;Clive.Barber@sitel.com&gt;; Mailbox John Lewis Dandi &lt;johnlewisdandi@sitel.com&gt;</t>
  </si>
  <si>
    <t>Exeter Hours Per Agent Weekly (Report &amp; Publication)</t>
  </si>
  <si>
    <t>Exeter Customer Service - 1760-1766 - Answered calls</t>
  </si>
  <si>
    <t>Exeter Attrition - monthly (Report &amp; Publication)</t>
  </si>
  <si>
    <t>Exeter Attrition - Daily (Report &amp; Publication)</t>
  </si>
  <si>
    <t>Exeter Absence Report Weekly</t>
  </si>
  <si>
    <t>Exeter Absence Report Daily (Report &amp; Publication)</t>
  </si>
  <si>
    <t>UNIGRPEMEA_Dist_998_Team_Managers@sitel.com</t>
  </si>
  <si>
    <t>UNIGRPEMEA_Dist_998_Site_Leadership@sitel.com; Troy.Barnaschone@sitel.com; georgi.tsatsev@sitel.com; richard.goodchild@sitel.com; Bianca.Stratford@sitel.com; Sam.goss@sitel.com; martin.shunanov@sitel.com</t>
  </si>
  <si>
    <t>EXE JL Escalation &amp; Assist - Abandoned</t>
  </si>
  <si>
    <t>UNIGRPEMEA_Dist_998_John_Lewis_BackOffice_Team_Managers@sitel.com; UNIGRPEMEA_Dist_998_John_Lewis_Frontline_Team_Managers@sitel.com; DL-GB998JohnLewisTMTracks@sitel.com; Troy.Barnaschone@sitel.com; Philippa.Raw@sitel.com</t>
  </si>
  <si>
    <t>Epson Sofia Call Summary Report</t>
  </si>
  <si>
    <t>\REGION\OPS\EMEA\BULGARIA\Sofia\CRT\BG\Sofia</t>
  </si>
  <si>
    <t>Epson Login\Logout</t>
  </si>
  <si>
    <t>Epson CSAT Details_Internal</t>
  </si>
  <si>
    <t>Employees</t>
  </si>
  <si>
    <t>Denmark, All</t>
  </si>
  <si>
    <t>Employee Term Reason</t>
  </si>
  <si>
    <t>Emails CCM</t>
  </si>
  <si>
    <t>ELAVON - Coventry</t>
  </si>
  <si>
    <t>Disabled, 15/3/21- start sending the report from SQL</t>
  </si>
  <si>
    <t>Dialed Number Plymouth &amp; Manila - Daily</t>
  </si>
  <si>
    <t>JohnLewisDandI@sitel.com</t>
  </si>
  <si>
    <t>Coventry Unassigned/Unapproved Hours Daily (Report &amp; Publication)</t>
  </si>
  <si>
    <t>Coventry Sickness Hours Weekly (Publication &amp; Report)</t>
  </si>
  <si>
    <t>\REGION\OPS\EMEA\BULGARIA\Sofia\CRT\UK\Coventry</t>
  </si>
  <si>
    <t>Hayley.Barlow@sitel.com; Paul.Godfrey@sitel.com; Leon.Dorricott@sitel.com; tim.lee@sitel.com; mariehelene.sims@sitel.com; naomi.roche@sitel.com</t>
  </si>
  <si>
    <t>Coventry Sickness Hours MTD (Publication &amp; Report)</t>
  </si>
  <si>
    <t>Payroll.Hub@sitel.com</t>
  </si>
  <si>
    <t>Coventry Employee Logins and Kronos</t>
  </si>
  <si>
    <t>DnG</t>
  </si>
  <si>
    <t>Stopped as not needed 17/10/2019</t>
  </si>
  <si>
    <t>Coventry Employee History Report</t>
  </si>
  <si>
    <t>Coventry Absence Report Daily (Report &amp; Publication)</t>
  </si>
  <si>
    <t>DL - GB409 Site Leadership &lt;DL-GB409SiteLeadership@sitel.com&gt;; DL - GB409 Team Managers &lt;DL-GB409TeamManagers@sitel.com&gt;; Daniel Piper &lt;Daniel.Piper@sitel.com&gt;; Dawn Makins &lt;Dawn.Makins@sitel.com&gt;; Nuz Khan &lt;Nuzhat.Khan@sitel.com&gt;; Carl Meehan &lt;Carl.Meehan@sitel.com&gt;</t>
  </si>
  <si>
    <t>Campaign 2020 Exeter - Voyage Prive</t>
  </si>
  <si>
    <t>Janice Zea &lt;Janice.Zea@sitel.com&gt;</t>
  </si>
  <si>
    <t>Campaign 2020 Exeter - CAP-3358:Toshiba - Tech + CP Tech</t>
  </si>
  <si>
    <t>\REGION\OPS\EMEA\BULGARIA\Sofia\CRT\UK\Exeter\Toshiba</t>
  </si>
  <si>
    <t>EdCarlo.Paguinto@sitel.com; HonnylieRhiel.Perez@sitel.com</t>
  </si>
  <si>
    <t>Campaign 2020 Exeter - CAP-3356:John Lewis - Software Support</t>
  </si>
  <si>
    <t>Campaign 2020 Exeter - CAP-1807:John Lewis - Phase II Ramp</t>
  </si>
  <si>
    <t>Calls by PY</t>
  </si>
  <si>
    <t>Paul Haley &lt;paul.haley@sitel.com&gt;</t>
  </si>
  <si>
    <t>Call Fact Brother - Daily</t>
  </si>
  <si>
    <t>\REGION\OPS\EMEA\BULGARIA\Sofia\CRT\UK\Kingston\Brother</t>
  </si>
  <si>
    <t>brother-tm-kingston@sitel.com; Jovic.Staddom@sitel.com; benoit.deconinck@sitel.com</t>
  </si>
  <si>
    <t>Brother Weekly Interval Report</t>
  </si>
  <si>
    <t>Public Folders - &gt; REGION -&gt; OPS -&gt; EMEA -&gt; BULGARIA -&gt; Sofia -&gt; CRT -&gt; UK -&gt; Kingston</t>
  </si>
  <si>
    <t>Georgi.korfonozov@sitel.com ; Ivan.donchev@sitel.com</t>
  </si>
  <si>
    <t>Brother NICE Quality Report</t>
  </si>
  <si>
    <t>AnE Team AUX Time - Daily</t>
  </si>
  <si>
    <t>johnlewisdandi@sitel.com</t>
  </si>
  <si>
    <t>AnE Number Dialed - Daily</t>
  </si>
  <si>
    <t>Altitude ID</t>
  </si>
  <si>
    <t>Agent Telephony per TM Weekly - Heathrow (Publication &amp; Report)</t>
  </si>
  <si>
    <t>\REGION\OPS\EMEA\BULGARIA\Sofia\CRT\UK\Exeter\Heathrow</t>
  </si>
  <si>
    <t>Heathrow-SitelManagers@sitel.com</t>
  </si>
  <si>
    <t>Agent Telephony per TM Monthly - Heathrow (Publication &amp; Report)</t>
  </si>
  <si>
    <t>joanne.griffiths@sitel.com; matthew.haynes@sitel.com; wendy.denham2@sitel.com; Thomas.Slack@sitel.com; Michelle.Makin@sitel.com</t>
  </si>
  <si>
    <t>Agent Telephony per TM - Flybe (Publication &amp; Report)</t>
  </si>
  <si>
    <t>flybe.exebeg_management@sitel.com, Philippa.Raw@sitel.com</t>
  </si>
  <si>
    <t>Agent 2020 Manila - Inbound Customer Service (5300,5301,5302)</t>
  </si>
  <si>
    <t>\REGION\OPS\EMEA\BULGARIA\Sofia\CRT\UK\Manila\John Lewis\2020 Automatic Uploads</t>
  </si>
  <si>
    <t>Awaiting LOB and KPI confirmation</t>
  </si>
  <si>
    <t>Agent 2020 Exeter - Heathrow - AHT - Weekly E-mail</t>
  </si>
  <si>
    <t>Not Scheduled for distribution yet</t>
  </si>
  <si>
    <t>Never Released</t>
  </si>
  <si>
    <t>Agent 2020 Exeter - Heathrow - AHT - Automated</t>
  </si>
  <si>
    <t>\REGION\OPS\EMEA\BULGARIA\Sofia\CRT\UK\Exeter\Heathrow\2020 Automatic Uploads</t>
  </si>
  <si>
    <t>Agent 2020 Exeter - CAP-5202:Flybe - Customer Relations Phone</t>
  </si>
  <si>
    <t>\REGION\OPS\EMEA\BULGARIA\Sofia\CRT\UK\Exeter\Flybe\2020 Automatic Uploads</t>
  </si>
  <si>
    <t>Agent 2020 Exeter - CAP-3358:Toshiba - Tech + CP Tech</t>
  </si>
  <si>
    <t>\REGION\OPS\EMEA\BULGARIA\Sofia\CRT\UK\Exeter\Toshiba\2020 Automatic Uploads</t>
  </si>
  <si>
    <t>Agent 2020 Exeter - 1428;1429;1460;1464 - Tech (inc JL.com small appliances)</t>
  </si>
  <si>
    <t>\REGION\OPS\EMEA\BULGARIA\Sofia\CRT\UK\Exeter\John Lewis\2020 Automatic Uploads</t>
  </si>
  <si>
    <t>Absence Report Stratford - Daily (Report &amp; Publication)</t>
  </si>
  <si>
    <t>\REGION\OPS\EMEA\BULGARIA\Sofia\CRT\UK\Stratford\</t>
  </si>
  <si>
    <t>Alison Bates &lt;Alison.Bates@sitel.com&gt;; Sue Headington &lt;sue.headington@sitel.com&gt;; Amanda Peake &lt;Amanda.Peake@sitel.com&gt;; Morton Hart &lt;Morton.Hart@sitel.com&gt;; Kris George &lt;kris.george@sitel.com&gt;; Richard Chapman &lt;richard.chapman@sitel.com&gt;; Samantha Quigley &lt;samantha.quigley@sitel.com&gt;; Lauren Brotherton &lt;lauren.brotherton@sitel.com&gt;</t>
  </si>
  <si>
    <t>silviya.petrova@sitel.com; Georgi Tsatsev &lt;Georgi.Tsatsev@sitel.com&gt;; Ivan Donchev &lt;Ivan.Donchev@sitel.com&gt;</t>
  </si>
  <si>
    <t>Absence</t>
  </si>
  <si>
    <t>Abbott Lateness Report</t>
  </si>
  <si>
    <t>Abbott Kronos Lateness Report</t>
  </si>
  <si>
    <t>Abbott Adherence Report</t>
  </si>
  <si>
    <t>12 MM Daily Accruals 15042019</t>
  </si>
  <si>
    <t>11 Daily: VDN Combined</t>
  </si>
  <si>
    <t>10 MM Daily Altitude 15042019</t>
  </si>
  <si>
    <t>JLTS Flash Report (Report &amp; Publication)</t>
  </si>
  <si>
    <t>Mark Stockwell-Weeks &lt;Mark.Stockwell-Weeks@sitel.com&gt;; Kylie Goodridge &lt;Kylie.Goodridge@sitel.com&gt;; Andrew Warren &lt;andrew.warren@sitel.com&gt;; Rowan Marshall &lt;Rowan.Marshall@sitel.com&gt;; John Wheelhouse &lt;John.Wheelhouse@sitel.com&gt;; Zoe Pygott &lt;Zoe.Pygott@sitel.com&gt;; Jade Crotty &lt;Jade.Crotty@sitel.com&gt;; DL - GB998 John Lewis FrontLine Team Managers &lt;UNIGRPEMEA_Dist_998_John_Lewis_Frontline_Team_Managers@sitel.com&gt;; DL - GB998 John Lewis BackOffice Team Managers &lt;UNIGRPEMEA_Dist_998_John_Lewis_BackOffice_Team_Managers@sitel.com&gt;; Mailbox John Lewis RTA Exeter &lt;MB_Exeter_JL_RTA@sitel.com&gt;</t>
  </si>
  <si>
    <t>pause 05/22 ,  new version merged flash</t>
  </si>
  <si>
    <t>JLCS Flash Report (Report &amp; Publication)</t>
  </si>
  <si>
    <t>michaela.young@sitel.com,Sonya.Arcos@sitel.com,Mark.Stockwell-Weeks@sitel.com,DL-GB645JohnLewisCSTeamManagers@sitel.com,mb_plymouth_jl_rta@sitel.com</t>
  </si>
  <si>
    <t>SSE Meters - Daily (Report &amp; Publciation)</t>
  </si>
  <si>
    <t>Jonathan.Mcnelis@sitel.com</t>
  </si>
  <si>
    <t>SSE Budget - Daily (Report &amp; Publciation)</t>
  </si>
  <si>
    <t>Newcastle Absence Report Daily (Report &amp; Publication)</t>
  </si>
  <si>
    <t>\REGION\OPS\EMEA\BULGARIA\Sofia\CRT\UK\Newcastle</t>
  </si>
  <si>
    <t>Judith.Mottershead@sitel.com; Simon.Saunders@sitel.com; Daniel.Piper@sitel.com; Adam.Mottershead@sitel.com</t>
  </si>
  <si>
    <t>Swansea Absence Report Daily (Report &amp; Publication)</t>
  </si>
  <si>
    <t>\REGION\OPS\EMEA\BULGARIA\Sofia\CRT\UK\Swansea</t>
  </si>
  <si>
    <t>sharon.hammett@sitel.com;jon.matthewson@sitel.com;amy.gowing@sitel.com</t>
  </si>
  <si>
    <t>UK Unapproved/Unscheduled Hours - Daily (R &amp;P)</t>
  </si>
  <si>
    <t>\REGION\OPS\EMEA\BULGARIA\Sofia\CRT\UK\-Multi Site</t>
  </si>
  <si>
    <t>Different Publication for each site - check Schedule History</t>
  </si>
  <si>
    <t>UK Summary Unapproved/Unscheduled Hours - Daily (R &amp;P)</t>
  </si>
  <si>
    <t>Lisa Robinson &lt;lisa.robinson@sitel.com&gt;; Valentin Todorov &lt;valentin.todorov@sitel.com&gt;; Boryana Ganeva &lt;Boryana.Ganeva@sitel.com&gt;; Boryana Todorova &lt;Boryana.Todorova@sitel.com&gt;; Daniel Abrehart-Smith &lt;daniel.abrehart-smith@sitel.com&gt;; Bozhidara Zhupunova &lt;Bozhidara.Zhupunova@sitel.com&gt;; Benoit Deconinck &lt;benoit.deconinck@sitel.com&gt;; Nikolay Davidkov &lt;Nikolay.Davidkov@sitel.com&gt;; Liz Williams &lt;liz.williams@sitel.com&gt;; nigel.channon@sitel.com; Sarita Banyard &lt;Sarita.Banyard@sitel.com&gt;; Leon Dorricott &lt;Leon.Dorricott@sitel.com&gt;; Paul Godfrey &lt;Paul.Godfrey@sitel.com&gt;; Amanda Peake &lt;Amanda.Peake@sitel.com&gt;; Simon Saunders &lt;Simon.Saunders@sitel.com&gt;; UK Reporting &amp; Insight Team &lt;UKReporting&amp;InsightTeam@sitel.com&gt;; Site Directors - UK&amp;I &lt;sitel.directors-uki@sitel.com&gt;; Iveta Simeonova-Spasova &lt;Iveta.Simeonova-Spasova@sitel.com&gt;</t>
  </si>
  <si>
    <t>silviya.petrova@sitel.com; Nathian Carnall &lt;nathian.carnall@sitel.com&gt;; silviya.petrova@sitel.com; Operations Directors – UK&amp;I &lt;OperationsDirectors-UK&amp;I@sitel.com&gt;; Lydia Humphreys &lt;lydia.humphreys@sitel.com&gt;; Fozia Qayoom &lt;fozia.qayoom@sitel.com&gt;; Carrie Richardson &lt;Carrie.Richardson@sitel.com&gt;; UK HR TEAM &lt;UKHRTEAM@sitel.com&gt;</t>
  </si>
  <si>
    <t>Generic - Dialed Number - Daily</t>
  </si>
  <si>
    <t>Emil.Atanassov@sitel.com;Diana.Dimitrova@sitel.com;Silviya.Todorova@sitel.com</t>
  </si>
  <si>
    <t>SSE Backdating Report_Intervals</t>
  </si>
  <si>
    <t>jonathan.collins@sseenergyservices.com</t>
  </si>
  <si>
    <t>stephen.caffull@sitel.com;Emil.Atanassov@sitel.com;Diana.Dimitrova@sitel.com;resource.mi@sseenergyservices.com;Silviya.Todorova@sitel.com</t>
  </si>
  <si>
    <t>SSE Backdating Report_Intervals [Hourly Version]</t>
  </si>
  <si>
    <t>JLCS Agent AUX - Current Day</t>
  </si>
  <si>
    <t>mb_plymouth_jl_rta@sitel.com</t>
  </si>
  <si>
    <t>JLCS Break Adherence Daily</t>
  </si>
  <si>
    <t>michaela.young@sitel.com</t>
  </si>
  <si>
    <t>John Lewis Absence Report Daily (Report &amp; Publication)</t>
  </si>
  <si>
    <t>Andrea Tokmak &lt;Andrea.Tokmak@sitel.com&gt;; Mark Stockwell-Weeks &lt;Mark.Stockwell-Weeks@sitel.com&gt;; Kylie Goodridge &lt;Kylie.Goodridge@sitel.com&gt;; Andrew Warren &lt;andrew.warren@sitel.com&gt;; Rowan Marshall &lt;Rowan.Marshall@sitel.com&gt;; Michaela Young &lt;michaela.young@sitel.com&gt;; Natalie Lubienski &lt;Natalie.Lubienski@sitel.com&gt;; DL - GB998 John Lewis Senior Team Managers &lt;DL-GB998JohnLewisSeniorTeamManagers@sitel.com&gt;</t>
  </si>
  <si>
    <t>UK Absence Report Daily  (Report &amp; Publication)</t>
  </si>
  <si>
    <t>Virgin Media Absence Report - Daily (Report &amp; Publication)</t>
  </si>
  <si>
    <t>\REGION\OPS\EMEA\BULGARIA\Sofia\CRT\CS Virgin Media</t>
  </si>
  <si>
    <t>Kerry Howells &lt;Kerry.Howells@sitel.com&gt;; Daniel Piper &lt;Daniel.Piper@sitel.com&gt;</t>
  </si>
  <si>
    <t>SSE Interval Report - Daily</t>
  </si>
  <si>
    <t>\\10.7.16.12\ssis\Data Sources\CS SSE</t>
  </si>
  <si>
    <t>SSE GLA SSE HOCS - Daily (Report &amp; Publciation)</t>
  </si>
  <si>
    <t>stephen.caffull@sitel.com; Craig.Cooper@sitel.com; DL-GB694SSETeamManagers@sitel.com; Andrea.sampson@ovo.com; Hayley.gurr@ovo.com; tanya.robertson@ovo.com; rachael.lamont@ovo.com; lizzie.d.barnsley-parsons@ovo.com</t>
  </si>
  <si>
    <t>willem.niekerk@sseenergyservices.com; andrea.sampson@sseenergyservices.com; kristopher.mcmanus@sseenergyservices.com; Jonathan Mcnelis &lt;Jonathan.Mcnelis@sitel.com&gt;; Stephen Caffull &lt;stephen.caffull@sitel.com&gt;</t>
  </si>
  <si>
    <t>Waitrose Break Adherence - Daily</t>
  </si>
  <si>
    <t>Waitrose</t>
  </si>
  <si>
    <t>Sonya.Arcos@sitel.com</t>
  </si>
  <si>
    <t>PSA NICE Quality Coaching Packages Report</t>
  </si>
  <si>
    <t>Anniversaries Exeter and Plymouth - Daily</t>
  </si>
  <si>
    <t>Stephanie.Gibson@sitel.com</t>
  </si>
  <si>
    <t>Stephanie Gibson e-mail 30/01/2022</t>
  </si>
  <si>
    <t>JL Outbound Number Dialed - Daily</t>
  </si>
  <si>
    <t>\\10.7.16.12\ssis\Data Sources\CS JL</t>
  </si>
  <si>
    <t>SSE Split Interval Report - Daily</t>
  </si>
  <si>
    <t>Shark Ninja NICE Quality Report</t>
  </si>
  <si>
    <t>\REGION\OPS\EMEA\BULGARIA\Sofia\CRT\UK\Newcastle\Shark Ninja</t>
  </si>
  <si>
    <t>Louise Rowe &lt;louise.rowe@sitel.com&gt;; Lesley Bell &lt;Lesley.Bell@sitel.com&gt;</t>
  </si>
  <si>
    <t>Diana Dimitrova &lt;Diana.Dimitrova@sitel.com&gt;; Silviya Todorova &lt;Silviya.Todorova@sitel.com&gt;</t>
  </si>
  <si>
    <t>Waitrose Flash Report (Report &amp; Publication)</t>
  </si>
  <si>
    <t>SSE Agent AUX - Curernt Day</t>
  </si>
  <si>
    <t>\REGION\OPS\EMEA\BULGARIA\Sofia\CRT\CS SSE</t>
  </si>
  <si>
    <t>harry.alexander@sitel.com</t>
  </si>
  <si>
    <t>Shark Ninja Agent AUX - Curernt Day</t>
  </si>
  <si>
    <t>Waitrose Agent AUX - Curernt Day</t>
  </si>
  <si>
    <t>SSE Client Report Smart - Snapshot</t>
  </si>
  <si>
    <t xml:space="preserve"> \REGION\OPS\EMEA\BULGARIA\Sofia\CRT\UK\Newcastle</t>
  </si>
  <si>
    <t>Dialler.Manager@sseenergyservices.com</t>
  </si>
  <si>
    <t>sitelreporting@sseenergyservices.com; Silviya Todorova &lt;Silviya.Todorova@sitel.com&gt;;Martin Shunanov &lt;Martin.Shunanov@sitel.com&gt;</t>
  </si>
  <si>
    <t>Synergy_Agent_Data_Detailed_</t>
  </si>
  <si>
    <t>\\EU974K12FPS03\administrative$\Reporting\Shared\Productivity TnT\data</t>
  </si>
  <si>
    <t>SSE FTE List</t>
  </si>
  <si>
    <t>\\GB694K12FPS01\Client$\SSE-OVO\Team Manager\SSE General Enquiries\Reporting</t>
  </si>
  <si>
    <t>[CLIENT] Agent AUX - Current Day</t>
  </si>
  <si>
    <t>\REGION\OPS\EMEA\BULGARIA\Sofia\CRT\UK\~Multi Site</t>
  </si>
  <si>
    <t>Multiple, see report history</t>
  </si>
  <si>
    <t>Report with Multiple scheduled for different clients</t>
  </si>
  <si>
    <t>Multi Campaign Team List - Daily</t>
  </si>
  <si>
    <t>\\EU974K12FPS03\administrative$\CentralRTA\Data Dump</t>
  </si>
  <si>
    <t>SSE Absence Report - Daily</t>
  </si>
  <si>
    <t>Daniel Piper &lt;Daniel.Piper@sitel.com&gt;; Stephen Caffull &lt;stephen.caffull@sitel.com&gt;; Julie Bullock &lt;julie.bullock@sitel.com&gt;; DL - GB Enterprise SSE Ops Managers &lt;DL-GBEnterpriseSSEOpsManagers@sitel.com&gt;; DL - GB Enterprise OVO Ops Managers &lt;DL-GBEnterpriseOVOOpsManagers@sitel.com&gt;; SSE Workforce Team &lt;SSEWorkforceTeam@sitel.com&gt;; Mailbox SSE Reporting Team &lt;SSEReportingTeam@sitel.com&gt;; Ian Northmore &lt;Ian.Northmore@sitel.com&gt;; Troy Barnaschone &lt;Troy.Barnaschone@sitel.com&gt;; Jeffrey Bonilla &lt;Jeffrey.Bonilla@sitel.com&gt;; Kevin Garcia &lt;Kevin.Garcia5@sitel.com&gt;; Lopito Oliva Jr. &lt;Lopito.Oliva@sitel.com&gt;;Justin Barker &lt;Justin.Barker@sitel.com&gt;</t>
  </si>
  <si>
    <t>New Starters Absence and Attrition SSE - Weekly (Report &amp; Publication)</t>
  </si>
  <si>
    <t>Agent 2020 SSE - SITE274 - 506;507;512</t>
  </si>
  <si>
    <t>\REGION\OPS\EMEA\BULGARIA\Sofia\CRT\UK\Newcastle\SSE 2020 Automatic Uploads</t>
  </si>
  <si>
    <t>As of 19th of Aug 2022 report was paused</t>
  </si>
  <si>
    <t>Agent 2020 SSE - SITE409 - 506;507;512</t>
  </si>
  <si>
    <t>Agent 2020 SSE - SITE694 - 506;507;512</t>
  </si>
  <si>
    <t xml:space="preserve">AS Watson - laatste 7 dagen - </t>
  </si>
  <si>
    <t>\REGION\OPS\EMEA\BULGARIA\Sofia\CRT\NL\Scheduled</t>
  </si>
  <si>
    <t>Almelo</t>
  </si>
  <si>
    <t>C.Heijdenrijk@nl.aswatson.com; B.Verhoeff@nl.aswatson.com; Judith.Rouwenhorst@sitel.com; Erwin.Adams@sitel.com; ssabb003@ec.sitel.com</t>
  </si>
  <si>
    <t>Emil.Atanassov@sitel.com</t>
  </si>
  <si>
    <t>PSA Absence report daily (report and publication)</t>
  </si>
  <si>
    <t>DL - GB Enterprise PSA Ops Managers &lt;DL-GBEnterprisePSAOpsManagers@sitel.com&gt;; Julie Bullock &lt;julie.bullock@sitel.com&gt;; Martin Ferguson &lt;Martin.Ferguson@sitel.com&gt;</t>
  </si>
  <si>
    <t>Medtronic_OOH_Interval_Daily</t>
  </si>
  <si>
    <t>\\10.7.16.12\ssis\Data Sources\CS Medtronic</t>
  </si>
  <si>
    <t>yes</t>
  </si>
  <si>
    <t>SSE Backdating Transferred Calls - Daily</t>
  </si>
  <si>
    <t>ELAVON Abandoned Calls Report</t>
  </si>
  <si>
    <t>Hourly/Daily</t>
  </si>
  <si>
    <t>David Hitching &lt;David.Hitching@sitel.com&gt;; DL - GB409 Elavon Management Team &lt;DL-GB409.Elavon.ManagementTeam@sitel.com&gt;; francesco.iaquinta@sitel.com</t>
  </si>
  <si>
    <t>diana.dimitrova@sitel.com; Silviya.Todorova@sitel.com</t>
  </si>
  <si>
    <t>Shark Ninja Absence Report Daily</t>
  </si>
  <si>
    <t>\REGION\OPS\EMEA\BULGARIA\Sofia\CRT\CS Shark Ninja</t>
  </si>
  <si>
    <t>Daniel Piper &lt;Daniel.Piper@sitel.com&gt;; DL - GB Enterprise Shark Ninja Ops Managers &lt;DL-GBEnterpriseSharkNinjaOpsManagers@sitel.com&gt;</t>
  </si>
  <si>
    <t>diana.dimitrova@sitel.com</t>
  </si>
  <si>
    <t>Plymouth &amp; Sitel UK Virtual Limited Absence Report Daily (Report and publication)</t>
  </si>
  <si>
    <t>\REGION\OPS\EMEA\BULGARIA\Sofia\CRT\UK\Plymouth\</t>
  </si>
  <si>
    <t>DL-GB645TeamManagers@sitel.com; DL-GB645JohnLewisCSTeamManagers@sitel.com; daniel.abrehart-smith@sitel.com; DL-GB645SiteOperationsManagers@sitel.com; DL-GB645SiteLeadership@sitel.com; DL-GB645HumanResources@sitel.com; Daniel.Piper@sitel.com</t>
  </si>
  <si>
    <t>silviya.petrova@sitel.com; nikolay.lubenov@sitel.com</t>
  </si>
  <si>
    <t>John Lewis Unapproved/Unscheduled Hours - Daily</t>
  </si>
  <si>
    <t>\REGION\OPS\EMEA\BULGARIA\Sofia\CRT\CS John Lewis\</t>
  </si>
  <si>
    <t>UNIGRPEMEA_Dist_998_John_Lewis_Operations_Managers@sitel.com; DL-GB645JohnLewisCSOperationsManagers@sitel.com; Andrea.Tokmak@sitel.com; Mark.Stockwell-Weeks@sitel.com</t>
  </si>
  <si>
    <t>Sickness Hours UK - Weekly</t>
  </si>
  <si>
    <t>Sam.goss@sitel.com; lydia.humphreys@sitel.com; payroll.hub@sitel.com</t>
  </si>
  <si>
    <t>Hunter NICE Quality Report</t>
  </si>
  <si>
    <t>\REGION\OPS\EMEA\BULGARIA\Sofia\CRT\UK\Coventry\Hunter Boot</t>
  </si>
  <si>
    <t>David.Hitching@sitel.com</t>
  </si>
  <si>
    <t>JL_Waitrose_KRONOS</t>
  </si>
  <si>
    <t>ELAVON Inbound Outbound Calls Report</t>
  </si>
  <si>
    <t>Michael.O'Brien@elavon.com; Tarrin.Reynolds@sitel.com; Abbie.Cheyne@sitel.com; francesco.iaquinta@sitel.com</t>
  </si>
  <si>
    <t>As of October 15, 2022, the report has been disabled; Resumed on 01st of Nov 2022 till 02nd of Dec 2022; As of Dec 02, 2022, the report has been disabled;</t>
  </si>
  <si>
    <t>John Lewis and Waitrose Flash Report (Report &amp; Publication)</t>
  </si>
  <si>
    <t>John Lewis, Waitrose</t>
  </si>
  <si>
    <t>[CLIENT] Agent AUX - Previous Week</t>
  </si>
  <si>
    <t>silviya.petrova@sitel.com; nikolay.raykov@sitel.com</t>
  </si>
  <si>
    <t>Report only for SSE</t>
  </si>
  <si>
    <t>Agent Telephony per TM Daily - Heathrow (Publication &amp; Report)</t>
  </si>
  <si>
    <t>SSE Absence Report Daily (incl. Agent Data) - Daily</t>
  </si>
  <si>
    <t>Stephen Caffull &lt;stephen.caffull@sitel.com&gt;; Jeffrey Bonilla &lt;Jeffrey.Bonilla@sitel.com&gt;; Kevin Garcia &lt;Kevin.Garcia5@sitel.com&gt;; Ian Northmore &lt;Ian.Northmore@sitel.com&gt;</t>
  </si>
  <si>
    <t>SSE Split ID 517 Outbound Calls Report</t>
  </si>
  <si>
    <t>michelle.jones@ovo.com; tony.challenger@ovo.com; eric.tse@ovo.com; brian.smith@ovo.com</t>
  </si>
  <si>
    <t>Abbott EMEA Employees: 123487659</t>
  </si>
  <si>
    <t>\REGION\OPS\EMEA\BULGARIA\Sofia\CRT\Abbott</t>
  </si>
  <si>
    <t>olga.jaworska@sitel.com</t>
  </si>
  <si>
    <t>OJ</t>
  </si>
  <si>
    <t>ELAVON Inbound Outbound Calls Weekly Report</t>
  </si>
  <si>
    <t>Michael.Obrien2@elavon.com; Tarrin.Reynolds@sitel.com; Abbie.Cheyne@sitel.com; francesco.iaquinta@sitel.com</t>
  </si>
  <si>
    <t>Agent 2020 SSE - SITE635</t>
  </si>
  <si>
    <t>Elavon IB Calls MTD</t>
  </si>
  <si>
    <t>Tarrin.Reynolds@sitel.com; Abbie.Cheyne@sitel.com; francesco.iaquinta@sitel.com</t>
  </si>
  <si>
    <t>John Lewis Dakota Flash Report</t>
  </si>
  <si>
    <t>sonny.hughes@johnlewis.co.uk; hm_colin_nelson@johnlewis.co.uk; katie.rice@johnlewis.co.uk; peter.x.sullivan@johnlewis.co.uk; allison.lowe@johnlewis.co.uk, dave.mcfall@johnlewis.co.uk; scott.mcnellan@johnlewis.co.uk; Sonya.Arcos@sitel.com; John.Wheelhouse@sitel.com; waitrose.daily-report@sitel.com; Waitrose.Intraday-Report@sitel.com; Cara.Williams@sitel.com; Frank.Russell@sitel.com; dave.mcfall@johnlewis.co.uk; allison.lowe@johnlewis.co.uk; sonny.hughes@johnlewis.co.uk; colin.g.nelson@johnlewis.co.uk; richard.stanton@johnlewis.co.uk; dave.mcfall@johnlewis.co.uk; allison.lowe@johnlewis.co.uk; peter.x.sullivan@johnlewis.co.uk; sonny.hughes@johnlewis.co.uk; wendy.marshall@sitel.com; MB_Exeter_JL_RTA@sitel.com; DL-GB645JohnLewisCSTeamManagers@sitel.com; mb_plymouth_jl_rta@sitel.com; Mark.Stockwell-Weeks@sitel.com; nathian.carnall@sitel.com; dl-gb998.jl.exe-management@sitel.com; crt_uk@sitel.com; lynsey.fellows@johnlewis.co.uk; DL-GB645JohnLewisCSOperationsManagers@sitel.com; richard.stanton@johnlewis.co.uk; sanjeev.johal@sitel.com; Mandy.Holford@sitel.com; zm_cc_servicedelivery@johnlewis.co.uk; richard.stanton@johnlewis.co.uk; Paul.Reid@johnlewis.co.uk; z_Outsource_Remote_Customer_Service@johnlewis.co.uk; Emma.thomas@johnlewis.co.uk; martyn.hillman@johnlewis.co.uk; alison.forrest@johnlewis.co.uk; aileen_garrity@waitrose.co.uk; lori.macpherson@johnlewis.co.uk; paul.reid@johnlewis.co.uk; gillian.grant@johnlewis.co.uk; amanda.simmonds@johnlewis.co.uk; graeme.matheson@johnlewis.co.uk; lynsey.fellows@johnlewis.co.uk; tracey.crichton@johnlewis.co.uk; richard.stanton@johnlewis.co.uk</t>
  </si>
  <si>
    <t>Heathrow Flash Report</t>
  </si>
  <si>
    <t xml:space="preserve"> \REGION\OPS\EMEA\BULGARIA\Sofia\CRT\UK\Exeter\Heathrow</t>
  </si>
  <si>
    <t>nikolay.raykov@sitel.com</t>
  </si>
  <si>
    <t>SSE Absence Report Daily - Workforce Team</t>
  </si>
  <si>
    <t>SSEWorkforceTeam@sitel.com</t>
  </si>
  <si>
    <t>Brother Outbound Calls</t>
  </si>
  <si>
    <t>\ssis\1. SQL Import\SQL_Import_Static\SQL_Import_Static</t>
  </si>
  <si>
    <t>ELAVON Inbound Outbound Calls MTD Report</t>
  </si>
  <si>
    <t>03/11/22 Paused, Alan the recepient stated the report is not needed anymore</t>
  </si>
  <si>
    <t>PSA (Casablanca CAP-12029) NICE</t>
  </si>
  <si>
    <t>\REGION\OPS\EMEA\BULGARIA\Sofia\CRT\CS PSA\2020 Automated</t>
  </si>
  <si>
    <t>Casa</t>
  </si>
  <si>
    <t>2020 Automatic Upload</t>
  </si>
  <si>
    <t>PSA (Clermont-Ferrand CAP-11949) NICE</t>
  </si>
  <si>
    <t>Clermont</t>
  </si>
  <si>
    <t>PSA (Coventry CAP-12022) NICE</t>
  </si>
  <si>
    <t>PSA (Sao Paulo CAP-13025) NICE</t>
  </si>
  <si>
    <t>Sao Paulo</t>
  </si>
  <si>
    <t>John Lewis - Aftersales (Stratford, UK CAP-13075)</t>
  </si>
  <si>
    <t>\REGION\OPS\EMEA\BULGARIA\Sofia\CRT\UK\Stratford\John Lewis\2020 Automatic Uploads</t>
  </si>
  <si>
    <t>Agent 2020 Exeter - 1428,481 - COM - EXE JL Computer</t>
  </si>
  <si>
    <t>Agent 2020 Exeter - 1429 - ATV - EXE JL ATV</t>
  </si>
  <si>
    <t>Agent 2020 Exeter - 1460 - OTHER - EXE JL Other</t>
  </si>
  <si>
    <t>Agent 2020 Exeter - 1464 - LE - EXE JL LE</t>
  </si>
  <si>
    <t>Agent 2020 Exeter - 1469 EHT - Automated</t>
  </si>
  <si>
    <t>Agent 2020 Exeter - 316 - DIT</t>
  </si>
  <si>
    <t>Agent 2020 Exeter - 318;458- Home Solutions</t>
  </si>
  <si>
    <t>17/11 paused, no data since September 22</t>
  </si>
  <si>
    <t>Agent 2020 Exeter - 481 - Software Support</t>
  </si>
  <si>
    <t>Agent 2020 Exeter - Inbound Customer Service</t>
  </si>
  <si>
    <t>Agent 2020 Plymouth - Inbound Customer Service (CAP-8143)</t>
  </si>
  <si>
    <t>\REGION\OPS\EMEA\BULGARIA\Sofia\CRT\UK\Exeter\Plymouth\2020 Automatic Uploads</t>
  </si>
  <si>
    <t>Agent 2020 Maxim - Inbound Customer Service (CAP-12895)</t>
  </si>
  <si>
    <t>\REGION\OPS\EMEA\BULGARIA\Sofia\CRT\UK\Maxim\2020 Automatic Uploads</t>
  </si>
  <si>
    <t>Kingston Absence Report - Monthly</t>
  </si>
  <si>
    <t>PMarie Gustafsson &lt;Marie.Gustafsson@sitel.com&gt;</t>
  </si>
  <si>
    <t>Nikolay Apostolov &lt;nikolay.apostolov@sitel.com&gt;; nikolay.lubenov@sitel.com</t>
  </si>
  <si>
    <t>Agent 2020 Stratford - 4190004 - CAP-13075 John Lewis - Aftersales</t>
  </si>
  <si>
    <t>HK</t>
  </si>
  <si>
    <t>J&amp;J CSAT Dashboard</t>
  </si>
  <si>
    <t>\\BG279K12FPS01\Administrative$\Reporting\Data_Reporting\Private\1. Projects\8. Sofia\3. Working Instructions\Sofia Manuals</t>
  </si>
  <si>
    <t xml:space="preserve"> </t>
  </si>
  <si>
    <t>\\EU999K16FPSDE01\EU999_Johnson\JJ_Management_Shared_Berlin_Sofia\1. Dashboard 2021\CSAT surveys</t>
  </si>
  <si>
    <t>\\10.17.25.15\client$\Ring Central\Data_Ring Central\Private\Team Manager\Reporting</t>
  </si>
  <si>
    <t>RingCentral Call Arrival Pattern report</t>
  </si>
  <si>
    <t>RingCentral QA Dashboard</t>
  </si>
  <si>
    <t>Moneygram Billable Time</t>
  </si>
  <si>
    <t>\\10.17.25.15\client$\MoneyGram\Data_Moneygram\Private\Team Manager\Reporting\QA</t>
  </si>
  <si>
    <t>\\10.17.25.15\client$\MoneyGram\Data_Moneygram\Private\Team Manager\OPS\Business review\NEW MG Reporting</t>
  </si>
  <si>
    <t>\\10.17.25.15\client$\MoneyGram\Data_Moneygram\Private\Team Manager\Reporting\Team</t>
  </si>
  <si>
    <t>\\10.17.25.15\client$\MoneyGram\Data_Moneygram\Private\Team Manager\SKEP</t>
  </si>
  <si>
    <t>\\10.17.25.15\Administrative$\Reporting\Data_Reporting\Private\1. Projects\8. Sofia\4. Standard Reports\2020 Upload</t>
  </si>
  <si>
    <t>RingCentral iCoach Upload</t>
  </si>
  <si>
    <t>\\10.17.25.15\Client$\JnJ\Data_JnJ\Private\Team_Manager\QBR</t>
  </si>
  <si>
    <t>\\10.17.25.15\Administrative$\Payroll\Data_Payroll\Payroll_Shared\MoneyGram\Presence Form</t>
  </si>
  <si>
    <t>HMD Connect Dashboard</t>
  </si>
  <si>
    <t>HMD Connect Agent Productivity</t>
  </si>
  <si>
    <t>HMD Connect BR Charts</t>
  </si>
  <si>
    <t>HMD Interaction level pilot report</t>
  </si>
  <si>
    <t>HMD Logging Accuracy RCA report</t>
  </si>
  <si>
    <t xml:space="preserve">  </t>
  </si>
  <si>
    <t>\\eu974k16mft01\Teleservices</t>
  </si>
  <si>
    <t>TM bonuses</t>
  </si>
  <si>
    <t>send by email; saved only in our folders</t>
  </si>
  <si>
    <t>HMD Connect QM Logger</t>
  </si>
  <si>
    <t>includes QM Logger, QM Sample Size file, QM Reporting</t>
  </si>
  <si>
    <t>includes QM Logger, QM Reporting</t>
  </si>
  <si>
    <t>includes QM Logger only</t>
  </si>
  <si>
    <t>JJ QM Logger Sofia</t>
  </si>
  <si>
    <t>JJ QM Logger Berlin</t>
  </si>
  <si>
    <t>JJ QM Logger Athens</t>
  </si>
  <si>
    <t>DSAT RCA Analysis work file</t>
  </si>
  <si>
    <t>HMD Email CSAT RCA</t>
  </si>
  <si>
    <t>includes RCA tool and report</t>
  </si>
  <si>
    <t>RC Billing and Collections QM Logger</t>
  </si>
  <si>
    <t>ZF QM Logger</t>
  </si>
  <si>
    <t>ZF</t>
  </si>
  <si>
    <t>Epson QM Logger</t>
  </si>
  <si>
    <t>Epson RCA tool</t>
  </si>
  <si>
    <t>MD Lateness Allocation Tool</t>
  </si>
  <si>
    <t>KM Lateness Allocation Tool</t>
  </si>
  <si>
    <t>Leads for MBR</t>
  </si>
  <si>
    <t>Direct Connection to Salesforce in the MBR Power BI</t>
  </si>
  <si>
    <t>Taking a skrennshot from Salesforce Report created by Lora Angelova</t>
  </si>
  <si>
    <t>EMEA Order report</t>
  </si>
  <si>
    <t>FR 034 OTR Campaign Report</t>
  </si>
  <si>
    <t>BE 21 OTR Campaign Report</t>
  </si>
  <si>
    <t>DE098 Two weeks after update</t>
  </si>
  <si>
    <t>FR033 Two weeks after update</t>
  </si>
  <si>
    <t>COMs with Escalations Report</t>
  </si>
  <si>
    <t>\\10.17.25.15\Administrative$\Reporting\Data_Reporting\Private\1. Projects\50. LifeScan\3. Standard reports\44. EMEA Orders</t>
  </si>
  <si>
    <t>\\10.17.25.15\Administrative$\Reporting\Data_Reporting\Private\1. Projects\50. LifeScan\3. Standard reports\24. Campaign Setup\FR-FR034</t>
  </si>
  <si>
    <t>\\10.17.25.15\Administrative$\Reporting\Data_Reporting\Private\1. Projects\50. LifeScan\3. Standard reports\24. Campaign Setup\BE-BE021</t>
  </si>
  <si>
    <t>\\10.17.25.15\Administrative$\Reporting\Data_Reporting\Private\1. Projects\50. LifeScan\3. Standard reports\36. DE Campaign Reports\DE-DE098</t>
  </si>
  <si>
    <t>\\10.17.25.15\Administrative$\Reporting\Data_Reporting\Private\1. Projects\50. LifeScan\3. Standard reports\24. Campaign Setup\FR-FR033</t>
  </si>
  <si>
    <t>\\10.17.25.15\Administrative$\Reporting\Data_Reporting\Private\1. Projects\50. LifeScan\3. Standard reports\51. COMs with Escalations</t>
  </si>
  <si>
    <t>\\10.17.25.15\Administrative$\Reporting\Data_Reporting\Private\1. Projects\50. LifeScan\3. Standard reports\31. HCP vs Customer</t>
  </si>
  <si>
    <t>\\10.17.25.15\Administrative$\Reporting\Data_Reporting\Private\1. Projects\50. LifeScan\3. Standard reports\36. DE Campaign Reports\DE-DE091 New Report</t>
  </si>
  <si>
    <t>\\10.17.25.15\Administrative$\Reporting\Data_Reporting\Private\1. Projects\50. LifeScan\3. Standard reports\34. Back Office Dashboard\New Dashboard Version</t>
  </si>
  <si>
    <t>Account cases - all countries MBR</t>
  </si>
  <si>
    <t>\\10.17.25.15\Administrative$\Reporting\Data_Reporting\Private\1. Projects\50. LifeScan\3. Standard reports\6. MBR</t>
  </si>
  <si>
    <t>\\10.17.25.15\Administrative$\Reporting\Data_Reporting\Private\1. Projects\50. LifeScan\3. Standard reports\27. Alessandra report</t>
  </si>
  <si>
    <t>\\10.17.25.15\Administrative$\Reporting\Data_Reporting\Private\1. Projects\50. LifeScan\3. Standard reports\35. Quality Dashboard</t>
  </si>
  <si>
    <t>\\10.17.25.15\Administrative$\Reporting\Data_Reporting\Private\1. Projects\50. LifeScan\3. Standard reports\19. Send Campaign Calendar</t>
  </si>
  <si>
    <t>https://app.powerbi.com/links/5ZOoPJ65US?ctid=7f16c8b3-f0ef-45a1-aa81-9d5c90cb8ba5&amp;pbi_source=linkShare</t>
  </si>
  <si>
    <t>https://app.powerbi.com/links/WIm0Mn9dZ5?ctid=7f16c8b3-f0ef-45a1-aa81-9d5c90cb8ba5&amp;pbi_source=linkShare</t>
  </si>
  <si>
    <t>\\BG279K12FPS01\Administrative$\Reporting\Data_Reporting\Private\1. Projects\8. Sofia\3. Working Instructions\Sofia Manuals\Wyndham Dashboard.one</t>
  </si>
  <si>
    <t>\\10.17.25.15\client$\Wyndham\Data_Wyndham\Private\Team_Manager\CORE REPORT</t>
  </si>
  <si>
    <t>\\BG279K12FPS01\Administrative$\Reporting\Data_Reporting\Private\1. Projects\9. Varna\3. Working Instructions\Varna Manuals\Mobilcom and Klarmobil Manual.one</t>
  </si>
  <si>
    <t>\\10.19.2.20\Client$\Mobilcom\Data_Mobilcom\Private\Learning Specialist\Daily Performance</t>
  </si>
  <si>
    <t>\\BG279K12FPS01\Administrative$\Reporting\Data_Reporting\Private\1. Projects\8. Sofia\4. Standard Reports\Wyndham Invoice</t>
  </si>
  <si>
    <t>\\BG279K12FPS01\Administrative$\Reporting\Data_Reporting\Private\1. Projects\8. Sofia\4. Standard Reports\2020 Upload</t>
  </si>
  <si>
    <t>\\BG279K12FPS01\Administrative$\Reporting\Data_Reporting\Private\1. Projects\9. Varna\4. Standard Reports\2020 Upload</t>
  </si>
  <si>
    <t>\\10.19.2.20\Client$\Mobilcom\Data_Mobilcom\Private\Learning Specialist\Daily Performance\Monthly_Bonus_Files_KM</t>
  </si>
  <si>
    <t>\\10.19.2.20\Client$\Mobilcom\Data_Mobilcom\Private\Learning Specialist\Daily Performance\Monthly_Bonus_Files_MD</t>
  </si>
  <si>
    <t>\\10.19.2.20\Client$\Ebay\Data_Ebay\Private\Learning Specialist\01. Reporting</t>
  </si>
  <si>
    <t>WI is not fully updated</t>
  </si>
  <si>
    <t>\\BG279K12FPS01\Administrative$\Reporting\Data_Reporting\Private\1. Projects\8. Sofia\3. Working Instructions\Sofia Manuals\Secret Escapes Dashboard.one</t>
  </si>
  <si>
    <t>\\10.17.25.15\Client$\Secret Escapes\Data_Secret Escapes\Private\Team Manager\Reporting and metrics</t>
  </si>
  <si>
    <t>\\10.17.25.15\client$\Epson\Data_Epson\Private\Team Manager\reports</t>
  </si>
  <si>
    <t>PG</t>
  </si>
  <si>
    <t>PGMBM Dashboard</t>
  </si>
  <si>
    <t>\\BG279K12FPS01\Administrative$\Reporting\Data_Reporting\Private\1. Projects\9. Varna\3. Working Instructions\Varna Manuals\PG.one</t>
  </si>
  <si>
    <t>https://app.powerbi.com/groups/me/apps/fcda6803-769f-49b0-876c-d48970302eee/reports/205c638f-b990-474e-a136-1043307b4d46/ReportSection1509ab1fa1b6034ab6db</t>
  </si>
  <si>
    <t>ZF BR Charts</t>
  </si>
  <si>
    <t>ZF Agent Dashboard</t>
  </si>
  <si>
    <t>Call Details Investigation File</t>
  </si>
  <si>
    <t>\\BG279K12FPS01\Administrative$\Reporting\Data_Reporting\Private\1. Projects\8. Sofia\3. Working Instructions\Sofia Manuals\ZF.one</t>
  </si>
  <si>
    <t>\\10.17.25.15\client$\ZF Friedrichshafen\Data_ZF_Friedrichshafen\Private\Team Manager\Reporting\Dashboard</t>
  </si>
  <si>
    <t>Altitude emails</t>
  </si>
  <si>
    <t>Sonderborg</t>
  </si>
  <si>
    <t>Outbound Calls</t>
  </si>
  <si>
    <t>INSERTION-3</t>
  </si>
  <si>
    <t>Short Calls (Calls by Talk Time)</t>
  </si>
  <si>
    <t>Survey Data</t>
  </si>
  <si>
    <t>CTPs with count of child cases and activities</t>
  </si>
  <si>
    <t>Daily Country Scorecard</t>
  </si>
  <si>
    <t>Weekly Agent Scorecard</t>
  </si>
  <si>
    <t>Planned vs Invoiced</t>
  </si>
  <si>
    <t>MyFoodie</t>
  </si>
  <si>
    <t xml:space="preserve">ADC Intraday Weekly </t>
  </si>
  <si>
    <t>Nordics Dashboard (Daily x 2)</t>
  </si>
  <si>
    <t>CMSR Nordics</t>
  </si>
  <si>
    <t>Friday Weekly Report (weekly x 2)</t>
  </si>
  <si>
    <t>Daily Attendance</t>
  </si>
  <si>
    <t>Finland Scorecard</t>
  </si>
  <si>
    <t>&gt;LINK&lt;</t>
  </si>
  <si>
    <t>\\DK266k12FPSVR01\BOReports$\Sonderborg</t>
  </si>
  <si>
    <t>\\DK266k12FPSVR01\BOReports$\Attrition</t>
  </si>
  <si>
    <t>\\DK266k12FPSVR01\CPHADCRPT$\OPS</t>
  </si>
  <si>
    <t>email</t>
  </si>
  <si>
    <t>\\DK266k12FPSVR01\BOReports$\Lateness</t>
  </si>
  <si>
    <t>\\DK266k12FPSVR01\CPHADCRPT$\OPS\BTS</t>
  </si>
  <si>
    <t>\\DK266k12FPSVR01\CPHADCRPT$\OPS\ADC Weekly Intraday</t>
  </si>
  <si>
    <t>iCoach Data - Porto</t>
  </si>
  <si>
    <t>Monthly CMSR in iCoach</t>
  </si>
  <si>
    <t>QBR Slides</t>
  </si>
  <si>
    <t>MBR Slides</t>
  </si>
  <si>
    <t>OneTouch Backoffice Dashboard / Cases by Agents</t>
  </si>
  <si>
    <t>Financial Dashboard</t>
  </si>
  <si>
    <t>Daily Performance Dashboards - EMEA / Canada</t>
  </si>
  <si>
    <t>Agent Performance EMEA / Canada</t>
  </si>
  <si>
    <t>TUI</t>
  </si>
  <si>
    <t>TUI Musement</t>
  </si>
  <si>
    <t>TUI Invoice</t>
  </si>
  <si>
    <t>OOH</t>
  </si>
  <si>
    <t>Medtronic OOH - EE &amp; Nordics</t>
  </si>
  <si>
    <t>Kronos</t>
  </si>
  <si>
    <t>Morocco</t>
  </si>
  <si>
    <t>Kronos DMT</t>
  </si>
  <si>
    <t>Kronos Hours Morocco</t>
  </si>
  <si>
    <t>File refresh and upload into icoach</t>
  </si>
  <si>
    <t>Sunset since end of 2022</t>
  </si>
  <si>
    <t>Sunset since Q4 2022</t>
  </si>
  <si>
    <t>Active2</t>
  </si>
  <si>
    <t>Reviewed by</t>
  </si>
  <si>
    <t>Belgrade</t>
  </si>
  <si>
    <t>TUI MM Daily &amp; MTD Agent Productivity</t>
  </si>
  <si>
    <t>TUI DE Daily &amp; MTD Agent Productivity</t>
  </si>
  <si>
    <t>TUI DE</t>
  </si>
  <si>
    <t>Billable Hours</t>
  </si>
  <si>
    <t>Larnaca</t>
  </si>
  <si>
    <t>Weekly Business Review (WBR)</t>
  </si>
  <si>
    <t>TUI_Headcount</t>
  </si>
  <si>
    <t>//10.7.16.12/ssis/Data Sources/CS TUI</t>
  </si>
  <si>
    <t>As of April Collections is no longer active; Home Services is no longer active; As of 20th of Nov 20 Warm Home Discount Inbound has started; As of 24th of Nov 20 e Services is no longer active; As of 05th of April WHDI is no longer active, tentative ETA to resume WHD operations is towards end of Sep (It’s just seasonal support so will restart later in the year (keep the report template as you an re-use it later in 2021!)); As of 03rd of May new LOB HOCS starts; As of beginning of Sep 2021 WHDI will be resumed; As of beginning of Sep 2021 WHDI was resumed; As of 29th of Nov 2021 new LOB OVO Inbound start; As of 10th of Jan 2022 new LOB Rejection start; As of 28th of Jan 2022 the report is refreshing in Power BI as well; As of Jan 2023 the report is paused;</t>
  </si>
  <si>
    <t>As of 23rd August 2021 the report is sending directly via BO publication.  As of Jan 2023 the report is paused.</t>
  </si>
  <si>
    <t>Video training; Hovis and SSE are no longer active; As of 29th of Jan 2021 D&amp;G is no longer active (e-mail from trevor.shirrefs@sitel.com); As of end of Mar 21 VISA GMR is no longer active (e-mail from Lynne.Pitchford@sitel.com); As of 1st of June 2021 it is not required from me to update Sotheby's GMR (e-mail from Deborah); As of 26th of Jan 22 it is not required from me to update Shark Ninja GMR (e-mails from Louise Rowe &lt;louise.rowe@sitel.com&gt; and Deborah Harrop &lt;deborah.harrop@sitel.com&gt;), it was the last  GMR Report that I had to update every Tuesday;
21/6/2022 - Start updating the new GMR every Tuesday - OVO GMR - 2022.xlsb;  As of Jan 2023 the report is paused;</t>
  </si>
  <si>
    <t>As of 10th of Mar 2022 the report is refreshing in Power BI as well; As of Jan 2023 the report is paused;</t>
  </si>
  <si>
    <t>As of Jan 2023 the report is paused;</t>
  </si>
  <si>
    <t>Video training; As of Jan 2023 the report is paused;</t>
  </si>
  <si>
    <t>As of 12th of May 2022 the report is refreshing directly in Power BI; As of Jan 2023 the report is paused;</t>
  </si>
  <si>
    <t>First date of sending the scheduled BO report - 28th of Jun 2021; First date of sending the dashboard report - 26th of Jul 2021; Start sending the reports twice a week from 27th of Dec 21; As of Jan 2023 the report is paused;</t>
  </si>
  <si>
    <t>As of April Collections is no longer active; Home Services is no longer active; As of 20th of Nov 20 Warm Home Discount Inbound has started; As of 24th of Nov 20 e Services is no longer active; As of 05th of April WHDI is no longer active, tentative ETA to resume WHD operations is towards end of Sep (It’s just seasonal support so will restart later in the year (keep the report template as you an re-use it later in 2021!)); As of 03rd of May new LOB HOCS starts; As of beginning of Sep 2021 WHDI will be resumed; As of beginning of Sep 2021 WHDI was resumed; As of 29th of Nov 2021 new LOB OVO Inbound start; As of 10th of Jan 2022 new LOB Rejection start; As of Jan 2023 the report is paused;</t>
  </si>
  <si>
    <t>SSE Backdating Agent Report.xlsb has stated from 3rd of Dec 20; SSE Backdating Agent Report Raw Data.csv has started from 29th of June 21; As of Jan 2023 the report is paused;</t>
  </si>
  <si>
    <t>SSE Backdating Transferred Calls via ACCESS has started from 24th of Feb 21; SSE Backdating Transferred Calls Report via SQL has started from 10th of Sep 21; As of Jan 2023 the report is paused;</t>
  </si>
  <si>
    <t>SSE Backdating Report_Sai.xlsx has started from 26th of Nov 20; As of 29th of Aug 2022, the report is sending via e-mail; As of Jan 2023 the report is paused;</t>
  </si>
  <si>
    <t>As of 06th of Apr 2022 the report is refreshing directly in Power BI; As of Jan 2023 the report is paused;</t>
  </si>
  <si>
    <t>SSE Productivity Report in Powe BI; As of 15th of Dec 2021 the report is refreshing directly in Power BI; As of Jan 2023 the report is paused;</t>
  </si>
  <si>
    <t>First date of sending the report - 21st of Jun 2021; As of Jan 2023 the report is paused;</t>
  </si>
  <si>
    <t>JnJ ConsumerCare Berlin - Daily : 77538338</t>
  </si>
  <si>
    <t>JnJ</t>
  </si>
  <si>
    <t>ZF Agent AVAYA by Interval</t>
  </si>
  <si>
    <t>ZF Call Details Daily</t>
  </si>
  <si>
    <t>ZF IEX (Adherence)</t>
  </si>
  <si>
    <t>ZF Login/Logout</t>
  </si>
  <si>
    <t>ZF Missed Calls Report</t>
  </si>
  <si>
    <t>ZF Sofia Call Summary Report</t>
  </si>
  <si>
    <t>Excel</t>
  </si>
  <si>
    <t>Stopped on 31/01/2023, reports transferred to UK reporting team</t>
  </si>
  <si>
    <t>Stopped 31/02/2023 End of UK reports</t>
  </si>
  <si>
    <t>Reporting absence coverage flow</t>
  </si>
  <si>
    <t>n/a</t>
  </si>
  <si>
    <t>There is absence proccess documentation, but overall the tools documentation is not complete yet. Soon to be added.</t>
  </si>
  <si>
    <t>Quality - CSAT</t>
  </si>
  <si>
    <t>TUI LCA</t>
  </si>
  <si>
    <t>iCoach</t>
  </si>
  <si>
    <t>06.06.23 paused requested by James.Cookson@foundever.com</t>
  </si>
  <si>
    <t>CMSR</t>
  </si>
  <si>
    <t>Oventrop</t>
  </si>
  <si>
    <t>Bulgaria</t>
  </si>
  <si>
    <t>Oventrop CS Summary</t>
  </si>
  <si>
    <t>E-mail, Shared Drive</t>
  </si>
  <si>
    <t>WFM</t>
  </si>
  <si>
    <t>Capacity Synthesis</t>
  </si>
  <si>
    <t>PBI</t>
  </si>
  <si>
    <t>Forecaster</t>
  </si>
  <si>
    <t>WFM Master File</t>
  </si>
  <si>
    <t>IEX Inventory</t>
  </si>
  <si>
    <t>WFM Scorecard</t>
  </si>
  <si>
    <t>WFM Tickets</t>
  </si>
  <si>
    <t>self-service (automatic refresh)</t>
  </si>
  <si>
    <t>Daily Agent Performance</t>
  </si>
  <si>
    <t>Epson Client View report (saved on SFTP)</t>
  </si>
  <si>
    <t>Epson CSAT</t>
  </si>
  <si>
    <t>refresh on open</t>
  </si>
  <si>
    <t>\\10.17.25.15\Administrative$\Reporting\Data_Reporting\Private\1. Projects\8. Sofia\3. Working Instructions\Sofia Manuals\Epson.one</t>
  </si>
  <si>
    <t>\\EU999K16TSKS02\Epson_Report$</t>
  </si>
  <si>
    <t>\\10.17.25.15\Administrative$\Reporting\Data_Reporting\Private\1. Projects\8. Sofia\3. Working Instructions\Sofia Manuals</t>
  </si>
  <si>
    <t>HMD QM Sample Size</t>
  </si>
  <si>
    <t>HMD Bogota Sofia_Rawdata</t>
  </si>
  <si>
    <t>HMD QM Reporting</t>
  </si>
  <si>
    <t>HMD Connect QM Reporting</t>
  </si>
  <si>
    <t>HMD Email CSAT RCA report</t>
  </si>
  <si>
    <t>\\10.17.25.15\Administrative$\Reporting\Data_Reporting\Private\1. Projects\8. Sofia\4. Standard Reports</t>
  </si>
  <si>
    <t>\\10.17.25.15\Administrative$\Reporting\Data_Reporting\Private\1. Projects\8. Sofia\4. Standard Reports\HMD Bonuses</t>
  </si>
  <si>
    <t>\\10.17.25.15\Client$\HMD\Data_HMD\Private\Team Manager\Reports\RCA</t>
  </si>
  <si>
    <t>\\10.17.25.15\Client$\HMD\Data_HMD\Private\Team Manager\Reports\Reporting Templates\New Merging template</t>
  </si>
  <si>
    <t>\\10.17.25.15\Client$\HMD\Data_HMD\Private\Team Manager\Reports\Reporting Templates\New Merging template\Bonuses</t>
  </si>
  <si>
    <t>\\10.17.25.15\Client$\HMD\Data_HMD\Private\Team Manager\Reports\Reporting Templates\New Merging template\Global_Dashboards_Sofia_and_Bogota</t>
  </si>
  <si>
    <t>\\10.17.25.15\Client$\HMD\Data_HMD\Private\Team Manager\Reports\Reporting Templates\New Merging template\Quality Monitoring</t>
  </si>
  <si>
    <t>\\10.17.25.15\Client$\HMD\Data_HMD\Private\Team Manager\Reports\Reporting Templates\New Merging template\Quality Monitoring\Archive 2022</t>
  </si>
  <si>
    <t>JnJ QA Reporting</t>
  </si>
  <si>
    <t>\\EU999K16FPSDE01\EU999_Johnson\JJ_Management_Shared_Berlin_Sofia\10. Quality monitoring Athens</t>
  </si>
  <si>
    <t>RingCentral Presence Forms</t>
  </si>
  <si>
    <t>Agent Scorecard</t>
  </si>
  <si>
    <t>shared folder</t>
  </si>
  <si>
    <t>Quality Scrubbing</t>
  </si>
  <si>
    <t>Europcar</t>
  </si>
  <si>
    <t>Email Salesforce</t>
  </si>
  <si>
    <t>https://sitel.sharepoint.com/sites/EMEAREPORTINGPRIVATE/_layouts/15/Doc.aspx?sourcedoc={0889a4c3-ad7f-4c45-b50b-a7468856193e}&amp;action=edit&amp;wd=target%28Untitled%20Section.one%7C86405021-ae12-4232-8a3a-27d77885c6de%2FSummary%7C02d53770-63d9-40b0-a741-e83b9f3855ef%2F%29&amp;wdorigin=NavigationUrl</t>
  </si>
  <si>
    <t>\\10.17.25.15\Administrative$\Reporting\Data_Reporting\Private\1. Projects\21. Germany\3.Oventrop ; https://sitel.sharepoint.com/sites/EMEAREPORTINGPRIVATE/_layouts/15/Doc.aspx?sourcedoc={7c2cd049-5566-461c-9000-e4867636a3bf}&amp;action=edit&amp;wd=target%28Untitled%20Section.one%7Cf7aff98d-769a-4b59-9488-e057ef4d4775%2FSummary%7C5fbd6bd8-6cc2-4872-9ae7-07718485c45d%2F%29&amp;wdorigin=NavigationUrl</t>
  </si>
  <si>
    <t>https://sitel.sharepoint.com/sites/EMEAREPORTINGPRIVATE/_layouts/15/Doc.aspx?sourcedoc={471ad92b-ba4f-4834-be69-b1d16e0337fa}&amp;action=edit&amp;wd=target%28Kronos%20Paid%20Hours%20DMT.one%7Cd475d6d2-eead-4123-9ee3-38c73d641844%2FSummary%7C0b932b7b-d533-4954-a69e-dd7a4e6139e6%2F%29&amp;wdorigin=NavigationUrl</t>
  </si>
  <si>
    <t>\\10.17.25.15\Administrative$\Reporting\Data_Reporting\Private\1. Projects\5. Kingston\3. Standard reports\5. Medtronic\Nordics&amp;EE</t>
  </si>
  <si>
    <t>https://app.powerbi.com/groups/d03e5168-eee6-4706-a368-5a86c0ae7d65/reports/c506396e-74e2-4da3-be85-9fd850cafa8d?experience=power-bi</t>
  </si>
  <si>
    <t>Power BI</t>
  </si>
  <si>
    <t>https://app.powerbi.com/groups/d03e5168-eee6-4706-a368-5a86c0ae7d65/reports/5ec83e60-2dcc-459c-85e1-921b49577c8c/ReportSection930c65965660472cab0b?experience=power-bi</t>
  </si>
  <si>
    <t>\\EU999K19FPSNL01.emea.sitel-world.net\999_Netherlands$\Corporate\Reporting\2. Attrition Report</t>
  </si>
  <si>
    <t>Local C: drive</t>
  </si>
  <si>
    <t>Under construction</t>
  </si>
  <si>
    <t>Discontinued. Pottentially reviewed and included in the Master File</t>
  </si>
  <si>
    <t>WFM_Agent_Login</t>
  </si>
  <si>
    <t>WFM_IEX_Agent_Availability</t>
  </si>
  <si>
    <t>WFM_IEX_Agent_Data</t>
  </si>
  <si>
    <t>WFM_IEX_MU_Actual_Data</t>
  </si>
  <si>
    <t>WFM_IEX_MU_Schedule_Data</t>
  </si>
  <si>
    <t>WFM_Split_Data</t>
  </si>
  <si>
    <t>WFM_SuccessFactors_FTE</t>
  </si>
  <si>
    <t>WFM_Ticket_Data</t>
  </si>
  <si>
    <t>\REGION\OPS\EMEA\BULGARIA\Sofia\CRT\WFM</t>
  </si>
  <si>
    <t>\\10.7.16.12\ssis\Data Sources\BO_COR\WFM GA</t>
  </si>
  <si>
    <t>IT</t>
  </si>
  <si>
    <t>Email Salesforce LOST Cases</t>
  </si>
  <si>
    <t>GI</t>
  </si>
  <si>
    <t>CSAT Mediatech and Intercom</t>
  </si>
  <si>
    <t>Telephony</t>
  </si>
  <si>
    <t>Quality</t>
  </si>
  <si>
    <t>CSAT - NPS</t>
  </si>
  <si>
    <t>Attrition report</t>
  </si>
  <si>
    <t>Foundever</t>
  </si>
  <si>
    <t>Quarterly Presence Forms report/Quarterly Consolidated_All_Teams report</t>
  </si>
  <si>
    <t>FreeNet</t>
  </si>
  <si>
    <t>FreeNet/Klarmobil</t>
  </si>
  <si>
    <t>Sample Size file</t>
  </si>
  <si>
    <t>Ebay Forecasts</t>
  </si>
  <si>
    <t>Ebay Targets</t>
  </si>
  <si>
    <t>Intra-Day</t>
  </si>
  <si>
    <t xml:space="preserve">QBR/MBR/WBR </t>
  </si>
  <si>
    <t>Lexmark</t>
  </si>
  <si>
    <t>CSAT</t>
  </si>
  <si>
    <t>daily</t>
  </si>
  <si>
    <t>MCM &amp; PO</t>
  </si>
  <si>
    <t>MCM and PO Roster update</t>
  </si>
  <si>
    <t>SFTP Data Update</t>
  </si>
  <si>
    <t>Klarna</t>
  </si>
  <si>
    <t>Klarna Insights</t>
  </si>
  <si>
    <t>KVN</t>
  </si>
  <si>
    <t>Kenvue</t>
  </si>
  <si>
    <t>RingCentral</t>
  </si>
  <si>
    <t>https://sitel.sharepoint.com/:o:/r/sites/EMEAREPORTINGPRIVATE/Projects/1.%20Site/7.%20Sofia/4.%20Working%20Instructions/Sofia%20Working%20Instructions</t>
  </si>
  <si>
    <t>https://app.powerbi.com/groups/me/apps/d9eae375-4667-4e5f-be4a-69fedc290e62?experience=power-bi</t>
  </si>
  <si>
    <t>Epson iCoach Campaign Level</t>
  </si>
  <si>
    <t>Epson iCoach Campaign Level - CMSR</t>
  </si>
  <si>
    <t>Epson Dashboard</t>
  </si>
  <si>
    <t>https://app.powerbi.com/groups/me/apps/fe7e22ae-8d74-4f4d-b9b7-60c020fee7eb?tenant=7f16c8b3-f0ef-45a1-aa81-9d5c90cb8ba5&amp;experience=power-bi</t>
  </si>
  <si>
    <t>ZF Friedrichshafen</t>
  </si>
  <si>
    <t>ZF Dashboard</t>
  </si>
  <si>
    <t>ZF iCoach Upload</t>
  </si>
  <si>
    <t>ZF iCoach Campaign Level</t>
  </si>
  <si>
    <t>ZF Agent Bonuses</t>
  </si>
  <si>
    <t>ZF TM Bonuses</t>
  </si>
  <si>
    <t>https://app.powerbi.com/groups/me/apps/affed4ae-926c-4f8f-a48d-395b05c6d3cf?tenant=7f16c8b3-f0ef-45a1-aa81-9d5c90cb8ba5&amp;experience=power-bi</t>
  </si>
  <si>
    <t>\\10.17.25.15\client$\ZF Friedrichshafen\Data_ZF_Friedrichshafen\Private\Team Manager\Reporting\Bonuses</t>
  </si>
  <si>
    <t>\\10.17.25.15\Administrative$\Reporting\Data_Reporting\Private\1. Projects\8. Sofia\4. Standard Reports\ZF Bonuses</t>
  </si>
  <si>
    <t>JnJ Dashboard</t>
  </si>
  <si>
    <t>Kenvue iCoach Campaign Level Sofia</t>
  </si>
  <si>
    <t>Kenvue iCoach Campaign Level Athens</t>
  </si>
  <si>
    <t>Kenvue iCoach Campaign Level Berlin</t>
  </si>
  <si>
    <t>https://app.powerbi.com/groups/me/apps/b98b30a3-c85c-4c6a-bc01-5d6b9928e773?tenant=7f16c8b3-f0ef-45a1-aa81-9d5c90cb8ba5&amp;experience=power-bi</t>
  </si>
  <si>
    <t>\\10.17.25.15\client$\JnJ\Data_JnJ\Private\Learning_Specialist\QM\QM Process\Kenvue QM Distro 2024</t>
  </si>
  <si>
    <t>\\10.17.25.15\client$\JnJ\Data_JnJ\Private\Learning_Specialist\QM\QM Process</t>
  </si>
  <si>
    <t>\\10.19.2.20\Client$\Ebay\Data_Ebay\Private\Learning Specialist\01. Reporting\02. Bonus files</t>
  </si>
  <si>
    <t>Kenvue QBR report</t>
  </si>
  <si>
    <t>https://sitel.sharepoint.com/:o:/r/sites/EMEAREPORTINGPRIVATE/Projects/1.%20Site/8.%20Varna/4.%20Working%20Instructions/Varna%20Working%20Instructions</t>
  </si>
  <si>
    <t>Freenet/Klarmobil</t>
  </si>
  <si>
    <t>Freenet</t>
  </si>
  <si>
    <t>Klarmobil Agent Bonuses</t>
  </si>
  <si>
    <t>Freenet Dashboard</t>
  </si>
  <si>
    <t>Freenet iCoach Upload</t>
  </si>
  <si>
    <t>Freenet Agent Bonuses</t>
  </si>
  <si>
    <t>Kenvue QM Distro Sofia</t>
  </si>
  <si>
    <t>Kenvue QM Distro Athens</t>
  </si>
  <si>
    <t>report is not for the person</t>
  </si>
  <si>
    <t>can run it</t>
  </si>
  <si>
    <t>can troubleshoot it</t>
  </si>
  <si>
    <t>training</t>
  </si>
  <si>
    <t>can make mofications</t>
  </si>
  <si>
    <t>Sofia QA data</t>
  </si>
  <si>
    <t>Master Roster File</t>
  </si>
  <si>
    <t>This report is completely automated. Currently there are separate files for Globa, Ebay, JET, ADC, TEMU, Klarna.</t>
  </si>
  <si>
    <t>iCoach Data Upload</t>
  </si>
  <si>
    <t>Bonuses - Agents</t>
  </si>
  <si>
    <t>Bi-Weekly</t>
  </si>
  <si>
    <t>RingCentral Agent Bonuses</t>
  </si>
  <si>
    <t>CSAT Manual Exceptions</t>
  </si>
  <si>
    <t>IDD</t>
  </si>
  <si>
    <t>Conformance</t>
  </si>
  <si>
    <t>CapPlan Template</t>
  </si>
  <si>
    <t>\\10.17.25.15\Administrative$\Reporting\Data_Reporting\Private\1. Projects\23. WFM\CapPlan</t>
  </si>
  <si>
    <t>ANI Report</t>
  </si>
  <si>
    <t>VP</t>
  </si>
  <si>
    <t>Epson Bonus</t>
  </si>
  <si>
    <t>\\10.17.25.15\Administrative$\Reporting\Data_Reporting\Private\1. Projects\8. Sofia\4. Standard Reports\Epson Bonuses</t>
  </si>
  <si>
    <t>\\emeaits.emea.sitel-world.net\Prod\reports\576TOT1</t>
  </si>
  <si>
    <t>\\emeaits.emea.sitel-world.net\Prod\reports\049TOT1</t>
  </si>
  <si>
    <t>\\emeaits.emea.sitel-world.net\Prod\reports\10220T1</t>
  </si>
  <si>
    <t>\\emeaits.emea.sitel-world.net\Prod\reports\481TOT1</t>
  </si>
  <si>
    <t>\\emeaits.emea.sitel-world.net\Prod\reports\11340T1</t>
  </si>
  <si>
    <t>\\emeaits.emea.sitel-world.net\Prod\reports\105TOT1</t>
  </si>
  <si>
    <t>https://sitel.sharepoint.com/sites/EMEAREPORTINGPRIVATE/_layouts/15/Doc.aspx?sourcedoc={1b61f683-a43c-4647-8970-c2ff9a81899f}&amp;action=edit&amp;wd=target%28Untitled%20Section.one%7Ccc0e5794-a221-4f47-9e2c-46824b8908b1%2FOverview%7C27f2e6e1-312e-428f-a4a9-e68b9a445352%2F%29&amp;wdorigin=NavigationUrl</t>
  </si>
  <si>
    <t>Master Roster File - Global</t>
  </si>
  <si>
    <t>https://sitel.sharepoint.com/sites/EMEAREPORTINGPRIVATE/_layouts/15/Doc.aspx?sourcedoc={a4c05416-6148-4630-a1cb-169ccb12e7d9}&amp;action=edit&amp;wd=target%28Untitled%20Section.one%7C896ae842-4b85-4ad5-88a8-efb0745f4c14%2FSummary%7C4b85afdf-66a3-4316-a281-3e8ce0956c9b%2F%29&amp;wdorigin=NavigationUrl</t>
  </si>
  <si>
    <t>Master Roster File - Klarna</t>
  </si>
  <si>
    <t>Master Roster File - Ebay</t>
  </si>
  <si>
    <t>Master Roster File - Temu</t>
  </si>
  <si>
    <t>Master Roster File - ADC</t>
  </si>
  <si>
    <t>Billing Analytics</t>
  </si>
  <si>
    <t>https://sitel.sharepoint.com/sites/EMEAREPORTINGPRIVATE/_layouts/15/Doc.aspx?sourcedoc={1b61f683-a43c-4647-8970-c2ff9a81899f}&amp;action=edit&amp;wd=target%28Billing%20Analytics.one%7C27b537c2-f01f-4d18-80b3-1de193cf525e%2FOverview%7C297abd25-8270-4552-bbd2-cc51e9a7efff%2F%29&amp;wdorigin=NavigationUrl</t>
  </si>
  <si>
    <t>Billing Summary</t>
  </si>
  <si>
    <t>https://sitel.sharepoint.com/sites/EMEAREPORTINGPRIVATE/_layouts/15/Doc.aspx?sourcedoc={1b61f683-a43c-4647-8970-c2ff9a81899f}&amp;action=edit&amp;wd=target%28Billing%20Summary.one%7C51ca08d1-07d7-4149-87a3-72c7f557086d%2FSummary%7Cb2ed8fa6-a3ab-4a87-ad45-af6a3215b3d7%2F%29&amp;wdorigin=NavigationUrl</t>
  </si>
  <si>
    <t>https://sitel.sharepoint.com/sites/EMEAREPORTINGPRIVATE/_layouts/15/Doc.aspx?sourcedoc={1b61f683-a43c-4647-8970-c2ff9a81899f}&amp;action=edit&amp;wd=target%28Klarna%20Complete%20Roster.one%7C96deacfc-4855-4a5b-8c34-8f97cbb5178b%2FUntitled%20Page%7C0bd70e28-8327-4f8d-920c-9679034ae985%2F%29&amp;wdorigin=Navigation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</si>
</sst>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rgb="FF000000"/>
      <name val="Calibri"/>
      <family val="2"/>
      <scheme val="minor"/>
    </font>
    <font>
      <b/>
      <sz val="20"/>
      <color theme="1"/>
      <name val="Calibri"/>
      <family val="2"/>
      <scheme val="minor"/>
    </font>
    <font>
      <sz val="10"/>
      <color indexed="8"/>
      <name val="Arial"/>
      <family val="2"/>
    </font>
    <font>
      <b/>
      <sz val="11"/>
      <color theme="1"/>
      <name val="Calibri"/>
      <family val="2"/>
      <scheme val="minor"/>
    </font>
    <font>
      <sz val="11"/>
      <color rgb="FFFF0000"/>
      <name val="Calibri"/>
      <family val="2"/>
      <scheme val="minor"/>
    </font>
    <font>
      <sz val="9"/>
      <color indexed="81"/>
      <name val="Tahoma"/>
      <family val="2"/>
    </font>
    <font>
      <b/>
      <sz val="9"/>
      <color indexed="81"/>
      <name val="Tahoma"/>
      <family val="2"/>
    </font>
    <font>
      <u/>
      <sz val="11"/>
      <color theme="10"/>
      <name val="Calibri"/>
      <family val="2"/>
      <scheme val="minor"/>
    </font>
    <font>
      <sz val="11"/>
      <name val="Calibri"/>
      <family val="2"/>
      <charset val="204"/>
      <scheme val="minor"/>
    </font>
    <font>
      <sz val="11"/>
      <name val="Calibri"/>
      <family val="2"/>
      <scheme val="minor"/>
    </font>
    <font>
      <u/>
      <sz val="11"/>
      <name val="Calibri"/>
      <family val="2"/>
      <charset val="204"/>
      <scheme val="minor"/>
    </font>
    <font>
      <u/>
      <sz val="11"/>
      <name val="Calibri"/>
      <family val="2"/>
      <scheme val="minor"/>
    </font>
    <font>
      <sz val="11"/>
      <color theme="0"/>
      <name val="Calibri"/>
      <family val="2"/>
      <scheme val="minor"/>
    </font>
    <font>
      <sz val="11"/>
      <name val="Calibri"/>
      <family val="2"/>
      <scheme val="minor"/>
    </font>
    <font>
      <sz val="11"/>
      <name val="Calibri"/>
      <family val="2"/>
      <charset val="204"/>
      <scheme val="minor"/>
    </font>
    <font>
      <sz val="11"/>
      <color rgb="FF000000"/>
      <name val="Calibri"/>
      <family val="2"/>
      <scheme val="minor"/>
    </font>
  </fonts>
  <fills count="18">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D0CECE"/>
        <bgColor indexed="64"/>
      </patternFill>
    </fill>
    <fill>
      <patternFill patternType="solid">
        <fgColor theme="4" tint="0.59999389629810485"/>
        <bgColor indexed="64"/>
      </patternFill>
    </fill>
    <fill>
      <patternFill patternType="solid">
        <fgColor theme="8" tint="0.79998168889431442"/>
        <bgColor theme="8" tint="0.79998168889431442"/>
      </patternFill>
    </fill>
    <fill>
      <patternFill patternType="solid">
        <fgColor rgb="FFFFC000"/>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rgb="FFFF99FF"/>
        <bgColor indexed="64"/>
      </patternFill>
    </fill>
    <fill>
      <patternFill patternType="solid">
        <fgColor theme="0" tint="-0.34998626667073579"/>
        <bgColor indexed="64"/>
      </patternFill>
    </fill>
    <fill>
      <patternFill patternType="solid">
        <fgColor theme="2"/>
        <bgColor indexed="64"/>
      </patternFill>
    </fill>
    <fill>
      <patternFill patternType="solid">
        <fgColor theme="4" tint="0.79998168889431442"/>
        <bgColor theme="4" tint="0.79998168889431442"/>
      </patternFill>
    </fill>
    <fill>
      <patternFill patternType="solid">
        <fgColor rgb="FFFFFF00"/>
        <bgColor theme="4" tint="0.79998168889431442"/>
      </patternFill>
    </fill>
    <fill>
      <patternFill patternType="solid">
        <fgColor theme="0" tint="-0.249977111117893"/>
        <bgColor indexed="64"/>
      </patternFill>
    </fill>
  </fills>
  <borders count="25">
    <border>
      <left/>
      <right/>
      <top/>
      <bottom/>
      <diagonal/>
    </border>
    <border>
      <left style="thin">
        <color theme="8" tint="0.39997558519241921"/>
      </left>
      <right/>
      <top style="thin">
        <color theme="8" tint="0.39997558519241921"/>
      </top>
      <bottom/>
      <diagonal/>
    </border>
    <border>
      <left style="medium">
        <color rgb="FF8EA9DB"/>
      </left>
      <right/>
      <top style="medium">
        <color rgb="FF8EA9DB"/>
      </top>
      <bottom/>
      <diagonal/>
    </border>
    <border>
      <left style="medium">
        <color rgb="FF8EA9DB"/>
      </left>
      <right/>
      <top style="medium">
        <color rgb="FF8EA9DB"/>
      </top>
      <bottom style="medium">
        <color rgb="FF8EA9DB"/>
      </bottom>
      <diagonal/>
    </border>
    <border>
      <left style="thin">
        <color theme="8" tint="0.39997558519241921"/>
      </left>
      <right/>
      <top/>
      <bottom/>
      <diagonal/>
    </border>
    <border>
      <left style="medium">
        <color rgb="FF8EA9DB"/>
      </left>
      <right/>
      <top/>
      <bottom/>
      <diagonal/>
    </border>
    <border>
      <left/>
      <right/>
      <top style="medium">
        <color rgb="FF8EA9DB"/>
      </top>
      <bottom/>
      <diagonal/>
    </border>
    <border>
      <left style="thin">
        <color theme="8"/>
      </left>
      <right style="thin">
        <color theme="8"/>
      </right>
      <top style="thin">
        <color theme="8"/>
      </top>
      <bottom style="thin">
        <color theme="8"/>
      </bottom>
      <diagonal/>
    </border>
    <border>
      <left style="thin">
        <color theme="8"/>
      </left>
      <right style="thin">
        <color theme="8"/>
      </right>
      <top style="medium">
        <color rgb="FF8EA9DB"/>
      </top>
      <bottom style="thin">
        <color theme="8"/>
      </bottom>
      <diagonal/>
    </border>
    <border>
      <left/>
      <right/>
      <top style="thin">
        <color theme="8" tint="0.39997558519241921"/>
      </top>
      <bottom/>
      <diagonal/>
    </border>
    <border>
      <left/>
      <right style="thin">
        <color theme="8"/>
      </right>
      <top style="thin">
        <color theme="8"/>
      </top>
      <bottom style="thin">
        <color theme="8"/>
      </bottom>
      <diagonal/>
    </border>
    <border>
      <left style="thin">
        <color theme="8"/>
      </left>
      <right/>
      <top style="thin">
        <color theme="8"/>
      </top>
      <bottom style="thin">
        <color theme="8"/>
      </bottom>
      <diagonal/>
    </border>
    <border>
      <left/>
      <right style="thin">
        <color theme="8"/>
      </right>
      <top/>
      <bottom style="medium">
        <color theme="8"/>
      </bottom>
      <diagonal/>
    </border>
    <border>
      <left style="thin">
        <color theme="8"/>
      </left>
      <right style="thin">
        <color theme="8"/>
      </right>
      <top/>
      <bottom style="medium">
        <color theme="8"/>
      </bottom>
      <diagonal/>
    </border>
    <border>
      <left style="thin">
        <color theme="8"/>
      </left>
      <right/>
      <top/>
      <bottom style="medium">
        <color theme="8"/>
      </bottom>
      <diagonal/>
    </border>
    <border>
      <left/>
      <right style="thin">
        <color theme="8"/>
      </right>
      <top style="thin">
        <color theme="8"/>
      </top>
      <bottom/>
      <diagonal/>
    </border>
    <border>
      <left style="thin">
        <color theme="8"/>
      </left>
      <right style="thin">
        <color theme="8"/>
      </right>
      <top style="thin">
        <color theme="8"/>
      </top>
      <bottom/>
      <diagonal/>
    </border>
    <border>
      <left style="thin">
        <color theme="8"/>
      </left>
      <right/>
      <top style="thin">
        <color theme="8"/>
      </top>
      <bottom/>
      <diagonal/>
    </border>
    <border>
      <left style="thin">
        <color theme="4"/>
      </left>
      <right style="thin">
        <color theme="4"/>
      </right>
      <top style="thin">
        <color theme="4"/>
      </top>
      <bottom style="thin">
        <color theme="4"/>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theme="4"/>
      </left>
      <right style="thin">
        <color theme="4"/>
      </right>
      <top style="thin">
        <color theme="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medium">
        <color rgb="FF8EA9DB"/>
      </top>
      <bottom style="medium">
        <color rgb="FF8EA9DB"/>
      </bottom>
      <diagonal/>
    </border>
  </borders>
  <cellStyleXfs count="3">
    <xf numFmtId="0" fontId="0" fillId="0" borderId="0"/>
    <xf numFmtId="0" fontId="3" fillId="0" borderId="0">
      <alignment vertical="top"/>
    </xf>
    <xf numFmtId="0" fontId="8" fillId="0" borderId="0" applyNumberFormat="0" applyFill="0" applyBorder="0" applyAlignment="0" applyProtection="0"/>
  </cellStyleXfs>
  <cellXfs count="153">
    <xf numFmtId="0" fontId="0" fillId="0" borderId="0" xfId="0"/>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left" vertical="center" wrapText="1"/>
    </xf>
    <xf numFmtId="0" fontId="4" fillId="8" borderId="1" xfId="0" applyFont="1" applyFill="1" applyBorder="1" applyAlignment="1">
      <alignment horizontal="center" vertical="center"/>
    </xf>
    <xf numFmtId="0" fontId="1" fillId="6" borderId="2" xfId="0" applyFont="1" applyFill="1" applyBorder="1" applyAlignment="1">
      <alignment horizontal="center" vertical="center"/>
    </xf>
    <xf numFmtId="0" fontId="1" fillId="2" borderId="2" xfId="0" applyFont="1" applyFill="1" applyBorder="1" applyAlignment="1">
      <alignment horizontal="center" vertical="center"/>
    </xf>
    <xf numFmtId="0" fontId="1" fillId="3" borderId="2" xfId="0" applyFont="1" applyFill="1" applyBorder="1" applyAlignment="1">
      <alignment horizontal="center" vertical="center"/>
    </xf>
    <xf numFmtId="0" fontId="1" fillId="4" borderId="2" xfId="0" applyFont="1" applyFill="1" applyBorder="1" applyAlignment="1">
      <alignment horizontal="center" vertical="center"/>
    </xf>
    <xf numFmtId="0" fontId="1" fillId="5" borderId="3" xfId="0" applyFont="1" applyFill="1" applyBorder="1" applyAlignment="1">
      <alignment horizontal="center" vertical="center"/>
    </xf>
    <xf numFmtId="0" fontId="0" fillId="0" borderId="0" xfId="0" applyAlignment="1">
      <alignment horizontal="left"/>
    </xf>
    <xf numFmtId="0" fontId="1" fillId="3" borderId="0" xfId="0" applyFont="1" applyFill="1" applyAlignment="1">
      <alignment horizontal="left" vertical="center"/>
    </xf>
    <xf numFmtId="0" fontId="1" fillId="4" borderId="0" xfId="0" applyFont="1" applyFill="1" applyAlignment="1">
      <alignment horizontal="left" vertical="center"/>
    </xf>
    <xf numFmtId="0" fontId="1" fillId="5" borderId="0" xfId="0" applyFont="1" applyFill="1" applyAlignment="1">
      <alignment horizontal="left" vertical="center"/>
    </xf>
    <xf numFmtId="0" fontId="4" fillId="8" borderId="0" xfId="0" applyFont="1" applyFill="1" applyAlignment="1">
      <alignment horizontal="left"/>
    </xf>
    <xf numFmtId="0" fontId="1" fillId="6" borderId="0" xfId="0" applyFont="1" applyFill="1" applyAlignment="1">
      <alignment horizontal="left" vertical="center"/>
    </xf>
    <xf numFmtId="0" fontId="1" fillId="2" borderId="0" xfId="0" applyFont="1" applyFill="1" applyAlignment="1">
      <alignment horizontal="left" vertical="center"/>
    </xf>
    <xf numFmtId="14" fontId="0" fillId="9" borderId="0" xfId="0" applyNumberFormat="1" applyFill="1" applyAlignment="1">
      <alignment horizontal="center"/>
    </xf>
    <xf numFmtId="0" fontId="0" fillId="9" borderId="0" xfId="0" applyFill="1" applyAlignment="1">
      <alignment horizontal="center"/>
    </xf>
    <xf numFmtId="0" fontId="4" fillId="8" borderId="4" xfId="0" applyFont="1" applyFill="1" applyBorder="1"/>
    <xf numFmtId="0" fontId="4" fillId="8" borderId="0" xfId="0" applyFont="1" applyFill="1"/>
    <xf numFmtId="0" fontId="1" fillId="6" borderId="5" xfId="0" applyFont="1" applyFill="1" applyBorder="1" applyAlignment="1">
      <alignment vertical="center"/>
    </xf>
    <xf numFmtId="0" fontId="1" fillId="6" borderId="0" xfId="0" applyFont="1" applyFill="1" applyAlignment="1">
      <alignment vertical="center"/>
    </xf>
    <xf numFmtId="0" fontId="1" fillId="2" borderId="5" xfId="0" applyFont="1" applyFill="1" applyBorder="1" applyAlignment="1">
      <alignment vertical="center"/>
    </xf>
    <xf numFmtId="0" fontId="1" fillId="2" borderId="0" xfId="0" applyFont="1" applyFill="1" applyAlignment="1">
      <alignment vertical="center"/>
    </xf>
    <xf numFmtId="0" fontId="1" fillId="3" borderId="5" xfId="0" applyFont="1" applyFill="1" applyBorder="1" applyAlignment="1">
      <alignment vertical="center"/>
    </xf>
    <xf numFmtId="0" fontId="1" fillId="3" borderId="0" xfId="0" applyFont="1" applyFill="1" applyAlignment="1">
      <alignment vertical="center"/>
    </xf>
    <xf numFmtId="0" fontId="1" fillId="4" borderId="5" xfId="0" applyFont="1" applyFill="1" applyBorder="1" applyAlignment="1">
      <alignment vertical="center"/>
    </xf>
    <xf numFmtId="0" fontId="1" fillId="4" borderId="0" xfId="0" applyFont="1" applyFill="1" applyAlignment="1">
      <alignment vertical="center"/>
    </xf>
    <xf numFmtId="0" fontId="1" fillId="5" borderId="5" xfId="0" applyFont="1" applyFill="1" applyBorder="1" applyAlignment="1">
      <alignment vertical="center"/>
    </xf>
    <xf numFmtId="0" fontId="1" fillId="5" borderId="0" xfId="0" applyFont="1" applyFill="1" applyAlignment="1">
      <alignment vertical="center"/>
    </xf>
    <xf numFmtId="0" fontId="1" fillId="0" borderId="6" xfId="0" applyFont="1" applyBorder="1" applyAlignment="1">
      <alignment horizontal="center" vertical="center"/>
    </xf>
    <xf numFmtId="0" fontId="0" fillId="10" borderId="0" xfId="0" applyFill="1" applyAlignment="1">
      <alignment horizontal="center"/>
    </xf>
    <xf numFmtId="14" fontId="0" fillId="10" borderId="0" xfId="0" applyNumberFormat="1" applyFill="1" applyAlignment="1">
      <alignment horizontal="center"/>
    </xf>
    <xf numFmtId="0" fontId="0" fillId="10" borderId="0" xfId="0" applyFill="1" applyAlignment="1">
      <alignment horizontal="left"/>
    </xf>
    <xf numFmtId="0" fontId="0" fillId="11" borderId="0" xfId="0" applyFill="1" applyAlignment="1">
      <alignment horizontal="center"/>
    </xf>
    <xf numFmtId="0" fontId="0" fillId="5" borderId="0" xfId="0" applyFill="1" applyAlignment="1">
      <alignment horizontal="center"/>
    </xf>
    <xf numFmtId="0" fontId="0" fillId="2" borderId="0" xfId="0" applyFill="1" applyAlignment="1">
      <alignment horizontal="center"/>
    </xf>
    <xf numFmtId="0" fontId="0" fillId="3" borderId="0" xfId="0" applyFill="1" applyAlignment="1">
      <alignment horizontal="center"/>
    </xf>
    <xf numFmtId="0" fontId="0" fillId="2" borderId="0" xfId="0" applyFill="1" applyAlignment="1">
      <alignment horizontal="center" vertical="center" wrapText="1"/>
    </xf>
    <xf numFmtId="0" fontId="0" fillId="12" borderId="0" xfId="0" applyFill="1" applyAlignment="1">
      <alignment horizontal="center"/>
    </xf>
    <xf numFmtId="0" fontId="0" fillId="0" borderId="0" xfId="0" applyAlignment="1">
      <alignment horizontal="left" wrapText="1"/>
    </xf>
    <xf numFmtId="14" fontId="0" fillId="11" borderId="0" xfId="0" applyNumberFormat="1" applyFill="1" applyAlignment="1">
      <alignment horizontal="center"/>
    </xf>
    <xf numFmtId="0" fontId="0" fillId="11" borderId="0" xfId="0" applyFill="1" applyAlignment="1">
      <alignment horizontal="left"/>
    </xf>
    <xf numFmtId="0" fontId="0" fillId="11" borderId="0" xfId="0" applyFill="1"/>
    <xf numFmtId="0" fontId="0" fillId="13" borderId="0" xfId="0" applyFill="1" applyAlignment="1">
      <alignment horizontal="center"/>
    </xf>
    <xf numFmtId="14" fontId="0" fillId="13" borderId="0" xfId="0" applyNumberFormat="1" applyFill="1" applyAlignment="1">
      <alignment horizontal="center"/>
    </xf>
    <xf numFmtId="0" fontId="0" fillId="13" borderId="0" xfId="0" applyFill="1" applyAlignment="1">
      <alignment horizontal="left"/>
    </xf>
    <xf numFmtId="0" fontId="1" fillId="0" borderId="0" xfId="0" applyFont="1" applyAlignment="1">
      <alignment horizontal="center" vertical="center"/>
    </xf>
    <xf numFmtId="0" fontId="0" fillId="14" borderId="0" xfId="0" applyFill="1" applyAlignment="1">
      <alignment horizontal="center"/>
    </xf>
    <xf numFmtId="0" fontId="2" fillId="7" borderId="0" xfId="0" applyFont="1" applyFill="1" applyAlignment="1">
      <alignment horizontal="center" vertical="center"/>
    </xf>
    <xf numFmtId="9" fontId="0" fillId="9" borderId="0" xfId="0" applyNumberFormat="1" applyFill="1" applyAlignment="1">
      <alignment horizontal="center"/>
    </xf>
    <xf numFmtId="0" fontId="1" fillId="8" borderId="7" xfId="0" applyFont="1" applyFill="1" applyBorder="1" applyAlignment="1">
      <alignment horizontal="center" vertical="center"/>
    </xf>
    <xf numFmtId="0" fontId="0" fillId="8" borderId="7" xfId="0" applyFill="1" applyBorder="1" applyAlignment="1">
      <alignment horizontal="center"/>
    </xf>
    <xf numFmtId="0" fontId="0" fillId="5" borderId="0" xfId="0" applyFill="1"/>
    <xf numFmtId="0" fontId="0" fillId="9" borderId="7" xfId="0" applyFill="1" applyBorder="1" applyAlignment="1">
      <alignment horizontal="center"/>
    </xf>
    <xf numFmtId="0" fontId="0" fillId="3" borderId="0" xfId="0" applyFill="1"/>
    <xf numFmtId="0" fontId="0" fillId="2" borderId="0" xfId="0" applyFill="1"/>
    <xf numFmtId="0" fontId="1" fillId="8" borderId="8" xfId="0" applyFont="1" applyFill="1" applyBorder="1" applyAlignment="1">
      <alignment horizontal="center" vertical="center"/>
    </xf>
    <xf numFmtId="0" fontId="0" fillId="4" borderId="0" xfId="0" applyFill="1"/>
    <xf numFmtId="9" fontId="0" fillId="3" borderId="0" xfId="0" applyNumberFormat="1" applyFill="1"/>
    <xf numFmtId="9" fontId="0" fillId="5" borderId="0" xfId="0" applyNumberFormat="1" applyFill="1"/>
    <xf numFmtId="9" fontId="0" fillId="4" borderId="0" xfId="0" applyNumberFormat="1" applyFill="1"/>
    <xf numFmtId="9" fontId="0" fillId="2" borderId="0" xfId="0" applyNumberFormat="1" applyFill="1"/>
    <xf numFmtId="0" fontId="0" fillId="8" borderId="10" xfId="0" applyFill="1" applyBorder="1" applyAlignment="1">
      <alignment horizontal="center"/>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8" borderId="11" xfId="0" applyFill="1" applyBorder="1" applyAlignment="1">
      <alignment horizontal="left"/>
    </xf>
    <xf numFmtId="0" fontId="4" fillId="0" borderId="14" xfId="0" applyFont="1" applyBorder="1" applyAlignment="1">
      <alignment horizontal="left" vertical="center" wrapText="1"/>
    </xf>
    <xf numFmtId="0" fontId="0" fillId="9" borderId="16" xfId="0" applyFill="1" applyBorder="1" applyAlignment="1">
      <alignment horizontal="center"/>
    </xf>
    <xf numFmtId="0" fontId="0" fillId="0" borderId="17" xfId="0" applyBorder="1" applyAlignment="1">
      <alignment horizontal="left"/>
    </xf>
    <xf numFmtId="0" fontId="9" fillId="0" borderId="0" xfId="0" applyFont="1" applyAlignment="1">
      <alignment horizontal="left"/>
    </xf>
    <xf numFmtId="0" fontId="9" fillId="0" borderId="0" xfId="0" applyFont="1"/>
    <xf numFmtId="0" fontId="10" fillId="0" borderId="0" xfId="0" applyFont="1"/>
    <xf numFmtId="0" fontId="9" fillId="3" borderId="0" xfId="0" applyFont="1" applyFill="1" applyAlignment="1">
      <alignment horizontal="left"/>
    </xf>
    <xf numFmtId="0" fontId="10" fillId="3" borderId="0" xfId="0" applyFont="1" applyFill="1"/>
    <xf numFmtId="0" fontId="9" fillId="3" borderId="0" xfId="0" applyFont="1" applyFill="1"/>
    <xf numFmtId="0" fontId="8" fillId="3" borderId="0" xfId="2" applyFill="1"/>
    <xf numFmtId="0" fontId="10" fillId="3" borderId="0" xfId="0" applyFont="1" applyFill="1" applyAlignment="1">
      <alignment horizontal="left"/>
    </xf>
    <xf numFmtId="0" fontId="10" fillId="0" borderId="0" xfId="0" applyFont="1" applyAlignment="1">
      <alignment horizontal="left"/>
    </xf>
    <xf numFmtId="0" fontId="8" fillId="0" borderId="0" xfId="2"/>
    <xf numFmtId="0" fontId="11" fillId="3" borderId="0" xfId="2" applyFont="1" applyFill="1"/>
    <xf numFmtId="0" fontId="9" fillId="3" borderId="19" xfId="0" applyFont="1" applyFill="1" applyBorder="1"/>
    <xf numFmtId="0" fontId="9" fillId="0" borderId="19" xfId="0" applyFont="1" applyBorder="1"/>
    <xf numFmtId="0" fontId="10" fillId="3" borderId="19" xfId="0" applyFont="1" applyFill="1" applyBorder="1"/>
    <xf numFmtId="0" fontId="12" fillId="3" borderId="0" xfId="2" applyFont="1" applyFill="1"/>
    <xf numFmtId="0" fontId="10" fillId="0" borderId="19" xfId="0" applyFont="1" applyBorder="1"/>
    <xf numFmtId="0" fontId="10" fillId="0" borderId="20" xfId="0" applyFont="1" applyBorder="1"/>
    <xf numFmtId="0" fontId="8" fillId="0" borderId="19" xfId="2" applyBorder="1"/>
    <xf numFmtId="0" fontId="10" fillId="15" borderId="19" xfId="0" applyFont="1" applyFill="1" applyBorder="1"/>
    <xf numFmtId="0" fontId="10" fillId="15" borderId="20" xfId="0" applyFont="1" applyFill="1" applyBorder="1"/>
    <xf numFmtId="0" fontId="10" fillId="16" borderId="20" xfId="0" applyFont="1" applyFill="1" applyBorder="1"/>
    <xf numFmtId="0" fontId="5" fillId="3" borderId="0" xfId="0" applyFont="1" applyFill="1"/>
    <xf numFmtId="9" fontId="13" fillId="2" borderId="0" xfId="0" applyNumberFormat="1" applyFont="1" applyFill="1"/>
    <xf numFmtId="9" fontId="13" fillId="5" borderId="0" xfId="0" applyNumberFormat="1" applyFont="1" applyFill="1"/>
    <xf numFmtId="0" fontId="10" fillId="9" borderId="0" xfId="0" applyFont="1" applyFill="1" applyAlignment="1">
      <alignment horizontal="center"/>
    </xf>
    <xf numFmtId="0" fontId="14" fillId="0" borderId="0" xfId="0" applyFont="1"/>
    <xf numFmtId="0" fontId="14" fillId="0" borderId="0" xfId="0" applyFont="1" applyAlignment="1">
      <alignment horizontal="left"/>
    </xf>
    <xf numFmtId="0" fontId="14" fillId="3" borderId="0" xfId="0" applyFont="1" applyFill="1"/>
    <xf numFmtId="0" fontId="10" fillId="3" borderId="20" xfId="0" applyFont="1" applyFill="1" applyBorder="1"/>
    <xf numFmtId="0" fontId="10" fillId="3" borderId="21" xfId="0" applyFont="1" applyFill="1" applyBorder="1"/>
    <xf numFmtId="0" fontId="10" fillId="3" borderId="18" xfId="0" applyFont="1" applyFill="1" applyBorder="1"/>
    <xf numFmtId="0" fontId="8" fillId="3" borderId="21" xfId="2" applyFill="1" applyBorder="1"/>
    <xf numFmtId="14" fontId="0" fillId="9" borderId="22" xfId="0" applyNumberFormat="1" applyFill="1" applyBorder="1" applyAlignment="1">
      <alignment horizontal="center"/>
    </xf>
    <xf numFmtId="0" fontId="0" fillId="9" borderId="22" xfId="0" applyFill="1" applyBorder="1" applyAlignment="1">
      <alignment horizontal="center"/>
    </xf>
    <xf numFmtId="0" fontId="0" fillId="0" borderId="22" xfId="0" applyBorder="1" applyAlignment="1">
      <alignment horizontal="left"/>
    </xf>
    <xf numFmtId="14" fontId="0" fillId="9" borderId="23" xfId="0" applyNumberFormat="1" applyFill="1" applyBorder="1" applyAlignment="1">
      <alignment horizontal="center"/>
    </xf>
    <xf numFmtId="0" fontId="0" fillId="9" borderId="23" xfId="0" applyFill="1" applyBorder="1" applyAlignment="1">
      <alignment horizontal="center"/>
    </xf>
    <xf numFmtId="0" fontId="0" fillId="0" borderId="23" xfId="0" applyBorder="1" applyAlignment="1">
      <alignment horizontal="left"/>
    </xf>
    <xf numFmtId="0" fontId="0" fillId="17" borderId="0" xfId="0" applyFill="1" applyAlignment="1">
      <alignment horizontal="center"/>
    </xf>
    <xf numFmtId="9" fontId="10" fillId="9" borderId="0" xfId="0" applyNumberFormat="1" applyFont="1" applyFill="1" applyAlignment="1">
      <alignment horizontal="center"/>
    </xf>
    <xf numFmtId="9" fontId="0" fillId="3" borderId="0" xfId="0" applyNumberFormat="1" applyFill="1" applyAlignment="1">
      <alignment horizontal="center"/>
    </xf>
    <xf numFmtId="9" fontId="0" fillId="5" borderId="0" xfId="0" applyNumberFormat="1" applyFill="1" applyAlignment="1">
      <alignment horizontal="center"/>
    </xf>
    <xf numFmtId="9" fontId="0" fillId="4" borderId="0" xfId="0" applyNumberFormat="1" applyFill="1" applyAlignment="1">
      <alignment horizontal="center"/>
    </xf>
    <xf numFmtId="0" fontId="15" fillId="0" borderId="0" xfId="0" applyFont="1" applyAlignment="1">
      <alignment horizontal="left"/>
    </xf>
    <xf numFmtId="0" fontId="15" fillId="0" borderId="0" xfId="0" applyFont="1"/>
    <xf numFmtId="0" fontId="10" fillId="0" borderId="0" xfId="0" applyFont="1" applyAlignment="1">
      <alignment horizontal="center"/>
    </xf>
    <xf numFmtId="0" fontId="1" fillId="4" borderId="0" xfId="0" applyFont="1" applyFill="1" applyAlignment="1">
      <alignment horizontal="center" vertical="center"/>
    </xf>
    <xf numFmtId="9" fontId="0" fillId="10" borderId="0" xfId="0" applyNumberFormat="1" applyFill="1" applyAlignment="1">
      <alignment horizontal="center"/>
    </xf>
    <xf numFmtId="9" fontId="0" fillId="11" borderId="0" xfId="0" applyNumberFormat="1" applyFill="1" applyAlignment="1">
      <alignment horizontal="center"/>
    </xf>
    <xf numFmtId="9" fontId="0" fillId="13" borderId="0" xfId="0" applyNumberFormat="1" applyFill="1" applyAlignment="1">
      <alignment horizontal="center"/>
    </xf>
    <xf numFmtId="9" fontId="0" fillId="0" borderId="0" xfId="0" applyNumberFormat="1" applyAlignment="1">
      <alignment horizontal="center"/>
    </xf>
    <xf numFmtId="9" fontId="0" fillId="0" borderId="0" xfId="0" applyNumberFormat="1"/>
    <xf numFmtId="0" fontId="0" fillId="9" borderId="0" xfId="0" applyFill="1" applyAlignment="1">
      <alignment horizontal="left"/>
    </xf>
    <xf numFmtId="0" fontId="8" fillId="9" borderId="0" xfId="2" applyFill="1" applyAlignment="1">
      <alignment horizontal="left"/>
    </xf>
    <xf numFmtId="0" fontId="0" fillId="9" borderId="22" xfId="0" applyFill="1" applyBorder="1" applyAlignment="1">
      <alignment horizontal="left"/>
    </xf>
    <xf numFmtId="0" fontId="0" fillId="9" borderId="23" xfId="0" applyFill="1" applyBorder="1" applyAlignment="1">
      <alignment horizontal="left"/>
    </xf>
    <xf numFmtId="0" fontId="1" fillId="0" borderId="24" xfId="0" applyFont="1" applyBorder="1" applyAlignment="1">
      <alignment horizontal="center" vertical="center"/>
    </xf>
    <xf numFmtId="0" fontId="16" fillId="0" borderId="0" xfId="0" applyFont="1" applyAlignment="1">
      <alignment horizontal="center" vertical="center"/>
    </xf>
    <xf numFmtId="0" fontId="8" fillId="9" borderId="0" xfId="2" applyFill="1" applyBorder="1" applyAlignment="1">
      <alignment horizontal="left"/>
    </xf>
    <xf numFmtId="0" fontId="0" fillId="0" borderId="0" xfId="0" applyNumberFormat="1" applyAlignment="1">
      <alignment horizontal="center"/>
    </xf>
    <xf numFmtId="0" fontId="4" fillId="8" borderId="1" xfId="0" applyFont="1" applyFill="1" applyBorder="1" applyAlignment="1">
      <alignment horizontal="left" vertical="center"/>
    </xf>
    <xf numFmtId="0" fontId="4" fillId="8" borderId="9" xfId="0" applyFont="1" applyFill="1" applyBorder="1" applyAlignment="1">
      <alignment horizontal="left" vertical="center"/>
    </xf>
    <xf numFmtId="0" fontId="4" fillId="8" borderId="0" xfId="0" applyFont="1" applyFill="1" applyAlignment="1">
      <alignment horizontal="center"/>
    </xf>
    <xf numFmtId="0" fontId="2" fillId="7" borderId="0" xfId="0" applyFont="1" applyFill="1" applyAlignment="1">
      <alignment horizontal="center" vertical="center"/>
    </xf>
    <xf numFmtId="0" fontId="1" fillId="6" borderId="0" xfId="0" applyFont="1" applyFill="1" applyAlignment="1">
      <alignment horizontal="left" vertical="center"/>
    </xf>
    <xf numFmtId="0" fontId="1" fillId="5" borderId="0" xfId="0" applyFont="1" applyFill="1" applyAlignment="1">
      <alignment horizontal="left" vertical="center"/>
    </xf>
    <xf numFmtId="0" fontId="1" fillId="4" borderId="0" xfId="0" applyFont="1" applyFill="1" applyAlignment="1">
      <alignment horizontal="left" vertical="center"/>
    </xf>
    <xf numFmtId="0" fontId="1" fillId="3" borderId="0" xfId="0" applyFont="1" applyFill="1" applyAlignment="1">
      <alignment horizontal="left" vertical="center"/>
    </xf>
    <xf numFmtId="0" fontId="1" fillId="2" borderId="0" xfId="0" applyFont="1" applyFill="1" applyAlignment="1">
      <alignment horizontal="left" vertical="center"/>
    </xf>
    <xf numFmtId="0" fontId="4" fillId="8" borderId="4" xfId="0" applyFont="1" applyFill="1" applyBorder="1" applyAlignment="1">
      <alignment horizontal="center"/>
    </xf>
    <xf numFmtId="0" fontId="1" fillId="6" borderId="5" xfId="0" applyFont="1" applyFill="1" applyBorder="1" applyAlignment="1">
      <alignment horizontal="center" vertical="center"/>
    </xf>
    <xf numFmtId="0" fontId="1" fillId="6" borderId="0" xfId="0" applyFont="1" applyFill="1" applyAlignment="1">
      <alignment horizontal="center" vertical="center"/>
    </xf>
    <xf numFmtId="0" fontId="1" fillId="2" borderId="5" xfId="0" applyFont="1" applyFill="1" applyBorder="1" applyAlignment="1">
      <alignment horizontal="center" vertical="center"/>
    </xf>
    <xf numFmtId="0" fontId="1" fillId="2" borderId="0" xfId="0" applyFont="1" applyFill="1" applyAlignment="1">
      <alignment horizontal="center" vertical="center"/>
    </xf>
    <xf numFmtId="0" fontId="1" fillId="3" borderId="5" xfId="0" applyFont="1" applyFill="1" applyBorder="1" applyAlignment="1">
      <alignment horizontal="center" vertical="center"/>
    </xf>
    <xf numFmtId="0" fontId="1" fillId="3" borderId="0" xfId="0" applyFont="1" applyFill="1" applyAlignment="1">
      <alignment horizontal="center" vertical="center"/>
    </xf>
    <xf numFmtId="0" fontId="1" fillId="4" borderId="5" xfId="0" applyFont="1" applyFill="1" applyBorder="1" applyAlignment="1">
      <alignment horizontal="center" vertical="center"/>
    </xf>
    <xf numFmtId="0" fontId="1" fillId="4" borderId="0" xfId="0" applyFont="1" applyFill="1" applyAlignment="1">
      <alignment horizontal="center" vertical="center"/>
    </xf>
    <xf numFmtId="0" fontId="1" fillId="5" borderId="5" xfId="0" applyFont="1" applyFill="1" applyBorder="1" applyAlignment="1">
      <alignment horizontal="center" vertical="center"/>
    </xf>
    <xf numFmtId="0" fontId="1" fillId="5" borderId="0" xfId="0" applyFont="1" applyFill="1" applyAlignment="1">
      <alignment horizontal="center" vertical="center"/>
    </xf>
  </cellXfs>
  <cellStyles count="3">
    <cellStyle name="Hyperlink" xfId="2" builtinId="8"/>
    <cellStyle name="Normal" xfId="0" builtinId="0"/>
    <cellStyle name="Normal 2" xfId="1" xr:uid="{00000000-0005-0000-0000-000002000000}"/>
  </cellStyles>
  <dxfs count="1467">
    <dxf>
      <alignment horizontal="left" vertical="bottom" textRotation="0" wrapText="0" indent="0" justifyLastLine="0" shrinkToFit="0" readingOrder="0"/>
    </dxf>
    <dxf>
      <fill>
        <patternFill patternType="solid">
          <fgColor indexed="64"/>
          <bgColor rgb="FFFFC000"/>
        </patternFill>
      </fill>
      <alignment horizontal="center" vertical="bottom" textRotation="0" wrapText="0" indent="0" justifyLastLine="0" shrinkToFit="0" readingOrder="0"/>
    </dxf>
    <dxf>
      <numFmt numFmtId="19" formatCode="dd/mm/yyyy"/>
      <fill>
        <patternFill patternType="solid">
          <fgColor indexed="64"/>
          <bgColor rgb="FFFFC000"/>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2" tint="-9.9978637043366805E-2"/>
        </patternFill>
      </fill>
      <alignment horizontal="center" vertical="bottom" textRotation="0" wrapText="0" indent="0" justifyLastLine="0" shrinkToFit="0" readingOrder="0"/>
    </dxf>
    <dxf>
      <fill>
        <patternFill patternType="solid">
          <fgColor indexed="64"/>
          <bgColor theme="2" tint="-9.9978637043366805E-2"/>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2" tint="-9.9978637043366805E-2"/>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center" textRotation="0" wrapText="1" indent="0" justifyLastLine="0" shrinkToFit="0" readingOrder="0"/>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ont>
        <strike val="0"/>
        <outline val="0"/>
        <shadow val="0"/>
        <vertAlign val="baseline"/>
        <sz val="11"/>
        <color auto="1"/>
        <name val="Calibri"/>
        <scheme val="minor"/>
      </font>
    </dxf>
    <dxf>
      <font>
        <strike val="0"/>
        <outline val="0"/>
        <shadow val="0"/>
        <vertAlign val="baseline"/>
        <sz val="11"/>
        <color auto="1"/>
        <name val="Calibri"/>
        <scheme val="minor"/>
      </font>
    </dxf>
    <dxf>
      <font>
        <strike val="0"/>
        <outline val="0"/>
        <shadow val="0"/>
        <vertAlign val="baseline"/>
        <sz val="11"/>
        <color auto="1"/>
        <name val="Calibri"/>
        <scheme val="minor"/>
      </font>
    </dxf>
    <dxf>
      <font>
        <strike val="0"/>
        <outline val="0"/>
        <shadow val="0"/>
        <vertAlign val="baseline"/>
        <sz val="11"/>
        <color auto="1"/>
        <name val="Calibri"/>
        <scheme val="minor"/>
      </font>
    </dxf>
    <dxf>
      <font>
        <strike val="0"/>
        <outline val="0"/>
        <shadow val="0"/>
        <vertAlign val="baseline"/>
        <sz val="11"/>
        <color auto="1"/>
        <name val="Calibri"/>
        <scheme val="minor"/>
      </font>
    </dxf>
    <dxf>
      <font>
        <strike val="0"/>
        <outline val="0"/>
        <shadow val="0"/>
        <vertAlign val="baseline"/>
        <sz val="11"/>
        <color auto="1"/>
        <name val="Calibri"/>
        <scheme val="minor"/>
      </font>
    </dxf>
    <dxf>
      <font>
        <strike val="0"/>
        <outline val="0"/>
        <shadow val="0"/>
        <vertAlign val="baseline"/>
        <sz val="11"/>
        <color auto="1"/>
        <name val="Calibri"/>
        <scheme val="minor"/>
      </font>
    </dxf>
    <dxf>
      <font>
        <strike val="0"/>
        <outline val="0"/>
        <shadow val="0"/>
        <vertAlign val="baseline"/>
        <sz val="11"/>
        <color auto="1"/>
        <name val="Calibri"/>
        <scheme val="minor"/>
      </font>
    </dxf>
    <dxf>
      <font>
        <strike val="0"/>
        <outline val="0"/>
        <shadow val="0"/>
        <vertAlign val="baseline"/>
        <sz val="11"/>
        <color auto="1"/>
        <name val="Calibri"/>
        <scheme val="minor"/>
      </font>
    </dxf>
    <dxf>
      <font>
        <strike val="0"/>
        <outline val="0"/>
        <shadow val="0"/>
        <vertAlign val="baseline"/>
        <sz val="11"/>
        <color auto="1"/>
        <name val="Calibri"/>
        <scheme val="minor"/>
      </font>
    </dxf>
    <dxf>
      <font>
        <strike val="0"/>
        <outline val="0"/>
        <shadow val="0"/>
        <vertAlign val="baseline"/>
        <sz val="11"/>
        <color auto="1"/>
        <name val="Calibri"/>
        <scheme val="minor"/>
      </font>
    </dxf>
    <dxf>
      <font>
        <strike val="0"/>
        <outline val="0"/>
        <shadow val="0"/>
        <vertAlign val="baseline"/>
        <sz val="11"/>
        <color auto="1"/>
        <name val="Calibri"/>
        <scheme val="minor"/>
      </font>
    </dxf>
    <dxf>
      <font>
        <strike val="0"/>
        <outline val="0"/>
        <shadow val="0"/>
        <vertAlign val="baseline"/>
        <sz val="11"/>
        <color auto="1"/>
        <name val="Calibri"/>
        <scheme val="minor"/>
      </font>
    </dxf>
    <dxf>
      <font>
        <b val="0"/>
        <i val="0"/>
        <strike val="0"/>
        <condense val="0"/>
        <extend val="0"/>
        <outline val="0"/>
        <shadow val="0"/>
        <u val="none"/>
        <vertAlign val="baseline"/>
        <sz val="11"/>
        <color auto="1"/>
        <name val="Calibri"/>
        <scheme val="minor"/>
      </font>
      <numFmt numFmtId="0" formatCode="General"/>
      <alignment horizontal="left" vertical="bottom" textRotation="0" wrapText="0" indent="0" justifyLastLine="0" shrinkToFit="0" readingOrder="0"/>
    </dxf>
    <dxf>
      <font>
        <strike val="0"/>
        <outline val="0"/>
        <shadow val="0"/>
        <vertAlign val="baseline"/>
        <sz val="11"/>
        <color auto="1"/>
        <name val="Calibri"/>
        <scheme val="minor"/>
      </font>
      <numFmt numFmtId="0" formatCode="General"/>
      <alignment horizontal="left" vertical="bottom" textRotation="0" wrapText="0" indent="0" justifyLastLine="0" shrinkToFit="0" readingOrder="0"/>
    </dxf>
    <dxf>
      <font>
        <strike val="0"/>
        <outline val="0"/>
        <shadow val="0"/>
        <vertAlign val="baseline"/>
        <sz val="11"/>
        <color auto="1"/>
        <name val="Calibri"/>
        <scheme val="minor"/>
      </font>
    </dxf>
    <dxf>
      <fill>
        <patternFill>
          <bgColor theme="2" tint="-9.9948118533890809E-2"/>
        </patternFill>
      </fill>
    </dxf>
    <dxf>
      <font>
        <b val="0"/>
        <i val="0"/>
        <strike val="0"/>
        <condense val="0"/>
        <extend val="0"/>
        <outline val="0"/>
        <shadow val="0"/>
        <u val="none"/>
        <vertAlign val="baseline"/>
        <sz val="11"/>
        <color theme="1"/>
        <name val="Calibri"/>
        <scheme val="minor"/>
      </font>
      <fill>
        <patternFill patternType="solid">
          <fgColor indexed="64"/>
          <bgColor rgb="FFFFC000"/>
        </patternFill>
      </fill>
      <alignment horizontal="center" vertical="bottom" textRotation="0" wrapText="0" indent="0" justifyLastLine="0" shrinkToFit="0" readingOrder="0"/>
      <border diagonalUp="0" diagonalDown="0">
        <left style="thin">
          <color theme="8"/>
        </left>
        <right style="thin">
          <color theme="8"/>
        </right>
        <top style="thin">
          <color theme="8"/>
        </top>
        <bottom style="thin">
          <color theme="8"/>
        </bottom>
        <vertical/>
        <horizontal/>
      </border>
    </dxf>
    <dxf>
      <font>
        <b val="0"/>
        <i val="0"/>
        <strike val="0"/>
        <condense val="0"/>
        <extend val="0"/>
        <outline val="0"/>
        <shadow val="0"/>
        <u val="none"/>
        <vertAlign val="baseline"/>
        <sz val="11"/>
        <color rgb="FF000000"/>
        <name val="Calibri"/>
        <scheme val="minor"/>
      </font>
      <fill>
        <patternFill patternType="solid">
          <fgColor theme="8" tint="0.79998168889431442"/>
          <bgColor theme="8" tint="0.79998168889431442"/>
        </patternFill>
      </fill>
      <alignment horizontal="center" vertical="center" textRotation="0" wrapText="0" indent="0" justifyLastLine="0" shrinkToFit="0" readingOrder="0"/>
      <border diagonalUp="0" diagonalDown="0">
        <left style="thin">
          <color theme="8"/>
        </left>
        <right style="thin">
          <color theme="8"/>
        </right>
        <top style="thin">
          <color theme="8"/>
        </top>
        <bottom style="thin">
          <color theme="8"/>
        </bottom>
        <vertical/>
        <horizontal/>
      </border>
    </dxf>
    <dxf>
      <font>
        <b val="0"/>
        <i val="0"/>
        <strike val="0"/>
        <condense val="0"/>
        <extend val="0"/>
        <outline val="0"/>
        <shadow val="0"/>
        <u val="none"/>
        <vertAlign val="baseline"/>
        <sz val="11"/>
        <color rgb="FF000000"/>
        <name val="Calibri"/>
        <scheme val="minor"/>
      </font>
      <fill>
        <patternFill patternType="solid">
          <fgColor theme="8" tint="0.79998168889431442"/>
          <bgColor theme="8" tint="0.79998168889431442"/>
        </patternFill>
      </fill>
      <alignment horizontal="center" vertical="center" textRotation="0" wrapText="0" indent="0" justifyLastLine="0" shrinkToFit="0" readingOrder="0"/>
      <border diagonalUp="0" diagonalDown="0">
        <left style="thin">
          <color theme="8"/>
        </left>
        <right style="thin">
          <color theme="8"/>
        </right>
        <top style="thin">
          <color theme="8"/>
        </top>
        <bottom style="thin">
          <color theme="8"/>
        </bottom>
        <vertical/>
        <horizontal/>
      </border>
    </dxf>
    <dxf>
      <border outline="0">
        <left style="thin">
          <color theme="8"/>
        </left>
        <right style="thin">
          <color theme="8"/>
        </right>
        <top style="thin">
          <color theme="8"/>
        </top>
        <bottom style="thin">
          <color theme="8"/>
        </bottom>
      </border>
    </dxf>
    <dxf>
      <border outline="0">
        <bottom style="medium">
          <color theme="8"/>
        </bottom>
      </border>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8"/>
        </left>
        <right style="thin">
          <color theme="8"/>
        </right>
        <top/>
        <bottom/>
      </border>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92D050"/>
        </patternFill>
      </fill>
    </dxf>
    <dxf>
      <fill>
        <patternFill>
          <bgColor rgb="FFFFFF00"/>
        </patternFill>
      </fill>
    </dxf>
    <dxf>
      <fill>
        <patternFill>
          <bgColor rgb="FFFF0000"/>
        </patternFill>
      </fill>
    </dxf>
    <dxf>
      <fill>
        <patternFill>
          <bgColor theme="2" tint="-9.9948118533890809E-2"/>
        </patternFill>
      </fill>
    </dxf>
    <dxf>
      <fill>
        <patternFill>
          <bgColor theme="7"/>
        </patternFill>
      </fill>
    </dxf>
    <dxf>
      <alignment horizontal="left" vertical="bottom" textRotation="0" wrapText="0" indent="0" justifyLastLine="0" shrinkToFit="0" readingOrder="0"/>
    </dxf>
    <dxf>
      <fill>
        <patternFill patternType="solid">
          <fgColor indexed="64"/>
          <bgColor rgb="FFFFC000"/>
        </patternFill>
      </fill>
      <alignment horizontal="left" vertical="bottom" textRotation="0" wrapText="0" indent="0" justifyLastLine="0" shrinkToFit="0" readingOrder="0"/>
    </dxf>
    <dxf>
      <fill>
        <patternFill patternType="solid">
          <fgColor indexed="64"/>
          <bgColor rgb="FFFFC000"/>
        </patternFill>
      </fill>
      <alignment horizontal="center" vertical="bottom" textRotation="0" wrapText="0" indent="0" justifyLastLine="0" shrinkToFit="0" readingOrder="0"/>
    </dxf>
    <dxf>
      <numFmt numFmtId="19" formatCode="dd/mm/yyyy"/>
      <fill>
        <patternFill patternType="solid">
          <fgColor indexed="64"/>
          <bgColor rgb="FFFFC000"/>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center" vertical="center" textRotation="0" wrapText="0" indent="0" justifyLastLine="0" shrinkToFit="0" readingOrder="0"/>
    </dxf>
    <dxf>
      <font>
        <color rgb="FF000000"/>
      </font>
      <fill>
        <patternFill patternType="none">
          <fgColor indexed="64"/>
          <bgColor auto="1"/>
        </patternFill>
      </fill>
      <alignment horizontal="center" vertical="center" textRotation="0" wrapText="0" indent="0" justifyLastLine="0" shrinkToFit="0" readingOrder="0"/>
      <border diagonalUp="0" diagonalDown="0" outline="0">
        <left/>
        <right/>
        <top style="medium">
          <color rgb="FF8EA9DB"/>
        </top>
        <bottom style="medium">
          <color rgb="FF8EA9DB"/>
        </bottom>
      </border>
    </dxf>
    <dxf>
      <font>
        <color rgb="FF000000"/>
      </font>
      <fill>
        <patternFill patternType="none">
          <fgColor indexed="64"/>
          <bgColor auto="1"/>
        </patternFill>
      </fill>
      <alignment horizontal="center" vertical="center" textRotation="0" wrapText="0" indent="0" justifyLastLine="0" shrinkToFit="0" readingOrder="0"/>
      <border diagonalUp="0" diagonalDown="0" outline="0">
        <left/>
        <right/>
        <top style="medium">
          <color rgb="FF8EA9DB"/>
        </top>
        <bottom style="medium">
          <color rgb="FF8EA9DB"/>
        </bottom>
      </border>
    </dxf>
    <dxf>
      <font>
        <color rgb="FF000000"/>
      </font>
      <fill>
        <patternFill patternType="none">
          <fgColor indexed="64"/>
          <bgColor auto="1"/>
        </patternFill>
      </fill>
      <alignment horizontal="center" vertical="center" textRotation="0" wrapText="0" indent="0" justifyLastLine="0" shrinkToFit="0" readingOrder="0"/>
      <border diagonalUp="0" diagonalDown="0" outline="0">
        <left/>
        <right/>
        <top style="medium">
          <color rgb="FF8EA9DB"/>
        </top>
        <bottom style="medium">
          <color rgb="FF8EA9DB"/>
        </bottom>
      </border>
    </dxf>
    <dxf>
      <font>
        <color rgb="FF000000"/>
      </font>
      <fill>
        <patternFill patternType="none">
          <fgColor indexed="64"/>
          <bgColor auto="1"/>
        </patternFill>
      </fill>
      <alignment horizontal="center" vertical="center" textRotation="0" wrapText="0" indent="0" justifyLastLine="0" shrinkToFit="0" readingOrder="0"/>
      <border diagonalUp="0" diagonalDown="0" outline="0">
        <left/>
        <right/>
        <top style="medium">
          <color rgb="FF8EA9DB"/>
        </top>
        <bottom style="medium">
          <color rgb="FF8EA9DB"/>
        </bottom>
      </border>
    </dxf>
    <dxf>
      <font>
        <color rgb="FF000000"/>
      </font>
      <fill>
        <patternFill patternType="none">
          <fgColor indexed="64"/>
          <bgColor auto="1"/>
        </patternFill>
      </fill>
      <alignment horizontal="center" vertical="center" textRotation="0" wrapText="0" indent="0" justifyLastLine="0" shrinkToFit="0" readingOrder="0"/>
      <border diagonalUp="0" diagonalDown="0" outline="0">
        <left/>
        <right/>
        <top style="medium">
          <color rgb="FF8EA9DB"/>
        </top>
        <bottom style="medium">
          <color rgb="FF8EA9DB"/>
        </bottom>
      </border>
    </dxf>
    <dxf>
      <font>
        <color rgb="FF000000"/>
      </font>
      <fill>
        <patternFill patternType="none">
          <fgColor indexed="64"/>
          <bgColor auto="1"/>
        </patternFill>
      </fill>
      <alignment horizontal="center" vertical="center" textRotation="0" wrapText="0" indent="0" justifyLastLine="0" shrinkToFit="0" readingOrder="0"/>
      <border diagonalUp="0" diagonalDown="0" outline="0">
        <left/>
        <right/>
        <top style="medium">
          <color rgb="FF8EA9DB"/>
        </top>
        <bottom style="medium">
          <color rgb="FF8EA9DB"/>
        </bottom>
      </border>
    </dxf>
    <dxf>
      <font>
        <color rgb="FF000000"/>
      </font>
      <fill>
        <patternFill patternType="none">
          <fgColor indexed="64"/>
          <bgColor auto="1"/>
        </patternFill>
      </fill>
      <alignment horizontal="center" vertical="center" textRotation="0" wrapText="0" indent="0" justifyLastLine="0" shrinkToFit="0" readingOrder="0"/>
      <border diagonalUp="0" diagonalDown="0" outline="0">
        <left/>
        <right/>
        <top style="medium">
          <color rgb="FF8EA9DB"/>
        </top>
        <bottom style="medium">
          <color rgb="FF8EA9DB"/>
        </bottom>
      </border>
    </dxf>
    <dxf>
      <font>
        <color rgb="FF000000"/>
      </font>
      <fill>
        <patternFill patternType="none">
          <fgColor indexed="64"/>
          <bgColor auto="1"/>
        </patternFill>
      </fill>
      <alignment horizontal="center" vertical="center" textRotation="0" wrapText="0" indent="0" justifyLastLine="0" shrinkToFit="0" readingOrder="0"/>
      <border diagonalUp="0" diagonalDown="0" outline="0">
        <left/>
        <right/>
        <top style="medium">
          <color rgb="FF8EA9DB"/>
        </top>
        <bottom style="medium">
          <color rgb="FF8EA9DB"/>
        </bottom>
      </border>
    </dxf>
    <dxf>
      <font>
        <color rgb="FF000000"/>
      </font>
      <fill>
        <patternFill patternType="none">
          <fgColor indexed="64"/>
          <bgColor auto="1"/>
        </patternFill>
      </fill>
      <alignment horizontal="center" vertical="center" textRotation="0" wrapText="0" indent="0" justifyLastLine="0" shrinkToFit="0" readingOrder="0"/>
      <border diagonalUp="0" diagonalDown="0" outline="0">
        <left/>
        <right/>
        <top style="medium">
          <color rgb="FF8EA9DB"/>
        </top>
        <bottom/>
      </border>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right/>
        <top style="medium">
          <color rgb="FF8EA9DB"/>
        </top>
        <bottom/>
        <vertical/>
        <horizontal/>
      </border>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right/>
        <top style="medium">
          <color rgb="FF8EA9DB"/>
        </top>
        <bottom/>
        <vertical/>
        <horizontal/>
      </border>
    </dxf>
    <dxf>
      <font>
        <color rgb="FF000000"/>
      </font>
      <fill>
        <patternFill patternType="none">
          <fgColor indexed="64"/>
          <bgColor auto="1"/>
        </patternFill>
      </fill>
      <alignment horizontal="center" vertical="center" textRotation="0" wrapText="0" indent="0" justifyLastLine="0" shrinkToFit="0" readingOrder="0"/>
      <border diagonalUp="0" diagonalDown="0" outline="0">
        <left/>
        <right/>
        <top style="medium">
          <color rgb="FF8EA9DB"/>
        </top>
        <bottom style="medium">
          <color rgb="FF8EA9DB"/>
        </bottom>
      </border>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alignment horizontal="center" vertical="center" textRotation="0" wrapText="1" indent="0" justifyLastLine="0" shrinkToFit="0" readingOrder="0"/>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92D050"/>
        </patternFill>
      </fill>
    </dxf>
    <dxf>
      <fill>
        <patternFill>
          <bgColor rgb="FFFFFF00"/>
        </patternFill>
      </fill>
    </dxf>
    <dxf>
      <fill>
        <patternFill>
          <bgColor rgb="FFFF0000"/>
        </patternFill>
      </fill>
    </dxf>
    <dxf>
      <fill>
        <patternFill>
          <bgColor theme="2" tint="-9.9948118533890809E-2"/>
        </patternFill>
      </fill>
    </dxf>
    <dxf>
      <fill>
        <patternFill>
          <bgColor theme="7"/>
        </patternFill>
      </fill>
    </dxf>
    <dxf>
      <fill>
        <patternFill>
          <bgColor theme="7"/>
        </patternFill>
      </fill>
    </dxf>
    <dxf>
      <fill>
        <patternFill>
          <bgColor theme="7"/>
        </patternFill>
      </fill>
    </dxf>
    <dxf>
      <fill>
        <patternFill>
          <bgColor rgb="FF00B050"/>
        </patternFill>
      </fill>
    </dxf>
    <dxf>
      <fill>
        <patternFill>
          <bgColor rgb="FF92D050"/>
        </patternFill>
      </fill>
    </dxf>
    <dxf>
      <fill>
        <patternFill>
          <bgColor rgb="FFFFFF00"/>
        </patternFill>
      </fill>
    </dxf>
    <dxf>
      <fill>
        <patternFill>
          <bgColor rgb="FFFF0000"/>
        </patternFill>
      </fill>
    </dxf>
    <dxf>
      <fill>
        <patternFill>
          <bgColor theme="2" tint="-9.9948118533890809E-2"/>
        </patternFill>
      </fill>
    </dxf>
    <dxf>
      <fill>
        <patternFill>
          <bgColor theme="7"/>
        </patternFill>
      </fill>
    </dxf>
    <dxf>
      <fill>
        <patternFill>
          <bgColor rgb="FF00B050"/>
        </patternFill>
      </fill>
    </dxf>
    <dxf>
      <fill>
        <patternFill>
          <bgColor rgb="FF92D050"/>
        </patternFill>
      </fill>
    </dxf>
    <dxf>
      <fill>
        <patternFill>
          <bgColor rgb="FFFFFF00"/>
        </patternFill>
      </fill>
    </dxf>
    <dxf>
      <fill>
        <patternFill>
          <bgColor rgb="FFFF0000"/>
        </patternFill>
      </fill>
    </dxf>
    <dxf>
      <fill>
        <patternFill>
          <bgColor theme="2" tint="-9.9948118533890809E-2"/>
        </patternFill>
      </fill>
    </dxf>
    <dxf>
      <fill>
        <patternFill>
          <bgColor rgb="FF00B050"/>
        </patternFill>
      </fill>
    </dxf>
    <dxf>
      <fill>
        <patternFill>
          <bgColor rgb="FF92D050"/>
        </patternFill>
      </fill>
    </dxf>
    <dxf>
      <fill>
        <patternFill>
          <bgColor rgb="FFFFFF00"/>
        </patternFill>
      </fill>
    </dxf>
    <dxf>
      <fill>
        <patternFill>
          <bgColor rgb="FFFF0000"/>
        </patternFill>
      </fill>
    </dxf>
    <dxf>
      <fill>
        <patternFill>
          <bgColor theme="2" tint="-9.9948118533890809E-2"/>
        </patternFill>
      </fill>
    </dxf>
    <dxf>
      <fill>
        <patternFill>
          <bgColor rgb="FF00B050"/>
        </patternFill>
      </fill>
    </dxf>
    <dxf>
      <fill>
        <patternFill>
          <bgColor rgb="FF92D050"/>
        </patternFill>
      </fill>
    </dxf>
    <dxf>
      <fill>
        <patternFill>
          <bgColor rgb="FFFFFF00"/>
        </patternFill>
      </fill>
    </dxf>
    <dxf>
      <fill>
        <patternFill>
          <bgColor rgb="FFFF0000"/>
        </patternFill>
      </fill>
    </dxf>
    <dxf>
      <fill>
        <patternFill>
          <bgColor theme="2" tint="-9.9948118533890809E-2"/>
        </patternFill>
      </fill>
    </dxf>
    <dxf>
      <fill>
        <patternFill>
          <bgColor rgb="FF00B050"/>
        </patternFill>
      </fill>
    </dxf>
    <dxf>
      <fill>
        <patternFill>
          <bgColor rgb="FF92D050"/>
        </patternFill>
      </fill>
    </dxf>
    <dxf>
      <fill>
        <patternFill>
          <bgColor rgb="FFFFFF00"/>
        </patternFill>
      </fill>
    </dxf>
    <dxf>
      <fill>
        <patternFill>
          <bgColor rgb="FFFF0000"/>
        </patternFill>
      </fill>
    </dxf>
    <dxf>
      <fill>
        <patternFill>
          <bgColor theme="2" tint="-9.9948118533890809E-2"/>
        </patternFill>
      </fill>
    </dxf>
    <dxf>
      <fill>
        <patternFill>
          <bgColor theme="7"/>
        </patternFill>
      </fill>
    </dxf>
    <dxf>
      <alignment horizontal="left" vertical="bottom" textRotation="0" wrapText="0" indent="0" justifyLastLine="0" shrinkToFit="0" readingOrder="0"/>
    </dxf>
    <dxf>
      <numFmt numFmtId="13" formatCode="0%"/>
      <fill>
        <patternFill patternType="solid">
          <fgColor indexed="64"/>
          <bgColor rgb="FFFFC000"/>
        </patternFill>
      </fill>
      <alignment horizontal="center" vertical="bottom" textRotation="0" wrapText="0" indent="0" justifyLastLine="0" shrinkToFit="0" readingOrder="0"/>
    </dxf>
    <dxf>
      <fill>
        <patternFill patternType="solid">
          <fgColor indexed="64"/>
          <bgColor rgb="FFFFC000"/>
        </patternFill>
      </fill>
      <alignment horizontal="left" vertical="bottom" textRotation="0" wrapText="0" indent="0" justifyLastLine="0" shrinkToFit="0" readingOrder="0"/>
    </dxf>
    <dxf>
      <fill>
        <patternFill patternType="solid">
          <fgColor indexed="64"/>
          <bgColor rgb="FFFFC000"/>
        </patternFill>
      </fill>
      <alignment horizontal="left" vertical="bottom" textRotation="0" wrapText="0" indent="0" justifyLastLine="0" shrinkToFit="0" readingOrder="0"/>
    </dxf>
    <dxf>
      <fill>
        <patternFill patternType="solid">
          <fgColor indexed="64"/>
          <bgColor rgb="FFFFC000"/>
        </patternFill>
      </fill>
      <alignment horizontal="center" vertical="bottom" textRotation="0" wrapText="0" indent="0" justifyLastLine="0" shrinkToFit="0" readingOrder="0"/>
    </dxf>
    <dxf>
      <numFmt numFmtId="19" formatCode="dd/mm/yyyy"/>
      <fill>
        <patternFill patternType="solid">
          <fgColor indexed="64"/>
          <bgColor rgb="FFFFC000"/>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2" tint="-9.9978637043366805E-2"/>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rgb="FF92D050"/>
        </patternFill>
      </fill>
      <alignment horizontal="center" vertical="center" textRotation="0" wrapText="0" indent="0" justifyLastLine="0" shrinkToFit="0" readingOrder="0"/>
    </dxf>
    <dxf>
      <fill>
        <patternFill patternType="solid">
          <fgColor indexed="64"/>
          <bgColor theme="2" tint="-9.9978637043366805E-2"/>
        </patternFill>
      </fill>
      <alignment horizontal="center" vertical="bottom" textRotation="0" wrapText="0" indent="0" justifyLastLine="0" shrinkToFit="0" readingOrder="0"/>
    </dxf>
    <dxf>
      <fill>
        <patternFill patternType="solid">
          <fgColor indexed="64"/>
          <bgColor theme="2" tint="-9.9978637043366805E-2"/>
        </patternFill>
      </fill>
      <alignment horizontal="center" vertical="bottom" textRotation="0" wrapText="0" indent="0" justifyLastLine="0" shrinkToFit="0" readingOrder="0"/>
    </dxf>
    <dxf>
      <fill>
        <patternFill patternType="solid">
          <fgColor indexed="64"/>
          <bgColor theme="2" tint="-9.9978637043366805E-2"/>
        </patternFill>
      </fill>
      <alignment horizontal="center" vertical="bottom" textRotation="0" wrapText="0" indent="0" justifyLastLine="0" shrinkToFit="0" readingOrder="0"/>
    </dxf>
    <dxf>
      <fill>
        <patternFill patternType="solid">
          <fgColor indexed="64"/>
          <bgColor theme="2" tint="-9.9978637043366805E-2"/>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center" textRotation="0" wrapText="1" indent="0" justifyLastLine="0" shrinkToFit="0" readingOrder="0"/>
    </dxf>
    <dxf>
      <fill>
        <patternFill>
          <bgColor rgb="FF00B050"/>
        </patternFill>
      </fill>
    </dxf>
    <dxf>
      <fill>
        <patternFill>
          <bgColor rgb="FFFF0000"/>
        </patternFill>
      </fill>
    </dxf>
    <dxf>
      <fill>
        <patternFill>
          <bgColor rgb="FFFFC000"/>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rgb="FF00B050"/>
        </patternFill>
      </fill>
    </dxf>
    <dxf>
      <fill>
        <patternFill>
          <bgColor rgb="FFFF0000"/>
        </patternFill>
      </fill>
    </dxf>
    <dxf>
      <fill>
        <patternFill>
          <bgColor rgb="FFFFC000"/>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theme="7"/>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theme="7"/>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theme="7"/>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theme="7"/>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theme="7"/>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0" tint="-0.34998626667073579"/>
        </patternFill>
      </fill>
    </dxf>
    <dxf>
      <fill>
        <patternFill>
          <bgColor theme="2" tint="-9.9948118533890809E-2"/>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7"/>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10:AG433" totalsRowShown="0" headerRowDxfId="518">
  <autoFilter ref="B10:AG433" xr:uid="{00000000-000C-0000-FFFF-FFFF00000000}">
    <filterColumn colId="1">
      <filters>
        <filter val="1"/>
      </filters>
    </filterColumn>
  </autoFilter>
  <tableColumns count="32">
    <tableColumn id="1" xr3:uid="{00000000-0010-0000-0000-000001000000}" name="#" dataDxfId="517">
      <calculatedColumnFormula>B10+1</calculatedColumnFormula>
    </tableColumn>
    <tableColumn id="25" xr3:uid="{00000000-0010-0000-0000-000019000000}" name="Active" dataDxfId="516"/>
    <tableColumn id="26" xr3:uid="{00000000-0010-0000-0000-00001A000000}" name="Report List Group" dataDxfId="515"/>
    <tableColumn id="2" xr3:uid="{00000000-0010-0000-0000-000002000000}" name="Site" dataDxfId="514"/>
    <tableColumn id="3" xr3:uid="{00000000-0010-0000-0000-000003000000}" name="Campaign" dataDxfId="513"/>
    <tableColumn id="11" xr3:uid="{00000000-0010-0000-0000-00000B000000}" name="Sub Campaign" dataDxfId="512"/>
    <tableColumn id="4" xr3:uid="{00000000-0010-0000-0000-000004000000}" name="Report Name" dataDxfId="511"/>
    <tableColumn id="40" xr3:uid="{00000000-0010-0000-0000-000028000000}" name="Delivery method" dataDxfId="510"/>
    <tableColumn id="6" xr3:uid="{00000000-0010-0000-0000-000006000000}" name="Frequency" dataDxfId="509"/>
    <tableColumn id="14" xr3:uid="{00000000-0010-0000-0000-00000E000000}" name="Report Owner" dataDxfId="508"/>
    <tableColumn id="15" xr3:uid="{00000000-0010-0000-0000-00000F000000}" name="Main Backup Person" dataDxfId="507"/>
    <tableColumn id="7" xr3:uid="{00000000-0010-0000-0000-000007000000}" name="NL" dataDxfId="506"/>
    <tableColumn id="8" xr3:uid="{00000000-0010-0000-0000-000008000000}" name="MS" dataDxfId="505"/>
    <tableColumn id="19" xr3:uid="{00000000-0010-0000-0000-000013000000}" name="ID" dataDxfId="504"/>
    <tableColumn id="13" xr3:uid="{00000000-0010-0000-0000-00000D000000}" name="KN" dataDxfId="503"/>
    <tableColumn id="35" xr3:uid="{00000000-0010-0000-0000-000023000000}" name="NN" dataDxfId="502"/>
    <tableColumn id="38" xr3:uid="{00000000-0010-0000-0000-000026000000}" name="VA" dataDxfId="501"/>
    <tableColumn id="31" xr3:uid="{00000000-0010-0000-0000-00001F000000}" name="ST" dataDxfId="500"/>
    <tableColumn id="33" xr3:uid="{00000000-0010-0000-0000-000021000000}" name="AY" dataDxfId="499"/>
    <tableColumn id="30" xr3:uid="{00000000-0010-0000-0000-00001E000000}" name="GI" dataDxfId="498"/>
    <tableColumn id="18" xr3:uid="{00000000-0010-0000-0000-000012000000}" name="IT" dataDxfId="497"/>
    <tableColumn id="32" xr3:uid="{D9B622E1-A0B8-46F6-82F7-98E340B97BD3}" name="KVN" dataDxfId="496"/>
    <tableColumn id="9" xr3:uid="{5652EC6F-FA58-49FE-9553-309B034F4C5A}" name="IDD" dataDxfId="495"/>
    <tableColumn id="10" xr3:uid="{92FC35DA-A673-4884-B914-F2D730FFB389}" name="VP" dataDxfId="494"/>
    <tableColumn id="16" xr3:uid="{00000000-0010-0000-0000-000010000000}" name="Documentation" dataDxfId="493"/>
    <tableColumn id="12" xr3:uid="{00000000-0010-0000-0000-00000C000000}" name="Documentation- ONE Note" dataDxfId="492"/>
    <tableColumn id="17" xr3:uid="{00000000-0010-0000-0000-000011000000}" name="Validation Date" dataDxfId="491"/>
    <tableColumn id="23" xr3:uid="{00000000-0010-0000-0000-000017000000}" name="Validation by" dataDxfId="490"/>
    <tableColumn id="42" xr3:uid="{00000000-0010-0000-0000-00002A000000}" name="WI link" dataDxfId="489"/>
    <tableColumn id="41" xr3:uid="{00000000-0010-0000-0000-000029000000}" name="Report output link" dataDxfId="488"/>
    <tableColumn id="43" xr3:uid="{00000000-0010-0000-0000-00002B000000}" name="Automation %" dataDxfId="487"/>
    <tableColumn id="5" xr3:uid="{00000000-0010-0000-0000-000005000000}" name="Comments" dataDxfId="486"/>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42" displayName="Table42" ref="B10:AD43" totalsRowShown="0" headerRowDxfId="408">
  <autoFilter ref="B10:AD43" xr:uid="{00000000-0009-0000-0100-000001000000}">
    <filterColumn colId="1">
      <filters>
        <filter val="1"/>
      </filters>
    </filterColumn>
  </autoFilter>
  <tableColumns count="29">
    <tableColumn id="1" xr3:uid="{00000000-0010-0000-0100-000001000000}" name="#" dataDxfId="407">
      <calculatedColumnFormula>ROW()-10</calculatedColumnFormula>
    </tableColumn>
    <tableColumn id="25" xr3:uid="{00000000-0010-0000-0100-000019000000}" name="Active" dataDxfId="406"/>
    <tableColumn id="26" xr3:uid="{00000000-0010-0000-0100-00001A000000}" name="Tool Name" dataDxfId="405"/>
    <tableColumn id="2" xr3:uid="{00000000-0010-0000-0100-000002000000}" name="Site(s)" dataDxfId="404"/>
    <tableColumn id="3" xr3:uid="{00000000-0010-0000-0100-000003000000}" name="Campaign(s)" dataDxfId="403"/>
    <tableColumn id="14" xr3:uid="{00000000-0010-0000-0100-00000E000000}" name="Tool Owner" dataDxfId="402"/>
    <tableColumn id="15" xr3:uid="{00000000-0010-0000-0100-00000F000000}" name="Main Backup Person" dataDxfId="401"/>
    <tableColumn id="7" xr3:uid="{00000000-0010-0000-0100-000007000000}" name="NL" dataDxfId="400"/>
    <tableColumn id="29" xr3:uid="{FFF46503-9802-41A2-9282-7E3EDA05A87E}" name="DD" dataDxfId="399"/>
    <tableColumn id="24" xr3:uid="{D7E2D2C8-0B1B-462E-B4BE-CDA18D4ADC8B}" name="VS" dataDxfId="398"/>
    <tableColumn id="8" xr3:uid="{00000000-0010-0000-0100-000008000000}" name="MS" dataDxfId="397"/>
    <tableColumn id="9" xr3:uid="{00000000-0010-0000-0100-000009000000}" name="BS" dataDxfId="396"/>
    <tableColumn id="10" xr3:uid="{00000000-0010-0000-0100-00000A000000}" name="GK" dataDxfId="395"/>
    <tableColumn id="22" xr3:uid="{00000000-0010-0000-0100-000016000000}" name="IK" dataDxfId="394"/>
    <tableColumn id="21" xr3:uid="{00000000-0010-0000-0100-000015000000}" name="LG" dataDxfId="393"/>
    <tableColumn id="20" xr3:uid="{00000000-0010-0000-0100-000014000000}" name="VI" dataDxfId="392"/>
    <tableColumn id="19" xr3:uid="{00000000-0010-0000-0100-000013000000}" name="ID" dataDxfId="391"/>
    <tableColumn id="18" xr3:uid="{00000000-0010-0000-0100-000012000000}" name="YF" dataDxfId="390"/>
    <tableColumn id="13" xr3:uid="{00000000-0010-0000-0100-00000D000000}" name="KN" dataDxfId="389"/>
    <tableColumn id="4" xr3:uid="{00000000-0010-0000-0100-000004000000}" name="SP" dataDxfId="388"/>
    <tableColumn id="6" xr3:uid="{00000000-0010-0000-0100-000006000000}" name="NR" dataDxfId="387"/>
    <tableColumn id="27" xr3:uid="{00000000-0010-0000-0100-00001B000000}" name="HK" dataDxfId="386"/>
    <tableColumn id="28" xr3:uid="{00000000-0010-0000-0100-00001C000000}" name="PR" dataDxfId="385"/>
    <tableColumn id="16" xr3:uid="{00000000-0010-0000-0100-000010000000}" name="Documentation" dataDxfId="384"/>
    <tableColumn id="12" xr3:uid="{00000000-0010-0000-0100-00000C000000}" name="Documentation- ONE Note" dataDxfId="383"/>
    <tableColumn id="17" xr3:uid="{00000000-0010-0000-0100-000011000000}" name="Tool last modified" dataDxfId="382"/>
    <tableColumn id="23" xr3:uid="{00000000-0010-0000-0100-000017000000}" name="Validation by" dataDxfId="381"/>
    <tableColumn id="11" xr3:uid="{00000000-0010-0000-0100-00000B000000}" name="WI link" dataDxfId="380"/>
    <tableColumn id="5" xr3:uid="{00000000-0010-0000-0100-000005000000}" name="Comments" dataDxfId="379"/>
  </tableColumns>
  <tableStyleInfo name="TableStyleLight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11:V19" totalsRowShown="0" headerRowDxfId="369" headerRowBorderDxfId="368" tableBorderDxfId="367">
  <autoFilter ref="B11:V19" xr:uid="{00000000-0009-0000-0100-000005000000}"/>
  <tableColumns count="21">
    <tableColumn id="1" xr3:uid="{00000000-0010-0000-0200-000001000000}" name="#"/>
    <tableColumn id="2" xr3:uid="{00000000-0010-0000-0200-000002000000}" name="Tool Name"/>
    <tableColumn id="3" xr3:uid="{00000000-0010-0000-0200-000003000000}" name="DD"/>
    <tableColumn id="4" xr3:uid="{00000000-0010-0000-0200-000004000000}" name="MS"/>
    <tableColumn id="5" xr3:uid="{00000000-0010-0000-0200-000005000000}" name="BS"/>
    <tableColumn id="6" xr3:uid="{00000000-0010-0000-0200-000006000000}" name="GK"/>
    <tableColumn id="7" xr3:uid="{00000000-0010-0000-0200-000007000000}" name="IK"/>
    <tableColumn id="8" xr3:uid="{00000000-0010-0000-0200-000008000000}" name="LG"/>
    <tableColumn id="9" xr3:uid="{00000000-0010-0000-0200-000009000000}" name="VI"/>
    <tableColumn id="10" xr3:uid="{00000000-0010-0000-0200-00000A000000}" name="ID"/>
    <tableColumn id="11" xr3:uid="{00000000-0010-0000-0200-00000B000000}" name="YF"/>
    <tableColumn id="12" xr3:uid="{00000000-0010-0000-0200-00000C000000}" name="KN"/>
    <tableColumn id="13" xr3:uid="{00000000-0010-0000-0200-00000D000000}" name="SD"/>
    <tableColumn id="14" xr3:uid="{00000000-0010-0000-0200-00000E000000}" name="SP"/>
    <tableColumn id="15" xr3:uid="{00000000-0010-0000-0200-00000F000000}" name="EA"/>
    <tableColumn id="21" xr3:uid="{00000000-0010-0000-0200-000015000000}" name="NA" dataDxfId="366"/>
    <tableColumn id="20" xr3:uid="{00000000-0010-0000-0200-000014000000}" name="NR" dataDxfId="365"/>
    <tableColumn id="16" xr3:uid="{00000000-0010-0000-0200-000010000000}" name="Documentation"/>
    <tableColumn id="17" xr3:uid="{00000000-0010-0000-0200-000011000000}" name="Documentation- ONE Note"/>
    <tableColumn id="18" xr3:uid="{00000000-0010-0000-0200-000012000000}" name="WI link" dataDxfId="364"/>
    <tableColumn id="19" xr3:uid="{00000000-0010-0000-0200-000013000000}" name="Comments"/>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1" displayName="Table1" ref="A1:O247" totalsRowShown="0" dataDxfId="362">
  <autoFilter ref="A1:O247" xr:uid="{00000000-0009-0000-0100-000006000000}">
    <filterColumn colId="1">
      <filters>
        <filter val="1"/>
      </filters>
    </filterColumn>
  </autoFilter>
  <tableColumns count="15">
    <tableColumn id="1" xr3:uid="{00000000-0010-0000-0300-000001000000}" name="ID" dataDxfId="361"/>
    <tableColumn id="14" xr3:uid="{00000000-0010-0000-0300-00000E000000}" name="Active" dataDxfId="360">
      <calculatedColumnFormula>IF(Table1[[#This Row],[Active2]]="No",0,1)</calculatedColumnFormula>
    </tableColumn>
    <tableColumn id="2" xr3:uid="{00000000-0010-0000-0300-000002000000}" name="BO Report Name" dataDxfId="359"/>
    <tableColumn id="3" xr3:uid="{00000000-0010-0000-0300-000003000000}" name="Report Location" dataDxfId="358"/>
    <tableColumn id="4" xr3:uid="{00000000-0010-0000-0300-000004000000}" name="Site" dataDxfId="357"/>
    <tableColumn id="5" xr3:uid="{00000000-0010-0000-0300-000005000000}" name="Campaign" dataDxfId="356"/>
    <tableColumn id="6" xr3:uid="{00000000-0010-0000-0300-000006000000}" name="Frequency" dataDxfId="355"/>
    <tableColumn id="8" xr3:uid="{00000000-0010-0000-0300-000008000000}" name="To" dataDxfId="354"/>
    <tableColumn id="9" xr3:uid="{00000000-0010-0000-0300-000009000000}" name="CC" dataDxfId="353"/>
    <tableColumn id="7" xr3:uid="{00000000-0010-0000-0300-000007000000}" name="Owner" dataDxfId="352"/>
    <tableColumn id="10" xr3:uid="{00000000-0010-0000-0300-00000A000000}" name="Note" dataDxfId="351"/>
    <tableColumn id="12" xr3:uid="{00000000-0010-0000-0300-00000C000000}" name="Task ID" dataDxfId="350"/>
    <tableColumn id="11" xr3:uid="{00000000-0010-0000-0300-00000B000000}" name="Active2" dataDxfId="349"/>
    <tableColumn id="13" xr3:uid="{00000000-0010-0000-0300-00000D000000}" name="Comment" dataDxfId="348"/>
    <tableColumn id="15" xr3:uid="{00000000-0010-0000-0300-00000F000000}" name="Reviewed by" dataDxfId="34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43" displayName="Table43" ref="B10:AN319" totalsRowShown="0" headerRowDxfId="39">
  <autoFilter ref="B10:AN319" xr:uid="{00000000-0009-0000-0100-000002000000}"/>
  <tableColumns count="39">
    <tableColumn id="1" xr3:uid="{00000000-0010-0000-0400-000001000000}" name="#" dataDxfId="38">
      <calculatedColumnFormula>B10+1</calculatedColumnFormula>
    </tableColumn>
    <tableColumn id="25" xr3:uid="{00000000-0010-0000-0400-000019000000}" name="Active" dataDxfId="37"/>
    <tableColumn id="26" xr3:uid="{00000000-0010-0000-0400-00001A000000}" name="Report List Group" dataDxfId="36"/>
    <tableColumn id="2" xr3:uid="{00000000-0010-0000-0400-000002000000}" name="Site" dataDxfId="35"/>
    <tableColumn id="3" xr3:uid="{00000000-0010-0000-0400-000003000000}" name="Campaign" dataDxfId="34"/>
    <tableColumn id="11" xr3:uid="{00000000-0010-0000-0400-00000B000000}" name="Sub Campaign" dataDxfId="33"/>
    <tableColumn id="4" xr3:uid="{00000000-0010-0000-0400-000004000000}" name="Report Name" dataDxfId="32"/>
    <tableColumn id="6" xr3:uid="{00000000-0010-0000-0400-000006000000}" name="Frequency" dataDxfId="31"/>
    <tableColumn id="14" xr3:uid="{00000000-0010-0000-0400-00000E000000}" name="Report Owner" dataDxfId="30"/>
    <tableColumn id="15" xr3:uid="{00000000-0010-0000-0400-00000F000000}" name="Main Backup Person" dataDxfId="29"/>
    <tableColumn id="7" xr3:uid="{00000000-0010-0000-0400-000007000000}" name="NL" dataDxfId="28"/>
    <tableColumn id="8" xr3:uid="{00000000-0010-0000-0400-000008000000}" name="MS" dataDxfId="27"/>
    <tableColumn id="9" xr3:uid="{00000000-0010-0000-0400-000009000000}" name="BS" dataDxfId="26"/>
    <tableColumn id="10" xr3:uid="{00000000-0010-0000-0400-00000A000000}" name="GK" dataDxfId="25"/>
    <tableColumn id="22" xr3:uid="{00000000-0010-0000-0400-000016000000}" name="IK" dataDxfId="24"/>
    <tableColumn id="21" xr3:uid="{00000000-0010-0000-0400-000015000000}" name="LG" dataDxfId="23"/>
    <tableColumn id="29" xr3:uid="{00000000-0010-0000-0400-00001D000000}" name="VS" dataDxfId="22"/>
    <tableColumn id="20" xr3:uid="{00000000-0010-0000-0400-000014000000}" name="VI" dataDxfId="21"/>
    <tableColumn id="19" xr3:uid="{00000000-0010-0000-0400-000013000000}" name="ID" dataDxfId="20"/>
    <tableColumn id="18" xr3:uid="{00000000-0010-0000-0400-000012000000}" name="YF" dataDxfId="19"/>
    <tableColumn id="13" xr3:uid="{00000000-0010-0000-0400-00000D000000}" name="KN" dataDxfId="18"/>
    <tableColumn id="24" xr3:uid="{00000000-0010-0000-0400-000018000000}" name="SD" dataDxfId="17"/>
    <tableColumn id="30" xr3:uid="{00000000-0010-0000-0400-00001E000000}" name="NA" dataDxfId="16"/>
    <tableColumn id="27" xr3:uid="{00000000-0010-0000-0400-00001B000000}" name="DD" dataDxfId="15"/>
    <tableColumn id="28" xr3:uid="{00000000-0010-0000-0400-00001C000000}" name="EA" dataDxfId="14"/>
    <tableColumn id="32" xr3:uid="{00000000-0010-0000-0400-000020000000}" name="SS" dataDxfId="13"/>
    <tableColumn id="35" xr3:uid="{00000000-0010-0000-0400-000023000000}" name="NN" dataDxfId="12"/>
    <tableColumn id="36" xr3:uid="{00000000-0010-0000-0400-000024000000}" name="BM" dataDxfId="11"/>
    <tableColumn id="38" xr3:uid="{00000000-0010-0000-0400-000026000000}" name="VA" dataDxfId="10"/>
    <tableColumn id="31" xr3:uid="{00000000-0010-0000-0400-00001F000000}" name="ST" dataDxfId="9"/>
    <tableColumn id="33" xr3:uid="{00000000-0010-0000-0400-000021000000}" name="AY" dataDxfId="8"/>
    <tableColumn id="34" xr3:uid="{00000000-0010-0000-0400-000022000000}" name="PR" dataDxfId="7"/>
    <tableColumn id="37" xr3:uid="{00000000-0010-0000-0400-000025000000}" name="SP" dataDxfId="6"/>
    <tableColumn id="39" xr3:uid="{00000000-0010-0000-0400-000027000000}" name="NR" dataDxfId="5"/>
    <tableColumn id="16" xr3:uid="{00000000-0010-0000-0400-000010000000}" name="Documentation" dataDxfId="4"/>
    <tableColumn id="12" xr3:uid="{00000000-0010-0000-0400-00000C000000}" name="Documentation- ONE Note" dataDxfId="3"/>
    <tableColumn id="17" xr3:uid="{00000000-0010-0000-0400-000011000000}" name="Validation Date" dataDxfId="2"/>
    <tableColumn id="23" xr3:uid="{00000000-0010-0000-0400-000017000000}" name="Validation by" dataDxfId="1"/>
    <tableColumn id="5" xr3:uid="{00000000-0010-0000-0400-000005000000}" name="Comments" dataDxfId="0"/>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file:///\\10.17.25.15\Client$\JnJ\Data_JnJ\Private\Team_Manager\QBR" TargetMode="External"/><Relationship Id="rId21" Type="http://schemas.openxmlformats.org/officeDocument/2006/relationships/hyperlink" Target="1.%20Projects/8.%20Sofia/4.%20Standard%20Reports/Wyndham%20Invoice" TargetMode="External"/><Relationship Id="rId42" Type="http://schemas.openxmlformats.org/officeDocument/2006/relationships/hyperlink" Target="1.%20Projects/8.%20Sofia/3.%20Working%20Instructions/Sofia%20Manuals" TargetMode="External"/><Relationship Id="rId63" Type="http://schemas.openxmlformats.org/officeDocument/2006/relationships/hyperlink" Target="file:///\\10.17.25.15\Client$\HMD\Data_HMD\Private\Team%20Manager\Reports\Reporting%20Templates\New%20Merging%20template\Quality%20Monitoring\Archive%202022" TargetMode="External"/><Relationship Id="rId84" Type="http://schemas.openxmlformats.org/officeDocument/2006/relationships/hyperlink" Target="file:///\\10.17.25.15\client$\JnJ\Data_JnJ\Private\Learning_Specialist\QM\QM%20Process" TargetMode="External"/><Relationship Id="rId138" Type="http://schemas.openxmlformats.org/officeDocument/2006/relationships/hyperlink" Target="file:///\\10.19.2.20\Client$\Ebay\Data_Ebay\Private\Learning%20Specialist\01.%20Reporting" TargetMode="External"/><Relationship Id="rId159" Type="http://schemas.openxmlformats.org/officeDocument/2006/relationships/hyperlink" Target="file:///\\10.19.2.20\Client$\Mobilcom\Data_Mobilcom\Private\Learning%20Specialist\Daily%20Performance" TargetMode="External"/><Relationship Id="rId170" Type="http://schemas.openxmlformats.org/officeDocument/2006/relationships/hyperlink" Target="https://sitel.sharepoint.com/sites/EMEAREPORTINGPRIVATE/_layouts/15/Doc.aspx?sourcedoc=%7ba4c05416-6148-4630-a1cb-169ccb12e7d9%7d&amp;action=edit&amp;wd=target%28Untitled%20Section.one%7C896ae842-4b85-4ad5-88a8-efb0745f4c14%2FSummary%7C4b85afdf-66a3-4316-a281-3e8ce0956c9b%2F%29&amp;wdorigin=NavigationUrl" TargetMode="External"/><Relationship Id="rId107" Type="http://schemas.openxmlformats.org/officeDocument/2006/relationships/hyperlink" Target="1.%20Projects/8.%20Sofia/4.%20Standard%20Reports/2020%20Upload" TargetMode="External"/><Relationship Id="rId11" Type="http://schemas.openxmlformats.org/officeDocument/2006/relationships/hyperlink" Target="../../../Payroll/Data_Payroll/Payroll_Shared/MoneyGram/Presence%20Form" TargetMode="External"/><Relationship Id="rId32" Type="http://schemas.openxmlformats.org/officeDocument/2006/relationships/hyperlink" Target="1.%20Projects/9.%20Varna/3.%20Working%20Instructions/Varna%20Manuals/PG.one" TargetMode="External"/><Relationship Id="rId53" Type="http://schemas.openxmlformats.org/officeDocument/2006/relationships/hyperlink" Target="file:///\\10.17.25.15\Client$\HMD\Data_HMD\Private\Team%20Manager\Reports\Reporting%20Templates\New%20Merging%20template" TargetMode="External"/><Relationship Id="rId74" Type="http://schemas.openxmlformats.org/officeDocument/2006/relationships/hyperlink" Target="1.%20Projects/8.%20Sofia/3.%20Working%20Instructions/Sofia%20Manuals" TargetMode="External"/><Relationship Id="rId128" Type="http://schemas.openxmlformats.org/officeDocument/2006/relationships/hyperlink" Target="https://app.powerbi.com/groups/me/apps/b98b30a3-c85c-4c6a-bc01-5d6b9928e773?tenant=7f16c8b3-f0ef-45a1-aa81-9d5c90cb8ba5&amp;experience=power-bi" TargetMode="External"/><Relationship Id="rId149" Type="http://schemas.openxmlformats.org/officeDocument/2006/relationships/hyperlink" Target="file:///\\10.19.2.20\Client$\Ebay\Data_Ebay\Private\Learning%20Specialist\01.%20Reporting" TargetMode="External"/><Relationship Id="rId5" Type="http://schemas.openxmlformats.org/officeDocument/2006/relationships/hyperlink" Target="file:///\\10.17.25.15\client$\MoneyGram\Data_Moneygram\Private\Team%20Manager\OPS\Business%20review\NEW%20MG%20Reporting" TargetMode="External"/><Relationship Id="rId95" Type="http://schemas.openxmlformats.org/officeDocument/2006/relationships/hyperlink" Target="file:///\\10.17.25.15\client$\JnJ\Data_JnJ\Private\Learning_Specialist\QM\QM%20Process\Kenvue%20QM%20Distro%202024" TargetMode="External"/><Relationship Id="rId160" Type="http://schemas.openxmlformats.org/officeDocument/2006/relationships/hyperlink" Target="https://sitel.sharepoint.com/:o:/r/sites/EMEAREPORTINGPRIVATE/Projects/1.%20Site/7.%20Sofia/4.%20Working%20Instructions/Sofia%20Working%20Instructions" TargetMode="External"/><Relationship Id="rId22" Type="http://schemas.openxmlformats.org/officeDocument/2006/relationships/hyperlink" Target="1.%20Projects/8.%20Sofia/3.%20Working%20Instructions/Sofia%20Manuals/Wyndham%20Dashboard.one" TargetMode="External"/><Relationship Id="rId43" Type="http://schemas.openxmlformats.org/officeDocument/2006/relationships/hyperlink" Target="1.%20Projects/8.%20Sofia/3.%20Working%20Instructions/Sofia%20Manuals" TargetMode="External"/><Relationship Id="rId64" Type="http://schemas.openxmlformats.org/officeDocument/2006/relationships/hyperlink" Target="1.%20Projects/8.%20Sofia/3.%20Working%20Instructions/Sofia%20Manuals" TargetMode="External"/><Relationship Id="rId118" Type="http://schemas.openxmlformats.org/officeDocument/2006/relationships/hyperlink" Target="https://sitel.sharepoint.com/:o:/r/sites/EMEAREPORTINGPRIVATE/Projects/1.%20Site/7.%20Sofia/4.%20Working%20Instructions/Sofia%20Working%20Instructions" TargetMode="External"/><Relationship Id="rId139" Type="http://schemas.openxmlformats.org/officeDocument/2006/relationships/hyperlink" Target="1.%20Projects/50.%20LifeScan/3.%20Standard%20reports/35.%20Quality%20Dashboard" TargetMode="External"/><Relationship Id="rId85" Type="http://schemas.openxmlformats.org/officeDocument/2006/relationships/hyperlink" Target="file:///\\EU999K16FPSDE01\EU999_Johnson\JJ_Management_Shared_Berlin_Sofia\10.%20Quality%20monitoring%20Athens" TargetMode="External"/><Relationship Id="rId150" Type="http://schemas.openxmlformats.org/officeDocument/2006/relationships/hyperlink" Target="https://app.powerbi.com/links/WIm0Mn9dZ5?ctid=7f16c8b3-f0ef-45a1-aa81-9d5c90cb8ba5&amp;pbi_source=linkShare" TargetMode="External"/><Relationship Id="rId171" Type="http://schemas.openxmlformats.org/officeDocument/2006/relationships/hyperlink" Target="https://sitel.sharepoint.com/sites/EMEAREPORTINGPRIVATE/_layouts/15/Doc.aspx?sourcedoc=%7b1b61f683-a43c-4647-8970-c2ff9a81899f%7d&amp;action=edit&amp;wd=target%28Billing%20Analytics.one%7C27b537c2-f01f-4d18-80b3-1de193cf525e%2FOverview%7C297abd25-8270-4552-bbd2-cc51e9a7efff%2F%29&amp;wdorigin=NavigationUrl" TargetMode="External"/><Relationship Id="rId12" Type="http://schemas.openxmlformats.org/officeDocument/2006/relationships/hyperlink" Target="1.%20Projects/8.%20Sofia/3.%20Working%20Instructions/Sofia%20Manuals" TargetMode="External"/><Relationship Id="rId33" Type="http://schemas.openxmlformats.org/officeDocument/2006/relationships/hyperlink" Target="https://app.powerbi.com/groups/me/apps/fcda6803-769f-49b0-876c-d48970302eee/reports/205c638f-b990-474e-a136-1043307b4d46/ReportSection1509ab1fa1b6034ab6db" TargetMode="External"/><Relationship Id="rId108" Type="http://schemas.openxmlformats.org/officeDocument/2006/relationships/hyperlink" Target="https://app.powerbi.com/groups/me/apps/affed4ae-926c-4f8f-a48d-395b05c6d3cf?tenant=7f16c8b3-f0ef-45a1-aa81-9d5c90cb8ba5&amp;experience=power-bi" TargetMode="External"/><Relationship Id="rId129" Type="http://schemas.openxmlformats.org/officeDocument/2006/relationships/hyperlink" Target="file:///\\10.19.2.20\Client$\Ebay\Data_Ebay\Private\Learning%20Specialist\01.%20Reporting\02.%20Bonus%20files" TargetMode="External"/><Relationship Id="rId54" Type="http://schemas.openxmlformats.org/officeDocument/2006/relationships/hyperlink" Target="file:///\\10.17.25.15\Client$\HMD\Data_HMD\Private\Team%20Manager\Reports\Reporting%20Templates\New%20Merging%20template" TargetMode="External"/><Relationship Id="rId75" Type="http://schemas.openxmlformats.org/officeDocument/2006/relationships/hyperlink" Target="1.%20Projects/23.%20WFM/CapPlan" TargetMode="External"/><Relationship Id="rId96" Type="http://schemas.openxmlformats.org/officeDocument/2006/relationships/hyperlink" Target="file:///\\10.17.25.15\client$\ZF%20Friedrichshafen\Data_ZF_Friedrichshafen\Private\Team%20Manager\Reporting\Bonuses" TargetMode="External"/><Relationship Id="rId140" Type="http://schemas.openxmlformats.org/officeDocument/2006/relationships/hyperlink" Target="1.%20Projects/50.%20LifeScan/3.%20Standard%20reports/35.%20Quality%20Dashboard" TargetMode="External"/><Relationship Id="rId161" Type="http://schemas.openxmlformats.org/officeDocument/2006/relationships/hyperlink" Target="1.%20Projects/8.%20Sofia/4.%20Standard%20Reports/Epson%20Bonuses" TargetMode="External"/><Relationship Id="rId6" Type="http://schemas.openxmlformats.org/officeDocument/2006/relationships/hyperlink" Target="file:///\\10.17.25.15\client$\MoneyGram\Data_Moneygram\Private\Team%20Manager\OPS\Business%20review\NEW%20MG%20Reporting" TargetMode="External"/><Relationship Id="rId23" Type="http://schemas.openxmlformats.org/officeDocument/2006/relationships/hyperlink" Target="file:///\\10.17.25.15\client$\Wyndham\Data_Wyndham\Private\Team_Manager\CORE%20REPORT" TargetMode="External"/><Relationship Id="rId28" Type="http://schemas.openxmlformats.org/officeDocument/2006/relationships/hyperlink" Target="1.%20Projects/8.%20Sofia/3.%20Working%20Instructions/Sofia%20Manuals/Secret%20Escapes%20Dashboard.one" TargetMode="External"/><Relationship Id="rId49" Type="http://schemas.openxmlformats.org/officeDocument/2006/relationships/hyperlink" Target="1.%20Projects/8.%20Sofia/3.%20Working%20Instructions/Sofia%20Manuals" TargetMode="External"/><Relationship Id="rId114" Type="http://schemas.openxmlformats.org/officeDocument/2006/relationships/hyperlink" Target="1.%20Projects/50.%20LifeScan/3.%20Standard%20reports/24.%20Campaign%20Setup/BE-BE021" TargetMode="External"/><Relationship Id="rId119" Type="http://schemas.openxmlformats.org/officeDocument/2006/relationships/hyperlink" Target="https://sitel.sharepoint.com/:o:/r/sites/EMEAREPORTINGPRIVATE/Projects/1.%20Site/7.%20Sofia/4.%20Working%20Instructions/Sofia%20Working%20Instructions" TargetMode="External"/><Relationship Id="rId44" Type="http://schemas.openxmlformats.org/officeDocument/2006/relationships/hyperlink" Target="1.%20Projects/8.%20Sofia/3.%20Working%20Instructions/Sofia%20Manuals" TargetMode="External"/><Relationship Id="rId60" Type="http://schemas.openxmlformats.org/officeDocument/2006/relationships/hyperlink" Target="file:///\\10.17.25.15\Client$\HMD\Data_HMD\Private\Team%20Manager\Reports\Reporting%20Templates\New%20Merging%20template\Global_Dashboards_Sofia_and_Bogota" TargetMode="External"/><Relationship Id="rId65" Type="http://schemas.openxmlformats.org/officeDocument/2006/relationships/hyperlink" Target="1.%20Projects/8.%20Sofia/3.%20Working%20Instructions/Sofia%20Manuals" TargetMode="External"/><Relationship Id="rId81" Type="http://schemas.openxmlformats.org/officeDocument/2006/relationships/hyperlink" Target="https://sitel.sharepoint.com/:o:/r/sites/EMEAREPORTINGPRIVATE/Projects/1.%20Site/7.%20Sofia/4.%20Working%20Instructions/Sofia%20Working%20Instructions" TargetMode="External"/><Relationship Id="rId86" Type="http://schemas.openxmlformats.org/officeDocument/2006/relationships/hyperlink" Target="file:///\\emeaits.emea.sitel-world.net\Prod\reports\481TOT1" TargetMode="External"/><Relationship Id="rId130" Type="http://schemas.openxmlformats.org/officeDocument/2006/relationships/hyperlink" Target="file:///\\DK266k12FPSVR01\CPHADCRPT$\OPS" TargetMode="External"/><Relationship Id="rId135" Type="http://schemas.openxmlformats.org/officeDocument/2006/relationships/hyperlink" Target="file:///\\DK266k12FPSVR01\CPHADCRPT$\OPS" TargetMode="External"/><Relationship Id="rId151" Type="http://schemas.openxmlformats.org/officeDocument/2006/relationships/hyperlink" Target="https://app.powerbi.com/links/5ZOoPJ65US?ctid=7f16c8b3-f0ef-45a1-aa81-9d5c90cb8ba5&amp;pbi_source=linkShare" TargetMode="External"/><Relationship Id="rId156" Type="http://schemas.openxmlformats.org/officeDocument/2006/relationships/hyperlink" Target="file:///\\emeaits.emea.sitel-world.net\Prod\reports\049TOT1" TargetMode="External"/><Relationship Id="rId177" Type="http://schemas.openxmlformats.org/officeDocument/2006/relationships/comments" Target="../comments1.xml"/><Relationship Id="rId172" Type="http://schemas.openxmlformats.org/officeDocument/2006/relationships/hyperlink" Target="https://sitel.sharepoint.com/sites/EMEAREPORTINGPRIVATE/_layouts/15/Doc.aspx?sourcedoc=%7b1b61f683-a43c-4647-8970-c2ff9a81899f%7d&amp;action=edit&amp;wd=target%28Billing%20Summary.one%7C51ca08d1-07d7-4149-87a3-72c7f557086d%2FSummary%7Cb2ed8fa6-a3ab-4a87-ad45-af6a3215b3d7%2F%29&amp;wdorigin=NavigationUrl" TargetMode="External"/><Relationship Id="rId13" Type="http://schemas.openxmlformats.org/officeDocument/2006/relationships/hyperlink" Target="file:///\\10.17.25.15\Client$\HMD\Data_HMD\Private\Team%20Manager\Reports\Reporting%20Templates\New%20Merging%20template" TargetMode="External"/><Relationship Id="rId18" Type="http://schemas.openxmlformats.org/officeDocument/2006/relationships/hyperlink" Target="1.%20Projects/8.%20Sofia/4.%20Standard%20Reports/HMD%20Bonuses" TargetMode="External"/><Relationship Id="rId39" Type="http://schemas.openxmlformats.org/officeDocument/2006/relationships/hyperlink" Target="file:///\\10.17.25.15\client$\Epson\Data_Epson\Private\Team%20Manager\reports" TargetMode="External"/><Relationship Id="rId109" Type="http://schemas.openxmlformats.org/officeDocument/2006/relationships/hyperlink" Target="https://sitel.sharepoint.com/:o:/r/sites/EMEAREPORTINGPRIVATE/Projects/1.%20Site/7.%20Sofia/4.%20Working%20Instructions/Sofia%20Working%20Instructions" TargetMode="External"/><Relationship Id="rId34" Type="http://schemas.openxmlformats.org/officeDocument/2006/relationships/hyperlink" Target="1.%20Projects/8.%20Sofia/3.%20Working%20Instructions/Sofia%20Manuals/Epson.one" TargetMode="External"/><Relationship Id="rId50" Type="http://schemas.openxmlformats.org/officeDocument/2006/relationships/hyperlink" Target="file:///\\10.17.25.15\Client$\HMD\Data_HMD\Private\Team%20Manager\Reports\RCA" TargetMode="External"/><Relationship Id="rId55" Type="http://schemas.openxmlformats.org/officeDocument/2006/relationships/hyperlink" Target="file:///\\10.17.25.15\Client$\HMD\Data_HMD\Private\Team%20Manager\Reports\Reporting%20Templates\New%20Merging%20template" TargetMode="External"/><Relationship Id="rId76" Type="http://schemas.openxmlformats.org/officeDocument/2006/relationships/hyperlink" Target="1.%20Projects/8.%20Sofia/4.%20Standard%20Reports" TargetMode="External"/><Relationship Id="rId97" Type="http://schemas.openxmlformats.org/officeDocument/2006/relationships/hyperlink" Target="https://sitel.sharepoint.com/:o:/r/sites/EMEAREPORTINGPRIVATE/Projects/1.%20Site/7.%20Sofia/4.%20Working%20Instructions/Sofia%20Working%20Instructions" TargetMode="External"/><Relationship Id="rId104" Type="http://schemas.openxmlformats.org/officeDocument/2006/relationships/hyperlink" Target="file:///\\DK266k12FPSVR01\CPHADCRPT$\OPS" TargetMode="External"/><Relationship Id="rId120" Type="http://schemas.openxmlformats.org/officeDocument/2006/relationships/hyperlink" Target="file:///\\emeaits.emea.sitel-world.net\Prod\reports\10220T1" TargetMode="External"/><Relationship Id="rId125" Type="http://schemas.openxmlformats.org/officeDocument/2006/relationships/hyperlink" Target="file:///\\emeaits.emea.sitel-world.net\Prod\reports\576TOT1" TargetMode="External"/><Relationship Id="rId141" Type="http://schemas.openxmlformats.org/officeDocument/2006/relationships/hyperlink" Target="1.%20Projects/50.%20LifeScan/3.%20Standard%20reports/27.%20Alessandra%20report" TargetMode="External"/><Relationship Id="rId146" Type="http://schemas.openxmlformats.org/officeDocument/2006/relationships/hyperlink" Target="file:///\\10.19.2.20\Client$\Ebay\Data_Ebay\Private\Learning%20Specialist\01.%20Reporting" TargetMode="External"/><Relationship Id="rId167" Type="http://schemas.openxmlformats.org/officeDocument/2006/relationships/hyperlink" Target="https://sitel.sharepoint.com/sites/EMEAREPORTINGPRIVATE/_layouts/15/Doc.aspx?sourcedoc=%7ba4c05416-6148-4630-a1cb-169ccb12e7d9%7d&amp;action=edit&amp;wd=target%28Untitled%20Section.one%7C896ae842-4b85-4ad5-88a8-efb0745f4c14%2FSummary%7C4b85afdf-66a3-4316-a281-3e8ce0956c9b%2F%29&amp;wdorigin=NavigationUrl" TargetMode="External"/><Relationship Id="rId7" Type="http://schemas.openxmlformats.org/officeDocument/2006/relationships/hyperlink" Target="file:///\\10.17.25.15\client$\MoneyGram\Data_Moneygram\Private\Team%20Manager\OPS\Business%20review\NEW%20MG%20Reporting" TargetMode="External"/><Relationship Id="rId71" Type="http://schemas.openxmlformats.org/officeDocument/2006/relationships/hyperlink" Target="1.%20Projects/8.%20Sofia/3.%20Working%20Instructions/Sofia%20Manuals" TargetMode="External"/><Relationship Id="rId92" Type="http://schemas.openxmlformats.org/officeDocument/2006/relationships/hyperlink" Target="https://sitel.sharepoint.com/:o:/r/sites/EMEAREPORTINGPRIVATE/Projects/1.%20Site/7.%20Sofia/4.%20Working%20Instructions/Sofia%20Working%20Instructions" TargetMode="External"/><Relationship Id="rId162" Type="http://schemas.openxmlformats.org/officeDocument/2006/relationships/hyperlink" Target="https://sitel.sharepoint.com/:o:/r/sites/EMEAREPORTINGPRIVATE/Projects/1.%20Site/7.%20Sofia/4.%20Working%20Instructions/Sofia%20Working%20Instructions" TargetMode="External"/><Relationship Id="rId2" Type="http://schemas.openxmlformats.org/officeDocument/2006/relationships/hyperlink" Target="file:///\\10.17.25.15\client$\Ring%20Central\Data_Ring%20Central\Private\Team%20Manager\Reporting" TargetMode="External"/><Relationship Id="rId29" Type="http://schemas.openxmlformats.org/officeDocument/2006/relationships/hyperlink" Target="file:///\\10.17.25.15\Client$\Secret%20Escapes\Data_Secret%20Escapes\Private\Team%20Manager\Reporting%20and%20metrics" TargetMode="External"/><Relationship Id="rId24" Type="http://schemas.openxmlformats.org/officeDocument/2006/relationships/hyperlink" Target="1.%20Projects/8.%20Sofia/4.%20Standard%20Reports/2020%20Upload" TargetMode="External"/><Relationship Id="rId40" Type="http://schemas.openxmlformats.org/officeDocument/2006/relationships/hyperlink" Target="1.%20Projects/8.%20Sofia/3.%20Working%20Instructions/Sofia%20Manuals" TargetMode="External"/><Relationship Id="rId45" Type="http://schemas.openxmlformats.org/officeDocument/2006/relationships/hyperlink" Target="1.%20Projects/8.%20Sofia/3.%20Working%20Instructions/Sofia%20Manuals" TargetMode="External"/><Relationship Id="rId66" Type="http://schemas.openxmlformats.org/officeDocument/2006/relationships/hyperlink" Target="1.%20Projects/8.%20Sofia/3.%20Working%20Instructions/Sofia%20Manuals" TargetMode="External"/><Relationship Id="rId87" Type="http://schemas.openxmlformats.org/officeDocument/2006/relationships/hyperlink" Target="https://sitel.sharepoint.com/:o:/r/sites/EMEAREPORTINGPRIVATE/Projects/1.%20Site/7.%20Sofia/4.%20Working%20Instructions/Sofia%20Working%20Instructions" TargetMode="External"/><Relationship Id="rId110" Type="http://schemas.openxmlformats.org/officeDocument/2006/relationships/hyperlink" Target="1.%20Projects/8.%20Sofia/3.%20Working%20Instructions/Sofia%20Manuals/ZF.one" TargetMode="External"/><Relationship Id="rId115" Type="http://schemas.openxmlformats.org/officeDocument/2006/relationships/hyperlink" Target="1.%20Projects/50.%20LifeScan/3.%20Standard%20reports/24.%20Campaign%20Setup/FR-FR034" TargetMode="External"/><Relationship Id="rId131" Type="http://schemas.openxmlformats.org/officeDocument/2006/relationships/hyperlink" Target="file:///\\DK266k12FPSVR01\BOReports$\Lateness" TargetMode="External"/><Relationship Id="rId136" Type="http://schemas.openxmlformats.org/officeDocument/2006/relationships/hyperlink" Target="file:///\\DK266k12FPSVR01\BOReports$\Attrition" TargetMode="External"/><Relationship Id="rId157" Type="http://schemas.openxmlformats.org/officeDocument/2006/relationships/hyperlink" Target="file:///\\EU999K19FPSNL01.emea.sitel-world.net\999_Netherlands$\Corporate\Reporting\2.%20Attrition%20Report" TargetMode="External"/><Relationship Id="rId61" Type="http://schemas.openxmlformats.org/officeDocument/2006/relationships/hyperlink" Target="file:///\\10.17.25.15\Client$\HMD\Data_HMD\Private\Team%20Manager\Reports\Reporting%20Templates\New%20Merging%20template\Quality%20Monitoring" TargetMode="External"/><Relationship Id="rId82" Type="http://schemas.openxmlformats.org/officeDocument/2006/relationships/hyperlink" Target="1.%20Projects\8.%20Sofia\4.%20Standard%20Reports\2020%20Upload" TargetMode="External"/><Relationship Id="rId152" Type="http://schemas.openxmlformats.org/officeDocument/2006/relationships/hyperlink" Target="1.%20Projects/50.%20LifeScan/3.%20Standard%20reports/19.%20Send%20Campaign%20Calendar" TargetMode="External"/><Relationship Id="rId173" Type="http://schemas.openxmlformats.org/officeDocument/2006/relationships/hyperlink" Target="https://sitel.sharepoint.com/sites/EMEAREPORTINGPRIVATE/_layouts/15/Doc.aspx?sourcedoc=%7b1b61f683-a43c-4647-8970-c2ff9a81899f%7d&amp;action=edit&amp;wd=target%28Klarna%20Complete%20Roster.one%7C96deacfc-4855-4a5b-8c34-8f97cbb5178b%2FUntitled%20Page%7C0bd70e28-8327-4f8d-920c-9679034ae985%2F%29&amp;wdorigin=NavigationUrl" TargetMode="External"/><Relationship Id="rId19" Type="http://schemas.openxmlformats.org/officeDocument/2006/relationships/hyperlink" Target="1.%20Projects/8.%20Sofia/3.%20Working%20Instructions/Sofia%20Manuals/Wyndham%20Dashboard.one" TargetMode="External"/><Relationship Id="rId14" Type="http://schemas.openxmlformats.org/officeDocument/2006/relationships/hyperlink" Target="file:///\\10.17.25.15\Client$\HMD\Data_HMD\Private\Team%20Manager\Reports\Reporting%20Templates\New%20Merging%20template\Global_Dashboards_Sofia_and_Bogota" TargetMode="External"/><Relationship Id="rId30" Type="http://schemas.openxmlformats.org/officeDocument/2006/relationships/hyperlink" Target="file:///\\10.17.25.15\client$\Epson\Data_Epson\Private\Team%20Manager\reports" TargetMode="External"/><Relationship Id="rId35" Type="http://schemas.openxmlformats.org/officeDocument/2006/relationships/hyperlink" Target="1.%20Projects/8.%20Sofia/3.%20Working%20Instructions/Sofia%20Manuals/Epson.one" TargetMode="External"/><Relationship Id="rId56" Type="http://schemas.openxmlformats.org/officeDocument/2006/relationships/hyperlink" Target="file:///\\10.17.25.15\Client$\HMD\Data_HMD\Private\Team%20Manager\Reports\Reporting%20Templates\New%20Merging%20template" TargetMode="External"/><Relationship Id="rId77" Type="http://schemas.openxmlformats.org/officeDocument/2006/relationships/hyperlink" Target="https://sitel.sharepoint.com/:o:/r/sites/EMEAREPORTINGPRIVATE/Projects/1.%20Site/7.%20Sofia/4.%20Working%20Instructions/Sofia%20Working%20Instructions" TargetMode="External"/><Relationship Id="rId100" Type="http://schemas.openxmlformats.org/officeDocument/2006/relationships/hyperlink" Target="file:///\\DK266k12FPSVR01\CPHADCRPT$\OPS" TargetMode="External"/><Relationship Id="rId105" Type="http://schemas.openxmlformats.org/officeDocument/2006/relationships/hyperlink" Target="file:///\\DK266k12FPSVR01\CPHADCRPT$\OPS" TargetMode="External"/><Relationship Id="rId126" Type="http://schemas.openxmlformats.org/officeDocument/2006/relationships/hyperlink" Target="https://app.powerbi.com/groups/me/apps/d9eae375-4667-4e5f-be4a-69fedc290e62?experience=power-bi" TargetMode="External"/><Relationship Id="rId147" Type="http://schemas.openxmlformats.org/officeDocument/2006/relationships/hyperlink" Target="file:///\\10.19.2.20\Client$\Ebay\Data_Ebay\Private\Learning%20Specialist\01.%20Reporting" TargetMode="External"/><Relationship Id="rId168" Type="http://schemas.openxmlformats.org/officeDocument/2006/relationships/hyperlink" Target="https://sitel.sharepoint.com/sites/EMEAREPORTINGPRIVATE/_layouts/15/Doc.aspx?sourcedoc=%7ba4c05416-6148-4630-a1cb-169ccb12e7d9%7d&amp;action=edit&amp;wd=target%28Untitled%20Section.one%7C896ae842-4b85-4ad5-88a8-efb0745f4c14%2FSummary%7C4b85afdf-66a3-4316-a281-3e8ce0956c9b%2F%29&amp;wdorigin=NavigationUrl" TargetMode="External"/><Relationship Id="rId8" Type="http://schemas.openxmlformats.org/officeDocument/2006/relationships/hyperlink" Target="file:///\\10.17.25.15\client$\MoneyGram\Data_Moneygram\Private\Team%20Manager\Reporting\Team" TargetMode="External"/><Relationship Id="rId51" Type="http://schemas.openxmlformats.org/officeDocument/2006/relationships/hyperlink" Target="file:///\\10.17.25.15\Client$\HMD\Data_HMD\Private\Team%20Manager\Reports\Reporting%20Templates\New%20Merging%20template" TargetMode="External"/><Relationship Id="rId72" Type="http://schemas.openxmlformats.org/officeDocument/2006/relationships/hyperlink" Target="1.%20Projects/8.%20Sofia/3.%20Working%20Instructions/Sofia%20Manuals" TargetMode="External"/><Relationship Id="rId93" Type="http://schemas.openxmlformats.org/officeDocument/2006/relationships/hyperlink" Target="https://sitel.sharepoint.com/:o:/r/sites/EMEAREPORTINGPRIVATE/Projects/1.%20Site/7.%20Sofia/4.%20Working%20Instructions/Sofia%20Working%20Instructions" TargetMode="External"/><Relationship Id="rId98" Type="http://schemas.openxmlformats.org/officeDocument/2006/relationships/hyperlink" Target="file:///\\DK266k12FPSVR01\CPHADCRPT$\OPS\ADC%20Weekly%20Intraday" TargetMode="External"/><Relationship Id="rId121" Type="http://schemas.openxmlformats.org/officeDocument/2006/relationships/hyperlink" Target="https://sitel.sharepoint.com/:o:/r/sites/EMEAREPORTINGPRIVATE/Projects/1.%20Site/7.%20Sofia/4.%20Working%20Instructions/Sofia%20Working%20Instructions" TargetMode="External"/><Relationship Id="rId142" Type="http://schemas.openxmlformats.org/officeDocument/2006/relationships/hyperlink" Target="1.%20Projects/50.%20LifeScan/3.%20Standard%20reports/6.%20MBR" TargetMode="External"/><Relationship Id="rId163" Type="http://schemas.openxmlformats.org/officeDocument/2006/relationships/hyperlink" Target="file:///\\emeaits.emea.sitel-world.net\Prod\reports\481TOT1" TargetMode="External"/><Relationship Id="rId3" Type="http://schemas.openxmlformats.org/officeDocument/2006/relationships/hyperlink" Target="file:///\\10.17.25.15\client$\Ring%20Central\Data_Ring%20Central\Private\Team%20Manager\Reporting" TargetMode="External"/><Relationship Id="rId25" Type="http://schemas.openxmlformats.org/officeDocument/2006/relationships/hyperlink" Target="1.%20Projects/9.%20Varna/3.%20Working%20Instructions/Varna%20Manuals/Mobilcom%20and%20Klarmobil%20Manual.one" TargetMode="External"/><Relationship Id="rId46" Type="http://schemas.openxmlformats.org/officeDocument/2006/relationships/hyperlink" Target="1.%20Projects/8.%20Sofia/3.%20Working%20Instructions/Sofia%20Manuals" TargetMode="External"/><Relationship Id="rId67" Type="http://schemas.openxmlformats.org/officeDocument/2006/relationships/hyperlink" Target="1.%20Projects/8.%20Sofia/3.%20Working%20Instructions/Sofia%20Manuals" TargetMode="External"/><Relationship Id="rId116" Type="http://schemas.openxmlformats.org/officeDocument/2006/relationships/hyperlink" Target="1.%20Projects/50.%20LifeScan/3.%20Standard%20reports/44.%20EMEA%20Orders" TargetMode="External"/><Relationship Id="rId137" Type="http://schemas.openxmlformats.org/officeDocument/2006/relationships/hyperlink" Target="file:///\\DK266k12FPSVR01\BOReports$\Sonderborg" TargetMode="External"/><Relationship Id="rId158" Type="http://schemas.openxmlformats.org/officeDocument/2006/relationships/hyperlink" Target="file:///\\10.19.2.20\Client$\Mobilcom\Data_Mobilcom\Private\Learning%20Specialist\Daily%20Performance" TargetMode="External"/><Relationship Id="rId20" Type="http://schemas.openxmlformats.org/officeDocument/2006/relationships/hyperlink" Target="file:///\\10.17.25.15\client$\Wyndham\Data_Wyndham\Private\Team_Manager\CORE%20REPORT" TargetMode="External"/><Relationship Id="rId41" Type="http://schemas.openxmlformats.org/officeDocument/2006/relationships/hyperlink" Target="1.%20Projects/8.%20Sofia/3.%20Working%20Instructions/Sofia%20Manuals" TargetMode="External"/><Relationship Id="rId62" Type="http://schemas.openxmlformats.org/officeDocument/2006/relationships/hyperlink" Target="file:///\\10.17.25.15\Client$\HMD\Data_HMD\Private\Team%20Manager\Reports\Reporting%20Templates\New%20Merging%20template\Quality%20Monitoring" TargetMode="External"/><Relationship Id="rId83" Type="http://schemas.openxmlformats.org/officeDocument/2006/relationships/hyperlink" Target="1.%20Projects\8.%20Sofia\4.%20Standard%20Reports\2020%20Upload" TargetMode="External"/><Relationship Id="rId88" Type="http://schemas.openxmlformats.org/officeDocument/2006/relationships/hyperlink" Target="https://sitel.sharepoint.com/:o:/r/sites/EMEAREPORTINGPRIVATE/Projects/1.%20Site/7.%20Sofia/4.%20Working%20Instructions/Sofia%20Working%20Instructions" TargetMode="External"/><Relationship Id="rId111" Type="http://schemas.openxmlformats.org/officeDocument/2006/relationships/hyperlink" Target="1.%20Projects/50.%20LifeScan/3.%20Standard%20reports/51.%20COMs%20with%20Escalations" TargetMode="External"/><Relationship Id="rId132" Type="http://schemas.openxmlformats.org/officeDocument/2006/relationships/hyperlink" Target="file:///\\DK266k12FPSVR01\CPHADCRPT$\OPS" TargetMode="External"/><Relationship Id="rId153" Type="http://schemas.openxmlformats.org/officeDocument/2006/relationships/hyperlink" Target="file:///\\10.19.2.20\Client$\Mobilcom\Data_Mobilcom\Private\Learning%20Specialist\Daily%20Performance\Monthly_Bonus_Files_MD" TargetMode="External"/><Relationship Id="rId174" Type="http://schemas.openxmlformats.org/officeDocument/2006/relationships/printerSettings" Target="../printerSettings/printerSettings1.bin"/><Relationship Id="rId15" Type="http://schemas.openxmlformats.org/officeDocument/2006/relationships/hyperlink" Target="file:///\\eu974k16mft01\Teleservices" TargetMode="External"/><Relationship Id="rId36" Type="http://schemas.openxmlformats.org/officeDocument/2006/relationships/hyperlink" Target="1.%20Projects/8.%20Sofia/3.%20Working%20Instructions/Sofia%20Manuals/Epson.one" TargetMode="External"/><Relationship Id="rId57" Type="http://schemas.openxmlformats.org/officeDocument/2006/relationships/hyperlink" Target="file:///\\10.17.25.15\Client$\HMD\Data_HMD\Private\Team%20Manager\Reports\Reporting%20Templates\New%20Merging%20template" TargetMode="External"/><Relationship Id="rId106" Type="http://schemas.openxmlformats.org/officeDocument/2006/relationships/hyperlink" Target="file:///\\DK266k12FPSVR01\CPHADCRPT$\OPS" TargetMode="External"/><Relationship Id="rId127" Type="http://schemas.openxmlformats.org/officeDocument/2006/relationships/hyperlink" Target="https://app.powerbi.com/groups/me/apps/fe7e22ae-8d74-4f4d-b9b7-60c020fee7eb?tenant=7f16c8b3-f0ef-45a1-aa81-9d5c90cb8ba5&amp;experience=power-bi" TargetMode="External"/><Relationship Id="rId10" Type="http://schemas.openxmlformats.org/officeDocument/2006/relationships/hyperlink" Target="1.%20Projects/8.%20Sofia/4.%20Standard%20Reports/2020%20Upload" TargetMode="External"/><Relationship Id="rId31" Type="http://schemas.openxmlformats.org/officeDocument/2006/relationships/hyperlink" Target="file:///\\10.17.25.15\client$\Epson\Data_Epson\Private\Team%20Manager\reports" TargetMode="External"/><Relationship Id="rId52" Type="http://schemas.openxmlformats.org/officeDocument/2006/relationships/hyperlink" Target="file:///\\10.17.25.15\Client$\HMD\Data_HMD\Private\Team%20Manager\Reports\Reporting%20Templates\New%20Merging%20template" TargetMode="External"/><Relationship Id="rId73" Type="http://schemas.openxmlformats.org/officeDocument/2006/relationships/hyperlink" Target="1.%20Projects/8.%20Sofia/3.%20Working%20Instructions/Sofia%20Manuals" TargetMode="External"/><Relationship Id="rId78" Type="http://schemas.openxmlformats.org/officeDocument/2006/relationships/hyperlink" Target="1.%20Projects/8.%20Sofia/4.%20Standard%20Reports/ZF%20Bonuses" TargetMode="External"/><Relationship Id="rId94" Type="http://schemas.openxmlformats.org/officeDocument/2006/relationships/hyperlink" Target="file:///\\10.17.25.15\client$\Ring%20Central\Data_Ring%20Central\Private\Team%20Manager\Reporting" TargetMode="External"/><Relationship Id="rId99" Type="http://schemas.openxmlformats.org/officeDocument/2006/relationships/hyperlink" Target="file:///\\DK266k12FPSVR01\CPHADCRPT$\OPS" TargetMode="External"/><Relationship Id="rId101" Type="http://schemas.openxmlformats.org/officeDocument/2006/relationships/hyperlink" Target="file:///\\DK266k12FPSVR01\CPHADCRPT$\OPS" TargetMode="External"/><Relationship Id="rId122" Type="http://schemas.openxmlformats.org/officeDocument/2006/relationships/hyperlink" Target="https://sitel.sharepoint.com/:o:/r/sites/EMEAREPORTINGPRIVATE/Projects/1.%20Site/7.%20Sofia/4.%20Working%20Instructions/Sofia%20Working%20Instructions" TargetMode="External"/><Relationship Id="rId143" Type="http://schemas.openxmlformats.org/officeDocument/2006/relationships/hyperlink" Target="1.%20Projects/50.%20LifeScan/3.%20Standard%20reports/34.%20Back%20Office%20Dashboard/New%20Dashboard%20Version" TargetMode="External"/><Relationship Id="rId148" Type="http://schemas.openxmlformats.org/officeDocument/2006/relationships/hyperlink" Target="file:///\\10.19.2.20\Client$\Ebay\Data_Ebay\Private\Learning%20Specialist\01.%20Reporting" TargetMode="External"/><Relationship Id="rId164" Type="http://schemas.openxmlformats.org/officeDocument/2006/relationships/hyperlink" Target="file:///\\emeaits.emea.sitel-world.net\Prod\reports\481TOT1" TargetMode="External"/><Relationship Id="rId169" Type="http://schemas.openxmlformats.org/officeDocument/2006/relationships/hyperlink" Target="https://sitel.sharepoint.com/sites/EMEAREPORTINGPRIVATE/_layouts/15/Doc.aspx?sourcedoc=%7ba4c05416-6148-4630-a1cb-169ccb12e7d9%7d&amp;action=edit&amp;wd=target%28Untitled%20Section.one%7C896ae842-4b85-4ad5-88a8-efb0745f4c14%2FSummary%7C4b85afdf-66a3-4316-a281-3e8ce0956c9b%2F%29&amp;wdorigin=NavigationUrl" TargetMode="External"/><Relationship Id="rId4" Type="http://schemas.openxmlformats.org/officeDocument/2006/relationships/hyperlink" Target="file:///\\10.17.25.15\client$\MoneyGram\Data_Moneygram\Private\Team%20Manager\Reporting\QA" TargetMode="External"/><Relationship Id="rId9" Type="http://schemas.openxmlformats.org/officeDocument/2006/relationships/hyperlink" Target="file:///\\10.17.25.15\client$\MoneyGram\Data_Moneygram\Private\Team%20Manager\SKEP" TargetMode="External"/><Relationship Id="rId26" Type="http://schemas.openxmlformats.org/officeDocument/2006/relationships/hyperlink" Target="file:///\\10.19.2.20\Client$\Mobilcom\Data_Mobilcom\Private\Learning%20Specialist\Daily%20Performance" TargetMode="External"/><Relationship Id="rId47" Type="http://schemas.openxmlformats.org/officeDocument/2006/relationships/hyperlink" Target="1.%20Projects/8.%20Sofia/3.%20Working%20Instructions/Sofia%20Manuals" TargetMode="External"/><Relationship Id="rId68" Type="http://schemas.openxmlformats.org/officeDocument/2006/relationships/hyperlink" Target="1.%20Projects/8.%20Sofia/3.%20Working%20Instructions/Sofia%20Manuals" TargetMode="External"/><Relationship Id="rId89" Type="http://schemas.openxmlformats.org/officeDocument/2006/relationships/hyperlink" Target="https://sitel.sharepoint.com/:o:/r/sites/EMEAREPORTINGPRIVATE/Projects/1.%20Site/7.%20Sofia/4.%20Working%20Instructions/Sofia%20Working%20Instructions" TargetMode="External"/><Relationship Id="rId112" Type="http://schemas.openxmlformats.org/officeDocument/2006/relationships/hyperlink" Target="1.%20Projects/50.%20LifeScan/3.%20Standard%20reports/24.%20Campaign%20Setup/FR-FR033" TargetMode="External"/><Relationship Id="rId133" Type="http://schemas.openxmlformats.org/officeDocument/2006/relationships/hyperlink" Target="file:///\\DK266k12FPSVR01\CPHADCRPT$\OPS" TargetMode="External"/><Relationship Id="rId154" Type="http://schemas.openxmlformats.org/officeDocument/2006/relationships/hyperlink" Target="file:///\\10.19.2.20\Client$\Mobilcom\Data_Mobilcom\Private\Learning%20Specialist\Daily%20Performance\Monthly_Bonus_Files_KM" TargetMode="External"/><Relationship Id="rId175" Type="http://schemas.openxmlformats.org/officeDocument/2006/relationships/vmlDrawing" Target="../drawings/vmlDrawing1.vml"/><Relationship Id="rId16" Type="http://schemas.openxmlformats.org/officeDocument/2006/relationships/hyperlink" Target="1.%20Projects/8.%20Sofia/4.%20Standard%20Reports/2020%20Upload" TargetMode="External"/><Relationship Id="rId37" Type="http://schemas.openxmlformats.org/officeDocument/2006/relationships/hyperlink" Target="1.%20Projects/8.%20Sofia/3.%20Working%20Instructions/Sofia%20Manuals/Epson.one" TargetMode="External"/><Relationship Id="rId58" Type="http://schemas.openxmlformats.org/officeDocument/2006/relationships/hyperlink" Target="file:///\\10.17.25.15\Client$\HMD\Data_HMD\Private\Team%20Manager\Reports\Reporting%20Templates\New%20Merging%20template" TargetMode="External"/><Relationship Id="rId79" Type="http://schemas.openxmlformats.org/officeDocument/2006/relationships/hyperlink" Target="file:///\\emeaits.emea.sitel-world.net\Prod\reports\11340T1" TargetMode="External"/><Relationship Id="rId102" Type="http://schemas.openxmlformats.org/officeDocument/2006/relationships/hyperlink" Target="file:///\\DK266k12FPSVR01\CPHADCRPT$\OPS" TargetMode="External"/><Relationship Id="rId123" Type="http://schemas.openxmlformats.org/officeDocument/2006/relationships/hyperlink" Target="https://sitel.sharepoint.com/:o:/r/sites/EMEAREPORTINGPRIVATE/Projects/1.%20Site/7.%20Sofia/4.%20Working%20Instructions/Sofia%20Working%20Instructions" TargetMode="External"/><Relationship Id="rId144" Type="http://schemas.openxmlformats.org/officeDocument/2006/relationships/hyperlink" Target="1.%20Projects/50.%20LifeScan/3.%20Standard%20reports/36.%20DE%20Campaign%20Reports/DE-DE091%20New%20Report" TargetMode="External"/><Relationship Id="rId90" Type="http://schemas.openxmlformats.org/officeDocument/2006/relationships/hyperlink" Target="https://sitel.sharepoint.com/:o:/r/sites/EMEAREPORTINGPRIVATE/Projects/1.%20Site/7.%20Sofia/4.%20Working%20Instructions/Sofia%20Working%20Instructions" TargetMode="External"/><Relationship Id="rId165" Type="http://schemas.openxmlformats.org/officeDocument/2006/relationships/hyperlink" Target="https://sitel.sharepoint.com/sites/EMEAREPORTINGPRIVATE/_layouts/15/Doc.aspx?sourcedoc=%7b1b61f683-a43c-4647-8970-c2ff9a81899f%7d&amp;action=edit&amp;wd=target%28Untitled%20Section.one%7Ccc0e5794-a221-4f47-9e2c-46824b8908b1%2FOverview%7C27f2e6e1-312e-428f-a4a9-e68b9a445352%2F%29&amp;wdorigin=NavigationUrl" TargetMode="External"/><Relationship Id="rId27" Type="http://schemas.openxmlformats.org/officeDocument/2006/relationships/hyperlink" Target="1.%20Projects/9.%20Varna/4.%20Standard%20Reports/2020%20Upload" TargetMode="External"/><Relationship Id="rId48" Type="http://schemas.openxmlformats.org/officeDocument/2006/relationships/hyperlink" Target="1.%20Projects/8.%20Sofia/4.%20Standard%20Reports" TargetMode="External"/><Relationship Id="rId69" Type="http://schemas.openxmlformats.org/officeDocument/2006/relationships/hyperlink" Target="1.%20Projects/8.%20Sofia/3.%20Working%20Instructions/Sofia%20Manuals" TargetMode="External"/><Relationship Id="rId113" Type="http://schemas.openxmlformats.org/officeDocument/2006/relationships/hyperlink" Target="1.%20Projects/50.%20LifeScan/3.%20Standard%20reports/36.%20DE%20Campaign%20Reports/DE-DE098" TargetMode="External"/><Relationship Id="rId134" Type="http://schemas.openxmlformats.org/officeDocument/2006/relationships/hyperlink" Target="file:///\\DK266k12FPSVR01\CPHADCRPT$\OPS" TargetMode="External"/><Relationship Id="rId80" Type="http://schemas.openxmlformats.org/officeDocument/2006/relationships/hyperlink" Target="https://app.powerbi.com/groups/me/apps/affed4ae-926c-4f8f-a48d-395b05c6d3cf?tenant=7f16c8b3-f0ef-45a1-aa81-9d5c90cb8ba5&amp;experience=power-bi" TargetMode="External"/><Relationship Id="rId155" Type="http://schemas.openxmlformats.org/officeDocument/2006/relationships/hyperlink" Target="file:///\\emeaits.emea.sitel-world.net\Prod\reports\105TOT1" TargetMode="External"/><Relationship Id="rId176" Type="http://schemas.openxmlformats.org/officeDocument/2006/relationships/table" Target="../tables/table1.xml"/><Relationship Id="rId17" Type="http://schemas.openxmlformats.org/officeDocument/2006/relationships/hyperlink" Target="file:///\\10.17.25.15\Client$\HMD\Data_HMD\Private\Team%20Manager\Reports\Reporting%20Templates\New%20Merging%20template\Bonuses" TargetMode="External"/><Relationship Id="rId38" Type="http://schemas.openxmlformats.org/officeDocument/2006/relationships/hyperlink" Target="file:///\\EU999K16TSKS02\Epson_Report$" TargetMode="External"/><Relationship Id="rId59" Type="http://schemas.openxmlformats.org/officeDocument/2006/relationships/hyperlink" Target="file:///\\10.17.25.15\Client$\HMD\Data_HMD\Private\Team%20Manager\Reports\Reporting%20Templates\New%20Merging%20template\Global_Dashboards_Sofia_and_Bogota" TargetMode="External"/><Relationship Id="rId103" Type="http://schemas.openxmlformats.org/officeDocument/2006/relationships/hyperlink" Target="file:///\\DK266k12FPSVR01\CPHADCRPT$\OPS" TargetMode="External"/><Relationship Id="rId124" Type="http://schemas.openxmlformats.org/officeDocument/2006/relationships/hyperlink" Target="https://sitel.sharepoint.com/:o:/r/sites/EMEAREPORTINGPRIVATE/Projects/1.%20Site/7.%20Sofia/4.%20Working%20Instructions/Sofia%20Working%20Instructions" TargetMode="External"/><Relationship Id="rId70" Type="http://schemas.openxmlformats.org/officeDocument/2006/relationships/hyperlink" Target="1.%20Projects/8.%20Sofia/3.%20Working%20Instructions/Sofia%20Manuals" TargetMode="External"/><Relationship Id="rId91" Type="http://schemas.openxmlformats.org/officeDocument/2006/relationships/hyperlink" Target="https://sitel.sharepoint.com/:o:/r/sites/EMEAREPORTINGPRIVATE/Projects/1.%20Site/7.%20Sofia/4.%20Working%20Instructions/Sofia%20Working%20Instructions" TargetMode="External"/><Relationship Id="rId145" Type="http://schemas.openxmlformats.org/officeDocument/2006/relationships/hyperlink" Target="1.%20Projects/50.%20LifeScan/3.%20Standard%20reports/31.%20HCP%20vs%20Customer" TargetMode="External"/><Relationship Id="rId166" Type="http://schemas.openxmlformats.org/officeDocument/2006/relationships/hyperlink" Target="https://sitel.sharepoint.com/sites/EMEAREPORTINGPRIVATE/_layouts/15/Doc.aspx?sourcedoc=%7ba4c05416-6148-4630-a1cb-169ccb12e7d9%7d&amp;action=edit&amp;wd=target%28Untitled%20Section.one%7C896ae842-4b85-4ad5-88a8-efb0745f4c14%2FSummary%7C4b85afdf-66a3-4316-a281-3e8ce0956c9b%2F%29&amp;wdorigin=NavigationUrl" TargetMode="External"/><Relationship Id="rId1" Type="http://schemas.openxmlformats.org/officeDocument/2006/relationships/hyperlink" Target="file:///\\EU999K16FPSDE01\EU999_Johnson\JJ_Management_Shared_Berlin_Sofia\1.%20Dashboard%202021\CSAT%20surveys"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1.%20Projects/2.%20Exeter/3.%20Working%20Instructions/Exeter%20Manuals.onetoc2.lnk" TargetMode="External"/><Relationship Id="rId13" Type="http://schemas.openxmlformats.org/officeDocument/2006/relationships/hyperlink" Target="1.%20Projects/8.%20Sofia/3.%20Working%20Instructions/Sofia%20Manuals" TargetMode="External"/><Relationship Id="rId18" Type="http://schemas.openxmlformats.org/officeDocument/2006/relationships/hyperlink" Target="1.%20Projects/8.%20Sofia/3.%20Working%20Instructions/Sofia%20Manuals" TargetMode="External"/><Relationship Id="rId26" Type="http://schemas.openxmlformats.org/officeDocument/2006/relationships/hyperlink" Target="https://sitel.sharepoint.com/:o:/r/sites/EMEAREPORTINGPRIVATE/Projects/1.%20Site/8.%20Varna/4.%20Working%20Instructions/Varna%20Working%20Instructions" TargetMode="External"/><Relationship Id="rId3" Type="http://schemas.openxmlformats.org/officeDocument/2006/relationships/hyperlink" Target="1.%20Projects/2.%20Exeter/3.%20Working%20Instructions/Exeter%20Manuals.onetoc2.lnk" TargetMode="External"/><Relationship Id="rId21" Type="http://schemas.openxmlformats.org/officeDocument/2006/relationships/hyperlink" Target="1.%20Projects/8.%20Sofia/3.%20Working%20Instructions/Sofia%20Manuals" TargetMode="External"/><Relationship Id="rId7" Type="http://schemas.openxmlformats.org/officeDocument/2006/relationships/hyperlink" Target="1.%20Projects/2.%20Exeter/3.%20Working%20Instructions/Exeter%20Manuals.onetoc2.lnk" TargetMode="External"/><Relationship Id="rId12" Type="http://schemas.openxmlformats.org/officeDocument/2006/relationships/hyperlink" Target="1.%20Projects\2.%20Exeter\3.%20Working%20Instructions\Exeter%20Manuals.onetoc2.lnk" TargetMode="External"/><Relationship Id="rId17" Type="http://schemas.openxmlformats.org/officeDocument/2006/relationships/hyperlink" Target="1.%20Projects/8.%20Sofia/3.%20Working%20Instructions/Sofia%20Manuals" TargetMode="External"/><Relationship Id="rId25" Type="http://schemas.openxmlformats.org/officeDocument/2006/relationships/hyperlink" Target="https://sitel.sharepoint.com/:o:/r/sites/EMEAREPORTINGPRIVATE/Projects/1.%20Site/8.%20Varna/4.%20Working%20Instructions/Varna%20Working%20Instructions" TargetMode="External"/><Relationship Id="rId2" Type="http://schemas.openxmlformats.org/officeDocument/2006/relationships/hyperlink" Target="1.%20Projects/2.%20Exeter/3.%20Working%20Instructions/Exeter%20Manuals.onetoc2.lnk" TargetMode="External"/><Relationship Id="rId16" Type="http://schemas.openxmlformats.org/officeDocument/2006/relationships/hyperlink" Target="1.%20Projects/8.%20Sofia/3.%20Working%20Instructions/Sofia%20Manuals" TargetMode="External"/><Relationship Id="rId20" Type="http://schemas.openxmlformats.org/officeDocument/2006/relationships/hyperlink" Target="1.%20Projects/8.%20Sofia/3.%20Working%20Instructions/Sofia%20Manuals" TargetMode="External"/><Relationship Id="rId29" Type="http://schemas.openxmlformats.org/officeDocument/2006/relationships/table" Target="../tables/table2.xml"/><Relationship Id="rId1" Type="http://schemas.openxmlformats.org/officeDocument/2006/relationships/hyperlink" Target="1.%20Projects\2.%20Exeter\3.%20Working%20Instructions\Exeter%20Manuals.onetoc2.lnk" TargetMode="External"/><Relationship Id="rId6" Type="http://schemas.openxmlformats.org/officeDocument/2006/relationships/hyperlink" Target="1.%20Projects/2.%20Exeter/3.%20Working%20Instructions/Exeter%20Manuals.onetoc2.lnk" TargetMode="External"/><Relationship Id="rId11" Type="http://schemas.openxmlformats.org/officeDocument/2006/relationships/hyperlink" Target="1.%20Projects/2.%20Exeter/3.%20Working%20Instructions/Exeter%20Manuals.onetoc2.lnk" TargetMode="External"/><Relationship Id="rId24" Type="http://schemas.openxmlformats.org/officeDocument/2006/relationships/hyperlink" Target="https://sitel.sharepoint.com/:o:/r/sites/EMEAREPORTINGPRIVATE/Projects/1.%20Site/7.%20Sofia/4.%20Working%20Instructions/Sofia%20Working%20Instructions" TargetMode="External"/><Relationship Id="rId5" Type="http://schemas.openxmlformats.org/officeDocument/2006/relationships/hyperlink" Target="1.%20Projects/2.%20Exeter/3.%20Working%20Instructions/Exeter%20Manuals.onetoc2.lnk" TargetMode="External"/><Relationship Id="rId15" Type="http://schemas.openxmlformats.org/officeDocument/2006/relationships/hyperlink" Target="1.%20Projects/8.%20Sofia/3.%20Working%20Instructions/Sofia%20Manuals" TargetMode="External"/><Relationship Id="rId23" Type="http://schemas.openxmlformats.org/officeDocument/2006/relationships/hyperlink" Target="https://sitel.sharepoint.com/:o:/r/sites/EMEAREPORTINGPRIVATE/Projects/1.%20Site/8.%20Varna/4.%20Working%20Instructions/Varna%20Working%20Instructions" TargetMode="External"/><Relationship Id="rId28" Type="http://schemas.openxmlformats.org/officeDocument/2006/relationships/printerSettings" Target="../printerSettings/printerSettings2.bin"/><Relationship Id="rId10" Type="http://schemas.openxmlformats.org/officeDocument/2006/relationships/hyperlink" Target="1.%20Projects/2.%20Exeter/3.%20Working%20Instructions/Exeter%20Manuals.onetoc2.lnk" TargetMode="External"/><Relationship Id="rId19" Type="http://schemas.openxmlformats.org/officeDocument/2006/relationships/hyperlink" Target="1.%20Projects/8.%20Sofia/3.%20Working%20Instructions/Sofia%20Manuals" TargetMode="External"/><Relationship Id="rId4" Type="http://schemas.openxmlformats.org/officeDocument/2006/relationships/hyperlink" Target="1.%20Projects\2.%20Exeter\3.%20Working%20Instructions\Exeter%20Manuals.onetoc2.lnk" TargetMode="External"/><Relationship Id="rId9" Type="http://schemas.openxmlformats.org/officeDocument/2006/relationships/hyperlink" Target="1.%20Projects/2.%20Exeter/3.%20Working%20Instructions/Exeter%20Manuals.onetoc2.lnk" TargetMode="External"/><Relationship Id="rId14" Type="http://schemas.openxmlformats.org/officeDocument/2006/relationships/hyperlink" Target="1.%20Projects/8.%20Sofia/3.%20Working%20Instructions/Sofia%20Manuals" TargetMode="External"/><Relationship Id="rId22" Type="http://schemas.openxmlformats.org/officeDocument/2006/relationships/hyperlink" Target="https://sitel.sharepoint.com/:o:/r/sites/EMEAREPORTINGPRIVATE/Projects/1.%20Site/7.%20Sofia/4.%20Working%20Instructions/Sofia%20Working%20Instructions" TargetMode="External"/><Relationship Id="rId27" Type="http://schemas.openxmlformats.org/officeDocument/2006/relationships/hyperlink" Target="https://sitel.sharepoint.com/:o:/r/sites/EMEAREPORTINGPRIVATE/Projects/1.%20Site/8.%20Varna/4.%20Working%20Instructions/Varna%20Working%20Instructions"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3" Type="http://schemas.openxmlformats.org/officeDocument/2006/relationships/hyperlink" Target="mailto:crt_uk@sitel.com" TargetMode="External"/><Relationship Id="rId18" Type="http://schemas.openxmlformats.org/officeDocument/2006/relationships/hyperlink" Target="mailto:Emil.Atanassov@sitel.com;Diana.Dimitrova@sitel.com" TargetMode="External"/><Relationship Id="rId26" Type="http://schemas.openxmlformats.org/officeDocument/2006/relationships/hyperlink" Target="mailto:Emil.Atanassov@sitel.com;Diana.Dimitrova@sitel.com;Silviya.Todorova@sitel.com" TargetMode="External"/><Relationship Id="rId39" Type="http://schemas.openxmlformats.org/officeDocument/2006/relationships/hyperlink" Target="mailto:Emil.Atanassov@sitel.com" TargetMode="External"/><Relationship Id="rId21" Type="http://schemas.openxmlformats.org/officeDocument/2006/relationships/hyperlink" Target="file:///\\10.7.16.12\ssis\Data%20Sources\BO_COR" TargetMode="External"/><Relationship Id="rId34" Type="http://schemas.openxmlformats.org/officeDocument/2006/relationships/hyperlink" Target="mailto:stephen.caffull@sitel.com;Emil.Atanassov@sitel.com;Diana.Dimitrova@sitel.com;resource.mi@sseenergyservices.com;Silviya.Todorova@sitel.com" TargetMode="External"/><Relationship Id="rId42" Type="http://schemas.openxmlformats.org/officeDocument/2006/relationships/hyperlink" Target="mailto:Payroll.Hub@sitel.com" TargetMode="External"/><Relationship Id="rId47" Type="http://schemas.openxmlformats.org/officeDocument/2006/relationships/hyperlink" Target="mailto:Heathrow-SitelManagers@sitel.com" TargetMode="External"/><Relationship Id="rId50" Type="http://schemas.openxmlformats.org/officeDocument/2006/relationships/hyperlink" Target="mailto:silviya.petrova@sitel.com" TargetMode="External"/><Relationship Id="rId55" Type="http://schemas.openxmlformats.org/officeDocument/2006/relationships/vmlDrawing" Target="../drawings/vmlDrawing2.vml"/><Relationship Id="rId7" Type="http://schemas.openxmlformats.org/officeDocument/2006/relationships/hyperlink" Target="mailto:crt_uk@sitel.com" TargetMode="External"/><Relationship Id="rId2" Type="http://schemas.openxmlformats.org/officeDocument/2006/relationships/hyperlink" Target="mailto:crt_uk@sitel.com" TargetMode="External"/><Relationship Id="rId16" Type="http://schemas.openxmlformats.org/officeDocument/2006/relationships/hyperlink" Target="mailto:Sophia.anonatau@sitel.com" TargetMode="External"/><Relationship Id="rId29" Type="http://schemas.openxmlformats.org/officeDocument/2006/relationships/hyperlink" Target="mailto:jonathan.collins@sseenergyservices.com" TargetMode="External"/><Relationship Id="rId11" Type="http://schemas.openxmlformats.org/officeDocument/2006/relationships/hyperlink" Target="mailto:richard.goodchild@sitel.com" TargetMode="External"/><Relationship Id="rId24" Type="http://schemas.openxmlformats.org/officeDocument/2006/relationships/hyperlink" Target="mailto:Jonathan.Mcnelis@sitel.com" TargetMode="External"/><Relationship Id="rId32" Type="http://schemas.openxmlformats.org/officeDocument/2006/relationships/hyperlink" Target="mailto:richard.harris@sitel.com" TargetMode="External"/><Relationship Id="rId37" Type="http://schemas.openxmlformats.org/officeDocument/2006/relationships/hyperlink" Target="mailto:harry.alexander@sitel.com" TargetMode="External"/><Relationship Id="rId40" Type="http://schemas.openxmlformats.org/officeDocument/2006/relationships/hyperlink" Target="mailto:harry.alexander@sitel.com" TargetMode="External"/><Relationship Id="rId45" Type="http://schemas.openxmlformats.org/officeDocument/2006/relationships/hyperlink" Target="mailto:silviya.petrova@sitel.com" TargetMode="External"/><Relationship Id="rId53" Type="http://schemas.openxmlformats.org/officeDocument/2006/relationships/hyperlink" Target="file:///\\10.7.16.12\ssis\Data%20Sources\BO_COR\WFM%20GA" TargetMode="External"/><Relationship Id="rId5" Type="http://schemas.openxmlformats.org/officeDocument/2006/relationships/hyperlink" Target="mailto:crt_uk@sitel.com" TargetMode="External"/><Relationship Id="rId19" Type="http://schemas.openxmlformats.org/officeDocument/2006/relationships/hyperlink" Target="mailto:Emil.Atanassov@sitel.com;Diana.Dimitrova@sitel.com;stephen.may@sitel.com" TargetMode="External"/><Relationship Id="rId4" Type="http://schemas.openxmlformats.org/officeDocument/2006/relationships/hyperlink" Target="mailto:crt_uk@sitel.com" TargetMode="External"/><Relationship Id="rId9" Type="http://schemas.openxmlformats.org/officeDocument/2006/relationships/hyperlink" Target="mailto:daniel.abrehart-smith@sitel.com" TargetMode="External"/><Relationship Id="rId14" Type="http://schemas.openxmlformats.org/officeDocument/2006/relationships/hyperlink" Target="mailto:crt_uk@sitel.com" TargetMode="External"/><Relationship Id="rId22" Type="http://schemas.openxmlformats.org/officeDocument/2006/relationships/hyperlink" Target="mailto:Hayley.Barlow@sitel.com;" TargetMode="External"/><Relationship Id="rId27" Type="http://schemas.openxmlformats.org/officeDocument/2006/relationships/hyperlink" Target="mailto:stephen.caffull@sitel.com;Emil.Atanassov@sitel.com;Diana.Dimitrova@sitel.com;resource.mi@sseenergyservices.com;Silviya.Todorova@sitel.com" TargetMode="External"/><Relationship Id="rId30" Type="http://schemas.openxmlformats.org/officeDocument/2006/relationships/hyperlink" Target="mailto:michaela.young@sitel.com" TargetMode="External"/><Relationship Id="rId35" Type="http://schemas.openxmlformats.org/officeDocument/2006/relationships/hyperlink" Target="file:///\\10.7.16.12\ssis\Data%20Sources\CS%20JL" TargetMode="External"/><Relationship Id="rId43" Type="http://schemas.openxmlformats.org/officeDocument/2006/relationships/hyperlink" Target="mailto:diana.dimitrova@sitel.com" TargetMode="External"/><Relationship Id="rId48" Type="http://schemas.openxmlformats.org/officeDocument/2006/relationships/hyperlink" Target="mailto:olga.jaworska@sitel.com" TargetMode="External"/><Relationship Id="rId56" Type="http://schemas.openxmlformats.org/officeDocument/2006/relationships/table" Target="../tables/table4.xml"/><Relationship Id="rId8" Type="http://schemas.openxmlformats.org/officeDocument/2006/relationships/hyperlink" Target="mailto:crt_uk@sitel.com" TargetMode="External"/><Relationship Id="rId51" Type="http://schemas.openxmlformats.org/officeDocument/2006/relationships/hyperlink" Target="file:///\\10.7.16.12\ssis\Data%20Sources\BO_COR\WFM%20GA" TargetMode="External"/><Relationship Id="rId3" Type="http://schemas.openxmlformats.org/officeDocument/2006/relationships/hyperlink" Target="mailto:crt_uk@sitel.com" TargetMode="External"/><Relationship Id="rId12" Type="http://schemas.openxmlformats.org/officeDocument/2006/relationships/hyperlink" Target="mailto:richard.goodchild@sitel.com" TargetMode="External"/><Relationship Id="rId17" Type="http://schemas.openxmlformats.org/officeDocument/2006/relationships/hyperlink" Target="mailto:Emil.Atanassov@sitel.com;Diana.Dimitrova@sitel.com" TargetMode="External"/><Relationship Id="rId25" Type="http://schemas.openxmlformats.org/officeDocument/2006/relationships/hyperlink" Target="mailto:Jonathan.Mcnelis@sitel.com" TargetMode="External"/><Relationship Id="rId33" Type="http://schemas.openxmlformats.org/officeDocument/2006/relationships/hyperlink" Target="file:///\\10.7.16.12\ssis\Data%20Sources\CS%20PSA" TargetMode="External"/><Relationship Id="rId38" Type="http://schemas.openxmlformats.org/officeDocument/2006/relationships/hyperlink" Target="mailto:Daniel.Piper@sitel.com" TargetMode="External"/><Relationship Id="rId46" Type="http://schemas.openxmlformats.org/officeDocument/2006/relationships/hyperlink" Target="mailto:David.Hitching@sitel.com" TargetMode="External"/><Relationship Id="rId20" Type="http://schemas.openxmlformats.org/officeDocument/2006/relationships/hyperlink" Target="file:///\\10.7.16.12\ssis\Data%20Sources\BO_COR" TargetMode="External"/><Relationship Id="rId41" Type="http://schemas.openxmlformats.org/officeDocument/2006/relationships/hyperlink" Target="mailto:harry.alexander@sitel.com" TargetMode="External"/><Relationship Id="rId54" Type="http://schemas.openxmlformats.org/officeDocument/2006/relationships/printerSettings" Target="../printerSettings/printerSettings3.bin"/><Relationship Id="rId1" Type="http://schemas.openxmlformats.org/officeDocument/2006/relationships/hyperlink" Target="mailto:crt_uk@sitel.com" TargetMode="External"/><Relationship Id="rId6" Type="http://schemas.openxmlformats.org/officeDocument/2006/relationships/hyperlink" Target="mailto:kevin.carlin@sitel.com" TargetMode="External"/><Relationship Id="rId15" Type="http://schemas.openxmlformats.org/officeDocument/2006/relationships/hyperlink" Target="mailto:crt_uk@sitel.com" TargetMode="External"/><Relationship Id="rId23" Type="http://schemas.openxmlformats.org/officeDocument/2006/relationships/hyperlink" Target="file:///\\GB694K12FPS01\Client$\John%20Lewis\Team%20Manager" TargetMode="External"/><Relationship Id="rId28" Type="http://schemas.openxmlformats.org/officeDocument/2006/relationships/hyperlink" Target="mailto:jonathan.collins@sseenergyservices.com" TargetMode="External"/><Relationship Id="rId36" Type="http://schemas.openxmlformats.org/officeDocument/2006/relationships/hyperlink" Target="mailto:Emil.Atanassov@sitel.com;Diana.Dimitrova@sitel.com;Silviya.Todorova@sitel.com" TargetMode="External"/><Relationship Id="rId49" Type="http://schemas.openxmlformats.org/officeDocument/2006/relationships/hyperlink" Target="mailto:Tarrin.Reynolds@sitel.com" TargetMode="External"/><Relationship Id="rId57" Type="http://schemas.openxmlformats.org/officeDocument/2006/relationships/comments" Target="../comments2.xml"/><Relationship Id="rId10" Type="http://schemas.openxmlformats.org/officeDocument/2006/relationships/hyperlink" Target="mailto:sandeep.parsotam@ext.mpsa.com" TargetMode="External"/><Relationship Id="rId31" Type="http://schemas.openxmlformats.org/officeDocument/2006/relationships/hyperlink" Target="mailto:Daniel.Piper@sitel.com" TargetMode="External"/><Relationship Id="rId44" Type="http://schemas.openxmlformats.org/officeDocument/2006/relationships/hyperlink" Target="mailto:silviya.petrova@sitel.com" TargetMode="External"/><Relationship Id="rId52" Type="http://schemas.openxmlformats.org/officeDocument/2006/relationships/hyperlink" Target="file:///\\10.7.16.12\ssis\Data%20Sources\BO_COR\WFM%20GA" TargetMode="Externa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XET433"/>
  <sheetViews>
    <sheetView showGridLines="0" tabSelected="1" zoomScale="80" zoomScaleNormal="80" workbookViewId="0">
      <selection activeCell="E10" sqref="E10"/>
    </sheetView>
  </sheetViews>
  <sheetFormatPr defaultColWidth="8.85546875" defaultRowHeight="15" x14ac:dyDescent="0.25"/>
  <cols>
    <col min="1" max="1" width="4.42578125" customWidth="1"/>
    <col min="2" max="2" width="11.42578125" bestFit="1" customWidth="1"/>
    <col min="3" max="3" width="9.140625"/>
    <col min="4" max="4" width="26.42578125" customWidth="1"/>
    <col min="5" max="5" width="21.42578125" bestFit="1" customWidth="1"/>
    <col min="6" max="6" width="32.42578125" customWidth="1"/>
    <col min="7" max="7" width="19.140625" customWidth="1"/>
    <col min="8" max="8" width="63" customWidth="1"/>
    <col min="9" max="9" width="46.28515625" hidden="1" customWidth="1"/>
    <col min="10" max="10" width="20.28515625" customWidth="1"/>
    <col min="11" max="11" width="12.42578125" customWidth="1"/>
    <col min="12" max="12" width="14" customWidth="1"/>
    <col min="13" max="27" width="5.42578125" customWidth="1"/>
    <col min="28" max="28" width="12" customWidth="1"/>
    <col min="29" max="29" width="5.42578125" customWidth="1"/>
    <col min="30" max="30" width="7.7109375" customWidth="1"/>
    <col min="31" max="31" width="20.85546875" customWidth="1"/>
    <col min="32" max="32" width="12.28515625" customWidth="1"/>
    <col min="33" max="35" width="18.42578125" customWidth="1"/>
    <col min="36" max="36" width="77.28515625" customWidth="1"/>
    <col min="37" max="37" width="18.42578125" customWidth="1"/>
    <col min="38" max="38" width="61.42578125" customWidth="1"/>
    <col min="39" max="39" width="72.42578125" style="10" bestFit="1" customWidth="1"/>
  </cols>
  <sheetData>
    <row r="1" spans="2:39" ht="15.75" customHeight="1" thickBot="1" x14ac:dyDescent="0.3">
      <c r="O1" s="4" t="s">
        <v>0</v>
      </c>
      <c r="P1" s="135"/>
      <c r="Q1" s="135"/>
      <c r="R1" s="135"/>
      <c r="S1" s="20"/>
      <c r="T1" s="20"/>
      <c r="U1" s="14"/>
      <c r="V1" s="14"/>
      <c r="W1" s="14"/>
      <c r="X1" s="14"/>
      <c r="Y1" s="14"/>
      <c r="Z1" s="14"/>
      <c r="AA1" s="14"/>
      <c r="AB1" s="14"/>
      <c r="AC1" s="14"/>
      <c r="AD1" s="14"/>
      <c r="AE1" s="20"/>
      <c r="AF1" s="20"/>
      <c r="AG1" s="14"/>
      <c r="AI1" s="4" t="s">
        <v>543</v>
      </c>
      <c r="AJ1" s="133" t="s">
        <v>3</v>
      </c>
      <c r="AK1" s="134"/>
      <c r="AL1" s="134"/>
      <c r="AM1"/>
    </row>
    <row r="2" spans="2:39" ht="15.75" customHeight="1" thickBot="1" x14ac:dyDescent="0.3">
      <c r="O2" s="5">
        <v>0</v>
      </c>
      <c r="P2" s="137" t="s">
        <v>1353</v>
      </c>
      <c r="Q2" s="137"/>
      <c r="R2" s="137"/>
      <c r="S2" s="137"/>
      <c r="T2" s="137"/>
      <c r="U2" s="137"/>
      <c r="V2" s="15"/>
      <c r="W2" s="15"/>
      <c r="X2" s="15"/>
      <c r="Y2" s="15"/>
      <c r="Z2" s="15"/>
      <c r="AA2" s="15"/>
      <c r="AB2" s="15"/>
      <c r="AC2" s="15"/>
      <c r="AD2" s="15"/>
      <c r="AE2" s="22"/>
      <c r="AF2" s="22"/>
      <c r="AG2" s="15"/>
      <c r="AI2" s="63">
        <v>0.5</v>
      </c>
      <c r="AJ2" s="57" t="s">
        <v>547</v>
      </c>
      <c r="AK2" s="57"/>
      <c r="AL2" s="57"/>
      <c r="AM2"/>
    </row>
    <row r="3" spans="2:39" ht="15.75" customHeight="1" thickBot="1" x14ac:dyDescent="0.3">
      <c r="O3" s="6">
        <v>1</v>
      </c>
      <c r="P3" s="141" t="s">
        <v>1356</v>
      </c>
      <c r="Q3" s="141"/>
      <c r="R3" s="141"/>
      <c r="S3" s="141"/>
      <c r="T3" s="141"/>
      <c r="U3" s="141"/>
      <c r="V3" s="16"/>
      <c r="W3" s="16"/>
      <c r="X3" s="16"/>
      <c r="Y3" s="16"/>
      <c r="Z3" s="16"/>
      <c r="AA3" s="16"/>
      <c r="AB3" s="16"/>
      <c r="AC3" s="16"/>
      <c r="AD3" s="16"/>
      <c r="AE3" s="24"/>
      <c r="AF3" s="24"/>
      <c r="AG3" s="16"/>
      <c r="AI3" s="60">
        <v>0.8</v>
      </c>
      <c r="AJ3" s="56" t="s">
        <v>546</v>
      </c>
      <c r="AK3" s="56"/>
      <c r="AL3" s="56"/>
      <c r="AM3"/>
    </row>
    <row r="4" spans="2:39" ht="15.75" customHeight="1" thickBot="1" x14ac:dyDescent="0.3">
      <c r="E4" s="136" t="s">
        <v>232</v>
      </c>
      <c r="F4" s="136"/>
      <c r="G4" s="136"/>
      <c r="H4" s="136"/>
      <c r="I4" s="50"/>
      <c r="O4" s="7">
        <v>2</v>
      </c>
      <c r="P4" s="140" t="s">
        <v>1354</v>
      </c>
      <c r="Q4" s="140"/>
      <c r="R4" s="140"/>
      <c r="S4" s="140"/>
      <c r="T4" s="140"/>
      <c r="U4" s="140"/>
      <c r="V4" s="11"/>
      <c r="W4" s="11"/>
      <c r="X4" s="11"/>
      <c r="Y4" s="11"/>
      <c r="Z4" s="11"/>
      <c r="AA4" s="11"/>
      <c r="AB4" s="11"/>
      <c r="AC4" s="11"/>
      <c r="AD4" s="11"/>
      <c r="AE4" s="26"/>
      <c r="AF4" s="26"/>
      <c r="AG4" s="11"/>
      <c r="AI4" s="62">
        <v>0.9</v>
      </c>
      <c r="AJ4" s="59" t="s">
        <v>545</v>
      </c>
      <c r="AK4" s="59"/>
      <c r="AL4" s="59"/>
      <c r="AM4"/>
    </row>
    <row r="5" spans="2:39" ht="15.75" customHeight="1" thickBot="1" x14ac:dyDescent="0.3">
      <c r="E5" s="136"/>
      <c r="F5" s="136"/>
      <c r="G5" s="136"/>
      <c r="H5" s="136"/>
      <c r="I5" s="50"/>
      <c r="O5" s="8">
        <v>3</v>
      </c>
      <c r="P5" s="139" t="s">
        <v>1355</v>
      </c>
      <c r="Q5" s="139"/>
      <c r="R5" s="139"/>
      <c r="S5" s="139"/>
      <c r="T5" s="139"/>
      <c r="U5" s="139"/>
      <c r="V5" s="12"/>
      <c r="W5" s="12"/>
      <c r="X5" s="12"/>
      <c r="Y5" s="12"/>
      <c r="Z5" s="12"/>
      <c r="AA5" s="12"/>
      <c r="AB5" s="12"/>
      <c r="AC5" s="12"/>
      <c r="AD5" s="12"/>
      <c r="AE5" s="28"/>
      <c r="AF5" s="28"/>
      <c r="AG5" s="12"/>
      <c r="AI5" s="61">
        <v>1</v>
      </c>
      <c r="AJ5" s="54" t="s">
        <v>544</v>
      </c>
      <c r="AK5" s="54"/>
      <c r="AL5" s="54"/>
      <c r="AM5"/>
    </row>
    <row r="6" spans="2:39" ht="15.75" customHeight="1" thickBot="1" x14ac:dyDescent="0.3">
      <c r="E6" s="136"/>
      <c r="F6" s="136"/>
      <c r="G6" s="136"/>
      <c r="H6" s="136"/>
      <c r="I6" s="50"/>
      <c r="O6" s="9">
        <v>4</v>
      </c>
      <c r="P6" s="138" t="s">
        <v>1357</v>
      </c>
      <c r="Q6" s="138"/>
      <c r="R6" s="138"/>
      <c r="S6" s="138"/>
      <c r="T6" s="138"/>
      <c r="U6" s="138"/>
      <c r="V6" s="13"/>
      <c r="W6" s="13"/>
      <c r="X6" s="13"/>
      <c r="Y6" s="13"/>
      <c r="Z6" s="13"/>
      <c r="AA6" s="13"/>
      <c r="AB6" s="13"/>
      <c r="AC6" s="13"/>
      <c r="AD6" s="13"/>
      <c r="AE6" s="30"/>
      <c r="AF6" s="30"/>
      <c r="AG6" s="13"/>
      <c r="AM6"/>
    </row>
    <row r="7" spans="2:39" ht="26.25" x14ac:dyDescent="0.25">
      <c r="E7" s="136"/>
      <c r="F7" s="136"/>
      <c r="G7" s="136"/>
      <c r="H7" s="136"/>
      <c r="I7" s="50"/>
      <c r="AH7" s="10"/>
      <c r="AI7" s="10"/>
      <c r="AJ7" s="10"/>
      <c r="AK7" s="10"/>
      <c r="AM7"/>
    </row>
    <row r="8" spans="2:39" x14ac:dyDescent="0.25">
      <c r="AH8" s="10"/>
      <c r="AI8" s="10"/>
      <c r="AJ8" s="10"/>
      <c r="AK8" s="10"/>
      <c r="AM8"/>
    </row>
    <row r="9" spans="2:39" x14ac:dyDescent="0.25">
      <c r="AH9" s="10"/>
      <c r="AI9" s="10"/>
      <c r="AJ9" s="10"/>
      <c r="AK9" s="10"/>
      <c r="AM9"/>
    </row>
    <row r="10" spans="2:39" ht="45.2" customHeight="1" x14ac:dyDescent="0.25">
      <c r="B10" s="2" t="s">
        <v>18</v>
      </c>
      <c r="C10" s="2" t="s">
        <v>188</v>
      </c>
      <c r="D10" s="2" t="s">
        <v>183</v>
      </c>
      <c r="E10" s="2" t="s">
        <v>14</v>
      </c>
      <c r="F10" s="2" t="s">
        <v>15</v>
      </c>
      <c r="G10" s="2" t="s">
        <v>23</v>
      </c>
      <c r="H10" s="2" t="s">
        <v>16</v>
      </c>
      <c r="I10" s="2" t="s">
        <v>535</v>
      </c>
      <c r="J10" s="2" t="s">
        <v>84</v>
      </c>
      <c r="K10" s="2" t="s">
        <v>22</v>
      </c>
      <c r="L10" s="2" t="s">
        <v>20</v>
      </c>
      <c r="M10" s="2" t="s">
        <v>10</v>
      </c>
      <c r="N10" s="2" t="s">
        <v>11</v>
      </c>
      <c r="O10" s="2" t="s">
        <v>62</v>
      </c>
      <c r="P10" s="2" t="s">
        <v>165</v>
      </c>
      <c r="Q10" s="2" t="s">
        <v>453</v>
      </c>
      <c r="R10" s="2" t="s">
        <v>491</v>
      </c>
      <c r="S10" s="2" t="s">
        <v>408</v>
      </c>
      <c r="T10" s="2" t="s">
        <v>417</v>
      </c>
      <c r="U10" s="2" t="s">
        <v>1294</v>
      </c>
      <c r="V10" s="2" t="s">
        <v>1292</v>
      </c>
      <c r="W10" s="2" t="s">
        <v>1317</v>
      </c>
      <c r="X10" s="2" t="s">
        <v>1366</v>
      </c>
      <c r="Y10" s="2" t="s">
        <v>1371</v>
      </c>
      <c r="Z10" s="39" t="s">
        <v>17</v>
      </c>
      <c r="AA10" s="2" t="s">
        <v>152</v>
      </c>
      <c r="AB10" s="2" t="s">
        <v>154</v>
      </c>
      <c r="AC10" s="2" t="s">
        <v>155</v>
      </c>
      <c r="AD10" s="2" t="s">
        <v>537</v>
      </c>
      <c r="AE10" s="2" t="s">
        <v>538</v>
      </c>
      <c r="AF10" s="2" t="s">
        <v>543</v>
      </c>
      <c r="AG10" s="3" t="s">
        <v>27</v>
      </c>
      <c r="AM10"/>
    </row>
    <row r="11" spans="2:39" ht="15" hidden="1" customHeight="1" x14ac:dyDescent="0.25">
      <c r="B11" s="1">
        <v>1</v>
      </c>
      <c r="C11" s="1">
        <v>0</v>
      </c>
      <c r="D11" s="1"/>
      <c r="E11" s="1" t="s">
        <v>52</v>
      </c>
      <c r="F11" s="1" t="s">
        <v>54</v>
      </c>
      <c r="G11" s="1" t="s">
        <v>54</v>
      </c>
      <c r="H11" s="1" t="s">
        <v>53</v>
      </c>
      <c r="I11" s="1"/>
      <c r="J11" s="1" t="s">
        <v>87</v>
      </c>
      <c r="K11" s="1" t="s">
        <v>143</v>
      </c>
      <c r="L11" s="1" t="s">
        <v>62</v>
      </c>
      <c r="M11" s="1"/>
      <c r="N11" s="1">
        <v>4</v>
      </c>
      <c r="O11" s="1"/>
      <c r="P11" s="1">
        <v>0</v>
      </c>
      <c r="Q11" s="1"/>
      <c r="R11" s="1"/>
      <c r="S11" s="1"/>
      <c r="T11" s="1"/>
      <c r="U11" s="1"/>
      <c r="V11" s="1"/>
      <c r="W11" s="1"/>
      <c r="X11" s="1"/>
      <c r="Y11" s="1"/>
      <c r="Z11" s="1" t="s">
        <v>21</v>
      </c>
      <c r="AA11" s="1"/>
      <c r="AB11" s="17">
        <v>43467</v>
      </c>
      <c r="AC11" s="18" t="s">
        <v>62</v>
      </c>
      <c r="AD11" s="125"/>
      <c r="AE11" s="125"/>
      <c r="AF11" s="51"/>
      <c r="AG11" s="10" t="s">
        <v>163</v>
      </c>
      <c r="AM11"/>
    </row>
    <row r="12" spans="2:39" ht="15" hidden="1" customHeight="1" x14ac:dyDescent="0.25">
      <c r="B12" s="1">
        <v>2</v>
      </c>
      <c r="C12" s="1">
        <v>0</v>
      </c>
      <c r="D12" s="1" t="s">
        <v>184</v>
      </c>
      <c r="E12" s="1" t="s">
        <v>52</v>
      </c>
      <c r="F12" s="1" t="s">
        <v>46</v>
      </c>
      <c r="G12" s="1" t="s">
        <v>66</v>
      </c>
      <c r="H12" s="1" t="s">
        <v>67</v>
      </c>
      <c r="I12" s="1"/>
      <c r="J12" s="1" t="s">
        <v>85</v>
      </c>
      <c r="K12" s="1" t="s">
        <v>143</v>
      </c>
      <c r="L12" s="1" t="s">
        <v>62</v>
      </c>
      <c r="M12" s="1">
        <v>4</v>
      </c>
      <c r="N12" s="1">
        <v>4</v>
      </c>
      <c r="O12" s="1">
        <v>4</v>
      </c>
      <c r="P12" s="1">
        <v>0</v>
      </c>
      <c r="Q12" s="1"/>
      <c r="R12" s="1"/>
      <c r="S12" s="1"/>
      <c r="T12" s="1"/>
      <c r="U12" s="1"/>
      <c r="V12" s="1"/>
      <c r="W12" s="1"/>
      <c r="X12" s="1"/>
      <c r="Y12" s="1"/>
      <c r="Z12" s="1" t="s">
        <v>21</v>
      </c>
      <c r="AA12" s="1" t="s">
        <v>21</v>
      </c>
      <c r="AB12" s="17">
        <v>43467</v>
      </c>
      <c r="AC12" s="18" t="s">
        <v>62</v>
      </c>
      <c r="AD12" s="125"/>
      <c r="AE12" s="125"/>
      <c r="AF12" s="51"/>
      <c r="AG12" s="10"/>
      <c r="AM12"/>
    </row>
    <row r="13" spans="2:39" ht="15" hidden="1" customHeight="1" x14ac:dyDescent="0.25">
      <c r="B13" s="1">
        <v>3</v>
      </c>
      <c r="C13" s="1">
        <v>0</v>
      </c>
      <c r="D13" s="1" t="s">
        <v>184</v>
      </c>
      <c r="E13" s="1" t="s">
        <v>52</v>
      </c>
      <c r="F13" s="1" t="s">
        <v>46</v>
      </c>
      <c r="G13" s="1" t="s">
        <v>66</v>
      </c>
      <c r="H13" s="1" t="s">
        <v>68</v>
      </c>
      <c r="I13" s="1"/>
      <c r="J13" s="1" t="s">
        <v>85</v>
      </c>
      <c r="K13" s="1" t="s">
        <v>143</v>
      </c>
      <c r="L13" s="1" t="s">
        <v>62</v>
      </c>
      <c r="M13" s="1">
        <v>4</v>
      </c>
      <c r="N13" s="1">
        <v>4</v>
      </c>
      <c r="O13" s="1">
        <v>4</v>
      </c>
      <c r="P13" s="1">
        <v>0</v>
      </c>
      <c r="Q13" s="1"/>
      <c r="R13" s="1"/>
      <c r="S13" s="1"/>
      <c r="T13" s="1"/>
      <c r="U13" s="1"/>
      <c r="V13" s="1"/>
      <c r="W13" s="1"/>
      <c r="X13" s="1"/>
      <c r="Y13" s="1"/>
      <c r="Z13" s="1" t="s">
        <v>21</v>
      </c>
      <c r="AA13" s="1" t="s">
        <v>21</v>
      </c>
      <c r="AB13" s="17">
        <v>43467</v>
      </c>
      <c r="AC13" s="18" t="s">
        <v>62</v>
      </c>
      <c r="AD13" s="125"/>
      <c r="AE13" s="125"/>
      <c r="AF13" s="51"/>
      <c r="AG13" s="10"/>
      <c r="AM13"/>
    </row>
    <row r="14" spans="2:39" ht="15" hidden="1" customHeight="1" x14ac:dyDescent="0.25">
      <c r="B14" s="1">
        <v>4</v>
      </c>
      <c r="C14" s="1">
        <v>0</v>
      </c>
      <c r="D14" s="1" t="s">
        <v>184</v>
      </c>
      <c r="E14" s="1" t="s">
        <v>52</v>
      </c>
      <c r="F14" s="1" t="s">
        <v>52</v>
      </c>
      <c r="G14" s="1" t="s">
        <v>52</v>
      </c>
      <c r="H14" s="1" t="s">
        <v>138</v>
      </c>
      <c r="I14" s="1"/>
      <c r="J14" s="1" t="s">
        <v>85</v>
      </c>
      <c r="K14" s="1" t="s">
        <v>143</v>
      </c>
      <c r="L14" s="1" t="s">
        <v>62</v>
      </c>
      <c r="M14" s="1">
        <v>4</v>
      </c>
      <c r="N14" s="1">
        <v>4</v>
      </c>
      <c r="O14" s="1">
        <v>4</v>
      </c>
      <c r="P14" s="1">
        <v>0</v>
      </c>
      <c r="Q14" s="1"/>
      <c r="R14" s="1"/>
      <c r="S14" s="1"/>
      <c r="T14" s="1"/>
      <c r="U14" s="1"/>
      <c r="V14" s="1"/>
      <c r="W14" s="1"/>
      <c r="X14" s="1"/>
      <c r="Y14" s="1"/>
      <c r="Z14" s="1" t="s">
        <v>21</v>
      </c>
      <c r="AA14" s="1" t="s">
        <v>21</v>
      </c>
      <c r="AB14" s="17">
        <v>43467</v>
      </c>
      <c r="AC14" s="18" t="s">
        <v>62</v>
      </c>
      <c r="AD14" s="125"/>
      <c r="AE14" s="125"/>
      <c r="AF14" s="51"/>
      <c r="AG14" s="10"/>
      <c r="AM14"/>
    </row>
    <row r="15" spans="2:39" ht="15" hidden="1" customHeight="1" x14ac:dyDescent="0.25">
      <c r="B15" s="1">
        <v>5</v>
      </c>
      <c r="C15" s="1">
        <v>0</v>
      </c>
      <c r="D15" s="1" t="s">
        <v>219</v>
      </c>
      <c r="E15" s="1" t="s">
        <v>191</v>
      </c>
      <c r="F15" s="1" t="s">
        <v>43</v>
      </c>
      <c r="G15" s="1"/>
      <c r="H15" s="1" t="s">
        <v>31</v>
      </c>
      <c r="I15" s="1"/>
      <c r="J15" s="1" t="s">
        <v>85</v>
      </c>
      <c r="K15" s="1" t="s">
        <v>486</v>
      </c>
      <c r="L15" s="1" t="s">
        <v>62</v>
      </c>
      <c r="M15" s="1">
        <v>4</v>
      </c>
      <c r="N15" s="1">
        <v>3</v>
      </c>
      <c r="O15" s="1">
        <v>4</v>
      </c>
      <c r="P15" s="1">
        <v>0</v>
      </c>
      <c r="Q15" s="1"/>
      <c r="R15" s="1"/>
      <c r="S15" s="1"/>
      <c r="T15" s="1"/>
      <c r="U15" s="1"/>
      <c r="V15" s="1"/>
      <c r="W15" s="1"/>
      <c r="X15" s="1"/>
      <c r="Y15" s="1"/>
      <c r="Z15" s="1" t="s">
        <v>32</v>
      </c>
      <c r="AA15" s="1" t="s">
        <v>32</v>
      </c>
      <c r="AB15" s="17"/>
      <c r="AC15" s="18"/>
      <c r="AD15" s="125"/>
      <c r="AE15" s="125"/>
      <c r="AF15" s="51"/>
      <c r="AG15" s="10"/>
      <c r="AM15"/>
    </row>
    <row r="16" spans="2:39" ht="15" hidden="1" customHeight="1" x14ac:dyDescent="0.25">
      <c r="B16" s="1">
        <v>6</v>
      </c>
      <c r="C16" s="1">
        <v>0</v>
      </c>
      <c r="D16" s="1" t="s">
        <v>220</v>
      </c>
      <c r="E16" s="1" t="s">
        <v>30</v>
      </c>
      <c r="F16" s="1" t="s">
        <v>34</v>
      </c>
      <c r="G16" s="1"/>
      <c r="H16" s="1" t="s">
        <v>33</v>
      </c>
      <c r="I16" s="1"/>
      <c r="J16" s="1" t="s">
        <v>87</v>
      </c>
      <c r="K16" s="1" t="s">
        <v>11</v>
      </c>
      <c r="L16" s="1" t="s">
        <v>62</v>
      </c>
      <c r="M16" s="1">
        <v>4</v>
      </c>
      <c r="N16" s="1">
        <v>4</v>
      </c>
      <c r="O16" s="1">
        <v>4</v>
      </c>
      <c r="P16" s="1">
        <v>0</v>
      </c>
      <c r="Q16" s="1"/>
      <c r="R16" s="1"/>
      <c r="S16" s="1"/>
      <c r="T16" s="1"/>
      <c r="U16" s="1"/>
      <c r="V16" s="1"/>
      <c r="W16" s="1"/>
      <c r="X16" s="1"/>
      <c r="Y16" s="1"/>
      <c r="Z16" s="1" t="s">
        <v>21</v>
      </c>
      <c r="AA16" s="1" t="s">
        <v>21</v>
      </c>
      <c r="AB16" s="17"/>
      <c r="AC16" s="18"/>
      <c r="AD16" s="125"/>
      <c r="AE16" s="125"/>
      <c r="AF16" s="51"/>
      <c r="AG16" s="10"/>
      <c r="AM16"/>
    </row>
    <row r="17" spans="2:39" ht="15" hidden="1" customHeight="1" x14ac:dyDescent="0.25">
      <c r="B17" s="1">
        <v>7</v>
      </c>
      <c r="C17" s="1">
        <v>0</v>
      </c>
      <c r="D17" s="1" t="s">
        <v>185</v>
      </c>
      <c r="E17" s="1" t="s">
        <v>30</v>
      </c>
      <c r="F17" s="1" t="s">
        <v>36</v>
      </c>
      <c r="G17" s="1"/>
      <c r="H17" s="1" t="s">
        <v>35</v>
      </c>
      <c r="I17" s="1"/>
      <c r="J17" s="1" t="s">
        <v>85</v>
      </c>
      <c r="K17" s="1" t="s">
        <v>11</v>
      </c>
      <c r="L17" s="1" t="s">
        <v>62</v>
      </c>
      <c r="M17" s="1">
        <v>4</v>
      </c>
      <c r="N17" s="1">
        <v>4</v>
      </c>
      <c r="O17" s="1">
        <v>1</v>
      </c>
      <c r="P17" s="1">
        <v>0</v>
      </c>
      <c r="Q17" s="1"/>
      <c r="R17" s="1"/>
      <c r="S17" s="1"/>
      <c r="T17" s="1"/>
      <c r="U17" s="1"/>
      <c r="V17" s="1"/>
      <c r="W17" s="1"/>
      <c r="X17" s="1"/>
      <c r="Y17" s="1"/>
      <c r="Z17" s="1" t="s">
        <v>32</v>
      </c>
      <c r="AA17" s="1"/>
      <c r="AB17" s="17"/>
      <c r="AC17" s="18"/>
      <c r="AD17" s="125"/>
      <c r="AE17" s="125"/>
      <c r="AF17" s="51"/>
      <c r="AG17" s="10"/>
      <c r="AM17"/>
    </row>
    <row r="18" spans="2:39" ht="15" hidden="1" customHeight="1" x14ac:dyDescent="0.25">
      <c r="B18" s="1">
        <v>8</v>
      </c>
      <c r="C18" s="1">
        <v>0</v>
      </c>
      <c r="D18" s="1" t="s">
        <v>220</v>
      </c>
      <c r="E18" s="1" t="s">
        <v>30</v>
      </c>
      <c r="F18" s="1" t="s">
        <v>113</v>
      </c>
      <c r="G18" s="1"/>
      <c r="H18" s="1" t="s">
        <v>192</v>
      </c>
      <c r="I18" s="1"/>
      <c r="J18" s="1" t="s">
        <v>85</v>
      </c>
      <c r="K18" s="1" t="s">
        <v>486</v>
      </c>
      <c r="L18" s="1" t="s">
        <v>62</v>
      </c>
      <c r="M18" s="1">
        <v>4</v>
      </c>
      <c r="N18" s="1">
        <v>4</v>
      </c>
      <c r="O18" s="1">
        <v>4</v>
      </c>
      <c r="P18" s="1">
        <v>0</v>
      </c>
      <c r="Q18" s="1"/>
      <c r="R18" s="1"/>
      <c r="S18" s="1"/>
      <c r="T18" s="1"/>
      <c r="U18" s="1"/>
      <c r="V18" s="1"/>
      <c r="W18" s="1"/>
      <c r="X18" s="1"/>
      <c r="Y18" s="1"/>
      <c r="Z18" s="1" t="s">
        <v>21</v>
      </c>
      <c r="AA18" s="1" t="s">
        <v>21</v>
      </c>
      <c r="AB18" s="17"/>
      <c r="AC18" s="18"/>
      <c r="AD18" s="125"/>
      <c r="AE18" s="125"/>
      <c r="AF18" s="51"/>
      <c r="AG18" s="10"/>
      <c r="AM18"/>
    </row>
    <row r="19" spans="2:39" ht="15" hidden="1" customHeight="1" x14ac:dyDescent="0.25">
      <c r="B19" s="1">
        <v>9</v>
      </c>
      <c r="C19" s="1">
        <v>0</v>
      </c>
      <c r="D19" s="1" t="s">
        <v>220</v>
      </c>
      <c r="E19" s="1" t="s">
        <v>30</v>
      </c>
      <c r="F19" s="1" t="s">
        <v>38</v>
      </c>
      <c r="G19" s="1"/>
      <c r="H19" s="1" t="s">
        <v>37</v>
      </c>
      <c r="I19" s="1"/>
      <c r="J19" s="1" t="s">
        <v>85</v>
      </c>
      <c r="K19" s="1" t="s">
        <v>502</v>
      </c>
      <c r="L19" s="1" t="s">
        <v>486</v>
      </c>
      <c r="M19" s="1">
        <v>4</v>
      </c>
      <c r="N19" s="1">
        <v>4</v>
      </c>
      <c r="O19" s="1">
        <v>4</v>
      </c>
      <c r="P19" s="1">
        <v>0</v>
      </c>
      <c r="Q19" s="1"/>
      <c r="R19" s="1"/>
      <c r="S19" s="1"/>
      <c r="T19" s="1"/>
      <c r="U19" s="1"/>
      <c r="V19" s="1"/>
      <c r="W19" s="1"/>
      <c r="X19" s="1"/>
      <c r="Y19" s="1"/>
      <c r="Z19" s="1" t="s">
        <v>21</v>
      </c>
      <c r="AA19" s="1" t="s">
        <v>21</v>
      </c>
      <c r="AB19" s="17"/>
      <c r="AC19" s="18"/>
      <c r="AD19" s="125"/>
      <c r="AE19" s="125"/>
      <c r="AF19" s="51"/>
      <c r="AG19" s="10"/>
      <c r="AM19"/>
    </row>
    <row r="20" spans="2:39" ht="15" hidden="1" customHeight="1" x14ac:dyDescent="0.25">
      <c r="B20" s="1">
        <v>10</v>
      </c>
      <c r="C20" s="1">
        <v>0</v>
      </c>
      <c r="D20" s="1" t="s">
        <v>220</v>
      </c>
      <c r="E20" s="1" t="s">
        <v>191</v>
      </c>
      <c r="F20" s="1" t="s">
        <v>113</v>
      </c>
      <c r="G20" s="1"/>
      <c r="H20" s="1" t="s">
        <v>193</v>
      </c>
      <c r="I20" s="1"/>
      <c r="J20" s="1" t="s">
        <v>85</v>
      </c>
      <c r="K20" s="1" t="s">
        <v>502</v>
      </c>
      <c r="L20" s="1" t="s">
        <v>486</v>
      </c>
      <c r="M20" s="1">
        <v>4</v>
      </c>
      <c r="N20" s="1">
        <v>4</v>
      </c>
      <c r="O20" s="1">
        <v>4</v>
      </c>
      <c r="P20" s="1">
        <v>0</v>
      </c>
      <c r="Q20" s="1"/>
      <c r="R20" s="1"/>
      <c r="S20" s="1"/>
      <c r="T20" s="1"/>
      <c r="U20" s="1"/>
      <c r="V20" s="1"/>
      <c r="W20" s="1"/>
      <c r="X20" s="1"/>
      <c r="Y20" s="1"/>
      <c r="Z20" s="1" t="s">
        <v>21</v>
      </c>
      <c r="AA20" s="1" t="s">
        <v>21</v>
      </c>
      <c r="AB20" s="17"/>
      <c r="AC20" s="18"/>
      <c r="AD20" s="125"/>
      <c r="AE20" s="125"/>
      <c r="AF20" s="51"/>
      <c r="AG20" s="10"/>
      <c r="AM20"/>
    </row>
    <row r="21" spans="2:39" ht="15" hidden="1" customHeight="1" x14ac:dyDescent="0.25">
      <c r="B21" s="1">
        <v>11</v>
      </c>
      <c r="C21" s="1">
        <v>0</v>
      </c>
      <c r="D21" s="1" t="s">
        <v>185</v>
      </c>
      <c r="E21" s="1" t="s">
        <v>30</v>
      </c>
      <c r="F21" s="1" t="s">
        <v>44</v>
      </c>
      <c r="G21" s="1"/>
      <c r="H21" s="1" t="s">
        <v>39</v>
      </c>
      <c r="I21" s="1"/>
      <c r="J21" s="1" t="s">
        <v>85</v>
      </c>
      <c r="K21" s="1" t="s">
        <v>11</v>
      </c>
      <c r="L21" s="1" t="s">
        <v>62</v>
      </c>
      <c r="M21" s="1">
        <v>4</v>
      </c>
      <c r="N21" s="1">
        <v>4</v>
      </c>
      <c r="O21" s="1">
        <v>1</v>
      </c>
      <c r="P21" s="1">
        <v>0</v>
      </c>
      <c r="Q21" s="1"/>
      <c r="R21" s="1"/>
      <c r="S21" s="1"/>
      <c r="T21" s="1"/>
      <c r="U21" s="1"/>
      <c r="V21" s="1"/>
      <c r="W21" s="1"/>
      <c r="X21" s="1"/>
      <c r="Y21" s="1"/>
      <c r="Z21" s="1" t="s">
        <v>32</v>
      </c>
      <c r="AA21" s="1" t="s">
        <v>32</v>
      </c>
      <c r="AB21" s="17"/>
      <c r="AC21" s="18"/>
      <c r="AD21" s="125"/>
      <c r="AE21" s="125"/>
      <c r="AF21" s="51"/>
      <c r="AG21" s="10"/>
      <c r="AM21"/>
    </row>
    <row r="22" spans="2:39" ht="15" hidden="1" customHeight="1" x14ac:dyDescent="0.25">
      <c r="B22" s="1">
        <v>12</v>
      </c>
      <c r="C22" s="1">
        <v>0</v>
      </c>
      <c r="D22" s="1" t="s">
        <v>220</v>
      </c>
      <c r="E22" s="1" t="s">
        <v>30</v>
      </c>
      <c r="F22" s="1" t="s">
        <v>43</v>
      </c>
      <c r="G22" s="1"/>
      <c r="H22" s="1" t="s">
        <v>194</v>
      </c>
      <c r="I22" s="1"/>
      <c r="J22" s="1" t="s">
        <v>85</v>
      </c>
      <c r="K22" s="1" t="s">
        <v>502</v>
      </c>
      <c r="L22" s="1" t="s">
        <v>486</v>
      </c>
      <c r="M22" s="1">
        <v>4</v>
      </c>
      <c r="N22" s="1">
        <v>4</v>
      </c>
      <c r="O22" s="1">
        <v>4</v>
      </c>
      <c r="P22" s="1">
        <v>0</v>
      </c>
      <c r="Q22" s="1"/>
      <c r="R22" s="1"/>
      <c r="S22" s="1"/>
      <c r="T22" s="1"/>
      <c r="U22" s="1"/>
      <c r="V22" s="1"/>
      <c r="W22" s="1"/>
      <c r="X22" s="1"/>
      <c r="Y22" s="1"/>
      <c r="Z22" s="1" t="s">
        <v>21</v>
      </c>
      <c r="AA22" s="1" t="s">
        <v>21</v>
      </c>
      <c r="AB22" s="17">
        <v>44594</v>
      </c>
      <c r="AC22" s="18" t="s">
        <v>486</v>
      </c>
      <c r="AD22" s="125"/>
      <c r="AE22" s="125"/>
      <c r="AF22" s="51"/>
      <c r="AG22" s="10"/>
      <c r="AM22"/>
    </row>
    <row r="23" spans="2:39" ht="15" hidden="1" customHeight="1" x14ac:dyDescent="0.25">
      <c r="B23" s="1">
        <v>13</v>
      </c>
      <c r="C23" s="1">
        <v>0</v>
      </c>
      <c r="D23" s="1" t="s">
        <v>185</v>
      </c>
      <c r="E23" s="1" t="s">
        <v>30</v>
      </c>
      <c r="F23" s="1" t="s">
        <v>195</v>
      </c>
      <c r="G23" s="1"/>
      <c r="H23" s="1" t="s">
        <v>41</v>
      </c>
      <c r="I23" s="1"/>
      <c r="J23" s="1" t="s">
        <v>85</v>
      </c>
      <c r="K23" s="1" t="s">
        <v>11</v>
      </c>
      <c r="L23" s="1" t="s">
        <v>62</v>
      </c>
      <c r="M23" s="1">
        <v>4</v>
      </c>
      <c r="N23" s="1">
        <v>4</v>
      </c>
      <c r="O23" s="1">
        <v>2</v>
      </c>
      <c r="P23" s="1">
        <v>0</v>
      </c>
      <c r="Q23" s="1"/>
      <c r="R23" s="1"/>
      <c r="S23" s="1"/>
      <c r="T23" s="1"/>
      <c r="U23" s="1"/>
      <c r="V23" s="1"/>
      <c r="W23" s="1"/>
      <c r="X23" s="1"/>
      <c r="Y23" s="1"/>
      <c r="Z23" s="1" t="s">
        <v>21</v>
      </c>
      <c r="AA23" s="1" t="s">
        <v>21</v>
      </c>
      <c r="AB23" s="17"/>
      <c r="AC23" s="18"/>
      <c r="AD23" s="125"/>
      <c r="AE23" s="125"/>
      <c r="AF23" s="51"/>
      <c r="AG23" s="10"/>
      <c r="AM23"/>
    </row>
    <row r="24" spans="2:39" ht="15" hidden="1" customHeight="1" x14ac:dyDescent="0.25">
      <c r="B24" s="1">
        <v>14</v>
      </c>
      <c r="C24" s="1">
        <v>0</v>
      </c>
      <c r="D24" s="1" t="s">
        <v>185</v>
      </c>
      <c r="E24" s="1" t="s">
        <v>30</v>
      </c>
      <c r="F24" s="1" t="s">
        <v>36</v>
      </c>
      <c r="G24" s="1"/>
      <c r="H24" s="1" t="s">
        <v>42</v>
      </c>
      <c r="I24" s="1"/>
      <c r="J24" s="1" t="s">
        <v>87</v>
      </c>
      <c r="K24" s="1" t="s">
        <v>11</v>
      </c>
      <c r="L24" s="1" t="s">
        <v>62</v>
      </c>
      <c r="M24" s="1">
        <v>4</v>
      </c>
      <c r="N24" s="1">
        <v>2</v>
      </c>
      <c r="O24" s="1">
        <v>1</v>
      </c>
      <c r="P24" s="1">
        <v>0</v>
      </c>
      <c r="Q24" s="1"/>
      <c r="R24" s="1"/>
      <c r="S24" s="1"/>
      <c r="T24" s="1"/>
      <c r="U24" s="1"/>
      <c r="V24" s="1"/>
      <c r="W24" s="1"/>
      <c r="X24" s="1"/>
      <c r="Y24" s="1"/>
      <c r="Z24" s="1" t="s">
        <v>32</v>
      </c>
      <c r="AA24" s="1"/>
      <c r="AB24" s="17"/>
      <c r="AC24" s="18"/>
      <c r="AD24" s="125"/>
      <c r="AE24" s="125"/>
      <c r="AF24" s="51"/>
      <c r="AG24" s="10"/>
      <c r="AM24"/>
    </row>
    <row r="25" spans="2:39" ht="15" hidden="1" customHeight="1" x14ac:dyDescent="0.25">
      <c r="B25" s="1">
        <v>15</v>
      </c>
      <c r="C25" s="1">
        <v>0</v>
      </c>
      <c r="D25" s="1" t="s">
        <v>220</v>
      </c>
      <c r="E25" s="1" t="s">
        <v>196</v>
      </c>
      <c r="F25" s="1" t="s">
        <v>43</v>
      </c>
      <c r="G25" s="1"/>
      <c r="H25" s="1" t="s">
        <v>197</v>
      </c>
      <c r="I25" s="1"/>
      <c r="J25" s="1" t="s">
        <v>85</v>
      </c>
      <c r="K25" s="1" t="s">
        <v>502</v>
      </c>
      <c r="L25" s="1" t="s">
        <v>486</v>
      </c>
      <c r="M25" s="1">
        <v>4</v>
      </c>
      <c r="N25" s="1">
        <v>4</v>
      </c>
      <c r="O25" s="1">
        <v>4</v>
      </c>
      <c r="P25" s="1">
        <v>0</v>
      </c>
      <c r="Q25" s="1"/>
      <c r="R25" s="1"/>
      <c r="S25" s="1"/>
      <c r="T25" s="1"/>
      <c r="U25" s="1"/>
      <c r="V25" s="1"/>
      <c r="W25" s="1"/>
      <c r="X25" s="1"/>
      <c r="Y25" s="1"/>
      <c r="Z25" s="1" t="s">
        <v>21</v>
      </c>
      <c r="AA25" s="1" t="s">
        <v>21</v>
      </c>
      <c r="AB25" s="17"/>
      <c r="AC25" s="18"/>
      <c r="AD25" s="125"/>
      <c r="AE25" s="125"/>
      <c r="AF25" s="51"/>
      <c r="AG25" s="10"/>
      <c r="AM25"/>
    </row>
    <row r="26" spans="2:39" ht="15" hidden="1" customHeight="1" x14ac:dyDescent="0.25">
      <c r="B26" s="1">
        <v>16</v>
      </c>
      <c r="C26" s="1">
        <v>0</v>
      </c>
      <c r="D26" s="1" t="s">
        <v>185</v>
      </c>
      <c r="E26" s="1" t="s">
        <v>30</v>
      </c>
      <c r="F26" s="1" t="s">
        <v>36</v>
      </c>
      <c r="G26" s="1"/>
      <c r="H26" s="1" t="s">
        <v>47</v>
      </c>
      <c r="I26" s="1"/>
      <c r="J26" s="1" t="s">
        <v>85</v>
      </c>
      <c r="K26" s="1" t="s">
        <v>11</v>
      </c>
      <c r="L26" s="1" t="s">
        <v>62</v>
      </c>
      <c r="M26" s="1">
        <v>4</v>
      </c>
      <c r="N26" s="1">
        <v>4</v>
      </c>
      <c r="O26" s="1">
        <v>1</v>
      </c>
      <c r="P26" s="1">
        <v>0</v>
      </c>
      <c r="Q26" s="1"/>
      <c r="R26" s="1"/>
      <c r="S26" s="1"/>
      <c r="T26" s="1"/>
      <c r="U26" s="1"/>
      <c r="V26" s="1"/>
      <c r="W26" s="1"/>
      <c r="X26" s="1"/>
      <c r="Y26" s="1"/>
      <c r="Z26" s="1" t="s">
        <v>32</v>
      </c>
      <c r="AA26" s="1"/>
      <c r="AB26" s="17"/>
      <c r="AC26" s="18"/>
      <c r="AD26" s="125"/>
      <c r="AE26" s="125"/>
      <c r="AF26" s="51"/>
      <c r="AG26" s="10"/>
      <c r="AM26"/>
    </row>
    <row r="27" spans="2:39" ht="15" hidden="1" customHeight="1" x14ac:dyDescent="0.25">
      <c r="B27" s="1">
        <v>17</v>
      </c>
      <c r="C27" s="1">
        <v>0</v>
      </c>
      <c r="D27" s="1" t="s">
        <v>185</v>
      </c>
      <c r="E27" s="1" t="s">
        <v>30</v>
      </c>
      <c r="F27" s="1" t="s">
        <v>50</v>
      </c>
      <c r="G27" s="1"/>
      <c r="H27" s="1" t="s">
        <v>48</v>
      </c>
      <c r="I27" s="1"/>
      <c r="J27" s="1" t="s">
        <v>54</v>
      </c>
      <c r="K27" s="1" t="s">
        <v>11</v>
      </c>
      <c r="L27" s="1" t="s">
        <v>62</v>
      </c>
      <c r="M27" s="1">
        <v>4</v>
      </c>
      <c r="N27" s="1">
        <v>2</v>
      </c>
      <c r="O27" s="1">
        <v>1</v>
      </c>
      <c r="P27" s="1">
        <v>0</v>
      </c>
      <c r="Q27" s="1"/>
      <c r="R27" s="1"/>
      <c r="S27" s="1"/>
      <c r="T27" s="1"/>
      <c r="U27" s="1"/>
      <c r="V27" s="1"/>
      <c r="W27" s="1"/>
      <c r="X27" s="1"/>
      <c r="Y27" s="1"/>
      <c r="Z27" s="1" t="s">
        <v>32</v>
      </c>
      <c r="AA27" s="1"/>
      <c r="AB27" s="17"/>
      <c r="AC27" s="18"/>
      <c r="AD27" s="125"/>
      <c r="AE27" s="125"/>
      <c r="AF27" s="51"/>
      <c r="AG27" s="10"/>
      <c r="AM27"/>
    </row>
    <row r="28" spans="2:39" ht="15" hidden="1" customHeight="1" x14ac:dyDescent="0.25">
      <c r="B28" s="1">
        <v>18</v>
      </c>
      <c r="C28" s="1">
        <v>0</v>
      </c>
      <c r="D28" s="1" t="s">
        <v>185</v>
      </c>
      <c r="E28" s="1" t="s">
        <v>30</v>
      </c>
      <c r="F28" s="1" t="s">
        <v>36</v>
      </c>
      <c r="G28" s="1"/>
      <c r="H28" s="1" t="s">
        <v>51</v>
      </c>
      <c r="I28" s="1"/>
      <c r="J28" s="1" t="s">
        <v>90</v>
      </c>
      <c r="K28" s="1" t="s">
        <v>11</v>
      </c>
      <c r="L28" s="1" t="s">
        <v>62</v>
      </c>
      <c r="M28" s="1">
        <v>4</v>
      </c>
      <c r="N28" s="1">
        <v>4</v>
      </c>
      <c r="O28" s="1">
        <v>1</v>
      </c>
      <c r="P28" s="1">
        <v>0</v>
      </c>
      <c r="Q28" s="1"/>
      <c r="R28" s="1"/>
      <c r="S28" s="1"/>
      <c r="T28" s="1"/>
      <c r="U28" s="1"/>
      <c r="V28" s="1"/>
      <c r="W28" s="1"/>
      <c r="X28" s="1"/>
      <c r="Y28" s="1"/>
      <c r="Z28" s="1" t="s">
        <v>32</v>
      </c>
      <c r="AA28" s="1"/>
      <c r="AB28" s="17"/>
      <c r="AC28" s="18"/>
      <c r="AD28" s="125"/>
      <c r="AE28" s="125"/>
      <c r="AF28" s="51"/>
      <c r="AG28" s="10"/>
      <c r="AM28"/>
    </row>
    <row r="29" spans="2:39" ht="15" hidden="1" customHeight="1" x14ac:dyDescent="0.25">
      <c r="B29" s="1">
        <v>19</v>
      </c>
      <c r="C29" s="1">
        <v>0</v>
      </c>
      <c r="D29" s="1" t="s">
        <v>185</v>
      </c>
      <c r="E29" s="1" t="s">
        <v>30</v>
      </c>
      <c r="F29" s="1" t="s">
        <v>113</v>
      </c>
      <c r="G29" s="1"/>
      <c r="H29" s="1" t="s">
        <v>200</v>
      </c>
      <c r="I29" s="1"/>
      <c r="J29" s="1" t="s">
        <v>86</v>
      </c>
      <c r="K29" s="1" t="s">
        <v>62</v>
      </c>
      <c r="L29" s="1" t="s">
        <v>11</v>
      </c>
      <c r="M29" s="1">
        <v>4</v>
      </c>
      <c r="N29" s="1">
        <v>4</v>
      </c>
      <c r="O29" s="1">
        <v>4</v>
      </c>
      <c r="P29" s="1">
        <v>0</v>
      </c>
      <c r="Q29" s="1"/>
      <c r="R29" s="1"/>
      <c r="S29" s="1"/>
      <c r="T29" s="1"/>
      <c r="U29" s="1"/>
      <c r="V29" s="1"/>
      <c r="W29" s="1"/>
      <c r="X29" s="1"/>
      <c r="Y29" s="1"/>
      <c r="Z29" s="1" t="s">
        <v>21</v>
      </c>
      <c r="AA29" s="1" t="s">
        <v>21</v>
      </c>
      <c r="AB29" s="17">
        <v>43472</v>
      </c>
      <c r="AC29" s="18" t="s">
        <v>11</v>
      </c>
      <c r="AD29" s="125"/>
      <c r="AE29" s="125"/>
      <c r="AF29" s="51"/>
      <c r="AG29" s="10"/>
      <c r="AM29"/>
    </row>
    <row r="30" spans="2:39" ht="15" hidden="1" customHeight="1" x14ac:dyDescent="0.25">
      <c r="B30" s="1">
        <v>20</v>
      </c>
      <c r="C30" s="1">
        <v>0</v>
      </c>
      <c r="D30" s="1" t="s">
        <v>220</v>
      </c>
      <c r="E30" s="1" t="s">
        <v>30</v>
      </c>
      <c r="F30" s="1" t="s">
        <v>43</v>
      </c>
      <c r="G30" s="1"/>
      <c r="H30" s="1" t="s">
        <v>70</v>
      </c>
      <c r="I30" s="1"/>
      <c r="J30" s="1" t="s">
        <v>85</v>
      </c>
      <c r="K30" s="1" t="s">
        <v>11</v>
      </c>
      <c r="L30" s="1" t="s">
        <v>62</v>
      </c>
      <c r="M30" s="1">
        <v>4</v>
      </c>
      <c r="N30" s="1">
        <v>4</v>
      </c>
      <c r="O30" s="1">
        <v>4</v>
      </c>
      <c r="P30" s="1">
        <v>0</v>
      </c>
      <c r="Q30" s="1"/>
      <c r="R30" s="1"/>
      <c r="S30" s="1"/>
      <c r="T30" s="1"/>
      <c r="U30" s="1"/>
      <c r="V30" s="1"/>
      <c r="W30" s="1"/>
      <c r="X30" s="1"/>
      <c r="Y30" s="1"/>
      <c r="Z30" s="1" t="s">
        <v>21</v>
      </c>
      <c r="AA30" s="1" t="s">
        <v>21</v>
      </c>
      <c r="AB30" s="17"/>
      <c r="AC30" s="18"/>
      <c r="AD30" s="125"/>
      <c r="AE30" s="125"/>
      <c r="AF30" s="51"/>
      <c r="AG30" s="10"/>
      <c r="AM30"/>
    </row>
    <row r="31" spans="2:39" ht="15" hidden="1" customHeight="1" x14ac:dyDescent="0.25">
      <c r="B31" s="1">
        <v>21</v>
      </c>
      <c r="C31" s="1">
        <v>0</v>
      </c>
      <c r="D31" s="1" t="s">
        <v>220</v>
      </c>
      <c r="E31" s="1" t="s">
        <v>30</v>
      </c>
      <c r="F31" s="1" t="s">
        <v>71</v>
      </c>
      <c r="G31" s="1"/>
      <c r="H31" s="1" t="s">
        <v>72</v>
      </c>
      <c r="I31" s="1"/>
      <c r="J31" s="1" t="s">
        <v>85</v>
      </c>
      <c r="K31" s="1" t="s">
        <v>502</v>
      </c>
      <c r="L31" s="1" t="s">
        <v>486</v>
      </c>
      <c r="M31" s="1">
        <v>4</v>
      </c>
      <c r="N31" s="1">
        <v>4</v>
      </c>
      <c r="O31" s="1">
        <v>4</v>
      </c>
      <c r="P31" s="1">
        <v>0</v>
      </c>
      <c r="Q31" s="1"/>
      <c r="R31" s="1"/>
      <c r="S31" s="1"/>
      <c r="T31" s="1"/>
      <c r="U31" s="1"/>
      <c r="V31" s="1"/>
      <c r="W31" s="1"/>
      <c r="X31" s="1"/>
      <c r="Y31" s="1"/>
      <c r="Z31" s="1" t="s">
        <v>21</v>
      </c>
      <c r="AA31" s="1" t="s">
        <v>21</v>
      </c>
      <c r="AB31" s="17"/>
      <c r="AC31" s="18"/>
      <c r="AD31" s="125"/>
      <c r="AE31" s="125"/>
      <c r="AF31" s="51"/>
      <c r="AG31" s="10"/>
      <c r="AM31"/>
    </row>
    <row r="32" spans="2:39" ht="15" hidden="1" customHeight="1" x14ac:dyDescent="0.25">
      <c r="B32" s="1">
        <v>22</v>
      </c>
      <c r="C32" s="1">
        <v>0</v>
      </c>
      <c r="D32" s="1" t="s">
        <v>185</v>
      </c>
      <c r="E32" s="1" t="s">
        <v>30</v>
      </c>
      <c r="F32" s="1" t="s">
        <v>73</v>
      </c>
      <c r="G32" s="1"/>
      <c r="H32" s="1" t="s">
        <v>74</v>
      </c>
      <c r="I32" s="1"/>
      <c r="J32" s="1" t="s">
        <v>87</v>
      </c>
      <c r="K32" s="1" t="s">
        <v>11</v>
      </c>
      <c r="L32" s="1" t="s">
        <v>62</v>
      </c>
      <c r="M32" s="1">
        <v>4</v>
      </c>
      <c r="N32" s="1">
        <v>4</v>
      </c>
      <c r="O32" s="1">
        <v>1</v>
      </c>
      <c r="P32" s="1">
        <v>0</v>
      </c>
      <c r="Q32" s="1"/>
      <c r="R32" s="1"/>
      <c r="S32" s="1"/>
      <c r="T32" s="1"/>
      <c r="U32" s="1"/>
      <c r="V32" s="1"/>
      <c r="W32" s="1"/>
      <c r="X32" s="1"/>
      <c r="Y32" s="1"/>
      <c r="Z32" s="1" t="s">
        <v>32</v>
      </c>
      <c r="AA32" s="1"/>
      <c r="AB32" s="17"/>
      <c r="AC32" s="18"/>
      <c r="AD32" s="125"/>
      <c r="AE32" s="125"/>
      <c r="AF32" s="51"/>
      <c r="AG32" s="10"/>
      <c r="AM32"/>
    </row>
    <row r="33" spans="2:39" ht="15" hidden="1" customHeight="1" x14ac:dyDescent="0.25">
      <c r="B33" s="1">
        <v>23</v>
      </c>
      <c r="C33" s="1">
        <v>0</v>
      </c>
      <c r="D33" s="1" t="s">
        <v>185</v>
      </c>
      <c r="E33" s="1" t="s">
        <v>30</v>
      </c>
      <c r="F33" s="1" t="s">
        <v>73</v>
      </c>
      <c r="G33" s="1"/>
      <c r="H33" s="1" t="s">
        <v>75</v>
      </c>
      <c r="I33" s="1"/>
      <c r="J33" s="1" t="s">
        <v>87</v>
      </c>
      <c r="K33" s="1" t="s">
        <v>11</v>
      </c>
      <c r="L33" s="1" t="s">
        <v>62</v>
      </c>
      <c r="M33" s="1">
        <v>4</v>
      </c>
      <c r="N33" s="1">
        <v>4</v>
      </c>
      <c r="O33" s="1">
        <v>1</v>
      </c>
      <c r="P33" s="1">
        <v>0</v>
      </c>
      <c r="Q33" s="1"/>
      <c r="R33" s="1"/>
      <c r="S33" s="1"/>
      <c r="T33" s="1"/>
      <c r="U33" s="1"/>
      <c r="V33" s="1"/>
      <c r="W33" s="1"/>
      <c r="X33" s="1"/>
      <c r="Y33" s="1"/>
      <c r="Z33" s="1" t="s">
        <v>32</v>
      </c>
      <c r="AA33" s="1"/>
      <c r="AB33" s="17"/>
      <c r="AC33" s="18"/>
      <c r="AD33" s="125"/>
      <c r="AE33" s="125"/>
      <c r="AF33" s="51"/>
      <c r="AG33" s="10"/>
      <c r="AM33"/>
    </row>
    <row r="34" spans="2:39" ht="15" hidden="1" customHeight="1" x14ac:dyDescent="0.25">
      <c r="B34" s="1">
        <v>24</v>
      </c>
      <c r="C34" s="1">
        <v>0</v>
      </c>
      <c r="D34" s="1" t="s">
        <v>185</v>
      </c>
      <c r="E34" s="1" t="s">
        <v>30</v>
      </c>
      <c r="F34" s="1" t="s">
        <v>226</v>
      </c>
      <c r="G34" s="1" t="s">
        <v>54</v>
      </c>
      <c r="H34" s="1">
        <v>2020</v>
      </c>
      <c r="I34" s="1"/>
      <c r="J34" s="1" t="s">
        <v>87</v>
      </c>
      <c r="K34" s="1" t="s">
        <v>11</v>
      </c>
      <c r="L34" s="1" t="s">
        <v>11</v>
      </c>
      <c r="M34" s="1">
        <v>4</v>
      </c>
      <c r="N34" s="1">
        <v>4</v>
      </c>
      <c r="O34" s="1">
        <v>1</v>
      </c>
      <c r="P34" s="1">
        <v>0</v>
      </c>
      <c r="Q34" s="1"/>
      <c r="R34" s="1"/>
      <c r="S34" s="1"/>
      <c r="T34" s="1"/>
      <c r="U34" s="1"/>
      <c r="V34" s="1"/>
      <c r="W34" s="1"/>
      <c r="X34" s="1"/>
      <c r="Y34" s="1"/>
      <c r="Z34" s="1" t="s">
        <v>32</v>
      </c>
      <c r="AA34" s="1"/>
      <c r="AB34" s="17"/>
      <c r="AC34" s="18"/>
      <c r="AD34" s="125"/>
      <c r="AE34" s="125"/>
      <c r="AF34" s="51"/>
      <c r="AG34" s="10" t="s">
        <v>76</v>
      </c>
      <c r="AM34"/>
    </row>
    <row r="35" spans="2:39" ht="15" hidden="1" customHeight="1" x14ac:dyDescent="0.25">
      <c r="B35" s="1">
        <v>25</v>
      </c>
      <c r="C35" s="1">
        <v>0</v>
      </c>
      <c r="D35" s="1" t="s">
        <v>186</v>
      </c>
      <c r="E35" s="1" t="s">
        <v>186</v>
      </c>
      <c r="F35" s="1" t="s">
        <v>19</v>
      </c>
      <c r="G35" s="1"/>
      <c r="H35" s="1" t="s">
        <v>130</v>
      </c>
      <c r="I35" s="1"/>
      <c r="J35" s="1" t="s">
        <v>85</v>
      </c>
      <c r="K35" s="1" t="s">
        <v>408</v>
      </c>
      <c r="L35" s="1" t="s">
        <v>340</v>
      </c>
      <c r="M35" s="1">
        <v>0</v>
      </c>
      <c r="N35" s="1">
        <v>4</v>
      </c>
      <c r="O35" s="1">
        <v>3</v>
      </c>
      <c r="P35" s="1">
        <v>0</v>
      </c>
      <c r="Q35" s="1"/>
      <c r="R35" s="1"/>
      <c r="S35" s="1">
        <v>4</v>
      </c>
      <c r="T35" s="1">
        <v>0</v>
      </c>
      <c r="U35" s="1"/>
      <c r="V35" s="1"/>
      <c r="W35" s="1"/>
      <c r="X35" s="1"/>
      <c r="Y35" s="1"/>
      <c r="Z35" s="1" t="s">
        <v>21</v>
      </c>
      <c r="AA35" s="1" t="s">
        <v>21</v>
      </c>
      <c r="AB35" s="17">
        <v>44167</v>
      </c>
      <c r="AC35" s="18" t="s">
        <v>330</v>
      </c>
      <c r="AD35" s="125"/>
      <c r="AE35" s="125"/>
      <c r="AF35" s="51"/>
      <c r="AG35" s="10"/>
      <c r="AM35"/>
    </row>
    <row r="36" spans="2:39" ht="15" hidden="1" customHeight="1" x14ac:dyDescent="0.25">
      <c r="B36" s="1">
        <v>26</v>
      </c>
      <c r="C36" s="1">
        <v>0</v>
      </c>
      <c r="D36" s="1" t="s">
        <v>186</v>
      </c>
      <c r="E36" s="1" t="s">
        <v>186</v>
      </c>
      <c r="F36" s="1" t="s">
        <v>19</v>
      </c>
      <c r="G36" s="1"/>
      <c r="H36" s="1" t="s">
        <v>401</v>
      </c>
      <c r="I36" s="1"/>
      <c r="J36" s="1" t="s">
        <v>86</v>
      </c>
      <c r="K36" s="1" t="s">
        <v>340</v>
      </c>
      <c r="L36" s="1" t="s">
        <v>408</v>
      </c>
      <c r="M36" s="1">
        <v>0</v>
      </c>
      <c r="N36" s="1">
        <v>4</v>
      </c>
      <c r="O36" s="1">
        <v>3</v>
      </c>
      <c r="P36" s="1">
        <v>0</v>
      </c>
      <c r="Q36" s="1">
        <v>0</v>
      </c>
      <c r="R36" s="1">
        <v>0</v>
      </c>
      <c r="S36" s="1">
        <v>3</v>
      </c>
      <c r="T36" s="1">
        <v>0</v>
      </c>
      <c r="U36" s="1"/>
      <c r="V36" s="1"/>
      <c r="W36" s="1"/>
      <c r="X36" s="1"/>
      <c r="Y36" s="1"/>
      <c r="Z36" s="1" t="s">
        <v>21</v>
      </c>
      <c r="AA36" s="1" t="s">
        <v>21</v>
      </c>
      <c r="AB36" s="17">
        <v>43467</v>
      </c>
      <c r="AC36" s="18" t="s">
        <v>62</v>
      </c>
      <c r="AD36" s="125"/>
      <c r="AE36" s="125"/>
      <c r="AF36" s="51"/>
      <c r="AG36" s="10"/>
      <c r="AM36"/>
    </row>
    <row r="37" spans="2:39" ht="15" hidden="1" customHeight="1" x14ac:dyDescent="0.25">
      <c r="B37" s="1">
        <v>27</v>
      </c>
      <c r="C37" s="1">
        <v>0</v>
      </c>
      <c r="D37" s="1" t="s">
        <v>186</v>
      </c>
      <c r="E37" s="1" t="s">
        <v>186</v>
      </c>
      <c r="F37" s="1" t="s">
        <v>29</v>
      </c>
      <c r="G37" s="1"/>
      <c r="H37" s="1" t="s">
        <v>129</v>
      </c>
      <c r="I37" s="1"/>
      <c r="J37" s="1" t="s">
        <v>85</v>
      </c>
      <c r="K37" s="1" t="s">
        <v>13</v>
      </c>
      <c r="L37" s="1" t="s">
        <v>62</v>
      </c>
      <c r="M37" s="1">
        <v>4</v>
      </c>
      <c r="N37" s="1">
        <v>4</v>
      </c>
      <c r="O37" s="1">
        <v>4</v>
      </c>
      <c r="P37" s="1">
        <v>0</v>
      </c>
      <c r="Q37" s="1"/>
      <c r="R37" s="1"/>
      <c r="S37" s="1"/>
      <c r="T37" s="1"/>
      <c r="U37" s="1"/>
      <c r="V37" s="1"/>
      <c r="W37" s="1"/>
      <c r="X37" s="1"/>
      <c r="Y37" s="1"/>
      <c r="Z37" s="1" t="s">
        <v>21</v>
      </c>
      <c r="AA37" s="1"/>
      <c r="AB37" s="17">
        <v>43467</v>
      </c>
      <c r="AC37" s="18" t="s">
        <v>62</v>
      </c>
      <c r="AD37" s="125"/>
      <c r="AE37" s="125"/>
      <c r="AF37" s="51"/>
      <c r="AG37" s="10" t="s">
        <v>163</v>
      </c>
      <c r="AM37"/>
    </row>
    <row r="38" spans="2:39" ht="15" hidden="1" customHeight="1" x14ac:dyDescent="0.25">
      <c r="B38" s="1">
        <v>28</v>
      </c>
      <c r="C38" s="1">
        <v>0</v>
      </c>
      <c r="D38" s="1" t="s">
        <v>186</v>
      </c>
      <c r="E38" s="1" t="s">
        <v>186</v>
      </c>
      <c r="F38" s="1" t="s">
        <v>29</v>
      </c>
      <c r="G38" s="1"/>
      <c r="H38" s="1" t="s">
        <v>128</v>
      </c>
      <c r="I38" s="1"/>
      <c r="J38" s="1" t="s">
        <v>89</v>
      </c>
      <c r="K38" s="1" t="s">
        <v>13</v>
      </c>
      <c r="L38" s="1" t="s">
        <v>62</v>
      </c>
      <c r="M38" s="1">
        <v>4</v>
      </c>
      <c r="N38" s="1">
        <v>4</v>
      </c>
      <c r="O38" s="1">
        <v>4</v>
      </c>
      <c r="P38" s="1">
        <v>0</v>
      </c>
      <c r="Q38" s="1"/>
      <c r="R38" s="1"/>
      <c r="S38" s="1"/>
      <c r="T38" s="1"/>
      <c r="U38" s="1"/>
      <c r="V38" s="1"/>
      <c r="W38" s="1"/>
      <c r="X38" s="1"/>
      <c r="Y38" s="1"/>
      <c r="Z38" s="1" t="s">
        <v>21</v>
      </c>
      <c r="AA38" s="1"/>
      <c r="AB38" s="17">
        <v>43467</v>
      </c>
      <c r="AC38" s="18" t="s">
        <v>62</v>
      </c>
      <c r="AD38" s="125"/>
      <c r="AE38" s="125"/>
      <c r="AF38" s="51"/>
      <c r="AG38" s="10" t="s">
        <v>163</v>
      </c>
      <c r="AM38"/>
    </row>
    <row r="39" spans="2:39" ht="15" hidden="1" customHeight="1" x14ac:dyDescent="0.25">
      <c r="B39" s="1">
        <v>29</v>
      </c>
      <c r="C39" s="1">
        <v>0</v>
      </c>
      <c r="D39" s="1" t="s">
        <v>186</v>
      </c>
      <c r="E39" s="1" t="s">
        <v>186</v>
      </c>
      <c r="F39" s="1" t="s">
        <v>29</v>
      </c>
      <c r="G39" s="1"/>
      <c r="H39" s="1" t="s">
        <v>124</v>
      </c>
      <c r="I39" s="1"/>
      <c r="J39" s="1" t="s">
        <v>85</v>
      </c>
      <c r="K39" s="1" t="s">
        <v>13</v>
      </c>
      <c r="L39" s="1" t="s">
        <v>62</v>
      </c>
      <c r="M39" s="1">
        <v>4</v>
      </c>
      <c r="N39" s="1">
        <v>4</v>
      </c>
      <c r="O39" s="1">
        <v>4</v>
      </c>
      <c r="P39" s="1">
        <v>0</v>
      </c>
      <c r="Q39" s="1"/>
      <c r="R39" s="1"/>
      <c r="S39" s="1"/>
      <c r="T39" s="1"/>
      <c r="U39" s="1"/>
      <c r="V39" s="1"/>
      <c r="W39" s="1"/>
      <c r="X39" s="1"/>
      <c r="Y39" s="1"/>
      <c r="Z39" s="1" t="s">
        <v>95</v>
      </c>
      <c r="AA39" s="1"/>
      <c r="AB39" s="17">
        <v>43467</v>
      </c>
      <c r="AC39" s="18" t="s">
        <v>62</v>
      </c>
      <c r="AD39" s="125"/>
      <c r="AE39" s="125"/>
      <c r="AF39" s="51"/>
      <c r="AG39" s="10" t="s">
        <v>163</v>
      </c>
      <c r="AM39"/>
    </row>
    <row r="40" spans="2:39" ht="15" hidden="1" customHeight="1" x14ac:dyDescent="0.25">
      <c r="B40" s="1">
        <v>30</v>
      </c>
      <c r="C40" s="1">
        <v>0</v>
      </c>
      <c r="D40" s="1" t="s">
        <v>186</v>
      </c>
      <c r="E40" s="1" t="s">
        <v>186</v>
      </c>
      <c r="F40" s="1" t="s">
        <v>29</v>
      </c>
      <c r="G40" s="1"/>
      <c r="H40" s="1" t="s">
        <v>28</v>
      </c>
      <c r="I40" s="1"/>
      <c r="J40" s="1" t="s">
        <v>86</v>
      </c>
      <c r="K40" s="1" t="s">
        <v>13</v>
      </c>
      <c r="L40" s="1" t="s">
        <v>62</v>
      </c>
      <c r="M40" s="1">
        <v>4</v>
      </c>
      <c r="N40" s="1">
        <v>4</v>
      </c>
      <c r="O40" s="1">
        <v>2</v>
      </c>
      <c r="P40" s="1">
        <v>0</v>
      </c>
      <c r="Q40" s="1"/>
      <c r="R40" s="1"/>
      <c r="S40" s="1"/>
      <c r="T40" s="1"/>
      <c r="U40" s="1"/>
      <c r="V40" s="1"/>
      <c r="W40" s="1"/>
      <c r="X40" s="1"/>
      <c r="Y40" s="1"/>
      <c r="Z40" s="1" t="s">
        <v>54</v>
      </c>
      <c r="AA40" s="1"/>
      <c r="AB40" s="17">
        <v>43467</v>
      </c>
      <c r="AC40" s="18" t="s">
        <v>62</v>
      </c>
      <c r="AD40" s="125"/>
      <c r="AE40" s="125"/>
      <c r="AF40" s="51"/>
      <c r="AG40" s="10" t="s">
        <v>146</v>
      </c>
      <c r="AM40"/>
    </row>
    <row r="41" spans="2:39" ht="15" hidden="1" customHeight="1" x14ac:dyDescent="0.25">
      <c r="B41" s="1">
        <v>31</v>
      </c>
      <c r="C41" s="1">
        <v>0</v>
      </c>
      <c r="D41" s="1" t="s">
        <v>186</v>
      </c>
      <c r="E41" s="1" t="s">
        <v>186</v>
      </c>
      <c r="F41" s="1" t="s">
        <v>19</v>
      </c>
      <c r="G41" s="1"/>
      <c r="H41" s="1" t="s">
        <v>131</v>
      </c>
      <c r="I41" s="1"/>
      <c r="J41" s="1" t="s">
        <v>87</v>
      </c>
      <c r="K41" s="1" t="s">
        <v>408</v>
      </c>
      <c r="L41" s="1" t="s">
        <v>340</v>
      </c>
      <c r="M41" s="1">
        <v>0</v>
      </c>
      <c r="N41" s="1">
        <v>4</v>
      </c>
      <c r="O41" s="1">
        <v>3</v>
      </c>
      <c r="P41" s="1">
        <v>0</v>
      </c>
      <c r="Q41" s="1"/>
      <c r="R41" s="1"/>
      <c r="S41" s="1">
        <v>4</v>
      </c>
      <c r="T41" s="1">
        <v>0</v>
      </c>
      <c r="U41" s="1"/>
      <c r="V41" s="1"/>
      <c r="W41" s="1"/>
      <c r="X41" s="1"/>
      <c r="Y41" s="1"/>
      <c r="Z41" s="1" t="s">
        <v>21</v>
      </c>
      <c r="AA41" s="1" t="s">
        <v>21</v>
      </c>
      <c r="AB41" s="17">
        <v>44167</v>
      </c>
      <c r="AC41" s="18" t="s">
        <v>330</v>
      </c>
      <c r="AD41" s="125"/>
      <c r="AE41" s="125"/>
      <c r="AF41" s="51"/>
      <c r="AG41" s="10"/>
      <c r="AM41"/>
    </row>
    <row r="42" spans="2:39" ht="15" hidden="1" customHeight="1" x14ac:dyDescent="0.25">
      <c r="B42" s="1">
        <v>32</v>
      </c>
      <c r="C42" s="1">
        <v>0</v>
      </c>
      <c r="D42" s="1" t="s">
        <v>186</v>
      </c>
      <c r="E42" s="1" t="s">
        <v>186</v>
      </c>
      <c r="F42" s="1" t="s">
        <v>134</v>
      </c>
      <c r="G42" s="1"/>
      <c r="H42" s="1" t="s">
        <v>133</v>
      </c>
      <c r="I42" s="1"/>
      <c r="J42" s="1" t="s">
        <v>86</v>
      </c>
      <c r="K42" s="1" t="s">
        <v>13</v>
      </c>
      <c r="L42" s="1" t="s">
        <v>62</v>
      </c>
      <c r="M42" s="1">
        <v>4</v>
      </c>
      <c r="N42" s="1">
        <v>4</v>
      </c>
      <c r="O42" s="1">
        <v>4</v>
      </c>
      <c r="P42" s="1">
        <v>0</v>
      </c>
      <c r="Q42" s="1"/>
      <c r="R42" s="1"/>
      <c r="S42" s="1"/>
      <c r="T42" s="1"/>
      <c r="U42" s="1"/>
      <c r="V42" s="1"/>
      <c r="W42" s="1"/>
      <c r="X42" s="1"/>
      <c r="Y42" s="1"/>
      <c r="Z42" s="1" t="s">
        <v>95</v>
      </c>
      <c r="AA42" s="1"/>
      <c r="AB42" s="17">
        <v>43467</v>
      </c>
      <c r="AC42" s="18" t="s">
        <v>62</v>
      </c>
      <c r="AD42" s="125"/>
      <c r="AE42" s="125"/>
      <c r="AF42" s="51"/>
      <c r="AG42" s="10" t="s">
        <v>146</v>
      </c>
      <c r="AM42"/>
    </row>
    <row r="43" spans="2:39" ht="15" hidden="1" customHeight="1" x14ac:dyDescent="0.25">
      <c r="B43" s="1">
        <v>33</v>
      </c>
      <c r="C43" s="1">
        <v>0</v>
      </c>
      <c r="D43" s="1" t="s">
        <v>186</v>
      </c>
      <c r="E43" s="1" t="s">
        <v>186</v>
      </c>
      <c r="F43" s="1" t="s">
        <v>19</v>
      </c>
      <c r="G43" s="1"/>
      <c r="H43" s="1" t="s">
        <v>132</v>
      </c>
      <c r="I43" s="1"/>
      <c r="J43" s="1" t="s">
        <v>87</v>
      </c>
      <c r="K43" s="38" t="s">
        <v>13</v>
      </c>
      <c r="L43" s="1" t="s">
        <v>62</v>
      </c>
      <c r="M43" s="1">
        <v>0</v>
      </c>
      <c r="N43" s="1">
        <v>4</v>
      </c>
      <c r="O43" s="1">
        <v>4</v>
      </c>
      <c r="P43" s="1">
        <v>0</v>
      </c>
      <c r="Q43" s="1"/>
      <c r="R43" s="1"/>
      <c r="S43" s="1"/>
      <c r="T43" s="1"/>
      <c r="U43" s="1"/>
      <c r="V43" s="1"/>
      <c r="W43" s="1"/>
      <c r="X43" s="1"/>
      <c r="Y43" s="1"/>
      <c r="Z43" s="1" t="s">
        <v>54</v>
      </c>
      <c r="AA43" s="1"/>
      <c r="AB43" s="17">
        <v>43467</v>
      </c>
      <c r="AC43" s="18" t="s">
        <v>62</v>
      </c>
      <c r="AD43" s="125"/>
      <c r="AE43" s="125"/>
      <c r="AF43" s="51"/>
      <c r="AG43" s="10" t="s">
        <v>145</v>
      </c>
      <c r="AM43"/>
    </row>
    <row r="44" spans="2:39" ht="15" hidden="1" customHeight="1" x14ac:dyDescent="0.25">
      <c r="B44" s="1">
        <v>34</v>
      </c>
      <c r="C44" s="1">
        <v>0</v>
      </c>
      <c r="D44" s="1" t="s">
        <v>386</v>
      </c>
      <c r="E44" s="1" t="s">
        <v>294</v>
      </c>
      <c r="F44" s="1" t="s">
        <v>57</v>
      </c>
      <c r="G44" s="1"/>
      <c r="H44" s="1" t="s">
        <v>108</v>
      </c>
      <c r="I44" s="1"/>
      <c r="J44" s="1" t="s">
        <v>87</v>
      </c>
      <c r="K44" s="1" t="s">
        <v>12</v>
      </c>
      <c r="L44" s="1" t="s">
        <v>331</v>
      </c>
      <c r="M44" s="1">
        <v>0</v>
      </c>
      <c r="N44" s="1">
        <v>0</v>
      </c>
      <c r="O44" s="1">
        <v>0</v>
      </c>
      <c r="P44" s="1">
        <v>0</v>
      </c>
      <c r="Q44" s="1">
        <v>0</v>
      </c>
      <c r="R44" s="1">
        <v>0</v>
      </c>
      <c r="S44" s="1">
        <v>0</v>
      </c>
      <c r="T44" s="1">
        <v>0</v>
      </c>
      <c r="U44" s="1"/>
      <c r="V44" s="1"/>
      <c r="W44" s="1"/>
      <c r="X44" s="1"/>
      <c r="Y44" s="1"/>
      <c r="Z44" s="1" t="s">
        <v>21</v>
      </c>
      <c r="AA44" s="1" t="s">
        <v>21</v>
      </c>
      <c r="AB44" s="17">
        <v>43369</v>
      </c>
      <c r="AC44" s="18" t="s">
        <v>12</v>
      </c>
      <c r="AD44" s="125"/>
      <c r="AE44" s="125"/>
      <c r="AF44" s="51"/>
      <c r="AG44" s="10" t="s">
        <v>78</v>
      </c>
      <c r="AM44"/>
    </row>
    <row r="45" spans="2:39" ht="15" hidden="1" customHeight="1" x14ac:dyDescent="0.25">
      <c r="B45" s="1">
        <v>35</v>
      </c>
      <c r="C45" s="1">
        <v>0</v>
      </c>
      <c r="D45" s="1" t="s">
        <v>386</v>
      </c>
      <c r="E45" s="1" t="s">
        <v>294</v>
      </c>
      <c r="F45" s="1" t="s">
        <v>57</v>
      </c>
      <c r="G45" s="1"/>
      <c r="H45" s="1" t="s">
        <v>60</v>
      </c>
      <c r="I45" s="1"/>
      <c r="J45" s="1" t="s">
        <v>86</v>
      </c>
      <c r="K45" s="1" t="s">
        <v>12</v>
      </c>
      <c r="L45" s="1" t="s">
        <v>331</v>
      </c>
      <c r="M45" s="1">
        <v>0</v>
      </c>
      <c r="N45" s="1">
        <v>0</v>
      </c>
      <c r="O45" s="1">
        <v>0</v>
      </c>
      <c r="P45" s="1">
        <v>0</v>
      </c>
      <c r="Q45" s="1">
        <v>0</v>
      </c>
      <c r="R45" s="1">
        <v>0</v>
      </c>
      <c r="S45" s="1">
        <v>0</v>
      </c>
      <c r="T45" s="1">
        <v>0</v>
      </c>
      <c r="U45" s="1"/>
      <c r="V45" s="1"/>
      <c r="W45" s="1"/>
      <c r="X45" s="1"/>
      <c r="Y45" s="1"/>
      <c r="Z45" s="1" t="s">
        <v>32</v>
      </c>
      <c r="AA45" s="1"/>
      <c r="AB45" s="17"/>
      <c r="AC45" s="18"/>
      <c r="AD45" s="125"/>
      <c r="AE45" s="125"/>
      <c r="AF45" s="51"/>
      <c r="AG45" s="10" t="s">
        <v>80</v>
      </c>
      <c r="AM45"/>
    </row>
    <row r="46" spans="2:39" ht="15" hidden="1" customHeight="1" x14ac:dyDescent="0.25">
      <c r="B46" s="1">
        <v>36</v>
      </c>
      <c r="C46" s="1">
        <v>0</v>
      </c>
      <c r="D46" s="1" t="s">
        <v>386</v>
      </c>
      <c r="E46" s="1" t="s">
        <v>294</v>
      </c>
      <c r="F46" s="1" t="s">
        <v>57</v>
      </c>
      <c r="G46" s="1"/>
      <c r="H46" s="1" t="s">
        <v>69</v>
      </c>
      <c r="I46" s="1"/>
      <c r="J46" s="1" t="s">
        <v>86</v>
      </c>
      <c r="K46" s="1" t="s">
        <v>12</v>
      </c>
      <c r="L46" s="1" t="s">
        <v>331</v>
      </c>
      <c r="M46" s="1">
        <v>0</v>
      </c>
      <c r="N46" s="1">
        <v>0</v>
      </c>
      <c r="O46" s="1">
        <v>0</v>
      </c>
      <c r="P46" s="1">
        <v>0</v>
      </c>
      <c r="Q46" s="1">
        <v>0</v>
      </c>
      <c r="R46" s="1">
        <v>0</v>
      </c>
      <c r="S46" s="1">
        <v>0</v>
      </c>
      <c r="T46" s="1">
        <v>0</v>
      </c>
      <c r="U46" s="1"/>
      <c r="V46" s="1"/>
      <c r="W46" s="1"/>
      <c r="X46" s="1"/>
      <c r="Y46" s="1"/>
      <c r="Z46" s="1" t="s">
        <v>21</v>
      </c>
      <c r="AA46" s="1"/>
      <c r="AB46" s="17"/>
      <c r="AC46" s="18"/>
      <c r="AD46" s="125"/>
      <c r="AE46" s="125"/>
      <c r="AF46" s="51"/>
      <c r="AG46" s="10" t="s">
        <v>80</v>
      </c>
      <c r="AM46"/>
    </row>
    <row r="47" spans="2:39" ht="15" hidden="1" customHeight="1" x14ac:dyDescent="0.25">
      <c r="B47" s="1">
        <v>37</v>
      </c>
      <c r="C47" s="1">
        <v>0</v>
      </c>
      <c r="D47" s="1" t="s">
        <v>186</v>
      </c>
      <c r="E47" s="1" t="s">
        <v>186</v>
      </c>
      <c r="F47" s="1" t="s">
        <v>29</v>
      </c>
      <c r="G47" s="1"/>
      <c r="H47" s="1" t="s">
        <v>127</v>
      </c>
      <c r="I47" s="1"/>
      <c r="J47" s="1" t="s">
        <v>87</v>
      </c>
      <c r="K47" s="1" t="s">
        <v>13</v>
      </c>
      <c r="L47" s="1" t="s">
        <v>62</v>
      </c>
      <c r="M47" s="1">
        <v>1</v>
      </c>
      <c r="N47" s="1">
        <v>4</v>
      </c>
      <c r="O47" s="1">
        <v>4</v>
      </c>
      <c r="P47" s="1">
        <v>0</v>
      </c>
      <c r="Q47" s="1"/>
      <c r="R47" s="1"/>
      <c r="S47" s="1"/>
      <c r="T47" s="1"/>
      <c r="U47" s="1"/>
      <c r="V47" s="1"/>
      <c r="W47" s="1"/>
      <c r="X47" s="1"/>
      <c r="Y47" s="1"/>
      <c r="Z47" s="1" t="s">
        <v>21</v>
      </c>
      <c r="AA47" s="1"/>
      <c r="AB47" s="17">
        <v>43467</v>
      </c>
      <c r="AC47" s="18" t="s">
        <v>62</v>
      </c>
      <c r="AD47" s="125"/>
      <c r="AE47" s="125"/>
      <c r="AF47" s="51"/>
      <c r="AG47" s="10" t="s">
        <v>163</v>
      </c>
      <c r="AM47"/>
    </row>
    <row r="48" spans="2:39" ht="15" hidden="1" customHeight="1" x14ac:dyDescent="0.25">
      <c r="B48" s="1">
        <v>38</v>
      </c>
      <c r="C48" s="1">
        <v>0</v>
      </c>
      <c r="D48" s="1" t="s">
        <v>187</v>
      </c>
      <c r="E48" s="1" t="s">
        <v>347</v>
      </c>
      <c r="F48" s="1" t="s">
        <v>45</v>
      </c>
      <c r="G48" s="1" t="s">
        <v>488</v>
      </c>
      <c r="H48" s="1" t="s">
        <v>500</v>
      </c>
      <c r="I48" s="1"/>
      <c r="J48" s="1" t="s">
        <v>85</v>
      </c>
      <c r="K48" s="1" t="s">
        <v>312</v>
      </c>
      <c r="L48" s="1" t="s">
        <v>408</v>
      </c>
      <c r="M48" s="1">
        <v>3</v>
      </c>
      <c r="N48" s="1">
        <v>2</v>
      </c>
      <c r="O48" s="1">
        <v>1</v>
      </c>
      <c r="P48" s="1">
        <v>3</v>
      </c>
      <c r="Q48" s="1"/>
      <c r="R48" s="1"/>
      <c r="S48" s="1">
        <v>3</v>
      </c>
      <c r="T48" s="1"/>
      <c r="U48" s="1"/>
      <c r="V48" s="1"/>
      <c r="W48" s="1"/>
      <c r="X48" s="1"/>
      <c r="Y48" s="1"/>
      <c r="Z48" s="1" t="s">
        <v>21</v>
      </c>
      <c r="AA48" s="1" t="s">
        <v>21</v>
      </c>
      <c r="AB48" s="17" t="s">
        <v>531</v>
      </c>
      <c r="AC48" s="18" t="s">
        <v>410</v>
      </c>
      <c r="AD48" s="125"/>
      <c r="AE48" s="125"/>
      <c r="AF48" s="51"/>
      <c r="AG48" s="41" t="s">
        <v>1196</v>
      </c>
      <c r="AM48"/>
    </row>
    <row r="49" spans="2:39" ht="15" hidden="1" customHeight="1" x14ac:dyDescent="0.25">
      <c r="B49" s="1">
        <v>39</v>
      </c>
      <c r="C49" s="49">
        <v>0</v>
      </c>
      <c r="D49" s="49" t="s">
        <v>187</v>
      </c>
      <c r="E49" s="49" t="s">
        <v>347</v>
      </c>
      <c r="F49" s="49" t="s">
        <v>45</v>
      </c>
      <c r="G49" s="49" t="s">
        <v>140</v>
      </c>
      <c r="H49" s="49" t="s">
        <v>444</v>
      </c>
      <c r="I49" s="49"/>
      <c r="J49" s="49" t="s">
        <v>85</v>
      </c>
      <c r="K49" s="49" t="s">
        <v>312</v>
      </c>
      <c r="L49" s="49" t="s">
        <v>408</v>
      </c>
      <c r="M49" s="1">
        <v>3</v>
      </c>
      <c r="N49" s="1">
        <v>2</v>
      </c>
      <c r="O49" s="1">
        <v>1</v>
      </c>
      <c r="P49" s="1">
        <v>3</v>
      </c>
      <c r="Q49" s="1"/>
      <c r="R49" s="1"/>
      <c r="S49" s="1">
        <v>3</v>
      </c>
      <c r="T49" s="1"/>
      <c r="U49" s="1"/>
      <c r="V49" s="1"/>
      <c r="W49" s="1"/>
      <c r="X49" s="1"/>
      <c r="Y49" s="1"/>
      <c r="Z49" s="1" t="s">
        <v>21</v>
      </c>
      <c r="AA49" s="1" t="s">
        <v>21</v>
      </c>
      <c r="AB49" s="17" t="s">
        <v>411</v>
      </c>
      <c r="AC49" s="18" t="s">
        <v>410</v>
      </c>
      <c r="AD49" s="125"/>
      <c r="AE49" s="125"/>
      <c r="AF49" s="51"/>
      <c r="AG49" s="10" t="s">
        <v>1197</v>
      </c>
      <c r="AM49"/>
    </row>
    <row r="50" spans="2:39" ht="15" hidden="1" customHeight="1" x14ac:dyDescent="0.25">
      <c r="B50" s="1">
        <v>40</v>
      </c>
      <c r="C50" s="1">
        <v>0</v>
      </c>
      <c r="D50" s="1" t="s">
        <v>402</v>
      </c>
      <c r="E50" s="1" t="s">
        <v>403</v>
      </c>
      <c r="F50" s="1" t="s">
        <v>404</v>
      </c>
      <c r="G50" s="1" t="s">
        <v>303</v>
      </c>
      <c r="H50" s="1" t="s">
        <v>313</v>
      </c>
      <c r="I50" s="1"/>
      <c r="J50" s="1" t="s">
        <v>85</v>
      </c>
      <c r="K50" s="1" t="s">
        <v>312</v>
      </c>
      <c r="L50" s="1" t="s">
        <v>408</v>
      </c>
      <c r="M50" s="1">
        <v>3</v>
      </c>
      <c r="N50" s="1">
        <v>2</v>
      </c>
      <c r="O50" s="1">
        <v>1</v>
      </c>
      <c r="P50" s="1">
        <v>3</v>
      </c>
      <c r="Q50" s="1"/>
      <c r="R50" s="1"/>
      <c r="S50" s="1">
        <v>0</v>
      </c>
      <c r="T50" s="1"/>
      <c r="U50" s="1"/>
      <c r="V50" s="1"/>
      <c r="W50" s="1"/>
      <c r="X50" s="1"/>
      <c r="Y50" s="1"/>
      <c r="Z50" s="1" t="s">
        <v>21</v>
      </c>
      <c r="AA50" s="1" t="s">
        <v>21</v>
      </c>
      <c r="AB50" s="17">
        <v>44133</v>
      </c>
      <c r="AC50" s="18" t="s">
        <v>330</v>
      </c>
      <c r="AD50" s="125"/>
      <c r="AE50" s="125"/>
      <c r="AF50" s="51"/>
      <c r="AG50" s="10" t="s">
        <v>529</v>
      </c>
      <c r="AM50"/>
    </row>
    <row r="51" spans="2:39" ht="15" hidden="1" customHeight="1" x14ac:dyDescent="0.25">
      <c r="B51" s="1">
        <v>41</v>
      </c>
      <c r="C51" s="1">
        <v>0</v>
      </c>
      <c r="D51" s="1" t="s">
        <v>187</v>
      </c>
      <c r="E51" s="1" t="s">
        <v>347</v>
      </c>
      <c r="F51" s="1" t="s">
        <v>504</v>
      </c>
      <c r="G51" s="1"/>
      <c r="H51" s="1" t="s">
        <v>139</v>
      </c>
      <c r="I51" s="1"/>
      <c r="J51" s="1" t="s">
        <v>87</v>
      </c>
      <c r="K51" s="1" t="s">
        <v>312</v>
      </c>
      <c r="L51" s="1" t="s">
        <v>408</v>
      </c>
      <c r="M51" s="1">
        <v>2</v>
      </c>
      <c r="N51" s="1">
        <v>1</v>
      </c>
      <c r="O51" s="1">
        <v>1</v>
      </c>
      <c r="P51" s="1">
        <v>2</v>
      </c>
      <c r="Q51" s="1"/>
      <c r="R51" s="1"/>
      <c r="S51" s="1">
        <v>3</v>
      </c>
      <c r="T51" s="1"/>
      <c r="U51" s="1"/>
      <c r="V51" s="1"/>
      <c r="W51" s="1"/>
      <c r="X51" s="1"/>
      <c r="Y51" s="1"/>
      <c r="Z51" s="1" t="s">
        <v>21</v>
      </c>
      <c r="AA51" s="1" t="s">
        <v>21</v>
      </c>
      <c r="AB51" s="17" t="s">
        <v>505</v>
      </c>
      <c r="AC51" s="18" t="s">
        <v>410</v>
      </c>
      <c r="AD51" s="125"/>
      <c r="AE51" s="125"/>
      <c r="AF51" s="51"/>
      <c r="AG51" s="10" t="s">
        <v>1198</v>
      </c>
      <c r="AM51"/>
    </row>
    <row r="52" spans="2:39" ht="15" hidden="1" customHeight="1" x14ac:dyDescent="0.25">
      <c r="B52" s="1">
        <v>42</v>
      </c>
      <c r="C52" s="1">
        <v>0</v>
      </c>
      <c r="D52" s="1" t="s">
        <v>185</v>
      </c>
      <c r="E52" s="1" t="s">
        <v>196</v>
      </c>
      <c r="F52" s="1" t="s">
        <v>43</v>
      </c>
      <c r="G52" s="1"/>
      <c r="H52" s="1" t="s">
        <v>198</v>
      </c>
      <c r="I52" s="1"/>
      <c r="J52" s="1" t="s">
        <v>86</v>
      </c>
      <c r="K52" s="1" t="s">
        <v>11</v>
      </c>
      <c r="L52" s="1" t="s">
        <v>62</v>
      </c>
      <c r="M52" s="1">
        <v>4</v>
      </c>
      <c r="N52" s="1">
        <v>4</v>
      </c>
      <c r="O52" s="1">
        <v>4</v>
      </c>
      <c r="P52" s="1">
        <v>0</v>
      </c>
      <c r="Q52" s="1"/>
      <c r="R52" s="1"/>
      <c r="S52" s="1"/>
      <c r="T52" s="1"/>
      <c r="U52" s="1"/>
      <c r="V52" s="1"/>
      <c r="W52" s="1"/>
      <c r="X52" s="1"/>
      <c r="Y52" s="1"/>
      <c r="Z52" s="1" t="s">
        <v>32</v>
      </c>
      <c r="AA52" s="1"/>
      <c r="AB52" s="17"/>
      <c r="AC52" s="18"/>
      <c r="AD52" s="125"/>
      <c r="AE52" s="125"/>
      <c r="AF52" s="51"/>
      <c r="AG52" s="10"/>
      <c r="AM52"/>
    </row>
    <row r="53" spans="2:39" ht="15" hidden="1" customHeight="1" x14ac:dyDescent="0.25">
      <c r="B53" s="1">
        <v>43</v>
      </c>
      <c r="C53" s="1">
        <v>0</v>
      </c>
      <c r="D53" s="1" t="s">
        <v>185</v>
      </c>
      <c r="E53" s="1" t="s">
        <v>196</v>
      </c>
      <c r="F53" s="1" t="s">
        <v>43</v>
      </c>
      <c r="G53" s="1"/>
      <c r="H53" s="1" t="s">
        <v>35</v>
      </c>
      <c r="I53" s="1"/>
      <c r="J53" s="1" t="s">
        <v>85</v>
      </c>
      <c r="K53" s="1" t="s">
        <v>11</v>
      </c>
      <c r="L53" s="1" t="s">
        <v>62</v>
      </c>
      <c r="M53" s="1">
        <v>4</v>
      </c>
      <c r="N53" s="1">
        <v>4</v>
      </c>
      <c r="O53" s="1">
        <v>1</v>
      </c>
      <c r="P53" s="1">
        <v>0</v>
      </c>
      <c r="Q53" s="1"/>
      <c r="R53" s="1"/>
      <c r="S53" s="1"/>
      <c r="T53" s="1"/>
      <c r="U53" s="1"/>
      <c r="V53" s="1"/>
      <c r="W53" s="1"/>
      <c r="X53" s="1"/>
      <c r="Y53" s="1"/>
      <c r="Z53" s="1" t="s">
        <v>32</v>
      </c>
      <c r="AA53" s="1"/>
      <c r="AB53" s="17"/>
      <c r="AC53" s="18"/>
      <c r="AD53" s="125"/>
      <c r="AE53" s="125"/>
      <c r="AF53" s="51"/>
      <c r="AG53" s="10"/>
      <c r="AM53"/>
    </row>
    <row r="54" spans="2:39" ht="15" hidden="1" customHeight="1" x14ac:dyDescent="0.25">
      <c r="B54" s="1">
        <v>44</v>
      </c>
      <c r="C54" s="1">
        <v>0</v>
      </c>
      <c r="D54" s="1" t="s">
        <v>220</v>
      </c>
      <c r="E54" s="1" t="s">
        <v>196</v>
      </c>
      <c r="F54" s="1" t="s">
        <v>113</v>
      </c>
      <c r="G54" s="1"/>
      <c r="H54" s="1" t="s">
        <v>192</v>
      </c>
      <c r="I54" s="1"/>
      <c r="J54" s="1" t="s">
        <v>85</v>
      </c>
      <c r="K54" s="1" t="s">
        <v>486</v>
      </c>
      <c r="L54" s="1" t="s">
        <v>62</v>
      </c>
      <c r="M54" s="1">
        <v>4</v>
      </c>
      <c r="N54" s="1">
        <v>4</v>
      </c>
      <c r="O54" s="1">
        <v>4</v>
      </c>
      <c r="P54" s="1">
        <v>0</v>
      </c>
      <c r="Q54" s="1"/>
      <c r="R54" s="1"/>
      <c r="S54" s="1"/>
      <c r="T54" s="1"/>
      <c r="U54" s="1"/>
      <c r="V54" s="1"/>
      <c r="W54" s="1"/>
      <c r="X54" s="1"/>
      <c r="Y54" s="1"/>
      <c r="Z54" s="1" t="s">
        <v>21</v>
      </c>
      <c r="AA54" s="1" t="s">
        <v>21</v>
      </c>
      <c r="AB54" s="17"/>
      <c r="AC54" s="18"/>
      <c r="AD54" s="125"/>
      <c r="AE54" s="125"/>
      <c r="AF54" s="51"/>
      <c r="AG54" s="10"/>
      <c r="AM54"/>
    </row>
    <row r="55" spans="2:39" ht="15" hidden="1" customHeight="1" x14ac:dyDescent="0.25">
      <c r="B55" s="1">
        <v>45</v>
      </c>
      <c r="C55" s="1">
        <v>0</v>
      </c>
      <c r="D55" s="1" t="s">
        <v>185</v>
      </c>
      <c r="E55" s="1" t="s">
        <v>196</v>
      </c>
      <c r="F55" s="1" t="s">
        <v>43</v>
      </c>
      <c r="G55" s="1"/>
      <c r="H55" s="1" t="s">
        <v>40</v>
      </c>
      <c r="I55" s="1"/>
      <c r="J55" s="1" t="s">
        <v>85</v>
      </c>
      <c r="K55" s="1" t="s">
        <v>11</v>
      </c>
      <c r="L55" s="1" t="s">
        <v>62</v>
      </c>
      <c r="M55" s="1">
        <v>4</v>
      </c>
      <c r="N55" s="1">
        <v>4</v>
      </c>
      <c r="O55" s="1">
        <v>1</v>
      </c>
      <c r="P55" s="1">
        <v>0</v>
      </c>
      <c r="Q55" s="1"/>
      <c r="R55" s="1"/>
      <c r="S55" s="1"/>
      <c r="T55" s="1"/>
      <c r="U55" s="1"/>
      <c r="V55" s="1"/>
      <c r="W55" s="1"/>
      <c r="X55" s="1"/>
      <c r="Y55" s="1"/>
      <c r="Z55" s="1" t="s">
        <v>32</v>
      </c>
      <c r="AA55" s="1"/>
      <c r="AB55" s="17"/>
      <c r="AC55" s="18"/>
      <c r="AD55" s="125"/>
      <c r="AE55" s="125"/>
      <c r="AF55" s="51"/>
      <c r="AG55" s="10"/>
      <c r="AM55"/>
    </row>
    <row r="56" spans="2:39" ht="15" hidden="1" customHeight="1" x14ac:dyDescent="0.25">
      <c r="B56" s="1">
        <v>46</v>
      </c>
      <c r="C56" s="1">
        <v>0</v>
      </c>
      <c r="D56" s="1" t="s">
        <v>212</v>
      </c>
      <c r="E56" s="1" t="s">
        <v>91</v>
      </c>
      <c r="F56" s="1" t="s">
        <v>92</v>
      </c>
      <c r="G56" s="1" t="s">
        <v>92</v>
      </c>
      <c r="H56" s="1" t="s">
        <v>93</v>
      </c>
      <c r="I56" s="1"/>
      <c r="J56" s="1" t="s">
        <v>85</v>
      </c>
      <c r="K56" s="1" t="s">
        <v>452</v>
      </c>
      <c r="L56" s="1" t="s">
        <v>452</v>
      </c>
      <c r="M56" s="1">
        <v>0</v>
      </c>
      <c r="N56" s="1">
        <v>0</v>
      </c>
      <c r="O56" s="1">
        <v>0</v>
      </c>
      <c r="P56" s="1">
        <v>2</v>
      </c>
      <c r="Q56" s="1"/>
      <c r="R56" s="1"/>
      <c r="S56" s="1"/>
      <c r="T56" s="1">
        <v>4</v>
      </c>
      <c r="U56" s="1"/>
      <c r="V56" s="1"/>
      <c r="W56" s="1"/>
      <c r="X56" s="1"/>
      <c r="Y56" s="1"/>
      <c r="Z56" s="1" t="s">
        <v>21</v>
      </c>
      <c r="AA56" s="1" t="s">
        <v>21</v>
      </c>
      <c r="AB56" s="17">
        <v>44967</v>
      </c>
      <c r="AC56" s="18" t="s">
        <v>417</v>
      </c>
      <c r="AD56" s="126" t="s">
        <v>1117</v>
      </c>
      <c r="AE56" s="126" t="s">
        <v>1118</v>
      </c>
      <c r="AF56" s="51">
        <v>0.9</v>
      </c>
      <c r="AG56" s="10" t="s">
        <v>1183</v>
      </c>
      <c r="AM56"/>
    </row>
    <row r="57" spans="2:39" ht="15" hidden="1" customHeight="1" x14ac:dyDescent="0.25">
      <c r="B57" s="1">
        <v>47</v>
      </c>
      <c r="C57" s="1">
        <v>0</v>
      </c>
      <c r="D57" s="1" t="s">
        <v>186</v>
      </c>
      <c r="E57" s="1" t="s">
        <v>186</v>
      </c>
      <c r="F57" s="1" t="s">
        <v>29</v>
      </c>
      <c r="G57" s="1"/>
      <c r="H57" s="1" t="s">
        <v>123</v>
      </c>
      <c r="I57" s="1"/>
      <c r="J57" s="1" t="s">
        <v>85</v>
      </c>
      <c r="K57" s="1" t="s">
        <v>13</v>
      </c>
      <c r="L57" s="1" t="s">
        <v>62</v>
      </c>
      <c r="M57" s="1">
        <v>1</v>
      </c>
      <c r="N57" s="1">
        <v>3</v>
      </c>
      <c r="O57" s="1">
        <v>4</v>
      </c>
      <c r="P57" s="1">
        <v>0</v>
      </c>
      <c r="Q57" s="1"/>
      <c r="R57" s="1"/>
      <c r="S57" s="1"/>
      <c r="T57" s="1"/>
      <c r="U57" s="1"/>
      <c r="V57" s="1"/>
      <c r="W57" s="1"/>
      <c r="X57" s="1"/>
      <c r="Y57" s="1"/>
      <c r="Z57" s="1" t="s">
        <v>21</v>
      </c>
      <c r="AA57" s="1"/>
      <c r="AB57" s="17">
        <v>43467</v>
      </c>
      <c r="AC57" s="18" t="s">
        <v>62</v>
      </c>
      <c r="AD57" s="125"/>
      <c r="AE57" s="125"/>
      <c r="AF57" s="51"/>
      <c r="AG57" s="10" t="s">
        <v>163</v>
      </c>
      <c r="AM57"/>
    </row>
    <row r="58" spans="2:39" ht="15" hidden="1" customHeight="1" x14ac:dyDescent="0.25">
      <c r="B58" s="1">
        <v>48</v>
      </c>
      <c r="C58" s="1">
        <v>0</v>
      </c>
      <c r="D58" s="1" t="s">
        <v>186</v>
      </c>
      <c r="E58" s="1" t="s">
        <v>186</v>
      </c>
      <c r="F58" s="1" t="s">
        <v>29</v>
      </c>
      <c r="G58" s="1"/>
      <c r="H58" s="1" t="s">
        <v>126</v>
      </c>
      <c r="I58" s="1"/>
      <c r="J58" s="1" t="s">
        <v>85</v>
      </c>
      <c r="K58" s="1" t="s">
        <v>13</v>
      </c>
      <c r="L58" s="1" t="s">
        <v>62</v>
      </c>
      <c r="M58" s="1">
        <v>1</v>
      </c>
      <c r="N58" s="1">
        <v>3</v>
      </c>
      <c r="O58" s="1">
        <v>4</v>
      </c>
      <c r="P58" s="1">
        <v>0</v>
      </c>
      <c r="Q58" s="1"/>
      <c r="R58" s="1"/>
      <c r="S58" s="1"/>
      <c r="T58" s="1"/>
      <c r="U58" s="1"/>
      <c r="V58" s="1"/>
      <c r="W58" s="1"/>
      <c r="X58" s="1"/>
      <c r="Y58" s="1"/>
      <c r="Z58" s="1" t="s">
        <v>21</v>
      </c>
      <c r="AA58" s="1"/>
      <c r="AB58" s="17">
        <v>43467</v>
      </c>
      <c r="AC58" s="18" t="s">
        <v>62</v>
      </c>
      <c r="AD58" s="125"/>
      <c r="AE58" s="125"/>
      <c r="AF58" s="51"/>
      <c r="AG58" s="10" t="s">
        <v>163</v>
      </c>
      <c r="AM58"/>
    </row>
    <row r="59" spans="2:39" ht="15" hidden="1" customHeight="1" x14ac:dyDescent="0.25">
      <c r="B59" s="1">
        <v>49</v>
      </c>
      <c r="C59" s="1">
        <v>0</v>
      </c>
      <c r="D59" s="1" t="s">
        <v>186</v>
      </c>
      <c r="E59" s="1" t="s">
        <v>186</v>
      </c>
      <c r="F59" s="1" t="s">
        <v>29</v>
      </c>
      <c r="G59" s="1"/>
      <c r="H59" s="1" t="s">
        <v>125</v>
      </c>
      <c r="I59" s="1"/>
      <c r="J59" s="1" t="s">
        <v>85</v>
      </c>
      <c r="K59" s="1" t="s">
        <v>13</v>
      </c>
      <c r="L59" s="1" t="s">
        <v>62</v>
      </c>
      <c r="M59" s="1">
        <v>1</v>
      </c>
      <c r="N59" s="1">
        <v>3</v>
      </c>
      <c r="O59" s="1">
        <v>4</v>
      </c>
      <c r="P59" s="1">
        <v>0</v>
      </c>
      <c r="Q59" s="1"/>
      <c r="R59" s="1"/>
      <c r="S59" s="1"/>
      <c r="T59" s="1"/>
      <c r="U59" s="1"/>
      <c r="V59" s="1"/>
      <c r="W59" s="1"/>
      <c r="X59" s="1"/>
      <c r="Y59" s="1"/>
      <c r="Z59" s="1" t="s">
        <v>21</v>
      </c>
      <c r="AA59" s="1"/>
      <c r="AB59" s="17">
        <v>43467</v>
      </c>
      <c r="AC59" s="18" t="s">
        <v>62</v>
      </c>
      <c r="AD59" s="125"/>
      <c r="AE59" s="125"/>
      <c r="AF59" s="51"/>
      <c r="AG59" s="10" t="s">
        <v>163</v>
      </c>
      <c r="AM59"/>
    </row>
    <row r="60" spans="2:39" ht="15" hidden="1" customHeight="1" x14ac:dyDescent="0.25">
      <c r="B60" s="1">
        <v>50</v>
      </c>
      <c r="C60" s="1">
        <v>0</v>
      </c>
      <c r="D60" s="1" t="s">
        <v>186</v>
      </c>
      <c r="E60" s="1" t="s">
        <v>186</v>
      </c>
      <c r="F60" s="1" t="s">
        <v>29</v>
      </c>
      <c r="G60" s="1"/>
      <c r="H60" s="1" t="s">
        <v>153</v>
      </c>
      <c r="I60" s="1"/>
      <c r="J60" s="1" t="s">
        <v>87</v>
      </c>
      <c r="K60" s="1" t="s">
        <v>13</v>
      </c>
      <c r="L60" s="1" t="s">
        <v>62</v>
      </c>
      <c r="M60" s="1">
        <v>1</v>
      </c>
      <c r="N60" s="1">
        <v>1</v>
      </c>
      <c r="O60" s="1">
        <v>3</v>
      </c>
      <c r="P60" s="1">
        <v>0</v>
      </c>
      <c r="Q60" s="1"/>
      <c r="R60" s="1"/>
      <c r="S60" s="1"/>
      <c r="T60" s="1"/>
      <c r="U60" s="1"/>
      <c r="V60" s="1"/>
      <c r="W60" s="1"/>
      <c r="X60" s="1"/>
      <c r="Y60" s="1"/>
      <c r="Z60" s="1" t="s">
        <v>21</v>
      </c>
      <c r="AA60" s="1"/>
      <c r="AB60" s="17"/>
      <c r="AC60" s="18"/>
      <c r="AD60" s="125"/>
      <c r="AE60" s="125"/>
      <c r="AF60" s="51"/>
      <c r="AG60" s="10" t="s">
        <v>163</v>
      </c>
      <c r="AM60"/>
    </row>
    <row r="61" spans="2:39" ht="15" hidden="1" customHeight="1" x14ac:dyDescent="0.25">
      <c r="B61" s="1">
        <v>51</v>
      </c>
      <c r="C61" s="1">
        <v>0</v>
      </c>
      <c r="D61" s="1" t="s">
        <v>187</v>
      </c>
      <c r="E61" s="1" t="s">
        <v>347</v>
      </c>
      <c r="F61" s="1" t="s">
        <v>45</v>
      </c>
      <c r="G61" s="1" t="s">
        <v>295</v>
      </c>
      <c r="H61" s="1" t="s">
        <v>443</v>
      </c>
      <c r="I61" s="1"/>
      <c r="J61" s="1" t="s">
        <v>85</v>
      </c>
      <c r="K61" s="1" t="s">
        <v>312</v>
      </c>
      <c r="L61" s="1" t="s">
        <v>408</v>
      </c>
      <c r="M61" s="1">
        <v>1</v>
      </c>
      <c r="N61" s="1">
        <v>1</v>
      </c>
      <c r="O61" s="1">
        <v>0</v>
      </c>
      <c r="P61" s="1">
        <v>3</v>
      </c>
      <c r="Q61" s="1"/>
      <c r="R61" s="1"/>
      <c r="S61" s="1">
        <v>3</v>
      </c>
      <c r="T61" s="1"/>
      <c r="U61" s="1"/>
      <c r="V61" s="1"/>
      <c r="W61" s="1"/>
      <c r="X61" s="1"/>
      <c r="Y61" s="1"/>
      <c r="Z61" s="1" t="s">
        <v>21</v>
      </c>
      <c r="AA61" s="1" t="s">
        <v>21</v>
      </c>
      <c r="AB61" s="17" t="s">
        <v>409</v>
      </c>
      <c r="AC61" s="18" t="s">
        <v>410</v>
      </c>
      <c r="AD61" s="125"/>
      <c r="AE61" s="125"/>
      <c r="AF61" s="51"/>
      <c r="AG61" s="10" t="s">
        <v>414</v>
      </c>
      <c r="AM61"/>
    </row>
    <row r="62" spans="2:39" ht="15" hidden="1" customHeight="1" x14ac:dyDescent="0.25">
      <c r="B62" s="1">
        <v>52</v>
      </c>
      <c r="C62" s="1">
        <v>0</v>
      </c>
      <c r="D62" s="1" t="s">
        <v>186</v>
      </c>
      <c r="E62" s="1" t="s">
        <v>186</v>
      </c>
      <c r="F62" s="1" t="s">
        <v>109</v>
      </c>
      <c r="G62" s="1"/>
      <c r="H62" s="1" t="s">
        <v>136</v>
      </c>
      <c r="I62" s="1"/>
      <c r="J62" s="1" t="s">
        <v>85</v>
      </c>
      <c r="K62" s="1" t="s">
        <v>408</v>
      </c>
      <c r="L62" s="1" t="s">
        <v>340</v>
      </c>
      <c r="M62" s="1">
        <v>0</v>
      </c>
      <c r="N62" s="1">
        <v>4</v>
      </c>
      <c r="O62" s="1">
        <v>3</v>
      </c>
      <c r="P62" s="1">
        <v>0</v>
      </c>
      <c r="Q62" s="1"/>
      <c r="R62" s="1"/>
      <c r="S62" s="1">
        <v>4</v>
      </c>
      <c r="T62" s="1">
        <v>0</v>
      </c>
      <c r="U62" s="1"/>
      <c r="V62" s="1"/>
      <c r="W62" s="1"/>
      <c r="X62" s="1"/>
      <c r="Y62" s="1"/>
      <c r="Z62" s="1" t="s">
        <v>21</v>
      </c>
      <c r="AA62" s="1" t="s">
        <v>21</v>
      </c>
      <c r="AB62" s="17">
        <v>44162</v>
      </c>
      <c r="AC62" s="18" t="s">
        <v>330</v>
      </c>
      <c r="AD62" s="125"/>
      <c r="AE62" s="125"/>
      <c r="AF62" s="51"/>
      <c r="AG62" s="10"/>
      <c r="AM62"/>
    </row>
    <row r="63" spans="2:39" ht="15" hidden="1" customHeight="1" x14ac:dyDescent="0.25">
      <c r="B63" s="1">
        <v>53</v>
      </c>
      <c r="C63" s="1">
        <v>0</v>
      </c>
      <c r="D63" s="1" t="s">
        <v>186</v>
      </c>
      <c r="E63" s="1" t="s">
        <v>186</v>
      </c>
      <c r="F63" s="1" t="s">
        <v>110</v>
      </c>
      <c r="G63" s="1"/>
      <c r="H63" s="1" t="s">
        <v>137</v>
      </c>
      <c r="I63" s="1"/>
      <c r="J63" s="1" t="s">
        <v>85</v>
      </c>
      <c r="K63" s="1" t="s">
        <v>13</v>
      </c>
      <c r="L63" s="1" t="s">
        <v>62</v>
      </c>
      <c r="M63" s="1">
        <v>0</v>
      </c>
      <c r="N63" s="1">
        <v>4</v>
      </c>
      <c r="O63" s="1">
        <v>4</v>
      </c>
      <c r="P63" s="1">
        <v>0</v>
      </c>
      <c r="Q63" s="1"/>
      <c r="R63" s="1"/>
      <c r="S63" s="1"/>
      <c r="T63" s="1"/>
      <c r="U63" s="1"/>
      <c r="V63" s="1"/>
      <c r="W63" s="1"/>
      <c r="X63" s="1"/>
      <c r="Y63" s="1"/>
      <c r="Z63" s="1" t="s">
        <v>21</v>
      </c>
      <c r="AA63" s="1" t="s">
        <v>95</v>
      </c>
      <c r="AB63" s="17"/>
      <c r="AC63" s="18"/>
      <c r="AD63" s="125"/>
      <c r="AE63" s="125"/>
      <c r="AF63" s="51"/>
      <c r="AG63" s="10" t="s">
        <v>308</v>
      </c>
      <c r="AM63"/>
    </row>
    <row r="64" spans="2:39" ht="15" hidden="1" customHeight="1" x14ac:dyDescent="0.25">
      <c r="B64" s="1">
        <v>54</v>
      </c>
      <c r="C64" s="1">
        <v>0</v>
      </c>
      <c r="D64" s="1" t="s">
        <v>228</v>
      </c>
      <c r="E64" s="1" t="s">
        <v>187</v>
      </c>
      <c r="F64" s="1" t="s">
        <v>43</v>
      </c>
      <c r="G64" s="1"/>
      <c r="H64" s="1" t="s">
        <v>141</v>
      </c>
      <c r="I64" s="1"/>
      <c r="J64" s="1" t="s">
        <v>85</v>
      </c>
      <c r="K64" s="1" t="s">
        <v>12</v>
      </c>
      <c r="L64" s="1" t="s">
        <v>11</v>
      </c>
      <c r="M64" s="1">
        <v>4</v>
      </c>
      <c r="N64" s="1">
        <v>4</v>
      </c>
      <c r="O64" s="1">
        <v>0</v>
      </c>
      <c r="P64" s="1">
        <v>0</v>
      </c>
      <c r="Q64" s="1">
        <v>0</v>
      </c>
      <c r="R64" s="1">
        <v>0</v>
      </c>
      <c r="S64" s="1">
        <v>0</v>
      </c>
      <c r="T64" s="1">
        <v>0</v>
      </c>
      <c r="U64" s="1"/>
      <c r="V64" s="1"/>
      <c r="W64" s="1"/>
      <c r="X64" s="1"/>
      <c r="Y64" s="1"/>
      <c r="Z64" s="1" t="s">
        <v>21</v>
      </c>
      <c r="AA64" s="1"/>
      <c r="AB64" s="17"/>
      <c r="AC64" s="18"/>
      <c r="AD64" s="125"/>
      <c r="AE64" s="125"/>
      <c r="AF64" s="51"/>
      <c r="AG64" s="10"/>
      <c r="AM64"/>
    </row>
    <row r="65" spans="2:39" ht="15" hidden="1" customHeight="1" x14ac:dyDescent="0.25">
      <c r="B65" s="1">
        <v>55</v>
      </c>
      <c r="C65" s="1">
        <v>0</v>
      </c>
      <c r="D65" s="1" t="s">
        <v>228</v>
      </c>
      <c r="E65" s="1" t="s">
        <v>187</v>
      </c>
      <c r="F65" s="1" t="s">
        <v>43</v>
      </c>
      <c r="G65" s="1"/>
      <c r="H65" s="1" t="s">
        <v>142</v>
      </c>
      <c r="I65" s="1"/>
      <c r="J65" s="1" t="s">
        <v>85</v>
      </c>
      <c r="K65" s="1" t="s">
        <v>12</v>
      </c>
      <c r="L65" s="1" t="s">
        <v>11</v>
      </c>
      <c r="M65" s="1">
        <v>4</v>
      </c>
      <c r="N65" s="1">
        <v>4</v>
      </c>
      <c r="O65" s="1">
        <v>0</v>
      </c>
      <c r="P65" s="1">
        <v>0</v>
      </c>
      <c r="Q65" s="1">
        <v>0</v>
      </c>
      <c r="R65" s="1">
        <v>0</v>
      </c>
      <c r="S65" s="1">
        <v>0</v>
      </c>
      <c r="T65" s="1">
        <v>0</v>
      </c>
      <c r="U65" s="1"/>
      <c r="V65" s="1"/>
      <c r="W65" s="1"/>
      <c r="X65" s="1"/>
      <c r="Y65" s="1"/>
      <c r="Z65" s="1" t="s">
        <v>21</v>
      </c>
      <c r="AA65" s="1"/>
      <c r="AB65" s="17"/>
      <c r="AC65" s="18"/>
      <c r="AD65" s="125"/>
      <c r="AE65" s="125"/>
      <c r="AF65" s="51"/>
      <c r="AG65" s="10"/>
      <c r="AM65"/>
    </row>
    <row r="66" spans="2:39" ht="15" hidden="1" customHeight="1" x14ac:dyDescent="0.25">
      <c r="B66" s="1">
        <v>56</v>
      </c>
      <c r="C66" s="1">
        <v>0</v>
      </c>
      <c r="D66" s="1" t="s">
        <v>220</v>
      </c>
      <c r="E66" s="1" t="s">
        <v>30</v>
      </c>
      <c r="F66" s="1" t="s">
        <v>43</v>
      </c>
      <c r="G66" s="1"/>
      <c r="H66" s="1" t="s">
        <v>199</v>
      </c>
      <c r="I66" s="1"/>
      <c r="J66" s="1" t="s">
        <v>85</v>
      </c>
      <c r="K66" s="1" t="s">
        <v>11</v>
      </c>
      <c r="L66" s="1" t="s">
        <v>62</v>
      </c>
      <c r="M66" s="1">
        <v>4</v>
      </c>
      <c r="N66" s="1">
        <v>4</v>
      </c>
      <c r="O66" s="1">
        <v>2</v>
      </c>
      <c r="P66" s="1">
        <v>0</v>
      </c>
      <c r="Q66" s="1"/>
      <c r="R66" s="1"/>
      <c r="S66" s="1"/>
      <c r="T66" s="1"/>
      <c r="U66" s="1"/>
      <c r="V66" s="1"/>
      <c r="W66" s="1"/>
      <c r="X66" s="1"/>
      <c r="Y66" s="1"/>
      <c r="Z66" s="1" t="s">
        <v>21</v>
      </c>
      <c r="AA66" s="1" t="s">
        <v>21</v>
      </c>
      <c r="AB66" s="17"/>
      <c r="AC66" s="18"/>
      <c r="AD66" s="125"/>
      <c r="AE66" s="125"/>
      <c r="AF66" s="51"/>
      <c r="AG66" s="10"/>
      <c r="AM66"/>
    </row>
    <row r="67" spans="2:39" ht="15" hidden="1" customHeight="1" x14ac:dyDescent="0.25">
      <c r="B67" s="1">
        <v>57</v>
      </c>
      <c r="C67" s="1">
        <v>0</v>
      </c>
      <c r="D67" s="1" t="s">
        <v>220</v>
      </c>
      <c r="E67" s="1" t="s">
        <v>30</v>
      </c>
      <c r="F67" s="1" t="s">
        <v>43</v>
      </c>
      <c r="G67" s="1"/>
      <c r="H67" s="1" t="s">
        <v>111</v>
      </c>
      <c r="I67" s="1"/>
      <c r="J67" s="1" t="s">
        <v>85</v>
      </c>
      <c r="K67" s="1" t="s">
        <v>11</v>
      </c>
      <c r="L67" s="1" t="s">
        <v>62</v>
      </c>
      <c r="M67" s="1">
        <v>4</v>
      </c>
      <c r="N67" s="1">
        <v>4</v>
      </c>
      <c r="O67" s="1">
        <v>0</v>
      </c>
      <c r="P67" s="1">
        <v>0</v>
      </c>
      <c r="Q67" s="1"/>
      <c r="R67" s="1"/>
      <c r="S67" s="1"/>
      <c r="T67" s="1"/>
      <c r="U67" s="1"/>
      <c r="V67" s="1"/>
      <c r="W67" s="1"/>
      <c r="X67" s="1"/>
      <c r="Y67" s="1"/>
      <c r="Z67" s="1" t="s">
        <v>32</v>
      </c>
      <c r="AA67" s="1"/>
      <c r="AB67" s="17"/>
      <c r="AC67" s="18"/>
      <c r="AD67" s="125"/>
      <c r="AE67" s="125"/>
      <c r="AF67" s="51"/>
      <c r="AG67" s="10"/>
      <c r="AM67"/>
    </row>
    <row r="68" spans="2:39" ht="15" hidden="1" customHeight="1" x14ac:dyDescent="0.25">
      <c r="B68" s="1">
        <v>58</v>
      </c>
      <c r="C68" s="1">
        <v>0</v>
      </c>
      <c r="D68" s="1" t="s">
        <v>220</v>
      </c>
      <c r="E68" s="1" t="s">
        <v>196</v>
      </c>
      <c r="F68" s="1" t="s">
        <v>43</v>
      </c>
      <c r="G68" s="1"/>
      <c r="H68" s="1" t="s">
        <v>112</v>
      </c>
      <c r="I68" s="1"/>
      <c r="J68" s="1" t="s">
        <v>85</v>
      </c>
      <c r="K68" s="1" t="s">
        <v>11</v>
      </c>
      <c r="L68" s="1" t="s">
        <v>62</v>
      </c>
      <c r="M68" s="1">
        <v>4</v>
      </c>
      <c r="N68" s="1">
        <v>4</v>
      </c>
      <c r="O68" s="1">
        <v>0</v>
      </c>
      <c r="P68" s="1">
        <v>0</v>
      </c>
      <c r="Q68" s="1"/>
      <c r="R68" s="1"/>
      <c r="S68" s="1"/>
      <c r="T68" s="1"/>
      <c r="U68" s="1"/>
      <c r="V68" s="1"/>
      <c r="W68" s="1"/>
      <c r="X68" s="1"/>
      <c r="Y68" s="1"/>
      <c r="Z68" s="1" t="s">
        <v>32</v>
      </c>
      <c r="AA68" s="1"/>
      <c r="AB68" s="17"/>
      <c r="AC68" s="18"/>
      <c r="AD68" s="125"/>
      <c r="AE68" s="125"/>
      <c r="AF68" s="51"/>
      <c r="AG68" s="10"/>
      <c r="AM68"/>
    </row>
    <row r="69" spans="2:39" ht="15" hidden="1" customHeight="1" x14ac:dyDescent="0.25">
      <c r="B69" s="1">
        <v>59</v>
      </c>
      <c r="C69" s="1">
        <v>0</v>
      </c>
      <c r="D69" s="1" t="s">
        <v>185</v>
      </c>
      <c r="E69" s="1" t="s">
        <v>196</v>
      </c>
      <c r="F69" s="1" t="s">
        <v>113</v>
      </c>
      <c r="G69" s="1"/>
      <c r="H69" s="1" t="s">
        <v>114</v>
      </c>
      <c r="I69" s="1"/>
      <c r="J69" s="1" t="s">
        <v>86</v>
      </c>
      <c r="K69" s="1" t="s">
        <v>62</v>
      </c>
      <c r="L69" s="1" t="s">
        <v>11</v>
      </c>
      <c r="M69" s="1">
        <v>4</v>
      </c>
      <c r="N69" s="1">
        <v>4</v>
      </c>
      <c r="O69" s="1">
        <v>3</v>
      </c>
      <c r="P69" s="1">
        <v>0</v>
      </c>
      <c r="Q69" s="1"/>
      <c r="R69" s="1"/>
      <c r="S69" s="1"/>
      <c r="T69" s="1"/>
      <c r="U69" s="1"/>
      <c r="V69" s="1"/>
      <c r="W69" s="1"/>
      <c r="X69" s="1"/>
      <c r="Y69" s="1"/>
      <c r="Z69" s="1" t="s">
        <v>21</v>
      </c>
      <c r="AA69" s="1" t="s">
        <v>21</v>
      </c>
      <c r="AB69" s="17"/>
      <c r="AC69" s="18"/>
      <c r="AD69" s="125"/>
      <c r="AE69" s="125"/>
      <c r="AF69" s="51"/>
      <c r="AG69" s="10"/>
      <c r="AM69"/>
    </row>
    <row r="70" spans="2:39" ht="15" hidden="1" customHeight="1" x14ac:dyDescent="0.25">
      <c r="B70" s="1">
        <v>60</v>
      </c>
      <c r="C70" s="1">
        <v>0</v>
      </c>
      <c r="D70" s="1" t="s">
        <v>220</v>
      </c>
      <c r="E70" s="1" t="s">
        <v>191</v>
      </c>
      <c r="F70" s="1" t="s">
        <v>113</v>
      </c>
      <c r="G70" s="1"/>
      <c r="H70" s="1" t="s">
        <v>115</v>
      </c>
      <c r="I70" s="1"/>
      <c r="J70" s="1" t="s">
        <v>85</v>
      </c>
      <c r="K70" s="1" t="s">
        <v>502</v>
      </c>
      <c r="L70" s="1" t="s">
        <v>486</v>
      </c>
      <c r="M70" s="1">
        <v>4</v>
      </c>
      <c r="N70" s="1">
        <v>4</v>
      </c>
      <c r="O70" s="1">
        <v>4</v>
      </c>
      <c r="P70" s="1">
        <v>0</v>
      </c>
      <c r="Q70" s="1"/>
      <c r="R70" s="1"/>
      <c r="S70" s="1"/>
      <c r="T70" s="1"/>
      <c r="U70" s="1"/>
      <c r="V70" s="1"/>
      <c r="W70" s="1"/>
      <c r="X70" s="1"/>
      <c r="Y70" s="1"/>
      <c r="Z70" s="1" t="s">
        <v>21</v>
      </c>
      <c r="AA70" s="1" t="s">
        <v>21</v>
      </c>
      <c r="AB70" s="17"/>
      <c r="AC70" s="18"/>
      <c r="AD70" s="125"/>
      <c r="AE70" s="125"/>
      <c r="AF70" s="51"/>
      <c r="AG70" s="10"/>
      <c r="AM70"/>
    </row>
    <row r="71" spans="2:39" ht="15" hidden="1" customHeight="1" x14ac:dyDescent="0.25">
      <c r="B71" s="1">
        <v>61</v>
      </c>
      <c r="C71" s="1">
        <v>0</v>
      </c>
      <c r="D71" s="1" t="s">
        <v>220</v>
      </c>
      <c r="E71" s="1" t="s">
        <v>191</v>
      </c>
      <c r="F71" s="1" t="s">
        <v>113</v>
      </c>
      <c r="G71" s="1"/>
      <c r="H71" s="1" t="s">
        <v>116</v>
      </c>
      <c r="I71" s="1"/>
      <c r="J71" s="1" t="s">
        <v>85</v>
      </c>
      <c r="K71" s="1" t="s">
        <v>11</v>
      </c>
      <c r="L71" s="1" t="s">
        <v>62</v>
      </c>
      <c r="M71" s="1">
        <v>4</v>
      </c>
      <c r="N71" s="1">
        <v>4</v>
      </c>
      <c r="O71" s="1">
        <v>0</v>
      </c>
      <c r="P71" s="1">
        <v>0</v>
      </c>
      <c r="Q71" s="1"/>
      <c r="R71" s="1"/>
      <c r="S71" s="1"/>
      <c r="T71" s="1"/>
      <c r="U71" s="1"/>
      <c r="V71" s="1"/>
      <c r="W71" s="1"/>
      <c r="X71" s="1"/>
      <c r="Y71" s="1"/>
      <c r="Z71" s="1" t="s">
        <v>32</v>
      </c>
      <c r="AA71" s="1"/>
      <c r="AB71" s="17"/>
      <c r="AC71" s="18"/>
      <c r="AD71" s="125"/>
      <c r="AE71" s="125"/>
      <c r="AF71" s="51"/>
      <c r="AG71" s="10"/>
      <c r="AM71"/>
    </row>
    <row r="72" spans="2:39" ht="15" hidden="1" customHeight="1" x14ac:dyDescent="0.25">
      <c r="B72" s="1">
        <v>62</v>
      </c>
      <c r="C72" s="1">
        <v>0</v>
      </c>
      <c r="D72" s="1" t="s">
        <v>212</v>
      </c>
      <c r="E72" s="1" t="s">
        <v>91</v>
      </c>
      <c r="F72" s="1" t="s">
        <v>92</v>
      </c>
      <c r="G72" s="1" t="s">
        <v>92</v>
      </c>
      <c r="H72" s="1" t="s">
        <v>117</v>
      </c>
      <c r="I72" s="1"/>
      <c r="J72" s="1" t="s">
        <v>86</v>
      </c>
      <c r="K72" s="1" t="s">
        <v>452</v>
      </c>
      <c r="L72" s="1" t="s">
        <v>452</v>
      </c>
      <c r="M72" s="1">
        <v>0</v>
      </c>
      <c r="N72" s="1">
        <v>0</v>
      </c>
      <c r="O72" s="1">
        <v>0</v>
      </c>
      <c r="P72" s="1">
        <v>0</v>
      </c>
      <c r="Q72" s="1"/>
      <c r="R72" s="1"/>
      <c r="S72" s="1"/>
      <c r="T72" s="1">
        <v>3</v>
      </c>
      <c r="U72" s="1"/>
      <c r="V72" s="1"/>
      <c r="W72" s="1"/>
      <c r="X72" s="1"/>
      <c r="Y72" s="1"/>
      <c r="Z72" s="1" t="s">
        <v>32</v>
      </c>
      <c r="AA72" s="1" t="s">
        <v>32</v>
      </c>
      <c r="AB72" s="17">
        <v>44967</v>
      </c>
      <c r="AC72" s="18" t="s">
        <v>417</v>
      </c>
      <c r="AD72" s="125"/>
      <c r="AE72" s="126" t="s">
        <v>1121</v>
      </c>
      <c r="AF72" s="51">
        <v>0.5</v>
      </c>
      <c r="AG72" s="10" t="s">
        <v>1183</v>
      </c>
      <c r="AM72"/>
    </row>
    <row r="73" spans="2:39" ht="15" hidden="1" customHeight="1" x14ac:dyDescent="0.25">
      <c r="B73" s="1">
        <v>63</v>
      </c>
      <c r="C73" s="1">
        <v>0</v>
      </c>
      <c r="D73" s="1" t="s">
        <v>212</v>
      </c>
      <c r="E73" s="1" t="s">
        <v>101</v>
      </c>
      <c r="F73" s="1" t="s">
        <v>118</v>
      </c>
      <c r="G73" s="1" t="s">
        <v>118</v>
      </c>
      <c r="H73" s="1" t="s">
        <v>119</v>
      </c>
      <c r="I73" s="1"/>
      <c r="J73" s="1" t="s">
        <v>85</v>
      </c>
      <c r="K73" s="1" t="s">
        <v>170</v>
      </c>
      <c r="L73" s="1" t="s">
        <v>452</v>
      </c>
      <c r="M73" s="1">
        <v>0</v>
      </c>
      <c r="N73" s="1">
        <v>0</v>
      </c>
      <c r="O73" s="1">
        <v>0</v>
      </c>
      <c r="P73" s="1">
        <v>2</v>
      </c>
      <c r="Q73" s="1"/>
      <c r="R73" s="1"/>
      <c r="S73" s="1"/>
      <c r="T73" s="1">
        <v>4</v>
      </c>
      <c r="U73" s="1"/>
      <c r="V73" s="1"/>
      <c r="W73" s="1"/>
      <c r="X73" s="1"/>
      <c r="Y73" s="1"/>
      <c r="Z73" s="1" t="s">
        <v>21</v>
      </c>
      <c r="AA73" s="1" t="s">
        <v>21</v>
      </c>
      <c r="AB73" s="17"/>
      <c r="AC73" s="18"/>
      <c r="AD73" s="125"/>
      <c r="AE73" s="125"/>
      <c r="AF73" s="51"/>
      <c r="AG73" s="10"/>
      <c r="AM73"/>
    </row>
    <row r="74" spans="2:39" ht="15" hidden="1" customHeight="1" x14ac:dyDescent="0.25">
      <c r="B74" s="1">
        <v>64</v>
      </c>
      <c r="C74" s="1">
        <v>0</v>
      </c>
      <c r="D74" s="1" t="s">
        <v>212</v>
      </c>
      <c r="E74" s="1" t="s">
        <v>101</v>
      </c>
      <c r="F74" s="1" t="s">
        <v>118</v>
      </c>
      <c r="G74" s="1" t="s">
        <v>118</v>
      </c>
      <c r="H74" s="1" t="s">
        <v>120</v>
      </c>
      <c r="I74" s="1"/>
      <c r="J74" s="1" t="s">
        <v>85</v>
      </c>
      <c r="K74" s="1" t="s">
        <v>170</v>
      </c>
      <c r="L74" s="1" t="s">
        <v>452</v>
      </c>
      <c r="M74" s="1">
        <v>0</v>
      </c>
      <c r="N74" s="1">
        <v>0</v>
      </c>
      <c r="O74" s="1">
        <v>0</v>
      </c>
      <c r="P74" s="1">
        <v>2</v>
      </c>
      <c r="Q74" s="1"/>
      <c r="R74" s="1"/>
      <c r="S74" s="1"/>
      <c r="T74" s="1">
        <v>4</v>
      </c>
      <c r="U74" s="1"/>
      <c r="V74" s="1"/>
      <c r="W74" s="1"/>
      <c r="X74" s="1"/>
      <c r="Y74" s="1"/>
      <c r="Z74" s="1" t="s">
        <v>21</v>
      </c>
      <c r="AA74" s="1" t="s">
        <v>21</v>
      </c>
      <c r="AB74" s="17"/>
      <c r="AC74" s="18"/>
      <c r="AD74" s="125"/>
      <c r="AE74" s="125"/>
      <c r="AF74" s="51"/>
      <c r="AG74" s="10"/>
      <c r="AM74"/>
    </row>
    <row r="75" spans="2:39" ht="15" hidden="1" customHeight="1" x14ac:dyDescent="0.25">
      <c r="B75" s="1">
        <v>65</v>
      </c>
      <c r="C75" s="1">
        <v>0</v>
      </c>
      <c r="D75" s="1" t="s">
        <v>212</v>
      </c>
      <c r="E75" s="1" t="s">
        <v>101</v>
      </c>
      <c r="F75" s="1" t="s">
        <v>118</v>
      </c>
      <c r="G75" s="1" t="s">
        <v>118</v>
      </c>
      <c r="H75" s="1" t="s">
        <v>121</v>
      </c>
      <c r="I75" s="1"/>
      <c r="J75" s="1" t="s">
        <v>85</v>
      </c>
      <c r="K75" s="1" t="s">
        <v>61</v>
      </c>
      <c r="L75" s="1" t="s">
        <v>170</v>
      </c>
      <c r="M75" s="1">
        <v>0</v>
      </c>
      <c r="N75" s="1">
        <v>0</v>
      </c>
      <c r="O75" s="1">
        <v>0</v>
      </c>
      <c r="P75" s="1">
        <v>2</v>
      </c>
      <c r="Q75" s="1"/>
      <c r="R75" s="1"/>
      <c r="S75" s="1"/>
      <c r="T75" s="1"/>
      <c r="U75" s="1"/>
      <c r="V75" s="1"/>
      <c r="W75" s="1"/>
      <c r="X75" s="1"/>
      <c r="Y75" s="1"/>
      <c r="Z75" s="1" t="s">
        <v>21</v>
      </c>
      <c r="AA75" s="1" t="s">
        <v>21</v>
      </c>
      <c r="AB75" s="17"/>
      <c r="AC75" s="18"/>
      <c r="AD75" s="125"/>
      <c r="AE75" s="125"/>
      <c r="AF75" s="51"/>
      <c r="AG75" s="10"/>
      <c r="AM75"/>
    </row>
    <row r="76" spans="2:39" ht="15" hidden="1" customHeight="1" x14ac:dyDescent="0.25">
      <c r="B76" s="1">
        <v>66</v>
      </c>
      <c r="C76" s="1">
        <v>0</v>
      </c>
      <c r="D76" s="1" t="s">
        <v>212</v>
      </c>
      <c r="E76" s="1" t="s">
        <v>101</v>
      </c>
      <c r="F76" s="1" t="s">
        <v>118</v>
      </c>
      <c r="G76" s="1" t="s">
        <v>118</v>
      </c>
      <c r="H76" s="1" t="s">
        <v>122</v>
      </c>
      <c r="I76" s="1"/>
      <c r="J76" s="1" t="s">
        <v>85</v>
      </c>
      <c r="K76" s="1" t="s">
        <v>61</v>
      </c>
      <c r="L76" s="1" t="s">
        <v>170</v>
      </c>
      <c r="M76" s="1">
        <v>0</v>
      </c>
      <c r="N76" s="1">
        <v>0</v>
      </c>
      <c r="O76" s="1">
        <v>0</v>
      </c>
      <c r="P76" s="1">
        <v>2</v>
      </c>
      <c r="Q76" s="1"/>
      <c r="R76" s="1"/>
      <c r="S76" s="1"/>
      <c r="T76" s="1"/>
      <c r="U76" s="1"/>
      <c r="V76" s="1"/>
      <c r="W76" s="1"/>
      <c r="X76" s="1"/>
      <c r="Y76" s="1"/>
      <c r="Z76" s="1" t="s">
        <v>21</v>
      </c>
      <c r="AA76" s="1" t="s">
        <v>21</v>
      </c>
      <c r="AB76" s="17"/>
      <c r="AC76" s="18"/>
      <c r="AD76" s="125"/>
      <c r="AE76" s="125"/>
      <c r="AF76" s="51"/>
      <c r="AG76" s="10"/>
      <c r="AM76"/>
    </row>
    <row r="77" spans="2:39" ht="15" hidden="1" customHeight="1" x14ac:dyDescent="0.25">
      <c r="B77" s="1">
        <v>67</v>
      </c>
      <c r="C77" s="1">
        <v>0</v>
      </c>
      <c r="D77" s="1" t="s">
        <v>212</v>
      </c>
      <c r="E77" s="1" t="s">
        <v>101</v>
      </c>
      <c r="F77" s="1" t="s">
        <v>118</v>
      </c>
      <c r="G77" s="1" t="s">
        <v>118</v>
      </c>
      <c r="H77" s="1" t="s">
        <v>135</v>
      </c>
      <c r="I77" s="1"/>
      <c r="J77" s="1" t="s">
        <v>85</v>
      </c>
      <c r="K77" s="1" t="s">
        <v>170</v>
      </c>
      <c r="L77" s="1" t="s">
        <v>452</v>
      </c>
      <c r="M77" s="1">
        <v>0</v>
      </c>
      <c r="N77" s="1">
        <v>0</v>
      </c>
      <c r="O77" s="1">
        <v>0</v>
      </c>
      <c r="P77" s="1">
        <v>2</v>
      </c>
      <c r="Q77" s="1"/>
      <c r="R77" s="1"/>
      <c r="S77" s="1"/>
      <c r="T77" s="1">
        <v>4</v>
      </c>
      <c r="U77" s="1"/>
      <c r="V77" s="1"/>
      <c r="W77" s="1"/>
      <c r="X77" s="1"/>
      <c r="Y77" s="1"/>
      <c r="Z77" s="1" t="s">
        <v>21</v>
      </c>
      <c r="AA77" s="1" t="s">
        <v>21</v>
      </c>
      <c r="AB77" s="17"/>
      <c r="AC77" s="18"/>
      <c r="AD77" s="125"/>
      <c r="AE77" s="125"/>
      <c r="AF77" s="51"/>
      <c r="AG77" s="10"/>
      <c r="AM77"/>
    </row>
    <row r="78" spans="2:39" ht="15" hidden="1" customHeight="1" x14ac:dyDescent="0.25">
      <c r="B78" s="1">
        <v>68</v>
      </c>
      <c r="C78" s="32">
        <v>0</v>
      </c>
      <c r="D78" s="32" t="s">
        <v>228</v>
      </c>
      <c r="E78" s="32" t="s">
        <v>187</v>
      </c>
      <c r="F78" s="32" t="s">
        <v>148</v>
      </c>
      <c r="G78" s="32" t="s">
        <v>149</v>
      </c>
      <c r="H78" s="32" t="s">
        <v>150</v>
      </c>
      <c r="I78" s="32"/>
      <c r="J78" s="32" t="s">
        <v>85</v>
      </c>
      <c r="K78" s="32" t="s">
        <v>143</v>
      </c>
      <c r="L78" s="32" t="s">
        <v>12</v>
      </c>
      <c r="M78" s="32">
        <v>0</v>
      </c>
      <c r="N78" s="32">
        <v>0</v>
      </c>
      <c r="O78" s="32">
        <v>0</v>
      </c>
      <c r="P78" s="32">
        <v>3</v>
      </c>
      <c r="Q78" s="1"/>
      <c r="R78" s="1"/>
      <c r="S78" s="1"/>
      <c r="T78" s="1"/>
      <c r="U78" s="1"/>
      <c r="V78" s="1"/>
      <c r="W78" s="1"/>
      <c r="X78" s="1"/>
      <c r="Y78" s="1"/>
      <c r="Z78" s="32" t="s">
        <v>21</v>
      </c>
      <c r="AA78" s="32" t="s">
        <v>21</v>
      </c>
      <c r="AB78" s="33">
        <v>43369</v>
      </c>
      <c r="AC78" s="32" t="s">
        <v>12</v>
      </c>
      <c r="AD78" s="34"/>
      <c r="AE78" s="34"/>
      <c r="AF78" s="120"/>
      <c r="AG78" s="34"/>
      <c r="AM78"/>
    </row>
    <row r="79" spans="2:39" ht="15" hidden="1" customHeight="1" x14ac:dyDescent="0.25">
      <c r="B79" s="1">
        <v>69</v>
      </c>
      <c r="C79" s="35">
        <v>0</v>
      </c>
      <c r="D79" s="35" t="s">
        <v>187</v>
      </c>
      <c r="E79" s="35" t="s">
        <v>347</v>
      </c>
      <c r="F79" s="35" t="s">
        <v>148</v>
      </c>
      <c r="G79" s="35" t="s">
        <v>148</v>
      </c>
      <c r="H79" s="35" t="s">
        <v>151</v>
      </c>
      <c r="I79" s="35"/>
      <c r="J79" s="35" t="s">
        <v>87</v>
      </c>
      <c r="K79" s="35" t="s">
        <v>312</v>
      </c>
      <c r="L79" s="35" t="s">
        <v>408</v>
      </c>
      <c r="M79" s="35">
        <v>0</v>
      </c>
      <c r="N79" s="35">
        <v>0</v>
      </c>
      <c r="O79" s="35">
        <v>0</v>
      </c>
      <c r="P79" s="35">
        <v>3</v>
      </c>
      <c r="Q79" s="35"/>
      <c r="R79" s="35"/>
      <c r="S79" s="35">
        <v>1</v>
      </c>
      <c r="T79" s="35"/>
      <c r="U79" s="1"/>
      <c r="V79" s="1"/>
      <c r="W79" s="1"/>
      <c r="X79" s="1"/>
      <c r="Y79" s="1"/>
      <c r="Z79" s="35" t="s">
        <v>21</v>
      </c>
      <c r="AA79" s="35" t="s">
        <v>21</v>
      </c>
      <c r="AB79" s="42">
        <v>44133</v>
      </c>
      <c r="AC79" s="35" t="s">
        <v>330</v>
      </c>
      <c r="AD79" s="43"/>
      <c r="AE79" s="43"/>
      <c r="AF79" s="121"/>
      <c r="AG79" s="43" t="s">
        <v>490</v>
      </c>
      <c r="AM79"/>
    </row>
    <row r="80" spans="2:39" ht="15" hidden="1" customHeight="1" x14ac:dyDescent="0.25">
      <c r="B80" s="1">
        <v>70</v>
      </c>
      <c r="C80" s="1">
        <v>0</v>
      </c>
      <c r="D80" s="1" t="s">
        <v>184</v>
      </c>
      <c r="E80" s="1" t="s">
        <v>184</v>
      </c>
      <c r="F80" s="1" t="s">
        <v>46</v>
      </c>
      <c r="G80" s="1" t="s">
        <v>46</v>
      </c>
      <c r="H80" s="1" t="s">
        <v>156</v>
      </c>
      <c r="I80" s="1"/>
      <c r="J80" s="1" t="s">
        <v>157</v>
      </c>
      <c r="K80" s="1" t="s">
        <v>143</v>
      </c>
      <c r="L80" s="1" t="s">
        <v>62</v>
      </c>
      <c r="M80" s="1">
        <v>0</v>
      </c>
      <c r="N80" s="1">
        <v>0</v>
      </c>
      <c r="O80" s="1">
        <v>4</v>
      </c>
      <c r="P80" s="1">
        <v>0</v>
      </c>
      <c r="Q80" s="1"/>
      <c r="R80" s="1"/>
      <c r="S80" s="1"/>
      <c r="T80" s="1"/>
      <c r="U80" s="1"/>
      <c r="V80" s="1"/>
      <c r="W80" s="1"/>
      <c r="X80" s="1"/>
      <c r="Y80" s="1"/>
      <c r="Z80" s="1" t="s">
        <v>21</v>
      </c>
      <c r="AA80" s="1" t="s">
        <v>21</v>
      </c>
      <c r="AB80" s="17">
        <v>43417</v>
      </c>
      <c r="AC80" s="18" t="s">
        <v>62</v>
      </c>
      <c r="AD80" s="125"/>
      <c r="AE80" s="125"/>
      <c r="AF80" s="51"/>
      <c r="AG80" s="10"/>
      <c r="AM80"/>
    </row>
    <row r="81" spans="2:39" ht="15" hidden="1" customHeight="1" x14ac:dyDescent="0.25">
      <c r="B81" s="1">
        <v>71</v>
      </c>
      <c r="C81" s="1">
        <v>0</v>
      </c>
      <c r="D81" s="1" t="s">
        <v>184</v>
      </c>
      <c r="E81" s="1" t="s">
        <v>184</v>
      </c>
      <c r="F81" s="1" t="s">
        <v>46</v>
      </c>
      <c r="G81" s="1" t="s">
        <v>46</v>
      </c>
      <c r="H81" s="1" t="s">
        <v>158</v>
      </c>
      <c r="I81" s="1"/>
      <c r="J81" s="1" t="s">
        <v>157</v>
      </c>
      <c r="K81" s="1" t="s">
        <v>143</v>
      </c>
      <c r="L81" s="1" t="s">
        <v>62</v>
      </c>
      <c r="M81" s="1">
        <v>0</v>
      </c>
      <c r="N81" s="1">
        <v>0</v>
      </c>
      <c r="O81" s="1">
        <v>4</v>
      </c>
      <c r="P81" s="1">
        <v>0</v>
      </c>
      <c r="Q81" s="1"/>
      <c r="R81" s="1"/>
      <c r="S81" s="1"/>
      <c r="T81" s="1"/>
      <c r="U81" s="1"/>
      <c r="V81" s="1"/>
      <c r="W81" s="1"/>
      <c r="X81" s="1"/>
      <c r="Y81" s="1"/>
      <c r="Z81" s="1" t="s">
        <v>21</v>
      </c>
      <c r="AA81" s="1" t="s">
        <v>21</v>
      </c>
      <c r="AB81" s="17">
        <v>43417</v>
      </c>
      <c r="AC81" s="18" t="s">
        <v>62</v>
      </c>
      <c r="AD81" s="125"/>
      <c r="AE81" s="125"/>
      <c r="AF81" s="51"/>
      <c r="AG81" s="10"/>
      <c r="AM81"/>
    </row>
    <row r="82" spans="2:39" ht="15" hidden="1" customHeight="1" x14ac:dyDescent="0.25">
      <c r="B82" s="1">
        <v>72</v>
      </c>
      <c r="C82" s="1">
        <v>0</v>
      </c>
      <c r="D82" s="1" t="s">
        <v>223</v>
      </c>
      <c r="E82" s="1" t="s">
        <v>30</v>
      </c>
      <c r="F82" s="1" t="s">
        <v>43</v>
      </c>
      <c r="G82" s="1" t="s">
        <v>43</v>
      </c>
      <c r="H82" s="1" t="s">
        <v>159</v>
      </c>
      <c r="I82" s="1"/>
      <c r="J82" s="1" t="s">
        <v>160</v>
      </c>
      <c r="K82" s="1" t="s">
        <v>502</v>
      </c>
      <c r="L82" s="1" t="s">
        <v>486</v>
      </c>
      <c r="M82" s="1">
        <v>0</v>
      </c>
      <c r="N82" s="1">
        <v>4</v>
      </c>
      <c r="O82" s="1">
        <v>4</v>
      </c>
      <c r="P82" s="1">
        <v>0</v>
      </c>
      <c r="Q82" s="1"/>
      <c r="R82" s="1"/>
      <c r="S82" s="1"/>
      <c r="T82" s="1"/>
      <c r="U82" s="1"/>
      <c r="V82" s="1"/>
      <c r="W82" s="1"/>
      <c r="X82" s="1"/>
      <c r="Y82" s="1"/>
      <c r="Z82" s="1" t="s">
        <v>21</v>
      </c>
      <c r="AA82" s="1" t="s">
        <v>21</v>
      </c>
      <c r="AB82" s="17">
        <v>44594</v>
      </c>
      <c r="AC82" s="18" t="s">
        <v>486</v>
      </c>
      <c r="AD82" s="125"/>
      <c r="AE82" s="125"/>
      <c r="AF82" s="51"/>
      <c r="AG82" s="10"/>
      <c r="AM82"/>
    </row>
    <row r="83" spans="2:39" ht="15" hidden="1" customHeight="1" x14ac:dyDescent="0.25">
      <c r="B83" s="1">
        <v>73</v>
      </c>
      <c r="C83" s="1">
        <v>0</v>
      </c>
      <c r="D83" s="1" t="s">
        <v>223</v>
      </c>
      <c r="E83" s="1" t="s">
        <v>30</v>
      </c>
      <c r="F83" s="1" t="s">
        <v>43</v>
      </c>
      <c r="G83" s="1" t="s">
        <v>43</v>
      </c>
      <c r="H83" s="1" t="s">
        <v>161</v>
      </c>
      <c r="I83" s="1"/>
      <c r="J83" s="1" t="s">
        <v>160</v>
      </c>
      <c r="K83" s="1" t="s">
        <v>502</v>
      </c>
      <c r="L83" s="1" t="s">
        <v>486</v>
      </c>
      <c r="M83" s="1">
        <v>0</v>
      </c>
      <c r="N83" s="1">
        <v>4</v>
      </c>
      <c r="O83" s="1">
        <v>4</v>
      </c>
      <c r="P83" s="1">
        <v>0</v>
      </c>
      <c r="Q83" s="1"/>
      <c r="R83" s="1"/>
      <c r="S83" s="1"/>
      <c r="T83" s="1"/>
      <c r="U83" s="1"/>
      <c r="V83" s="1"/>
      <c r="W83" s="1"/>
      <c r="X83" s="1"/>
      <c r="Y83" s="1"/>
      <c r="Z83" s="1" t="s">
        <v>21</v>
      </c>
      <c r="AA83" s="1" t="s">
        <v>21</v>
      </c>
      <c r="AB83" s="17">
        <v>44594</v>
      </c>
      <c r="AC83" s="18" t="s">
        <v>486</v>
      </c>
      <c r="AD83" s="125"/>
      <c r="AE83" s="125"/>
      <c r="AF83" s="51"/>
      <c r="AG83" s="10"/>
      <c r="AM83"/>
    </row>
    <row r="84" spans="2:39" ht="15" hidden="1" customHeight="1" x14ac:dyDescent="0.25">
      <c r="B84" s="1">
        <v>74</v>
      </c>
      <c r="C84" s="1">
        <v>0</v>
      </c>
      <c r="D84" s="1" t="s">
        <v>223</v>
      </c>
      <c r="E84" s="1" t="s">
        <v>30</v>
      </c>
      <c r="F84" s="1" t="s">
        <v>43</v>
      </c>
      <c r="G84" s="1" t="s">
        <v>43</v>
      </c>
      <c r="H84" s="1" t="s">
        <v>162</v>
      </c>
      <c r="I84" s="1"/>
      <c r="J84" s="1" t="s">
        <v>160</v>
      </c>
      <c r="K84" s="1" t="s">
        <v>62</v>
      </c>
      <c r="L84" s="1" t="s">
        <v>11</v>
      </c>
      <c r="M84" s="1">
        <v>0</v>
      </c>
      <c r="N84" s="1">
        <v>4</v>
      </c>
      <c r="O84" s="1">
        <v>4</v>
      </c>
      <c r="P84" s="1">
        <v>0</v>
      </c>
      <c r="Q84" s="1"/>
      <c r="R84" s="1"/>
      <c r="S84" s="1"/>
      <c r="T84" s="1"/>
      <c r="U84" s="1"/>
      <c r="V84" s="1"/>
      <c r="W84" s="1"/>
      <c r="X84" s="1"/>
      <c r="Y84" s="1"/>
      <c r="Z84" s="1" t="s">
        <v>21</v>
      </c>
      <c r="AA84" s="1" t="s">
        <v>21</v>
      </c>
      <c r="AB84" s="17">
        <v>44112</v>
      </c>
      <c r="AC84" s="18" t="s">
        <v>11</v>
      </c>
      <c r="AD84" s="125"/>
      <c r="AE84" s="125"/>
      <c r="AF84" s="51"/>
      <c r="AG84" s="10"/>
      <c r="AM84"/>
    </row>
    <row r="85" spans="2:39" ht="15" hidden="1" customHeight="1" x14ac:dyDescent="0.25">
      <c r="B85" s="1">
        <v>75</v>
      </c>
      <c r="C85" s="1">
        <v>0</v>
      </c>
      <c r="D85" s="1" t="s">
        <v>186</v>
      </c>
      <c r="E85" s="1" t="s">
        <v>186</v>
      </c>
      <c r="F85" s="1" t="s">
        <v>19</v>
      </c>
      <c r="G85" s="1"/>
      <c r="H85" s="1" t="s">
        <v>164</v>
      </c>
      <c r="I85" s="1"/>
      <c r="J85" s="1" t="s">
        <v>85</v>
      </c>
      <c r="K85" s="1" t="s">
        <v>408</v>
      </c>
      <c r="L85" s="1" t="s">
        <v>340</v>
      </c>
      <c r="M85" s="1">
        <v>0</v>
      </c>
      <c r="N85" s="1">
        <v>4</v>
      </c>
      <c r="O85" s="1">
        <v>3</v>
      </c>
      <c r="P85" s="1">
        <v>0</v>
      </c>
      <c r="Q85" s="1"/>
      <c r="R85" s="1"/>
      <c r="S85" s="1">
        <v>4</v>
      </c>
      <c r="T85" s="1">
        <v>0</v>
      </c>
      <c r="U85" s="1"/>
      <c r="V85" s="1"/>
      <c r="W85" s="1"/>
      <c r="X85" s="1"/>
      <c r="Y85" s="1"/>
      <c r="Z85" s="1" t="s">
        <v>21</v>
      </c>
      <c r="AA85" s="1" t="s">
        <v>21</v>
      </c>
      <c r="AB85" s="17">
        <v>44162</v>
      </c>
      <c r="AC85" s="18" t="s">
        <v>330</v>
      </c>
      <c r="AD85" s="125"/>
      <c r="AE85" s="125"/>
      <c r="AF85" s="51"/>
      <c r="AG85" s="10"/>
      <c r="AM85"/>
    </row>
    <row r="86" spans="2:39" ht="15" hidden="1" customHeight="1" x14ac:dyDescent="0.25">
      <c r="B86" s="1">
        <v>76</v>
      </c>
      <c r="C86" s="1">
        <v>0</v>
      </c>
      <c r="D86" s="1" t="s">
        <v>185</v>
      </c>
      <c r="E86" s="1" t="s">
        <v>196</v>
      </c>
      <c r="F86" s="1" t="s">
        <v>113</v>
      </c>
      <c r="G86" s="1"/>
      <c r="H86" s="1" t="s">
        <v>200</v>
      </c>
      <c r="I86" s="1"/>
      <c r="J86" s="1" t="s">
        <v>86</v>
      </c>
      <c r="K86" s="1" t="s">
        <v>62</v>
      </c>
      <c r="L86" s="1" t="s">
        <v>11</v>
      </c>
      <c r="M86" s="1">
        <v>4</v>
      </c>
      <c r="N86" s="1">
        <v>4</v>
      </c>
      <c r="O86" s="1">
        <v>4</v>
      </c>
      <c r="P86" s="1">
        <v>0</v>
      </c>
      <c r="Q86" s="1"/>
      <c r="R86" s="1"/>
      <c r="S86" s="1"/>
      <c r="T86" s="1"/>
      <c r="U86" s="1"/>
      <c r="V86" s="1"/>
      <c r="W86" s="1"/>
      <c r="X86" s="1"/>
      <c r="Y86" s="1"/>
      <c r="Z86" s="1" t="s">
        <v>21</v>
      </c>
      <c r="AA86" s="1" t="s">
        <v>21</v>
      </c>
      <c r="AB86" s="17">
        <v>43472</v>
      </c>
      <c r="AC86" s="18" t="s">
        <v>11</v>
      </c>
      <c r="AD86" s="125"/>
      <c r="AE86" s="125"/>
      <c r="AF86" s="51"/>
      <c r="AG86" s="10"/>
      <c r="AM86"/>
    </row>
    <row r="87" spans="2:39" hidden="1" x14ac:dyDescent="0.25">
      <c r="B87" s="1">
        <v>77</v>
      </c>
      <c r="C87" s="1">
        <v>0</v>
      </c>
      <c r="D87" s="1" t="s">
        <v>283</v>
      </c>
      <c r="E87" s="1" t="s">
        <v>52</v>
      </c>
      <c r="F87" s="1" t="s">
        <v>166</v>
      </c>
      <c r="G87" s="1" t="s">
        <v>166</v>
      </c>
      <c r="H87" s="1" t="s">
        <v>492</v>
      </c>
      <c r="I87" s="1"/>
      <c r="J87" s="1" t="s">
        <v>85</v>
      </c>
      <c r="K87" s="1" t="s">
        <v>312</v>
      </c>
      <c r="L87" s="1" t="s">
        <v>408</v>
      </c>
      <c r="M87" s="1">
        <v>0</v>
      </c>
      <c r="N87" s="1">
        <v>0</v>
      </c>
      <c r="O87" s="1">
        <v>0</v>
      </c>
      <c r="P87" s="1">
        <v>3</v>
      </c>
      <c r="Q87" s="1"/>
      <c r="R87" s="1"/>
      <c r="S87" s="1">
        <v>3</v>
      </c>
      <c r="T87" s="1"/>
      <c r="U87" s="1"/>
      <c r="V87" s="1"/>
      <c r="W87" s="1"/>
      <c r="X87" s="1"/>
      <c r="Y87" s="1"/>
      <c r="Z87" s="1" t="s">
        <v>21</v>
      </c>
      <c r="AA87" s="1" t="s">
        <v>21</v>
      </c>
      <c r="AB87" s="17" t="s">
        <v>532</v>
      </c>
      <c r="AC87" s="18" t="s">
        <v>410</v>
      </c>
      <c r="AD87" s="125"/>
      <c r="AE87" s="125"/>
      <c r="AF87" s="51"/>
      <c r="AG87" s="10" t="s">
        <v>1199</v>
      </c>
      <c r="AM87"/>
    </row>
    <row r="88" spans="2:39" hidden="1" x14ac:dyDescent="0.25">
      <c r="B88" s="1">
        <v>78</v>
      </c>
      <c r="C88" s="1">
        <v>0</v>
      </c>
      <c r="D88" s="1" t="s">
        <v>386</v>
      </c>
      <c r="E88" s="1" t="s">
        <v>294</v>
      </c>
      <c r="F88" s="1" t="s">
        <v>57</v>
      </c>
      <c r="G88" s="1"/>
      <c r="H88" s="97" t="s">
        <v>1169</v>
      </c>
      <c r="I88" s="18"/>
      <c r="J88" s="1" t="s">
        <v>87</v>
      </c>
      <c r="K88" s="1" t="s">
        <v>12</v>
      </c>
      <c r="L88" s="1" t="s">
        <v>331</v>
      </c>
      <c r="M88" s="1">
        <v>0</v>
      </c>
      <c r="N88" s="1">
        <v>0</v>
      </c>
      <c r="O88" s="1">
        <v>0</v>
      </c>
      <c r="P88" s="1">
        <v>0</v>
      </c>
      <c r="Q88" s="1">
        <v>0</v>
      </c>
      <c r="R88" s="1">
        <v>0</v>
      </c>
      <c r="S88" s="1">
        <v>0</v>
      </c>
      <c r="T88" s="1">
        <v>0</v>
      </c>
      <c r="U88" s="1"/>
      <c r="V88" s="1"/>
      <c r="W88" s="1"/>
      <c r="X88" s="1"/>
      <c r="Y88" s="1"/>
      <c r="Z88" s="1" t="s">
        <v>32</v>
      </c>
      <c r="AA88" s="1" t="s">
        <v>21</v>
      </c>
      <c r="AB88" s="17">
        <v>43579</v>
      </c>
      <c r="AC88" s="18" t="s">
        <v>12</v>
      </c>
      <c r="AD88" s="125"/>
      <c r="AE88" s="125"/>
      <c r="AF88" s="51"/>
      <c r="AG88" s="10" t="s">
        <v>76</v>
      </c>
      <c r="AM88"/>
    </row>
    <row r="89" spans="2:39" hidden="1" x14ac:dyDescent="0.25">
      <c r="B89" s="1">
        <v>79</v>
      </c>
      <c r="C89" s="1">
        <v>0</v>
      </c>
      <c r="D89" s="1" t="s">
        <v>187</v>
      </c>
      <c r="E89" s="1" t="s">
        <v>347</v>
      </c>
      <c r="F89" s="1" t="s">
        <v>45</v>
      </c>
      <c r="G89" s="1" t="s">
        <v>45</v>
      </c>
      <c r="H89" s="1" t="s">
        <v>445</v>
      </c>
      <c r="I89" s="1"/>
      <c r="J89" s="1" t="s">
        <v>85</v>
      </c>
      <c r="K89" s="1" t="s">
        <v>312</v>
      </c>
      <c r="L89" s="1" t="s">
        <v>408</v>
      </c>
      <c r="M89" s="1"/>
      <c r="N89" s="1"/>
      <c r="O89" s="1"/>
      <c r="P89" s="1"/>
      <c r="Q89" s="1"/>
      <c r="R89" s="1"/>
      <c r="S89" s="1">
        <v>3</v>
      </c>
      <c r="T89" s="1"/>
      <c r="U89" s="1"/>
      <c r="V89" s="1"/>
      <c r="W89" s="1"/>
      <c r="X89" s="1"/>
      <c r="Y89" s="1"/>
      <c r="Z89" s="1" t="s">
        <v>32</v>
      </c>
      <c r="AA89" s="1" t="s">
        <v>21</v>
      </c>
      <c r="AB89" s="17" t="s">
        <v>451</v>
      </c>
      <c r="AC89" s="18" t="s">
        <v>410</v>
      </c>
      <c r="AD89" s="125"/>
      <c r="AE89" s="125"/>
      <c r="AF89" s="51"/>
      <c r="AG89" s="10" t="s">
        <v>1200</v>
      </c>
      <c r="AM89"/>
    </row>
    <row r="90" spans="2:39" hidden="1" x14ac:dyDescent="0.25">
      <c r="B90" s="1">
        <v>80</v>
      </c>
      <c r="C90" s="1">
        <v>0</v>
      </c>
      <c r="D90" s="1" t="s">
        <v>212</v>
      </c>
      <c r="E90" s="1" t="s">
        <v>91</v>
      </c>
      <c r="F90" s="1" t="s">
        <v>92</v>
      </c>
      <c r="G90" s="1" t="s">
        <v>92</v>
      </c>
      <c r="H90" s="1" t="s">
        <v>468</v>
      </c>
      <c r="I90" s="1"/>
      <c r="J90" s="1" t="s">
        <v>85</v>
      </c>
      <c r="K90" s="1" t="s">
        <v>452</v>
      </c>
      <c r="L90" s="1" t="s">
        <v>452</v>
      </c>
      <c r="M90" s="1">
        <v>0</v>
      </c>
      <c r="N90" s="1">
        <v>0</v>
      </c>
      <c r="O90" s="1">
        <v>0</v>
      </c>
      <c r="P90" s="1">
        <v>0</v>
      </c>
      <c r="Q90" s="1"/>
      <c r="R90" s="1"/>
      <c r="S90" s="1"/>
      <c r="T90" s="1">
        <v>4</v>
      </c>
      <c r="U90" s="1"/>
      <c r="V90" s="1"/>
      <c r="W90" s="1"/>
      <c r="X90" s="1"/>
      <c r="Y90" s="1"/>
      <c r="Z90" s="1" t="s">
        <v>21</v>
      </c>
      <c r="AA90" s="1" t="s">
        <v>21</v>
      </c>
      <c r="AB90" s="17">
        <v>44967</v>
      </c>
      <c r="AC90" s="18" t="s">
        <v>417</v>
      </c>
      <c r="AD90" s="126" t="s">
        <v>1117</v>
      </c>
      <c r="AE90" s="126" t="s">
        <v>1118</v>
      </c>
      <c r="AF90" s="51">
        <v>0.9</v>
      </c>
      <c r="AG90" s="10" t="s">
        <v>1183</v>
      </c>
      <c r="AM90"/>
    </row>
    <row r="91" spans="2:39" hidden="1" x14ac:dyDescent="0.25">
      <c r="B91" s="1">
        <v>81</v>
      </c>
      <c r="C91" s="1">
        <v>0</v>
      </c>
      <c r="D91" s="1" t="s">
        <v>212</v>
      </c>
      <c r="E91" s="1" t="s">
        <v>91</v>
      </c>
      <c r="F91" s="1" t="s">
        <v>92</v>
      </c>
      <c r="G91" s="1" t="s">
        <v>92</v>
      </c>
      <c r="H91" s="1" t="s">
        <v>288</v>
      </c>
      <c r="I91" s="1"/>
      <c r="J91" s="1" t="s">
        <v>87</v>
      </c>
      <c r="K91" s="1" t="s">
        <v>452</v>
      </c>
      <c r="L91" s="1" t="s">
        <v>452</v>
      </c>
      <c r="M91" s="1">
        <v>0</v>
      </c>
      <c r="N91" s="1">
        <v>0</v>
      </c>
      <c r="O91" s="1">
        <v>0</v>
      </c>
      <c r="P91" s="1">
        <v>0</v>
      </c>
      <c r="Q91" s="1"/>
      <c r="R91" s="1"/>
      <c r="S91" s="1"/>
      <c r="T91" s="1">
        <v>4</v>
      </c>
      <c r="U91" s="1"/>
      <c r="V91" s="1"/>
      <c r="W91" s="1"/>
      <c r="X91" s="1"/>
      <c r="Y91" s="1"/>
      <c r="Z91" s="1" t="s">
        <v>32</v>
      </c>
      <c r="AA91" s="1" t="s">
        <v>32</v>
      </c>
      <c r="AB91" s="17">
        <v>44967</v>
      </c>
      <c r="AC91" s="18" t="s">
        <v>417</v>
      </c>
      <c r="AD91" s="125"/>
      <c r="AE91" s="126" t="s">
        <v>1122</v>
      </c>
      <c r="AF91" s="51">
        <v>0.9</v>
      </c>
      <c r="AG91" s="10" t="s">
        <v>1183</v>
      </c>
      <c r="AM91"/>
    </row>
    <row r="92" spans="2:39" ht="15" hidden="1" customHeight="1" x14ac:dyDescent="0.25">
      <c r="B92" s="1">
        <v>82</v>
      </c>
      <c r="C92" s="1">
        <v>0</v>
      </c>
      <c r="D92" s="1" t="s">
        <v>212</v>
      </c>
      <c r="E92" s="1" t="s">
        <v>101</v>
      </c>
      <c r="F92" s="1" t="s">
        <v>118</v>
      </c>
      <c r="G92" s="1" t="s">
        <v>118</v>
      </c>
      <c r="H92" s="1" t="s">
        <v>293</v>
      </c>
      <c r="I92" s="1"/>
      <c r="J92" s="1" t="s">
        <v>87</v>
      </c>
      <c r="K92" s="1" t="s">
        <v>170</v>
      </c>
      <c r="L92" s="1" t="s">
        <v>452</v>
      </c>
      <c r="M92" s="1">
        <v>0</v>
      </c>
      <c r="N92" s="1">
        <v>0</v>
      </c>
      <c r="O92" s="1">
        <v>0</v>
      </c>
      <c r="P92" s="1">
        <v>1</v>
      </c>
      <c r="Q92" s="1"/>
      <c r="R92" s="1"/>
      <c r="S92" s="1"/>
      <c r="T92" s="1">
        <v>4</v>
      </c>
      <c r="U92" s="1"/>
      <c r="V92" s="1"/>
      <c r="W92" s="1"/>
      <c r="X92" s="1"/>
      <c r="Y92" s="1"/>
      <c r="Z92" s="1" t="s">
        <v>21</v>
      </c>
      <c r="AA92" s="1" t="s">
        <v>21</v>
      </c>
      <c r="AB92" s="17"/>
      <c r="AC92" s="18"/>
      <c r="AD92" s="125"/>
      <c r="AE92" s="125"/>
      <c r="AF92" s="51"/>
      <c r="AG92" s="10"/>
      <c r="AM92"/>
    </row>
    <row r="93" spans="2:39" ht="15" hidden="1" customHeight="1" x14ac:dyDescent="0.25">
      <c r="B93" s="1">
        <v>83</v>
      </c>
      <c r="C93" s="1">
        <v>0</v>
      </c>
      <c r="D93" s="1" t="s">
        <v>186</v>
      </c>
      <c r="E93" s="1" t="s">
        <v>186</v>
      </c>
      <c r="F93" s="1" t="s">
        <v>46</v>
      </c>
      <c r="G93" s="1" t="s">
        <v>46</v>
      </c>
      <c r="H93" s="1" t="s">
        <v>171</v>
      </c>
      <c r="I93" s="1"/>
      <c r="J93" s="1" t="s">
        <v>87</v>
      </c>
      <c r="K93" s="1" t="s">
        <v>13</v>
      </c>
      <c r="L93" s="1" t="s">
        <v>62</v>
      </c>
      <c r="M93" s="1">
        <v>0</v>
      </c>
      <c r="N93" s="1">
        <v>0</v>
      </c>
      <c r="O93" s="1">
        <v>4</v>
      </c>
      <c r="P93" s="1">
        <v>0</v>
      </c>
      <c r="Q93" s="1"/>
      <c r="R93" s="1"/>
      <c r="S93" s="1"/>
      <c r="T93" s="1"/>
      <c r="U93" s="1"/>
      <c r="V93" s="1"/>
      <c r="W93" s="1"/>
      <c r="X93" s="1"/>
      <c r="Y93" s="1"/>
      <c r="Z93" s="1" t="s">
        <v>21</v>
      </c>
      <c r="AA93" s="1" t="s">
        <v>21</v>
      </c>
      <c r="AB93" s="17">
        <v>43572</v>
      </c>
      <c r="AC93" s="18" t="s">
        <v>13</v>
      </c>
      <c r="AD93" s="125"/>
      <c r="AE93" s="125"/>
      <c r="AF93" s="51"/>
      <c r="AG93" s="10" t="s">
        <v>308</v>
      </c>
      <c r="AM93"/>
    </row>
    <row r="94" spans="2:39" ht="15" hidden="1" customHeight="1" x14ac:dyDescent="0.25">
      <c r="B94" s="1">
        <v>84</v>
      </c>
      <c r="C94" s="1">
        <v>0</v>
      </c>
      <c r="D94" s="1" t="s">
        <v>186</v>
      </c>
      <c r="E94" s="1" t="s">
        <v>186</v>
      </c>
      <c r="F94" s="1" t="s">
        <v>46</v>
      </c>
      <c r="G94" s="1" t="s">
        <v>46</v>
      </c>
      <c r="H94" s="1" t="s">
        <v>172</v>
      </c>
      <c r="I94" s="1"/>
      <c r="J94" s="1" t="s">
        <v>85</v>
      </c>
      <c r="K94" s="1" t="s">
        <v>13</v>
      </c>
      <c r="L94" s="1" t="s">
        <v>62</v>
      </c>
      <c r="M94" s="1">
        <v>0</v>
      </c>
      <c r="N94" s="1">
        <v>0</v>
      </c>
      <c r="O94" s="1">
        <v>4</v>
      </c>
      <c r="P94" s="1">
        <v>0</v>
      </c>
      <c r="Q94" s="1"/>
      <c r="R94" s="1"/>
      <c r="S94" s="1"/>
      <c r="T94" s="1"/>
      <c r="U94" s="1"/>
      <c r="V94" s="1"/>
      <c r="W94" s="1"/>
      <c r="X94" s="1"/>
      <c r="Y94" s="1"/>
      <c r="Z94" s="1" t="s">
        <v>21</v>
      </c>
      <c r="AA94" s="1" t="s">
        <v>21</v>
      </c>
      <c r="AB94" s="17">
        <v>43572</v>
      </c>
      <c r="AC94" s="18" t="s">
        <v>13</v>
      </c>
      <c r="AD94" s="125"/>
      <c r="AE94" s="125"/>
      <c r="AF94" s="51"/>
      <c r="AG94" s="10" t="s">
        <v>308</v>
      </c>
      <c r="AM94"/>
    </row>
    <row r="95" spans="2:39" ht="15" hidden="1" customHeight="1" x14ac:dyDescent="0.25">
      <c r="B95" s="1">
        <v>85</v>
      </c>
      <c r="C95" s="1">
        <v>0</v>
      </c>
      <c r="D95" s="1" t="s">
        <v>10</v>
      </c>
      <c r="E95" s="1" t="s">
        <v>224</v>
      </c>
      <c r="F95" s="1" t="s">
        <v>173</v>
      </c>
      <c r="G95" s="1" t="s">
        <v>173</v>
      </c>
      <c r="H95" s="1" t="s">
        <v>174</v>
      </c>
      <c r="I95" s="1"/>
      <c r="J95" s="1" t="s">
        <v>85</v>
      </c>
      <c r="K95" s="1" t="s">
        <v>94</v>
      </c>
      <c r="L95" s="1" t="s">
        <v>13</v>
      </c>
      <c r="M95" s="1">
        <v>4</v>
      </c>
      <c r="N95" s="1">
        <v>0</v>
      </c>
      <c r="O95" s="1">
        <v>0</v>
      </c>
      <c r="P95" s="1">
        <v>0</v>
      </c>
      <c r="Q95" s="1"/>
      <c r="R95" s="1"/>
      <c r="S95" s="1"/>
      <c r="T95" s="1"/>
      <c r="U95" s="1"/>
      <c r="V95" s="1"/>
      <c r="W95" s="1"/>
      <c r="X95" s="1"/>
      <c r="Y95" s="1"/>
      <c r="Z95" s="1" t="s">
        <v>21</v>
      </c>
      <c r="AA95" s="1" t="s">
        <v>21</v>
      </c>
      <c r="AB95" s="17">
        <v>43572</v>
      </c>
      <c r="AC95" s="18" t="s">
        <v>13</v>
      </c>
      <c r="AD95" s="125"/>
      <c r="AE95" s="125"/>
      <c r="AF95" s="51"/>
      <c r="AG95" s="10"/>
      <c r="AM95"/>
    </row>
    <row r="96" spans="2:39" ht="15" hidden="1" customHeight="1" x14ac:dyDescent="0.25">
      <c r="B96" s="1">
        <v>86</v>
      </c>
      <c r="C96" s="1">
        <v>0</v>
      </c>
      <c r="D96" s="1" t="s">
        <v>10</v>
      </c>
      <c r="E96" s="1" t="s">
        <v>224</v>
      </c>
      <c r="F96" s="1" t="s">
        <v>173</v>
      </c>
      <c r="G96" s="1" t="s">
        <v>173</v>
      </c>
      <c r="H96" s="1" t="s">
        <v>175</v>
      </c>
      <c r="I96" s="1"/>
      <c r="J96" s="1" t="s">
        <v>85</v>
      </c>
      <c r="K96" s="1" t="s">
        <v>94</v>
      </c>
      <c r="L96" s="1" t="s">
        <v>13</v>
      </c>
      <c r="M96" s="1">
        <v>4</v>
      </c>
      <c r="N96" s="1">
        <v>0</v>
      </c>
      <c r="O96" s="1">
        <v>0</v>
      </c>
      <c r="P96" s="1">
        <v>0</v>
      </c>
      <c r="Q96" s="1"/>
      <c r="R96" s="1"/>
      <c r="S96" s="1"/>
      <c r="T96" s="1"/>
      <c r="U96" s="1"/>
      <c r="V96" s="1"/>
      <c r="W96" s="1"/>
      <c r="X96" s="1"/>
      <c r="Y96" s="1"/>
      <c r="Z96" s="1" t="s">
        <v>21</v>
      </c>
      <c r="AA96" s="1" t="s">
        <v>21</v>
      </c>
      <c r="AB96" s="17">
        <v>43572</v>
      </c>
      <c r="AC96" s="18" t="s">
        <v>13</v>
      </c>
      <c r="AD96" s="125"/>
      <c r="AE96" s="125"/>
      <c r="AF96" s="51"/>
      <c r="AG96" s="10"/>
      <c r="AM96"/>
    </row>
    <row r="97" spans="2:39" ht="15" hidden="1" customHeight="1" x14ac:dyDescent="0.25">
      <c r="B97" s="1">
        <v>87</v>
      </c>
      <c r="C97" s="1">
        <v>0</v>
      </c>
      <c r="D97" s="1" t="s">
        <v>10</v>
      </c>
      <c r="E97" s="1" t="s">
        <v>224</v>
      </c>
      <c r="F97" s="1" t="s">
        <v>173</v>
      </c>
      <c r="G97" s="1" t="s">
        <v>173</v>
      </c>
      <c r="H97" s="1" t="s">
        <v>372</v>
      </c>
      <c r="I97" s="1"/>
      <c r="J97" s="1" t="s">
        <v>85</v>
      </c>
      <c r="K97" s="1" t="s">
        <v>94</v>
      </c>
      <c r="L97" s="1" t="s">
        <v>13</v>
      </c>
      <c r="M97" s="1">
        <v>4</v>
      </c>
      <c r="N97" s="1">
        <v>0</v>
      </c>
      <c r="O97" s="1">
        <v>0</v>
      </c>
      <c r="P97" s="1">
        <v>0</v>
      </c>
      <c r="Q97" s="1"/>
      <c r="R97" s="1"/>
      <c r="S97" s="1"/>
      <c r="T97" s="1"/>
      <c r="U97" s="1"/>
      <c r="V97" s="1"/>
      <c r="W97" s="1"/>
      <c r="X97" s="1"/>
      <c r="Y97" s="1"/>
      <c r="Z97" s="1" t="s">
        <v>21</v>
      </c>
      <c r="AA97" s="1" t="s">
        <v>21</v>
      </c>
      <c r="AB97" s="17">
        <v>43572</v>
      </c>
      <c r="AC97" s="18" t="s">
        <v>13</v>
      </c>
      <c r="AD97" s="125"/>
      <c r="AE97" s="125"/>
      <c r="AF97" s="51"/>
      <c r="AG97" s="10"/>
      <c r="AM97"/>
    </row>
    <row r="98" spans="2:39" ht="15" hidden="1" customHeight="1" x14ac:dyDescent="0.25">
      <c r="B98" s="1">
        <v>88</v>
      </c>
      <c r="C98" s="1">
        <v>0</v>
      </c>
      <c r="D98" s="1" t="s">
        <v>177</v>
      </c>
      <c r="E98" s="1" t="s">
        <v>224</v>
      </c>
      <c r="F98" s="1" t="s">
        <v>176</v>
      </c>
      <c r="G98" s="1" t="s">
        <v>177</v>
      </c>
      <c r="H98" s="1" t="s">
        <v>363</v>
      </c>
      <c r="I98" s="1"/>
      <c r="J98" s="1" t="s">
        <v>85</v>
      </c>
      <c r="K98" s="1" t="s">
        <v>330</v>
      </c>
      <c r="L98" s="1" t="s">
        <v>340</v>
      </c>
      <c r="M98" s="1">
        <v>4</v>
      </c>
      <c r="N98" s="1">
        <v>0</v>
      </c>
      <c r="O98" s="1">
        <v>0</v>
      </c>
      <c r="P98" s="1">
        <v>0</v>
      </c>
      <c r="Q98" s="1"/>
      <c r="R98" s="1"/>
      <c r="S98" s="1">
        <v>3</v>
      </c>
      <c r="T98" s="1"/>
      <c r="U98" s="1"/>
      <c r="V98" s="1"/>
      <c r="W98" s="1"/>
      <c r="X98" s="1"/>
      <c r="Y98" s="1"/>
      <c r="Z98" s="1" t="s">
        <v>21</v>
      </c>
      <c r="AA98" s="1" t="s">
        <v>21</v>
      </c>
      <c r="AB98" s="17">
        <v>44854</v>
      </c>
      <c r="AC98" s="18" t="s">
        <v>408</v>
      </c>
      <c r="AD98" s="125"/>
      <c r="AE98" s="125"/>
      <c r="AF98" s="51"/>
      <c r="AG98" s="10"/>
      <c r="AM98"/>
    </row>
    <row r="99" spans="2:39" ht="15" hidden="1" customHeight="1" x14ac:dyDescent="0.25">
      <c r="B99" s="1">
        <v>89</v>
      </c>
      <c r="C99" s="1">
        <v>0</v>
      </c>
      <c r="D99" s="1" t="s">
        <v>177</v>
      </c>
      <c r="E99" s="1" t="s">
        <v>224</v>
      </c>
      <c r="F99" s="1" t="s">
        <v>176</v>
      </c>
      <c r="G99" s="1" t="s">
        <v>177</v>
      </c>
      <c r="H99" s="1" t="s">
        <v>182</v>
      </c>
      <c r="I99" s="1"/>
      <c r="J99" s="1" t="s">
        <v>85</v>
      </c>
      <c r="K99" s="1" t="s">
        <v>330</v>
      </c>
      <c r="L99" s="1" t="s">
        <v>340</v>
      </c>
      <c r="M99" s="1">
        <v>4</v>
      </c>
      <c r="N99" s="1">
        <v>0</v>
      </c>
      <c r="O99" s="1">
        <v>0</v>
      </c>
      <c r="P99" s="1">
        <v>0</v>
      </c>
      <c r="Q99" s="1"/>
      <c r="R99" s="1"/>
      <c r="S99" s="1">
        <v>3</v>
      </c>
      <c r="T99" s="1"/>
      <c r="U99" s="1"/>
      <c r="V99" s="1"/>
      <c r="W99" s="1"/>
      <c r="X99" s="1"/>
      <c r="Y99" s="1"/>
      <c r="Z99" s="1" t="s">
        <v>21</v>
      </c>
      <c r="AA99" s="1" t="s">
        <v>21</v>
      </c>
      <c r="AB99" s="17">
        <v>44854</v>
      </c>
      <c r="AC99" s="18" t="s">
        <v>408</v>
      </c>
      <c r="AD99" s="125"/>
      <c r="AE99" s="125"/>
      <c r="AF99" s="51"/>
      <c r="AG99" s="10"/>
      <c r="AM99"/>
    </row>
    <row r="100" spans="2:39" ht="15" hidden="1" customHeight="1" x14ac:dyDescent="0.25">
      <c r="B100" s="1">
        <v>90</v>
      </c>
      <c r="C100" s="1">
        <v>0</v>
      </c>
      <c r="D100" s="1" t="s">
        <v>10</v>
      </c>
      <c r="E100" s="1" t="s">
        <v>224</v>
      </c>
      <c r="F100" s="1" t="s">
        <v>180</v>
      </c>
      <c r="G100" s="1" t="s">
        <v>180</v>
      </c>
      <c r="H100" s="1" t="s">
        <v>180</v>
      </c>
      <c r="I100" s="1"/>
      <c r="J100" s="1" t="s">
        <v>86</v>
      </c>
      <c r="K100" s="1" t="s">
        <v>94</v>
      </c>
      <c r="L100" s="1" t="s">
        <v>13</v>
      </c>
      <c r="M100" s="1">
        <v>4</v>
      </c>
      <c r="N100" s="1">
        <v>0</v>
      </c>
      <c r="O100" s="1">
        <v>0</v>
      </c>
      <c r="P100" s="1">
        <v>0</v>
      </c>
      <c r="Q100" s="1"/>
      <c r="R100" s="1"/>
      <c r="S100" s="1"/>
      <c r="T100" s="1"/>
      <c r="U100" s="1"/>
      <c r="V100" s="1"/>
      <c r="W100" s="1"/>
      <c r="X100" s="1"/>
      <c r="Y100" s="1"/>
      <c r="Z100" s="1" t="s">
        <v>21</v>
      </c>
      <c r="AA100" s="1" t="s">
        <v>21</v>
      </c>
      <c r="AB100" s="17"/>
      <c r="AC100" s="18"/>
      <c r="AD100" s="125"/>
      <c r="AE100" s="125"/>
      <c r="AF100" s="51"/>
      <c r="AG100" s="10"/>
      <c r="AM100"/>
    </row>
    <row r="101" spans="2:39" ht="15" hidden="1" customHeight="1" x14ac:dyDescent="0.25">
      <c r="B101" s="1">
        <v>91</v>
      </c>
      <c r="C101" s="1">
        <v>0</v>
      </c>
      <c r="D101" s="1" t="s">
        <v>177</v>
      </c>
      <c r="E101" s="1" t="s">
        <v>224</v>
      </c>
      <c r="F101" s="1" t="s">
        <v>176</v>
      </c>
      <c r="G101" s="1" t="s">
        <v>176</v>
      </c>
      <c r="H101" s="1" t="s">
        <v>364</v>
      </c>
      <c r="I101" s="1"/>
      <c r="J101" s="1" t="s">
        <v>87</v>
      </c>
      <c r="K101" s="1" t="s">
        <v>330</v>
      </c>
      <c r="L101" s="1" t="s">
        <v>340</v>
      </c>
      <c r="M101" s="1">
        <v>4</v>
      </c>
      <c r="N101" s="1">
        <v>0</v>
      </c>
      <c r="O101" s="1">
        <v>0</v>
      </c>
      <c r="P101" s="1">
        <v>0</v>
      </c>
      <c r="Q101" s="1"/>
      <c r="R101" s="1"/>
      <c r="S101" s="1"/>
      <c r="T101" s="1"/>
      <c r="U101" s="1"/>
      <c r="V101" s="1"/>
      <c r="W101" s="1"/>
      <c r="X101" s="1"/>
      <c r="Y101" s="1"/>
      <c r="Z101" s="1" t="s">
        <v>21</v>
      </c>
      <c r="AA101" s="1" t="s">
        <v>21</v>
      </c>
      <c r="AB101" s="17">
        <v>44105</v>
      </c>
      <c r="AC101" s="18" t="s">
        <v>330</v>
      </c>
      <c r="AD101" s="125"/>
      <c r="AE101" s="125"/>
      <c r="AF101" s="51"/>
      <c r="AG101" s="10"/>
      <c r="AM101"/>
    </row>
    <row r="102" spans="2:39" ht="15" hidden="1" customHeight="1" x14ac:dyDescent="0.25">
      <c r="B102" s="1">
        <v>92</v>
      </c>
      <c r="C102" s="1">
        <v>0</v>
      </c>
      <c r="D102" s="1" t="s">
        <v>184</v>
      </c>
      <c r="E102" s="1" t="s">
        <v>52</v>
      </c>
      <c r="F102" s="1" t="s">
        <v>46</v>
      </c>
      <c r="G102" s="1" t="s">
        <v>46</v>
      </c>
      <c r="H102" s="1" t="s">
        <v>189</v>
      </c>
      <c r="I102" s="1"/>
      <c r="J102" s="1"/>
      <c r="K102" s="1" t="s">
        <v>143</v>
      </c>
      <c r="L102" s="1" t="s">
        <v>62</v>
      </c>
      <c r="M102" s="1">
        <v>0</v>
      </c>
      <c r="N102" s="1">
        <v>0</v>
      </c>
      <c r="O102" s="1">
        <v>4</v>
      </c>
      <c r="P102" s="1">
        <v>0</v>
      </c>
      <c r="Q102" s="1"/>
      <c r="R102" s="1"/>
      <c r="S102" s="1"/>
      <c r="T102" s="1"/>
      <c r="U102" s="1"/>
      <c r="V102" s="1"/>
      <c r="W102" s="1"/>
      <c r="X102" s="1"/>
      <c r="Y102" s="1"/>
      <c r="Z102" s="1" t="s">
        <v>32</v>
      </c>
      <c r="AA102" s="1" t="s">
        <v>32</v>
      </c>
      <c r="AB102" s="17"/>
      <c r="AC102" s="18"/>
      <c r="AD102" s="125"/>
      <c r="AE102" s="125"/>
      <c r="AF102" s="51"/>
      <c r="AG102" s="10" t="s">
        <v>190</v>
      </c>
      <c r="AM102"/>
    </row>
    <row r="103" spans="2:39" ht="15" hidden="1" customHeight="1" x14ac:dyDescent="0.25">
      <c r="B103" s="1">
        <v>93</v>
      </c>
      <c r="C103" s="1">
        <v>0</v>
      </c>
      <c r="D103" s="1" t="s">
        <v>220</v>
      </c>
      <c r="E103" s="1" t="s">
        <v>30</v>
      </c>
      <c r="F103" s="1" t="s">
        <v>113</v>
      </c>
      <c r="G103" s="1"/>
      <c r="H103" s="1" t="s">
        <v>201</v>
      </c>
      <c r="I103" s="1"/>
      <c r="J103" s="1" t="s">
        <v>87</v>
      </c>
      <c r="K103" s="1" t="s">
        <v>486</v>
      </c>
      <c r="L103" s="1" t="s">
        <v>62</v>
      </c>
      <c r="M103" s="1">
        <v>4</v>
      </c>
      <c r="N103" s="1">
        <v>4</v>
      </c>
      <c r="O103" s="1">
        <v>4</v>
      </c>
      <c r="P103" s="1">
        <v>0</v>
      </c>
      <c r="Q103" s="1"/>
      <c r="R103" s="1"/>
      <c r="S103" s="1"/>
      <c r="T103" s="1"/>
      <c r="U103" s="1"/>
      <c r="V103" s="1"/>
      <c r="W103" s="1"/>
      <c r="X103" s="1"/>
      <c r="Y103" s="1"/>
      <c r="Z103" s="1" t="s">
        <v>21</v>
      </c>
      <c r="AA103" s="1" t="s">
        <v>21</v>
      </c>
      <c r="AB103" s="17"/>
      <c r="AC103" s="18"/>
      <c r="AD103" s="125"/>
      <c r="AE103" s="125"/>
      <c r="AF103" s="51"/>
      <c r="AG103" s="10"/>
      <c r="AM103"/>
    </row>
    <row r="104" spans="2:39" ht="15" hidden="1" customHeight="1" x14ac:dyDescent="0.25">
      <c r="B104" s="1">
        <v>94</v>
      </c>
      <c r="C104" s="1">
        <v>0</v>
      </c>
      <c r="D104" s="1" t="s">
        <v>249</v>
      </c>
      <c r="E104" s="1" t="s">
        <v>30</v>
      </c>
      <c r="F104" s="1" t="s">
        <v>43</v>
      </c>
      <c r="G104" s="1"/>
      <c r="H104" s="1" t="s">
        <v>203</v>
      </c>
      <c r="I104" s="1"/>
      <c r="J104" s="1" t="s">
        <v>85</v>
      </c>
      <c r="K104" s="1" t="s">
        <v>502</v>
      </c>
      <c r="L104" s="1" t="s">
        <v>486</v>
      </c>
      <c r="M104" s="1">
        <v>4</v>
      </c>
      <c r="N104" s="1">
        <v>4</v>
      </c>
      <c r="O104" s="1">
        <v>3</v>
      </c>
      <c r="P104" s="1">
        <v>0</v>
      </c>
      <c r="Q104" s="1"/>
      <c r="R104" s="1"/>
      <c r="S104" s="1"/>
      <c r="T104" s="1"/>
      <c r="U104" s="1"/>
      <c r="V104" s="1"/>
      <c r="W104" s="1"/>
      <c r="X104" s="1"/>
      <c r="Y104" s="1"/>
      <c r="Z104" s="1" t="s">
        <v>21</v>
      </c>
      <c r="AA104" s="1" t="s">
        <v>21</v>
      </c>
      <c r="AB104" s="17"/>
      <c r="AC104" s="18"/>
      <c r="AD104" s="125"/>
      <c r="AE104" s="125"/>
      <c r="AF104" s="51"/>
      <c r="AG104" s="10"/>
      <c r="AM104"/>
    </row>
    <row r="105" spans="2:39" ht="15" hidden="1" customHeight="1" x14ac:dyDescent="0.25">
      <c r="B105" s="1">
        <v>95</v>
      </c>
      <c r="C105" s="1">
        <v>0</v>
      </c>
      <c r="D105" s="1" t="s">
        <v>221</v>
      </c>
      <c r="E105" s="1" t="s">
        <v>30</v>
      </c>
      <c r="F105" s="1" t="s">
        <v>43</v>
      </c>
      <c r="G105" s="1"/>
      <c r="H105" s="1" t="s">
        <v>204</v>
      </c>
      <c r="I105" s="1"/>
      <c r="J105" s="1" t="s">
        <v>87</v>
      </c>
      <c r="K105" s="1" t="s">
        <v>502</v>
      </c>
      <c r="L105" s="1" t="s">
        <v>486</v>
      </c>
      <c r="M105" s="1">
        <v>4</v>
      </c>
      <c r="N105" s="1">
        <v>4</v>
      </c>
      <c r="O105" s="1">
        <v>4</v>
      </c>
      <c r="P105" s="1">
        <v>0</v>
      </c>
      <c r="Q105" s="1"/>
      <c r="R105" s="1"/>
      <c r="S105" s="1"/>
      <c r="T105" s="1"/>
      <c r="U105" s="1"/>
      <c r="V105" s="1"/>
      <c r="W105" s="1"/>
      <c r="X105" s="1"/>
      <c r="Y105" s="1"/>
      <c r="Z105" s="1" t="s">
        <v>21</v>
      </c>
      <c r="AA105" s="1" t="s">
        <v>21</v>
      </c>
      <c r="AB105" s="17">
        <v>44594</v>
      </c>
      <c r="AC105" s="18" t="s">
        <v>486</v>
      </c>
      <c r="AD105" s="125"/>
      <c r="AE105" s="125"/>
      <c r="AF105" s="51"/>
      <c r="AG105" s="10"/>
      <c r="AM105"/>
    </row>
    <row r="106" spans="2:39" ht="15" hidden="1" customHeight="1" x14ac:dyDescent="0.25">
      <c r="B106" s="1">
        <v>96</v>
      </c>
      <c r="C106" s="1">
        <v>0</v>
      </c>
      <c r="D106" s="1" t="s">
        <v>218</v>
      </c>
      <c r="E106" s="1" t="s">
        <v>30</v>
      </c>
      <c r="F106" s="1" t="s">
        <v>43</v>
      </c>
      <c r="G106" s="1"/>
      <c r="H106" s="1" t="s">
        <v>205</v>
      </c>
      <c r="I106" s="1"/>
      <c r="J106" s="1" t="s">
        <v>87</v>
      </c>
      <c r="K106" s="1" t="s">
        <v>11</v>
      </c>
      <c r="L106" s="1" t="s">
        <v>62</v>
      </c>
      <c r="M106" s="1">
        <v>4</v>
      </c>
      <c r="N106" s="1">
        <v>4</v>
      </c>
      <c r="O106" s="1">
        <v>3</v>
      </c>
      <c r="P106" s="1">
        <v>0</v>
      </c>
      <c r="Q106" s="1"/>
      <c r="R106" s="1"/>
      <c r="S106" s="1"/>
      <c r="T106" s="1"/>
      <c r="U106" s="1"/>
      <c r="V106" s="1"/>
      <c r="W106" s="1"/>
      <c r="X106" s="1"/>
      <c r="Y106" s="1"/>
      <c r="Z106" s="1" t="s">
        <v>21</v>
      </c>
      <c r="AA106" s="1" t="s">
        <v>21</v>
      </c>
      <c r="AB106" s="17"/>
      <c r="AC106" s="18"/>
      <c r="AD106" s="125"/>
      <c r="AE106" s="125"/>
      <c r="AF106" s="51"/>
      <c r="AG106" s="10"/>
      <c r="AM106"/>
    </row>
    <row r="107" spans="2:39" ht="15" hidden="1" customHeight="1" x14ac:dyDescent="0.25">
      <c r="B107" s="1">
        <v>97</v>
      </c>
      <c r="C107" s="1">
        <v>0</v>
      </c>
      <c r="D107" s="1" t="s">
        <v>220</v>
      </c>
      <c r="E107" s="1" t="s">
        <v>191</v>
      </c>
      <c r="F107" s="1" t="s">
        <v>113</v>
      </c>
      <c r="G107" s="1"/>
      <c r="H107" s="1" t="s">
        <v>206</v>
      </c>
      <c r="I107" s="1"/>
      <c r="J107" s="1" t="s">
        <v>85</v>
      </c>
      <c r="K107" s="1" t="s">
        <v>486</v>
      </c>
      <c r="L107" s="1" t="s">
        <v>62</v>
      </c>
      <c r="M107" s="1">
        <v>4</v>
      </c>
      <c r="N107" s="1">
        <v>4</v>
      </c>
      <c r="O107" s="1">
        <v>4</v>
      </c>
      <c r="P107" s="1">
        <v>0</v>
      </c>
      <c r="Q107" s="1"/>
      <c r="R107" s="1"/>
      <c r="S107" s="1"/>
      <c r="T107" s="1"/>
      <c r="U107" s="1"/>
      <c r="V107" s="1"/>
      <c r="W107" s="1"/>
      <c r="X107" s="1"/>
      <c r="Y107" s="1"/>
      <c r="Z107" s="1" t="s">
        <v>21</v>
      </c>
      <c r="AA107" s="1" t="s">
        <v>21</v>
      </c>
      <c r="AB107" s="17"/>
      <c r="AC107" s="18"/>
      <c r="AD107" s="125"/>
      <c r="AE107" s="125"/>
      <c r="AF107" s="51"/>
      <c r="AG107" s="10"/>
      <c r="AM107"/>
    </row>
    <row r="108" spans="2:39" ht="15" hidden="1" customHeight="1" x14ac:dyDescent="0.25">
      <c r="B108" s="1">
        <v>98</v>
      </c>
      <c r="C108" s="1">
        <v>0</v>
      </c>
      <c r="D108" s="1" t="s">
        <v>222</v>
      </c>
      <c r="E108" s="1" t="s">
        <v>196</v>
      </c>
      <c r="F108" s="1" t="s">
        <v>207</v>
      </c>
      <c r="G108" s="1"/>
      <c r="H108" s="1" t="s">
        <v>208</v>
      </c>
      <c r="I108" s="1"/>
      <c r="J108" s="1" t="s">
        <v>85</v>
      </c>
      <c r="K108" s="1" t="s">
        <v>11</v>
      </c>
      <c r="L108" s="1" t="s">
        <v>62</v>
      </c>
      <c r="M108" s="1">
        <v>4</v>
      </c>
      <c r="N108" s="1">
        <v>4</v>
      </c>
      <c r="O108" s="1">
        <v>3</v>
      </c>
      <c r="P108" s="1">
        <v>0</v>
      </c>
      <c r="Q108" s="1"/>
      <c r="R108" s="1"/>
      <c r="S108" s="1"/>
      <c r="T108" s="1"/>
      <c r="U108" s="1"/>
      <c r="V108" s="1"/>
      <c r="W108" s="1"/>
      <c r="X108" s="1"/>
      <c r="Y108" s="1"/>
      <c r="Z108" s="1" t="s">
        <v>21</v>
      </c>
      <c r="AA108" s="1" t="s">
        <v>21</v>
      </c>
      <c r="AB108" s="17"/>
      <c r="AC108" s="18"/>
      <c r="AD108" s="125"/>
      <c r="AE108" s="125"/>
      <c r="AF108" s="51"/>
      <c r="AG108" s="10"/>
      <c r="AM108"/>
    </row>
    <row r="109" spans="2:39" ht="15" hidden="1" customHeight="1" x14ac:dyDescent="0.25">
      <c r="B109" s="1">
        <v>99</v>
      </c>
      <c r="C109" s="1">
        <v>0</v>
      </c>
      <c r="D109" s="1" t="s">
        <v>220</v>
      </c>
      <c r="E109" s="1" t="s">
        <v>196</v>
      </c>
      <c r="F109" s="1" t="s">
        <v>113</v>
      </c>
      <c r="G109" s="1"/>
      <c r="H109" s="1" t="s">
        <v>209</v>
      </c>
      <c r="I109" s="1"/>
      <c r="J109" s="1" t="s">
        <v>87</v>
      </c>
      <c r="K109" s="1" t="s">
        <v>486</v>
      </c>
      <c r="L109" s="1" t="s">
        <v>62</v>
      </c>
      <c r="M109" s="1">
        <v>4</v>
      </c>
      <c r="N109" s="1">
        <v>4</v>
      </c>
      <c r="O109" s="1">
        <v>3</v>
      </c>
      <c r="P109" s="1">
        <v>0</v>
      </c>
      <c r="Q109" s="1"/>
      <c r="R109" s="1"/>
      <c r="S109" s="1"/>
      <c r="T109" s="1"/>
      <c r="U109" s="1"/>
      <c r="V109" s="1"/>
      <c r="W109" s="1"/>
      <c r="X109" s="1"/>
      <c r="Y109" s="1"/>
      <c r="Z109" s="1" t="s">
        <v>21</v>
      </c>
      <c r="AA109" s="1" t="s">
        <v>21</v>
      </c>
      <c r="AB109" s="17"/>
      <c r="AC109" s="18"/>
      <c r="AD109" s="125"/>
      <c r="AE109" s="125"/>
      <c r="AF109" s="51"/>
      <c r="AG109" s="10"/>
      <c r="AM109"/>
    </row>
    <row r="110" spans="2:39" ht="15" hidden="1" customHeight="1" x14ac:dyDescent="0.25">
      <c r="B110" s="1">
        <v>100</v>
      </c>
      <c r="C110" s="1">
        <v>0</v>
      </c>
      <c r="D110" s="1" t="s">
        <v>220</v>
      </c>
      <c r="E110" s="1" t="s">
        <v>202</v>
      </c>
      <c r="F110" s="1" t="s">
        <v>113</v>
      </c>
      <c r="G110" s="1"/>
      <c r="H110" s="1" t="s">
        <v>210</v>
      </c>
      <c r="I110" s="1"/>
      <c r="J110" s="1" t="s">
        <v>87</v>
      </c>
      <c r="K110" s="1" t="s">
        <v>486</v>
      </c>
      <c r="L110" s="1" t="s">
        <v>62</v>
      </c>
      <c r="M110" s="1">
        <v>4</v>
      </c>
      <c r="N110" s="1">
        <v>4</v>
      </c>
      <c r="O110" s="1">
        <v>3</v>
      </c>
      <c r="P110" s="1">
        <v>0</v>
      </c>
      <c r="Q110" s="1"/>
      <c r="R110" s="1"/>
      <c r="S110" s="1"/>
      <c r="T110" s="1"/>
      <c r="U110" s="1"/>
      <c r="V110" s="1"/>
      <c r="W110" s="1"/>
      <c r="X110" s="1"/>
      <c r="Y110" s="1"/>
      <c r="Z110" s="1" t="s">
        <v>21</v>
      </c>
      <c r="AA110" s="1" t="s">
        <v>21</v>
      </c>
      <c r="AB110" s="17"/>
      <c r="AC110" s="18"/>
      <c r="AD110" s="125"/>
      <c r="AE110" s="125"/>
      <c r="AF110" s="51"/>
      <c r="AG110" s="10"/>
      <c r="AM110"/>
    </row>
    <row r="111" spans="2:39" ht="15" hidden="1" customHeight="1" x14ac:dyDescent="0.25">
      <c r="B111" s="1">
        <v>101</v>
      </c>
      <c r="C111" s="1">
        <v>0</v>
      </c>
      <c r="D111" s="1" t="s">
        <v>220</v>
      </c>
      <c r="E111" s="1" t="s">
        <v>30</v>
      </c>
      <c r="F111" s="1" t="s">
        <v>113</v>
      </c>
      <c r="G111" s="1"/>
      <c r="H111" s="1" t="s">
        <v>211</v>
      </c>
      <c r="I111" s="1"/>
      <c r="J111" s="1" t="s">
        <v>87</v>
      </c>
      <c r="K111" s="1" t="s">
        <v>486</v>
      </c>
      <c r="L111" s="1" t="s">
        <v>62</v>
      </c>
      <c r="M111" s="1">
        <v>4</v>
      </c>
      <c r="N111" s="1">
        <v>4</v>
      </c>
      <c r="O111" s="1">
        <v>3</v>
      </c>
      <c r="P111" s="1">
        <v>0</v>
      </c>
      <c r="Q111" s="1"/>
      <c r="R111" s="1"/>
      <c r="S111" s="1"/>
      <c r="T111" s="1"/>
      <c r="U111" s="1"/>
      <c r="V111" s="1"/>
      <c r="W111" s="1"/>
      <c r="X111" s="1"/>
      <c r="Y111" s="1"/>
      <c r="Z111" s="1" t="s">
        <v>21</v>
      </c>
      <c r="AA111" s="1" t="s">
        <v>21</v>
      </c>
      <c r="AB111" s="17"/>
      <c r="AC111" s="18"/>
      <c r="AD111" s="125"/>
      <c r="AE111" s="125"/>
      <c r="AF111" s="51"/>
      <c r="AG111" s="10"/>
      <c r="AM111"/>
    </row>
    <row r="112" spans="2:39" ht="15" hidden="1" customHeight="1" x14ac:dyDescent="0.25">
      <c r="B112" s="1">
        <v>102</v>
      </c>
      <c r="C112" s="1">
        <v>0</v>
      </c>
      <c r="D112" s="1" t="s">
        <v>212</v>
      </c>
      <c r="E112" s="1" t="s">
        <v>101</v>
      </c>
      <c r="F112" s="1" t="s">
        <v>1303</v>
      </c>
      <c r="G112" s="1" t="s">
        <v>1302</v>
      </c>
      <c r="H112" s="1" t="s">
        <v>213</v>
      </c>
      <c r="I112" s="1"/>
      <c r="J112" s="1" t="s">
        <v>85</v>
      </c>
      <c r="K112" s="1" t="s">
        <v>452</v>
      </c>
      <c r="L112" s="1" t="s">
        <v>1049</v>
      </c>
      <c r="M112" s="1">
        <v>0</v>
      </c>
      <c r="N112" s="1">
        <v>0</v>
      </c>
      <c r="O112" s="1">
        <v>0</v>
      </c>
      <c r="P112" s="1">
        <v>2</v>
      </c>
      <c r="Q112" s="1"/>
      <c r="R112" s="1"/>
      <c r="S112" s="1"/>
      <c r="T112" s="1">
        <v>4</v>
      </c>
      <c r="U112" s="1"/>
      <c r="V112" s="1"/>
      <c r="W112" s="1"/>
      <c r="X112" s="1"/>
      <c r="Y112" s="1"/>
      <c r="Z112" s="1" t="s">
        <v>21</v>
      </c>
      <c r="AA112" s="1" t="s">
        <v>21</v>
      </c>
      <c r="AB112" s="17">
        <v>44967</v>
      </c>
      <c r="AC112" s="18" t="s">
        <v>417</v>
      </c>
      <c r="AD112" s="126" t="s">
        <v>1119</v>
      </c>
      <c r="AE112" s="126" t="s">
        <v>1120</v>
      </c>
      <c r="AF112" s="51">
        <v>0.9</v>
      </c>
      <c r="AG112" s="10"/>
      <c r="AM112"/>
    </row>
    <row r="113" spans="2:39" ht="15" hidden="1" customHeight="1" x14ac:dyDescent="0.25">
      <c r="B113" s="1">
        <v>103</v>
      </c>
      <c r="C113" s="1">
        <v>0</v>
      </c>
      <c r="D113" s="1" t="s">
        <v>212</v>
      </c>
      <c r="E113" s="1" t="s">
        <v>101</v>
      </c>
      <c r="F113" s="1" t="s">
        <v>118</v>
      </c>
      <c r="G113" s="1" t="s">
        <v>118</v>
      </c>
      <c r="H113" s="1" t="s">
        <v>214</v>
      </c>
      <c r="I113" s="1"/>
      <c r="J113" s="1" t="s">
        <v>85</v>
      </c>
      <c r="K113" s="1" t="s">
        <v>61</v>
      </c>
      <c r="L113" s="1" t="s">
        <v>170</v>
      </c>
      <c r="M113" s="1">
        <v>0</v>
      </c>
      <c r="N113" s="1">
        <v>0</v>
      </c>
      <c r="O113" s="1">
        <v>0</v>
      </c>
      <c r="P113" s="1">
        <v>2</v>
      </c>
      <c r="Q113" s="1"/>
      <c r="R113" s="1"/>
      <c r="S113" s="1"/>
      <c r="T113" s="1"/>
      <c r="U113" s="1"/>
      <c r="V113" s="1"/>
      <c r="W113" s="1"/>
      <c r="X113" s="1"/>
      <c r="Y113" s="1"/>
      <c r="Z113" s="1" t="s">
        <v>32</v>
      </c>
      <c r="AA113" s="1" t="s">
        <v>32</v>
      </c>
      <c r="AB113" s="17"/>
      <c r="AC113" s="18"/>
      <c r="AD113" s="125"/>
      <c r="AE113" s="125"/>
      <c r="AF113" s="51"/>
      <c r="AG113" s="10"/>
      <c r="AM113"/>
    </row>
    <row r="114" spans="2:39" ht="15" hidden="1" customHeight="1" x14ac:dyDescent="0.25">
      <c r="B114" s="1">
        <v>104</v>
      </c>
      <c r="C114" s="1">
        <v>0</v>
      </c>
      <c r="D114" s="1" t="s">
        <v>212</v>
      </c>
      <c r="E114" s="1" t="s">
        <v>101</v>
      </c>
      <c r="F114" s="1" t="s">
        <v>1303</v>
      </c>
      <c r="G114" s="1" t="s">
        <v>1302</v>
      </c>
      <c r="H114" s="1" t="s">
        <v>215</v>
      </c>
      <c r="I114" s="1"/>
      <c r="J114" s="1" t="s">
        <v>85</v>
      </c>
      <c r="K114" s="1" t="s">
        <v>452</v>
      </c>
      <c r="L114" s="1" t="s">
        <v>170</v>
      </c>
      <c r="M114" s="1">
        <v>0</v>
      </c>
      <c r="N114" s="1">
        <v>0</v>
      </c>
      <c r="O114" s="1">
        <v>0</v>
      </c>
      <c r="P114" s="1">
        <v>2</v>
      </c>
      <c r="Q114" s="1"/>
      <c r="R114" s="1"/>
      <c r="S114" s="1"/>
      <c r="T114" s="1"/>
      <c r="U114" s="1"/>
      <c r="V114" s="1"/>
      <c r="W114" s="1"/>
      <c r="X114" s="1"/>
      <c r="Y114" s="1"/>
      <c r="Z114" s="1" t="s">
        <v>21</v>
      </c>
      <c r="AA114" s="1" t="s">
        <v>21</v>
      </c>
      <c r="AB114" s="17"/>
      <c r="AC114" s="18"/>
      <c r="AD114" s="125"/>
      <c r="AE114" s="125"/>
      <c r="AF114" s="51"/>
      <c r="AG114" s="10"/>
      <c r="AM114"/>
    </row>
    <row r="115" spans="2:39" hidden="1" x14ac:dyDescent="0.25">
      <c r="B115" s="1">
        <v>105</v>
      </c>
      <c r="C115" s="1">
        <v>0</v>
      </c>
      <c r="D115" s="1" t="s">
        <v>185</v>
      </c>
      <c r="E115" s="1" t="s">
        <v>30</v>
      </c>
      <c r="F115" s="1" t="s">
        <v>113</v>
      </c>
      <c r="G115" s="1"/>
      <c r="H115" s="1" t="s">
        <v>216</v>
      </c>
      <c r="I115" s="1"/>
      <c r="J115" s="1" t="s">
        <v>86</v>
      </c>
      <c r="K115" s="1" t="s">
        <v>62</v>
      </c>
      <c r="L115" s="1" t="s">
        <v>11</v>
      </c>
      <c r="M115" s="1">
        <v>4</v>
      </c>
      <c r="N115" s="1">
        <v>4</v>
      </c>
      <c r="O115" s="1">
        <v>4</v>
      </c>
      <c r="P115" s="1">
        <v>0</v>
      </c>
      <c r="Q115" s="1"/>
      <c r="R115" s="1"/>
      <c r="S115" s="1"/>
      <c r="T115" s="1"/>
      <c r="U115" s="1"/>
      <c r="V115" s="1"/>
      <c r="W115" s="1"/>
      <c r="X115" s="1"/>
      <c r="Y115" s="1"/>
      <c r="Z115" s="1" t="s">
        <v>21</v>
      </c>
      <c r="AA115" s="1" t="s">
        <v>21</v>
      </c>
      <c r="AB115" s="17">
        <v>44594</v>
      </c>
      <c r="AC115" s="18" t="s">
        <v>486</v>
      </c>
      <c r="AD115" s="125"/>
      <c r="AE115" s="125"/>
      <c r="AF115" s="51"/>
      <c r="AG115" s="10"/>
      <c r="AM115"/>
    </row>
    <row r="116" spans="2:39" ht="15" hidden="1" customHeight="1" x14ac:dyDescent="0.25">
      <c r="B116" s="1">
        <v>106</v>
      </c>
      <c r="C116" s="1">
        <v>0</v>
      </c>
      <c r="D116" s="1" t="s">
        <v>212</v>
      </c>
      <c r="E116" s="1" t="s">
        <v>101</v>
      </c>
      <c r="F116" s="1" t="s">
        <v>118</v>
      </c>
      <c r="G116" s="1" t="s">
        <v>118</v>
      </c>
      <c r="H116" s="1" t="s">
        <v>225</v>
      </c>
      <c r="I116" s="1"/>
      <c r="J116" s="1" t="s">
        <v>86</v>
      </c>
      <c r="K116" s="1" t="s">
        <v>170</v>
      </c>
      <c r="L116" s="1" t="s">
        <v>452</v>
      </c>
      <c r="M116" s="1">
        <v>0</v>
      </c>
      <c r="N116" s="1">
        <v>0</v>
      </c>
      <c r="O116" s="1">
        <v>0</v>
      </c>
      <c r="P116" s="1">
        <v>0</v>
      </c>
      <c r="Q116" s="1"/>
      <c r="R116" s="1"/>
      <c r="S116" s="1"/>
      <c r="T116" s="1">
        <v>4</v>
      </c>
      <c r="U116" s="1"/>
      <c r="V116" s="1"/>
      <c r="W116" s="1"/>
      <c r="X116" s="1"/>
      <c r="Y116" s="1"/>
      <c r="Z116" s="1" t="s">
        <v>32</v>
      </c>
      <c r="AA116" s="1" t="s">
        <v>32</v>
      </c>
      <c r="AB116" s="17"/>
      <c r="AC116" s="18"/>
      <c r="AD116" s="125"/>
      <c r="AE116" s="125"/>
      <c r="AF116" s="51"/>
      <c r="AG116" s="10"/>
      <c r="AM116"/>
    </row>
    <row r="117" spans="2:39" ht="15" hidden="1" customHeight="1" x14ac:dyDescent="0.25">
      <c r="B117" s="1">
        <v>107</v>
      </c>
      <c r="C117" s="1">
        <v>0</v>
      </c>
      <c r="D117" s="1" t="s">
        <v>177</v>
      </c>
      <c r="E117" s="1" t="s">
        <v>224</v>
      </c>
      <c r="F117" s="1" t="s">
        <v>176</v>
      </c>
      <c r="G117" s="1" t="s">
        <v>176</v>
      </c>
      <c r="H117" s="1" t="s">
        <v>534</v>
      </c>
      <c r="I117" s="1"/>
      <c r="J117" s="1" t="s">
        <v>87</v>
      </c>
      <c r="K117" s="1" t="s">
        <v>330</v>
      </c>
      <c r="L117" s="1" t="s">
        <v>340</v>
      </c>
      <c r="M117" s="1">
        <v>4</v>
      </c>
      <c r="N117" s="1">
        <v>0</v>
      </c>
      <c r="O117" s="1">
        <v>0</v>
      </c>
      <c r="P117" s="1">
        <v>0</v>
      </c>
      <c r="Q117" s="1"/>
      <c r="R117" s="1"/>
      <c r="S117" s="1">
        <v>3</v>
      </c>
      <c r="T117" s="1"/>
      <c r="U117" s="1"/>
      <c r="V117" s="1"/>
      <c r="W117" s="1"/>
      <c r="X117" s="1"/>
      <c r="Y117" s="1"/>
      <c r="Z117" s="1" t="s">
        <v>21</v>
      </c>
      <c r="AA117" s="1" t="s">
        <v>21</v>
      </c>
      <c r="AB117" s="17"/>
      <c r="AC117" s="18" t="s">
        <v>408</v>
      </c>
      <c r="AD117" s="125"/>
      <c r="AE117" s="125"/>
      <c r="AF117" s="51"/>
      <c r="AG117" s="10"/>
      <c r="AM117"/>
    </row>
    <row r="118" spans="2:39" ht="15" hidden="1" customHeight="1" x14ac:dyDescent="0.25">
      <c r="B118" s="1">
        <v>108</v>
      </c>
      <c r="C118" s="1">
        <v>0</v>
      </c>
      <c r="D118" s="1" t="s">
        <v>177</v>
      </c>
      <c r="E118" s="1" t="s">
        <v>224</v>
      </c>
      <c r="F118" s="1" t="s">
        <v>176</v>
      </c>
      <c r="G118" s="1" t="s">
        <v>177</v>
      </c>
      <c r="H118" s="1" t="s">
        <v>365</v>
      </c>
      <c r="I118" s="1"/>
      <c r="J118" s="1" t="s">
        <v>87</v>
      </c>
      <c r="K118" s="1" t="s">
        <v>330</v>
      </c>
      <c r="L118" s="1" t="s">
        <v>340</v>
      </c>
      <c r="M118" s="1">
        <v>4</v>
      </c>
      <c r="N118" s="1">
        <v>0</v>
      </c>
      <c r="O118" s="1">
        <v>0</v>
      </c>
      <c r="P118" s="1">
        <v>0</v>
      </c>
      <c r="Q118" s="1"/>
      <c r="R118" s="1"/>
      <c r="S118" s="1"/>
      <c r="T118" s="1"/>
      <c r="U118" s="1"/>
      <c r="V118" s="1"/>
      <c r="W118" s="1"/>
      <c r="X118" s="1"/>
      <c r="Y118" s="1"/>
      <c r="Z118" s="1" t="s">
        <v>21</v>
      </c>
      <c r="AA118" s="1" t="s">
        <v>21</v>
      </c>
      <c r="AB118" s="17">
        <v>44105</v>
      </c>
      <c r="AC118" s="18" t="s">
        <v>330</v>
      </c>
      <c r="AD118" s="125"/>
      <c r="AE118" s="125"/>
      <c r="AF118" s="51"/>
      <c r="AG118" s="10"/>
      <c r="AM118"/>
    </row>
    <row r="119" spans="2:39" ht="15" hidden="1" customHeight="1" x14ac:dyDescent="0.25">
      <c r="B119" s="1">
        <v>109</v>
      </c>
      <c r="C119" s="1">
        <v>0</v>
      </c>
      <c r="D119" s="1" t="s">
        <v>212</v>
      </c>
      <c r="E119" s="1" t="s">
        <v>101</v>
      </c>
      <c r="F119" s="1" t="s">
        <v>118</v>
      </c>
      <c r="G119" s="1" t="s">
        <v>118</v>
      </c>
      <c r="H119" s="1" t="s">
        <v>248</v>
      </c>
      <c r="I119" s="1"/>
      <c r="J119" s="1" t="s">
        <v>85</v>
      </c>
      <c r="K119" s="1" t="s">
        <v>61</v>
      </c>
      <c r="L119" s="1" t="s">
        <v>170</v>
      </c>
      <c r="M119" s="1">
        <v>0</v>
      </c>
      <c r="N119" s="1">
        <v>0</v>
      </c>
      <c r="O119" s="1">
        <v>0</v>
      </c>
      <c r="P119" s="1">
        <v>2</v>
      </c>
      <c r="Q119" s="1"/>
      <c r="R119" s="1"/>
      <c r="S119" s="1"/>
      <c r="T119" s="1"/>
      <c r="U119" s="1"/>
      <c r="V119" s="1"/>
      <c r="W119" s="1"/>
      <c r="X119" s="1"/>
      <c r="Y119" s="1"/>
      <c r="Z119" s="1" t="s">
        <v>21</v>
      </c>
      <c r="AA119" s="1" t="s">
        <v>21</v>
      </c>
      <c r="AB119" s="17"/>
      <c r="AC119" s="18"/>
      <c r="AD119" s="125"/>
      <c r="AE119" s="125"/>
      <c r="AF119" s="51"/>
      <c r="AG119" s="10"/>
      <c r="AM119"/>
    </row>
    <row r="120" spans="2:39" ht="15" hidden="1" customHeight="1" x14ac:dyDescent="0.25">
      <c r="B120" s="1">
        <v>110</v>
      </c>
      <c r="C120" s="1">
        <v>0</v>
      </c>
      <c r="D120" s="1" t="s">
        <v>386</v>
      </c>
      <c r="E120" s="1" t="s">
        <v>294</v>
      </c>
      <c r="F120" s="1" t="s">
        <v>57</v>
      </c>
      <c r="G120" s="1" t="s">
        <v>250</v>
      </c>
      <c r="H120" s="18" t="s">
        <v>251</v>
      </c>
      <c r="I120" s="18"/>
      <c r="J120" s="1" t="s">
        <v>87</v>
      </c>
      <c r="K120" s="1" t="s">
        <v>331</v>
      </c>
      <c r="L120" s="1" t="s">
        <v>12</v>
      </c>
      <c r="M120" s="1">
        <v>0</v>
      </c>
      <c r="N120" s="1">
        <v>0</v>
      </c>
      <c r="O120" s="1">
        <v>0</v>
      </c>
      <c r="P120" s="1">
        <v>0</v>
      </c>
      <c r="Q120" s="1">
        <v>3</v>
      </c>
      <c r="R120" s="1"/>
      <c r="S120" s="1"/>
      <c r="T120" s="1"/>
      <c r="U120" s="1"/>
      <c r="V120" s="1"/>
      <c r="W120" s="1"/>
      <c r="X120" s="1"/>
      <c r="Y120" s="1"/>
      <c r="Z120" s="1" t="s">
        <v>21</v>
      </c>
      <c r="AA120" s="1" t="s">
        <v>21</v>
      </c>
      <c r="AB120" s="17"/>
      <c r="AC120" s="18"/>
      <c r="AD120" s="125"/>
      <c r="AE120" s="125"/>
      <c r="AF120" s="51"/>
      <c r="AG120" s="10"/>
      <c r="AM120"/>
    </row>
    <row r="121" spans="2:39" ht="15" hidden="1" customHeight="1" x14ac:dyDescent="0.25">
      <c r="B121" s="1">
        <v>111</v>
      </c>
      <c r="C121" s="1">
        <v>0</v>
      </c>
      <c r="D121" s="40" t="s">
        <v>186</v>
      </c>
      <c r="E121" s="1" t="s">
        <v>294</v>
      </c>
      <c r="F121" s="1" t="s">
        <v>57</v>
      </c>
      <c r="G121" s="1" t="s">
        <v>250</v>
      </c>
      <c r="H121" s="1" t="s">
        <v>254</v>
      </c>
      <c r="I121" s="1"/>
      <c r="J121" s="1" t="s">
        <v>86</v>
      </c>
      <c r="K121" s="1" t="s">
        <v>331</v>
      </c>
      <c r="L121" s="1" t="s">
        <v>12</v>
      </c>
      <c r="M121" s="1">
        <v>0</v>
      </c>
      <c r="N121" s="1">
        <v>0</v>
      </c>
      <c r="O121" s="1">
        <v>0</v>
      </c>
      <c r="P121" s="1">
        <v>0</v>
      </c>
      <c r="Q121" s="1">
        <v>0</v>
      </c>
      <c r="R121" s="1"/>
      <c r="S121" s="1"/>
      <c r="T121" s="1"/>
      <c r="U121" s="1"/>
      <c r="V121" s="1"/>
      <c r="W121" s="1"/>
      <c r="X121" s="1"/>
      <c r="Y121" s="1"/>
      <c r="Z121" s="1" t="s">
        <v>21</v>
      </c>
      <c r="AA121" s="1" t="s">
        <v>21</v>
      </c>
      <c r="AB121" s="17"/>
      <c r="AC121" s="18"/>
      <c r="AD121" s="125"/>
      <c r="AE121" s="125"/>
      <c r="AF121" s="51"/>
      <c r="AG121" s="47" t="s">
        <v>80</v>
      </c>
      <c r="AM121"/>
    </row>
    <row r="122" spans="2:39" ht="15" hidden="1" customHeight="1" x14ac:dyDescent="0.25">
      <c r="B122" s="1">
        <v>112</v>
      </c>
      <c r="C122" s="1">
        <v>0</v>
      </c>
      <c r="D122" s="1" t="s">
        <v>186</v>
      </c>
      <c r="E122" s="1" t="s">
        <v>186</v>
      </c>
      <c r="F122" s="1" t="s">
        <v>57</v>
      </c>
      <c r="G122" s="1" t="s">
        <v>250</v>
      </c>
      <c r="H122" s="1" t="s">
        <v>255</v>
      </c>
      <c r="I122" s="1"/>
      <c r="J122" s="1" t="s">
        <v>86</v>
      </c>
      <c r="K122" s="1" t="s">
        <v>331</v>
      </c>
      <c r="L122" s="1" t="s">
        <v>12</v>
      </c>
      <c r="M122" s="1">
        <v>0</v>
      </c>
      <c r="N122" s="1">
        <v>0</v>
      </c>
      <c r="O122" s="1">
        <v>0</v>
      </c>
      <c r="P122" s="1">
        <v>0</v>
      </c>
      <c r="Q122" s="1">
        <v>0</v>
      </c>
      <c r="R122" s="1"/>
      <c r="S122" s="1"/>
      <c r="T122" s="1"/>
      <c r="U122" s="1"/>
      <c r="V122" s="1"/>
      <c r="W122" s="1"/>
      <c r="X122" s="1"/>
      <c r="Y122" s="1"/>
      <c r="Z122" s="1" t="s">
        <v>21</v>
      </c>
      <c r="AA122" s="1" t="s">
        <v>21</v>
      </c>
      <c r="AB122" s="17"/>
      <c r="AC122" s="18"/>
      <c r="AD122" s="125"/>
      <c r="AE122" s="125"/>
      <c r="AF122" s="51"/>
      <c r="AG122" s="47" t="s">
        <v>80</v>
      </c>
      <c r="AM122"/>
    </row>
    <row r="123" spans="2:39" ht="15" hidden="1" customHeight="1" x14ac:dyDescent="0.25">
      <c r="B123" s="1">
        <v>113</v>
      </c>
      <c r="C123" s="1">
        <v>0</v>
      </c>
      <c r="D123" s="1" t="s">
        <v>186</v>
      </c>
      <c r="E123" s="1" t="s">
        <v>186</v>
      </c>
      <c r="F123" s="1" t="s">
        <v>57</v>
      </c>
      <c r="G123" s="1" t="s">
        <v>250</v>
      </c>
      <c r="H123" s="1" t="s">
        <v>256</v>
      </c>
      <c r="I123" s="1"/>
      <c r="J123" s="1" t="s">
        <v>86</v>
      </c>
      <c r="K123" s="1" t="s">
        <v>331</v>
      </c>
      <c r="L123" s="1" t="s">
        <v>12</v>
      </c>
      <c r="M123" s="1">
        <v>0</v>
      </c>
      <c r="N123" s="1">
        <v>0</v>
      </c>
      <c r="O123" s="1">
        <v>0</v>
      </c>
      <c r="P123" s="1">
        <v>0</v>
      </c>
      <c r="Q123" s="1">
        <v>0</v>
      </c>
      <c r="R123" s="1"/>
      <c r="S123" s="1"/>
      <c r="T123" s="1"/>
      <c r="U123" s="1"/>
      <c r="V123" s="1"/>
      <c r="W123" s="1"/>
      <c r="X123" s="1"/>
      <c r="Y123" s="1"/>
      <c r="Z123" s="1" t="s">
        <v>21</v>
      </c>
      <c r="AA123" s="1" t="s">
        <v>21</v>
      </c>
      <c r="AB123" s="17"/>
      <c r="AC123" s="18"/>
      <c r="AD123" s="125"/>
      <c r="AE123" s="125"/>
      <c r="AF123" s="51"/>
      <c r="AG123" s="47" t="s">
        <v>80</v>
      </c>
      <c r="AM123"/>
    </row>
    <row r="124" spans="2:39" ht="15" hidden="1" customHeight="1" x14ac:dyDescent="0.25">
      <c r="B124" s="1">
        <v>114</v>
      </c>
      <c r="C124" s="45">
        <v>0</v>
      </c>
      <c r="D124" s="45" t="s">
        <v>386</v>
      </c>
      <c r="E124" s="45" t="s">
        <v>294</v>
      </c>
      <c r="F124" s="45" t="s">
        <v>57</v>
      </c>
      <c r="G124" s="45"/>
      <c r="H124" s="45" t="s">
        <v>258</v>
      </c>
      <c r="I124" s="45"/>
      <c r="J124" s="45" t="s">
        <v>86</v>
      </c>
      <c r="K124" s="45" t="s">
        <v>12</v>
      </c>
      <c r="L124" s="45" t="s">
        <v>331</v>
      </c>
      <c r="M124" s="45">
        <v>0</v>
      </c>
      <c r="N124" s="45">
        <v>0</v>
      </c>
      <c r="O124" s="45">
        <v>0</v>
      </c>
      <c r="P124" s="45">
        <v>0</v>
      </c>
      <c r="Q124" s="45">
        <v>0</v>
      </c>
      <c r="R124" s="45">
        <v>0</v>
      </c>
      <c r="S124" s="45">
        <v>0</v>
      </c>
      <c r="T124" s="45">
        <v>0</v>
      </c>
      <c r="U124" s="1"/>
      <c r="V124" s="1"/>
      <c r="W124" s="1"/>
      <c r="X124" s="1"/>
      <c r="Y124" s="1"/>
      <c r="Z124" s="45" t="s">
        <v>21</v>
      </c>
      <c r="AA124" s="45" t="s">
        <v>21</v>
      </c>
      <c r="AB124" s="46"/>
      <c r="AC124" s="45"/>
      <c r="AD124" s="47"/>
      <c r="AE124" s="47"/>
      <c r="AF124" s="122"/>
      <c r="AG124" s="47" t="s">
        <v>80</v>
      </c>
      <c r="AM124"/>
    </row>
    <row r="125" spans="2:39" ht="15" hidden="1" customHeight="1" x14ac:dyDescent="0.25">
      <c r="B125" s="1">
        <v>115</v>
      </c>
      <c r="C125" s="1">
        <v>0</v>
      </c>
      <c r="D125" s="40" t="s">
        <v>186</v>
      </c>
      <c r="E125" s="1" t="s">
        <v>294</v>
      </c>
      <c r="F125" s="1" t="s">
        <v>57</v>
      </c>
      <c r="G125" s="1" t="s">
        <v>250</v>
      </c>
      <c r="H125" s="1" t="s">
        <v>259</v>
      </c>
      <c r="I125" s="1"/>
      <c r="J125" s="1" t="s">
        <v>86</v>
      </c>
      <c r="K125" s="1" t="s">
        <v>331</v>
      </c>
      <c r="L125" s="1" t="s">
        <v>12</v>
      </c>
      <c r="M125" s="1">
        <v>0</v>
      </c>
      <c r="N125" s="1">
        <v>0</v>
      </c>
      <c r="O125" s="1">
        <v>0</v>
      </c>
      <c r="P125" s="1">
        <v>0</v>
      </c>
      <c r="Q125" s="1">
        <v>0</v>
      </c>
      <c r="R125" s="1"/>
      <c r="S125" s="1"/>
      <c r="T125" s="1"/>
      <c r="U125" s="1"/>
      <c r="V125" s="1"/>
      <c r="W125" s="1"/>
      <c r="X125" s="1"/>
      <c r="Y125" s="1"/>
      <c r="Z125" s="1" t="s">
        <v>21</v>
      </c>
      <c r="AA125" s="1" t="s">
        <v>21</v>
      </c>
      <c r="AB125" s="17"/>
      <c r="AC125" s="18"/>
      <c r="AD125" s="125"/>
      <c r="AE125" s="125"/>
      <c r="AF125" s="51"/>
      <c r="AG125" s="10" t="s">
        <v>80</v>
      </c>
      <c r="AM125"/>
    </row>
    <row r="126" spans="2:39" ht="15" hidden="1" customHeight="1" x14ac:dyDescent="0.25">
      <c r="B126" s="1">
        <v>116</v>
      </c>
      <c r="C126" s="1">
        <v>0</v>
      </c>
      <c r="D126" s="1" t="s">
        <v>386</v>
      </c>
      <c r="E126" s="1" t="s">
        <v>294</v>
      </c>
      <c r="F126" s="1" t="s">
        <v>57</v>
      </c>
      <c r="G126" s="1" t="s">
        <v>250</v>
      </c>
      <c r="H126" s="1" t="s">
        <v>261</v>
      </c>
      <c r="I126" s="1"/>
      <c r="J126" s="1" t="s">
        <v>86</v>
      </c>
      <c r="K126" s="1" t="s">
        <v>331</v>
      </c>
      <c r="L126" s="1" t="s">
        <v>12</v>
      </c>
      <c r="M126" s="1">
        <v>0</v>
      </c>
      <c r="N126" s="1">
        <v>0</v>
      </c>
      <c r="O126" s="1">
        <v>0</v>
      </c>
      <c r="P126" s="1">
        <v>0</v>
      </c>
      <c r="Q126" s="1">
        <v>2</v>
      </c>
      <c r="R126" s="1"/>
      <c r="S126" s="1"/>
      <c r="T126" s="1"/>
      <c r="U126" s="1"/>
      <c r="V126" s="1"/>
      <c r="W126" s="1"/>
      <c r="X126" s="1"/>
      <c r="Y126" s="1"/>
      <c r="Z126" s="1" t="s">
        <v>21</v>
      </c>
      <c r="AA126" s="1" t="s">
        <v>21</v>
      </c>
      <c r="AB126" s="17"/>
      <c r="AC126" s="18"/>
      <c r="AD126" s="125"/>
      <c r="AE126" s="125"/>
      <c r="AF126" s="51"/>
      <c r="AG126" s="10"/>
      <c r="AM126"/>
    </row>
    <row r="127" spans="2:39" ht="15" hidden="1" customHeight="1" x14ac:dyDescent="0.25">
      <c r="B127" s="1">
        <v>117</v>
      </c>
      <c r="C127" s="1">
        <v>0</v>
      </c>
      <c r="D127" s="1" t="s">
        <v>386</v>
      </c>
      <c r="E127" s="1" t="s">
        <v>294</v>
      </c>
      <c r="F127" s="1" t="s">
        <v>57</v>
      </c>
      <c r="G127" s="1" t="s">
        <v>250</v>
      </c>
      <c r="H127" s="1" t="s">
        <v>260</v>
      </c>
      <c r="I127" s="1"/>
      <c r="J127" s="1" t="s">
        <v>86</v>
      </c>
      <c r="K127" s="1" t="s">
        <v>331</v>
      </c>
      <c r="L127" s="1" t="s">
        <v>12</v>
      </c>
      <c r="M127" s="1">
        <v>0</v>
      </c>
      <c r="N127" s="1">
        <v>0</v>
      </c>
      <c r="O127" s="1">
        <v>0</v>
      </c>
      <c r="P127" s="1">
        <v>0</v>
      </c>
      <c r="Q127" s="1">
        <v>2</v>
      </c>
      <c r="R127" s="1"/>
      <c r="S127" s="1"/>
      <c r="T127" s="1"/>
      <c r="U127" s="1"/>
      <c r="V127" s="1"/>
      <c r="W127" s="1"/>
      <c r="X127" s="1"/>
      <c r="Y127" s="1"/>
      <c r="Z127" s="1" t="s">
        <v>21</v>
      </c>
      <c r="AA127" s="1" t="s">
        <v>21</v>
      </c>
      <c r="AB127" s="17"/>
      <c r="AC127" s="18"/>
      <c r="AD127" s="125"/>
      <c r="AE127" s="125"/>
      <c r="AF127" s="51"/>
      <c r="AG127" s="10"/>
      <c r="AM127"/>
    </row>
    <row r="128" spans="2:39" ht="15" hidden="1" customHeight="1" x14ac:dyDescent="0.25">
      <c r="B128" s="1">
        <v>118</v>
      </c>
      <c r="C128" s="45">
        <v>0</v>
      </c>
      <c r="D128" s="45" t="s">
        <v>386</v>
      </c>
      <c r="E128" s="45" t="s">
        <v>294</v>
      </c>
      <c r="F128" s="45" t="s">
        <v>57</v>
      </c>
      <c r="G128" s="45" t="s">
        <v>250</v>
      </c>
      <c r="H128" s="45" t="s">
        <v>262</v>
      </c>
      <c r="I128" s="45"/>
      <c r="J128" s="45" t="s">
        <v>86</v>
      </c>
      <c r="K128" s="45" t="s">
        <v>331</v>
      </c>
      <c r="L128" s="45" t="s">
        <v>12</v>
      </c>
      <c r="M128" s="45">
        <v>0</v>
      </c>
      <c r="N128" s="45">
        <v>0</v>
      </c>
      <c r="O128" s="45">
        <v>0</v>
      </c>
      <c r="P128" s="45">
        <v>0</v>
      </c>
      <c r="Q128" s="45">
        <v>0</v>
      </c>
      <c r="R128" s="45"/>
      <c r="S128" s="45"/>
      <c r="T128" s="45"/>
      <c r="U128" s="1"/>
      <c r="V128" s="1"/>
      <c r="W128" s="1"/>
      <c r="X128" s="1"/>
      <c r="Y128" s="1"/>
      <c r="Z128" s="45" t="s">
        <v>21</v>
      </c>
      <c r="AA128" s="45" t="s">
        <v>21</v>
      </c>
      <c r="AB128" s="46"/>
      <c r="AC128" s="45"/>
      <c r="AD128" s="47"/>
      <c r="AE128" s="47"/>
      <c r="AF128" s="122"/>
      <c r="AG128" s="47" t="s">
        <v>80</v>
      </c>
      <c r="AM128"/>
    </row>
    <row r="129" spans="2:39" ht="15" hidden="1" customHeight="1" x14ac:dyDescent="0.25">
      <c r="B129" s="1">
        <v>119</v>
      </c>
      <c r="C129" s="1">
        <v>0</v>
      </c>
      <c r="D129" s="1" t="s">
        <v>386</v>
      </c>
      <c r="E129" s="1" t="s">
        <v>294</v>
      </c>
      <c r="F129" s="1" t="s">
        <v>57</v>
      </c>
      <c r="G129" s="1" t="s">
        <v>250</v>
      </c>
      <c r="H129" s="1" t="s">
        <v>263</v>
      </c>
      <c r="I129" s="1"/>
      <c r="J129" s="1" t="s">
        <v>336</v>
      </c>
      <c r="K129" s="1" t="s">
        <v>331</v>
      </c>
      <c r="L129" s="1" t="s">
        <v>12</v>
      </c>
      <c r="M129" s="1">
        <v>0</v>
      </c>
      <c r="N129" s="1">
        <v>0</v>
      </c>
      <c r="O129" s="1">
        <v>0</v>
      </c>
      <c r="P129" s="1">
        <v>0</v>
      </c>
      <c r="Q129" s="1">
        <v>2</v>
      </c>
      <c r="R129" s="1"/>
      <c r="S129" s="1"/>
      <c r="T129" s="1"/>
      <c r="U129" s="1"/>
      <c r="V129" s="1"/>
      <c r="W129" s="1"/>
      <c r="X129" s="1"/>
      <c r="Y129" s="1"/>
      <c r="Z129" s="1" t="s">
        <v>21</v>
      </c>
      <c r="AA129" s="1" t="s">
        <v>21</v>
      </c>
      <c r="AB129" s="17"/>
      <c r="AC129" s="18"/>
      <c r="AD129" s="125"/>
      <c r="AE129" s="125"/>
      <c r="AF129" s="51"/>
      <c r="AG129" s="10"/>
      <c r="AH129" s="10"/>
      <c r="AM129"/>
    </row>
    <row r="130" spans="2:39" ht="15" hidden="1" customHeight="1" x14ac:dyDescent="0.25">
      <c r="B130" s="1">
        <v>120</v>
      </c>
      <c r="C130" s="1">
        <v>0</v>
      </c>
      <c r="D130" s="40" t="s">
        <v>186</v>
      </c>
      <c r="E130" s="1" t="s">
        <v>294</v>
      </c>
      <c r="F130" s="1" t="s">
        <v>57</v>
      </c>
      <c r="G130" s="1" t="s">
        <v>250</v>
      </c>
      <c r="H130" s="1" t="s">
        <v>266</v>
      </c>
      <c r="I130" s="1"/>
      <c r="J130" s="1" t="s">
        <v>86</v>
      </c>
      <c r="K130" s="1" t="s">
        <v>331</v>
      </c>
      <c r="L130" s="1" t="s">
        <v>12</v>
      </c>
      <c r="M130" s="1">
        <v>0</v>
      </c>
      <c r="N130" s="1">
        <v>0</v>
      </c>
      <c r="O130" s="1">
        <v>0</v>
      </c>
      <c r="P130" s="1">
        <v>0</v>
      </c>
      <c r="Q130" s="1"/>
      <c r="R130" s="1"/>
      <c r="S130" s="1"/>
      <c r="T130" s="1"/>
      <c r="U130" s="1"/>
      <c r="V130" s="1"/>
      <c r="W130" s="1"/>
      <c r="X130" s="1"/>
      <c r="Y130" s="1"/>
      <c r="Z130" s="1" t="s">
        <v>21</v>
      </c>
      <c r="AA130" s="1" t="s">
        <v>21</v>
      </c>
      <c r="AB130" s="17"/>
      <c r="AC130" s="18"/>
      <c r="AD130" s="125"/>
      <c r="AE130" s="125"/>
      <c r="AF130" s="51"/>
      <c r="AG130" s="10" t="s">
        <v>80</v>
      </c>
      <c r="AH130" s="10"/>
      <c r="AM130"/>
    </row>
    <row r="131" spans="2:39" ht="15" hidden="1" customHeight="1" x14ac:dyDescent="0.25">
      <c r="B131" s="1">
        <v>121</v>
      </c>
      <c r="C131" s="1">
        <v>0</v>
      </c>
      <c r="D131" s="40" t="s">
        <v>186</v>
      </c>
      <c r="E131" s="1" t="s">
        <v>294</v>
      </c>
      <c r="F131" s="1" t="s">
        <v>57</v>
      </c>
      <c r="G131" s="1" t="s">
        <v>250</v>
      </c>
      <c r="H131" s="1" t="s">
        <v>267</v>
      </c>
      <c r="I131" s="1"/>
      <c r="J131" s="1" t="s">
        <v>87</v>
      </c>
      <c r="K131" s="1" t="s">
        <v>331</v>
      </c>
      <c r="L131" s="1" t="s">
        <v>12</v>
      </c>
      <c r="M131" s="1">
        <v>0</v>
      </c>
      <c r="N131" s="1">
        <v>0</v>
      </c>
      <c r="O131" s="1">
        <v>0</v>
      </c>
      <c r="P131" s="1">
        <v>0</v>
      </c>
      <c r="Q131" s="1"/>
      <c r="R131" s="1"/>
      <c r="S131" s="1"/>
      <c r="T131" s="1"/>
      <c r="U131" s="1"/>
      <c r="V131" s="1"/>
      <c r="W131" s="1"/>
      <c r="X131" s="1"/>
      <c r="Y131" s="1"/>
      <c r="Z131" s="1" t="s">
        <v>21</v>
      </c>
      <c r="AA131" s="1" t="s">
        <v>21</v>
      </c>
      <c r="AB131" s="17"/>
      <c r="AC131" s="18"/>
      <c r="AD131" s="125"/>
      <c r="AE131" s="125"/>
      <c r="AF131" s="51"/>
      <c r="AG131" s="10" t="s">
        <v>80</v>
      </c>
      <c r="AH131" s="10"/>
      <c r="AM131"/>
    </row>
    <row r="132" spans="2:39" ht="15" hidden="1" customHeight="1" x14ac:dyDescent="0.25">
      <c r="B132" s="1">
        <v>122</v>
      </c>
      <c r="C132" s="1">
        <v>0</v>
      </c>
      <c r="D132" s="1" t="s">
        <v>177</v>
      </c>
      <c r="E132" s="1" t="s">
        <v>270</v>
      </c>
      <c r="F132" s="1" t="s">
        <v>176</v>
      </c>
      <c r="G132" s="1" t="s">
        <v>177</v>
      </c>
      <c r="H132" s="1" t="s">
        <v>524</v>
      </c>
      <c r="I132" s="1"/>
      <c r="J132" s="1" t="s">
        <v>85</v>
      </c>
      <c r="K132" s="1" t="s">
        <v>330</v>
      </c>
      <c r="L132" s="1" t="s">
        <v>340</v>
      </c>
      <c r="M132" s="1">
        <v>4</v>
      </c>
      <c r="N132" s="1">
        <v>0</v>
      </c>
      <c r="O132" s="1">
        <v>0</v>
      </c>
      <c r="P132" s="1">
        <v>0</v>
      </c>
      <c r="Q132" s="1"/>
      <c r="R132" s="1"/>
      <c r="S132" s="1">
        <v>3</v>
      </c>
      <c r="T132" s="1"/>
      <c r="U132" s="1"/>
      <c r="V132" s="1"/>
      <c r="W132" s="1"/>
      <c r="X132" s="1"/>
      <c r="Y132" s="1"/>
      <c r="Z132" s="1" t="s">
        <v>21</v>
      </c>
      <c r="AA132" s="1" t="s">
        <v>21</v>
      </c>
      <c r="AB132" s="17"/>
      <c r="AC132" s="18" t="s">
        <v>408</v>
      </c>
      <c r="AD132" s="125"/>
      <c r="AE132" s="125"/>
      <c r="AF132" s="51"/>
      <c r="AG132" s="10"/>
      <c r="AH132" s="10"/>
      <c r="AM132"/>
    </row>
    <row r="133" spans="2:39" ht="15" hidden="1" customHeight="1" x14ac:dyDescent="0.25">
      <c r="B133" s="1">
        <v>123</v>
      </c>
      <c r="C133" s="1">
        <v>0</v>
      </c>
      <c r="D133" s="1" t="s">
        <v>186</v>
      </c>
      <c r="E133" s="1" t="s">
        <v>186</v>
      </c>
      <c r="F133" s="1" t="s">
        <v>19</v>
      </c>
      <c r="G133" s="1"/>
      <c r="H133" s="1" t="s">
        <v>272</v>
      </c>
      <c r="I133" s="1"/>
      <c r="J133" s="1" t="s">
        <v>87</v>
      </c>
      <c r="K133" s="1" t="s">
        <v>408</v>
      </c>
      <c r="L133" s="1" t="s">
        <v>340</v>
      </c>
      <c r="M133" s="1">
        <v>0</v>
      </c>
      <c r="N133" s="1">
        <v>0</v>
      </c>
      <c r="O133" s="1">
        <v>3</v>
      </c>
      <c r="P133" s="1">
        <v>0</v>
      </c>
      <c r="Q133" s="1"/>
      <c r="R133" s="1"/>
      <c r="S133" s="1">
        <v>4</v>
      </c>
      <c r="T133" s="1">
        <v>0</v>
      </c>
      <c r="U133" s="1"/>
      <c r="V133" s="1"/>
      <c r="W133" s="1"/>
      <c r="X133" s="1"/>
      <c r="Y133" s="1"/>
      <c r="Z133" s="1" t="s">
        <v>21</v>
      </c>
      <c r="AA133" s="1" t="s">
        <v>21</v>
      </c>
      <c r="AB133" s="17">
        <v>44162</v>
      </c>
      <c r="AC133" s="18" t="s">
        <v>330</v>
      </c>
      <c r="AD133" s="125"/>
      <c r="AE133" s="125"/>
      <c r="AF133" s="51"/>
      <c r="AG133" s="10"/>
      <c r="AH133" s="10"/>
      <c r="AM133"/>
    </row>
    <row r="134" spans="2:39" ht="15" hidden="1" customHeight="1" x14ac:dyDescent="0.25">
      <c r="B134" s="1">
        <v>124</v>
      </c>
      <c r="C134" s="1">
        <v>0</v>
      </c>
      <c r="D134" s="1" t="s">
        <v>177</v>
      </c>
      <c r="E134" s="1" t="s">
        <v>224</v>
      </c>
      <c r="F134" s="1" t="s">
        <v>176</v>
      </c>
      <c r="G134" s="1" t="s">
        <v>177</v>
      </c>
      <c r="H134" s="1" t="s">
        <v>273</v>
      </c>
      <c r="I134" s="1"/>
      <c r="J134" s="1" t="s">
        <v>85</v>
      </c>
      <c r="K134" s="1" t="s">
        <v>330</v>
      </c>
      <c r="L134" s="1" t="s">
        <v>340</v>
      </c>
      <c r="M134" s="1">
        <v>4</v>
      </c>
      <c r="N134" s="1">
        <v>0</v>
      </c>
      <c r="O134" s="1">
        <v>0</v>
      </c>
      <c r="P134" s="1">
        <v>0</v>
      </c>
      <c r="Q134" s="1"/>
      <c r="R134" s="1"/>
      <c r="S134" s="1"/>
      <c r="T134" s="1"/>
      <c r="U134" s="1"/>
      <c r="V134" s="1"/>
      <c r="W134" s="1"/>
      <c r="X134" s="1"/>
      <c r="Y134" s="1"/>
      <c r="Z134" s="1" t="s">
        <v>21</v>
      </c>
      <c r="AA134" s="1" t="s">
        <v>21</v>
      </c>
      <c r="AB134" s="17">
        <v>44105</v>
      </c>
      <c r="AC134" s="18" t="s">
        <v>330</v>
      </c>
      <c r="AD134" s="125"/>
      <c r="AE134" s="125"/>
      <c r="AF134" s="51"/>
      <c r="AG134" s="10"/>
      <c r="AH134" s="10"/>
      <c r="AM134"/>
    </row>
    <row r="135" spans="2:39" ht="15" hidden="1" customHeight="1" x14ac:dyDescent="0.25">
      <c r="B135" s="1">
        <v>125</v>
      </c>
      <c r="C135" s="1">
        <v>0</v>
      </c>
      <c r="D135" s="1" t="s">
        <v>271</v>
      </c>
      <c r="E135" s="1" t="s">
        <v>270</v>
      </c>
      <c r="F135" s="1" t="s">
        <v>176</v>
      </c>
      <c r="G135" s="1" t="s">
        <v>177</v>
      </c>
      <c r="H135" s="1" t="s">
        <v>181</v>
      </c>
      <c r="I135" s="1"/>
      <c r="J135" s="1" t="s">
        <v>85</v>
      </c>
      <c r="K135" s="1" t="s">
        <v>330</v>
      </c>
      <c r="L135" s="1" t="s">
        <v>340</v>
      </c>
      <c r="M135" s="1">
        <v>4</v>
      </c>
      <c r="N135" s="1">
        <v>0</v>
      </c>
      <c r="O135" s="1">
        <v>0</v>
      </c>
      <c r="P135" s="1">
        <v>0</v>
      </c>
      <c r="Q135" s="1"/>
      <c r="R135" s="1"/>
      <c r="S135" s="1"/>
      <c r="T135" s="1"/>
      <c r="U135" s="1"/>
      <c r="V135" s="1"/>
      <c r="W135" s="1"/>
      <c r="X135" s="1"/>
      <c r="Y135" s="1"/>
      <c r="Z135" s="1" t="s">
        <v>21</v>
      </c>
      <c r="AA135" s="1" t="s">
        <v>21</v>
      </c>
      <c r="AB135" s="17">
        <v>44105</v>
      </c>
      <c r="AC135" s="18" t="s">
        <v>330</v>
      </c>
      <c r="AD135" s="125"/>
      <c r="AE135" s="125"/>
      <c r="AF135" s="51"/>
      <c r="AG135" s="10"/>
      <c r="AH135" s="10"/>
      <c r="AM135"/>
    </row>
    <row r="136" spans="2:39" ht="15" hidden="1" customHeight="1" x14ac:dyDescent="0.25">
      <c r="B136" s="1">
        <v>126</v>
      </c>
      <c r="C136" s="1">
        <v>0</v>
      </c>
      <c r="D136" s="1" t="s">
        <v>10</v>
      </c>
      <c r="E136" s="1" t="s">
        <v>224</v>
      </c>
      <c r="F136" s="1" t="s">
        <v>274</v>
      </c>
      <c r="G136" s="1" t="s">
        <v>274</v>
      </c>
      <c r="H136" s="1" t="s">
        <v>274</v>
      </c>
      <c r="I136" s="1"/>
      <c r="J136" s="1" t="s">
        <v>85</v>
      </c>
      <c r="K136" s="1" t="s">
        <v>94</v>
      </c>
      <c r="L136" s="1" t="s">
        <v>13</v>
      </c>
      <c r="M136" s="1">
        <v>0</v>
      </c>
      <c r="N136" s="1">
        <v>0</v>
      </c>
      <c r="O136" s="1">
        <v>0</v>
      </c>
      <c r="P136" s="1">
        <v>2</v>
      </c>
      <c r="Q136" s="1"/>
      <c r="R136" s="1"/>
      <c r="S136" s="1"/>
      <c r="T136" s="1"/>
      <c r="U136" s="1"/>
      <c r="V136" s="1"/>
      <c r="W136" s="1"/>
      <c r="X136" s="1"/>
      <c r="Y136" s="1"/>
      <c r="Z136" s="1" t="s">
        <v>21</v>
      </c>
      <c r="AA136" s="1" t="s">
        <v>21</v>
      </c>
      <c r="AB136" s="17"/>
      <c r="AC136" s="18"/>
      <c r="AD136" s="125"/>
      <c r="AE136" s="125"/>
      <c r="AF136" s="51"/>
      <c r="AG136" s="10"/>
      <c r="AH136" s="10"/>
      <c r="AM136"/>
    </row>
    <row r="137" spans="2:39" ht="15" hidden="1" customHeight="1" x14ac:dyDescent="0.25">
      <c r="B137" s="1">
        <v>127</v>
      </c>
      <c r="C137" s="1">
        <v>0</v>
      </c>
      <c r="D137" s="1" t="s">
        <v>283</v>
      </c>
      <c r="E137" s="1" t="s">
        <v>52</v>
      </c>
      <c r="F137" s="1" t="s">
        <v>284</v>
      </c>
      <c r="G137" s="1" t="s">
        <v>284</v>
      </c>
      <c r="H137" s="1" t="s">
        <v>362</v>
      </c>
      <c r="I137" s="1"/>
      <c r="J137" s="1" t="s">
        <v>85</v>
      </c>
      <c r="K137" s="1" t="s">
        <v>312</v>
      </c>
      <c r="L137" s="1" t="s">
        <v>408</v>
      </c>
      <c r="M137" s="1">
        <v>4</v>
      </c>
      <c r="N137" s="1">
        <v>3</v>
      </c>
      <c r="O137" s="1">
        <v>0</v>
      </c>
      <c r="P137" s="1">
        <v>0</v>
      </c>
      <c r="Q137" s="1"/>
      <c r="R137" s="1"/>
      <c r="S137" s="1">
        <v>3</v>
      </c>
      <c r="T137" s="1"/>
      <c r="U137" s="1"/>
      <c r="V137" s="1"/>
      <c r="W137" s="1"/>
      <c r="X137" s="1"/>
      <c r="Y137" s="1"/>
      <c r="Z137" s="1" t="s">
        <v>21</v>
      </c>
      <c r="AA137" s="1" t="s">
        <v>21</v>
      </c>
      <c r="AB137" s="17" t="s">
        <v>416</v>
      </c>
      <c r="AC137" s="18" t="s">
        <v>410</v>
      </c>
      <c r="AD137" s="125"/>
      <c r="AE137" s="125"/>
      <c r="AF137" s="51"/>
      <c r="AG137" s="10" t="s">
        <v>1200</v>
      </c>
      <c r="AH137" s="10"/>
      <c r="AM137"/>
    </row>
    <row r="138" spans="2:39" hidden="1" x14ac:dyDescent="0.25">
      <c r="B138" s="1">
        <v>128</v>
      </c>
      <c r="C138" s="1">
        <v>0</v>
      </c>
      <c r="D138" s="1" t="s">
        <v>177</v>
      </c>
      <c r="E138" s="1" t="s">
        <v>294</v>
      </c>
      <c r="F138" s="1" t="s">
        <v>176</v>
      </c>
      <c r="G138" s="1" t="s">
        <v>177</v>
      </c>
      <c r="H138" s="1" t="s">
        <v>368</v>
      </c>
      <c r="I138" s="1"/>
      <c r="J138" s="1" t="s">
        <v>85</v>
      </c>
      <c r="K138" s="1" t="s">
        <v>330</v>
      </c>
      <c r="L138" s="1" t="s">
        <v>340</v>
      </c>
      <c r="M138" s="1">
        <v>4</v>
      </c>
      <c r="N138" s="1">
        <v>0</v>
      </c>
      <c r="O138" s="1">
        <v>0</v>
      </c>
      <c r="P138" s="1">
        <v>0</v>
      </c>
      <c r="Q138" s="1"/>
      <c r="R138" s="1"/>
      <c r="S138" s="1">
        <v>3</v>
      </c>
      <c r="T138" s="1"/>
      <c r="U138" s="1"/>
      <c r="V138" s="1"/>
      <c r="W138" s="1"/>
      <c r="X138" s="1"/>
      <c r="Y138" s="1"/>
      <c r="Z138" s="1" t="s">
        <v>21</v>
      </c>
      <c r="AA138" s="1" t="s">
        <v>21</v>
      </c>
      <c r="AB138" s="17">
        <v>44854</v>
      </c>
      <c r="AC138" s="18" t="s">
        <v>408</v>
      </c>
      <c r="AD138" s="125"/>
      <c r="AE138" s="125"/>
      <c r="AF138" s="51"/>
      <c r="AG138" s="10"/>
      <c r="AH138" s="10"/>
      <c r="AM138"/>
    </row>
    <row r="139" spans="2:39" ht="15" hidden="1" customHeight="1" x14ac:dyDescent="0.25">
      <c r="B139" s="1">
        <v>129</v>
      </c>
      <c r="C139" s="1">
        <v>0</v>
      </c>
      <c r="D139" s="1" t="s">
        <v>177</v>
      </c>
      <c r="E139" s="1" t="s">
        <v>294</v>
      </c>
      <c r="F139" s="1" t="s">
        <v>176</v>
      </c>
      <c r="G139" s="1" t="s">
        <v>177</v>
      </c>
      <c r="H139" s="1" t="s">
        <v>373</v>
      </c>
      <c r="I139" s="1"/>
      <c r="J139" s="1" t="s">
        <v>85</v>
      </c>
      <c r="K139" s="1" t="s">
        <v>330</v>
      </c>
      <c r="L139" s="1" t="s">
        <v>340</v>
      </c>
      <c r="M139" s="1">
        <v>4</v>
      </c>
      <c r="N139" s="1">
        <v>0</v>
      </c>
      <c r="O139" s="1">
        <v>0</v>
      </c>
      <c r="P139" s="1">
        <v>0</v>
      </c>
      <c r="Q139" s="1"/>
      <c r="R139" s="1"/>
      <c r="S139" s="1"/>
      <c r="T139" s="1"/>
      <c r="U139" s="1"/>
      <c r="V139" s="1"/>
      <c r="W139" s="1"/>
      <c r="X139" s="1"/>
      <c r="Y139" s="1"/>
      <c r="Z139" s="1" t="s">
        <v>21</v>
      </c>
      <c r="AA139" s="1" t="s">
        <v>21</v>
      </c>
      <c r="AB139" s="17">
        <v>44107</v>
      </c>
      <c r="AC139" s="18" t="s">
        <v>330</v>
      </c>
      <c r="AD139" s="125"/>
      <c r="AE139" s="125"/>
      <c r="AF139" s="51"/>
      <c r="AG139" s="10"/>
      <c r="AH139" s="10"/>
      <c r="AM139"/>
    </row>
    <row r="140" spans="2:39" ht="15" hidden="1" customHeight="1" x14ac:dyDescent="0.25">
      <c r="B140" s="1">
        <v>130</v>
      </c>
      <c r="C140" s="1">
        <v>0</v>
      </c>
      <c r="D140" s="1" t="s">
        <v>177</v>
      </c>
      <c r="E140" s="1" t="s">
        <v>294</v>
      </c>
      <c r="F140" s="1" t="s">
        <v>176</v>
      </c>
      <c r="G140" s="1" t="s">
        <v>177</v>
      </c>
      <c r="H140" s="1" t="s">
        <v>369</v>
      </c>
      <c r="I140" s="1"/>
      <c r="J140" s="1" t="s">
        <v>85</v>
      </c>
      <c r="K140" s="1" t="s">
        <v>330</v>
      </c>
      <c r="L140" s="1" t="s">
        <v>340</v>
      </c>
      <c r="M140" s="1">
        <v>4</v>
      </c>
      <c r="N140" s="1">
        <v>0</v>
      </c>
      <c r="O140" s="1">
        <v>0</v>
      </c>
      <c r="P140" s="1">
        <v>0</v>
      </c>
      <c r="Q140" s="1"/>
      <c r="R140" s="1"/>
      <c r="S140" s="1"/>
      <c r="T140" s="1"/>
      <c r="U140" s="1"/>
      <c r="V140" s="1"/>
      <c r="W140" s="1"/>
      <c r="X140" s="1"/>
      <c r="Y140" s="1"/>
      <c r="Z140" s="1" t="s">
        <v>21</v>
      </c>
      <c r="AA140" s="1" t="s">
        <v>21</v>
      </c>
      <c r="AB140" s="17">
        <v>44108</v>
      </c>
      <c r="AC140" s="18" t="s">
        <v>330</v>
      </c>
      <c r="AD140" s="125"/>
      <c r="AE140" s="125"/>
      <c r="AF140" s="51"/>
      <c r="AG140" s="10"/>
      <c r="AH140" s="10"/>
      <c r="AM140"/>
    </row>
    <row r="141" spans="2:39" ht="15" hidden="1" customHeight="1" x14ac:dyDescent="0.25">
      <c r="B141" s="1">
        <v>131</v>
      </c>
      <c r="C141" s="1">
        <v>0</v>
      </c>
      <c r="D141" s="1" t="s">
        <v>177</v>
      </c>
      <c r="E141" s="1" t="s">
        <v>294</v>
      </c>
      <c r="F141" s="1" t="s">
        <v>176</v>
      </c>
      <c r="G141" s="1" t="s">
        <v>177</v>
      </c>
      <c r="H141" s="1" t="s">
        <v>370</v>
      </c>
      <c r="I141" s="1"/>
      <c r="J141" s="1" t="s">
        <v>85</v>
      </c>
      <c r="K141" s="1" t="s">
        <v>330</v>
      </c>
      <c r="L141" s="1" t="s">
        <v>340</v>
      </c>
      <c r="M141" s="1">
        <v>4</v>
      </c>
      <c r="N141" s="1">
        <v>0</v>
      </c>
      <c r="O141" s="1">
        <v>0</v>
      </c>
      <c r="P141" s="1">
        <v>0</v>
      </c>
      <c r="Q141" s="1"/>
      <c r="R141" s="1"/>
      <c r="S141" s="1"/>
      <c r="T141" s="1"/>
      <c r="U141" s="1"/>
      <c r="V141" s="1"/>
      <c r="W141" s="1"/>
      <c r="X141" s="1"/>
      <c r="Y141" s="1"/>
      <c r="Z141" s="1" t="s">
        <v>21</v>
      </c>
      <c r="AA141" s="1" t="s">
        <v>21</v>
      </c>
      <c r="AB141" s="17">
        <v>44109</v>
      </c>
      <c r="AC141" s="18" t="s">
        <v>330</v>
      </c>
      <c r="AD141" s="125"/>
      <c r="AE141" s="125"/>
      <c r="AF141" s="51"/>
      <c r="AG141" s="10"/>
      <c r="AM141"/>
    </row>
    <row r="142" spans="2:39" ht="15" hidden="1" customHeight="1" x14ac:dyDescent="0.25">
      <c r="B142" s="1">
        <v>132</v>
      </c>
      <c r="C142" s="1">
        <v>0</v>
      </c>
      <c r="D142" s="1" t="s">
        <v>177</v>
      </c>
      <c r="E142" s="1" t="s">
        <v>294</v>
      </c>
      <c r="F142" s="1" t="s">
        <v>176</v>
      </c>
      <c r="G142" s="1" t="s">
        <v>177</v>
      </c>
      <c r="H142" s="1" t="s">
        <v>366</v>
      </c>
      <c r="I142" s="1"/>
      <c r="J142" s="1" t="s">
        <v>85</v>
      </c>
      <c r="K142" s="1" t="s">
        <v>330</v>
      </c>
      <c r="L142" s="1" t="s">
        <v>340</v>
      </c>
      <c r="M142" s="1">
        <v>4</v>
      </c>
      <c r="N142" s="1">
        <v>0</v>
      </c>
      <c r="O142" s="1">
        <v>0</v>
      </c>
      <c r="P142" s="1">
        <v>0</v>
      </c>
      <c r="Q142" s="1"/>
      <c r="R142" s="1"/>
      <c r="S142" s="1"/>
      <c r="T142" s="1"/>
      <c r="U142" s="1"/>
      <c r="V142" s="1"/>
      <c r="W142" s="1"/>
      <c r="X142" s="1"/>
      <c r="Y142" s="1"/>
      <c r="Z142" s="1" t="s">
        <v>21</v>
      </c>
      <c r="AA142" s="1" t="s">
        <v>21</v>
      </c>
      <c r="AB142" s="17">
        <v>44110</v>
      </c>
      <c r="AC142" s="18" t="s">
        <v>330</v>
      </c>
      <c r="AD142" s="125"/>
      <c r="AE142" s="125"/>
      <c r="AF142" s="51"/>
      <c r="AG142" s="10"/>
      <c r="AH142" s="10"/>
      <c r="AM142"/>
    </row>
    <row r="143" spans="2:39" hidden="1" x14ac:dyDescent="0.25">
      <c r="B143" s="1">
        <v>133</v>
      </c>
      <c r="C143" s="1">
        <v>0</v>
      </c>
      <c r="D143" s="1" t="s">
        <v>177</v>
      </c>
      <c r="E143" s="1" t="s">
        <v>294</v>
      </c>
      <c r="F143" s="1" t="s">
        <v>176</v>
      </c>
      <c r="G143" s="1"/>
      <c r="H143" s="1" t="s">
        <v>398</v>
      </c>
      <c r="I143" s="1"/>
      <c r="J143" s="1" t="s">
        <v>87</v>
      </c>
      <c r="K143" s="1" t="s">
        <v>340</v>
      </c>
      <c r="L143" s="1" t="s">
        <v>330</v>
      </c>
      <c r="M143" s="1">
        <v>4</v>
      </c>
      <c r="N143" s="1">
        <v>0</v>
      </c>
      <c r="O143" s="1">
        <v>0</v>
      </c>
      <c r="P143" s="1">
        <v>0</v>
      </c>
      <c r="Q143" s="1">
        <v>0</v>
      </c>
      <c r="R143" s="1">
        <v>0</v>
      </c>
      <c r="S143" s="1">
        <v>0</v>
      </c>
      <c r="T143" s="1">
        <v>0</v>
      </c>
      <c r="U143" s="1"/>
      <c r="V143" s="1"/>
      <c r="W143" s="1"/>
      <c r="X143" s="1"/>
      <c r="Y143" s="1"/>
      <c r="Z143" s="1" t="s">
        <v>21</v>
      </c>
      <c r="AA143" s="1" t="s">
        <v>21</v>
      </c>
      <c r="AB143" s="17">
        <v>44114</v>
      </c>
      <c r="AC143" s="18" t="s">
        <v>330</v>
      </c>
      <c r="AD143" s="125"/>
      <c r="AE143" s="125"/>
      <c r="AF143" s="51"/>
      <c r="AG143" s="10"/>
      <c r="AH143" s="10"/>
      <c r="AM143"/>
    </row>
    <row r="144" spans="2:39" ht="15" hidden="1" customHeight="1" x14ac:dyDescent="0.25">
      <c r="B144" s="1">
        <v>134</v>
      </c>
      <c r="C144" s="1">
        <v>0</v>
      </c>
      <c r="D144" s="1" t="s">
        <v>212</v>
      </c>
      <c r="E144" s="1" t="s">
        <v>101</v>
      </c>
      <c r="F144" s="1" t="s">
        <v>118</v>
      </c>
      <c r="G144" s="1" t="s">
        <v>118</v>
      </c>
      <c r="H144" s="1" t="s">
        <v>296</v>
      </c>
      <c r="I144" s="1"/>
      <c r="J144" s="1" t="s">
        <v>85</v>
      </c>
      <c r="K144" s="1" t="s">
        <v>170</v>
      </c>
      <c r="L144" s="1" t="s">
        <v>452</v>
      </c>
      <c r="M144" s="1">
        <v>0</v>
      </c>
      <c r="N144" s="1">
        <v>0</v>
      </c>
      <c r="O144" s="1">
        <v>0</v>
      </c>
      <c r="P144" s="1">
        <v>2</v>
      </c>
      <c r="Q144" s="1"/>
      <c r="R144" s="1"/>
      <c r="S144" s="1"/>
      <c r="T144" s="1">
        <v>4</v>
      </c>
      <c r="U144" s="1"/>
      <c r="V144" s="1"/>
      <c r="W144" s="1"/>
      <c r="X144" s="1"/>
      <c r="Y144" s="1"/>
      <c r="Z144" s="1" t="s">
        <v>21</v>
      </c>
      <c r="AA144" s="1" t="s">
        <v>21</v>
      </c>
      <c r="AB144" s="17"/>
      <c r="AC144" s="18"/>
      <c r="AD144" s="125"/>
      <c r="AE144" s="125"/>
      <c r="AF144" s="51"/>
      <c r="AG144" s="10"/>
      <c r="AH144" s="10"/>
      <c r="AM144"/>
    </row>
    <row r="145" spans="2:39" ht="15" hidden="1" customHeight="1" x14ac:dyDescent="0.25">
      <c r="B145" s="1">
        <v>135</v>
      </c>
      <c r="C145" s="1">
        <v>0</v>
      </c>
      <c r="D145" s="1" t="s">
        <v>212</v>
      </c>
      <c r="E145" s="1" t="s">
        <v>101</v>
      </c>
      <c r="F145" s="1" t="s">
        <v>118</v>
      </c>
      <c r="G145" s="1" t="s">
        <v>118</v>
      </c>
      <c r="H145" s="1" t="s">
        <v>299</v>
      </c>
      <c r="I145" s="1"/>
      <c r="J145" s="1" t="s">
        <v>85</v>
      </c>
      <c r="K145" s="1" t="s">
        <v>61</v>
      </c>
      <c r="L145" s="1" t="s">
        <v>170</v>
      </c>
      <c r="M145" s="1">
        <v>0</v>
      </c>
      <c r="N145" s="1">
        <v>0</v>
      </c>
      <c r="O145" s="1">
        <v>0</v>
      </c>
      <c r="P145" s="1">
        <v>2</v>
      </c>
      <c r="Q145" s="1"/>
      <c r="R145" s="1"/>
      <c r="S145" s="1"/>
      <c r="T145" s="1"/>
      <c r="U145" s="1"/>
      <c r="V145" s="1"/>
      <c r="W145" s="1"/>
      <c r="X145" s="1"/>
      <c r="Y145" s="1"/>
      <c r="Z145" s="1" t="s">
        <v>21</v>
      </c>
      <c r="AA145" s="1" t="s">
        <v>21</v>
      </c>
      <c r="AB145" s="17"/>
      <c r="AC145" s="18"/>
      <c r="AD145" s="125"/>
      <c r="AE145" s="125"/>
      <c r="AF145" s="51"/>
      <c r="AG145" s="10"/>
      <c r="AH145" s="10"/>
      <c r="AM145"/>
    </row>
    <row r="146" spans="2:39" ht="15" hidden="1" customHeight="1" x14ac:dyDescent="0.25">
      <c r="B146" s="1">
        <v>136</v>
      </c>
      <c r="C146" s="1">
        <v>0</v>
      </c>
      <c r="D146" s="1" t="s">
        <v>212</v>
      </c>
      <c r="E146" s="1" t="s">
        <v>101</v>
      </c>
      <c r="F146" s="1" t="s">
        <v>118</v>
      </c>
      <c r="G146" s="1" t="s">
        <v>118</v>
      </c>
      <c r="H146" s="1" t="s">
        <v>298</v>
      </c>
      <c r="I146" s="1"/>
      <c r="J146" s="1" t="s">
        <v>85</v>
      </c>
      <c r="K146" s="1" t="s">
        <v>170</v>
      </c>
      <c r="L146" s="1" t="s">
        <v>452</v>
      </c>
      <c r="M146" s="1">
        <v>0</v>
      </c>
      <c r="N146" s="1">
        <v>0</v>
      </c>
      <c r="O146" s="1">
        <v>0</v>
      </c>
      <c r="P146" s="1">
        <v>2</v>
      </c>
      <c r="Q146" s="1"/>
      <c r="R146" s="1"/>
      <c r="S146" s="1"/>
      <c r="T146" s="1">
        <v>4</v>
      </c>
      <c r="U146" s="1"/>
      <c r="V146" s="1"/>
      <c r="W146" s="1"/>
      <c r="X146" s="1"/>
      <c r="Y146" s="1"/>
      <c r="Z146" s="1" t="s">
        <v>21</v>
      </c>
      <c r="AA146" s="1" t="s">
        <v>21</v>
      </c>
      <c r="AB146" s="17"/>
      <c r="AC146" s="18"/>
      <c r="AD146" s="125"/>
      <c r="AE146" s="125"/>
      <c r="AF146" s="51"/>
      <c r="AG146" s="10"/>
      <c r="AM146"/>
    </row>
    <row r="147" spans="2:39" ht="15" hidden="1" customHeight="1" x14ac:dyDescent="0.25">
      <c r="B147" s="1">
        <v>137</v>
      </c>
      <c r="C147" s="1">
        <v>0</v>
      </c>
      <c r="D147" s="1" t="s">
        <v>212</v>
      </c>
      <c r="E147" s="1" t="s">
        <v>101</v>
      </c>
      <c r="F147" s="1" t="s">
        <v>118</v>
      </c>
      <c r="G147" s="1" t="s">
        <v>118</v>
      </c>
      <c r="H147" s="1" t="s">
        <v>297</v>
      </c>
      <c r="I147" s="1"/>
      <c r="J147" s="1" t="s">
        <v>85</v>
      </c>
      <c r="K147" s="1" t="s">
        <v>170</v>
      </c>
      <c r="L147" s="1" t="s">
        <v>452</v>
      </c>
      <c r="M147" s="1">
        <v>0</v>
      </c>
      <c r="N147" s="1">
        <v>0</v>
      </c>
      <c r="O147" s="1">
        <v>0</v>
      </c>
      <c r="P147" s="1">
        <v>2</v>
      </c>
      <c r="Q147" s="1"/>
      <c r="R147" s="1"/>
      <c r="S147" s="1"/>
      <c r="T147" s="1">
        <v>4</v>
      </c>
      <c r="U147" s="1"/>
      <c r="V147" s="1"/>
      <c r="W147" s="1"/>
      <c r="X147" s="1"/>
      <c r="Y147" s="1"/>
      <c r="Z147" s="1" t="s">
        <v>21</v>
      </c>
      <c r="AA147" s="1" t="s">
        <v>21</v>
      </c>
      <c r="AB147" s="17"/>
      <c r="AC147" s="18"/>
      <c r="AD147" s="125"/>
      <c r="AE147" s="125"/>
      <c r="AF147" s="51"/>
      <c r="AG147" s="10"/>
      <c r="AM147"/>
    </row>
    <row r="148" spans="2:39" hidden="1" x14ac:dyDescent="0.25">
      <c r="B148" s="1">
        <v>138</v>
      </c>
      <c r="C148" s="32">
        <v>0</v>
      </c>
      <c r="D148" s="32" t="s">
        <v>300</v>
      </c>
      <c r="E148" s="32" t="s">
        <v>52</v>
      </c>
      <c r="F148" s="32" t="s">
        <v>284</v>
      </c>
      <c r="G148" s="32" t="s">
        <v>284</v>
      </c>
      <c r="H148" s="32" t="s">
        <v>301</v>
      </c>
      <c r="I148" s="32"/>
      <c r="J148" s="32" t="s">
        <v>86</v>
      </c>
      <c r="K148" s="32" t="s">
        <v>143</v>
      </c>
      <c r="L148" s="32"/>
      <c r="M148" s="32"/>
      <c r="N148" s="32"/>
      <c r="O148" s="32">
        <v>0</v>
      </c>
      <c r="P148" s="32">
        <v>0</v>
      </c>
      <c r="Q148" s="1"/>
      <c r="R148" s="1"/>
      <c r="S148" s="1"/>
      <c r="T148" s="1"/>
      <c r="U148" s="1"/>
      <c r="V148" s="1"/>
      <c r="W148" s="1"/>
      <c r="X148" s="1"/>
      <c r="Y148" s="1"/>
      <c r="Z148" s="32" t="s">
        <v>302</v>
      </c>
      <c r="AA148" s="32" t="s">
        <v>302</v>
      </c>
      <c r="AB148" s="33"/>
      <c r="AC148" s="32"/>
      <c r="AD148" s="34"/>
      <c r="AE148" s="34"/>
      <c r="AF148" s="120"/>
      <c r="AG148" s="34"/>
      <c r="AH148" s="10"/>
      <c r="AM148"/>
    </row>
    <row r="149" spans="2:39" ht="15" hidden="1" customHeight="1" x14ac:dyDescent="0.25">
      <c r="B149" s="1">
        <v>139</v>
      </c>
      <c r="C149" s="1">
        <v>0</v>
      </c>
      <c r="D149" s="1" t="s">
        <v>283</v>
      </c>
      <c r="E149" s="1" t="s">
        <v>52</v>
      </c>
      <c r="F149" s="1" t="s">
        <v>284</v>
      </c>
      <c r="G149" s="1" t="s">
        <v>304</v>
      </c>
      <c r="H149" s="1" t="s">
        <v>447</v>
      </c>
      <c r="I149" s="1"/>
      <c r="J149" s="1" t="s">
        <v>87</v>
      </c>
      <c r="K149" s="1" t="s">
        <v>312</v>
      </c>
      <c r="L149" s="1" t="s">
        <v>408</v>
      </c>
      <c r="M149" s="1"/>
      <c r="N149" s="1">
        <v>4</v>
      </c>
      <c r="O149" s="1"/>
      <c r="P149" s="1"/>
      <c r="Q149" s="1"/>
      <c r="R149" s="1"/>
      <c r="S149" s="1">
        <v>3</v>
      </c>
      <c r="T149" s="1"/>
      <c r="U149" s="1"/>
      <c r="V149" s="1"/>
      <c r="W149" s="1"/>
      <c r="X149" s="1"/>
      <c r="Y149" s="1"/>
      <c r="Z149" s="1" t="s">
        <v>21</v>
      </c>
      <c r="AA149" s="1" t="s">
        <v>95</v>
      </c>
      <c r="AB149" s="17" t="s">
        <v>415</v>
      </c>
      <c r="AC149" s="18" t="s">
        <v>410</v>
      </c>
      <c r="AD149" s="125"/>
      <c r="AE149" s="125"/>
      <c r="AF149" s="51"/>
      <c r="AG149" s="10" t="s">
        <v>1201</v>
      </c>
      <c r="AM149"/>
    </row>
    <row r="150" spans="2:39" ht="15" hidden="1" customHeight="1" x14ac:dyDescent="0.25">
      <c r="B150" s="1">
        <v>140</v>
      </c>
      <c r="C150" s="1">
        <v>0</v>
      </c>
      <c r="D150" s="1" t="s">
        <v>212</v>
      </c>
      <c r="E150" s="1" t="s">
        <v>91</v>
      </c>
      <c r="F150" s="1" t="s">
        <v>96</v>
      </c>
      <c r="G150" s="1" t="s">
        <v>305</v>
      </c>
      <c r="H150" s="1" t="s">
        <v>1066</v>
      </c>
      <c r="I150" s="1"/>
      <c r="J150" s="1" t="s">
        <v>85</v>
      </c>
      <c r="K150" s="1" t="s">
        <v>1049</v>
      </c>
      <c r="L150" s="1" t="s">
        <v>452</v>
      </c>
      <c r="M150" s="1">
        <v>0</v>
      </c>
      <c r="N150" s="1">
        <v>0</v>
      </c>
      <c r="O150" s="1">
        <v>0</v>
      </c>
      <c r="P150" s="1">
        <v>0</v>
      </c>
      <c r="Q150" s="1"/>
      <c r="R150" s="1"/>
      <c r="S150" s="1"/>
      <c r="T150" s="1">
        <v>3</v>
      </c>
      <c r="U150" s="1"/>
      <c r="V150" s="1"/>
      <c r="W150" s="1"/>
      <c r="X150" s="1"/>
      <c r="Y150" s="1"/>
      <c r="Z150" s="1" t="s">
        <v>21</v>
      </c>
      <c r="AA150" s="1" t="s">
        <v>21</v>
      </c>
      <c r="AB150" s="17">
        <v>44967</v>
      </c>
      <c r="AC150" s="18" t="s">
        <v>417</v>
      </c>
      <c r="AD150" s="125" t="s">
        <v>1249</v>
      </c>
      <c r="AE150" s="125" t="s">
        <v>1258</v>
      </c>
      <c r="AF150" s="51">
        <v>1</v>
      </c>
      <c r="AG150" s="10"/>
      <c r="AM150"/>
    </row>
    <row r="151" spans="2:39" ht="15" hidden="1" customHeight="1" x14ac:dyDescent="0.25">
      <c r="B151" s="1">
        <v>141</v>
      </c>
      <c r="C151" s="1">
        <v>0</v>
      </c>
      <c r="D151" s="1" t="s">
        <v>212</v>
      </c>
      <c r="E151" s="1" t="s">
        <v>91</v>
      </c>
      <c r="F151" s="1" t="s">
        <v>96</v>
      </c>
      <c r="G151" s="1" t="s">
        <v>305</v>
      </c>
      <c r="H151" s="1" t="s">
        <v>1067</v>
      </c>
      <c r="I151" s="1"/>
      <c r="J151" s="1" t="s">
        <v>85</v>
      </c>
      <c r="K151" s="1" t="s">
        <v>1049</v>
      </c>
      <c r="L151" s="1" t="s">
        <v>452</v>
      </c>
      <c r="M151" s="1">
        <v>0</v>
      </c>
      <c r="N151" s="1">
        <v>0</v>
      </c>
      <c r="O151" s="1">
        <v>0</v>
      </c>
      <c r="P151" s="1">
        <v>0</v>
      </c>
      <c r="Q151" s="1"/>
      <c r="R151" s="1"/>
      <c r="S151" s="1"/>
      <c r="T151" s="1">
        <v>3</v>
      </c>
      <c r="U151" s="1"/>
      <c r="V151" s="1"/>
      <c r="W151" s="1"/>
      <c r="X151" s="1"/>
      <c r="Y151" s="1"/>
      <c r="Z151" s="1" t="s">
        <v>21</v>
      </c>
      <c r="AA151" s="1" t="s">
        <v>21</v>
      </c>
      <c r="AB151" s="17">
        <v>44967</v>
      </c>
      <c r="AC151" s="18" t="s">
        <v>417</v>
      </c>
      <c r="AD151" s="125" t="s">
        <v>1249</v>
      </c>
      <c r="AE151" s="125" t="s">
        <v>1258</v>
      </c>
      <c r="AF151" s="51">
        <v>1</v>
      </c>
      <c r="AG151" s="10"/>
      <c r="AM151"/>
    </row>
    <row r="152" spans="2:39" ht="15" hidden="1" customHeight="1" x14ac:dyDescent="0.25">
      <c r="B152" s="1">
        <v>142</v>
      </c>
      <c r="C152" s="1">
        <v>0</v>
      </c>
      <c r="D152" s="1" t="s">
        <v>212</v>
      </c>
      <c r="E152" s="1" t="s">
        <v>101</v>
      </c>
      <c r="F152" s="1" t="s">
        <v>118</v>
      </c>
      <c r="G152" s="1" t="s">
        <v>118</v>
      </c>
      <c r="H152" s="1" t="s">
        <v>310</v>
      </c>
      <c r="I152" s="1"/>
      <c r="J152" s="1" t="s">
        <v>85</v>
      </c>
      <c r="K152" s="1" t="s">
        <v>170</v>
      </c>
      <c r="L152" s="1" t="s">
        <v>452</v>
      </c>
      <c r="M152" s="1">
        <v>0</v>
      </c>
      <c r="N152" s="1">
        <v>0</v>
      </c>
      <c r="O152" s="1">
        <v>0</v>
      </c>
      <c r="P152" s="1">
        <v>2</v>
      </c>
      <c r="Q152" s="1"/>
      <c r="R152" s="1"/>
      <c r="S152" s="1"/>
      <c r="T152" s="1">
        <v>4</v>
      </c>
      <c r="U152" s="1"/>
      <c r="V152" s="1"/>
      <c r="W152" s="1"/>
      <c r="X152" s="1"/>
      <c r="Y152" s="1"/>
      <c r="Z152" s="1" t="s">
        <v>21</v>
      </c>
      <c r="AA152" s="1" t="s">
        <v>21</v>
      </c>
      <c r="AB152" s="17"/>
      <c r="AC152" s="18"/>
      <c r="AD152" s="125"/>
      <c r="AE152" s="125"/>
      <c r="AF152" s="51"/>
      <c r="AG152" s="10"/>
      <c r="AH152" s="10"/>
      <c r="AM152"/>
    </row>
    <row r="153" spans="2:39" ht="15" hidden="1" customHeight="1" x14ac:dyDescent="0.25">
      <c r="B153" s="1">
        <v>143</v>
      </c>
      <c r="C153" s="1">
        <v>0</v>
      </c>
      <c r="D153" s="1" t="s">
        <v>212</v>
      </c>
      <c r="E153" s="1" t="s">
        <v>101</v>
      </c>
      <c r="F153" s="1" t="s">
        <v>118</v>
      </c>
      <c r="G153" s="1" t="s">
        <v>118</v>
      </c>
      <c r="H153" s="1" t="s">
        <v>311</v>
      </c>
      <c r="I153" s="1"/>
      <c r="J153" s="1" t="s">
        <v>85</v>
      </c>
      <c r="K153" s="1" t="s">
        <v>170</v>
      </c>
      <c r="L153" s="1" t="s">
        <v>452</v>
      </c>
      <c r="M153" s="1">
        <v>0</v>
      </c>
      <c r="N153" s="1">
        <v>0</v>
      </c>
      <c r="O153" s="1">
        <v>0</v>
      </c>
      <c r="P153" s="1">
        <v>2</v>
      </c>
      <c r="Q153" s="1"/>
      <c r="R153" s="1"/>
      <c r="S153" s="1"/>
      <c r="T153" s="1">
        <v>4</v>
      </c>
      <c r="U153" s="1"/>
      <c r="V153" s="1"/>
      <c r="W153" s="1"/>
      <c r="X153" s="1"/>
      <c r="Y153" s="1"/>
      <c r="Z153" s="1" t="s">
        <v>21</v>
      </c>
      <c r="AA153" s="1" t="s">
        <v>21</v>
      </c>
      <c r="AB153" s="17"/>
      <c r="AC153" s="18"/>
      <c r="AD153" s="125"/>
      <c r="AE153" s="125"/>
      <c r="AF153" s="51"/>
      <c r="AG153" s="10"/>
      <c r="AH153" s="10"/>
      <c r="AM153"/>
    </row>
    <row r="154" spans="2:39" ht="15" hidden="1" customHeight="1" x14ac:dyDescent="0.25">
      <c r="B154" s="1">
        <v>144</v>
      </c>
      <c r="C154" s="1">
        <v>0</v>
      </c>
      <c r="D154" s="1" t="s">
        <v>212</v>
      </c>
      <c r="E154" s="1" t="s">
        <v>91</v>
      </c>
      <c r="F154" s="1" t="s">
        <v>314</v>
      </c>
      <c r="G154" s="1" t="s">
        <v>314</v>
      </c>
      <c r="H154" s="1" t="s">
        <v>315</v>
      </c>
      <c r="I154" s="1"/>
      <c r="J154" s="1" t="s">
        <v>85</v>
      </c>
      <c r="K154" s="1" t="s">
        <v>452</v>
      </c>
      <c r="L154" s="1" t="s">
        <v>452</v>
      </c>
      <c r="M154" s="1">
        <v>0</v>
      </c>
      <c r="N154" s="1">
        <v>0</v>
      </c>
      <c r="O154" s="1">
        <v>0</v>
      </c>
      <c r="P154" s="1">
        <v>0</v>
      </c>
      <c r="Q154" s="1"/>
      <c r="R154" s="1"/>
      <c r="S154" s="1"/>
      <c r="T154" s="1">
        <v>4</v>
      </c>
      <c r="U154" s="1"/>
      <c r="V154" s="1"/>
      <c r="W154" s="1"/>
      <c r="X154" s="1"/>
      <c r="Y154" s="1"/>
      <c r="Z154" s="1" t="s">
        <v>21</v>
      </c>
      <c r="AA154" s="1" t="s">
        <v>21</v>
      </c>
      <c r="AB154" s="17">
        <v>44967</v>
      </c>
      <c r="AC154" s="18" t="s">
        <v>417</v>
      </c>
      <c r="AD154" s="125" t="s">
        <v>1128</v>
      </c>
      <c r="AE154" s="125" t="s">
        <v>1129</v>
      </c>
      <c r="AF154" s="51">
        <v>0.9</v>
      </c>
      <c r="AG154" s="10" t="s">
        <v>1127</v>
      </c>
      <c r="AM154"/>
    </row>
    <row r="155" spans="2:39" ht="15" hidden="1" customHeight="1" x14ac:dyDescent="0.25">
      <c r="B155" s="1">
        <v>145</v>
      </c>
      <c r="C155" s="1">
        <v>0</v>
      </c>
      <c r="D155" s="1" t="s">
        <v>220</v>
      </c>
      <c r="E155" s="1" t="s">
        <v>52</v>
      </c>
      <c r="F155" s="1" t="s">
        <v>321</v>
      </c>
      <c r="G155" s="1" t="s">
        <v>321</v>
      </c>
      <c r="H155" s="1" t="s">
        <v>316</v>
      </c>
      <c r="I155" s="1"/>
      <c r="J155" s="1" t="s">
        <v>85</v>
      </c>
      <c r="K155" s="1" t="s">
        <v>491</v>
      </c>
      <c r="L155" s="1" t="s">
        <v>11</v>
      </c>
      <c r="M155" s="1">
        <v>0</v>
      </c>
      <c r="N155" s="1">
        <v>4</v>
      </c>
      <c r="O155" s="1">
        <v>4</v>
      </c>
      <c r="P155" s="1">
        <v>0</v>
      </c>
      <c r="Q155" s="1"/>
      <c r="R155" s="1">
        <v>4</v>
      </c>
      <c r="S155" s="1"/>
      <c r="T155" s="1">
        <v>3</v>
      </c>
      <c r="U155" s="1"/>
      <c r="V155" s="1"/>
      <c r="W155" s="1"/>
      <c r="X155" s="1"/>
      <c r="Y155" s="1"/>
      <c r="Z155" s="1" t="s">
        <v>21</v>
      </c>
      <c r="AA155" s="1" t="s">
        <v>32</v>
      </c>
      <c r="AB155" s="17">
        <v>44984</v>
      </c>
      <c r="AC155" s="18" t="s">
        <v>417</v>
      </c>
      <c r="AD155" s="125"/>
      <c r="AE155" s="125"/>
      <c r="AF155" s="51"/>
      <c r="AG155" s="10"/>
      <c r="AM155"/>
    </row>
    <row r="156" spans="2:39" ht="15" hidden="1" customHeight="1" x14ac:dyDescent="0.25">
      <c r="B156" s="1">
        <v>146</v>
      </c>
      <c r="C156" s="1">
        <v>0</v>
      </c>
      <c r="D156" s="1" t="s">
        <v>220</v>
      </c>
      <c r="E156" s="1" t="s">
        <v>52</v>
      </c>
      <c r="F156" s="1" t="s">
        <v>321</v>
      </c>
      <c r="G156" s="1" t="s">
        <v>321</v>
      </c>
      <c r="H156" s="1" t="s">
        <v>317</v>
      </c>
      <c r="I156" s="1"/>
      <c r="J156" s="1" t="s">
        <v>85</v>
      </c>
      <c r="K156" s="1" t="s">
        <v>491</v>
      </c>
      <c r="L156" s="1" t="s">
        <v>11</v>
      </c>
      <c r="M156" s="1">
        <v>0</v>
      </c>
      <c r="N156" s="1">
        <v>4</v>
      </c>
      <c r="O156" s="1">
        <v>4</v>
      </c>
      <c r="P156" s="1">
        <v>0</v>
      </c>
      <c r="Q156" s="1"/>
      <c r="R156" s="1">
        <v>4</v>
      </c>
      <c r="S156" s="1"/>
      <c r="T156" s="1">
        <v>3</v>
      </c>
      <c r="U156" s="1"/>
      <c r="V156" s="1"/>
      <c r="W156" s="1"/>
      <c r="X156" s="1"/>
      <c r="Y156" s="1"/>
      <c r="Z156" s="1" t="s">
        <v>21</v>
      </c>
      <c r="AA156" s="1" t="s">
        <v>32</v>
      </c>
      <c r="AB156" s="17">
        <v>44984</v>
      </c>
      <c r="AC156" s="18" t="s">
        <v>417</v>
      </c>
      <c r="AD156" s="125"/>
      <c r="AE156" s="125"/>
      <c r="AF156" s="51"/>
      <c r="AG156" s="10"/>
      <c r="AM156"/>
    </row>
    <row r="157" spans="2:39" ht="15" hidden="1" customHeight="1" x14ac:dyDescent="0.25">
      <c r="B157" s="1">
        <v>147</v>
      </c>
      <c r="C157" s="1">
        <v>0</v>
      </c>
      <c r="D157" s="1" t="s">
        <v>220</v>
      </c>
      <c r="E157" s="1" t="s">
        <v>52</v>
      </c>
      <c r="F157" s="1" t="s">
        <v>321</v>
      </c>
      <c r="G157" s="1" t="s">
        <v>321</v>
      </c>
      <c r="H157" s="1" t="s">
        <v>318</v>
      </c>
      <c r="I157" s="1"/>
      <c r="J157" s="1" t="s">
        <v>85</v>
      </c>
      <c r="K157" s="1" t="s">
        <v>491</v>
      </c>
      <c r="L157" s="1" t="s">
        <v>11</v>
      </c>
      <c r="M157" s="1">
        <v>0</v>
      </c>
      <c r="N157" s="1">
        <v>4</v>
      </c>
      <c r="O157" s="1">
        <v>4</v>
      </c>
      <c r="P157" s="1">
        <v>0</v>
      </c>
      <c r="Q157" s="1"/>
      <c r="R157" s="1">
        <v>4</v>
      </c>
      <c r="S157" s="1"/>
      <c r="T157" s="1">
        <v>3</v>
      </c>
      <c r="U157" s="1"/>
      <c r="V157" s="1"/>
      <c r="W157" s="1"/>
      <c r="X157" s="1"/>
      <c r="Y157" s="1"/>
      <c r="Z157" s="1" t="s">
        <v>21</v>
      </c>
      <c r="AA157" s="1" t="s">
        <v>32</v>
      </c>
      <c r="AB157" s="17">
        <v>44984</v>
      </c>
      <c r="AC157" s="18" t="s">
        <v>417</v>
      </c>
      <c r="AD157" s="125"/>
      <c r="AE157" s="125"/>
      <c r="AF157" s="51"/>
      <c r="AG157" s="10"/>
      <c r="AM157"/>
    </row>
    <row r="158" spans="2:39" ht="15" hidden="1" customHeight="1" x14ac:dyDescent="0.25">
      <c r="B158" s="1">
        <v>148</v>
      </c>
      <c r="C158" s="1">
        <v>0</v>
      </c>
      <c r="D158" s="1" t="s">
        <v>220</v>
      </c>
      <c r="E158" s="1" t="s">
        <v>52</v>
      </c>
      <c r="F158" s="1" t="s">
        <v>321</v>
      </c>
      <c r="G158" s="1" t="s">
        <v>321</v>
      </c>
      <c r="H158" s="1" t="s">
        <v>319</v>
      </c>
      <c r="I158" s="1"/>
      <c r="J158" s="1" t="s">
        <v>85</v>
      </c>
      <c r="K158" s="1" t="s">
        <v>491</v>
      </c>
      <c r="L158" s="1" t="s">
        <v>11</v>
      </c>
      <c r="M158" s="1">
        <v>0</v>
      </c>
      <c r="N158" s="1">
        <v>4</v>
      </c>
      <c r="O158" s="1">
        <v>4</v>
      </c>
      <c r="P158" s="1">
        <v>0</v>
      </c>
      <c r="Q158" s="1"/>
      <c r="R158" s="1">
        <v>4</v>
      </c>
      <c r="S158" s="1"/>
      <c r="T158" s="1"/>
      <c r="U158" s="1"/>
      <c r="V158" s="1"/>
      <c r="W158" s="1"/>
      <c r="X158" s="1"/>
      <c r="Y158" s="1"/>
      <c r="Z158" s="1" t="s">
        <v>32</v>
      </c>
      <c r="AA158" s="1" t="s">
        <v>32</v>
      </c>
      <c r="AB158" s="17"/>
      <c r="AC158" s="18"/>
      <c r="AD158" s="125"/>
      <c r="AE158" s="125"/>
      <c r="AF158" s="51"/>
      <c r="AG158" s="10" t="s">
        <v>343</v>
      </c>
      <c r="AM158"/>
    </row>
    <row r="159" spans="2:39" ht="15" hidden="1" customHeight="1" x14ac:dyDescent="0.25">
      <c r="B159" s="1">
        <v>149</v>
      </c>
      <c r="C159" s="1">
        <v>0</v>
      </c>
      <c r="D159" s="1" t="s">
        <v>220</v>
      </c>
      <c r="E159" s="1" t="s">
        <v>52</v>
      </c>
      <c r="F159" s="1" t="s">
        <v>321</v>
      </c>
      <c r="G159" s="1" t="s">
        <v>321</v>
      </c>
      <c r="H159" s="1" t="s">
        <v>320</v>
      </c>
      <c r="I159" s="1"/>
      <c r="J159" s="1" t="s">
        <v>86</v>
      </c>
      <c r="K159" s="1" t="s">
        <v>491</v>
      </c>
      <c r="L159" s="1" t="s">
        <v>11</v>
      </c>
      <c r="M159" s="1">
        <v>0</v>
      </c>
      <c r="N159" s="1">
        <v>4</v>
      </c>
      <c r="O159" s="1">
        <v>4</v>
      </c>
      <c r="P159" s="1">
        <v>0</v>
      </c>
      <c r="Q159" s="1"/>
      <c r="R159" s="1">
        <v>4</v>
      </c>
      <c r="S159" s="1"/>
      <c r="T159" s="1"/>
      <c r="U159" s="1"/>
      <c r="V159" s="1"/>
      <c r="W159" s="1"/>
      <c r="X159" s="1"/>
      <c r="Y159" s="1"/>
      <c r="Z159" s="1" t="s">
        <v>32</v>
      </c>
      <c r="AA159" s="1" t="s">
        <v>32</v>
      </c>
      <c r="AB159" s="17"/>
      <c r="AC159" s="18"/>
      <c r="AD159" s="125"/>
      <c r="AE159" s="125"/>
      <c r="AF159" s="51"/>
      <c r="AG159" s="10" t="s">
        <v>343</v>
      </c>
      <c r="AH159" s="10"/>
      <c r="AM159"/>
    </row>
    <row r="160" spans="2:39" ht="15" hidden="1" customHeight="1" x14ac:dyDescent="0.25">
      <c r="B160" s="1">
        <v>150</v>
      </c>
      <c r="C160" s="1">
        <v>0</v>
      </c>
      <c r="D160" s="1" t="s">
        <v>220</v>
      </c>
      <c r="E160" s="1" t="s">
        <v>294</v>
      </c>
      <c r="F160" s="1" t="s">
        <v>328</v>
      </c>
      <c r="G160" s="1" t="s">
        <v>328</v>
      </c>
      <c r="H160" s="1" t="s">
        <v>322</v>
      </c>
      <c r="I160" s="1"/>
      <c r="J160" s="1" t="s">
        <v>85</v>
      </c>
      <c r="K160" s="1" t="s">
        <v>11</v>
      </c>
      <c r="L160" s="1" t="s">
        <v>329</v>
      </c>
      <c r="M160" s="1">
        <v>0</v>
      </c>
      <c r="N160" s="1">
        <v>4</v>
      </c>
      <c r="O160" s="1">
        <v>2</v>
      </c>
      <c r="P160" s="1">
        <v>0</v>
      </c>
      <c r="Q160" s="1"/>
      <c r="R160" s="1"/>
      <c r="S160" s="1"/>
      <c r="T160" s="1"/>
      <c r="U160" s="1"/>
      <c r="V160" s="1"/>
      <c r="W160" s="1"/>
      <c r="X160" s="1"/>
      <c r="Y160" s="1"/>
      <c r="Z160" s="1" t="s">
        <v>32</v>
      </c>
      <c r="AA160" s="1" t="s">
        <v>32</v>
      </c>
      <c r="AB160" s="17"/>
      <c r="AC160" s="18"/>
      <c r="AD160" s="125"/>
      <c r="AE160" s="125"/>
      <c r="AF160" s="51"/>
      <c r="AG160" s="10" t="s">
        <v>349</v>
      </c>
      <c r="AH160" s="10"/>
      <c r="AM160"/>
    </row>
    <row r="161" spans="2:39" ht="15" hidden="1" customHeight="1" x14ac:dyDescent="0.25">
      <c r="B161" s="1">
        <v>151</v>
      </c>
      <c r="C161" s="1">
        <v>0</v>
      </c>
      <c r="D161" s="1" t="s">
        <v>220</v>
      </c>
      <c r="E161" s="1" t="s">
        <v>294</v>
      </c>
      <c r="F161" s="1" t="s">
        <v>328</v>
      </c>
      <c r="G161" s="1" t="s">
        <v>328</v>
      </c>
      <c r="H161" s="1" t="s">
        <v>323</v>
      </c>
      <c r="I161" s="1"/>
      <c r="J161" s="1" t="s">
        <v>85</v>
      </c>
      <c r="K161" s="1" t="s">
        <v>11</v>
      </c>
      <c r="L161" s="1" t="s">
        <v>329</v>
      </c>
      <c r="M161" s="1">
        <v>0</v>
      </c>
      <c r="N161" s="1">
        <v>4</v>
      </c>
      <c r="O161" s="1">
        <v>2</v>
      </c>
      <c r="P161" s="1">
        <v>0</v>
      </c>
      <c r="Q161" s="1"/>
      <c r="R161" s="1"/>
      <c r="S161" s="1"/>
      <c r="T161" s="1"/>
      <c r="U161" s="1"/>
      <c r="V161" s="1"/>
      <c r="W161" s="1"/>
      <c r="X161" s="1"/>
      <c r="Y161" s="1"/>
      <c r="Z161" s="1" t="s">
        <v>32</v>
      </c>
      <c r="AA161" s="1" t="s">
        <v>32</v>
      </c>
      <c r="AB161" s="17"/>
      <c r="AC161" s="18"/>
      <c r="AD161" s="125"/>
      <c r="AE161" s="125"/>
      <c r="AF161" s="51"/>
      <c r="AG161" s="10" t="s">
        <v>349</v>
      </c>
      <c r="AH161" s="10"/>
      <c r="AM161"/>
    </row>
    <row r="162" spans="2:39" ht="15" hidden="1" customHeight="1" x14ac:dyDescent="0.25">
      <c r="B162" s="1">
        <v>152</v>
      </c>
      <c r="C162" s="1">
        <v>0</v>
      </c>
      <c r="D162" s="1" t="s">
        <v>220</v>
      </c>
      <c r="E162" s="1" t="s">
        <v>294</v>
      </c>
      <c r="F162" s="1" t="s">
        <v>328</v>
      </c>
      <c r="G162" s="1" t="s">
        <v>328</v>
      </c>
      <c r="H162" s="1" t="s">
        <v>324</v>
      </c>
      <c r="I162" s="1"/>
      <c r="J162" s="1" t="s">
        <v>85</v>
      </c>
      <c r="K162" s="1" t="s">
        <v>11</v>
      </c>
      <c r="L162" s="1" t="s">
        <v>329</v>
      </c>
      <c r="M162" s="1">
        <v>0</v>
      </c>
      <c r="N162" s="1">
        <v>4</v>
      </c>
      <c r="O162" s="1">
        <v>2</v>
      </c>
      <c r="P162" s="1">
        <v>0</v>
      </c>
      <c r="Q162" s="1"/>
      <c r="R162" s="1"/>
      <c r="S162" s="1"/>
      <c r="T162" s="1"/>
      <c r="U162" s="1"/>
      <c r="V162" s="1"/>
      <c r="W162" s="1"/>
      <c r="X162" s="1"/>
      <c r="Y162" s="1"/>
      <c r="Z162" s="1" t="s">
        <v>32</v>
      </c>
      <c r="AA162" s="1" t="s">
        <v>32</v>
      </c>
      <c r="AB162" s="17"/>
      <c r="AC162" s="18"/>
      <c r="AD162" s="125"/>
      <c r="AE162" s="125"/>
      <c r="AF162" s="51"/>
      <c r="AG162" s="10" t="s">
        <v>349</v>
      </c>
      <c r="AH162" s="10"/>
      <c r="AM162"/>
    </row>
    <row r="163" spans="2:39" ht="15" hidden="1" customHeight="1" x14ac:dyDescent="0.25">
      <c r="B163" s="1">
        <v>153</v>
      </c>
      <c r="C163" s="1">
        <v>0</v>
      </c>
      <c r="D163" s="1" t="s">
        <v>220</v>
      </c>
      <c r="E163" s="1" t="s">
        <v>294</v>
      </c>
      <c r="F163" s="1" t="s">
        <v>328</v>
      </c>
      <c r="G163" s="1" t="s">
        <v>328</v>
      </c>
      <c r="H163" s="1" t="s">
        <v>325</v>
      </c>
      <c r="I163" s="1"/>
      <c r="J163" s="1" t="s">
        <v>85</v>
      </c>
      <c r="K163" s="1" t="s">
        <v>11</v>
      </c>
      <c r="L163" s="1" t="s">
        <v>329</v>
      </c>
      <c r="M163" s="1">
        <v>0</v>
      </c>
      <c r="N163" s="1">
        <v>4</v>
      </c>
      <c r="O163" s="1">
        <v>2</v>
      </c>
      <c r="P163" s="1">
        <v>0</v>
      </c>
      <c r="Q163" s="1"/>
      <c r="R163" s="1"/>
      <c r="S163" s="1"/>
      <c r="T163" s="1"/>
      <c r="U163" s="1"/>
      <c r="V163" s="1"/>
      <c r="W163" s="1"/>
      <c r="X163" s="1"/>
      <c r="Y163" s="1"/>
      <c r="Z163" s="1" t="s">
        <v>32</v>
      </c>
      <c r="AA163" s="1" t="s">
        <v>32</v>
      </c>
      <c r="AB163" s="17"/>
      <c r="AC163" s="18"/>
      <c r="AD163" s="125"/>
      <c r="AE163" s="125"/>
      <c r="AF163" s="51"/>
      <c r="AG163" s="10" t="s">
        <v>349</v>
      </c>
      <c r="AM163"/>
    </row>
    <row r="164" spans="2:39" ht="15" hidden="1" customHeight="1" x14ac:dyDescent="0.25">
      <c r="B164" s="1">
        <v>154</v>
      </c>
      <c r="C164" s="1">
        <v>0</v>
      </c>
      <c r="D164" s="1" t="s">
        <v>220</v>
      </c>
      <c r="E164" s="1" t="s">
        <v>294</v>
      </c>
      <c r="F164" s="1" t="s">
        <v>328</v>
      </c>
      <c r="G164" s="1" t="s">
        <v>328</v>
      </c>
      <c r="H164" s="1" t="s">
        <v>326</v>
      </c>
      <c r="I164" s="1"/>
      <c r="J164" s="1" t="s">
        <v>85</v>
      </c>
      <c r="K164" s="1" t="s">
        <v>11</v>
      </c>
      <c r="L164" s="1" t="s">
        <v>329</v>
      </c>
      <c r="M164" s="1">
        <v>0</v>
      </c>
      <c r="N164" s="1">
        <v>4</v>
      </c>
      <c r="O164" s="1">
        <v>2</v>
      </c>
      <c r="P164" s="1">
        <v>0</v>
      </c>
      <c r="Q164" s="1"/>
      <c r="R164" s="1"/>
      <c r="S164" s="1"/>
      <c r="T164" s="1"/>
      <c r="U164" s="1"/>
      <c r="V164" s="1"/>
      <c r="W164" s="1"/>
      <c r="X164" s="1"/>
      <c r="Y164" s="1"/>
      <c r="Z164" s="1" t="s">
        <v>32</v>
      </c>
      <c r="AA164" s="1" t="s">
        <v>32</v>
      </c>
      <c r="AB164" s="17"/>
      <c r="AC164" s="18"/>
      <c r="AD164" s="125"/>
      <c r="AE164" s="125"/>
      <c r="AF164" s="51"/>
      <c r="AG164" s="10" t="s">
        <v>349</v>
      </c>
      <c r="AM164"/>
    </row>
    <row r="165" spans="2:39" ht="15" hidden="1" customHeight="1" x14ac:dyDescent="0.25">
      <c r="B165" s="1">
        <v>155</v>
      </c>
      <c r="C165" s="1">
        <v>0</v>
      </c>
      <c r="D165" s="1" t="s">
        <v>220</v>
      </c>
      <c r="E165" s="1" t="s">
        <v>294</v>
      </c>
      <c r="F165" s="1" t="s">
        <v>328</v>
      </c>
      <c r="G165" s="1" t="s">
        <v>328</v>
      </c>
      <c r="H165" s="1" t="s">
        <v>327</v>
      </c>
      <c r="I165" s="1"/>
      <c r="J165" s="1" t="s">
        <v>85</v>
      </c>
      <c r="K165" s="1" t="s">
        <v>11</v>
      </c>
      <c r="L165" s="1" t="s">
        <v>329</v>
      </c>
      <c r="M165" s="1">
        <v>0</v>
      </c>
      <c r="N165" s="1">
        <v>4</v>
      </c>
      <c r="O165" s="1">
        <v>2</v>
      </c>
      <c r="P165" s="1">
        <v>0</v>
      </c>
      <c r="Q165" s="1"/>
      <c r="R165" s="1"/>
      <c r="S165" s="1"/>
      <c r="T165" s="1"/>
      <c r="U165" s="1"/>
      <c r="V165" s="1"/>
      <c r="W165" s="1"/>
      <c r="X165" s="1"/>
      <c r="Y165" s="1"/>
      <c r="Z165" s="1" t="s">
        <v>32</v>
      </c>
      <c r="AA165" s="1" t="s">
        <v>32</v>
      </c>
      <c r="AB165" s="17"/>
      <c r="AC165" s="18"/>
      <c r="AD165" s="125"/>
      <c r="AE165" s="125"/>
      <c r="AF165" s="51"/>
      <c r="AG165" s="10" t="s">
        <v>349</v>
      </c>
      <c r="AM165"/>
    </row>
    <row r="166" spans="2:39" ht="15" hidden="1" customHeight="1" x14ac:dyDescent="0.25">
      <c r="B166" s="1">
        <v>156</v>
      </c>
      <c r="C166" s="45">
        <v>0</v>
      </c>
      <c r="D166" s="45" t="s">
        <v>386</v>
      </c>
      <c r="E166" s="45" t="s">
        <v>294</v>
      </c>
      <c r="F166" s="45" t="s">
        <v>57</v>
      </c>
      <c r="G166" s="45"/>
      <c r="H166" s="45" t="s">
        <v>333</v>
      </c>
      <c r="I166" s="45"/>
      <c r="J166" s="45" t="s">
        <v>86</v>
      </c>
      <c r="K166" s="45" t="s">
        <v>12</v>
      </c>
      <c r="L166" s="45" t="s">
        <v>331</v>
      </c>
      <c r="M166" s="45">
        <v>0</v>
      </c>
      <c r="N166" s="45">
        <v>0</v>
      </c>
      <c r="O166" s="45">
        <v>0</v>
      </c>
      <c r="P166" s="45">
        <v>0</v>
      </c>
      <c r="Q166" s="45">
        <v>0</v>
      </c>
      <c r="R166" s="45">
        <v>0</v>
      </c>
      <c r="S166" s="45">
        <v>0</v>
      </c>
      <c r="T166" s="45">
        <v>0</v>
      </c>
      <c r="U166" s="1"/>
      <c r="V166" s="1"/>
      <c r="W166" s="1"/>
      <c r="X166" s="1"/>
      <c r="Y166" s="1"/>
      <c r="Z166" s="1" t="s">
        <v>32</v>
      </c>
      <c r="AA166" s="45" t="s">
        <v>32</v>
      </c>
      <c r="AB166" s="46"/>
      <c r="AC166" s="45"/>
      <c r="AD166" s="47"/>
      <c r="AE166" s="47"/>
      <c r="AF166" s="122"/>
      <c r="AG166" s="47"/>
      <c r="AH166" s="10"/>
      <c r="AM166"/>
    </row>
    <row r="167" spans="2:39" ht="15" hidden="1" customHeight="1" x14ac:dyDescent="0.25">
      <c r="B167" s="1">
        <v>157</v>
      </c>
      <c r="C167" s="1">
        <v>0</v>
      </c>
      <c r="D167" s="1" t="s">
        <v>386</v>
      </c>
      <c r="E167" s="1" t="s">
        <v>294</v>
      </c>
      <c r="F167" s="1" t="s">
        <v>57</v>
      </c>
      <c r="G167" s="1" t="s">
        <v>250</v>
      </c>
      <c r="H167" s="1" t="s">
        <v>457</v>
      </c>
      <c r="I167" s="1"/>
      <c r="J167" s="1" t="s">
        <v>86</v>
      </c>
      <c r="K167" s="1" t="s">
        <v>55</v>
      </c>
      <c r="L167" s="1" t="s">
        <v>453</v>
      </c>
      <c r="M167" s="1">
        <v>0</v>
      </c>
      <c r="N167" s="1">
        <v>0</v>
      </c>
      <c r="O167" s="1">
        <v>0</v>
      </c>
      <c r="P167" s="1">
        <v>0</v>
      </c>
      <c r="Q167" s="1">
        <v>2</v>
      </c>
      <c r="R167" s="1"/>
      <c r="S167" s="1"/>
      <c r="T167" s="1"/>
      <c r="U167" s="1"/>
      <c r="V167" s="1"/>
      <c r="W167" s="1"/>
      <c r="X167" s="1"/>
      <c r="Y167" s="1"/>
      <c r="Z167" s="1" t="s">
        <v>32</v>
      </c>
      <c r="AA167" s="1" t="s">
        <v>32</v>
      </c>
      <c r="AB167" s="1"/>
      <c r="AC167" s="1"/>
      <c r="AD167" s="10"/>
      <c r="AE167" s="10"/>
      <c r="AF167" s="123"/>
      <c r="AG167" s="1"/>
      <c r="AH167" s="10"/>
      <c r="AM167"/>
    </row>
    <row r="168" spans="2:39" ht="15" hidden="1" customHeight="1" x14ac:dyDescent="0.25">
      <c r="B168" s="1">
        <v>158</v>
      </c>
      <c r="C168" s="1">
        <v>0</v>
      </c>
      <c r="D168" s="1" t="s">
        <v>386</v>
      </c>
      <c r="E168" s="1" t="s">
        <v>294</v>
      </c>
      <c r="F168" s="1" t="s">
        <v>57</v>
      </c>
      <c r="G168" s="1" t="s">
        <v>250</v>
      </c>
      <c r="H168" s="1" t="s">
        <v>459</v>
      </c>
      <c r="I168" s="1"/>
      <c r="J168" s="1" t="s">
        <v>86</v>
      </c>
      <c r="K168" s="1" t="s">
        <v>55</v>
      </c>
      <c r="L168" s="1" t="s">
        <v>453</v>
      </c>
      <c r="M168" s="1">
        <v>0</v>
      </c>
      <c r="N168" s="1">
        <v>0</v>
      </c>
      <c r="O168" s="1">
        <v>0</v>
      </c>
      <c r="P168" s="1">
        <v>0</v>
      </c>
      <c r="Q168" s="1">
        <v>2</v>
      </c>
      <c r="R168" s="1"/>
      <c r="S168" s="1"/>
      <c r="T168" s="1"/>
      <c r="U168" s="1"/>
      <c r="V168" s="1"/>
      <c r="W168" s="1"/>
      <c r="X168" s="1"/>
      <c r="Y168" s="1"/>
      <c r="Z168" s="1" t="s">
        <v>32</v>
      </c>
      <c r="AA168" s="1" t="s">
        <v>32</v>
      </c>
      <c r="AB168" s="17"/>
      <c r="AC168" s="18"/>
      <c r="AD168" s="125"/>
      <c r="AE168" s="125"/>
      <c r="AF168" s="51"/>
      <c r="AG168" s="10"/>
      <c r="AM168"/>
    </row>
    <row r="169" spans="2:39" ht="15" hidden="1" customHeight="1" x14ac:dyDescent="0.25">
      <c r="B169" s="1">
        <v>159</v>
      </c>
      <c r="C169" s="1">
        <v>0</v>
      </c>
      <c r="D169" s="1" t="s">
        <v>386</v>
      </c>
      <c r="E169" s="1" t="s">
        <v>294</v>
      </c>
      <c r="F169" s="1" t="s">
        <v>57</v>
      </c>
      <c r="G169" s="1" t="s">
        <v>250</v>
      </c>
      <c r="H169" s="1" t="s">
        <v>460</v>
      </c>
      <c r="I169" s="1"/>
      <c r="J169" s="1" t="s">
        <v>335</v>
      </c>
      <c r="K169" s="1" t="s">
        <v>55</v>
      </c>
      <c r="L169" s="1" t="s">
        <v>453</v>
      </c>
      <c r="M169" s="1">
        <v>0</v>
      </c>
      <c r="N169" s="1">
        <v>0</v>
      </c>
      <c r="O169" s="1">
        <v>0</v>
      </c>
      <c r="P169" s="1">
        <v>0</v>
      </c>
      <c r="Q169" s="1">
        <v>1</v>
      </c>
      <c r="R169" s="1"/>
      <c r="S169" s="1"/>
      <c r="T169" s="1"/>
      <c r="U169" s="1"/>
      <c r="V169" s="1"/>
      <c r="W169" s="1"/>
      <c r="X169" s="1"/>
      <c r="Y169" s="1"/>
      <c r="Z169" s="1" t="s">
        <v>32</v>
      </c>
      <c r="AA169" s="1" t="s">
        <v>32</v>
      </c>
      <c r="AB169" s="1"/>
      <c r="AC169" s="1"/>
      <c r="AD169" s="10"/>
      <c r="AE169" s="10"/>
      <c r="AF169" s="123"/>
      <c r="AG169" s="1"/>
      <c r="AH169" s="10"/>
      <c r="AM169"/>
    </row>
    <row r="170" spans="2:39" ht="15" hidden="1" customHeight="1" x14ac:dyDescent="0.25">
      <c r="B170" s="1">
        <v>160</v>
      </c>
      <c r="C170" s="1">
        <v>0</v>
      </c>
      <c r="D170" s="1" t="s">
        <v>386</v>
      </c>
      <c r="E170" s="1" t="s">
        <v>294</v>
      </c>
      <c r="F170" s="1" t="s">
        <v>57</v>
      </c>
      <c r="G170" s="1" t="s">
        <v>250</v>
      </c>
      <c r="H170" s="1" t="s">
        <v>461</v>
      </c>
      <c r="I170" s="1"/>
      <c r="J170" s="1" t="s">
        <v>85</v>
      </c>
      <c r="K170" s="1" t="s">
        <v>55</v>
      </c>
      <c r="L170" s="1" t="s">
        <v>453</v>
      </c>
      <c r="M170" s="1">
        <v>0</v>
      </c>
      <c r="N170" s="1">
        <v>0</v>
      </c>
      <c r="O170" s="1">
        <v>0</v>
      </c>
      <c r="P170" s="1">
        <v>0</v>
      </c>
      <c r="Q170" s="1">
        <v>2</v>
      </c>
      <c r="R170" s="1"/>
      <c r="S170" s="1"/>
      <c r="T170" s="1"/>
      <c r="U170" s="1"/>
      <c r="V170" s="1"/>
      <c r="W170" s="1"/>
      <c r="X170" s="1"/>
      <c r="Y170" s="1"/>
      <c r="Z170" s="1" t="s">
        <v>32</v>
      </c>
      <c r="AA170" s="1" t="s">
        <v>32</v>
      </c>
      <c r="AB170" s="1"/>
      <c r="AC170" s="1"/>
      <c r="AD170" s="10"/>
      <c r="AE170" s="10"/>
      <c r="AF170" s="123"/>
      <c r="AG170" s="1"/>
      <c r="AH170" s="10"/>
      <c r="AM170"/>
    </row>
    <row r="171" spans="2:39" ht="15" hidden="1" customHeight="1" x14ac:dyDescent="0.25">
      <c r="B171" s="1">
        <v>161</v>
      </c>
      <c r="C171" s="1">
        <v>0</v>
      </c>
      <c r="D171" s="1" t="s">
        <v>386</v>
      </c>
      <c r="E171" s="1" t="s">
        <v>294</v>
      </c>
      <c r="F171" s="1" t="s">
        <v>57</v>
      </c>
      <c r="G171" s="1" t="s">
        <v>250</v>
      </c>
      <c r="H171" s="1" t="s">
        <v>462</v>
      </c>
      <c r="I171" s="1"/>
      <c r="J171" s="1" t="s">
        <v>87</v>
      </c>
      <c r="K171" s="1" t="s">
        <v>55</v>
      </c>
      <c r="L171" s="1" t="s">
        <v>453</v>
      </c>
      <c r="M171" s="1">
        <v>0</v>
      </c>
      <c r="N171" s="1">
        <v>0</v>
      </c>
      <c r="O171" s="1">
        <v>0</v>
      </c>
      <c r="P171" s="1">
        <v>0</v>
      </c>
      <c r="Q171" s="1">
        <v>1</v>
      </c>
      <c r="R171" s="1"/>
      <c r="S171" s="1"/>
      <c r="T171" s="1"/>
      <c r="U171" s="1"/>
      <c r="V171" s="1"/>
      <c r="W171" s="1"/>
      <c r="X171" s="1"/>
      <c r="Y171" s="1"/>
      <c r="Z171" s="1" t="s">
        <v>32</v>
      </c>
      <c r="AA171" s="1" t="s">
        <v>32</v>
      </c>
      <c r="AB171" s="1"/>
      <c r="AC171" s="1"/>
      <c r="AD171" s="10"/>
      <c r="AE171" s="10"/>
      <c r="AF171" s="123"/>
      <c r="AG171" s="1" t="s">
        <v>80</v>
      </c>
      <c r="AH171" s="10"/>
      <c r="AM171"/>
    </row>
    <row r="172" spans="2:39" ht="15" hidden="1" customHeight="1" x14ac:dyDescent="0.25">
      <c r="B172" s="1">
        <v>162</v>
      </c>
      <c r="C172" s="1">
        <v>0</v>
      </c>
      <c r="D172" s="1" t="s">
        <v>386</v>
      </c>
      <c r="E172" s="1" t="s">
        <v>294</v>
      </c>
      <c r="F172" s="1" t="s">
        <v>57</v>
      </c>
      <c r="G172" s="1" t="s">
        <v>250</v>
      </c>
      <c r="H172" s="1" t="s">
        <v>463</v>
      </c>
      <c r="I172" s="1"/>
      <c r="J172" s="1" t="s">
        <v>87</v>
      </c>
      <c r="K172" s="1" t="s">
        <v>55</v>
      </c>
      <c r="L172" s="1" t="s">
        <v>453</v>
      </c>
      <c r="M172" s="1">
        <v>0</v>
      </c>
      <c r="N172" s="1">
        <v>0</v>
      </c>
      <c r="O172" s="1">
        <v>0</v>
      </c>
      <c r="P172" s="1">
        <v>0</v>
      </c>
      <c r="Q172" s="1">
        <v>1</v>
      </c>
      <c r="R172" s="1"/>
      <c r="S172" s="1"/>
      <c r="T172" s="1"/>
      <c r="U172" s="1"/>
      <c r="V172" s="1"/>
      <c r="W172" s="1"/>
      <c r="X172" s="1"/>
      <c r="Y172" s="1"/>
      <c r="Z172" s="1" t="s">
        <v>32</v>
      </c>
      <c r="AA172" s="1" t="s">
        <v>32</v>
      </c>
      <c r="AB172" s="1"/>
      <c r="AC172" s="1"/>
      <c r="AD172" s="10"/>
      <c r="AE172" s="10"/>
      <c r="AF172" s="123"/>
      <c r="AG172" s="1"/>
      <c r="AH172" s="10"/>
      <c r="AM172"/>
    </row>
    <row r="173" spans="2:39" ht="15" hidden="1" customHeight="1" x14ac:dyDescent="0.25">
      <c r="B173" s="1">
        <v>163</v>
      </c>
      <c r="C173" s="1">
        <v>0</v>
      </c>
      <c r="D173" s="1" t="s">
        <v>386</v>
      </c>
      <c r="E173" s="1" t="s">
        <v>294</v>
      </c>
      <c r="F173" s="1" t="s">
        <v>57</v>
      </c>
      <c r="G173" s="1" t="s">
        <v>250</v>
      </c>
      <c r="H173" s="1" t="s">
        <v>464</v>
      </c>
      <c r="I173" s="1"/>
      <c r="J173" s="1" t="s">
        <v>437</v>
      </c>
      <c r="K173" s="1" t="s">
        <v>55</v>
      </c>
      <c r="L173" s="1" t="s">
        <v>453</v>
      </c>
      <c r="M173" s="1">
        <v>0</v>
      </c>
      <c r="N173" s="1">
        <v>0</v>
      </c>
      <c r="O173" s="1">
        <v>0</v>
      </c>
      <c r="P173" s="1">
        <v>0</v>
      </c>
      <c r="Q173" s="1">
        <v>1</v>
      </c>
      <c r="R173" s="1"/>
      <c r="S173" s="1"/>
      <c r="T173" s="1"/>
      <c r="U173" s="1"/>
      <c r="V173" s="1"/>
      <c r="W173" s="1"/>
      <c r="X173" s="1"/>
      <c r="Y173" s="1"/>
      <c r="Z173" s="1" t="s">
        <v>32</v>
      </c>
      <c r="AA173" s="1" t="s">
        <v>32</v>
      </c>
      <c r="AB173" s="1"/>
      <c r="AC173" s="1"/>
      <c r="AD173" s="10"/>
      <c r="AE173" s="10"/>
      <c r="AF173" s="123"/>
      <c r="AG173" s="1"/>
      <c r="AH173" s="10"/>
      <c r="AM173"/>
    </row>
    <row r="174" spans="2:39" ht="15" hidden="1" customHeight="1" x14ac:dyDescent="0.25">
      <c r="B174" s="1">
        <v>164</v>
      </c>
      <c r="C174" s="1">
        <v>0</v>
      </c>
      <c r="D174" s="1" t="s">
        <v>386</v>
      </c>
      <c r="E174" s="1" t="s">
        <v>294</v>
      </c>
      <c r="F174" s="1" t="s">
        <v>57</v>
      </c>
      <c r="G174" s="1" t="s">
        <v>250</v>
      </c>
      <c r="H174" s="1" t="s">
        <v>467</v>
      </c>
      <c r="I174" s="1"/>
      <c r="J174" s="1" t="s">
        <v>86</v>
      </c>
      <c r="K174" s="1" t="s">
        <v>55</v>
      </c>
      <c r="L174" s="1" t="s">
        <v>12</v>
      </c>
      <c r="M174" s="1"/>
      <c r="N174" s="1"/>
      <c r="O174" s="1"/>
      <c r="P174" s="1"/>
      <c r="Q174" s="1"/>
      <c r="R174" s="1"/>
      <c r="S174" s="1"/>
      <c r="T174" s="1"/>
      <c r="U174" s="1"/>
      <c r="V174" s="1"/>
      <c r="W174" s="1"/>
      <c r="X174" s="1"/>
      <c r="Y174" s="1"/>
      <c r="Z174" s="1"/>
      <c r="AA174" s="1"/>
      <c r="AB174" s="1"/>
      <c r="AC174" s="1"/>
      <c r="AD174" s="10"/>
      <c r="AE174" s="10"/>
      <c r="AF174" s="123"/>
      <c r="AG174" s="1"/>
      <c r="AH174" s="10"/>
      <c r="AM174"/>
    </row>
    <row r="175" spans="2:39" ht="15" hidden="1" customHeight="1" x14ac:dyDescent="0.25">
      <c r="B175" s="1">
        <v>165</v>
      </c>
      <c r="C175" s="1">
        <v>0</v>
      </c>
      <c r="D175" s="1" t="s">
        <v>386</v>
      </c>
      <c r="E175" s="1" t="s">
        <v>294</v>
      </c>
      <c r="F175" s="1" t="s">
        <v>57</v>
      </c>
      <c r="G175" s="1" t="s">
        <v>250</v>
      </c>
      <c r="H175" s="1" t="s">
        <v>339</v>
      </c>
      <c r="I175" s="1"/>
      <c r="J175" s="1" t="s">
        <v>87</v>
      </c>
      <c r="K175" s="1" t="s">
        <v>55</v>
      </c>
      <c r="L175" s="1" t="s">
        <v>12</v>
      </c>
      <c r="M175" s="1">
        <v>0</v>
      </c>
      <c r="N175" s="1">
        <v>0</v>
      </c>
      <c r="O175" s="1">
        <v>0</v>
      </c>
      <c r="P175" s="1">
        <v>0</v>
      </c>
      <c r="Q175" s="1">
        <v>0</v>
      </c>
      <c r="R175" s="1"/>
      <c r="S175" s="1"/>
      <c r="T175" s="1"/>
      <c r="U175" s="1"/>
      <c r="V175" s="1"/>
      <c r="W175" s="1"/>
      <c r="X175" s="1"/>
      <c r="Y175" s="1"/>
      <c r="Z175" s="1" t="s">
        <v>32</v>
      </c>
      <c r="AA175" s="1" t="s">
        <v>32</v>
      </c>
      <c r="AB175" s="1"/>
      <c r="AC175" s="1"/>
      <c r="AD175" s="10"/>
      <c r="AE175" s="10"/>
      <c r="AF175" s="123"/>
      <c r="AG175" s="1" t="s">
        <v>80</v>
      </c>
      <c r="AH175" s="10"/>
      <c r="AM175"/>
    </row>
    <row r="176" spans="2:39" ht="15" hidden="1" customHeight="1" x14ac:dyDescent="0.25">
      <c r="B176" s="1">
        <v>166</v>
      </c>
      <c r="C176" s="1">
        <v>0</v>
      </c>
      <c r="D176" s="1" t="s">
        <v>386</v>
      </c>
      <c r="E176" s="1" t="s">
        <v>294</v>
      </c>
      <c r="F176" s="1" t="s">
        <v>57</v>
      </c>
      <c r="G176" s="1" t="s">
        <v>250</v>
      </c>
      <c r="H176" s="1" t="s">
        <v>482</v>
      </c>
      <c r="I176" s="1"/>
      <c r="J176" s="1" t="s">
        <v>87</v>
      </c>
      <c r="K176" s="1" t="s">
        <v>55</v>
      </c>
      <c r="L176" s="1" t="s">
        <v>453</v>
      </c>
      <c r="M176" s="1">
        <v>0</v>
      </c>
      <c r="N176" s="1">
        <v>0</v>
      </c>
      <c r="O176" s="1">
        <v>0</v>
      </c>
      <c r="P176" s="1">
        <v>0</v>
      </c>
      <c r="Q176" s="1">
        <v>4</v>
      </c>
      <c r="R176" s="1"/>
      <c r="S176" s="1"/>
      <c r="T176" s="1"/>
      <c r="U176" s="1"/>
      <c r="V176" s="1"/>
      <c r="W176" s="1"/>
      <c r="X176" s="1"/>
      <c r="Y176" s="1"/>
      <c r="Z176" s="1" t="s">
        <v>32</v>
      </c>
      <c r="AA176" s="1" t="s">
        <v>32</v>
      </c>
      <c r="AB176" s="1"/>
      <c r="AC176" s="1"/>
      <c r="AD176" s="10"/>
      <c r="AE176" s="10"/>
      <c r="AF176" s="123"/>
      <c r="AG176" s="1"/>
      <c r="AH176" s="10"/>
      <c r="AM176"/>
    </row>
    <row r="177" spans="2:39" ht="15" hidden="1" customHeight="1" x14ac:dyDescent="0.25">
      <c r="B177" s="1">
        <v>167</v>
      </c>
      <c r="C177" s="1">
        <v>0</v>
      </c>
      <c r="D177" s="1" t="s">
        <v>220</v>
      </c>
      <c r="E177" s="1" t="s">
        <v>52</v>
      </c>
      <c r="F177" s="1" t="s">
        <v>321</v>
      </c>
      <c r="G177" s="1" t="s">
        <v>321</v>
      </c>
      <c r="H177" s="1" t="s">
        <v>342</v>
      </c>
      <c r="I177" s="1"/>
      <c r="J177" s="1" t="s">
        <v>87</v>
      </c>
      <c r="K177" s="1" t="s">
        <v>491</v>
      </c>
      <c r="L177" s="1" t="s">
        <v>11</v>
      </c>
      <c r="M177" s="1">
        <v>0</v>
      </c>
      <c r="N177" s="1">
        <v>4</v>
      </c>
      <c r="O177" s="1">
        <v>4</v>
      </c>
      <c r="P177" s="1">
        <v>0</v>
      </c>
      <c r="Q177" s="1"/>
      <c r="R177" s="1">
        <v>4</v>
      </c>
      <c r="S177" s="1"/>
      <c r="T177" s="1"/>
      <c r="U177" s="1"/>
      <c r="V177" s="1"/>
      <c r="W177" s="1"/>
      <c r="X177" s="1"/>
      <c r="Y177" s="1"/>
      <c r="Z177" s="1" t="s">
        <v>32</v>
      </c>
      <c r="AA177" s="1" t="s">
        <v>32</v>
      </c>
      <c r="AB177" s="17"/>
      <c r="AC177" s="18"/>
      <c r="AD177" s="125"/>
      <c r="AE177" s="125"/>
      <c r="AF177" s="51"/>
      <c r="AG177" s="10" t="s">
        <v>343</v>
      </c>
      <c r="AH177" s="10"/>
      <c r="AM177"/>
    </row>
    <row r="178" spans="2:39" ht="15" hidden="1" customHeight="1" x14ac:dyDescent="0.25">
      <c r="B178" s="1">
        <v>168</v>
      </c>
      <c r="C178" s="1">
        <v>0</v>
      </c>
      <c r="D178" s="1" t="s">
        <v>185</v>
      </c>
      <c r="E178" s="1" t="s">
        <v>202</v>
      </c>
      <c r="F178" s="1" t="s">
        <v>345</v>
      </c>
      <c r="G178" s="1" t="s">
        <v>345</v>
      </c>
      <c r="H178" s="1" t="s">
        <v>344</v>
      </c>
      <c r="I178" s="1"/>
      <c r="J178" s="1" t="s">
        <v>87</v>
      </c>
      <c r="K178" s="1" t="s">
        <v>486</v>
      </c>
      <c r="L178" s="1" t="s">
        <v>502</v>
      </c>
      <c r="M178" s="1">
        <v>0</v>
      </c>
      <c r="N178" s="1">
        <v>4</v>
      </c>
      <c r="O178" s="1">
        <v>4</v>
      </c>
      <c r="P178" s="1">
        <v>0</v>
      </c>
      <c r="Q178" s="1"/>
      <c r="R178" s="1"/>
      <c r="S178" s="1"/>
      <c r="T178" s="1"/>
      <c r="U178" s="1"/>
      <c r="V178" s="1"/>
      <c r="W178" s="1"/>
      <c r="X178" s="1"/>
      <c r="Y178" s="1"/>
      <c r="Z178" s="1" t="s">
        <v>32</v>
      </c>
      <c r="AA178" s="1" t="s">
        <v>32</v>
      </c>
      <c r="AB178" s="17"/>
      <c r="AC178" s="18"/>
      <c r="AD178" s="125"/>
      <c r="AE178" s="125"/>
      <c r="AF178" s="51"/>
      <c r="AG178" s="10" t="s">
        <v>348</v>
      </c>
      <c r="AH178" s="10"/>
      <c r="AM178"/>
    </row>
    <row r="179" spans="2:39" ht="15" hidden="1" customHeight="1" x14ac:dyDescent="0.25">
      <c r="B179" s="1">
        <v>169</v>
      </c>
      <c r="C179" s="1">
        <v>0</v>
      </c>
      <c r="D179" s="1" t="s">
        <v>185</v>
      </c>
      <c r="E179" s="1" t="s">
        <v>346</v>
      </c>
      <c r="F179" s="1" t="s">
        <v>345</v>
      </c>
      <c r="G179" s="1" t="s">
        <v>345</v>
      </c>
      <c r="H179" s="1" t="s">
        <v>344</v>
      </c>
      <c r="I179" s="1"/>
      <c r="J179" s="1" t="s">
        <v>87</v>
      </c>
      <c r="K179" s="1" t="s">
        <v>486</v>
      </c>
      <c r="L179" s="1" t="s">
        <v>502</v>
      </c>
      <c r="M179" s="1">
        <v>0</v>
      </c>
      <c r="N179" s="1">
        <v>4</v>
      </c>
      <c r="O179" s="1">
        <v>4</v>
      </c>
      <c r="P179" s="1">
        <v>0</v>
      </c>
      <c r="Q179" s="1"/>
      <c r="R179" s="1"/>
      <c r="S179" s="1"/>
      <c r="T179" s="1"/>
      <c r="U179" s="1"/>
      <c r="V179" s="1"/>
      <c r="W179" s="1"/>
      <c r="X179" s="1"/>
      <c r="Y179" s="1"/>
      <c r="Z179" s="1" t="s">
        <v>32</v>
      </c>
      <c r="AA179" s="1" t="s">
        <v>32</v>
      </c>
      <c r="AB179" s="17"/>
      <c r="AC179" s="18"/>
      <c r="AD179" s="125"/>
      <c r="AE179" s="125"/>
      <c r="AF179" s="51"/>
      <c r="AG179" s="10" t="s">
        <v>348</v>
      </c>
      <c r="AH179" s="10"/>
      <c r="AM179"/>
    </row>
    <row r="180" spans="2:39" ht="15" hidden="1" customHeight="1" x14ac:dyDescent="0.25">
      <c r="B180" s="1">
        <v>170</v>
      </c>
      <c r="C180" s="1">
        <v>0</v>
      </c>
      <c r="D180" s="1" t="s">
        <v>185</v>
      </c>
      <c r="E180" s="1" t="s">
        <v>196</v>
      </c>
      <c r="F180" s="1" t="s">
        <v>345</v>
      </c>
      <c r="G180" s="1" t="s">
        <v>345</v>
      </c>
      <c r="H180" s="1" t="s">
        <v>344</v>
      </c>
      <c r="I180" s="1"/>
      <c r="J180" s="1" t="s">
        <v>87</v>
      </c>
      <c r="K180" s="1" t="s">
        <v>502</v>
      </c>
      <c r="L180" s="1" t="s">
        <v>486</v>
      </c>
      <c r="M180" s="1">
        <v>0</v>
      </c>
      <c r="N180" s="1">
        <v>4</v>
      </c>
      <c r="O180" s="1">
        <v>4</v>
      </c>
      <c r="P180" s="1">
        <v>0</v>
      </c>
      <c r="Q180" s="1"/>
      <c r="R180" s="1"/>
      <c r="S180" s="1"/>
      <c r="T180" s="1"/>
      <c r="U180" s="1"/>
      <c r="V180" s="1"/>
      <c r="W180" s="1"/>
      <c r="X180" s="1"/>
      <c r="Y180" s="1"/>
      <c r="Z180" s="1" t="s">
        <v>32</v>
      </c>
      <c r="AA180" s="1" t="s">
        <v>32</v>
      </c>
      <c r="AB180" s="17"/>
      <c r="AC180" s="18"/>
      <c r="AD180" s="125"/>
      <c r="AE180" s="125"/>
      <c r="AF180" s="51"/>
      <c r="AG180" s="10" t="s">
        <v>348</v>
      </c>
      <c r="AM180"/>
    </row>
    <row r="181" spans="2:39" ht="15" hidden="1" customHeight="1" x14ac:dyDescent="0.25">
      <c r="B181" s="1">
        <v>171</v>
      </c>
      <c r="C181" s="1">
        <v>0</v>
      </c>
      <c r="D181" s="1" t="s">
        <v>185</v>
      </c>
      <c r="E181" s="1" t="s">
        <v>519</v>
      </c>
      <c r="F181" s="1" t="s">
        <v>345</v>
      </c>
      <c r="G181" s="1" t="s">
        <v>345</v>
      </c>
      <c r="H181" s="1" t="s">
        <v>344</v>
      </c>
      <c r="I181" s="1"/>
      <c r="J181" s="1" t="s">
        <v>87</v>
      </c>
      <c r="K181" s="1" t="s">
        <v>486</v>
      </c>
      <c r="L181" s="1" t="s">
        <v>502</v>
      </c>
      <c r="M181" s="1">
        <v>0</v>
      </c>
      <c r="N181" s="1">
        <v>4</v>
      </c>
      <c r="O181" s="1">
        <v>4</v>
      </c>
      <c r="P181" s="1">
        <v>0</v>
      </c>
      <c r="Q181" s="1"/>
      <c r="R181" s="1"/>
      <c r="S181" s="1"/>
      <c r="T181" s="1"/>
      <c r="U181" s="1"/>
      <c r="V181" s="1"/>
      <c r="W181" s="1"/>
      <c r="X181" s="1"/>
      <c r="Y181" s="1"/>
      <c r="Z181" s="1" t="s">
        <v>32</v>
      </c>
      <c r="AA181" s="1" t="s">
        <v>32</v>
      </c>
      <c r="AB181" s="17"/>
      <c r="AC181" s="18"/>
      <c r="AD181" s="125"/>
      <c r="AE181" s="125"/>
      <c r="AF181" s="51"/>
      <c r="AG181" s="10" t="s">
        <v>348</v>
      </c>
      <c r="AM181"/>
    </row>
    <row r="182" spans="2:39" ht="15" hidden="1" customHeight="1" x14ac:dyDescent="0.25">
      <c r="B182" s="1">
        <v>172</v>
      </c>
      <c r="C182" s="1">
        <v>0</v>
      </c>
      <c r="D182" s="1" t="s">
        <v>212</v>
      </c>
      <c r="E182" s="1" t="s">
        <v>101</v>
      </c>
      <c r="F182" s="1" t="s">
        <v>118</v>
      </c>
      <c r="G182" s="1" t="s">
        <v>118</v>
      </c>
      <c r="H182" s="1" t="s">
        <v>352</v>
      </c>
      <c r="I182" s="1"/>
      <c r="J182" s="1" t="s">
        <v>85</v>
      </c>
      <c r="K182" s="1" t="s">
        <v>170</v>
      </c>
      <c r="L182" s="1" t="s">
        <v>452</v>
      </c>
      <c r="M182" s="1">
        <v>0</v>
      </c>
      <c r="N182" s="1">
        <v>0</v>
      </c>
      <c r="O182" s="1">
        <v>0</v>
      </c>
      <c r="P182" s="1">
        <v>0</v>
      </c>
      <c r="Q182" s="1"/>
      <c r="R182" s="1"/>
      <c r="S182" s="1"/>
      <c r="T182" s="1">
        <v>4</v>
      </c>
      <c r="U182" s="1"/>
      <c r="V182" s="1"/>
      <c r="W182" s="1"/>
      <c r="X182" s="1"/>
      <c r="Y182" s="1"/>
      <c r="Z182" s="1" t="s">
        <v>21</v>
      </c>
      <c r="AA182" s="1" t="s">
        <v>21</v>
      </c>
      <c r="AB182" s="17"/>
      <c r="AC182" s="18"/>
      <c r="AD182" s="126"/>
      <c r="AE182" s="126"/>
      <c r="AF182" s="51"/>
      <c r="AG182" s="10"/>
      <c r="AH182" s="10"/>
      <c r="AM182"/>
    </row>
    <row r="183" spans="2:39" ht="15" hidden="1" customHeight="1" x14ac:dyDescent="0.25">
      <c r="B183" s="1">
        <v>173</v>
      </c>
      <c r="C183" s="1">
        <v>0</v>
      </c>
      <c r="D183" s="1" t="s">
        <v>212</v>
      </c>
      <c r="E183" s="1" t="s">
        <v>101</v>
      </c>
      <c r="F183" s="1" t="s">
        <v>118</v>
      </c>
      <c r="G183" s="1" t="s">
        <v>118</v>
      </c>
      <c r="H183" s="1" t="s">
        <v>353</v>
      </c>
      <c r="I183" s="1"/>
      <c r="J183" s="1" t="s">
        <v>85</v>
      </c>
      <c r="K183" s="1" t="s">
        <v>170</v>
      </c>
      <c r="L183" s="1" t="s">
        <v>452</v>
      </c>
      <c r="M183" s="1">
        <v>0</v>
      </c>
      <c r="N183" s="1">
        <v>0</v>
      </c>
      <c r="O183" s="1">
        <v>0</v>
      </c>
      <c r="P183" s="1">
        <v>0</v>
      </c>
      <c r="Q183" s="1"/>
      <c r="R183" s="1"/>
      <c r="S183" s="1"/>
      <c r="T183" s="1">
        <v>4</v>
      </c>
      <c r="U183" s="1"/>
      <c r="V183" s="1"/>
      <c r="W183" s="1"/>
      <c r="X183" s="1"/>
      <c r="Y183" s="1"/>
      <c r="Z183" s="1" t="s">
        <v>21</v>
      </c>
      <c r="AA183" s="1" t="s">
        <v>21</v>
      </c>
      <c r="AB183" s="17"/>
      <c r="AC183" s="18"/>
      <c r="AD183" s="126"/>
      <c r="AE183" s="126"/>
      <c r="AF183" s="51"/>
      <c r="AG183" s="10"/>
      <c r="AH183" s="10"/>
      <c r="AM183"/>
    </row>
    <row r="184" spans="2:39" ht="15" hidden="1" customHeight="1" x14ac:dyDescent="0.25">
      <c r="B184" s="1">
        <v>174</v>
      </c>
      <c r="C184" s="45">
        <v>0</v>
      </c>
      <c r="D184" s="45" t="s">
        <v>383</v>
      </c>
      <c r="E184" s="45" t="s">
        <v>381</v>
      </c>
      <c r="F184" s="45" t="s">
        <v>380</v>
      </c>
      <c r="G184" s="45"/>
      <c r="H184" s="45" t="s">
        <v>421</v>
      </c>
      <c r="I184" s="45"/>
      <c r="J184" s="45" t="s">
        <v>85</v>
      </c>
      <c r="K184" s="45" t="s">
        <v>165</v>
      </c>
      <c r="L184" s="45" t="s">
        <v>491</v>
      </c>
      <c r="M184" s="45">
        <v>0</v>
      </c>
      <c r="N184" s="45">
        <v>0</v>
      </c>
      <c r="O184" s="45">
        <v>0</v>
      </c>
      <c r="P184" s="45">
        <v>4</v>
      </c>
      <c r="Q184" s="45">
        <v>0</v>
      </c>
      <c r="R184" s="45">
        <v>3</v>
      </c>
      <c r="S184" s="45">
        <v>0</v>
      </c>
      <c r="T184" s="45">
        <v>3</v>
      </c>
      <c r="U184" s="45"/>
      <c r="V184" s="45"/>
      <c r="W184" s="45"/>
      <c r="X184" s="45"/>
      <c r="Y184" s="45"/>
      <c r="Z184" s="1" t="s">
        <v>21</v>
      </c>
      <c r="AA184" s="1" t="s">
        <v>21</v>
      </c>
      <c r="AB184" s="46"/>
      <c r="AC184" s="45"/>
      <c r="AD184" s="47"/>
      <c r="AE184" s="47"/>
      <c r="AF184" s="122"/>
      <c r="AG184" s="47"/>
      <c r="AH184" s="10"/>
      <c r="AM184"/>
    </row>
    <row r="185" spans="2:39" ht="15" hidden="1" customHeight="1" x14ac:dyDescent="0.25">
      <c r="B185" s="1">
        <v>175</v>
      </c>
      <c r="C185" s="45">
        <v>0</v>
      </c>
      <c r="D185" s="45" t="s">
        <v>383</v>
      </c>
      <c r="E185" s="45" t="s">
        <v>381</v>
      </c>
      <c r="F185" s="45" t="s">
        <v>380</v>
      </c>
      <c r="G185" s="45"/>
      <c r="H185" s="45" t="s">
        <v>422</v>
      </c>
      <c r="I185" s="45"/>
      <c r="J185" s="45" t="s">
        <v>87</v>
      </c>
      <c r="K185" s="45" t="s">
        <v>165</v>
      </c>
      <c r="L185" s="45" t="s">
        <v>491</v>
      </c>
      <c r="M185" s="45">
        <v>0</v>
      </c>
      <c r="N185" s="45">
        <v>0</v>
      </c>
      <c r="O185" s="45">
        <v>0</v>
      </c>
      <c r="P185" s="45">
        <v>4</v>
      </c>
      <c r="Q185" s="45">
        <v>0</v>
      </c>
      <c r="R185" s="45">
        <v>3</v>
      </c>
      <c r="S185" s="45">
        <v>0</v>
      </c>
      <c r="T185" s="45">
        <v>3</v>
      </c>
      <c r="U185" s="45"/>
      <c r="V185" s="45"/>
      <c r="W185" s="45"/>
      <c r="X185" s="45"/>
      <c r="Y185" s="45"/>
      <c r="Z185" s="1" t="s">
        <v>21</v>
      </c>
      <c r="AA185" s="1" t="s">
        <v>21</v>
      </c>
      <c r="AB185" s="46"/>
      <c r="AC185" s="45"/>
      <c r="AD185" s="47"/>
      <c r="AE185" s="47"/>
      <c r="AF185" s="122"/>
      <c r="AG185" s="47"/>
      <c r="AH185" s="10"/>
      <c r="AM185"/>
    </row>
    <row r="186" spans="2:39" ht="15" hidden="1" customHeight="1" x14ac:dyDescent="0.25">
      <c r="B186" s="1">
        <v>176</v>
      </c>
      <c r="C186" s="45">
        <v>0</v>
      </c>
      <c r="D186" s="45" t="s">
        <v>383</v>
      </c>
      <c r="E186" s="45" t="s">
        <v>381</v>
      </c>
      <c r="F186" s="45" t="s">
        <v>380</v>
      </c>
      <c r="G186" s="45"/>
      <c r="H186" s="45" t="s">
        <v>423</v>
      </c>
      <c r="I186" s="45"/>
      <c r="J186" s="45" t="s">
        <v>87</v>
      </c>
      <c r="K186" s="45" t="s">
        <v>165</v>
      </c>
      <c r="L186" s="45" t="s">
        <v>491</v>
      </c>
      <c r="M186" s="45">
        <v>0</v>
      </c>
      <c r="N186" s="45">
        <v>0</v>
      </c>
      <c r="O186" s="45">
        <v>0</v>
      </c>
      <c r="P186" s="45">
        <v>4</v>
      </c>
      <c r="Q186" s="45">
        <v>0</v>
      </c>
      <c r="R186" s="45">
        <v>3</v>
      </c>
      <c r="S186" s="45">
        <v>0</v>
      </c>
      <c r="T186" s="45">
        <v>3</v>
      </c>
      <c r="U186" s="45"/>
      <c r="V186" s="45"/>
      <c r="W186" s="45"/>
      <c r="X186" s="45"/>
      <c r="Y186" s="45"/>
      <c r="Z186" s="1" t="s">
        <v>21</v>
      </c>
      <c r="AA186" s="1" t="s">
        <v>21</v>
      </c>
      <c r="AB186" s="46"/>
      <c r="AC186" s="45"/>
      <c r="AD186" s="47"/>
      <c r="AE186" s="47"/>
      <c r="AF186" s="122"/>
      <c r="AG186" s="47"/>
      <c r="AH186" s="10"/>
      <c r="AM186"/>
    </row>
    <row r="187" spans="2:39" ht="15" hidden="1" customHeight="1" x14ac:dyDescent="0.25">
      <c r="B187" s="1">
        <v>177</v>
      </c>
      <c r="C187" s="45">
        <v>0</v>
      </c>
      <c r="D187" s="45" t="s">
        <v>383</v>
      </c>
      <c r="E187" s="45" t="s">
        <v>381</v>
      </c>
      <c r="F187" s="45" t="s">
        <v>380</v>
      </c>
      <c r="G187" s="45"/>
      <c r="H187" s="45" t="s">
        <v>426</v>
      </c>
      <c r="I187" s="45"/>
      <c r="J187" s="45" t="s">
        <v>85</v>
      </c>
      <c r="K187" s="45" t="s">
        <v>165</v>
      </c>
      <c r="L187" s="45" t="s">
        <v>491</v>
      </c>
      <c r="M187" s="45">
        <v>0</v>
      </c>
      <c r="N187" s="45">
        <v>0</v>
      </c>
      <c r="O187" s="45">
        <v>0</v>
      </c>
      <c r="P187" s="45">
        <v>4</v>
      </c>
      <c r="Q187" s="45">
        <v>0</v>
      </c>
      <c r="R187" s="45">
        <v>3</v>
      </c>
      <c r="S187" s="45">
        <v>0</v>
      </c>
      <c r="T187" s="45">
        <v>3</v>
      </c>
      <c r="U187" s="45"/>
      <c r="V187" s="45"/>
      <c r="W187" s="45"/>
      <c r="X187" s="45"/>
      <c r="Y187" s="45"/>
      <c r="Z187" s="1" t="s">
        <v>21</v>
      </c>
      <c r="AA187" s="1" t="s">
        <v>21</v>
      </c>
      <c r="AB187" s="46"/>
      <c r="AC187" s="45"/>
      <c r="AD187" s="47"/>
      <c r="AE187" s="47"/>
      <c r="AF187" s="122"/>
      <c r="AG187" s="47"/>
      <c r="AH187" s="10"/>
      <c r="AM187"/>
    </row>
    <row r="188" spans="2:39" ht="15" hidden="1" customHeight="1" x14ac:dyDescent="0.25">
      <c r="B188" s="1">
        <v>178</v>
      </c>
      <c r="C188" s="45">
        <v>0</v>
      </c>
      <c r="D188" s="45" t="s">
        <v>383</v>
      </c>
      <c r="E188" s="45" t="s">
        <v>381</v>
      </c>
      <c r="F188" s="45" t="s">
        <v>380</v>
      </c>
      <c r="G188" s="45"/>
      <c r="H188" s="45" t="s">
        <v>427</v>
      </c>
      <c r="I188" s="45"/>
      <c r="J188" s="45" t="s">
        <v>85</v>
      </c>
      <c r="K188" s="45" t="s">
        <v>165</v>
      </c>
      <c r="L188" s="45" t="s">
        <v>491</v>
      </c>
      <c r="M188" s="45">
        <v>0</v>
      </c>
      <c r="N188" s="45">
        <v>0</v>
      </c>
      <c r="O188" s="45">
        <v>0</v>
      </c>
      <c r="P188" s="45">
        <v>4</v>
      </c>
      <c r="Q188" s="45">
        <v>0</v>
      </c>
      <c r="R188" s="45">
        <v>3</v>
      </c>
      <c r="S188" s="45">
        <v>0</v>
      </c>
      <c r="T188" s="45">
        <v>3</v>
      </c>
      <c r="U188" s="45"/>
      <c r="V188" s="45"/>
      <c r="W188" s="45"/>
      <c r="X188" s="45"/>
      <c r="Y188" s="45"/>
      <c r="Z188" s="1" t="s">
        <v>21</v>
      </c>
      <c r="AA188" s="1" t="s">
        <v>21</v>
      </c>
      <c r="AB188" s="46"/>
      <c r="AC188" s="45"/>
      <c r="AD188" s="47"/>
      <c r="AE188" s="47"/>
      <c r="AF188" s="122"/>
      <c r="AG188" s="47"/>
      <c r="AH188" s="10"/>
      <c r="AM188"/>
    </row>
    <row r="189" spans="2:39" ht="15" hidden="1" customHeight="1" x14ac:dyDescent="0.25">
      <c r="B189" s="1">
        <v>179</v>
      </c>
      <c r="C189" s="45">
        <v>0</v>
      </c>
      <c r="D189" s="45" t="s">
        <v>383</v>
      </c>
      <c r="E189" s="45" t="s">
        <v>381</v>
      </c>
      <c r="F189" s="45" t="s">
        <v>380</v>
      </c>
      <c r="G189" s="45"/>
      <c r="H189" s="45" t="s">
        <v>428</v>
      </c>
      <c r="I189" s="45"/>
      <c r="J189" s="45" t="s">
        <v>87</v>
      </c>
      <c r="K189" s="45" t="s">
        <v>165</v>
      </c>
      <c r="L189" s="45" t="s">
        <v>491</v>
      </c>
      <c r="M189" s="45">
        <v>0</v>
      </c>
      <c r="N189" s="45">
        <v>0</v>
      </c>
      <c r="O189" s="45">
        <v>0</v>
      </c>
      <c r="P189" s="45">
        <v>4</v>
      </c>
      <c r="Q189" s="45">
        <v>0</v>
      </c>
      <c r="R189" s="45">
        <v>3</v>
      </c>
      <c r="S189" s="45">
        <v>0</v>
      </c>
      <c r="T189" s="45">
        <v>3</v>
      </c>
      <c r="U189" s="45"/>
      <c r="V189" s="45"/>
      <c r="W189" s="45"/>
      <c r="X189" s="45"/>
      <c r="Y189" s="45"/>
      <c r="Z189" s="1" t="s">
        <v>21</v>
      </c>
      <c r="AA189" s="1" t="s">
        <v>21</v>
      </c>
      <c r="AB189" s="46"/>
      <c r="AC189" s="45"/>
      <c r="AD189" s="47"/>
      <c r="AE189" s="47"/>
      <c r="AF189" s="122"/>
      <c r="AG189" s="47"/>
      <c r="AH189" s="10"/>
      <c r="AM189"/>
    </row>
    <row r="190" spans="2:39" ht="15" hidden="1" customHeight="1" x14ac:dyDescent="0.25">
      <c r="B190" s="1">
        <v>180</v>
      </c>
      <c r="C190" s="45">
        <v>0</v>
      </c>
      <c r="D190" s="45" t="s">
        <v>383</v>
      </c>
      <c r="E190" s="45" t="s">
        <v>381</v>
      </c>
      <c r="F190" s="45" t="s">
        <v>380</v>
      </c>
      <c r="G190" s="45"/>
      <c r="H190" s="45" t="s">
        <v>430</v>
      </c>
      <c r="I190" s="45"/>
      <c r="J190" s="45" t="s">
        <v>87</v>
      </c>
      <c r="K190" s="45" t="s">
        <v>165</v>
      </c>
      <c r="L190" s="45" t="s">
        <v>491</v>
      </c>
      <c r="M190" s="45">
        <v>0</v>
      </c>
      <c r="N190" s="45">
        <v>0</v>
      </c>
      <c r="O190" s="45">
        <v>0</v>
      </c>
      <c r="P190" s="45">
        <v>4</v>
      </c>
      <c r="Q190" s="45">
        <v>0</v>
      </c>
      <c r="R190" s="45">
        <v>3</v>
      </c>
      <c r="S190" s="45">
        <v>0</v>
      </c>
      <c r="T190" s="45">
        <v>1</v>
      </c>
      <c r="U190" s="45"/>
      <c r="V190" s="45"/>
      <c r="W190" s="45"/>
      <c r="X190" s="45"/>
      <c r="Y190" s="45"/>
      <c r="Z190" s="1" t="s">
        <v>32</v>
      </c>
      <c r="AA190" s="1" t="s">
        <v>32</v>
      </c>
      <c r="AB190" s="46"/>
      <c r="AC190" s="45"/>
      <c r="AD190" s="47"/>
      <c r="AE190" s="47"/>
      <c r="AF190" s="122"/>
      <c r="AG190" s="47"/>
      <c r="AH190" s="10"/>
      <c r="AM190"/>
    </row>
    <row r="191" spans="2:39" ht="15" hidden="1" customHeight="1" x14ac:dyDescent="0.25">
      <c r="B191" s="1">
        <v>181</v>
      </c>
      <c r="C191" s="45">
        <v>0</v>
      </c>
      <c r="D191" s="45" t="s">
        <v>383</v>
      </c>
      <c r="E191" s="45" t="s">
        <v>381</v>
      </c>
      <c r="F191" s="45" t="s">
        <v>380</v>
      </c>
      <c r="G191" s="45"/>
      <c r="H191" s="45" t="s">
        <v>436</v>
      </c>
      <c r="I191" s="45"/>
      <c r="J191" s="45" t="s">
        <v>87</v>
      </c>
      <c r="K191" s="45" t="s">
        <v>165</v>
      </c>
      <c r="L191" s="45" t="s">
        <v>491</v>
      </c>
      <c r="M191" s="45">
        <v>0</v>
      </c>
      <c r="N191" s="45">
        <v>0</v>
      </c>
      <c r="O191" s="45">
        <v>0</v>
      </c>
      <c r="P191" s="45">
        <v>4</v>
      </c>
      <c r="Q191" s="45">
        <v>0</v>
      </c>
      <c r="R191" s="45">
        <v>0</v>
      </c>
      <c r="S191" s="45">
        <v>0</v>
      </c>
      <c r="T191" s="45">
        <v>3</v>
      </c>
      <c r="U191" s="45"/>
      <c r="V191" s="45"/>
      <c r="W191" s="45"/>
      <c r="X191" s="45"/>
      <c r="Y191" s="45"/>
      <c r="Z191" s="1" t="s">
        <v>21</v>
      </c>
      <c r="AA191" s="1" t="s">
        <v>21</v>
      </c>
      <c r="AB191" s="46"/>
      <c r="AC191" s="45"/>
      <c r="AD191" s="47"/>
      <c r="AE191" s="47"/>
      <c r="AF191" s="122"/>
      <c r="AG191" s="47"/>
      <c r="AH191" s="10"/>
      <c r="AM191"/>
    </row>
    <row r="192" spans="2:39" hidden="1" x14ac:dyDescent="0.25">
      <c r="B192" s="1">
        <v>182</v>
      </c>
      <c r="C192" s="45">
        <v>0</v>
      </c>
      <c r="D192" s="45" t="s">
        <v>383</v>
      </c>
      <c r="E192" s="45" t="s">
        <v>381</v>
      </c>
      <c r="F192" s="45" t="s">
        <v>380</v>
      </c>
      <c r="G192" s="45"/>
      <c r="H192" s="45" t="s">
        <v>433</v>
      </c>
      <c r="I192" s="45"/>
      <c r="J192" s="45" t="s">
        <v>85</v>
      </c>
      <c r="K192" s="45" t="s">
        <v>165</v>
      </c>
      <c r="L192" s="45" t="s">
        <v>491</v>
      </c>
      <c r="M192" s="45">
        <v>0</v>
      </c>
      <c r="N192" s="45">
        <v>0</v>
      </c>
      <c r="O192" s="45">
        <v>0</v>
      </c>
      <c r="P192" s="45">
        <v>4</v>
      </c>
      <c r="Q192" s="45">
        <v>0</v>
      </c>
      <c r="R192" s="45">
        <v>0</v>
      </c>
      <c r="S192" s="45">
        <v>0</v>
      </c>
      <c r="T192" s="45">
        <v>3</v>
      </c>
      <c r="U192" s="45"/>
      <c r="V192" s="45"/>
      <c r="W192" s="45"/>
      <c r="X192" s="45"/>
      <c r="Y192" s="45"/>
      <c r="Z192" s="1" t="s">
        <v>21</v>
      </c>
      <c r="AA192" s="1" t="s">
        <v>21</v>
      </c>
      <c r="AB192" s="46"/>
      <c r="AC192" s="45"/>
      <c r="AD192" s="47"/>
      <c r="AE192" s="47"/>
      <c r="AF192" s="122"/>
      <c r="AG192" s="47"/>
      <c r="AH192" s="10"/>
      <c r="AM192"/>
    </row>
    <row r="193" spans="2:39" hidden="1" x14ac:dyDescent="0.25">
      <c r="B193" s="1">
        <v>183</v>
      </c>
      <c r="C193" s="45">
        <v>0</v>
      </c>
      <c r="D193" s="45" t="s">
        <v>383</v>
      </c>
      <c r="E193" s="45" t="s">
        <v>381</v>
      </c>
      <c r="F193" s="45" t="s">
        <v>380</v>
      </c>
      <c r="G193" s="45"/>
      <c r="H193" s="45" t="s">
        <v>434</v>
      </c>
      <c r="I193" s="45"/>
      <c r="J193" s="45" t="s">
        <v>87</v>
      </c>
      <c r="K193" s="45" t="s">
        <v>165</v>
      </c>
      <c r="L193" s="45" t="s">
        <v>491</v>
      </c>
      <c r="M193" s="45">
        <v>0</v>
      </c>
      <c r="N193" s="45">
        <v>0</v>
      </c>
      <c r="O193" s="45">
        <v>0</v>
      </c>
      <c r="P193" s="45">
        <v>4</v>
      </c>
      <c r="Q193" s="45">
        <v>0</v>
      </c>
      <c r="R193" s="45">
        <v>0</v>
      </c>
      <c r="S193" s="45">
        <v>0</v>
      </c>
      <c r="T193" s="45">
        <v>1</v>
      </c>
      <c r="U193" s="45"/>
      <c r="V193" s="45"/>
      <c r="W193" s="45"/>
      <c r="X193" s="45"/>
      <c r="Y193" s="45"/>
      <c r="Z193" s="1" t="s">
        <v>32</v>
      </c>
      <c r="AA193" s="1" t="s">
        <v>32</v>
      </c>
      <c r="AB193" s="46"/>
      <c r="AC193" s="45"/>
      <c r="AD193" s="47"/>
      <c r="AE193" s="47"/>
      <c r="AF193" s="122"/>
      <c r="AG193" s="47"/>
      <c r="AH193" s="10"/>
      <c r="AM193"/>
    </row>
    <row r="194" spans="2:39" hidden="1" x14ac:dyDescent="0.25">
      <c r="B194" s="1">
        <v>184</v>
      </c>
      <c r="C194" s="45">
        <v>0</v>
      </c>
      <c r="D194" s="45" t="s">
        <v>383</v>
      </c>
      <c r="E194" s="45" t="s">
        <v>381</v>
      </c>
      <c r="F194" s="45" t="s">
        <v>380</v>
      </c>
      <c r="G194" s="45"/>
      <c r="H194" s="45" t="s">
        <v>435</v>
      </c>
      <c r="I194" s="45"/>
      <c r="J194" s="45" t="s">
        <v>87</v>
      </c>
      <c r="K194" s="45" t="s">
        <v>165</v>
      </c>
      <c r="L194" s="45" t="s">
        <v>491</v>
      </c>
      <c r="M194" s="45">
        <v>0</v>
      </c>
      <c r="N194" s="45">
        <v>0</v>
      </c>
      <c r="O194" s="45">
        <v>0</v>
      </c>
      <c r="P194" s="45">
        <v>4</v>
      </c>
      <c r="Q194" s="45">
        <v>0</v>
      </c>
      <c r="R194" s="45">
        <v>0</v>
      </c>
      <c r="S194" s="45">
        <v>0</v>
      </c>
      <c r="T194" s="45">
        <v>1</v>
      </c>
      <c r="U194" s="45"/>
      <c r="V194" s="45"/>
      <c r="W194" s="45"/>
      <c r="X194" s="45"/>
      <c r="Y194" s="45"/>
      <c r="Z194" s="1" t="s">
        <v>32</v>
      </c>
      <c r="AA194" s="1" t="s">
        <v>32</v>
      </c>
      <c r="AB194" s="46"/>
      <c r="AC194" s="45"/>
      <c r="AD194" s="47"/>
      <c r="AE194" s="47"/>
      <c r="AF194" s="122"/>
      <c r="AG194" s="47"/>
      <c r="AH194" s="10"/>
      <c r="AM194"/>
    </row>
    <row r="195" spans="2:39" hidden="1" x14ac:dyDescent="0.25">
      <c r="B195" s="1">
        <v>185</v>
      </c>
      <c r="C195" s="1">
        <v>0</v>
      </c>
      <c r="D195" s="1" t="s">
        <v>220</v>
      </c>
      <c r="E195" s="1" t="s">
        <v>52</v>
      </c>
      <c r="F195" s="1" t="s">
        <v>321</v>
      </c>
      <c r="G195" s="1" t="s">
        <v>321</v>
      </c>
      <c r="H195" s="1" t="s">
        <v>388</v>
      </c>
      <c r="I195" s="1"/>
      <c r="J195" s="1" t="s">
        <v>85</v>
      </c>
      <c r="K195" s="1" t="s">
        <v>491</v>
      </c>
      <c r="L195" s="1" t="s">
        <v>11</v>
      </c>
      <c r="M195" s="1">
        <v>0</v>
      </c>
      <c r="N195" s="1">
        <v>4</v>
      </c>
      <c r="O195" s="1">
        <v>4</v>
      </c>
      <c r="P195" s="1">
        <v>0</v>
      </c>
      <c r="Q195" s="35"/>
      <c r="R195" s="35">
        <v>4</v>
      </c>
      <c r="S195" s="35"/>
      <c r="T195" s="35">
        <v>3</v>
      </c>
      <c r="U195" s="1"/>
      <c r="V195" s="1"/>
      <c r="W195" s="1"/>
      <c r="X195" s="1"/>
      <c r="Y195" s="1"/>
      <c r="Z195" s="1" t="s">
        <v>21</v>
      </c>
      <c r="AA195" s="1" t="s">
        <v>32</v>
      </c>
      <c r="AB195" s="17">
        <v>44984</v>
      </c>
      <c r="AC195" s="18" t="s">
        <v>417</v>
      </c>
      <c r="AD195" s="125"/>
      <c r="AE195" s="125"/>
      <c r="AF195" s="51"/>
      <c r="AG195" s="10"/>
      <c r="AH195" s="10"/>
      <c r="AM195"/>
    </row>
    <row r="196" spans="2:39" ht="15" hidden="1" customHeight="1" x14ac:dyDescent="0.25">
      <c r="B196" s="1">
        <v>186</v>
      </c>
      <c r="C196" s="1">
        <v>0</v>
      </c>
      <c r="D196" s="1" t="s">
        <v>220</v>
      </c>
      <c r="E196" s="1" t="s">
        <v>52</v>
      </c>
      <c r="F196" s="1" t="s">
        <v>321</v>
      </c>
      <c r="G196" s="1" t="s">
        <v>321</v>
      </c>
      <c r="H196" s="1" t="s">
        <v>389</v>
      </c>
      <c r="I196" s="1"/>
      <c r="J196" s="1" t="s">
        <v>85</v>
      </c>
      <c r="K196" s="1" t="s">
        <v>491</v>
      </c>
      <c r="L196" s="1" t="s">
        <v>11</v>
      </c>
      <c r="M196" s="1">
        <v>0</v>
      </c>
      <c r="N196" s="1">
        <v>4</v>
      </c>
      <c r="O196" s="1">
        <v>4</v>
      </c>
      <c r="P196" s="1">
        <v>0</v>
      </c>
      <c r="Q196" s="35"/>
      <c r="R196" s="35">
        <v>4</v>
      </c>
      <c r="S196" s="35"/>
      <c r="T196" s="35"/>
      <c r="U196" s="1"/>
      <c r="V196" s="1"/>
      <c r="W196" s="1"/>
      <c r="X196" s="1"/>
      <c r="Y196" s="1"/>
      <c r="Z196" s="1" t="s">
        <v>32</v>
      </c>
      <c r="AA196" s="1" t="s">
        <v>32</v>
      </c>
      <c r="AB196" s="17"/>
      <c r="AC196" s="18"/>
      <c r="AD196" s="125"/>
      <c r="AE196" s="125"/>
      <c r="AF196" s="51"/>
      <c r="AG196" s="10" t="s">
        <v>343</v>
      </c>
      <c r="AH196" s="10"/>
      <c r="AM196"/>
    </row>
    <row r="197" spans="2:39" ht="15" hidden="1" customHeight="1" x14ac:dyDescent="0.25">
      <c r="B197" s="1">
        <v>187</v>
      </c>
      <c r="C197" s="1">
        <v>0</v>
      </c>
      <c r="D197" s="1" t="s">
        <v>220</v>
      </c>
      <c r="E197" s="1" t="s">
        <v>52</v>
      </c>
      <c r="F197" s="1" t="s">
        <v>321</v>
      </c>
      <c r="G197" s="1" t="s">
        <v>321</v>
      </c>
      <c r="H197" s="1" t="s">
        <v>390</v>
      </c>
      <c r="I197" s="1"/>
      <c r="J197" s="1" t="s">
        <v>85</v>
      </c>
      <c r="K197" s="1" t="s">
        <v>491</v>
      </c>
      <c r="L197" s="1" t="s">
        <v>11</v>
      </c>
      <c r="M197" s="1">
        <v>0</v>
      </c>
      <c r="N197" s="1">
        <v>4</v>
      </c>
      <c r="O197" s="1">
        <v>4</v>
      </c>
      <c r="P197" s="1">
        <v>0</v>
      </c>
      <c r="Q197" s="35"/>
      <c r="R197" s="35">
        <v>4</v>
      </c>
      <c r="S197" s="35"/>
      <c r="T197" s="35">
        <v>3</v>
      </c>
      <c r="U197" s="1"/>
      <c r="V197" s="1"/>
      <c r="W197" s="1"/>
      <c r="X197" s="1"/>
      <c r="Y197" s="1"/>
      <c r="Z197" s="1" t="s">
        <v>21</v>
      </c>
      <c r="AA197" s="1" t="s">
        <v>32</v>
      </c>
      <c r="AB197" s="17">
        <v>44984</v>
      </c>
      <c r="AC197" s="18" t="s">
        <v>417</v>
      </c>
      <c r="AD197" s="125"/>
      <c r="AE197" s="125"/>
      <c r="AF197" s="51"/>
      <c r="AG197" s="10"/>
      <c r="AH197" s="10"/>
      <c r="AM197"/>
    </row>
    <row r="198" spans="2:39" ht="15" hidden="1" customHeight="1" x14ac:dyDescent="0.25">
      <c r="B198" s="1">
        <v>188</v>
      </c>
      <c r="C198" s="45">
        <v>0</v>
      </c>
      <c r="D198" s="45" t="s">
        <v>220</v>
      </c>
      <c r="E198" s="45" t="s">
        <v>52</v>
      </c>
      <c r="F198" s="45" t="s">
        <v>321</v>
      </c>
      <c r="G198" s="45" t="s">
        <v>321</v>
      </c>
      <c r="H198" s="45" t="s">
        <v>391</v>
      </c>
      <c r="I198" s="45"/>
      <c r="J198" s="45" t="s">
        <v>87</v>
      </c>
      <c r="K198" s="45" t="s">
        <v>491</v>
      </c>
      <c r="L198" s="45" t="s">
        <v>11</v>
      </c>
      <c r="M198" s="45">
        <v>0</v>
      </c>
      <c r="N198" s="45">
        <v>4</v>
      </c>
      <c r="O198" s="45">
        <v>4</v>
      </c>
      <c r="P198" s="45">
        <v>0</v>
      </c>
      <c r="Q198" s="45"/>
      <c r="R198" s="45">
        <v>4</v>
      </c>
      <c r="S198" s="45"/>
      <c r="T198" s="45">
        <v>3</v>
      </c>
      <c r="U198" s="45"/>
      <c r="V198" s="45"/>
      <c r="W198" s="45"/>
      <c r="X198" s="45"/>
      <c r="Y198" s="45"/>
      <c r="Z198" s="1" t="s">
        <v>21</v>
      </c>
      <c r="AA198" s="1" t="s">
        <v>32</v>
      </c>
      <c r="AB198" s="46">
        <v>44984</v>
      </c>
      <c r="AC198" s="45" t="s">
        <v>417</v>
      </c>
      <c r="AD198" s="47"/>
      <c r="AE198" s="47"/>
      <c r="AF198" s="122"/>
      <c r="AG198" s="47"/>
      <c r="AH198" s="10"/>
      <c r="AM198"/>
    </row>
    <row r="199" spans="2:39" ht="15" hidden="1" customHeight="1" x14ac:dyDescent="0.25">
      <c r="B199" s="1">
        <v>189</v>
      </c>
      <c r="C199" s="45">
        <v>0</v>
      </c>
      <c r="D199" s="45" t="s">
        <v>220</v>
      </c>
      <c r="E199" s="45" t="s">
        <v>52</v>
      </c>
      <c r="F199" s="45" t="s">
        <v>321</v>
      </c>
      <c r="G199" s="45" t="s">
        <v>321</v>
      </c>
      <c r="H199" s="45" t="s">
        <v>392</v>
      </c>
      <c r="I199" s="45"/>
      <c r="J199" s="45" t="s">
        <v>87</v>
      </c>
      <c r="K199" s="45" t="s">
        <v>491</v>
      </c>
      <c r="L199" s="45" t="s">
        <v>11</v>
      </c>
      <c r="M199" s="45">
        <v>0</v>
      </c>
      <c r="N199" s="45">
        <v>4</v>
      </c>
      <c r="O199" s="45">
        <v>4</v>
      </c>
      <c r="P199" s="45">
        <v>0</v>
      </c>
      <c r="Q199" s="45"/>
      <c r="R199" s="45">
        <v>4</v>
      </c>
      <c r="S199" s="45"/>
      <c r="T199" s="45">
        <v>3</v>
      </c>
      <c r="U199" s="45"/>
      <c r="V199" s="45"/>
      <c r="W199" s="45"/>
      <c r="X199" s="45"/>
      <c r="Y199" s="45"/>
      <c r="Z199" s="1" t="s">
        <v>21</v>
      </c>
      <c r="AA199" s="1" t="s">
        <v>32</v>
      </c>
      <c r="AB199" s="46">
        <v>44984</v>
      </c>
      <c r="AC199" s="45" t="s">
        <v>417</v>
      </c>
      <c r="AD199" s="47"/>
      <c r="AE199" s="47"/>
      <c r="AF199" s="122"/>
      <c r="AG199" s="47"/>
      <c r="AH199" s="10"/>
      <c r="AM199"/>
    </row>
    <row r="200" spans="2:39" hidden="1" x14ac:dyDescent="0.25">
      <c r="B200" s="1">
        <v>190</v>
      </c>
      <c r="C200" s="45">
        <v>0</v>
      </c>
      <c r="D200" s="45" t="s">
        <v>220</v>
      </c>
      <c r="E200" s="45" t="s">
        <v>52</v>
      </c>
      <c r="F200" s="45" t="s">
        <v>321</v>
      </c>
      <c r="G200" s="45" t="s">
        <v>321</v>
      </c>
      <c r="H200" s="45" t="s">
        <v>393</v>
      </c>
      <c r="I200" s="45"/>
      <c r="J200" s="45" t="s">
        <v>87</v>
      </c>
      <c r="K200" s="45" t="s">
        <v>491</v>
      </c>
      <c r="L200" s="45" t="s">
        <v>11</v>
      </c>
      <c r="M200" s="45">
        <v>0</v>
      </c>
      <c r="N200" s="45">
        <v>4</v>
      </c>
      <c r="O200" s="45">
        <v>4</v>
      </c>
      <c r="P200" s="45">
        <v>0</v>
      </c>
      <c r="Q200" s="45"/>
      <c r="R200" s="45">
        <v>4</v>
      </c>
      <c r="S200" s="45"/>
      <c r="T200" s="45">
        <v>3</v>
      </c>
      <c r="U200" s="45"/>
      <c r="V200" s="45"/>
      <c r="W200" s="45"/>
      <c r="X200" s="45"/>
      <c r="Y200" s="45"/>
      <c r="Z200" s="1" t="s">
        <v>21</v>
      </c>
      <c r="AA200" s="1" t="s">
        <v>32</v>
      </c>
      <c r="AB200" s="46">
        <v>44984</v>
      </c>
      <c r="AC200" s="45" t="s">
        <v>417</v>
      </c>
      <c r="AD200" s="47"/>
      <c r="AE200" s="47"/>
      <c r="AF200" s="122"/>
      <c r="AG200" s="47"/>
      <c r="AH200" s="10"/>
      <c r="AM200"/>
    </row>
    <row r="201" spans="2:39" hidden="1" x14ac:dyDescent="0.25">
      <c r="B201" s="1">
        <v>191</v>
      </c>
      <c r="C201" s="45">
        <v>0</v>
      </c>
      <c r="D201" s="45" t="s">
        <v>220</v>
      </c>
      <c r="E201" s="45" t="s">
        <v>52</v>
      </c>
      <c r="F201" s="45" t="s">
        <v>321</v>
      </c>
      <c r="G201" s="45" t="s">
        <v>321</v>
      </c>
      <c r="H201" s="45" t="s">
        <v>394</v>
      </c>
      <c r="I201" s="45"/>
      <c r="J201" s="45" t="s">
        <v>87</v>
      </c>
      <c r="K201" s="45" t="s">
        <v>491</v>
      </c>
      <c r="L201" s="45" t="s">
        <v>11</v>
      </c>
      <c r="M201" s="45">
        <v>0</v>
      </c>
      <c r="N201" s="45">
        <v>4</v>
      </c>
      <c r="O201" s="45">
        <v>4</v>
      </c>
      <c r="P201" s="45">
        <v>0</v>
      </c>
      <c r="Q201" s="45"/>
      <c r="R201" s="45">
        <v>4</v>
      </c>
      <c r="S201" s="45"/>
      <c r="T201" s="45">
        <v>3</v>
      </c>
      <c r="U201" s="45"/>
      <c r="V201" s="45"/>
      <c r="W201" s="45"/>
      <c r="X201" s="45"/>
      <c r="Y201" s="45"/>
      <c r="Z201" s="1" t="s">
        <v>21</v>
      </c>
      <c r="AA201" s="1" t="s">
        <v>32</v>
      </c>
      <c r="AB201" s="46">
        <v>44984</v>
      </c>
      <c r="AC201" s="45" t="s">
        <v>417</v>
      </c>
      <c r="AD201" s="47"/>
      <c r="AE201" s="47"/>
      <c r="AF201" s="122"/>
      <c r="AG201" s="47"/>
      <c r="AH201" s="10"/>
      <c r="AM201"/>
    </row>
    <row r="202" spans="2:39" hidden="1" x14ac:dyDescent="0.25">
      <c r="B202" s="1">
        <v>192</v>
      </c>
      <c r="C202" s="1">
        <v>0</v>
      </c>
      <c r="D202" s="1" t="s">
        <v>220</v>
      </c>
      <c r="E202" s="1" t="s">
        <v>52</v>
      </c>
      <c r="F202" s="1" t="s">
        <v>321</v>
      </c>
      <c r="G202" s="1" t="s">
        <v>321</v>
      </c>
      <c r="H202" s="1" t="s">
        <v>395</v>
      </c>
      <c r="I202" s="1"/>
      <c r="J202" s="1" t="s">
        <v>86</v>
      </c>
      <c r="K202" s="1" t="s">
        <v>491</v>
      </c>
      <c r="L202" s="1" t="s">
        <v>11</v>
      </c>
      <c r="M202" s="1">
        <v>0</v>
      </c>
      <c r="N202" s="1">
        <v>4</v>
      </c>
      <c r="O202" s="1">
        <v>4</v>
      </c>
      <c r="P202" s="1">
        <v>0</v>
      </c>
      <c r="Q202" s="35"/>
      <c r="R202" s="35">
        <v>4</v>
      </c>
      <c r="S202" s="35"/>
      <c r="T202" s="35">
        <v>3</v>
      </c>
      <c r="U202" s="1"/>
      <c r="V202" s="1"/>
      <c r="W202" s="1"/>
      <c r="X202" s="1"/>
      <c r="Y202" s="1"/>
      <c r="Z202" s="1" t="s">
        <v>21</v>
      </c>
      <c r="AA202" s="1" t="s">
        <v>32</v>
      </c>
      <c r="AB202" s="17">
        <v>44984</v>
      </c>
      <c r="AC202" s="18" t="s">
        <v>417</v>
      </c>
      <c r="AD202" s="125"/>
      <c r="AE202" s="125"/>
      <c r="AF202" s="51"/>
      <c r="AG202" s="10"/>
      <c r="AH202" s="10"/>
      <c r="AM202"/>
    </row>
    <row r="203" spans="2:39" ht="15" hidden="1" customHeight="1" x14ac:dyDescent="0.25">
      <c r="B203" s="1">
        <v>193</v>
      </c>
      <c r="C203" s="1">
        <v>0</v>
      </c>
      <c r="D203" s="1" t="s">
        <v>220</v>
      </c>
      <c r="E203" s="1" t="s">
        <v>52</v>
      </c>
      <c r="F203" s="1" t="s">
        <v>321</v>
      </c>
      <c r="G203" s="1" t="s">
        <v>321</v>
      </c>
      <c r="H203" s="1" t="s">
        <v>396</v>
      </c>
      <c r="I203" s="1"/>
      <c r="J203" s="1" t="s">
        <v>85</v>
      </c>
      <c r="K203" s="1" t="s">
        <v>491</v>
      </c>
      <c r="L203" s="1" t="s">
        <v>11</v>
      </c>
      <c r="M203" s="1">
        <v>0</v>
      </c>
      <c r="N203" s="1">
        <v>4</v>
      </c>
      <c r="O203" s="1">
        <v>4</v>
      </c>
      <c r="P203" s="1">
        <v>0</v>
      </c>
      <c r="Q203" s="1"/>
      <c r="R203" s="1">
        <v>4</v>
      </c>
      <c r="S203" s="1"/>
      <c r="T203" s="1"/>
      <c r="U203" s="1"/>
      <c r="V203" s="1"/>
      <c r="W203" s="1"/>
      <c r="X203" s="1"/>
      <c r="Y203" s="1"/>
      <c r="Z203" s="1" t="s">
        <v>32</v>
      </c>
      <c r="AA203" s="1" t="s">
        <v>32</v>
      </c>
      <c r="AB203" s="17"/>
      <c r="AC203" s="18"/>
      <c r="AD203" s="125"/>
      <c r="AE203" s="125"/>
      <c r="AF203" s="51"/>
      <c r="AG203" s="10" t="s">
        <v>343</v>
      </c>
      <c r="AM203"/>
    </row>
    <row r="204" spans="2:39" ht="15" hidden="1" customHeight="1" x14ac:dyDescent="0.25">
      <c r="B204" s="1">
        <v>194</v>
      </c>
      <c r="C204" s="1">
        <v>0</v>
      </c>
      <c r="D204" s="1" t="s">
        <v>220</v>
      </c>
      <c r="E204" s="1" t="s">
        <v>52</v>
      </c>
      <c r="F204" s="1" t="s">
        <v>321</v>
      </c>
      <c r="G204" s="1" t="s">
        <v>321</v>
      </c>
      <c r="H204" s="1" t="s">
        <v>397</v>
      </c>
      <c r="I204" s="1"/>
      <c r="J204" s="1" t="s">
        <v>85</v>
      </c>
      <c r="K204" s="1" t="s">
        <v>491</v>
      </c>
      <c r="L204" s="1" t="s">
        <v>11</v>
      </c>
      <c r="M204" s="1">
        <v>0</v>
      </c>
      <c r="N204" s="1">
        <v>4</v>
      </c>
      <c r="O204" s="1">
        <v>4</v>
      </c>
      <c r="P204" s="1">
        <v>0</v>
      </c>
      <c r="Q204" s="1"/>
      <c r="R204" s="1">
        <v>4</v>
      </c>
      <c r="S204" s="1"/>
      <c r="T204" s="1">
        <v>3</v>
      </c>
      <c r="U204" s="1"/>
      <c r="V204" s="1"/>
      <c r="W204" s="1"/>
      <c r="X204" s="1"/>
      <c r="Y204" s="1"/>
      <c r="Z204" s="1" t="s">
        <v>21</v>
      </c>
      <c r="AA204" s="1" t="s">
        <v>32</v>
      </c>
      <c r="AB204" s="17">
        <v>44984</v>
      </c>
      <c r="AC204" s="18" t="s">
        <v>417</v>
      </c>
      <c r="AD204" s="125"/>
      <c r="AE204" s="125"/>
      <c r="AF204" s="51"/>
      <c r="AG204" s="10"/>
      <c r="AM204"/>
    </row>
    <row r="205" spans="2:39" ht="15" hidden="1" customHeight="1" x14ac:dyDescent="0.25">
      <c r="B205" s="1">
        <v>195</v>
      </c>
      <c r="C205" s="1">
        <v>0</v>
      </c>
      <c r="D205" s="1" t="s">
        <v>186</v>
      </c>
      <c r="E205" s="1" t="s">
        <v>186</v>
      </c>
      <c r="F205" s="1" t="s">
        <v>19</v>
      </c>
      <c r="G205" s="1"/>
      <c r="H205" s="1" t="s">
        <v>399</v>
      </c>
      <c r="I205" s="1"/>
      <c r="J205" s="1" t="s">
        <v>87</v>
      </c>
      <c r="K205" s="1" t="s">
        <v>340</v>
      </c>
      <c r="L205" s="1" t="s">
        <v>408</v>
      </c>
      <c r="M205" s="1">
        <v>0</v>
      </c>
      <c r="N205" s="1">
        <v>0</v>
      </c>
      <c r="O205" s="1">
        <v>0</v>
      </c>
      <c r="P205" s="1">
        <v>0</v>
      </c>
      <c r="Q205" s="1">
        <v>0</v>
      </c>
      <c r="R205" s="1">
        <v>0</v>
      </c>
      <c r="S205" s="1">
        <v>4</v>
      </c>
      <c r="T205" s="1">
        <v>0</v>
      </c>
      <c r="U205" s="1"/>
      <c r="V205" s="1"/>
      <c r="W205" s="1"/>
      <c r="X205" s="1"/>
      <c r="Y205" s="1"/>
      <c r="Z205" s="1" t="s">
        <v>21</v>
      </c>
      <c r="AA205" s="1" t="s">
        <v>21</v>
      </c>
      <c r="AB205" s="17"/>
      <c r="AC205" s="18"/>
      <c r="AD205" s="125"/>
      <c r="AE205" s="125"/>
      <c r="AF205" s="51"/>
      <c r="AG205" s="10"/>
      <c r="AM205"/>
    </row>
    <row r="206" spans="2:39" ht="15" hidden="1" customHeight="1" x14ac:dyDescent="0.25">
      <c r="B206" s="1">
        <v>196</v>
      </c>
      <c r="C206" s="1">
        <v>0</v>
      </c>
      <c r="D206" s="1" t="s">
        <v>186</v>
      </c>
      <c r="E206" s="1" t="s">
        <v>186</v>
      </c>
      <c r="F206" s="1" t="s">
        <v>109</v>
      </c>
      <c r="G206" s="1"/>
      <c r="H206" s="1" t="s">
        <v>400</v>
      </c>
      <c r="I206" s="1"/>
      <c r="J206" s="1" t="s">
        <v>87</v>
      </c>
      <c r="K206" s="1" t="s">
        <v>340</v>
      </c>
      <c r="L206" s="1" t="s">
        <v>330</v>
      </c>
      <c r="M206" s="1">
        <v>0</v>
      </c>
      <c r="N206" s="1">
        <v>0</v>
      </c>
      <c r="O206" s="1">
        <v>0</v>
      </c>
      <c r="P206" s="1">
        <v>0</v>
      </c>
      <c r="Q206" s="1">
        <v>0</v>
      </c>
      <c r="R206" s="1">
        <v>0</v>
      </c>
      <c r="S206" s="1"/>
      <c r="T206" s="1">
        <v>0</v>
      </c>
      <c r="U206" s="1"/>
      <c r="V206" s="1"/>
      <c r="W206" s="1"/>
      <c r="X206" s="1"/>
      <c r="Y206" s="1"/>
      <c r="Z206" s="1" t="s">
        <v>32</v>
      </c>
      <c r="AA206" s="1" t="s">
        <v>32</v>
      </c>
      <c r="AB206" s="17"/>
      <c r="AC206" s="18"/>
      <c r="AD206" s="125"/>
      <c r="AE206" s="125"/>
      <c r="AF206" s="51"/>
      <c r="AG206" s="10"/>
      <c r="AM206"/>
    </row>
    <row r="207" spans="2:39" hidden="1" x14ac:dyDescent="0.25">
      <c r="B207" s="1">
        <v>197</v>
      </c>
      <c r="C207" s="1">
        <v>0</v>
      </c>
      <c r="D207" s="1" t="s">
        <v>283</v>
      </c>
      <c r="E207" s="1" t="s">
        <v>52</v>
      </c>
      <c r="F207" s="1" t="s">
        <v>238</v>
      </c>
      <c r="G207" s="1" t="s">
        <v>238</v>
      </c>
      <c r="H207" s="1" t="s">
        <v>406</v>
      </c>
      <c r="I207" s="1"/>
      <c r="J207" s="1" t="s">
        <v>85</v>
      </c>
      <c r="K207" s="1" t="s">
        <v>312</v>
      </c>
      <c r="L207" s="1" t="s">
        <v>408</v>
      </c>
      <c r="M207" s="1"/>
      <c r="N207" s="1"/>
      <c r="O207" s="1"/>
      <c r="P207" s="1"/>
      <c r="Q207" s="1"/>
      <c r="R207" s="1"/>
      <c r="S207" s="1">
        <v>3</v>
      </c>
      <c r="T207" s="1"/>
      <c r="U207" s="1"/>
      <c r="V207" s="1"/>
      <c r="W207" s="1"/>
      <c r="X207" s="1"/>
      <c r="Y207" s="1"/>
      <c r="Z207" s="1" t="s">
        <v>21</v>
      </c>
      <c r="AA207" s="1" t="s">
        <v>21</v>
      </c>
      <c r="AB207" s="17" t="s">
        <v>412</v>
      </c>
      <c r="AC207" s="18" t="s">
        <v>410</v>
      </c>
      <c r="AD207" s="125"/>
      <c r="AE207" s="125"/>
      <c r="AF207" s="51"/>
      <c r="AG207" s="10" t="s">
        <v>1210</v>
      </c>
      <c r="AH207" s="10"/>
      <c r="AM207"/>
    </row>
    <row r="208" spans="2:39" hidden="1" x14ac:dyDescent="0.25">
      <c r="B208" s="1">
        <v>198</v>
      </c>
      <c r="C208" s="1">
        <v>0</v>
      </c>
      <c r="D208" s="1" t="s">
        <v>187</v>
      </c>
      <c r="E208" s="1" t="s">
        <v>347</v>
      </c>
      <c r="F208" s="1" t="s">
        <v>407</v>
      </c>
      <c r="G208" s="1" t="s">
        <v>407</v>
      </c>
      <c r="H208" s="1" t="s">
        <v>446</v>
      </c>
      <c r="I208" s="1"/>
      <c r="J208" s="1" t="s">
        <v>87</v>
      </c>
      <c r="K208" s="1" t="s">
        <v>312</v>
      </c>
      <c r="L208" s="1" t="s">
        <v>408</v>
      </c>
      <c r="M208" s="1"/>
      <c r="N208" s="1"/>
      <c r="O208" s="1"/>
      <c r="P208" s="1"/>
      <c r="Q208" s="1"/>
      <c r="R208" s="1"/>
      <c r="S208" s="1">
        <v>3</v>
      </c>
      <c r="T208" s="1"/>
      <c r="U208" s="1"/>
      <c r="V208" s="1"/>
      <c r="W208" s="1"/>
      <c r="X208" s="1"/>
      <c r="Y208" s="1"/>
      <c r="Z208" s="1" t="s">
        <v>21</v>
      </c>
      <c r="AA208" s="1" t="s">
        <v>21</v>
      </c>
      <c r="AB208" s="17" t="s">
        <v>409</v>
      </c>
      <c r="AC208" s="18" t="s">
        <v>410</v>
      </c>
      <c r="AD208" s="125"/>
      <c r="AE208" s="125"/>
      <c r="AF208" s="51"/>
      <c r="AG208" s="10" t="s">
        <v>1203</v>
      </c>
      <c r="AH208" s="10"/>
      <c r="AM208"/>
    </row>
    <row r="209" spans="2:39" hidden="1" x14ac:dyDescent="0.25">
      <c r="B209" s="1">
        <v>199</v>
      </c>
      <c r="C209" s="1">
        <v>0</v>
      </c>
      <c r="D209" s="1" t="s">
        <v>196</v>
      </c>
      <c r="E209" s="1" t="s">
        <v>196</v>
      </c>
      <c r="F209" s="1" t="s">
        <v>438</v>
      </c>
      <c r="G209" s="1"/>
      <c r="H209" s="1" t="s">
        <v>483</v>
      </c>
      <c r="I209" s="1"/>
      <c r="J209" s="1" t="s">
        <v>85</v>
      </c>
      <c r="K209" s="1" t="s">
        <v>340</v>
      </c>
      <c r="L209" s="1" t="s">
        <v>408</v>
      </c>
      <c r="M209" s="1">
        <v>0</v>
      </c>
      <c r="N209" s="1">
        <v>0</v>
      </c>
      <c r="O209" s="1">
        <v>0</v>
      </c>
      <c r="P209" s="1">
        <v>0</v>
      </c>
      <c r="Q209" s="35">
        <v>0</v>
      </c>
      <c r="R209" s="35">
        <v>0</v>
      </c>
      <c r="S209" s="35">
        <v>3</v>
      </c>
      <c r="T209" s="35">
        <v>0</v>
      </c>
      <c r="U209" s="1"/>
      <c r="V209" s="1"/>
      <c r="W209" s="1"/>
      <c r="X209" s="1"/>
      <c r="Y209" s="1"/>
      <c r="Z209" s="1" t="s">
        <v>32</v>
      </c>
      <c r="AA209" s="1" t="s">
        <v>32</v>
      </c>
      <c r="AB209" s="17"/>
      <c r="AC209" s="18"/>
      <c r="AD209" s="125"/>
      <c r="AE209" s="125"/>
      <c r="AF209" s="51"/>
      <c r="AG209" s="10"/>
      <c r="AH209" s="10"/>
      <c r="AM209"/>
    </row>
    <row r="210" spans="2:39" hidden="1" x14ac:dyDescent="0.25">
      <c r="B210" s="1">
        <v>200</v>
      </c>
      <c r="C210" s="1">
        <v>0</v>
      </c>
      <c r="D210" s="1" t="s">
        <v>177</v>
      </c>
      <c r="E210" s="1" t="s">
        <v>439</v>
      </c>
      <c r="F210" s="1" t="s">
        <v>176</v>
      </c>
      <c r="G210" s="1"/>
      <c r="H210" s="1" t="s">
        <v>440</v>
      </c>
      <c r="I210" s="1"/>
      <c r="J210" s="1" t="s">
        <v>85</v>
      </c>
      <c r="K210" s="1" t="s">
        <v>340</v>
      </c>
      <c r="L210" s="1" t="s">
        <v>408</v>
      </c>
      <c r="M210" s="1">
        <v>0</v>
      </c>
      <c r="N210" s="1">
        <v>0</v>
      </c>
      <c r="O210" s="1">
        <v>0</v>
      </c>
      <c r="P210" s="1">
        <v>0</v>
      </c>
      <c r="Q210" s="35">
        <v>0</v>
      </c>
      <c r="R210" s="35">
        <v>0</v>
      </c>
      <c r="S210" s="35">
        <v>4</v>
      </c>
      <c r="T210" s="35">
        <v>0</v>
      </c>
      <c r="U210" s="1"/>
      <c r="V210" s="1"/>
      <c r="W210" s="1"/>
      <c r="X210" s="1"/>
      <c r="Y210" s="1"/>
      <c r="Z210" s="1" t="s">
        <v>32</v>
      </c>
      <c r="AA210" s="1" t="s">
        <v>32</v>
      </c>
      <c r="AB210" s="17"/>
      <c r="AC210" s="18"/>
      <c r="AD210" s="125"/>
      <c r="AE210" s="125"/>
      <c r="AF210" s="51"/>
      <c r="AG210" s="10"/>
      <c r="AH210" s="10"/>
      <c r="AM210"/>
    </row>
    <row r="211" spans="2:39" hidden="1" x14ac:dyDescent="0.25">
      <c r="B211" s="1">
        <v>201</v>
      </c>
      <c r="C211" s="1">
        <v>0</v>
      </c>
      <c r="D211" s="1" t="s">
        <v>187</v>
      </c>
      <c r="E211" s="1" t="s">
        <v>347</v>
      </c>
      <c r="F211" s="1" t="s">
        <v>45</v>
      </c>
      <c r="G211" s="1" t="s">
        <v>488</v>
      </c>
      <c r="H211" s="1" t="s">
        <v>501</v>
      </c>
      <c r="I211" s="1"/>
      <c r="J211" s="1" t="s">
        <v>85</v>
      </c>
      <c r="K211" s="1" t="s">
        <v>312</v>
      </c>
      <c r="L211" s="1" t="s">
        <v>408</v>
      </c>
      <c r="M211" s="1">
        <v>3</v>
      </c>
      <c r="N211" s="1">
        <v>2</v>
      </c>
      <c r="O211" s="1">
        <v>1</v>
      </c>
      <c r="P211" s="1">
        <v>3</v>
      </c>
      <c r="Q211" s="35"/>
      <c r="R211" s="35"/>
      <c r="S211" s="35">
        <v>3</v>
      </c>
      <c r="T211" s="35"/>
      <c r="U211" s="1"/>
      <c r="V211" s="1"/>
      <c r="W211" s="1"/>
      <c r="X211" s="1"/>
      <c r="Y211" s="1"/>
      <c r="Z211" s="1" t="s">
        <v>21</v>
      </c>
      <c r="AA211" s="1" t="s">
        <v>21</v>
      </c>
      <c r="AB211" s="17" t="s">
        <v>451</v>
      </c>
      <c r="AC211" s="18" t="s">
        <v>410</v>
      </c>
      <c r="AD211" s="125"/>
      <c r="AE211" s="125"/>
      <c r="AF211" s="51"/>
      <c r="AG211" s="10" t="s">
        <v>1204</v>
      </c>
      <c r="AH211" s="10"/>
      <c r="AM211"/>
    </row>
    <row r="212" spans="2:39" hidden="1" x14ac:dyDescent="0.25">
      <c r="B212" s="1">
        <v>202</v>
      </c>
      <c r="C212" s="1">
        <v>0</v>
      </c>
      <c r="D212" s="1" t="s">
        <v>187</v>
      </c>
      <c r="E212" s="1" t="s">
        <v>347</v>
      </c>
      <c r="F212" s="1" t="s">
        <v>45</v>
      </c>
      <c r="G212" s="1" t="s">
        <v>45</v>
      </c>
      <c r="H212" s="1" t="s">
        <v>450</v>
      </c>
      <c r="I212" s="1"/>
      <c r="J212" s="1" t="s">
        <v>85</v>
      </c>
      <c r="K212" s="1" t="s">
        <v>312</v>
      </c>
      <c r="L212" s="1" t="s">
        <v>408</v>
      </c>
      <c r="M212" s="1"/>
      <c r="N212" s="1"/>
      <c r="O212" s="1"/>
      <c r="P212" s="1"/>
      <c r="Q212" s="1"/>
      <c r="R212" s="1"/>
      <c r="S212" s="1">
        <v>3</v>
      </c>
      <c r="T212" s="1"/>
      <c r="U212" s="1"/>
      <c r="V212" s="1"/>
      <c r="W212" s="1"/>
      <c r="X212" s="1"/>
      <c r="Y212" s="1"/>
      <c r="Z212" s="1" t="s">
        <v>32</v>
      </c>
      <c r="AA212" s="1" t="s">
        <v>21</v>
      </c>
      <c r="AB212" s="17" t="s">
        <v>451</v>
      </c>
      <c r="AC212" s="18" t="s">
        <v>410</v>
      </c>
      <c r="AD212" s="125"/>
      <c r="AE212" s="125"/>
      <c r="AF212" s="51"/>
      <c r="AG212" s="10" t="s">
        <v>1205</v>
      </c>
      <c r="AH212" s="10"/>
      <c r="AM212"/>
    </row>
    <row r="213" spans="2:39" hidden="1" x14ac:dyDescent="0.25">
      <c r="B213" s="1">
        <v>203</v>
      </c>
      <c r="C213" s="1">
        <v>0</v>
      </c>
      <c r="D213" s="1" t="s">
        <v>187</v>
      </c>
      <c r="E213" s="1" t="s">
        <v>347</v>
      </c>
      <c r="F213" s="1" t="s">
        <v>45</v>
      </c>
      <c r="G213" s="1" t="s">
        <v>45</v>
      </c>
      <c r="H213" s="1" t="s">
        <v>441</v>
      </c>
      <c r="I213" s="1"/>
      <c r="J213" s="1" t="s">
        <v>85</v>
      </c>
      <c r="K213" s="1" t="s">
        <v>312</v>
      </c>
      <c r="L213" s="1" t="s">
        <v>408</v>
      </c>
      <c r="M213" s="1"/>
      <c r="N213" s="1"/>
      <c r="O213" s="1"/>
      <c r="P213" s="1"/>
      <c r="Q213" s="1"/>
      <c r="R213" s="1"/>
      <c r="S213" s="1">
        <v>3</v>
      </c>
      <c r="T213" s="1"/>
      <c r="U213" s="1"/>
      <c r="V213" s="1"/>
      <c r="W213" s="1"/>
      <c r="X213" s="1"/>
      <c r="Y213" s="1"/>
      <c r="Z213" s="1" t="s">
        <v>32</v>
      </c>
      <c r="AA213" s="1" t="s">
        <v>21</v>
      </c>
      <c r="AB213" s="17" t="s">
        <v>451</v>
      </c>
      <c r="AC213" s="18" t="s">
        <v>410</v>
      </c>
      <c r="AD213" s="125"/>
      <c r="AE213" s="125"/>
      <c r="AF213" s="51"/>
      <c r="AG213" s="10" t="s">
        <v>1206</v>
      </c>
      <c r="AH213" s="10"/>
      <c r="AM213"/>
    </row>
    <row r="214" spans="2:39" ht="15" hidden="1" customHeight="1" x14ac:dyDescent="0.25">
      <c r="B214" s="1">
        <v>204</v>
      </c>
      <c r="C214" s="1">
        <v>0</v>
      </c>
      <c r="D214" s="1" t="s">
        <v>187</v>
      </c>
      <c r="E214" s="1" t="s">
        <v>347</v>
      </c>
      <c r="F214" s="1" t="s">
        <v>45</v>
      </c>
      <c r="G214" s="1" t="s">
        <v>45</v>
      </c>
      <c r="H214" s="1" t="s">
        <v>442</v>
      </c>
      <c r="I214" s="1"/>
      <c r="J214" s="1" t="s">
        <v>87</v>
      </c>
      <c r="K214" s="1" t="s">
        <v>312</v>
      </c>
      <c r="L214" s="1" t="s">
        <v>408</v>
      </c>
      <c r="M214" s="1"/>
      <c r="N214" s="1"/>
      <c r="O214" s="1"/>
      <c r="P214" s="1"/>
      <c r="Q214" s="1"/>
      <c r="R214" s="1"/>
      <c r="S214" s="1">
        <v>3</v>
      </c>
      <c r="T214" s="1"/>
      <c r="U214" s="1"/>
      <c r="V214" s="1"/>
      <c r="W214" s="1"/>
      <c r="X214" s="1"/>
      <c r="Y214" s="1"/>
      <c r="Z214" s="1" t="s">
        <v>32</v>
      </c>
      <c r="AA214" s="1" t="s">
        <v>21</v>
      </c>
      <c r="AB214" s="17" t="s">
        <v>528</v>
      </c>
      <c r="AC214" s="18" t="s">
        <v>410</v>
      </c>
      <c r="AD214" s="125"/>
      <c r="AE214" s="125"/>
      <c r="AF214" s="51"/>
      <c r="AG214" s="10" t="s">
        <v>1207</v>
      </c>
      <c r="AM214"/>
    </row>
    <row r="215" spans="2:39" ht="15" hidden="1" customHeight="1" x14ac:dyDescent="0.25">
      <c r="B215" s="1">
        <v>205</v>
      </c>
      <c r="C215" s="1">
        <v>0</v>
      </c>
      <c r="D215" s="1" t="s">
        <v>525</v>
      </c>
      <c r="E215" s="1" t="s">
        <v>294</v>
      </c>
      <c r="F215" s="1" t="s">
        <v>45</v>
      </c>
      <c r="G215" s="1" t="s">
        <v>45</v>
      </c>
      <c r="H215" s="1" t="s">
        <v>525</v>
      </c>
      <c r="I215" s="1"/>
      <c r="J215" s="1" t="s">
        <v>85</v>
      </c>
      <c r="K215" s="1" t="s">
        <v>312</v>
      </c>
      <c r="L215" s="1" t="s">
        <v>408</v>
      </c>
      <c r="M215" s="1"/>
      <c r="N215" s="1"/>
      <c r="O215" s="1"/>
      <c r="P215" s="1"/>
      <c r="Q215" s="1"/>
      <c r="R215" s="1"/>
      <c r="S215" s="1">
        <v>3</v>
      </c>
      <c r="T215" s="1"/>
      <c r="U215" s="1"/>
      <c r="V215" s="1"/>
      <c r="W215" s="1"/>
      <c r="X215" s="1"/>
      <c r="Y215" s="1"/>
      <c r="Z215" s="1" t="s">
        <v>32</v>
      </c>
      <c r="AA215" s="1" t="s">
        <v>21</v>
      </c>
      <c r="AB215" s="17">
        <v>44726</v>
      </c>
      <c r="AC215" s="18" t="s">
        <v>408</v>
      </c>
      <c r="AD215" s="125"/>
      <c r="AE215" s="125"/>
      <c r="AF215" s="51"/>
      <c r="AG215" s="10" t="s">
        <v>1208</v>
      </c>
      <c r="AM215"/>
    </row>
    <row r="216" spans="2:39" ht="15" hidden="1" customHeight="1" x14ac:dyDescent="0.25">
      <c r="B216" s="1">
        <v>206</v>
      </c>
      <c r="C216" s="1">
        <v>0</v>
      </c>
      <c r="D216" s="1" t="s">
        <v>212</v>
      </c>
      <c r="E216" s="1" t="s">
        <v>91</v>
      </c>
      <c r="F216" s="1" t="s">
        <v>473</v>
      </c>
      <c r="G216" s="1" t="s">
        <v>473</v>
      </c>
      <c r="H216" s="1" t="s">
        <v>475</v>
      </c>
      <c r="I216" s="1"/>
      <c r="J216" s="1" t="s">
        <v>85</v>
      </c>
      <c r="K216" s="1" t="s">
        <v>452</v>
      </c>
      <c r="L216" s="1" t="s">
        <v>312</v>
      </c>
      <c r="M216" s="1">
        <v>0</v>
      </c>
      <c r="N216" s="1">
        <v>0</v>
      </c>
      <c r="O216" s="1">
        <v>0</v>
      </c>
      <c r="P216" s="1">
        <v>0</v>
      </c>
      <c r="Q216" s="1"/>
      <c r="R216" s="1"/>
      <c r="S216" s="1"/>
      <c r="T216" s="1">
        <v>4</v>
      </c>
      <c r="U216" s="1"/>
      <c r="V216" s="1"/>
      <c r="W216" s="1"/>
      <c r="X216" s="1"/>
      <c r="Y216" s="1"/>
      <c r="Z216" s="1" t="s">
        <v>21</v>
      </c>
      <c r="AA216" s="1" t="s">
        <v>21</v>
      </c>
      <c r="AB216" s="17">
        <v>44967</v>
      </c>
      <c r="AC216" s="18" t="s">
        <v>417</v>
      </c>
      <c r="AD216" s="125" t="s">
        <v>1247</v>
      </c>
      <c r="AE216" s="125" t="s">
        <v>1130</v>
      </c>
      <c r="AF216" s="51">
        <v>0.9</v>
      </c>
      <c r="AG216" s="10"/>
      <c r="AM216"/>
    </row>
    <row r="217" spans="2:39" ht="15" hidden="1" customHeight="1" x14ac:dyDescent="0.25">
      <c r="B217" s="1">
        <v>207</v>
      </c>
      <c r="C217" s="1">
        <v>0</v>
      </c>
      <c r="D217" s="1" t="s">
        <v>212</v>
      </c>
      <c r="E217" s="1" t="s">
        <v>91</v>
      </c>
      <c r="F217" s="1" t="s">
        <v>473</v>
      </c>
      <c r="G217" s="1" t="s">
        <v>473</v>
      </c>
      <c r="H217" s="1" t="s">
        <v>476</v>
      </c>
      <c r="I217" s="1"/>
      <c r="J217" s="1" t="s">
        <v>85</v>
      </c>
      <c r="K217" s="1" t="s">
        <v>452</v>
      </c>
      <c r="L217" s="1" t="s">
        <v>312</v>
      </c>
      <c r="M217" s="1">
        <v>0</v>
      </c>
      <c r="N217" s="1">
        <v>0</v>
      </c>
      <c r="O217" s="1">
        <v>0</v>
      </c>
      <c r="P217" s="1">
        <v>0</v>
      </c>
      <c r="Q217" s="1"/>
      <c r="R217" s="1"/>
      <c r="S217" s="1"/>
      <c r="T217" s="1">
        <v>4</v>
      </c>
      <c r="U217" s="1"/>
      <c r="V217" s="1"/>
      <c r="W217" s="1"/>
      <c r="X217" s="1"/>
      <c r="Y217" s="1"/>
      <c r="Z217" s="1" t="s">
        <v>21</v>
      </c>
      <c r="AA217" s="1" t="s">
        <v>21</v>
      </c>
      <c r="AB217" s="17">
        <v>44967</v>
      </c>
      <c r="AC217" s="18" t="s">
        <v>417</v>
      </c>
      <c r="AD217" s="125" t="s">
        <v>1247</v>
      </c>
      <c r="AE217" s="125" t="s">
        <v>1130</v>
      </c>
      <c r="AF217" s="51">
        <v>0.9</v>
      </c>
      <c r="AG217" s="10"/>
      <c r="AM217"/>
    </row>
    <row r="218" spans="2:39" ht="15" hidden="1" customHeight="1" x14ac:dyDescent="0.25">
      <c r="B218" s="1">
        <v>208</v>
      </c>
      <c r="C218" s="1">
        <v>0</v>
      </c>
      <c r="D218" s="1" t="s">
        <v>212</v>
      </c>
      <c r="E218" s="1" t="s">
        <v>91</v>
      </c>
      <c r="F218" s="1" t="s">
        <v>34</v>
      </c>
      <c r="G218" s="1" t="s">
        <v>34</v>
      </c>
      <c r="H218" s="1" t="s">
        <v>1050</v>
      </c>
      <c r="I218" s="1"/>
      <c r="J218" s="1" t="s">
        <v>85</v>
      </c>
      <c r="K218" s="1" t="s">
        <v>1049</v>
      </c>
      <c r="L218" s="1" t="s">
        <v>452</v>
      </c>
      <c r="M218" s="1">
        <v>0</v>
      </c>
      <c r="N218" s="1">
        <v>0</v>
      </c>
      <c r="O218" s="1">
        <v>0</v>
      </c>
      <c r="P218" s="1">
        <v>0</v>
      </c>
      <c r="Q218" s="1"/>
      <c r="R218" s="1"/>
      <c r="S218" s="1"/>
      <c r="T218" s="1">
        <v>4</v>
      </c>
      <c r="U218" s="1"/>
      <c r="V218" s="1"/>
      <c r="W218" s="1"/>
      <c r="X218" s="1"/>
      <c r="Y218" s="1"/>
      <c r="Z218" s="1" t="s">
        <v>21</v>
      </c>
      <c r="AA218" s="1" t="s">
        <v>21</v>
      </c>
      <c r="AB218" s="17">
        <v>44967</v>
      </c>
      <c r="AC218" s="18" t="s">
        <v>417</v>
      </c>
      <c r="AD218" s="125" t="s">
        <v>1249</v>
      </c>
      <c r="AE218" s="125" t="s">
        <v>1053</v>
      </c>
      <c r="AF218" s="51">
        <v>0.9</v>
      </c>
      <c r="AG218" s="10"/>
      <c r="AM218"/>
    </row>
    <row r="219" spans="2:39" ht="15" hidden="1" customHeight="1" x14ac:dyDescent="0.25">
      <c r="B219" s="1">
        <v>209</v>
      </c>
      <c r="C219" s="1">
        <v>0</v>
      </c>
      <c r="D219" s="1" t="s">
        <v>493</v>
      </c>
      <c r="E219" s="1" t="s">
        <v>294</v>
      </c>
      <c r="F219" s="1" t="s">
        <v>45</v>
      </c>
      <c r="G219" s="1" t="s">
        <v>45</v>
      </c>
      <c r="H219" s="1" t="s">
        <v>493</v>
      </c>
      <c r="I219" s="1"/>
      <c r="J219" s="1" t="s">
        <v>85</v>
      </c>
      <c r="K219" s="1" t="s">
        <v>312</v>
      </c>
      <c r="L219" s="1" t="s">
        <v>408</v>
      </c>
      <c r="M219" s="1"/>
      <c r="N219" s="1"/>
      <c r="O219" s="1"/>
      <c r="P219" s="1"/>
      <c r="Q219" s="1"/>
      <c r="R219" s="1"/>
      <c r="S219" s="1">
        <v>3</v>
      </c>
      <c r="T219" s="1"/>
      <c r="U219" s="1"/>
      <c r="V219" s="1"/>
      <c r="W219" s="1"/>
      <c r="X219" s="1"/>
      <c r="Y219" s="1"/>
      <c r="Z219" s="1" t="s">
        <v>32</v>
      </c>
      <c r="AA219" s="1" t="s">
        <v>21</v>
      </c>
      <c r="AB219" s="17">
        <v>44578</v>
      </c>
      <c r="AC219" s="18" t="s">
        <v>408</v>
      </c>
      <c r="AD219" s="125"/>
      <c r="AE219" s="125"/>
      <c r="AF219" s="51"/>
      <c r="AG219" s="10" t="s">
        <v>1209</v>
      </c>
      <c r="AM219"/>
    </row>
    <row r="220" spans="2:39" ht="15" hidden="1" customHeight="1" x14ac:dyDescent="0.25">
      <c r="B220" s="1">
        <v>210</v>
      </c>
      <c r="C220" s="1">
        <v>0</v>
      </c>
      <c r="D220" s="1" t="s">
        <v>187</v>
      </c>
      <c r="E220" s="1" t="s">
        <v>347</v>
      </c>
      <c r="F220" s="1" t="s">
        <v>487</v>
      </c>
      <c r="G220" s="1" t="s">
        <v>487</v>
      </c>
      <c r="H220" s="1" t="s">
        <v>484</v>
      </c>
      <c r="I220" s="1"/>
      <c r="J220" s="1" t="s">
        <v>85</v>
      </c>
      <c r="K220" s="1" t="s">
        <v>312</v>
      </c>
      <c r="L220" s="1" t="s">
        <v>408</v>
      </c>
      <c r="M220" s="1"/>
      <c r="N220" s="1"/>
      <c r="O220" s="1"/>
      <c r="P220" s="1"/>
      <c r="Q220" s="1"/>
      <c r="R220" s="1"/>
      <c r="S220" s="1">
        <v>3</v>
      </c>
      <c r="T220" s="1"/>
      <c r="U220" s="1"/>
      <c r="V220" s="1"/>
      <c r="W220" s="1"/>
      <c r="X220" s="1"/>
      <c r="Y220" s="1"/>
      <c r="Z220" s="1" t="s">
        <v>32</v>
      </c>
      <c r="AA220" s="1" t="s">
        <v>21</v>
      </c>
      <c r="AB220" s="17">
        <v>44551</v>
      </c>
      <c r="AC220" s="18" t="s">
        <v>408</v>
      </c>
      <c r="AD220" s="125"/>
      <c r="AE220" s="125"/>
      <c r="AF220" s="51"/>
      <c r="AG220" s="10" t="s">
        <v>521</v>
      </c>
      <c r="AM220"/>
    </row>
    <row r="221" spans="2:39" ht="15" hidden="1" customHeight="1" x14ac:dyDescent="0.25">
      <c r="B221" s="1">
        <v>211</v>
      </c>
      <c r="C221" s="1">
        <v>0</v>
      </c>
      <c r="D221" s="1" t="s">
        <v>526</v>
      </c>
      <c r="E221" s="1" t="s">
        <v>294</v>
      </c>
      <c r="F221" s="1" t="s">
        <v>238</v>
      </c>
      <c r="G221" s="1" t="s">
        <v>238</v>
      </c>
      <c r="H221" s="1" t="s">
        <v>526</v>
      </c>
      <c r="I221" s="1"/>
      <c r="J221" s="1" t="s">
        <v>85</v>
      </c>
      <c r="K221" s="1" t="s">
        <v>312</v>
      </c>
      <c r="L221" s="1" t="s">
        <v>408</v>
      </c>
      <c r="M221" s="1"/>
      <c r="N221" s="1"/>
      <c r="O221" s="1"/>
      <c r="P221" s="1"/>
      <c r="Q221" s="1"/>
      <c r="R221" s="1"/>
      <c r="S221" s="1">
        <v>3</v>
      </c>
      <c r="T221" s="1"/>
      <c r="U221" s="1"/>
      <c r="V221" s="1"/>
      <c r="W221" s="1"/>
      <c r="X221" s="1"/>
      <c r="Y221" s="1"/>
      <c r="Z221" s="1" t="s">
        <v>32</v>
      </c>
      <c r="AA221" s="1" t="s">
        <v>21</v>
      </c>
      <c r="AB221" s="17">
        <v>44726</v>
      </c>
      <c r="AC221" s="18" t="s">
        <v>408</v>
      </c>
      <c r="AD221" s="125"/>
      <c r="AE221" s="125"/>
      <c r="AF221" s="51"/>
      <c r="AG221" s="10" t="s">
        <v>1208</v>
      </c>
      <c r="AM221"/>
    </row>
    <row r="222" spans="2:39" ht="15" hidden="1" customHeight="1" x14ac:dyDescent="0.25">
      <c r="B222" s="1">
        <v>212</v>
      </c>
      <c r="C222" s="1">
        <v>0</v>
      </c>
      <c r="D222" s="1" t="s">
        <v>527</v>
      </c>
      <c r="E222" s="1" t="s">
        <v>294</v>
      </c>
      <c r="F222" s="1" t="s">
        <v>498</v>
      </c>
      <c r="G222" s="1" t="s">
        <v>498</v>
      </c>
      <c r="H222" s="1" t="s">
        <v>527</v>
      </c>
      <c r="I222" s="1"/>
      <c r="J222" s="1" t="s">
        <v>85</v>
      </c>
      <c r="K222" s="1" t="s">
        <v>312</v>
      </c>
      <c r="L222" s="1" t="s">
        <v>408</v>
      </c>
      <c r="M222" s="1"/>
      <c r="N222" s="1"/>
      <c r="O222" s="1"/>
      <c r="P222" s="1"/>
      <c r="Q222" s="1"/>
      <c r="R222" s="1"/>
      <c r="S222" s="1">
        <v>3</v>
      </c>
      <c r="T222" s="1"/>
      <c r="U222" s="1"/>
      <c r="V222" s="1"/>
      <c r="W222" s="1"/>
      <c r="X222" s="1"/>
      <c r="Y222" s="1"/>
      <c r="Z222" s="1"/>
      <c r="AA222" s="1" t="s">
        <v>21</v>
      </c>
      <c r="AB222" s="17">
        <v>44726</v>
      </c>
      <c r="AC222" s="18" t="s">
        <v>408</v>
      </c>
      <c r="AD222" s="125"/>
      <c r="AE222" s="125"/>
      <c r="AF222" s="51"/>
      <c r="AG222" s="10" t="s">
        <v>1202</v>
      </c>
      <c r="AM222"/>
    </row>
    <row r="223" spans="2:39" ht="15" hidden="1" customHeight="1" x14ac:dyDescent="0.25">
      <c r="B223" s="1">
        <v>213</v>
      </c>
      <c r="C223" s="1">
        <v>0</v>
      </c>
      <c r="D223" s="1" t="s">
        <v>220</v>
      </c>
      <c r="E223" s="1" t="s">
        <v>52</v>
      </c>
      <c r="F223" s="1" t="s">
        <v>321</v>
      </c>
      <c r="G223" s="1" t="s">
        <v>321</v>
      </c>
      <c r="H223" s="1" t="s">
        <v>506</v>
      </c>
      <c r="I223" s="1"/>
      <c r="J223" s="1" t="s">
        <v>85</v>
      </c>
      <c r="K223" s="1" t="s">
        <v>491</v>
      </c>
      <c r="L223" s="1" t="s">
        <v>11</v>
      </c>
      <c r="M223" s="1"/>
      <c r="N223" s="1"/>
      <c r="O223" s="1"/>
      <c r="P223" s="1"/>
      <c r="Q223" s="1"/>
      <c r="R223" s="1">
        <v>4</v>
      </c>
      <c r="S223" s="1"/>
      <c r="T223" s="1"/>
      <c r="U223" s="1"/>
      <c r="V223" s="1"/>
      <c r="W223" s="1"/>
      <c r="X223" s="1"/>
      <c r="Y223" s="1"/>
      <c r="Z223" s="1" t="s">
        <v>21</v>
      </c>
      <c r="AA223" s="1" t="s">
        <v>32</v>
      </c>
      <c r="AB223" s="17">
        <v>44984</v>
      </c>
      <c r="AC223" s="18" t="s">
        <v>417</v>
      </c>
      <c r="AD223" s="125"/>
      <c r="AE223" s="125"/>
      <c r="AF223" s="51"/>
      <c r="AG223" s="10"/>
      <c r="AM223"/>
    </row>
    <row r="224" spans="2:39" ht="15" hidden="1" customHeight="1" x14ac:dyDescent="0.25">
      <c r="B224" s="1">
        <v>214</v>
      </c>
      <c r="C224" s="1">
        <v>0</v>
      </c>
      <c r="D224" s="1" t="s">
        <v>220</v>
      </c>
      <c r="E224" s="1" t="s">
        <v>52</v>
      </c>
      <c r="F224" s="1" t="s">
        <v>321</v>
      </c>
      <c r="G224" s="1" t="s">
        <v>321</v>
      </c>
      <c r="H224" s="1" t="s">
        <v>507</v>
      </c>
      <c r="I224" s="1"/>
      <c r="J224" s="1" t="s">
        <v>85</v>
      </c>
      <c r="K224" s="1" t="s">
        <v>491</v>
      </c>
      <c r="L224" s="1"/>
      <c r="M224" s="1"/>
      <c r="N224" s="1"/>
      <c r="O224" s="1"/>
      <c r="P224" s="1"/>
      <c r="Q224" s="1"/>
      <c r="R224" s="1">
        <v>4</v>
      </c>
      <c r="S224" s="1"/>
      <c r="T224" s="1"/>
      <c r="U224" s="1"/>
      <c r="V224" s="1"/>
      <c r="W224" s="1"/>
      <c r="X224" s="1"/>
      <c r="Y224" s="1"/>
      <c r="Z224" s="1" t="s">
        <v>21</v>
      </c>
      <c r="AA224" s="1" t="s">
        <v>32</v>
      </c>
      <c r="AB224" s="17">
        <v>44984</v>
      </c>
      <c r="AC224" s="18" t="s">
        <v>417</v>
      </c>
      <c r="AD224" s="125"/>
      <c r="AE224" s="125"/>
      <c r="AF224" s="51"/>
      <c r="AG224" s="10"/>
      <c r="AM224"/>
    </row>
    <row r="225" spans="2:39" ht="15" hidden="1" customHeight="1" x14ac:dyDescent="0.25">
      <c r="B225" s="1">
        <v>215</v>
      </c>
      <c r="C225" s="1">
        <v>0</v>
      </c>
      <c r="D225" s="1" t="s">
        <v>220</v>
      </c>
      <c r="E225" s="1" t="s">
        <v>52</v>
      </c>
      <c r="F225" s="1" t="s">
        <v>321</v>
      </c>
      <c r="G225" s="1" t="s">
        <v>321</v>
      </c>
      <c r="H225" s="1" t="s">
        <v>508</v>
      </c>
      <c r="I225" s="1"/>
      <c r="J225" s="1" t="s">
        <v>85</v>
      </c>
      <c r="K225" s="1" t="s">
        <v>491</v>
      </c>
      <c r="L225" s="1"/>
      <c r="M225" s="1"/>
      <c r="N225" s="1"/>
      <c r="O225" s="1"/>
      <c r="P225" s="1"/>
      <c r="Q225" s="1"/>
      <c r="R225" s="1">
        <v>4</v>
      </c>
      <c r="S225" s="1"/>
      <c r="T225" s="1"/>
      <c r="U225" s="1"/>
      <c r="V225" s="1"/>
      <c r="W225" s="1"/>
      <c r="X225" s="1"/>
      <c r="Y225" s="1"/>
      <c r="Z225" s="1" t="s">
        <v>21</v>
      </c>
      <c r="AA225" s="1" t="s">
        <v>32</v>
      </c>
      <c r="AB225" s="17">
        <v>44984</v>
      </c>
      <c r="AC225" s="18" t="s">
        <v>417</v>
      </c>
      <c r="AD225" s="125"/>
      <c r="AE225" s="125"/>
      <c r="AF225" s="51"/>
      <c r="AG225" s="10"/>
      <c r="AM225"/>
    </row>
    <row r="226" spans="2:39" ht="15" hidden="1" customHeight="1" x14ac:dyDescent="0.25">
      <c r="B226" s="1">
        <v>216</v>
      </c>
      <c r="C226" s="1">
        <v>0</v>
      </c>
      <c r="D226" s="1" t="s">
        <v>220</v>
      </c>
      <c r="E226" s="1" t="s">
        <v>52</v>
      </c>
      <c r="F226" s="1" t="s">
        <v>321</v>
      </c>
      <c r="G226" s="1" t="s">
        <v>321</v>
      </c>
      <c r="H226" s="1" t="s">
        <v>509</v>
      </c>
      <c r="I226" s="1"/>
      <c r="J226" s="1" t="s">
        <v>87</v>
      </c>
      <c r="K226" s="1" t="s">
        <v>491</v>
      </c>
      <c r="L226" s="1"/>
      <c r="M226" s="1"/>
      <c r="N226" s="1"/>
      <c r="O226" s="1"/>
      <c r="P226" s="1"/>
      <c r="Q226" s="1"/>
      <c r="R226" s="1">
        <v>4</v>
      </c>
      <c r="S226" s="1"/>
      <c r="T226" s="1"/>
      <c r="U226" s="1"/>
      <c r="V226" s="1"/>
      <c r="W226" s="1"/>
      <c r="X226" s="1"/>
      <c r="Y226" s="1"/>
      <c r="Z226" s="1" t="s">
        <v>21</v>
      </c>
      <c r="AA226" s="1" t="s">
        <v>32</v>
      </c>
      <c r="AB226" s="17">
        <v>44984</v>
      </c>
      <c r="AC226" s="18" t="s">
        <v>417</v>
      </c>
      <c r="AD226" s="125"/>
      <c r="AE226" s="125"/>
      <c r="AF226" s="51"/>
      <c r="AG226" s="10" t="s">
        <v>1184</v>
      </c>
      <c r="AM226"/>
    </row>
    <row r="227" spans="2:39" ht="15" hidden="1" customHeight="1" x14ac:dyDescent="0.25">
      <c r="B227" s="1">
        <v>217</v>
      </c>
      <c r="C227" s="1">
        <v>0</v>
      </c>
      <c r="D227" s="1" t="s">
        <v>220</v>
      </c>
      <c r="E227" s="1" t="s">
        <v>52</v>
      </c>
      <c r="F227" s="1" t="s">
        <v>321</v>
      </c>
      <c r="G227" s="1" t="s">
        <v>321</v>
      </c>
      <c r="H227" s="1" t="s">
        <v>510</v>
      </c>
      <c r="I227" s="1"/>
      <c r="J227" s="1" t="s">
        <v>87</v>
      </c>
      <c r="K227" s="1" t="s">
        <v>491</v>
      </c>
      <c r="L227" s="1"/>
      <c r="M227" s="1"/>
      <c r="N227" s="1"/>
      <c r="O227" s="1"/>
      <c r="P227" s="1"/>
      <c r="Q227" s="1"/>
      <c r="R227" s="1">
        <v>4</v>
      </c>
      <c r="S227" s="1"/>
      <c r="T227" s="1"/>
      <c r="U227" s="1"/>
      <c r="V227" s="1"/>
      <c r="W227" s="1"/>
      <c r="X227" s="1"/>
      <c r="Y227" s="1"/>
      <c r="Z227" s="1" t="s">
        <v>21</v>
      </c>
      <c r="AA227" s="1" t="s">
        <v>32</v>
      </c>
      <c r="AB227" s="17">
        <v>44984</v>
      </c>
      <c r="AC227" s="18" t="s">
        <v>417</v>
      </c>
      <c r="AD227" s="125"/>
      <c r="AE227" s="125"/>
      <c r="AF227" s="51"/>
      <c r="AG227" s="10" t="s">
        <v>1184</v>
      </c>
      <c r="AM227"/>
    </row>
    <row r="228" spans="2:39" ht="15" hidden="1" customHeight="1" x14ac:dyDescent="0.25">
      <c r="B228" s="1">
        <v>218</v>
      </c>
      <c r="C228" s="1">
        <v>0</v>
      </c>
      <c r="D228" s="1" t="s">
        <v>516</v>
      </c>
      <c r="E228" s="1" t="s">
        <v>52</v>
      </c>
      <c r="F228" s="1" t="s">
        <v>321</v>
      </c>
      <c r="G228" s="1" t="s">
        <v>321</v>
      </c>
      <c r="H228" s="1" t="s">
        <v>511</v>
      </c>
      <c r="I228" s="1"/>
      <c r="J228" s="1" t="s">
        <v>86</v>
      </c>
      <c r="K228" s="1" t="s">
        <v>491</v>
      </c>
      <c r="L228" s="1" t="s">
        <v>417</v>
      </c>
      <c r="M228" s="1"/>
      <c r="N228" s="1"/>
      <c r="O228" s="1"/>
      <c r="P228" s="1"/>
      <c r="Q228" s="1"/>
      <c r="R228" s="1">
        <v>4</v>
      </c>
      <c r="S228" s="1"/>
      <c r="T228" s="1">
        <v>2</v>
      </c>
      <c r="U228" s="1"/>
      <c r="V228" s="1"/>
      <c r="W228" s="1"/>
      <c r="X228" s="1"/>
      <c r="Y228" s="1"/>
      <c r="Z228" s="1" t="s">
        <v>32</v>
      </c>
      <c r="AA228" s="1" t="s">
        <v>32</v>
      </c>
      <c r="AB228" s="17">
        <v>44984</v>
      </c>
      <c r="AC228" s="18" t="s">
        <v>417</v>
      </c>
      <c r="AD228" s="125"/>
      <c r="AE228" s="125"/>
      <c r="AF228" s="51"/>
      <c r="AG228" s="10"/>
      <c r="AM228"/>
    </row>
    <row r="229" spans="2:39" ht="15" hidden="1" customHeight="1" x14ac:dyDescent="0.25">
      <c r="B229" s="1">
        <v>219</v>
      </c>
      <c r="C229" s="1">
        <v>0</v>
      </c>
      <c r="D229" s="1" t="s">
        <v>220</v>
      </c>
      <c r="E229" s="1" t="s">
        <v>52</v>
      </c>
      <c r="F229" s="1" t="s">
        <v>321</v>
      </c>
      <c r="G229" s="1" t="s">
        <v>321</v>
      </c>
      <c r="H229" s="1" t="s">
        <v>512</v>
      </c>
      <c r="I229" s="1"/>
      <c r="J229" s="1" t="s">
        <v>86</v>
      </c>
      <c r="K229" s="1" t="s">
        <v>491</v>
      </c>
      <c r="L229" s="1"/>
      <c r="M229" s="1"/>
      <c r="N229" s="1"/>
      <c r="O229" s="1"/>
      <c r="P229" s="1"/>
      <c r="Q229" s="1"/>
      <c r="R229" s="1">
        <v>4</v>
      </c>
      <c r="S229" s="1"/>
      <c r="T229" s="1"/>
      <c r="U229" s="1"/>
      <c r="V229" s="1"/>
      <c r="W229" s="1"/>
      <c r="X229" s="1"/>
      <c r="Y229" s="1"/>
      <c r="Z229" s="1" t="s">
        <v>32</v>
      </c>
      <c r="AA229" s="1" t="s">
        <v>32</v>
      </c>
      <c r="AB229" s="17">
        <v>44984</v>
      </c>
      <c r="AC229" s="18" t="s">
        <v>417</v>
      </c>
      <c r="AD229" s="125"/>
      <c r="AE229" s="125"/>
      <c r="AF229" s="51"/>
      <c r="AG229" s="10"/>
      <c r="AM229"/>
    </row>
    <row r="230" spans="2:39" ht="15" hidden="1" customHeight="1" x14ac:dyDescent="0.25">
      <c r="B230" s="1">
        <v>220</v>
      </c>
      <c r="C230" s="1">
        <v>0</v>
      </c>
      <c r="D230" s="1" t="s">
        <v>220</v>
      </c>
      <c r="E230" s="1" t="s">
        <v>52</v>
      </c>
      <c r="F230" s="1" t="s">
        <v>321</v>
      </c>
      <c r="G230" s="1" t="s">
        <v>321</v>
      </c>
      <c r="H230" s="1" t="s">
        <v>513</v>
      </c>
      <c r="I230" s="1"/>
      <c r="J230" s="1" t="s">
        <v>85</v>
      </c>
      <c r="K230" s="1" t="s">
        <v>491</v>
      </c>
      <c r="L230" s="1"/>
      <c r="M230" s="1"/>
      <c r="N230" s="1"/>
      <c r="O230" s="1"/>
      <c r="P230" s="1"/>
      <c r="Q230" s="1"/>
      <c r="R230" s="1">
        <v>4</v>
      </c>
      <c r="S230" s="1"/>
      <c r="T230" s="1"/>
      <c r="U230" s="1"/>
      <c r="V230" s="1"/>
      <c r="W230" s="1"/>
      <c r="X230" s="1"/>
      <c r="Y230" s="1"/>
      <c r="Z230" s="1" t="s">
        <v>21</v>
      </c>
      <c r="AA230" s="1" t="s">
        <v>32</v>
      </c>
      <c r="AB230" s="17">
        <v>44984</v>
      </c>
      <c r="AC230" s="18" t="s">
        <v>417</v>
      </c>
      <c r="AD230" s="125"/>
      <c r="AE230" s="125"/>
      <c r="AF230" s="51"/>
      <c r="AG230" s="10"/>
      <c r="AM230"/>
    </row>
    <row r="231" spans="2:39" ht="15" hidden="1" customHeight="1" x14ac:dyDescent="0.25">
      <c r="B231" s="1">
        <v>221</v>
      </c>
      <c r="C231" s="1">
        <v>0</v>
      </c>
      <c r="D231" s="1" t="s">
        <v>220</v>
      </c>
      <c r="E231" s="1" t="s">
        <v>52</v>
      </c>
      <c r="F231" s="1" t="s">
        <v>321</v>
      </c>
      <c r="G231" s="1" t="s">
        <v>321</v>
      </c>
      <c r="H231" s="1" t="s">
        <v>514</v>
      </c>
      <c r="I231" s="1"/>
      <c r="J231" s="1" t="s">
        <v>85</v>
      </c>
      <c r="K231" s="1" t="s">
        <v>491</v>
      </c>
      <c r="L231" s="1"/>
      <c r="M231" s="1"/>
      <c r="N231" s="1"/>
      <c r="O231" s="1"/>
      <c r="P231" s="1"/>
      <c r="Q231" s="1"/>
      <c r="R231" s="1">
        <v>4</v>
      </c>
      <c r="S231" s="1"/>
      <c r="T231" s="1"/>
      <c r="U231" s="1"/>
      <c r="V231" s="1"/>
      <c r="W231" s="1"/>
      <c r="X231" s="1"/>
      <c r="Y231" s="1"/>
      <c r="Z231" s="1" t="s">
        <v>21</v>
      </c>
      <c r="AA231" s="1" t="s">
        <v>32</v>
      </c>
      <c r="AB231" s="17">
        <v>44984</v>
      </c>
      <c r="AC231" s="18" t="s">
        <v>417</v>
      </c>
      <c r="AD231" s="125"/>
      <c r="AE231" s="125"/>
      <c r="AF231" s="51"/>
      <c r="AG231" s="10"/>
      <c r="AM231"/>
    </row>
    <row r="232" spans="2:39" ht="15" hidden="1" customHeight="1" x14ac:dyDescent="0.25">
      <c r="B232" s="1">
        <v>222</v>
      </c>
      <c r="C232" s="1">
        <v>0</v>
      </c>
      <c r="D232" s="1" t="s">
        <v>220</v>
      </c>
      <c r="E232" s="1" t="s">
        <v>52</v>
      </c>
      <c r="F232" s="1" t="s">
        <v>321</v>
      </c>
      <c r="G232" s="1" t="s">
        <v>321</v>
      </c>
      <c r="H232" s="1" t="s">
        <v>515</v>
      </c>
      <c r="I232" s="1"/>
      <c r="J232" s="1" t="s">
        <v>85</v>
      </c>
      <c r="K232" s="1" t="s">
        <v>491</v>
      </c>
      <c r="L232" s="1"/>
      <c r="M232" s="1"/>
      <c r="N232" s="1"/>
      <c r="O232" s="1"/>
      <c r="P232" s="1"/>
      <c r="Q232" s="1"/>
      <c r="R232" s="1">
        <v>4</v>
      </c>
      <c r="S232" s="1"/>
      <c r="T232" s="1"/>
      <c r="U232" s="1"/>
      <c r="V232" s="1"/>
      <c r="W232" s="1"/>
      <c r="X232" s="1"/>
      <c r="Y232" s="1"/>
      <c r="Z232" s="1" t="s">
        <v>32</v>
      </c>
      <c r="AA232" s="1" t="s">
        <v>32</v>
      </c>
      <c r="AB232" s="17">
        <v>44984</v>
      </c>
      <c r="AC232" s="18" t="s">
        <v>417</v>
      </c>
      <c r="AD232" s="125"/>
      <c r="AE232" s="125"/>
      <c r="AF232" s="51"/>
      <c r="AG232" s="10"/>
      <c r="AM232"/>
    </row>
    <row r="233" spans="2:39" ht="15" hidden="1" customHeight="1" x14ac:dyDescent="0.25">
      <c r="B233" s="1">
        <v>223</v>
      </c>
      <c r="C233" s="1">
        <v>0</v>
      </c>
      <c r="D233" s="1" t="s">
        <v>522</v>
      </c>
      <c r="E233" s="1" t="s">
        <v>294</v>
      </c>
      <c r="F233" s="1" t="s">
        <v>43</v>
      </c>
      <c r="G233" s="1"/>
      <c r="H233" s="1" t="s">
        <v>523</v>
      </c>
      <c r="I233" s="1"/>
      <c r="J233" s="1" t="s">
        <v>85</v>
      </c>
      <c r="K233" s="1" t="s">
        <v>502</v>
      </c>
      <c r="L233" s="1" t="s">
        <v>486</v>
      </c>
      <c r="M233" s="1">
        <v>0</v>
      </c>
      <c r="N233" s="1">
        <v>0</v>
      </c>
      <c r="O233" s="1">
        <v>0</v>
      </c>
      <c r="P233" s="1">
        <v>0</v>
      </c>
      <c r="Q233" s="1">
        <v>0</v>
      </c>
      <c r="R233" s="1">
        <v>0</v>
      </c>
      <c r="S233" s="1">
        <v>0</v>
      </c>
      <c r="T233" s="1">
        <v>0</v>
      </c>
      <c r="U233" s="1"/>
      <c r="V233" s="1"/>
      <c r="W233" s="1"/>
      <c r="X233" s="1"/>
      <c r="Y233" s="1"/>
      <c r="Z233" s="1" t="s">
        <v>21</v>
      </c>
      <c r="AA233" s="1" t="s">
        <v>21</v>
      </c>
      <c r="AB233" s="17">
        <v>44830</v>
      </c>
      <c r="AC233" s="18" t="s">
        <v>486</v>
      </c>
      <c r="AD233" s="125"/>
      <c r="AE233" s="125"/>
      <c r="AF233" s="51"/>
      <c r="AG233" s="10"/>
      <c r="AM233"/>
    </row>
    <row r="234" spans="2:39" ht="15" hidden="1" customHeight="1" x14ac:dyDescent="0.25">
      <c r="B234" s="1">
        <v>224</v>
      </c>
      <c r="C234" s="1">
        <v>0</v>
      </c>
      <c r="D234" s="1" t="s">
        <v>212</v>
      </c>
      <c r="E234" s="1" t="s">
        <v>91</v>
      </c>
      <c r="F234" s="1" t="s">
        <v>480</v>
      </c>
      <c r="G234" s="1" t="s">
        <v>480</v>
      </c>
      <c r="H234" s="1" t="s">
        <v>1056</v>
      </c>
      <c r="I234" s="1"/>
      <c r="J234" s="1" t="s">
        <v>85</v>
      </c>
      <c r="K234" s="1" t="s">
        <v>1049</v>
      </c>
      <c r="L234" s="1" t="s">
        <v>452</v>
      </c>
      <c r="M234" s="1">
        <v>0</v>
      </c>
      <c r="N234" s="1">
        <v>0</v>
      </c>
      <c r="O234" s="1">
        <v>0</v>
      </c>
      <c r="P234" s="1">
        <v>0</v>
      </c>
      <c r="Q234" s="1"/>
      <c r="R234" s="1"/>
      <c r="S234" s="1"/>
      <c r="T234" s="1">
        <v>1</v>
      </c>
      <c r="U234" s="1"/>
      <c r="V234" s="1"/>
      <c r="W234" s="1"/>
      <c r="X234" s="1"/>
      <c r="Y234" s="1"/>
      <c r="Z234" s="1" t="s">
        <v>21</v>
      </c>
      <c r="AA234" s="1" t="s">
        <v>21</v>
      </c>
      <c r="AB234" s="17">
        <v>44967</v>
      </c>
      <c r="AC234" s="18" t="s">
        <v>417</v>
      </c>
      <c r="AD234" s="125" t="s">
        <v>1249</v>
      </c>
      <c r="AE234" s="125" t="s">
        <v>1054</v>
      </c>
      <c r="AF234" s="51">
        <v>0.8</v>
      </c>
      <c r="AG234" s="10"/>
      <c r="AM234"/>
    </row>
    <row r="235" spans="2:39" ht="15" hidden="1" customHeight="1" x14ac:dyDescent="0.25">
      <c r="B235" s="1">
        <v>225</v>
      </c>
      <c r="C235" s="1">
        <v>0</v>
      </c>
      <c r="D235" s="1" t="s">
        <v>212</v>
      </c>
      <c r="E235" s="1" t="s">
        <v>91</v>
      </c>
      <c r="F235" s="1" t="s">
        <v>96</v>
      </c>
      <c r="G235" s="1" t="s">
        <v>305</v>
      </c>
      <c r="H235" s="1" t="s">
        <v>1068</v>
      </c>
      <c r="I235" s="1"/>
      <c r="J235" s="1" t="s">
        <v>85</v>
      </c>
      <c r="K235" s="1" t="s">
        <v>1049</v>
      </c>
      <c r="L235" s="1" t="s">
        <v>452</v>
      </c>
      <c r="M235" s="1">
        <v>0</v>
      </c>
      <c r="N235" s="1">
        <v>0</v>
      </c>
      <c r="O235" s="1">
        <v>0</v>
      </c>
      <c r="P235" s="1">
        <v>0</v>
      </c>
      <c r="Q235" s="1">
        <v>0</v>
      </c>
      <c r="R235" s="1">
        <v>0</v>
      </c>
      <c r="S235" s="1">
        <v>0</v>
      </c>
      <c r="T235" s="1">
        <v>3</v>
      </c>
      <c r="U235" s="1"/>
      <c r="V235" s="1"/>
      <c r="W235" s="1"/>
      <c r="X235" s="1"/>
      <c r="Y235" s="1"/>
      <c r="Z235" s="1" t="s">
        <v>21</v>
      </c>
      <c r="AA235" s="1" t="s">
        <v>21</v>
      </c>
      <c r="AB235" s="17">
        <v>44967</v>
      </c>
      <c r="AC235" s="18" t="s">
        <v>417</v>
      </c>
      <c r="AD235" s="125" t="s">
        <v>1249</v>
      </c>
      <c r="AE235" s="125" t="s">
        <v>1258</v>
      </c>
      <c r="AF235" s="51">
        <v>1</v>
      </c>
      <c r="AG235" s="10"/>
      <c r="AM235"/>
    </row>
    <row r="236" spans="2:39" ht="15" hidden="1" customHeight="1" x14ac:dyDescent="0.25">
      <c r="B236" s="1">
        <v>226</v>
      </c>
      <c r="C236" s="1">
        <v>0</v>
      </c>
      <c r="D236" s="1" t="s">
        <v>212</v>
      </c>
      <c r="E236" s="1" t="s">
        <v>101</v>
      </c>
      <c r="F236" s="1" t="s">
        <v>1131</v>
      </c>
      <c r="G236" s="1" t="s">
        <v>1131</v>
      </c>
      <c r="H236" s="1" t="s">
        <v>1132</v>
      </c>
      <c r="I236" s="1"/>
      <c r="J236" s="1" t="s">
        <v>85</v>
      </c>
      <c r="K236" s="1" t="s">
        <v>452</v>
      </c>
      <c r="L236" s="1" t="s">
        <v>1049</v>
      </c>
      <c r="M236" s="1"/>
      <c r="N236" s="1"/>
      <c r="O236" s="1"/>
      <c r="P236" s="1"/>
      <c r="Q236" s="1"/>
      <c r="R236" s="1"/>
      <c r="S236" s="1"/>
      <c r="T236" s="1">
        <v>3</v>
      </c>
      <c r="U236" s="1"/>
      <c r="V236" s="1"/>
      <c r="W236" s="1"/>
      <c r="X236" s="1"/>
      <c r="Y236" s="1"/>
      <c r="Z236" s="1" t="s">
        <v>21</v>
      </c>
      <c r="AA236" s="1" t="s">
        <v>21</v>
      </c>
      <c r="AB236" s="17">
        <v>44967</v>
      </c>
      <c r="AC236" s="18" t="s">
        <v>417</v>
      </c>
      <c r="AD236" s="125" t="s">
        <v>1133</v>
      </c>
      <c r="AE236" s="125" t="s">
        <v>1134</v>
      </c>
      <c r="AF236" s="51">
        <v>0.9</v>
      </c>
      <c r="AG236" s="10"/>
      <c r="AM236"/>
    </row>
    <row r="237" spans="2:39" ht="15" hidden="1" customHeight="1" x14ac:dyDescent="0.25">
      <c r="B237" s="1">
        <v>227</v>
      </c>
      <c r="C237" s="1">
        <v>0</v>
      </c>
      <c r="D237" s="1" t="s">
        <v>212</v>
      </c>
      <c r="E237" s="1" t="s">
        <v>91</v>
      </c>
      <c r="F237" s="1" t="s">
        <v>1087</v>
      </c>
      <c r="G237" s="1" t="s">
        <v>1087</v>
      </c>
      <c r="H237" s="1" t="s">
        <v>1135</v>
      </c>
      <c r="I237" s="1"/>
      <c r="J237" s="1" t="s">
        <v>85</v>
      </c>
      <c r="K237" s="1" t="s">
        <v>452</v>
      </c>
      <c r="L237" s="1" t="s">
        <v>1049</v>
      </c>
      <c r="M237" s="1"/>
      <c r="N237" s="1"/>
      <c r="O237" s="1"/>
      <c r="P237" s="1"/>
      <c r="Q237" s="1"/>
      <c r="R237" s="1"/>
      <c r="S237" s="1"/>
      <c r="T237" s="1">
        <v>3</v>
      </c>
      <c r="U237" s="1"/>
      <c r="V237" s="1"/>
      <c r="W237" s="1"/>
      <c r="X237" s="1"/>
      <c r="Y237" s="1"/>
      <c r="Z237" s="1" t="s">
        <v>21</v>
      </c>
      <c r="AA237" s="1" t="s">
        <v>21</v>
      </c>
      <c r="AB237" s="17">
        <v>44984</v>
      </c>
      <c r="AC237" s="18" t="s">
        <v>417</v>
      </c>
      <c r="AD237" s="125" t="s">
        <v>1138</v>
      </c>
      <c r="AE237" s="125" t="s">
        <v>1139</v>
      </c>
      <c r="AF237" s="51">
        <v>0.9</v>
      </c>
      <c r="AG237" s="10"/>
      <c r="AM237"/>
    </row>
    <row r="238" spans="2:39" ht="15" hidden="1" customHeight="1" x14ac:dyDescent="0.25">
      <c r="B238" s="1">
        <v>228</v>
      </c>
      <c r="C238" s="1">
        <v>0</v>
      </c>
      <c r="D238" s="1" t="s">
        <v>212</v>
      </c>
      <c r="E238" s="1" t="s">
        <v>91</v>
      </c>
      <c r="F238" s="1" t="s">
        <v>1087</v>
      </c>
      <c r="G238" s="1" t="s">
        <v>1087</v>
      </c>
      <c r="H238" s="1" t="s">
        <v>1136</v>
      </c>
      <c r="I238" s="1"/>
      <c r="J238" s="1" t="s">
        <v>85</v>
      </c>
      <c r="K238" s="1" t="s">
        <v>452</v>
      </c>
      <c r="L238" s="1" t="s">
        <v>1049</v>
      </c>
      <c r="M238" s="1"/>
      <c r="N238" s="1"/>
      <c r="O238" s="1"/>
      <c r="P238" s="1"/>
      <c r="Q238" s="1"/>
      <c r="R238" s="1"/>
      <c r="S238" s="1"/>
      <c r="T238" s="1">
        <v>3</v>
      </c>
      <c r="U238" s="1"/>
      <c r="V238" s="1"/>
      <c r="W238" s="1"/>
      <c r="X238" s="1"/>
      <c r="Y238" s="1"/>
      <c r="Z238" s="1" t="s">
        <v>21</v>
      </c>
      <c r="AA238" s="1" t="s">
        <v>21</v>
      </c>
      <c r="AB238" s="17">
        <v>44984</v>
      </c>
      <c r="AC238" s="18" t="s">
        <v>417</v>
      </c>
      <c r="AD238" s="125" t="s">
        <v>1138</v>
      </c>
      <c r="AE238" s="125" t="s">
        <v>1139</v>
      </c>
      <c r="AF238" s="51">
        <v>0.9</v>
      </c>
      <c r="AG238" s="10"/>
      <c r="AM238"/>
    </row>
    <row r="239" spans="2:39" ht="15" hidden="1" customHeight="1" x14ac:dyDescent="0.25">
      <c r="B239" s="1">
        <v>229</v>
      </c>
      <c r="C239" s="1">
        <v>0</v>
      </c>
      <c r="D239" s="1" t="s">
        <v>212</v>
      </c>
      <c r="E239" s="1" t="s">
        <v>91</v>
      </c>
      <c r="F239" s="1" t="s">
        <v>1087</v>
      </c>
      <c r="G239" s="1" t="s">
        <v>1087</v>
      </c>
      <c r="H239" s="1" t="s">
        <v>1137</v>
      </c>
      <c r="I239" s="1"/>
      <c r="J239" s="1" t="s">
        <v>85</v>
      </c>
      <c r="K239" s="1" t="s">
        <v>452</v>
      </c>
      <c r="L239" s="1" t="s">
        <v>1049</v>
      </c>
      <c r="M239" s="1"/>
      <c r="N239" s="1"/>
      <c r="O239" s="1"/>
      <c r="P239" s="1"/>
      <c r="Q239" s="1"/>
      <c r="R239" s="1"/>
      <c r="S239" s="1"/>
      <c r="T239" s="1">
        <v>3</v>
      </c>
      <c r="U239" s="1"/>
      <c r="V239" s="1"/>
      <c r="W239" s="1"/>
      <c r="X239" s="1"/>
      <c r="Y239" s="1"/>
      <c r="Z239" s="1" t="s">
        <v>21</v>
      </c>
      <c r="AA239" s="1" t="s">
        <v>21</v>
      </c>
      <c r="AB239" s="17">
        <v>44984</v>
      </c>
      <c r="AC239" s="18" t="s">
        <v>417</v>
      </c>
      <c r="AD239" s="125" t="s">
        <v>1138</v>
      </c>
      <c r="AE239" s="125" t="s">
        <v>1139</v>
      </c>
      <c r="AF239" s="51">
        <v>0.9</v>
      </c>
      <c r="AG239" s="10"/>
      <c r="AM239"/>
    </row>
    <row r="240" spans="2:39" ht="15" hidden="1" customHeight="1" x14ac:dyDescent="0.25">
      <c r="B240" s="1">
        <v>230</v>
      </c>
      <c r="C240" s="1">
        <v>0</v>
      </c>
      <c r="D240" s="1" t="s">
        <v>1234</v>
      </c>
      <c r="E240" s="1" t="s">
        <v>294</v>
      </c>
      <c r="F240" s="1" t="s">
        <v>1234</v>
      </c>
      <c r="G240" s="1" t="s">
        <v>1234</v>
      </c>
      <c r="H240" s="1" t="s">
        <v>1240</v>
      </c>
      <c r="I240" s="1" t="s">
        <v>1236</v>
      </c>
      <c r="J240" s="1" t="s">
        <v>85</v>
      </c>
      <c r="K240" s="1" t="s">
        <v>491</v>
      </c>
      <c r="L240" s="1" t="s">
        <v>11</v>
      </c>
      <c r="M240" s="1">
        <v>0</v>
      </c>
      <c r="N240" s="1">
        <v>4</v>
      </c>
      <c r="O240" s="1">
        <v>0</v>
      </c>
      <c r="P240" s="1">
        <v>0</v>
      </c>
      <c r="Q240" s="1">
        <v>0</v>
      </c>
      <c r="R240" s="1">
        <v>4</v>
      </c>
      <c r="S240" s="1">
        <v>0</v>
      </c>
      <c r="T240" s="1">
        <v>0</v>
      </c>
      <c r="U240" s="1"/>
      <c r="V240" s="1"/>
      <c r="W240" s="1"/>
      <c r="X240" s="1"/>
      <c r="Y240" s="1"/>
      <c r="Z240" s="1" t="s">
        <v>21</v>
      </c>
      <c r="AA240" s="1" t="s">
        <v>21</v>
      </c>
      <c r="AB240" s="17"/>
      <c r="AC240" s="18"/>
      <c r="AD240" s="125"/>
      <c r="AE240" s="125"/>
      <c r="AF240" s="51">
        <v>0.9</v>
      </c>
      <c r="AG240" s="10" t="s">
        <v>1281</v>
      </c>
      <c r="AM240"/>
    </row>
    <row r="241" spans="2:39 16363:16374" ht="15" hidden="1" customHeight="1" x14ac:dyDescent="0.25">
      <c r="B241" s="1">
        <v>231</v>
      </c>
      <c r="C241" s="1">
        <v>0</v>
      </c>
      <c r="D241" s="1" t="s">
        <v>212</v>
      </c>
      <c r="E241" s="1" t="s">
        <v>91</v>
      </c>
      <c r="F241" s="1" t="s">
        <v>473</v>
      </c>
      <c r="G241" s="1" t="s">
        <v>473</v>
      </c>
      <c r="H241" s="1" t="s">
        <v>1244</v>
      </c>
      <c r="I241" s="1"/>
      <c r="J241" s="1" t="s">
        <v>85</v>
      </c>
      <c r="K241" s="1" t="s">
        <v>452</v>
      </c>
      <c r="L241" s="1" t="s">
        <v>312</v>
      </c>
      <c r="M241" s="1">
        <v>0</v>
      </c>
      <c r="N241" s="1">
        <v>0</v>
      </c>
      <c r="O241" s="1">
        <v>0</v>
      </c>
      <c r="P241" s="1">
        <v>0</v>
      </c>
      <c r="Q241" s="1"/>
      <c r="R241" s="1"/>
      <c r="S241" s="1"/>
      <c r="T241" s="1">
        <v>4</v>
      </c>
      <c r="U241" s="1"/>
      <c r="V241" s="1"/>
      <c r="W241" s="1"/>
      <c r="X241" s="1"/>
      <c r="Y241" s="1"/>
      <c r="Z241" s="1" t="s">
        <v>21</v>
      </c>
      <c r="AA241" s="1" t="s">
        <v>21</v>
      </c>
      <c r="AB241" s="17"/>
      <c r="AC241" s="18"/>
      <c r="AD241" s="125" t="s">
        <v>1247</v>
      </c>
      <c r="AE241" s="125" t="s">
        <v>1248</v>
      </c>
      <c r="AF241" s="51">
        <v>0.9</v>
      </c>
      <c r="AG241" s="10"/>
      <c r="AM241"/>
    </row>
    <row r="242" spans="2:39 16363:16374" ht="15" hidden="1" customHeight="1" x14ac:dyDescent="0.25">
      <c r="B242" s="1">
        <v>232</v>
      </c>
      <c r="C242" s="1">
        <v>0</v>
      </c>
      <c r="D242" s="1" t="s">
        <v>212</v>
      </c>
      <c r="E242" s="1" t="s">
        <v>91</v>
      </c>
      <c r="F242" s="1" t="s">
        <v>473</v>
      </c>
      <c r="G242" s="1" t="s">
        <v>473</v>
      </c>
      <c r="H242" s="1" t="s">
        <v>1245</v>
      </c>
      <c r="I242" s="1"/>
      <c r="J242" s="1" t="s">
        <v>1246</v>
      </c>
      <c r="K242" s="1" t="s">
        <v>1049</v>
      </c>
      <c r="L242" s="1" t="s">
        <v>312</v>
      </c>
      <c r="M242" s="1">
        <v>0</v>
      </c>
      <c r="N242" s="1">
        <v>0</v>
      </c>
      <c r="O242" s="1">
        <v>0</v>
      </c>
      <c r="P242" s="1">
        <v>0</v>
      </c>
      <c r="Q242" s="1"/>
      <c r="R242" s="1"/>
      <c r="S242" s="1"/>
      <c r="T242" s="1">
        <v>4</v>
      </c>
      <c r="U242" s="1"/>
      <c r="V242" s="1"/>
      <c r="W242" s="1"/>
      <c r="X242" s="1"/>
      <c r="Y242" s="1"/>
      <c r="Z242" s="1" t="s">
        <v>21</v>
      </c>
      <c r="AA242" s="1" t="s">
        <v>21</v>
      </c>
      <c r="AB242" s="17"/>
      <c r="AC242" s="18"/>
      <c r="AD242" s="125" t="s">
        <v>1247</v>
      </c>
      <c r="AE242" s="125" t="s">
        <v>1130</v>
      </c>
      <c r="AF242" s="51">
        <v>1</v>
      </c>
      <c r="AG242" s="10"/>
      <c r="AM242"/>
    </row>
    <row r="243" spans="2:39 16363:16374" hidden="1" x14ac:dyDescent="0.25">
      <c r="B243" s="1">
        <v>233</v>
      </c>
      <c r="C243" s="1">
        <v>0</v>
      </c>
      <c r="D243" s="1" t="s">
        <v>386</v>
      </c>
      <c r="E243" s="1" t="s">
        <v>294</v>
      </c>
      <c r="F243" s="1" t="s">
        <v>57</v>
      </c>
      <c r="G243" s="1"/>
      <c r="H243" s="1" t="s">
        <v>1171</v>
      </c>
      <c r="I243" s="1"/>
      <c r="J243" s="1" t="s">
        <v>85</v>
      </c>
      <c r="K243" s="1" t="s">
        <v>12</v>
      </c>
      <c r="L243" s="1" t="s">
        <v>453</v>
      </c>
      <c r="M243" s="1">
        <v>0</v>
      </c>
      <c r="N243" s="1">
        <v>0</v>
      </c>
      <c r="O243" s="1">
        <v>0</v>
      </c>
      <c r="P243" s="1">
        <v>0</v>
      </c>
      <c r="Q243" s="1">
        <v>4</v>
      </c>
      <c r="R243" s="1">
        <v>0</v>
      </c>
      <c r="S243" s="1">
        <v>0</v>
      </c>
      <c r="T243" s="1">
        <v>0</v>
      </c>
      <c r="U243" s="1"/>
      <c r="V243" s="1"/>
      <c r="W243" s="1"/>
      <c r="X243" s="1"/>
      <c r="Y243" s="1"/>
      <c r="Z243" s="1" t="s">
        <v>21</v>
      </c>
      <c r="AA243" s="1" t="s">
        <v>21</v>
      </c>
      <c r="AB243" s="17"/>
      <c r="AC243" s="18"/>
      <c r="AD243" s="125"/>
      <c r="AE243" s="125"/>
      <c r="AF243" s="96">
        <v>0.9</v>
      </c>
      <c r="AG243" s="10" t="s">
        <v>77</v>
      </c>
      <c r="AH243" s="10"/>
      <c r="AM243"/>
    </row>
    <row r="244" spans="2:39 16363:16374" hidden="1" x14ac:dyDescent="0.25">
      <c r="B244" s="1">
        <v>234</v>
      </c>
      <c r="C244" s="1">
        <v>0</v>
      </c>
      <c r="D244" s="1" t="s">
        <v>386</v>
      </c>
      <c r="E244" s="1" t="s">
        <v>294</v>
      </c>
      <c r="F244" s="1" t="s">
        <v>57</v>
      </c>
      <c r="G244" s="1"/>
      <c r="H244" s="1" t="s">
        <v>58</v>
      </c>
      <c r="I244" s="1"/>
      <c r="J244" s="1" t="s">
        <v>87</v>
      </c>
      <c r="K244" s="1" t="s">
        <v>12</v>
      </c>
      <c r="L244" s="1" t="s">
        <v>453</v>
      </c>
      <c r="M244" s="1">
        <v>0</v>
      </c>
      <c r="N244" s="1">
        <v>0</v>
      </c>
      <c r="O244" s="1">
        <v>0</v>
      </c>
      <c r="P244" s="1">
        <v>0</v>
      </c>
      <c r="Q244" s="1">
        <v>3</v>
      </c>
      <c r="R244" s="1">
        <v>0</v>
      </c>
      <c r="S244" s="1">
        <v>0</v>
      </c>
      <c r="T244" s="1">
        <v>0</v>
      </c>
      <c r="U244" s="1"/>
      <c r="V244" s="1"/>
      <c r="W244" s="1"/>
      <c r="X244" s="1"/>
      <c r="Y244" s="1"/>
      <c r="Z244" s="1" t="s">
        <v>21</v>
      </c>
      <c r="AA244" s="1"/>
      <c r="AB244" s="17"/>
      <c r="AC244" s="18"/>
      <c r="AD244" s="125"/>
      <c r="AE244" s="125"/>
      <c r="AF244" s="96">
        <v>0.9</v>
      </c>
      <c r="AG244" s="10" t="s">
        <v>79</v>
      </c>
      <c r="AH244" s="10"/>
      <c r="AM244"/>
    </row>
    <row r="245" spans="2:39 16363:16374" hidden="1" x14ac:dyDescent="0.25">
      <c r="B245" s="1">
        <v>235</v>
      </c>
      <c r="C245" s="1">
        <v>0</v>
      </c>
      <c r="D245" s="1" t="s">
        <v>386</v>
      </c>
      <c r="E245" s="1" t="s">
        <v>294</v>
      </c>
      <c r="F245" s="1" t="s">
        <v>57</v>
      </c>
      <c r="G245" s="1"/>
      <c r="H245" s="1" t="s">
        <v>1166</v>
      </c>
      <c r="I245" s="1"/>
      <c r="J245" s="1" t="s">
        <v>86</v>
      </c>
      <c r="K245" s="1" t="s">
        <v>12</v>
      </c>
      <c r="L245" s="1" t="s">
        <v>453</v>
      </c>
      <c r="M245" s="1">
        <v>0</v>
      </c>
      <c r="N245" s="1">
        <v>0</v>
      </c>
      <c r="O245" s="1">
        <v>0</v>
      </c>
      <c r="P245" s="1">
        <v>0</v>
      </c>
      <c r="Q245" s="1">
        <v>3</v>
      </c>
      <c r="R245" s="1">
        <v>0</v>
      </c>
      <c r="S245" s="1">
        <v>0</v>
      </c>
      <c r="T245" s="1">
        <v>0</v>
      </c>
      <c r="U245" s="1"/>
      <c r="V245" s="1"/>
      <c r="W245" s="1"/>
      <c r="X245" s="1"/>
      <c r="Y245" s="1"/>
      <c r="Z245" s="1" t="s">
        <v>21</v>
      </c>
      <c r="AA245" s="1"/>
      <c r="AB245" s="17"/>
      <c r="AC245" s="18"/>
      <c r="AD245" s="125"/>
      <c r="AE245" s="125"/>
      <c r="AF245" s="95">
        <v>0.5</v>
      </c>
      <c r="AG245" s="10" t="s">
        <v>83</v>
      </c>
      <c r="AH245" s="10"/>
      <c r="AM245"/>
    </row>
    <row r="246" spans="2:39 16363:16374" hidden="1" x14ac:dyDescent="0.25">
      <c r="B246" s="1">
        <v>236</v>
      </c>
      <c r="C246" s="1">
        <v>0</v>
      </c>
      <c r="D246" s="1" t="s">
        <v>386</v>
      </c>
      <c r="E246" s="1" t="s">
        <v>294</v>
      </c>
      <c r="F246" s="1" t="s">
        <v>57</v>
      </c>
      <c r="G246" s="1"/>
      <c r="H246" s="1" t="s">
        <v>1167</v>
      </c>
      <c r="I246" s="1"/>
      <c r="J246" s="1" t="s">
        <v>88</v>
      </c>
      <c r="K246" s="1" t="s">
        <v>12</v>
      </c>
      <c r="L246" s="1" t="s">
        <v>453</v>
      </c>
      <c r="M246" s="1">
        <v>0</v>
      </c>
      <c r="N246" s="1">
        <v>0</v>
      </c>
      <c r="O246" s="1">
        <v>0</v>
      </c>
      <c r="P246" s="1">
        <v>0</v>
      </c>
      <c r="Q246" s="1">
        <v>3</v>
      </c>
      <c r="R246" s="1">
        <v>0</v>
      </c>
      <c r="S246" s="1">
        <v>0</v>
      </c>
      <c r="T246" s="1">
        <v>0</v>
      </c>
      <c r="U246" s="1"/>
      <c r="V246" s="1"/>
      <c r="W246" s="1"/>
      <c r="X246" s="1"/>
      <c r="Y246" s="1"/>
      <c r="Z246" s="1" t="s">
        <v>21</v>
      </c>
      <c r="AA246" s="1"/>
      <c r="AB246" s="17"/>
      <c r="AC246" s="18"/>
      <c r="AD246" s="125"/>
      <c r="AE246" s="125"/>
      <c r="AF246" s="95">
        <v>0.5</v>
      </c>
      <c r="AG246" s="10"/>
      <c r="AH246" s="10"/>
      <c r="AM246"/>
    </row>
    <row r="247" spans="2:39 16363:16374" hidden="1" x14ac:dyDescent="0.25">
      <c r="B247" s="1">
        <v>237</v>
      </c>
      <c r="C247" s="1">
        <v>0</v>
      </c>
      <c r="D247" s="1" t="s">
        <v>386</v>
      </c>
      <c r="E247" s="1" t="s">
        <v>294</v>
      </c>
      <c r="F247" s="1" t="s">
        <v>57</v>
      </c>
      <c r="G247" s="1"/>
      <c r="H247" s="1" t="s">
        <v>1168</v>
      </c>
      <c r="I247" s="1"/>
      <c r="J247" s="1" t="s">
        <v>86</v>
      </c>
      <c r="K247" s="1" t="s">
        <v>12</v>
      </c>
      <c r="L247" s="1" t="s">
        <v>453</v>
      </c>
      <c r="M247" s="1">
        <v>0</v>
      </c>
      <c r="N247" s="1">
        <v>0</v>
      </c>
      <c r="O247" s="1">
        <v>0</v>
      </c>
      <c r="P247" s="1">
        <v>0</v>
      </c>
      <c r="Q247" s="1">
        <v>3</v>
      </c>
      <c r="R247" s="1">
        <v>0</v>
      </c>
      <c r="S247" s="1">
        <v>0</v>
      </c>
      <c r="T247" s="1">
        <v>0</v>
      </c>
      <c r="U247" s="1"/>
      <c r="V247" s="1"/>
      <c r="W247" s="1"/>
      <c r="X247" s="1"/>
      <c r="Y247" s="1"/>
      <c r="Z247" s="1" t="s">
        <v>21</v>
      </c>
      <c r="AA247" s="1"/>
      <c r="AB247" s="17"/>
      <c r="AC247" s="18"/>
      <c r="AD247" s="125"/>
      <c r="AE247" s="125"/>
      <c r="AF247" s="95">
        <v>0.5</v>
      </c>
      <c r="AG247" s="10"/>
      <c r="AH247" s="10"/>
      <c r="AM247"/>
    </row>
    <row r="248" spans="2:39 16363:16374" hidden="1" x14ac:dyDescent="0.25">
      <c r="B248" s="1">
        <v>238</v>
      </c>
      <c r="C248" s="1">
        <v>0</v>
      </c>
      <c r="D248" s="1" t="s">
        <v>386</v>
      </c>
      <c r="E248" s="1" t="s">
        <v>294</v>
      </c>
      <c r="F248" s="1" t="s">
        <v>57</v>
      </c>
      <c r="G248" s="1"/>
      <c r="H248" s="1" t="s">
        <v>332</v>
      </c>
      <c r="I248" s="1"/>
      <c r="J248" s="1" t="s">
        <v>86</v>
      </c>
      <c r="K248" s="1" t="s">
        <v>12</v>
      </c>
      <c r="L248" s="1" t="s">
        <v>453</v>
      </c>
      <c r="M248" s="1">
        <v>0</v>
      </c>
      <c r="N248" s="1">
        <v>0</v>
      </c>
      <c r="O248" s="1">
        <v>0</v>
      </c>
      <c r="P248" s="1">
        <v>0</v>
      </c>
      <c r="Q248" s="1">
        <v>2</v>
      </c>
      <c r="R248" s="1">
        <v>0</v>
      </c>
      <c r="S248" s="1">
        <v>0</v>
      </c>
      <c r="T248" s="1">
        <v>0</v>
      </c>
      <c r="U248" s="1"/>
      <c r="V248" s="1"/>
      <c r="W248" s="1"/>
      <c r="X248" s="1"/>
      <c r="Y248" s="1"/>
      <c r="Z248" s="1" t="s">
        <v>21</v>
      </c>
      <c r="AA248" s="1"/>
      <c r="AB248" s="17"/>
      <c r="AC248" s="18"/>
      <c r="AD248" s="125"/>
      <c r="AE248" s="125"/>
      <c r="AF248" s="95">
        <v>0.3</v>
      </c>
      <c r="AG248" s="10" t="s">
        <v>81</v>
      </c>
      <c r="AH248" s="10"/>
      <c r="AM248"/>
    </row>
    <row r="249" spans="2:39 16363:16374" hidden="1" x14ac:dyDescent="0.25">
      <c r="B249" s="1">
        <v>239</v>
      </c>
      <c r="C249" s="1">
        <v>0</v>
      </c>
      <c r="D249" s="1" t="s">
        <v>386</v>
      </c>
      <c r="E249" s="1" t="s">
        <v>294</v>
      </c>
      <c r="F249" s="1" t="s">
        <v>57</v>
      </c>
      <c r="G249" s="1"/>
      <c r="H249" s="1" t="s">
        <v>65</v>
      </c>
      <c r="I249" s="1"/>
      <c r="J249" s="1" t="s">
        <v>86</v>
      </c>
      <c r="K249" s="1" t="s">
        <v>12</v>
      </c>
      <c r="L249" s="1" t="s">
        <v>453</v>
      </c>
      <c r="M249" s="1">
        <v>0</v>
      </c>
      <c r="N249" s="1">
        <v>0</v>
      </c>
      <c r="O249" s="1">
        <v>0</v>
      </c>
      <c r="P249" s="1">
        <v>0</v>
      </c>
      <c r="Q249" s="1">
        <v>4</v>
      </c>
      <c r="R249" s="1">
        <v>0</v>
      </c>
      <c r="S249" s="1">
        <v>0</v>
      </c>
      <c r="T249" s="1">
        <v>0</v>
      </c>
      <c r="U249" s="1"/>
      <c r="V249" s="1"/>
      <c r="W249" s="1"/>
      <c r="X249" s="1"/>
      <c r="Y249" s="1"/>
      <c r="Z249" s="1" t="s">
        <v>21</v>
      </c>
      <c r="AA249" s="1"/>
      <c r="AB249" s="17"/>
      <c r="AC249" s="18"/>
      <c r="AD249" s="125"/>
      <c r="AE249" s="125"/>
      <c r="AF249" s="60">
        <v>0.8</v>
      </c>
      <c r="AG249" s="10" t="s">
        <v>82</v>
      </c>
      <c r="AH249" s="10"/>
      <c r="AM249"/>
    </row>
    <row r="250" spans="2:39 16363:16374" hidden="1" x14ac:dyDescent="0.25">
      <c r="B250" s="1">
        <v>240</v>
      </c>
      <c r="C250" s="1">
        <v>0</v>
      </c>
      <c r="D250" s="1" t="s">
        <v>212</v>
      </c>
      <c r="E250" s="1" t="s">
        <v>91</v>
      </c>
      <c r="F250" s="1" t="s">
        <v>98</v>
      </c>
      <c r="G250" s="1" t="s">
        <v>98</v>
      </c>
      <c r="H250" s="1" t="s">
        <v>100</v>
      </c>
      <c r="I250" s="1"/>
      <c r="J250" s="1" t="s">
        <v>85</v>
      </c>
      <c r="K250" s="1" t="s">
        <v>331</v>
      </c>
      <c r="L250" s="1" t="s">
        <v>12</v>
      </c>
      <c r="M250" s="1">
        <v>0</v>
      </c>
      <c r="N250" s="1">
        <v>0</v>
      </c>
      <c r="O250" s="1">
        <v>0</v>
      </c>
      <c r="P250" s="1">
        <v>2</v>
      </c>
      <c r="Q250" s="1"/>
      <c r="R250" s="1"/>
      <c r="S250" s="35"/>
      <c r="T250" s="35">
        <v>3</v>
      </c>
      <c r="U250" s="1"/>
      <c r="V250" s="1"/>
      <c r="W250" s="1"/>
      <c r="X250" s="1"/>
      <c r="Y250" s="1"/>
      <c r="Z250" s="1" t="s">
        <v>21</v>
      </c>
      <c r="AA250" s="1" t="s">
        <v>21</v>
      </c>
      <c r="AB250" s="17">
        <v>44967</v>
      </c>
      <c r="AC250" s="18" t="s">
        <v>417</v>
      </c>
      <c r="AD250" s="126" t="s">
        <v>1249</v>
      </c>
      <c r="AE250" s="126" t="s">
        <v>1060</v>
      </c>
      <c r="AF250" s="51">
        <v>0.8</v>
      </c>
      <c r="AG250" s="10"/>
      <c r="AH250" s="10"/>
      <c r="AM250"/>
    </row>
    <row r="251" spans="2:39 16363:16374" hidden="1" x14ac:dyDescent="0.25">
      <c r="B251" s="1">
        <v>241</v>
      </c>
      <c r="C251" s="1">
        <v>0</v>
      </c>
      <c r="D251" s="1" t="s">
        <v>212</v>
      </c>
      <c r="E251" s="1" t="s">
        <v>91</v>
      </c>
      <c r="F251" s="1" t="s">
        <v>98</v>
      </c>
      <c r="G251" s="1" t="s">
        <v>98</v>
      </c>
      <c r="H251" s="1" t="s">
        <v>99</v>
      </c>
      <c r="I251" s="1"/>
      <c r="J251" s="1" t="s">
        <v>85</v>
      </c>
      <c r="K251" s="1" t="s">
        <v>331</v>
      </c>
      <c r="L251" s="1" t="s">
        <v>12</v>
      </c>
      <c r="M251" s="1">
        <v>0</v>
      </c>
      <c r="N251" s="1">
        <v>0</v>
      </c>
      <c r="O251" s="1">
        <v>0</v>
      </c>
      <c r="P251" s="1">
        <v>2</v>
      </c>
      <c r="Q251" s="1"/>
      <c r="R251" s="1"/>
      <c r="S251" s="35"/>
      <c r="T251" s="35">
        <v>3</v>
      </c>
      <c r="U251" s="1"/>
      <c r="V251" s="1"/>
      <c r="W251" s="1"/>
      <c r="X251" s="1"/>
      <c r="Y251" s="1"/>
      <c r="Z251" s="1" t="s">
        <v>21</v>
      </c>
      <c r="AA251" s="1" t="s">
        <v>21</v>
      </c>
      <c r="AB251" s="17">
        <v>44967</v>
      </c>
      <c r="AC251" s="18" t="s">
        <v>417</v>
      </c>
      <c r="AD251" s="126" t="s">
        <v>1249</v>
      </c>
      <c r="AE251" s="126" t="s">
        <v>1059</v>
      </c>
      <c r="AF251" s="51">
        <v>0.8</v>
      </c>
      <c r="AG251" s="10"/>
      <c r="AH251" s="10"/>
      <c r="AM251"/>
    </row>
    <row r="252" spans="2:39 16363:16374" hidden="1" x14ac:dyDescent="0.25">
      <c r="B252" s="1">
        <v>242</v>
      </c>
      <c r="C252" s="1">
        <v>0</v>
      </c>
      <c r="D252" s="1" t="s">
        <v>212</v>
      </c>
      <c r="E252" s="1" t="s">
        <v>91</v>
      </c>
      <c r="F252" s="1" t="s">
        <v>1300</v>
      </c>
      <c r="G252" s="1" t="s">
        <v>1300</v>
      </c>
      <c r="H252" s="1" t="s">
        <v>1299</v>
      </c>
      <c r="I252" s="1"/>
      <c r="J252" s="1" t="s">
        <v>86</v>
      </c>
      <c r="K252" s="1" t="s">
        <v>12</v>
      </c>
      <c r="L252" s="1" t="s">
        <v>312</v>
      </c>
      <c r="M252" s="1"/>
      <c r="N252" s="1"/>
      <c r="O252" s="1"/>
      <c r="P252" s="17"/>
      <c r="Q252" s="1"/>
      <c r="R252" s="1"/>
      <c r="S252" s="1"/>
      <c r="T252" s="1">
        <v>3</v>
      </c>
      <c r="U252" s="1"/>
      <c r="V252" s="1"/>
      <c r="W252" s="1"/>
      <c r="X252" s="1"/>
      <c r="Y252" s="1"/>
      <c r="Z252" s="1"/>
      <c r="AA252" s="1" t="s">
        <v>32</v>
      </c>
      <c r="AB252" s="1"/>
      <c r="AC252" s="1"/>
      <c r="AD252" s="10"/>
      <c r="AE252" s="10"/>
      <c r="AF252" s="124"/>
      <c r="AM252"/>
      <c r="XEI252" s="1"/>
      <c r="XEJ252" s="1"/>
      <c r="XEK252" s="1"/>
      <c r="XEL252" s="1"/>
      <c r="XEM252" s="1"/>
      <c r="XEN252" s="1"/>
      <c r="XEO252" s="1"/>
      <c r="XEP252" s="1"/>
      <c r="XEQ252" s="1"/>
      <c r="XER252" s="1"/>
      <c r="XES252" s="1"/>
      <c r="XET252" s="1"/>
    </row>
    <row r="253" spans="2:39 16363:16374" hidden="1" x14ac:dyDescent="0.25">
      <c r="B253" s="1">
        <v>243</v>
      </c>
      <c r="C253" s="1">
        <v>0</v>
      </c>
      <c r="D253" s="1" t="s">
        <v>212</v>
      </c>
      <c r="E253" s="1" t="s">
        <v>91</v>
      </c>
      <c r="F253" s="1" t="s">
        <v>96</v>
      </c>
      <c r="G253" s="1" t="s">
        <v>96</v>
      </c>
      <c r="H253" s="118" t="s">
        <v>97</v>
      </c>
      <c r="I253" s="1"/>
      <c r="J253" s="1" t="s">
        <v>85</v>
      </c>
      <c r="K253" s="1" t="s">
        <v>312</v>
      </c>
      <c r="L253" s="1" t="s">
        <v>452</v>
      </c>
      <c r="M253" s="1">
        <v>0</v>
      </c>
      <c r="N253" s="1">
        <v>0</v>
      </c>
      <c r="O253" s="1">
        <v>0</v>
      </c>
      <c r="P253" s="1">
        <v>2</v>
      </c>
      <c r="Q253" s="1"/>
      <c r="R253" s="1"/>
      <c r="S253" s="35"/>
      <c r="T253" s="35">
        <v>3</v>
      </c>
      <c r="U253" s="1"/>
      <c r="V253" s="1"/>
      <c r="W253" s="1"/>
      <c r="X253" s="1"/>
      <c r="Y253" s="1"/>
      <c r="Z253" s="1" t="s">
        <v>21</v>
      </c>
      <c r="AA253" s="1" t="s">
        <v>21</v>
      </c>
      <c r="AB253" s="17">
        <v>43369</v>
      </c>
      <c r="AC253" s="18" t="s">
        <v>417</v>
      </c>
      <c r="AD253" s="126" t="s">
        <v>1249</v>
      </c>
      <c r="AE253" s="126" t="s">
        <v>1258</v>
      </c>
      <c r="AF253" s="51">
        <v>1</v>
      </c>
      <c r="AG253" s="10"/>
      <c r="AH253" s="10"/>
      <c r="AM253"/>
    </row>
    <row r="254" spans="2:39 16363:16374" ht="15" customHeight="1" x14ac:dyDescent="0.25">
      <c r="B254" s="1">
        <v>244</v>
      </c>
      <c r="C254" s="1">
        <v>1</v>
      </c>
      <c r="D254" s="1" t="s">
        <v>212</v>
      </c>
      <c r="E254" s="1" t="s">
        <v>101</v>
      </c>
      <c r="F254" s="1" t="s">
        <v>1345</v>
      </c>
      <c r="G254" s="1" t="s">
        <v>1346</v>
      </c>
      <c r="H254" s="1" t="s">
        <v>1348</v>
      </c>
      <c r="I254" s="1"/>
      <c r="J254" s="1" t="s">
        <v>85</v>
      </c>
      <c r="K254" s="1" t="s">
        <v>408</v>
      </c>
      <c r="L254" s="1" t="s">
        <v>1317</v>
      </c>
      <c r="M254" s="1">
        <v>0</v>
      </c>
      <c r="N254" s="1">
        <v>0</v>
      </c>
      <c r="O254" s="1">
        <v>0</v>
      </c>
      <c r="P254" s="1">
        <v>2</v>
      </c>
      <c r="Q254" s="1">
        <v>0</v>
      </c>
      <c r="R254" s="1">
        <v>0</v>
      </c>
      <c r="S254" s="1">
        <v>4</v>
      </c>
      <c r="T254" s="1">
        <v>3</v>
      </c>
      <c r="U254" s="1">
        <v>0</v>
      </c>
      <c r="V254" s="1">
        <v>3</v>
      </c>
      <c r="W254" s="1">
        <v>3</v>
      </c>
      <c r="X254" s="1">
        <v>0</v>
      </c>
      <c r="Y254" s="1"/>
      <c r="Z254" s="1"/>
      <c r="AA254" s="1" t="s">
        <v>21</v>
      </c>
      <c r="AB254" s="17">
        <v>45677</v>
      </c>
      <c r="AC254" s="18" t="s">
        <v>1049</v>
      </c>
      <c r="AD254" s="126" t="s">
        <v>1344</v>
      </c>
      <c r="AE254" s="126" t="s">
        <v>1120</v>
      </c>
      <c r="AF254" s="51">
        <v>0.9</v>
      </c>
      <c r="AG254" s="10"/>
      <c r="AM254"/>
    </row>
    <row r="255" spans="2:39 16363:16374" ht="15" customHeight="1" x14ac:dyDescent="0.25">
      <c r="B255" s="1">
        <v>245</v>
      </c>
      <c r="C255" s="1">
        <v>1</v>
      </c>
      <c r="D255" s="1" t="s">
        <v>212</v>
      </c>
      <c r="E255" s="1" t="s">
        <v>101</v>
      </c>
      <c r="F255" s="1" t="s">
        <v>1345</v>
      </c>
      <c r="G255" s="1" t="s">
        <v>104</v>
      </c>
      <c r="H255" s="1" t="s">
        <v>106</v>
      </c>
      <c r="I255" s="1"/>
      <c r="J255" s="1" t="s">
        <v>85</v>
      </c>
      <c r="K255" s="1" t="s">
        <v>408</v>
      </c>
      <c r="L255" s="1" t="s">
        <v>1317</v>
      </c>
      <c r="M255" s="1">
        <v>0</v>
      </c>
      <c r="N255" s="1">
        <v>0</v>
      </c>
      <c r="O255" s="1">
        <v>0</v>
      </c>
      <c r="P255" s="1">
        <v>2</v>
      </c>
      <c r="Q255" s="1">
        <v>0</v>
      </c>
      <c r="R255" s="1">
        <v>0</v>
      </c>
      <c r="S255" s="1">
        <v>4</v>
      </c>
      <c r="T255" s="1">
        <v>3</v>
      </c>
      <c r="U255" s="1">
        <v>0</v>
      </c>
      <c r="V255" s="1">
        <v>3</v>
      </c>
      <c r="W255" s="1">
        <v>3</v>
      </c>
      <c r="X255" s="1">
        <v>0</v>
      </c>
      <c r="Y255" s="1"/>
      <c r="Z255" s="1"/>
      <c r="AA255" s="1" t="s">
        <v>21</v>
      </c>
      <c r="AB255" s="17">
        <v>45677</v>
      </c>
      <c r="AC255" s="18" t="s">
        <v>1049</v>
      </c>
      <c r="AD255" s="126" t="s">
        <v>1344</v>
      </c>
      <c r="AE255" s="126" t="s">
        <v>1120</v>
      </c>
      <c r="AF255" s="51">
        <v>0.9</v>
      </c>
      <c r="AG255" s="10"/>
      <c r="AM255"/>
    </row>
    <row r="256" spans="2:39 16363:16374" hidden="1" x14ac:dyDescent="0.25">
      <c r="B256" s="1">
        <v>246</v>
      </c>
      <c r="C256" s="1">
        <v>0</v>
      </c>
      <c r="D256" s="1" t="s">
        <v>212</v>
      </c>
      <c r="E256" s="1" t="s">
        <v>91</v>
      </c>
      <c r="F256" s="1" t="s">
        <v>98</v>
      </c>
      <c r="G256" s="1" t="s">
        <v>98</v>
      </c>
      <c r="H256" s="1" t="s">
        <v>107</v>
      </c>
      <c r="I256" s="1"/>
      <c r="J256" s="1" t="s">
        <v>87</v>
      </c>
      <c r="K256" s="1" t="s">
        <v>331</v>
      </c>
      <c r="L256" s="1" t="s">
        <v>12</v>
      </c>
      <c r="M256" s="1">
        <v>0</v>
      </c>
      <c r="N256" s="1">
        <v>0</v>
      </c>
      <c r="O256" s="1">
        <v>0</v>
      </c>
      <c r="P256" s="1">
        <v>2</v>
      </c>
      <c r="Q256" s="1"/>
      <c r="R256" s="1"/>
      <c r="S256" s="35"/>
      <c r="T256" s="35">
        <v>3</v>
      </c>
      <c r="U256" s="1"/>
      <c r="V256" s="1"/>
      <c r="W256" s="1"/>
      <c r="X256" s="1"/>
      <c r="Y256" s="1"/>
      <c r="Z256" s="1" t="s">
        <v>21</v>
      </c>
      <c r="AA256" s="1" t="s">
        <v>21</v>
      </c>
      <c r="AB256" s="17">
        <v>44967</v>
      </c>
      <c r="AC256" s="18" t="s">
        <v>417</v>
      </c>
      <c r="AD256" s="126" t="s">
        <v>1249</v>
      </c>
      <c r="AE256" s="126" t="s">
        <v>1058</v>
      </c>
      <c r="AF256" s="51">
        <v>0.8</v>
      </c>
      <c r="AG256" s="10"/>
      <c r="AH256" s="10"/>
      <c r="AM256"/>
    </row>
    <row r="257" spans="2:39" hidden="1" x14ac:dyDescent="0.25">
      <c r="B257" s="1">
        <v>247</v>
      </c>
      <c r="C257" s="1">
        <v>0</v>
      </c>
      <c r="D257" s="1" t="s">
        <v>212</v>
      </c>
      <c r="E257" s="1" t="s">
        <v>91</v>
      </c>
      <c r="F257" s="1" t="s">
        <v>96</v>
      </c>
      <c r="G257" s="1" t="s">
        <v>96</v>
      </c>
      <c r="H257" s="118" t="s">
        <v>144</v>
      </c>
      <c r="I257" s="1" t="s">
        <v>1242</v>
      </c>
      <c r="J257" s="1" t="s">
        <v>1246</v>
      </c>
      <c r="K257" s="1" t="s">
        <v>312</v>
      </c>
      <c r="L257" s="1" t="s">
        <v>452</v>
      </c>
      <c r="M257" s="1">
        <v>0</v>
      </c>
      <c r="N257" s="1">
        <v>0</v>
      </c>
      <c r="O257" s="1">
        <v>0</v>
      </c>
      <c r="P257" s="1">
        <v>2</v>
      </c>
      <c r="Q257" s="1"/>
      <c r="R257" s="1"/>
      <c r="S257" s="35"/>
      <c r="T257" s="35">
        <v>3</v>
      </c>
      <c r="U257" s="1"/>
      <c r="V257" s="1"/>
      <c r="W257" s="1"/>
      <c r="X257" s="1"/>
      <c r="Y257" s="1"/>
      <c r="Z257" s="1" t="s">
        <v>21</v>
      </c>
      <c r="AA257" s="1" t="s">
        <v>21</v>
      </c>
      <c r="AB257" s="17">
        <v>43369</v>
      </c>
      <c r="AC257" s="18" t="s">
        <v>12</v>
      </c>
      <c r="AD257" s="126" t="s">
        <v>1249</v>
      </c>
      <c r="AE257" s="126" t="s">
        <v>1258</v>
      </c>
      <c r="AF257" s="51">
        <v>1</v>
      </c>
      <c r="AG257" s="10"/>
      <c r="AH257" s="10"/>
      <c r="AM257"/>
    </row>
    <row r="258" spans="2:39" hidden="1" x14ac:dyDescent="0.25">
      <c r="B258" s="1">
        <v>248</v>
      </c>
      <c r="C258" s="1">
        <v>0</v>
      </c>
      <c r="D258" s="1" t="s">
        <v>212</v>
      </c>
      <c r="E258" s="1" t="s">
        <v>91</v>
      </c>
      <c r="F258" s="1" t="s">
        <v>96</v>
      </c>
      <c r="G258" s="1" t="s">
        <v>96</v>
      </c>
      <c r="H258" s="118" t="s">
        <v>147</v>
      </c>
      <c r="I258" s="1"/>
      <c r="J258" s="1" t="s">
        <v>85</v>
      </c>
      <c r="K258" s="1" t="s">
        <v>312</v>
      </c>
      <c r="L258" s="1" t="s">
        <v>452</v>
      </c>
      <c r="M258" s="1">
        <v>0</v>
      </c>
      <c r="N258" s="1">
        <v>0</v>
      </c>
      <c r="O258" s="1">
        <v>0</v>
      </c>
      <c r="P258" s="1">
        <v>2</v>
      </c>
      <c r="Q258" s="1"/>
      <c r="R258" s="1"/>
      <c r="S258" s="35"/>
      <c r="T258" s="35">
        <v>3</v>
      </c>
      <c r="U258" s="1"/>
      <c r="V258" s="1"/>
      <c r="W258" s="1"/>
      <c r="X258" s="1"/>
      <c r="Y258" s="1"/>
      <c r="Z258" s="1" t="s">
        <v>21</v>
      </c>
      <c r="AA258" s="1" t="s">
        <v>21</v>
      </c>
      <c r="AB258" s="17">
        <v>43369</v>
      </c>
      <c r="AC258" s="18" t="s">
        <v>417</v>
      </c>
      <c r="AD258" s="126" t="s">
        <v>1249</v>
      </c>
      <c r="AE258" s="126" t="s">
        <v>1258</v>
      </c>
      <c r="AF258" s="51">
        <v>1</v>
      </c>
      <c r="AG258" s="10"/>
      <c r="AH258" s="10"/>
      <c r="AM258"/>
    </row>
    <row r="259" spans="2:39" hidden="1" x14ac:dyDescent="0.25">
      <c r="B259" s="1">
        <v>249</v>
      </c>
      <c r="C259" s="1">
        <v>0</v>
      </c>
      <c r="D259" s="1" t="s">
        <v>212</v>
      </c>
      <c r="E259" s="1" t="s">
        <v>91</v>
      </c>
      <c r="F259" s="1" t="s">
        <v>96</v>
      </c>
      <c r="G259" s="1" t="s">
        <v>96</v>
      </c>
      <c r="H259" s="118" t="s">
        <v>167</v>
      </c>
      <c r="I259" s="1"/>
      <c r="J259" s="1" t="s">
        <v>85</v>
      </c>
      <c r="K259" s="1" t="s">
        <v>312</v>
      </c>
      <c r="L259" s="1" t="s">
        <v>452</v>
      </c>
      <c r="M259" s="1">
        <v>0</v>
      </c>
      <c r="N259" s="1">
        <v>0</v>
      </c>
      <c r="O259" s="1">
        <v>0</v>
      </c>
      <c r="P259" s="1">
        <v>2</v>
      </c>
      <c r="Q259" s="1"/>
      <c r="R259" s="1"/>
      <c r="S259" s="35"/>
      <c r="T259" s="35">
        <v>3</v>
      </c>
      <c r="U259" s="1"/>
      <c r="V259" s="1"/>
      <c r="W259" s="1"/>
      <c r="X259" s="1"/>
      <c r="Y259" s="1"/>
      <c r="Z259" s="1" t="s">
        <v>21</v>
      </c>
      <c r="AA259" s="1" t="s">
        <v>21</v>
      </c>
      <c r="AB259" s="17" t="s">
        <v>1052</v>
      </c>
      <c r="AC259" s="18" t="s">
        <v>417</v>
      </c>
      <c r="AD259" s="126" t="s">
        <v>1249</v>
      </c>
      <c r="AE259" s="126" t="s">
        <v>1260</v>
      </c>
      <c r="AF259" s="51">
        <v>1</v>
      </c>
      <c r="AG259" s="10"/>
      <c r="AH259" s="10"/>
      <c r="AM259"/>
    </row>
    <row r="260" spans="2:39" hidden="1" x14ac:dyDescent="0.25">
      <c r="B260" s="1">
        <v>250</v>
      </c>
      <c r="C260" s="1">
        <v>0</v>
      </c>
      <c r="D260" s="1" t="s">
        <v>212</v>
      </c>
      <c r="E260" s="1" t="s">
        <v>91</v>
      </c>
      <c r="F260" s="1" t="s">
        <v>96</v>
      </c>
      <c r="G260" s="1" t="s">
        <v>96</v>
      </c>
      <c r="H260" s="118" t="s">
        <v>168</v>
      </c>
      <c r="I260" s="1"/>
      <c r="J260" s="1" t="s">
        <v>85</v>
      </c>
      <c r="K260" s="1" t="s">
        <v>312</v>
      </c>
      <c r="L260" s="1" t="s">
        <v>452</v>
      </c>
      <c r="M260" s="1">
        <v>0</v>
      </c>
      <c r="N260" s="1">
        <v>0</v>
      </c>
      <c r="O260" s="1">
        <v>0</v>
      </c>
      <c r="P260" s="1">
        <v>2</v>
      </c>
      <c r="Q260" s="1"/>
      <c r="R260" s="1"/>
      <c r="S260" s="35"/>
      <c r="T260" s="35">
        <v>3</v>
      </c>
      <c r="U260" s="1"/>
      <c r="V260" s="1"/>
      <c r="W260" s="1"/>
      <c r="X260" s="1"/>
      <c r="Y260" s="1"/>
      <c r="Z260" s="1" t="s">
        <v>21</v>
      </c>
      <c r="AA260" s="1" t="s">
        <v>21</v>
      </c>
      <c r="AB260" s="17" t="s">
        <v>1052</v>
      </c>
      <c r="AC260" s="18" t="s">
        <v>417</v>
      </c>
      <c r="AD260" s="126" t="s">
        <v>1249</v>
      </c>
      <c r="AE260" s="126" t="s">
        <v>1260</v>
      </c>
      <c r="AF260" s="51">
        <v>1</v>
      </c>
      <c r="AG260" s="10"/>
      <c r="AH260" s="10"/>
      <c r="AM260"/>
    </row>
    <row r="261" spans="2:39" hidden="1" x14ac:dyDescent="0.25">
      <c r="B261" s="1">
        <v>251</v>
      </c>
      <c r="C261" s="1">
        <v>0</v>
      </c>
      <c r="D261" s="1" t="s">
        <v>212</v>
      </c>
      <c r="E261" s="1" t="s">
        <v>91</v>
      </c>
      <c r="F261" s="1" t="s">
        <v>96</v>
      </c>
      <c r="G261" s="1" t="s">
        <v>96</v>
      </c>
      <c r="H261" s="118" t="s">
        <v>169</v>
      </c>
      <c r="I261" s="1"/>
      <c r="J261" s="1" t="s">
        <v>85</v>
      </c>
      <c r="K261" s="1" t="s">
        <v>312</v>
      </c>
      <c r="L261" s="1" t="s">
        <v>452</v>
      </c>
      <c r="M261" s="1">
        <v>0</v>
      </c>
      <c r="N261" s="1">
        <v>0</v>
      </c>
      <c r="O261" s="1">
        <v>0</v>
      </c>
      <c r="P261" s="1">
        <v>2</v>
      </c>
      <c r="Q261" s="1"/>
      <c r="R261" s="1"/>
      <c r="S261" s="35"/>
      <c r="T261" s="35">
        <v>3</v>
      </c>
      <c r="U261" s="1"/>
      <c r="V261" s="1"/>
      <c r="W261" s="1"/>
      <c r="X261" s="1"/>
      <c r="Y261" s="1"/>
      <c r="Z261" s="1" t="s">
        <v>21</v>
      </c>
      <c r="AA261" s="1" t="s">
        <v>21</v>
      </c>
      <c r="AB261" s="17" t="s">
        <v>1052</v>
      </c>
      <c r="AC261" s="18" t="s">
        <v>417</v>
      </c>
      <c r="AD261" s="126" t="s">
        <v>1249</v>
      </c>
      <c r="AE261" s="126" t="s">
        <v>1072</v>
      </c>
      <c r="AF261" s="51">
        <v>1</v>
      </c>
      <c r="AG261" s="10"/>
      <c r="AH261" s="10"/>
      <c r="AM261"/>
    </row>
    <row r="262" spans="2:39" hidden="1" x14ac:dyDescent="0.25">
      <c r="B262" s="1">
        <v>252</v>
      </c>
      <c r="C262" s="1">
        <v>0</v>
      </c>
      <c r="D262" s="1" t="s">
        <v>212</v>
      </c>
      <c r="E262" s="1" t="s">
        <v>91</v>
      </c>
      <c r="F262" s="1" t="s">
        <v>96</v>
      </c>
      <c r="G262" s="1" t="s">
        <v>96</v>
      </c>
      <c r="H262" s="118" t="s">
        <v>289</v>
      </c>
      <c r="I262" s="1"/>
      <c r="J262" s="1" t="s">
        <v>87</v>
      </c>
      <c r="K262" s="1" t="s">
        <v>312</v>
      </c>
      <c r="L262" s="1" t="s">
        <v>452</v>
      </c>
      <c r="M262" s="1">
        <v>0</v>
      </c>
      <c r="N262" s="1">
        <v>0</v>
      </c>
      <c r="O262" s="1">
        <v>0</v>
      </c>
      <c r="P262" s="1">
        <v>1</v>
      </c>
      <c r="Q262" s="1"/>
      <c r="R262" s="1"/>
      <c r="S262" s="35"/>
      <c r="T262" s="35">
        <v>3</v>
      </c>
      <c r="U262" s="1"/>
      <c r="V262" s="1"/>
      <c r="W262" s="1"/>
      <c r="X262" s="1"/>
      <c r="Y262" s="1"/>
      <c r="Z262" s="1" t="s">
        <v>21</v>
      </c>
      <c r="AA262" s="1" t="s">
        <v>21</v>
      </c>
      <c r="AB262" s="17" t="s">
        <v>1052</v>
      </c>
      <c r="AC262" s="18" t="s">
        <v>417</v>
      </c>
      <c r="AD262" s="126" t="s">
        <v>1249</v>
      </c>
      <c r="AE262" s="126" t="s">
        <v>1062</v>
      </c>
      <c r="AF262" s="51">
        <v>0.9</v>
      </c>
      <c r="AG262" s="10"/>
      <c r="AH262" s="10"/>
      <c r="AM262"/>
    </row>
    <row r="263" spans="2:39" hidden="1" x14ac:dyDescent="0.25">
      <c r="B263" s="1">
        <v>253</v>
      </c>
      <c r="C263" s="1">
        <v>0</v>
      </c>
      <c r="D263" s="1" t="s">
        <v>212</v>
      </c>
      <c r="E263" s="1" t="s">
        <v>91</v>
      </c>
      <c r="F263" s="1" t="s">
        <v>98</v>
      </c>
      <c r="G263" s="1" t="s">
        <v>98</v>
      </c>
      <c r="H263" s="1" t="s">
        <v>290</v>
      </c>
      <c r="I263" s="1"/>
      <c r="J263" s="1" t="s">
        <v>87</v>
      </c>
      <c r="K263" s="1" t="s">
        <v>331</v>
      </c>
      <c r="L263" s="1" t="s">
        <v>12</v>
      </c>
      <c r="M263" s="1">
        <v>0</v>
      </c>
      <c r="N263" s="1">
        <v>0</v>
      </c>
      <c r="O263" s="1">
        <v>0</v>
      </c>
      <c r="P263" s="1">
        <v>0</v>
      </c>
      <c r="Q263" s="1"/>
      <c r="R263" s="1"/>
      <c r="S263" s="35"/>
      <c r="T263" s="35">
        <v>3</v>
      </c>
      <c r="U263" s="1"/>
      <c r="V263" s="1"/>
      <c r="W263" s="1"/>
      <c r="X263" s="1"/>
      <c r="Y263" s="1"/>
      <c r="Z263" s="1" t="s">
        <v>21</v>
      </c>
      <c r="AA263" s="1" t="s">
        <v>21</v>
      </c>
      <c r="AB263" s="17">
        <v>44967</v>
      </c>
      <c r="AC263" s="18" t="s">
        <v>417</v>
      </c>
      <c r="AD263" s="126" t="s">
        <v>1249</v>
      </c>
      <c r="AE263" s="126" t="s">
        <v>1062</v>
      </c>
      <c r="AF263" s="51">
        <v>0.9</v>
      </c>
      <c r="AG263" s="10"/>
      <c r="AH263" s="10"/>
      <c r="AM263"/>
    </row>
    <row r="264" spans="2:39" ht="15" customHeight="1" x14ac:dyDescent="0.25">
      <c r="B264" s="1">
        <v>254</v>
      </c>
      <c r="C264" s="1">
        <v>1</v>
      </c>
      <c r="D264" s="1" t="s">
        <v>212</v>
      </c>
      <c r="E264" s="1" t="s">
        <v>101</v>
      </c>
      <c r="F264" s="1" t="s">
        <v>1345</v>
      </c>
      <c r="G264" s="1" t="s">
        <v>1346</v>
      </c>
      <c r="H264" s="1" t="s">
        <v>1349</v>
      </c>
      <c r="I264" s="1"/>
      <c r="J264" s="1" t="s">
        <v>87</v>
      </c>
      <c r="K264" s="1" t="s">
        <v>408</v>
      </c>
      <c r="L264" s="1" t="s">
        <v>1317</v>
      </c>
      <c r="M264" s="1">
        <v>0</v>
      </c>
      <c r="N264" s="1">
        <v>0</v>
      </c>
      <c r="O264" s="1">
        <v>0</v>
      </c>
      <c r="P264" s="1">
        <v>1</v>
      </c>
      <c r="Q264" s="1">
        <v>0</v>
      </c>
      <c r="R264" s="1">
        <v>0</v>
      </c>
      <c r="S264" s="1">
        <v>3</v>
      </c>
      <c r="T264" s="1">
        <v>3</v>
      </c>
      <c r="U264" s="1">
        <v>0</v>
      </c>
      <c r="V264" s="1">
        <v>3</v>
      </c>
      <c r="W264" s="1">
        <v>3</v>
      </c>
      <c r="X264" s="1">
        <v>0</v>
      </c>
      <c r="Y264" s="1"/>
      <c r="Z264" s="1"/>
      <c r="AA264" s="1" t="s">
        <v>21</v>
      </c>
      <c r="AB264" s="17">
        <v>45677</v>
      </c>
      <c r="AC264" s="18" t="s">
        <v>1049</v>
      </c>
      <c r="AD264" s="126" t="s">
        <v>1344</v>
      </c>
      <c r="AE264" s="126" t="s">
        <v>1379</v>
      </c>
      <c r="AF264" s="51">
        <v>1</v>
      </c>
      <c r="AG264" s="10"/>
      <c r="AM264"/>
    </row>
    <row r="265" spans="2:39" ht="15" customHeight="1" x14ac:dyDescent="0.25">
      <c r="B265" s="1">
        <v>255</v>
      </c>
      <c r="C265" s="1">
        <v>1</v>
      </c>
      <c r="D265" s="1" t="s">
        <v>212</v>
      </c>
      <c r="E265" s="1" t="s">
        <v>101</v>
      </c>
      <c r="F265" s="1" t="s">
        <v>1345</v>
      </c>
      <c r="G265" s="1" t="s">
        <v>104</v>
      </c>
      <c r="H265" s="1" t="s">
        <v>292</v>
      </c>
      <c r="I265" s="1"/>
      <c r="J265" s="1" t="s">
        <v>87</v>
      </c>
      <c r="K265" s="1" t="s">
        <v>408</v>
      </c>
      <c r="L265" s="1" t="s">
        <v>1317</v>
      </c>
      <c r="M265" s="1">
        <v>0</v>
      </c>
      <c r="N265" s="1">
        <v>0</v>
      </c>
      <c r="O265" s="1">
        <v>0</v>
      </c>
      <c r="P265" s="1">
        <v>1</v>
      </c>
      <c r="Q265" s="1">
        <v>0</v>
      </c>
      <c r="R265" s="1">
        <v>0</v>
      </c>
      <c r="S265" s="1">
        <v>3</v>
      </c>
      <c r="T265" s="1">
        <v>3</v>
      </c>
      <c r="U265" s="1">
        <v>0</v>
      </c>
      <c r="V265" s="1">
        <v>3</v>
      </c>
      <c r="W265" s="1">
        <v>3</v>
      </c>
      <c r="X265" s="1">
        <v>0</v>
      </c>
      <c r="Y265" s="1"/>
      <c r="Z265" s="1"/>
      <c r="AA265" s="1" t="s">
        <v>21</v>
      </c>
      <c r="AB265" s="17">
        <v>45677</v>
      </c>
      <c r="AC265" s="18" t="s">
        <v>1049</v>
      </c>
      <c r="AD265" s="126" t="s">
        <v>1344</v>
      </c>
      <c r="AE265" s="126" t="s">
        <v>1375</v>
      </c>
      <c r="AF265" s="51">
        <v>1</v>
      </c>
      <c r="AG265" s="10"/>
      <c r="AM265"/>
    </row>
    <row r="266" spans="2:39" x14ac:dyDescent="0.25">
      <c r="B266" s="1">
        <v>256</v>
      </c>
      <c r="C266" s="1">
        <v>1</v>
      </c>
      <c r="D266" s="1" t="s">
        <v>10</v>
      </c>
      <c r="E266" s="1" t="s">
        <v>224</v>
      </c>
      <c r="F266" s="1" t="s">
        <v>533</v>
      </c>
      <c r="G266" s="1" t="s">
        <v>533</v>
      </c>
      <c r="H266" s="1" t="s">
        <v>179</v>
      </c>
      <c r="I266" s="1" t="s">
        <v>1276</v>
      </c>
      <c r="J266" s="1" t="s">
        <v>85</v>
      </c>
      <c r="K266" s="1" t="s">
        <v>1292</v>
      </c>
      <c r="L266" s="1" t="s">
        <v>408</v>
      </c>
      <c r="M266" s="1">
        <v>0</v>
      </c>
      <c r="N266" s="1">
        <v>0</v>
      </c>
      <c r="O266" s="1">
        <v>0</v>
      </c>
      <c r="P266" s="1">
        <v>0</v>
      </c>
      <c r="Q266" s="1">
        <v>0</v>
      </c>
      <c r="R266" s="1">
        <v>0</v>
      </c>
      <c r="S266" s="1">
        <v>3</v>
      </c>
      <c r="T266" s="1">
        <v>0</v>
      </c>
      <c r="U266" s="1"/>
      <c r="V266" s="1">
        <v>4</v>
      </c>
      <c r="W266" s="1"/>
      <c r="X266" s="1">
        <v>0</v>
      </c>
      <c r="Y266" s="1">
        <v>0</v>
      </c>
      <c r="Z266" s="1" t="s">
        <v>21</v>
      </c>
      <c r="AA266" s="1" t="s">
        <v>21</v>
      </c>
      <c r="AB266" s="17">
        <v>45301</v>
      </c>
      <c r="AC266" s="18" t="s">
        <v>408</v>
      </c>
      <c r="AD266" s="125"/>
      <c r="AE266" s="125" t="s">
        <v>1277</v>
      </c>
      <c r="AF266" s="115">
        <v>0.9</v>
      </c>
      <c r="AG266" s="10"/>
      <c r="AH266" s="10"/>
      <c r="AM266"/>
    </row>
    <row r="267" spans="2:39" hidden="1" x14ac:dyDescent="0.25">
      <c r="B267" s="1">
        <v>257</v>
      </c>
      <c r="C267" s="1">
        <v>0</v>
      </c>
      <c r="D267" s="1" t="s">
        <v>10</v>
      </c>
      <c r="E267" s="1" t="s">
        <v>224</v>
      </c>
      <c r="F267" s="1" t="s">
        <v>533</v>
      </c>
      <c r="G267" s="1" t="s">
        <v>533</v>
      </c>
      <c r="H267" s="1" t="s">
        <v>178</v>
      </c>
      <c r="I267" s="1" t="s">
        <v>1219</v>
      </c>
      <c r="J267" s="1" t="s">
        <v>87</v>
      </c>
      <c r="K267" s="1" t="s">
        <v>1292</v>
      </c>
      <c r="L267" s="1" t="s">
        <v>408</v>
      </c>
      <c r="M267" s="1">
        <v>0</v>
      </c>
      <c r="N267" s="1">
        <v>0</v>
      </c>
      <c r="O267" s="1">
        <v>0</v>
      </c>
      <c r="P267" s="1">
        <v>0</v>
      </c>
      <c r="Q267" s="1">
        <v>0</v>
      </c>
      <c r="R267" s="1">
        <v>0</v>
      </c>
      <c r="S267" s="1">
        <v>3</v>
      </c>
      <c r="T267" s="1">
        <v>0</v>
      </c>
      <c r="U267" s="1"/>
      <c r="V267" s="1">
        <v>4</v>
      </c>
      <c r="W267" s="1"/>
      <c r="X267" s="1">
        <v>0</v>
      </c>
      <c r="Y267" s="1">
        <v>0</v>
      </c>
      <c r="Z267" s="1" t="s">
        <v>21</v>
      </c>
      <c r="AA267" s="1" t="s">
        <v>21</v>
      </c>
      <c r="AB267" s="17">
        <v>45219</v>
      </c>
      <c r="AC267" s="18" t="s">
        <v>408</v>
      </c>
      <c r="AD267" s="125"/>
      <c r="AE267" s="126" t="s">
        <v>1278</v>
      </c>
      <c r="AF267" s="114">
        <v>1</v>
      </c>
      <c r="AG267" s="10"/>
      <c r="AH267" s="10"/>
      <c r="AM267"/>
    </row>
    <row r="268" spans="2:39" hidden="1" x14ac:dyDescent="0.25">
      <c r="B268" s="1">
        <v>258</v>
      </c>
      <c r="C268" s="1">
        <v>0</v>
      </c>
      <c r="D268" s="1" t="s">
        <v>386</v>
      </c>
      <c r="E268" s="1" t="s">
        <v>294</v>
      </c>
      <c r="F268" s="1" t="s">
        <v>57</v>
      </c>
      <c r="G268" s="1"/>
      <c r="H268" s="1" t="s">
        <v>217</v>
      </c>
      <c r="I268" s="1"/>
      <c r="J268" s="1" t="s">
        <v>89</v>
      </c>
      <c r="K268" s="1" t="s">
        <v>12</v>
      </c>
      <c r="L268" s="1" t="s">
        <v>453</v>
      </c>
      <c r="M268" s="1">
        <v>0</v>
      </c>
      <c r="N268" s="1">
        <v>0</v>
      </c>
      <c r="O268" s="1">
        <v>0</v>
      </c>
      <c r="P268" s="1">
        <v>0</v>
      </c>
      <c r="Q268" s="1">
        <v>4</v>
      </c>
      <c r="R268" s="1">
        <v>0</v>
      </c>
      <c r="S268" s="1">
        <v>0</v>
      </c>
      <c r="T268" s="1">
        <v>0</v>
      </c>
      <c r="U268" s="1"/>
      <c r="V268" s="1"/>
      <c r="W268" s="1"/>
      <c r="X268" s="1"/>
      <c r="Y268" s="1"/>
      <c r="Z268" s="1" t="s">
        <v>21</v>
      </c>
      <c r="AA268" s="1" t="s">
        <v>32</v>
      </c>
      <c r="AB268" s="17"/>
      <c r="AC268" s="18"/>
      <c r="AD268" s="125"/>
      <c r="AE268" s="125"/>
      <c r="AF268" s="95">
        <v>0.5</v>
      </c>
      <c r="AG268" s="10"/>
      <c r="AH268" s="10"/>
      <c r="AM268"/>
    </row>
    <row r="269" spans="2:39" ht="15" hidden="1" customHeight="1" x14ac:dyDescent="0.25">
      <c r="B269" s="1">
        <v>259</v>
      </c>
      <c r="C269" s="1">
        <v>0</v>
      </c>
      <c r="D269" s="1" t="s">
        <v>212</v>
      </c>
      <c r="E269" s="1" t="s">
        <v>91</v>
      </c>
      <c r="F269" s="1" t="s">
        <v>96</v>
      </c>
      <c r="G269" s="1" t="s">
        <v>96</v>
      </c>
      <c r="H269" s="1" t="s">
        <v>225</v>
      </c>
      <c r="I269" s="1"/>
      <c r="J269" s="1" t="s">
        <v>86</v>
      </c>
      <c r="K269" s="1" t="s">
        <v>312</v>
      </c>
      <c r="L269" s="1" t="s">
        <v>452</v>
      </c>
      <c r="M269" s="1">
        <v>0</v>
      </c>
      <c r="N269" s="1">
        <v>0</v>
      </c>
      <c r="O269" s="1">
        <v>0</v>
      </c>
      <c r="P269" s="1">
        <v>0</v>
      </c>
      <c r="Q269" s="1"/>
      <c r="R269" s="1"/>
      <c r="S269" s="1"/>
      <c r="T269" s="1">
        <v>3</v>
      </c>
      <c r="U269" s="1"/>
      <c r="V269" s="1"/>
      <c r="W269" s="1"/>
      <c r="X269" s="1"/>
      <c r="Y269" s="1"/>
      <c r="Z269" s="1" t="s">
        <v>21</v>
      </c>
      <c r="AA269" s="1" t="s">
        <v>21</v>
      </c>
      <c r="AB269" s="17" t="s">
        <v>1071</v>
      </c>
      <c r="AC269" s="18" t="s">
        <v>417</v>
      </c>
      <c r="AD269" s="126" t="s">
        <v>1249</v>
      </c>
      <c r="AE269" s="126" t="s">
        <v>1259</v>
      </c>
      <c r="AF269" s="51">
        <v>0.5</v>
      </c>
      <c r="AG269" s="10"/>
      <c r="AM269"/>
    </row>
    <row r="270" spans="2:39" ht="15" customHeight="1" x14ac:dyDescent="0.25">
      <c r="B270" s="1">
        <v>260</v>
      </c>
      <c r="C270" s="1">
        <v>1</v>
      </c>
      <c r="D270" s="1" t="s">
        <v>212</v>
      </c>
      <c r="E270" s="1" t="s">
        <v>101</v>
      </c>
      <c r="F270" s="1" t="s">
        <v>1345</v>
      </c>
      <c r="G270" s="1" t="s">
        <v>1346</v>
      </c>
      <c r="H270" s="1" t="s">
        <v>1350</v>
      </c>
      <c r="I270" s="1"/>
      <c r="J270" s="1" t="s">
        <v>86</v>
      </c>
      <c r="K270" s="1" t="s">
        <v>408</v>
      </c>
      <c r="L270" s="1" t="s">
        <v>1317</v>
      </c>
      <c r="M270" s="1">
        <v>0</v>
      </c>
      <c r="N270" s="1">
        <v>0</v>
      </c>
      <c r="O270" s="1">
        <v>0</v>
      </c>
      <c r="P270" s="1">
        <v>0</v>
      </c>
      <c r="Q270" s="1">
        <v>0</v>
      </c>
      <c r="R270" s="1">
        <v>0</v>
      </c>
      <c r="S270" s="1">
        <v>4</v>
      </c>
      <c r="T270" s="1">
        <v>3</v>
      </c>
      <c r="U270" s="1">
        <v>0</v>
      </c>
      <c r="V270" s="1">
        <v>3</v>
      </c>
      <c r="W270" s="1">
        <v>3</v>
      </c>
      <c r="X270" s="1">
        <v>0</v>
      </c>
      <c r="Y270" s="1"/>
      <c r="Z270" s="1"/>
      <c r="AA270" s="1" t="s">
        <v>21</v>
      </c>
      <c r="AB270" s="17">
        <v>45677</v>
      </c>
      <c r="AC270" s="18" t="s">
        <v>1049</v>
      </c>
      <c r="AD270" s="126" t="s">
        <v>1344</v>
      </c>
      <c r="AE270" s="126" t="s">
        <v>1125</v>
      </c>
      <c r="AF270" s="51">
        <v>0.5</v>
      </c>
      <c r="AG270" s="10"/>
      <c r="AM270"/>
    </row>
    <row r="271" spans="2:39" ht="15" customHeight="1" x14ac:dyDescent="0.25">
      <c r="B271" s="1">
        <v>261</v>
      </c>
      <c r="C271" s="1">
        <v>1</v>
      </c>
      <c r="D271" s="1" t="s">
        <v>212</v>
      </c>
      <c r="E271" s="1" t="s">
        <v>101</v>
      </c>
      <c r="F271" s="1" t="s">
        <v>1345</v>
      </c>
      <c r="G271" s="1" t="s">
        <v>104</v>
      </c>
      <c r="H271" s="1" t="s">
        <v>1347</v>
      </c>
      <c r="I271" s="1"/>
      <c r="J271" s="1" t="s">
        <v>86</v>
      </c>
      <c r="K271" s="1" t="s">
        <v>408</v>
      </c>
      <c r="L271" s="1" t="s">
        <v>1317</v>
      </c>
      <c r="M271" s="1">
        <v>0</v>
      </c>
      <c r="N271" s="1">
        <v>0</v>
      </c>
      <c r="O271" s="1">
        <v>0</v>
      </c>
      <c r="P271" s="1">
        <v>0</v>
      </c>
      <c r="Q271" s="1">
        <v>0</v>
      </c>
      <c r="R271" s="1">
        <v>0</v>
      </c>
      <c r="S271" s="1">
        <v>4</v>
      </c>
      <c r="T271" s="1">
        <v>3</v>
      </c>
      <c r="U271" s="1">
        <v>0</v>
      </c>
      <c r="V271" s="1">
        <v>3</v>
      </c>
      <c r="W271" s="1">
        <v>3</v>
      </c>
      <c r="X271" s="1">
        <v>0</v>
      </c>
      <c r="Y271" s="1"/>
      <c r="Z271" s="1"/>
      <c r="AA271" s="1" t="s">
        <v>21</v>
      </c>
      <c r="AB271" s="17">
        <v>45677</v>
      </c>
      <c r="AC271" s="18" t="s">
        <v>1049</v>
      </c>
      <c r="AD271" s="126" t="s">
        <v>1344</v>
      </c>
      <c r="AE271" s="126" t="s">
        <v>1124</v>
      </c>
      <c r="AF271" s="51">
        <v>0.5</v>
      </c>
      <c r="AG271" s="10"/>
      <c r="AM271"/>
    </row>
    <row r="272" spans="2:39" hidden="1" x14ac:dyDescent="0.25">
      <c r="B272" s="1">
        <v>262</v>
      </c>
      <c r="C272" s="1">
        <v>0</v>
      </c>
      <c r="D272" s="1" t="s">
        <v>212</v>
      </c>
      <c r="E272" s="1" t="s">
        <v>91</v>
      </c>
      <c r="F272" s="1" t="s">
        <v>96</v>
      </c>
      <c r="G272" s="1" t="s">
        <v>96</v>
      </c>
      <c r="H272" s="118" t="s">
        <v>227</v>
      </c>
      <c r="I272" s="1"/>
      <c r="J272" s="1" t="s">
        <v>85</v>
      </c>
      <c r="K272" s="1" t="s">
        <v>312</v>
      </c>
      <c r="L272" s="1" t="s">
        <v>452</v>
      </c>
      <c r="M272" s="1">
        <v>0</v>
      </c>
      <c r="N272" s="1">
        <v>0</v>
      </c>
      <c r="O272" s="1">
        <v>0</v>
      </c>
      <c r="P272" s="1">
        <v>2</v>
      </c>
      <c r="Q272" s="1"/>
      <c r="R272" s="1"/>
      <c r="S272" s="35"/>
      <c r="T272" s="35">
        <v>3</v>
      </c>
      <c r="U272" s="1"/>
      <c r="V272" s="1"/>
      <c r="W272" s="1"/>
      <c r="X272" s="1"/>
      <c r="Y272" s="1"/>
      <c r="Z272" s="1" t="s">
        <v>21</v>
      </c>
      <c r="AA272" s="1" t="s">
        <v>21</v>
      </c>
      <c r="AB272" s="17" t="s">
        <v>1052</v>
      </c>
      <c r="AC272" s="18" t="s">
        <v>417</v>
      </c>
      <c r="AD272" s="126" t="s">
        <v>1249</v>
      </c>
      <c r="AE272" s="126" t="s">
        <v>1258</v>
      </c>
      <c r="AF272" s="51">
        <v>1</v>
      </c>
      <c r="AG272" s="10"/>
      <c r="AH272" s="10"/>
      <c r="AM272"/>
    </row>
    <row r="273" spans="2:39" hidden="1" x14ac:dyDescent="0.25">
      <c r="B273" s="1">
        <v>263</v>
      </c>
      <c r="C273" s="1">
        <v>0</v>
      </c>
      <c r="D273" s="1" t="s">
        <v>386</v>
      </c>
      <c r="E273" s="1" t="s">
        <v>294</v>
      </c>
      <c r="F273" s="1" t="s">
        <v>57</v>
      </c>
      <c r="G273" s="1" t="s">
        <v>250</v>
      </c>
      <c r="H273" s="1" t="s">
        <v>1092</v>
      </c>
      <c r="I273" s="1"/>
      <c r="J273" s="1" t="s">
        <v>86</v>
      </c>
      <c r="K273" s="1" t="s">
        <v>453</v>
      </c>
      <c r="L273" s="1" t="s">
        <v>12</v>
      </c>
      <c r="M273" s="1">
        <v>0</v>
      </c>
      <c r="N273" s="1">
        <v>0</v>
      </c>
      <c r="O273" s="1">
        <v>0</v>
      </c>
      <c r="P273" s="1">
        <v>0</v>
      </c>
      <c r="Q273" s="1">
        <v>0</v>
      </c>
      <c r="R273" s="1"/>
      <c r="S273" s="1"/>
      <c r="T273" s="1"/>
      <c r="U273" s="1"/>
      <c r="V273" s="1"/>
      <c r="W273" s="1"/>
      <c r="X273" s="1">
        <v>0</v>
      </c>
      <c r="Y273" s="1"/>
      <c r="Z273" s="1" t="s">
        <v>21</v>
      </c>
      <c r="AA273" s="1" t="s">
        <v>21</v>
      </c>
      <c r="AB273" s="17"/>
      <c r="AC273" s="18"/>
      <c r="AD273" s="125"/>
      <c r="AE273" s="125"/>
      <c r="AF273" s="96">
        <v>1</v>
      </c>
      <c r="AG273" s="10" t="s">
        <v>1093</v>
      </c>
      <c r="AH273" s="10"/>
      <c r="AM273"/>
    </row>
    <row r="274" spans="2:39" hidden="1" x14ac:dyDescent="0.25">
      <c r="B274" s="1">
        <v>264</v>
      </c>
      <c r="C274" s="1">
        <v>0</v>
      </c>
      <c r="D274" s="1" t="s">
        <v>386</v>
      </c>
      <c r="E274" s="1" t="s">
        <v>294</v>
      </c>
      <c r="F274" s="1" t="s">
        <v>57</v>
      </c>
      <c r="G274" s="1" t="s">
        <v>250</v>
      </c>
      <c r="H274" s="1" t="s">
        <v>253</v>
      </c>
      <c r="I274" s="1"/>
      <c r="J274" s="1" t="s">
        <v>85</v>
      </c>
      <c r="K274" s="1" t="s">
        <v>453</v>
      </c>
      <c r="L274" s="1" t="s">
        <v>12</v>
      </c>
      <c r="M274" s="1">
        <v>0</v>
      </c>
      <c r="N274" s="1">
        <v>0</v>
      </c>
      <c r="O274" s="1">
        <v>0</v>
      </c>
      <c r="P274" s="1">
        <v>0</v>
      </c>
      <c r="Q274" s="1">
        <v>3</v>
      </c>
      <c r="R274" s="1"/>
      <c r="S274" s="1"/>
      <c r="T274" s="1"/>
      <c r="U274" s="1"/>
      <c r="V274" s="1"/>
      <c r="W274" s="1"/>
      <c r="X274" s="1">
        <v>0</v>
      </c>
      <c r="Y274" s="1"/>
      <c r="Z274" s="1" t="s">
        <v>21</v>
      </c>
      <c r="AA274" s="1" t="s">
        <v>21</v>
      </c>
      <c r="AB274" s="17"/>
      <c r="AC274" s="18"/>
      <c r="AD274" s="125"/>
      <c r="AE274" s="125"/>
      <c r="AF274" s="95">
        <v>0.3</v>
      </c>
      <c r="AG274" s="10" t="s">
        <v>1094</v>
      </c>
      <c r="AH274" s="10"/>
      <c r="AM274"/>
    </row>
    <row r="275" spans="2:39" hidden="1" x14ac:dyDescent="0.25">
      <c r="B275" s="1">
        <v>265</v>
      </c>
      <c r="C275" s="1">
        <v>0</v>
      </c>
      <c r="D275" s="1" t="s">
        <v>386</v>
      </c>
      <c r="E275" s="1" t="s">
        <v>294</v>
      </c>
      <c r="F275" s="1" t="s">
        <v>57</v>
      </c>
      <c r="G275" s="1" t="s">
        <v>250</v>
      </c>
      <c r="H275" s="1" t="s">
        <v>257</v>
      </c>
      <c r="I275" s="1"/>
      <c r="J275" s="1" t="s">
        <v>86</v>
      </c>
      <c r="K275" s="1" t="s">
        <v>331</v>
      </c>
      <c r="L275" s="1" t="s">
        <v>12</v>
      </c>
      <c r="M275" s="1">
        <v>0</v>
      </c>
      <c r="N275" s="1">
        <v>0</v>
      </c>
      <c r="O275" s="1">
        <v>0</v>
      </c>
      <c r="P275" s="1">
        <v>0</v>
      </c>
      <c r="Q275" s="1">
        <v>0</v>
      </c>
      <c r="R275" s="1"/>
      <c r="S275" s="1"/>
      <c r="T275" s="1"/>
      <c r="U275" s="1"/>
      <c r="V275" s="1"/>
      <c r="W275" s="1"/>
      <c r="X275" s="1">
        <v>0</v>
      </c>
      <c r="Y275" s="1"/>
      <c r="Z275" s="1" t="s">
        <v>21</v>
      </c>
      <c r="AA275" s="1" t="s">
        <v>21</v>
      </c>
      <c r="AB275" s="17"/>
      <c r="AC275" s="18"/>
      <c r="AD275" s="125"/>
      <c r="AE275" s="126"/>
      <c r="AF275" s="95"/>
      <c r="AG275" s="10" t="s">
        <v>80</v>
      </c>
      <c r="AH275" s="10"/>
      <c r="AM275"/>
    </row>
    <row r="276" spans="2:39" hidden="1" x14ac:dyDescent="0.25">
      <c r="B276" s="1">
        <v>266</v>
      </c>
      <c r="C276" s="1">
        <v>0</v>
      </c>
      <c r="D276" s="1" t="s">
        <v>386</v>
      </c>
      <c r="E276" s="1" t="s">
        <v>294</v>
      </c>
      <c r="F276" s="1" t="s">
        <v>57</v>
      </c>
      <c r="G276" s="1" t="s">
        <v>250</v>
      </c>
      <c r="H276" s="1" t="s">
        <v>264</v>
      </c>
      <c r="I276" s="1"/>
      <c r="J276" s="1" t="s">
        <v>86</v>
      </c>
      <c r="K276" s="1" t="s">
        <v>331</v>
      </c>
      <c r="L276" s="1" t="s">
        <v>12</v>
      </c>
      <c r="M276" s="1">
        <v>0</v>
      </c>
      <c r="N276" s="1">
        <v>0</v>
      </c>
      <c r="O276" s="1">
        <v>0</v>
      </c>
      <c r="P276" s="1">
        <v>0</v>
      </c>
      <c r="Q276" s="1">
        <v>0</v>
      </c>
      <c r="R276" s="1"/>
      <c r="S276" s="1"/>
      <c r="T276" s="1"/>
      <c r="U276" s="1"/>
      <c r="V276" s="1"/>
      <c r="W276" s="1"/>
      <c r="X276" s="1">
        <v>0</v>
      </c>
      <c r="Y276" s="1"/>
      <c r="Z276" s="1" t="s">
        <v>21</v>
      </c>
      <c r="AA276" s="1" t="s">
        <v>21</v>
      </c>
      <c r="AB276" s="17"/>
      <c r="AC276" s="18"/>
      <c r="AD276" s="125"/>
      <c r="AE276" s="126"/>
      <c r="AF276" s="95"/>
      <c r="AG276" s="10" t="s">
        <v>80</v>
      </c>
      <c r="AH276" s="10"/>
      <c r="AM276"/>
    </row>
    <row r="277" spans="2:39" hidden="1" x14ac:dyDescent="0.25">
      <c r="B277" s="1">
        <v>267</v>
      </c>
      <c r="C277" s="1">
        <v>0</v>
      </c>
      <c r="D277" s="1" t="s">
        <v>386</v>
      </c>
      <c r="E277" s="1" t="s">
        <v>294</v>
      </c>
      <c r="F277" s="1" t="s">
        <v>57</v>
      </c>
      <c r="G277" s="1" t="s">
        <v>250</v>
      </c>
      <c r="H277" s="1" t="s">
        <v>265</v>
      </c>
      <c r="I277" s="1"/>
      <c r="J277" s="1" t="s">
        <v>86</v>
      </c>
      <c r="K277" s="1" t="s">
        <v>331</v>
      </c>
      <c r="L277" s="1" t="s">
        <v>12</v>
      </c>
      <c r="M277" s="1">
        <v>0</v>
      </c>
      <c r="N277" s="1">
        <v>0</v>
      </c>
      <c r="O277" s="1">
        <v>0</v>
      </c>
      <c r="P277" s="1">
        <v>0</v>
      </c>
      <c r="Q277" s="1">
        <v>0</v>
      </c>
      <c r="R277" s="1"/>
      <c r="S277" s="1"/>
      <c r="T277" s="1"/>
      <c r="U277" s="1"/>
      <c r="V277" s="1"/>
      <c r="W277" s="1"/>
      <c r="X277" s="1">
        <v>0</v>
      </c>
      <c r="Y277" s="1"/>
      <c r="Z277" s="1" t="s">
        <v>21</v>
      </c>
      <c r="AA277" s="1" t="s">
        <v>21</v>
      </c>
      <c r="AB277" s="17"/>
      <c r="AC277" s="18"/>
      <c r="AD277" s="125"/>
      <c r="AE277" s="126"/>
      <c r="AF277" s="95"/>
      <c r="AG277" s="10" t="s">
        <v>80</v>
      </c>
      <c r="AH277" s="10"/>
      <c r="AM277"/>
    </row>
    <row r="278" spans="2:39" hidden="1" x14ac:dyDescent="0.25">
      <c r="B278" s="1">
        <v>268</v>
      </c>
      <c r="C278" s="1">
        <v>0</v>
      </c>
      <c r="D278" s="1" t="s">
        <v>386</v>
      </c>
      <c r="E278" s="1" t="s">
        <v>294</v>
      </c>
      <c r="F278" s="1" t="s">
        <v>57</v>
      </c>
      <c r="G278" s="1" t="s">
        <v>250</v>
      </c>
      <c r="H278" s="1" t="s">
        <v>64</v>
      </c>
      <c r="I278" s="1"/>
      <c r="J278" s="1" t="s">
        <v>86</v>
      </c>
      <c r="K278" s="1" t="s">
        <v>453</v>
      </c>
      <c r="L278" s="1" t="s">
        <v>12</v>
      </c>
      <c r="M278" s="1">
        <v>0</v>
      </c>
      <c r="N278" s="1">
        <v>0</v>
      </c>
      <c r="O278" s="1">
        <v>0</v>
      </c>
      <c r="P278" s="1">
        <v>0</v>
      </c>
      <c r="Q278" s="1">
        <v>4</v>
      </c>
      <c r="R278" s="1"/>
      <c r="S278" s="1"/>
      <c r="T278" s="1"/>
      <c r="U278" s="1"/>
      <c r="V278" s="1"/>
      <c r="W278" s="1"/>
      <c r="X278" s="1">
        <v>0</v>
      </c>
      <c r="Y278" s="1"/>
      <c r="Z278" s="1" t="s">
        <v>21</v>
      </c>
      <c r="AA278" s="1" t="s">
        <v>21</v>
      </c>
      <c r="AB278" s="17"/>
      <c r="AC278" s="18"/>
      <c r="AD278" s="125"/>
      <c r="AE278" s="126" t="s">
        <v>1115</v>
      </c>
      <c r="AF278" s="95">
        <v>0.9</v>
      </c>
      <c r="AG278" s="10"/>
      <c r="AH278" s="10"/>
      <c r="AM278"/>
    </row>
    <row r="279" spans="2:39" hidden="1" x14ac:dyDescent="0.25">
      <c r="B279" s="1">
        <v>269</v>
      </c>
      <c r="C279" s="1">
        <v>0</v>
      </c>
      <c r="D279" s="1" t="s">
        <v>386</v>
      </c>
      <c r="E279" s="1" t="s">
        <v>294</v>
      </c>
      <c r="F279" s="1" t="s">
        <v>57</v>
      </c>
      <c r="G279" s="1" t="s">
        <v>250</v>
      </c>
      <c r="H279" s="1" t="s">
        <v>63</v>
      </c>
      <c r="I279" s="1"/>
      <c r="J279" s="1" t="s">
        <v>88</v>
      </c>
      <c r="K279" s="1" t="s">
        <v>453</v>
      </c>
      <c r="L279" s="1" t="s">
        <v>12</v>
      </c>
      <c r="M279" s="1">
        <v>0</v>
      </c>
      <c r="N279" s="1">
        <v>0</v>
      </c>
      <c r="O279" s="1">
        <v>0</v>
      </c>
      <c r="P279" s="1">
        <v>0</v>
      </c>
      <c r="Q279" s="1">
        <v>4</v>
      </c>
      <c r="R279" s="1"/>
      <c r="S279" s="1"/>
      <c r="T279" s="1"/>
      <c r="U279" s="1"/>
      <c r="V279" s="1"/>
      <c r="W279" s="1"/>
      <c r="X279" s="1">
        <v>0</v>
      </c>
      <c r="Y279" s="1"/>
      <c r="Z279" s="1" t="s">
        <v>21</v>
      </c>
      <c r="AA279" s="1" t="s">
        <v>21</v>
      </c>
      <c r="AB279" s="17"/>
      <c r="AC279" s="18"/>
      <c r="AD279" s="125"/>
      <c r="AE279" s="126" t="s">
        <v>1116</v>
      </c>
      <c r="AF279" s="95">
        <v>0.5</v>
      </c>
      <c r="AG279" s="10"/>
      <c r="AH279" s="10"/>
      <c r="AM279"/>
    </row>
    <row r="280" spans="2:39" hidden="1" x14ac:dyDescent="0.25">
      <c r="B280" s="1">
        <v>270</v>
      </c>
      <c r="C280" s="1">
        <v>0</v>
      </c>
      <c r="D280" s="1" t="s">
        <v>386</v>
      </c>
      <c r="E280" s="1" t="s">
        <v>294</v>
      </c>
      <c r="F280" s="1" t="s">
        <v>57</v>
      </c>
      <c r="G280" s="1" t="s">
        <v>250</v>
      </c>
      <c r="H280" s="1" t="s">
        <v>268</v>
      </c>
      <c r="I280" s="1"/>
      <c r="J280" s="1" t="s">
        <v>87</v>
      </c>
      <c r="K280" s="1" t="s">
        <v>453</v>
      </c>
      <c r="L280" s="1" t="s">
        <v>12</v>
      </c>
      <c r="M280" s="1">
        <v>0</v>
      </c>
      <c r="N280" s="1">
        <v>0</v>
      </c>
      <c r="O280" s="1">
        <v>0</v>
      </c>
      <c r="P280" s="1">
        <v>0</v>
      </c>
      <c r="Q280" s="1">
        <v>4</v>
      </c>
      <c r="R280" s="1"/>
      <c r="S280" s="1"/>
      <c r="T280" s="1"/>
      <c r="U280" s="1"/>
      <c r="V280" s="1"/>
      <c r="W280" s="1"/>
      <c r="X280" s="1">
        <v>0</v>
      </c>
      <c r="Y280" s="1"/>
      <c r="Z280" s="1" t="s">
        <v>21</v>
      </c>
      <c r="AA280" s="1" t="s">
        <v>21</v>
      </c>
      <c r="AB280" s="17"/>
      <c r="AC280" s="18"/>
      <c r="AD280" s="125"/>
      <c r="AE280" s="126" t="s">
        <v>1114</v>
      </c>
      <c r="AF280" s="95">
        <v>0.5</v>
      </c>
      <c r="AG280" s="10"/>
      <c r="AH280" s="10"/>
      <c r="AM280"/>
    </row>
    <row r="281" spans="2:39" hidden="1" x14ac:dyDescent="0.25">
      <c r="B281" s="1">
        <v>271</v>
      </c>
      <c r="C281" s="1">
        <v>0</v>
      </c>
      <c r="D281" s="1" t="s">
        <v>386</v>
      </c>
      <c r="E281" s="1" t="s">
        <v>294</v>
      </c>
      <c r="F281" s="1" t="s">
        <v>57</v>
      </c>
      <c r="G281" s="1" t="s">
        <v>250</v>
      </c>
      <c r="H281" s="1" t="s">
        <v>269</v>
      </c>
      <c r="I281" s="1"/>
      <c r="J281" s="1" t="s">
        <v>335</v>
      </c>
      <c r="K281" s="1" t="s">
        <v>453</v>
      </c>
      <c r="L281" s="1" t="s">
        <v>12</v>
      </c>
      <c r="M281" s="1">
        <v>0</v>
      </c>
      <c r="N281" s="1">
        <v>0</v>
      </c>
      <c r="O281" s="1">
        <v>0</v>
      </c>
      <c r="P281" s="1">
        <v>0</v>
      </c>
      <c r="Q281" s="1">
        <v>4</v>
      </c>
      <c r="R281" s="1"/>
      <c r="S281" s="1"/>
      <c r="T281" s="1"/>
      <c r="U281" s="1"/>
      <c r="V281" s="1"/>
      <c r="W281" s="1"/>
      <c r="X281" s="1">
        <v>0</v>
      </c>
      <c r="Y281" s="1"/>
      <c r="Z281" s="1" t="s">
        <v>21</v>
      </c>
      <c r="AA281" s="1" t="s">
        <v>21</v>
      </c>
      <c r="AB281" s="17"/>
      <c r="AC281" s="18"/>
      <c r="AD281" s="125"/>
      <c r="AE281" s="125"/>
      <c r="AF281" s="51"/>
      <c r="AG281" s="10"/>
      <c r="AH281" s="10"/>
      <c r="AM281"/>
    </row>
    <row r="282" spans="2:39" hidden="1" x14ac:dyDescent="0.25">
      <c r="B282" s="1">
        <v>272</v>
      </c>
      <c r="C282" s="1">
        <v>0</v>
      </c>
      <c r="D282" s="1" t="s">
        <v>186</v>
      </c>
      <c r="E282" s="1" t="s">
        <v>186</v>
      </c>
      <c r="F282" s="1" t="s">
        <v>46</v>
      </c>
      <c r="G282" s="1" t="s">
        <v>46</v>
      </c>
      <c r="H282" s="1" t="s">
        <v>278</v>
      </c>
      <c r="I282" s="1"/>
      <c r="J282" s="1" t="s">
        <v>85</v>
      </c>
      <c r="K282" s="1" t="s">
        <v>61</v>
      </c>
      <c r="L282" s="1" t="s">
        <v>170</v>
      </c>
      <c r="M282" s="1">
        <v>0</v>
      </c>
      <c r="N282" s="1">
        <v>0</v>
      </c>
      <c r="O282" s="1">
        <v>0</v>
      </c>
      <c r="P282" s="1">
        <v>2</v>
      </c>
      <c r="Q282" s="1"/>
      <c r="R282" s="1"/>
      <c r="S282" s="1"/>
      <c r="T282" s="1"/>
      <c r="U282" s="1"/>
      <c r="V282" s="1"/>
      <c r="W282" s="1"/>
      <c r="X282" s="1"/>
      <c r="Y282" s="1"/>
      <c r="Z282" s="1" t="s">
        <v>21</v>
      </c>
      <c r="AA282" s="1" t="s">
        <v>21</v>
      </c>
      <c r="AB282" s="17"/>
      <c r="AC282" s="18"/>
      <c r="AD282" s="125"/>
      <c r="AE282" s="125"/>
      <c r="AF282" s="51"/>
      <c r="AG282" s="10"/>
      <c r="AH282" s="10"/>
      <c r="AM282"/>
    </row>
    <row r="283" spans="2:39" ht="15" hidden="1" customHeight="1" x14ac:dyDescent="0.25">
      <c r="B283" s="1">
        <v>273</v>
      </c>
      <c r="C283" s="1">
        <v>0</v>
      </c>
      <c r="D283" s="1" t="s">
        <v>186</v>
      </c>
      <c r="E283" s="1" t="s">
        <v>186</v>
      </c>
      <c r="F283" s="1" t="s">
        <v>275</v>
      </c>
      <c r="G283" s="1" t="s">
        <v>186</v>
      </c>
      <c r="H283" s="1" t="s">
        <v>276</v>
      </c>
      <c r="I283" s="1"/>
      <c r="J283" s="1" t="s">
        <v>85</v>
      </c>
      <c r="K283" s="1" t="s">
        <v>61</v>
      </c>
      <c r="L283" s="1" t="s">
        <v>170</v>
      </c>
      <c r="M283" s="1">
        <v>0</v>
      </c>
      <c r="N283" s="1">
        <v>0</v>
      </c>
      <c r="O283" s="1">
        <v>0</v>
      </c>
      <c r="P283" s="1">
        <v>2</v>
      </c>
      <c r="Q283" s="1"/>
      <c r="R283" s="1"/>
      <c r="S283" s="1"/>
      <c r="T283" s="1"/>
      <c r="U283" s="1"/>
      <c r="V283" s="1"/>
      <c r="W283" s="1"/>
      <c r="X283" s="1"/>
      <c r="Y283" s="1"/>
      <c r="Z283" s="1" t="s">
        <v>21</v>
      </c>
      <c r="AA283" s="1" t="s">
        <v>21</v>
      </c>
      <c r="AB283" s="17"/>
      <c r="AC283" s="18"/>
      <c r="AD283" s="125"/>
      <c r="AE283" s="125"/>
      <c r="AF283" s="51"/>
      <c r="AG283" s="10" t="s">
        <v>277</v>
      </c>
      <c r="AH283" s="10"/>
      <c r="AM283"/>
    </row>
    <row r="284" spans="2:39" ht="15" customHeight="1" x14ac:dyDescent="0.25">
      <c r="B284" s="1">
        <v>274</v>
      </c>
      <c r="C284" s="1">
        <v>1</v>
      </c>
      <c r="D284" s="1" t="s">
        <v>212</v>
      </c>
      <c r="E284" s="1" t="s">
        <v>101</v>
      </c>
      <c r="F284" s="1" t="s">
        <v>282</v>
      </c>
      <c r="G284" s="1" t="s">
        <v>282</v>
      </c>
      <c r="H284" s="1" t="s">
        <v>279</v>
      </c>
      <c r="I284" s="1"/>
      <c r="J284" s="1" t="s">
        <v>85</v>
      </c>
      <c r="K284" s="1" t="s">
        <v>408</v>
      </c>
      <c r="L284" s="1" t="s">
        <v>1317</v>
      </c>
      <c r="M284" s="1">
        <v>0</v>
      </c>
      <c r="N284" s="1">
        <v>0</v>
      </c>
      <c r="O284" s="1">
        <v>0</v>
      </c>
      <c r="P284" s="1">
        <v>2</v>
      </c>
      <c r="Q284" s="1">
        <v>0</v>
      </c>
      <c r="R284" s="1">
        <v>0</v>
      </c>
      <c r="S284" s="1">
        <v>4</v>
      </c>
      <c r="T284" s="1">
        <v>3</v>
      </c>
      <c r="U284" s="1">
        <v>0</v>
      </c>
      <c r="V284" s="1">
        <v>3</v>
      </c>
      <c r="W284" s="1">
        <v>3</v>
      </c>
      <c r="X284" s="1">
        <v>0</v>
      </c>
      <c r="Y284" s="1"/>
      <c r="Z284" s="1"/>
      <c r="AA284" s="1" t="s">
        <v>21</v>
      </c>
      <c r="AB284" s="17">
        <v>45702</v>
      </c>
      <c r="AC284" s="18" t="s">
        <v>1049</v>
      </c>
      <c r="AD284" s="126" t="s">
        <v>1344</v>
      </c>
      <c r="AE284" s="126" t="s">
        <v>1126</v>
      </c>
      <c r="AF284" s="51">
        <v>0.9</v>
      </c>
      <c r="AG284" s="10"/>
      <c r="AH284" s="10"/>
      <c r="AM284"/>
    </row>
    <row r="285" spans="2:39" ht="15" hidden="1" customHeight="1" x14ac:dyDescent="0.25">
      <c r="B285" s="1">
        <f>B284+1</f>
        <v>275</v>
      </c>
      <c r="C285" s="1">
        <v>0</v>
      </c>
      <c r="D285" s="1" t="s">
        <v>212</v>
      </c>
      <c r="E285" s="1" t="s">
        <v>101</v>
      </c>
      <c r="F285" s="1" t="s">
        <v>282</v>
      </c>
      <c r="G285" s="1" t="s">
        <v>282</v>
      </c>
      <c r="H285" s="1" t="s">
        <v>1305</v>
      </c>
      <c r="I285" s="1"/>
      <c r="J285" s="1" t="s">
        <v>87</v>
      </c>
      <c r="K285" s="1" t="s">
        <v>408</v>
      </c>
      <c r="L285" s="1" t="s">
        <v>1049</v>
      </c>
      <c r="M285" s="1"/>
      <c r="N285" s="1"/>
      <c r="O285" s="1"/>
      <c r="P285" s="1"/>
      <c r="Q285" s="1"/>
      <c r="R285" s="1"/>
      <c r="S285" s="1">
        <v>3</v>
      </c>
      <c r="T285" s="35">
        <v>3</v>
      </c>
      <c r="U285" s="35"/>
      <c r="V285" s="35"/>
      <c r="W285" s="35"/>
      <c r="X285" s="35"/>
      <c r="Y285" s="35"/>
      <c r="Z285" s="1"/>
      <c r="AA285" s="1" t="s">
        <v>21</v>
      </c>
      <c r="AB285" s="17"/>
      <c r="AC285" s="18"/>
      <c r="AD285" s="126"/>
      <c r="AE285" s="126"/>
      <c r="AF285" s="51">
        <v>0.9</v>
      </c>
      <c r="AG285" s="10"/>
      <c r="AH285" s="10"/>
      <c r="AM285"/>
    </row>
    <row r="286" spans="2:39" ht="15" hidden="1" customHeight="1" x14ac:dyDescent="0.25">
      <c r="B286" s="1">
        <f>B285+1</f>
        <v>276</v>
      </c>
      <c r="C286" s="1">
        <v>0</v>
      </c>
      <c r="D286" s="1" t="s">
        <v>212</v>
      </c>
      <c r="E286" s="1" t="s">
        <v>101</v>
      </c>
      <c r="F286" s="1" t="s">
        <v>282</v>
      </c>
      <c r="G286" s="1" t="s">
        <v>282</v>
      </c>
      <c r="H286" s="1" t="s">
        <v>1306</v>
      </c>
      <c r="I286" s="1"/>
      <c r="J286" s="1" t="s">
        <v>88</v>
      </c>
      <c r="K286" s="1" t="s">
        <v>408</v>
      </c>
      <c r="L286" s="1" t="s">
        <v>1049</v>
      </c>
      <c r="M286" s="1"/>
      <c r="N286" s="1"/>
      <c r="O286" s="1"/>
      <c r="P286" s="1"/>
      <c r="Q286" s="1"/>
      <c r="R286" s="1"/>
      <c r="S286" s="1">
        <v>3</v>
      </c>
      <c r="T286" s="35">
        <v>3</v>
      </c>
      <c r="U286" s="35"/>
      <c r="V286" s="35"/>
      <c r="W286" s="35"/>
      <c r="X286" s="35"/>
      <c r="Y286" s="35"/>
      <c r="Z286" s="1"/>
      <c r="AA286" s="1" t="s">
        <v>21</v>
      </c>
      <c r="AB286" s="17"/>
      <c r="AC286" s="18"/>
      <c r="AD286" s="126"/>
      <c r="AE286" s="126"/>
      <c r="AF286" s="51"/>
      <c r="AG286" s="10"/>
      <c r="AH286" s="10"/>
      <c r="AM286"/>
    </row>
    <row r="287" spans="2:39" ht="15" customHeight="1" x14ac:dyDescent="0.25">
      <c r="B287" s="1">
        <v>275</v>
      </c>
      <c r="C287" s="1">
        <v>1</v>
      </c>
      <c r="D287" s="1" t="s">
        <v>212</v>
      </c>
      <c r="E287" s="1" t="s">
        <v>101</v>
      </c>
      <c r="F287" s="1" t="s">
        <v>282</v>
      </c>
      <c r="G287" s="1" t="s">
        <v>282</v>
      </c>
      <c r="H287" s="1" t="s">
        <v>280</v>
      </c>
      <c r="I287" s="1"/>
      <c r="J287" s="1" t="s">
        <v>85</v>
      </c>
      <c r="K287" s="1" t="s">
        <v>408</v>
      </c>
      <c r="L287" s="1" t="s">
        <v>1317</v>
      </c>
      <c r="M287" s="1">
        <v>0</v>
      </c>
      <c r="N287" s="1">
        <v>0</v>
      </c>
      <c r="O287" s="1">
        <v>0</v>
      </c>
      <c r="P287" s="1">
        <v>2</v>
      </c>
      <c r="Q287" s="1">
        <v>0</v>
      </c>
      <c r="R287" s="1">
        <v>0</v>
      </c>
      <c r="S287" s="1">
        <v>4</v>
      </c>
      <c r="T287" s="1">
        <v>3</v>
      </c>
      <c r="U287" s="1">
        <v>0</v>
      </c>
      <c r="V287" s="1">
        <v>3</v>
      </c>
      <c r="W287" s="1">
        <v>3</v>
      </c>
      <c r="X287" s="1">
        <v>0</v>
      </c>
      <c r="Y287" s="1"/>
      <c r="Z287" s="1"/>
      <c r="AA287" s="1" t="s">
        <v>21</v>
      </c>
      <c r="AB287" s="17">
        <v>45702</v>
      </c>
      <c r="AC287" s="18" t="s">
        <v>1049</v>
      </c>
      <c r="AD287" s="126" t="s">
        <v>1344</v>
      </c>
      <c r="AE287" s="126" t="s">
        <v>1126</v>
      </c>
      <c r="AF287" s="51">
        <v>0.9</v>
      </c>
      <c r="AG287" s="10"/>
      <c r="AH287" s="10"/>
      <c r="AM287"/>
    </row>
    <row r="288" spans="2:39" x14ac:dyDescent="0.25">
      <c r="B288" s="1">
        <v>276</v>
      </c>
      <c r="C288" s="1">
        <v>1</v>
      </c>
      <c r="D288" s="1" t="s">
        <v>212</v>
      </c>
      <c r="E288" s="1" t="s">
        <v>101</v>
      </c>
      <c r="F288" s="1" t="s">
        <v>282</v>
      </c>
      <c r="G288" s="1" t="s">
        <v>282</v>
      </c>
      <c r="H288" s="1" t="s">
        <v>281</v>
      </c>
      <c r="I288" s="1"/>
      <c r="J288" s="1" t="s">
        <v>85</v>
      </c>
      <c r="K288" s="1" t="s">
        <v>408</v>
      </c>
      <c r="L288" s="1" t="s">
        <v>1317</v>
      </c>
      <c r="M288" s="1">
        <v>0</v>
      </c>
      <c r="N288" s="1">
        <v>0</v>
      </c>
      <c r="O288" s="1">
        <v>0</v>
      </c>
      <c r="P288" s="1">
        <v>2</v>
      </c>
      <c r="Q288" s="1">
        <v>0</v>
      </c>
      <c r="R288" s="1">
        <v>0</v>
      </c>
      <c r="S288" s="1">
        <v>4</v>
      </c>
      <c r="T288" s="1">
        <v>3</v>
      </c>
      <c r="U288" s="1">
        <v>0</v>
      </c>
      <c r="V288" s="1">
        <v>3</v>
      </c>
      <c r="W288" s="1">
        <v>3</v>
      </c>
      <c r="X288" s="1">
        <v>0</v>
      </c>
      <c r="Y288" s="1"/>
      <c r="Z288" s="1"/>
      <c r="AA288" s="1" t="s">
        <v>21</v>
      </c>
      <c r="AB288" s="17">
        <v>45702</v>
      </c>
      <c r="AC288" s="18" t="s">
        <v>1049</v>
      </c>
      <c r="AD288" s="126" t="s">
        <v>1344</v>
      </c>
      <c r="AE288" s="126" t="s">
        <v>1126</v>
      </c>
      <c r="AF288" s="51">
        <v>0.9</v>
      </c>
      <c r="AG288" s="10"/>
      <c r="AH288" s="10"/>
      <c r="AM288"/>
    </row>
    <row r="289" spans="2:39" hidden="1" x14ac:dyDescent="0.25">
      <c r="B289" s="1">
        <v>277</v>
      </c>
      <c r="C289" s="1">
        <v>0</v>
      </c>
      <c r="D289" s="1" t="s">
        <v>177</v>
      </c>
      <c r="E289" s="1" t="s">
        <v>294</v>
      </c>
      <c r="F289" s="1" t="s">
        <v>176</v>
      </c>
      <c r="G289" s="1" t="s">
        <v>177</v>
      </c>
      <c r="H289" s="1" t="s">
        <v>367</v>
      </c>
      <c r="I289" s="1" t="s">
        <v>1276</v>
      </c>
      <c r="J289" s="1" t="s">
        <v>85</v>
      </c>
      <c r="K289" s="1" t="s">
        <v>1292</v>
      </c>
      <c r="L289" s="1" t="s">
        <v>408</v>
      </c>
      <c r="M289" s="1">
        <v>0</v>
      </c>
      <c r="N289" s="1">
        <v>0</v>
      </c>
      <c r="O289" s="1">
        <v>0</v>
      </c>
      <c r="P289" s="1">
        <v>0</v>
      </c>
      <c r="Q289" s="1">
        <v>0</v>
      </c>
      <c r="R289" s="1">
        <v>0</v>
      </c>
      <c r="S289" s="1">
        <v>3</v>
      </c>
      <c r="T289" s="1">
        <v>0</v>
      </c>
      <c r="U289" s="1"/>
      <c r="V289" s="1">
        <v>2</v>
      </c>
      <c r="W289" s="1"/>
      <c r="X289" s="1">
        <v>0</v>
      </c>
      <c r="Y289" s="1">
        <v>0</v>
      </c>
      <c r="Z289" s="1" t="s">
        <v>21</v>
      </c>
      <c r="AA289" s="1" t="s">
        <v>21</v>
      </c>
      <c r="AB289" s="17">
        <v>45301</v>
      </c>
      <c r="AC289" s="18" t="s">
        <v>408</v>
      </c>
      <c r="AD289" s="125"/>
      <c r="AE289" s="125" t="s">
        <v>1275</v>
      </c>
      <c r="AF289" s="114">
        <v>1</v>
      </c>
      <c r="AG289" s="10"/>
      <c r="AH289" s="10"/>
      <c r="AM289"/>
    </row>
    <row r="290" spans="2:39" ht="15" customHeight="1" x14ac:dyDescent="0.25">
      <c r="B290" s="1">
        <v>278</v>
      </c>
      <c r="C290" s="1">
        <v>1</v>
      </c>
      <c r="D290" s="1" t="s">
        <v>177</v>
      </c>
      <c r="E290" s="1" t="s">
        <v>294</v>
      </c>
      <c r="F290" s="1" t="s">
        <v>176</v>
      </c>
      <c r="G290" s="1" t="s">
        <v>177</v>
      </c>
      <c r="H290" s="1" t="s">
        <v>285</v>
      </c>
      <c r="I290" s="1" t="s">
        <v>1219</v>
      </c>
      <c r="J290" s="1" t="s">
        <v>85</v>
      </c>
      <c r="K290" s="1" t="s">
        <v>1292</v>
      </c>
      <c r="L290" s="1" t="s">
        <v>408</v>
      </c>
      <c r="M290" s="1">
        <v>0</v>
      </c>
      <c r="N290" s="1">
        <v>0</v>
      </c>
      <c r="O290" s="1">
        <v>0</v>
      </c>
      <c r="P290" s="1">
        <v>0</v>
      </c>
      <c r="Q290" s="1">
        <v>0</v>
      </c>
      <c r="R290" s="1">
        <v>0</v>
      </c>
      <c r="S290" s="1">
        <v>3</v>
      </c>
      <c r="T290" s="1">
        <v>0</v>
      </c>
      <c r="U290" s="1"/>
      <c r="V290" s="1">
        <v>4</v>
      </c>
      <c r="W290" s="1"/>
      <c r="X290" s="1">
        <v>0</v>
      </c>
      <c r="Y290" s="1">
        <v>0</v>
      </c>
      <c r="Z290" s="1" t="s">
        <v>21</v>
      </c>
      <c r="AA290" s="1" t="s">
        <v>21</v>
      </c>
      <c r="AB290" s="17">
        <v>45301</v>
      </c>
      <c r="AC290" s="18" t="s">
        <v>408</v>
      </c>
      <c r="AD290" s="125"/>
      <c r="AE290" s="125" t="s">
        <v>1279</v>
      </c>
      <c r="AF290" s="113">
        <v>0.8</v>
      </c>
      <c r="AG290" s="10"/>
      <c r="AM290"/>
    </row>
    <row r="291" spans="2:39" ht="15" customHeight="1" x14ac:dyDescent="0.25">
      <c r="B291" s="1">
        <v>279</v>
      </c>
      <c r="C291" s="1">
        <v>1</v>
      </c>
      <c r="D291" s="1" t="s">
        <v>177</v>
      </c>
      <c r="E291" s="1" t="s">
        <v>294</v>
      </c>
      <c r="F291" s="1" t="s">
        <v>176</v>
      </c>
      <c r="G291" s="1"/>
      <c r="H291" s="1" t="s">
        <v>371</v>
      </c>
      <c r="I291" s="1" t="s">
        <v>1161</v>
      </c>
      <c r="J291" s="1" t="s">
        <v>86</v>
      </c>
      <c r="K291" s="1" t="s">
        <v>1292</v>
      </c>
      <c r="L291" s="1" t="s">
        <v>408</v>
      </c>
      <c r="M291" s="1">
        <v>0</v>
      </c>
      <c r="N291" s="1">
        <v>0</v>
      </c>
      <c r="O291" s="1">
        <v>0</v>
      </c>
      <c r="P291" s="1">
        <v>0</v>
      </c>
      <c r="Q291" s="1">
        <v>0</v>
      </c>
      <c r="R291" s="1">
        <v>0</v>
      </c>
      <c r="S291" s="1">
        <v>4</v>
      </c>
      <c r="T291" s="1">
        <v>0</v>
      </c>
      <c r="U291" s="1"/>
      <c r="V291" s="1">
        <v>4</v>
      </c>
      <c r="W291" s="1"/>
      <c r="X291" s="1">
        <v>0</v>
      </c>
      <c r="Y291" s="1">
        <v>0</v>
      </c>
      <c r="Z291" s="1" t="s">
        <v>21</v>
      </c>
      <c r="AA291" s="1" t="s">
        <v>21</v>
      </c>
      <c r="AB291" s="17">
        <v>45148</v>
      </c>
      <c r="AC291" s="18" t="s">
        <v>330</v>
      </c>
      <c r="AD291" s="125"/>
      <c r="AE291" s="126" t="s">
        <v>1271</v>
      </c>
      <c r="AF291" s="51">
        <v>0.7</v>
      </c>
      <c r="AG291" s="10"/>
      <c r="AM291"/>
    </row>
    <row r="292" spans="2:39" ht="15" hidden="1" customHeight="1" x14ac:dyDescent="0.25">
      <c r="B292" s="1">
        <v>280</v>
      </c>
      <c r="C292" s="1">
        <v>0</v>
      </c>
      <c r="D292" s="1" t="s">
        <v>212</v>
      </c>
      <c r="E292" s="1" t="s">
        <v>101</v>
      </c>
      <c r="F292" s="1" t="s">
        <v>282</v>
      </c>
      <c r="G292" s="1" t="s">
        <v>282</v>
      </c>
      <c r="H292" s="1" t="s">
        <v>287</v>
      </c>
      <c r="I292" s="1"/>
      <c r="J292" s="1" t="s">
        <v>85</v>
      </c>
      <c r="K292" s="1" t="s">
        <v>408</v>
      </c>
      <c r="L292" s="1" t="s">
        <v>1049</v>
      </c>
      <c r="M292" s="1">
        <v>0</v>
      </c>
      <c r="N292" s="1">
        <v>0</v>
      </c>
      <c r="O292" s="1">
        <v>0</v>
      </c>
      <c r="P292" s="1">
        <v>2</v>
      </c>
      <c r="Q292" s="1"/>
      <c r="R292" s="1"/>
      <c r="S292" s="1">
        <v>3</v>
      </c>
      <c r="T292" s="1">
        <v>3</v>
      </c>
      <c r="U292" s="1"/>
      <c r="V292" s="1"/>
      <c r="W292" s="1"/>
      <c r="X292" s="1"/>
      <c r="Y292" s="1"/>
      <c r="Z292" s="1" t="s">
        <v>32</v>
      </c>
      <c r="AA292" s="1" t="s">
        <v>21</v>
      </c>
      <c r="AB292" s="17">
        <v>44967</v>
      </c>
      <c r="AC292" s="18" t="s">
        <v>417</v>
      </c>
      <c r="AD292" s="126"/>
      <c r="AE292" s="126" t="s">
        <v>1123</v>
      </c>
      <c r="AF292" s="51">
        <v>0.9</v>
      </c>
      <c r="AG292" s="10" t="s">
        <v>1182</v>
      </c>
      <c r="AM292"/>
    </row>
    <row r="293" spans="2:39" ht="15" customHeight="1" x14ac:dyDescent="0.25">
      <c r="B293" s="1">
        <v>281</v>
      </c>
      <c r="C293" s="1">
        <v>1</v>
      </c>
      <c r="D293" s="1" t="s">
        <v>212</v>
      </c>
      <c r="E293" s="1" t="s">
        <v>101</v>
      </c>
      <c r="F293" s="1" t="s">
        <v>282</v>
      </c>
      <c r="G293" s="1" t="s">
        <v>282</v>
      </c>
      <c r="H293" s="1" t="s">
        <v>309</v>
      </c>
      <c r="I293" s="1"/>
      <c r="J293" s="1" t="s">
        <v>1246</v>
      </c>
      <c r="K293" s="1" t="s">
        <v>408</v>
      </c>
      <c r="L293" s="1" t="s">
        <v>1317</v>
      </c>
      <c r="M293" s="1">
        <v>0</v>
      </c>
      <c r="N293" s="1">
        <v>0</v>
      </c>
      <c r="O293" s="1">
        <v>0</v>
      </c>
      <c r="P293" s="1">
        <v>0</v>
      </c>
      <c r="Q293" s="1"/>
      <c r="R293" s="1"/>
      <c r="S293" s="1">
        <v>3</v>
      </c>
      <c r="T293" s="1">
        <v>2</v>
      </c>
      <c r="U293" s="1"/>
      <c r="V293" s="1">
        <v>2</v>
      </c>
      <c r="W293" s="1">
        <v>2</v>
      </c>
      <c r="X293" s="1">
        <v>0</v>
      </c>
      <c r="Y293" s="1"/>
      <c r="Z293" s="1"/>
      <c r="AA293" s="1" t="s">
        <v>21</v>
      </c>
      <c r="AB293" s="17">
        <v>45702</v>
      </c>
      <c r="AC293" s="18" t="s">
        <v>1049</v>
      </c>
      <c r="AD293" s="126" t="s">
        <v>1344</v>
      </c>
      <c r="AE293" s="126" t="s">
        <v>1126</v>
      </c>
      <c r="AF293" s="51">
        <v>1</v>
      </c>
      <c r="AG293" s="10"/>
      <c r="AM293"/>
    </row>
    <row r="294" spans="2:39" ht="15" hidden="1" customHeight="1" x14ac:dyDescent="0.25">
      <c r="B294" s="1">
        <v>282</v>
      </c>
      <c r="C294" s="1">
        <v>0</v>
      </c>
      <c r="D294" s="1" t="s">
        <v>386</v>
      </c>
      <c r="E294" s="1" t="s">
        <v>294</v>
      </c>
      <c r="F294" s="1" t="s">
        <v>57</v>
      </c>
      <c r="G294" s="1"/>
      <c r="H294" s="1" t="s">
        <v>334</v>
      </c>
      <c r="I294" s="1"/>
      <c r="J294" s="1" t="s">
        <v>86</v>
      </c>
      <c r="K294" s="1" t="s">
        <v>12</v>
      </c>
      <c r="L294" s="1" t="s">
        <v>453</v>
      </c>
      <c r="M294" s="1">
        <v>0</v>
      </c>
      <c r="N294" s="1">
        <v>0</v>
      </c>
      <c r="O294" s="1">
        <v>0</v>
      </c>
      <c r="P294" s="1">
        <v>0</v>
      </c>
      <c r="Q294" s="1">
        <v>3</v>
      </c>
      <c r="R294" s="1">
        <v>0</v>
      </c>
      <c r="S294" s="1">
        <v>0</v>
      </c>
      <c r="T294" s="1">
        <v>0</v>
      </c>
      <c r="U294" s="1"/>
      <c r="V294" s="1"/>
      <c r="W294" s="1"/>
      <c r="X294" s="1"/>
      <c r="Y294" s="1"/>
      <c r="Z294" s="1" t="s">
        <v>21</v>
      </c>
      <c r="AA294" s="1" t="s">
        <v>32</v>
      </c>
      <c r="AB294" s="17"/>
      <c r="AC294" s="18"/>
      <c r="AD294" s="125"/>
      <c r="AE294" s="125"/>
      <c r="AF294" s="95">
        <v>0.5</v>
      </c>
      <c r="AG294" s="10"/>
      <c r="AH294" s="10"/>
      <c r="AM294"/>
    </row>
    <row r="295" spans="2:39" ht="15" hidden="1" customHeight="1" x14ac:dyDescent="0.25">
      <c r="B295" s="1">
        <v>283</v>
      </c>
      <c r="C295" s="1">
        <v>0</v>
      </c>
      <c r="D295" s="1" t="s">
        <v>386</v>
      </c>
      <c r="E295" s="1" t="s">
        <v>294</v>
      </c>
      <c r="F295" s="1" t="s">
        <v>57</v>
      </c>
      <c r="G295" s="1" t="s">
        <v>250</v>
      </c>
      <c r="H295" s="1" t="s">
        <v>384</v>
      </c>
      <c r="I295" s="1"/>
      <c r="J295" s="1" t="s">
        <v>85</v>
      </c>
      <c r="K295" s="1" t="s">
        <v>453</v>
      </c>
      <c r="L295" s="1" t="s">
        <v>12</v>
      </c>
      <c r="M295" s="1">
        <v>0</v>
      </c>
      <c r="N295" s="1">
        <v>0</v>
      </c>
      <c r="O295" s="1">
        <v>0</v>
      </c>
      <c r="P295" s="1">
        <v>0</v>
      </c>
      <c r="Q295" s="1">
        <v>4</v>
      </c>
      <c r="R295" s="1"/>
      <c r="S295" s="1"/>
      <c r="T295" s="1"/>
      <c r="U295" s="1"/>
      <c r="V295" s="1"/>
      <c r="W295" s="1"/>
      <c r="X295" s="1">
        <v>0</v>
      </c>
      <c r="Y295" s="1"/>
      <c r="Z295" s="1" t="s">
        <v>32</v>
      </c>
      <c r="AA295" s="1" t="s">
        <v>32</v>
      </c>
      <c r="AB295" s="17"/>
      <c r="AC295" s="18"/>
      <c r="AD295" s="125"/>
      <c r="AE295" s="126" t="s">
        <v>1113</v>
      </c>
      <c r="AF295" s="51">
        <v>0.9</v>
      </c>
      <c r="AG295" s="10"/>
      <c r="AM295"/>
    </row>
    <row r="296" spans="2:39" ht="15" hidden="1" customHeight="1" x14ac:dyDescent="0.25">
      <c r="B296" s="1">
        <v>284</v>
      </c>
      <c r="C296" s="1">
        <v>0</v>
      </c>
      <c r="D296" s="1" t="s">
        <v>386</v>
      </c>
      <c r="E296" s="1" t="s">
        <v>294</v>
      </c>
      <c r="F296" s="1" t="s">
        <v>57</v>
      </c>
      <c r="G296" s="1" t="s">
        <v>250</v>
      </c>
      <c r="H296" s="1" t="s">
        <v>455</v>
      </c>
      <c r="I296" s="1"/>
      <c r="J296" s="1" t="s">
        <v>87</v>
      </c>
      <c r="K296" s="1" t="s">
        <v>453</v>
      </c>
      <c r="L296" s="1" t="s">
        <v>12</v>
      </c>
      <c r="M296" s="1">
        <v>0</v>
      </c>
      <c r="N296" s="1">
        <v>0</v>
      </c>
      <c r="O296" s="1">
        <v>0</v>
      </c>
      <c r="P296" s="1">
        <v>0</v>
      </c>
      <c r="Q296" s="1">
        <v>4</v>
      </c>
      <c r="R296" s="1"/>
      <c r="S296" s="1"/>
      <c r="T296" s="1"/>
      <c r="U296" s="1"/>
      <c r="V296" s="1"/>
      <c r="W296" s="1"/>
      <c r="X296" s="1">
        <v>0</v>
      </c>
      <c r="Y296" s="1"/>
      <c r="Z296" s="1" t="s">
        <v>32</v>
      </c>
      <c r="AA296" s="1" t="s">
        <v>32</v>
      </c>
      <c r="AB296" s="17"/>
      <c r="AC296" s="18"/>
      <c r="AD296" s="125"/>
      <c r="AE296" s="126" t="s">
        <v>1113</v>
      </c>
      <c r="AF296" s="51">
        <v>0.9</v>
      </c>
      <c r="AG296" s="10"/>
      <c r="AM296"/>
    </row>
    <row r="297" spans="2:39" hidden="1" x14ac:dyDescent="0.25">
      <c r="B297" s="1">
        <v>285</v>
      </c>
      <c r="C297" s="1">
        <v>0</v>
      </c>
      <c r="D297" s="1" t="s">
        <v>386</v>
      </c>
      <c r="E297" s="1" t="s">
        <v>294</v>
      </c>
      <c r="F297" s="1" t="s">
        <v>57</v>
      </c>
      <c r="G297" s="1" t="s">
        <v>250</v>
      </c>
      <c r="H297" s="1" t="s">
        <v>456</v>
      </c>
      <c r="I297" s="1"/>
      <c r="J297" s="1" t="s">
        <v>86</v>
      </c>
      <c r="K297" s="1" t="s">
        <v>453</v>
      </c>
      <c r="L297" s="1" t="s">
        <v>453</v>
      </c>
      <c r="M297" s="1">
        <v>0</v>
      </c>
      <c r="N297" s="1">
        <v>0</v>
      </c>
      <c r="O297" s="1">
        <v>0</v>
      </c>
      <c r="P297" s="1">
        <v>0</v>
      </c>
      <c r="Q297" s="1">
        <v>4</v>
      </c>
      <c r="R297" s="1"/>
      <c r="S297" s="1"/>
      <c r="T297" s="1"/>
      <c r="U297" s="1"/>
      <c r="V297" s="1"/>
      <c r="W297" s="1"/>
      <c r="X297" s="1">
        <v>0</v>
      </c>
      <c r="Y297" s="1"/>
      <c r="Z297" s="1" t="s">
        <v>32</v>
      </c>
      <c r="AA297" s="1" t="s">
        <v>32</v>
      </c>
      <c r="AB297" s="17"/>
      <c r="AC297" s="18"/>
      <c r="AD297" s="125"/>
      <c r="AE297" s="126" t="s">
        <v>1112</v>
      </c>
      <c r="AF297" s="60">
        <v>0.8</v>
      </c>
      <c r="AG297" s="10"/>
      <c r="AH297" s="10"/>
      <c r="AM297"/>
    </row>
    <row r="298" spans="2:39" hidden="1" x14ac:dyDescent="0.25">
      <c r="B298" s="1">
        <v>286</v>
      </c>
      <c r="C298" s="1">
        <v>0</v>
      </c>
      <c r="D298" s="1" t="s">
        <v>386</v>
      </c>
      <c r="E298" s="1" t="s">
        <v>294</v>
      </c>
      <c r="F298" s="1" t="s">
        <v>57</v>
      </c>
      <c r="G298" s="1" t="s">
        <v>250</v>
      </c>
      <c r="H298" s="1" t="s">
        <v>1110</v>
      </c>
      <c r="I298" s="1"/>
      <c r="J298" s="1" t="s">
        <v>86</v>
      </c>
      <c r="K298" s="1" t="s">
        <v>453</v>
      </c>
      <c r="L298" s="1" t="s">
        <v>453</v>
      </c>
      <c r="M298" s="1">
        <v>0</v>
      </c>
      <c r="N298" s="1">
        <v>0</v>
      </c>
      <c r="O298" s="1">
        <v>0</v>
      </c>
      <c r="P298" s="1">
        <v>0</v>
      </c>
      <c r="Q298" s="1">
        <v>4</v>
      </c>
      <c r="R298" s="1"/>
      <c r="S298" s="1"/>
      <c r="T298" s="1"/>
      <c r="U298" s="1"/>
      <c r="V298" s="1"/>
      <c r="W298" s="1"/>
      <c r="X298" s="1">
        <v>0</v>
      </c>
      <c r="Y298" s="1"/>
      <c r="Z298" s="1" t="s">
        <v>32</v>
      </c>
      <c r="AA298" s="1" t="s">
        <v>32</v>
      </c>
      <c r="AB298" s="17"/>
      <c r="AC298" s="18"/>
      <c r="AD298" s="125"/>
      <c r="AE298" s="126" t="s">
        <v>1111</v>
      </c>
      <c r="AF298" s="60">
        <v>0.8</v>
      </c>
      <c r="AG298" s="10"/>
      <c r="AH298" s="10"/>
      <c r="AM298"/>
    </row>
    <row r="299" spans="2:39" hidden="1" x14ac:dyDescent="0.25">
      <c r="B299" s="1">
        <v>287</v>
      </c>
      <c r="C299" s="1">
        <v>0</v>
      </c>
      <c r="D299" s="1" t="s">
        <v>386</v>
      </c>
      <c r="E299" s="1" t="s">
        <v>294</v>
      </c>
      <c r="F299" s="1" t="s">
        <v>57</v>
      </c>
      <c r="G299" s="1" t="s">
        <v>250</v>
      </c>
      <c r="H299" s="1" t="s">
        <v>465</v>
      </c>
      <c r="I299" s="1"/>
      <c r="J299" s="1" t="s">
        <v>466</v>
      </c>
      <c r="K299" s="1" t="s">
        <v>453</v>
      </c>
      <c r="L299" s="1" t="s">
        <v>453</v>
      </c>
      <c r="M299" s="1">
        <v>0</v>
      </c>
      <c r="N299" s="1">
        <v>0</v>
      </c>
      <c r="O299" s="1">
        <v>0</v>
      </c>
      <c r="P299" s="1">
        <v>0</v>
      </c>
      <c r="Q299" s="1">
        <v>4</v>
      </c>
      <c r="R299" s="1"/>
      <c r="S299" s="1"/>
      <c r="T299" s="1"/>
      <c r="U299" s="1"/>
      <c r="V299" s="1"/>
      <c r="W299" s="1"/>
      <c r="X299" s="1">
        <v>0</v>
      </c>
      <c r="Y299" s="1"/>
      <c r="Z299" s="1" t="s">
        <v>32</v>
      </c>
      <c r="AA299" s="1" t="s">
        <v>32</v>
      </c>
      <c r="AB299" s="17"/>
      <c r="AC299" s="18"/>
      <c r="AD299" s="125"/>
      <c r="AE299" s="126" t="s">
        <v>1109</v>
      </c>
      <c r="AF299" s="62">
        <v>0.9</v>
      </c>
      <c r="AG299" s="10"/>
      <c r="AH299" s="10"/>
      <c r="AM299"/>
    </row>
    <row r="300" spans="2:39" hidden="1" x14ac:dyDescent="0.25">
      <c r="B300" s="1">
        <v>288</v>
      </c>
      <c r="C300" s="1">
        <v>0</v>
      </c>
      <c r="D300" s="1" t="s">
        <v>386</v>
      </c>
      <c r="E300" s="1" t="s">
        <v>294</v>
      </c>
      <c r="F300" s="1" t="s">
        <v>57</v>
      </c>
      <c r="G300" s="1" t="s">
        <v>250</v>
      </c>
      <c r="H300" s="1" t="s">
        <v>337</v>
      </c>
      <c r="I300" s="1"/>
      <c r="J300" s="1" t="s">
        <v>87</v>
      </c>
      <c r="K300" s="1" t="s">
        <v>453</v>
      </c>
      <c r="L300" s="1" t="s">
        <v>12</v>
      </c>
      <c r="M300" s="1">
        <v>0</v>
      </c>
      <c r="N300" s="1">
        <v>0</v>
      </c>
      <c r="O300" s="1">
        <v>0</v>
      </c>
      <c r="P300" s="1">
        <v>0</v>
      </c>
      <c r="Q300" s="1">
        <v>4</v>
      </c>
      <c r="R300" s="1"/>
      <c r="S300" s="1"/>
      <c r="T300" s="1"/>
      <c r="U300" s="1"/>
      <c r="V300" s="1"/>
      <c r="W300" s="1"/>
      <c r="X300" s="1">
        <v>0</v>
      </c>
      <c r="Y300" s="1"/>
      <c r="Z300" s="1" t="s">
        <v>32</v>
      </c>
      <c r="AA300" s="1" t="s">
        <v>32</v>
      </c>
      <c r="AB300" s="17"/>
      <c r="AC300" s="18"/>
      <c r="AD300" s="125"/>
      <c r="AE300" s="126" t="s">
        <v>1108</v>
      </c>
      <c r="AF300" s="60">
        <v>0.8</v>
      </c>
      <c r="AG300" s="10"/>
      <c r="AH300" s="10"/>
      <c r="AM300"/>
    </row>
    <row r="301" spans="2:39" hidden="1" x14ac:dyDescent="0.25">
      <c r="B301" s="1">
        <v>289</v>
      </c>
      <c r="C301" s="1">
        <v>0</v>
      </c>
      <c r="D301" s="1" t="s">
        <v>386</v>
      </c>
      <c r="E301" s="1" t="s">
        <v>294</v>
      </c>
      <c r="F301" s="1" t="s">
        <v>57</v>
      </c>
      <c r="G301" s="1" t="s">
        <v>250</v>
      </c>
      <c r="H301" s="1" t="s">
        <v>338</v>
      </c>
      <c r="I301" s="1"/>
      <c r="J301" s="1" t="s">
        <v>86</v>
      </c>
      <c r="K301" s="1" t="s">
        <v>453</v>
      </c>
      <c r="L301" s="1" t="s">
        <v>12</v>
      </c>
      <c r="M301" s="1">
        <v>0</v>
      </c>
      <c r="N301" s="1">
        <v>0</v>
      </c>
      <c r="O301" s="1">
        <v>0</v>
      </c>
      <c r="P301" s="1">
        <v>0</v>
      </c>
      <c r="Q301" s="1">
        <v>4</v>
      </c>
      <c r="R301" s="1"/>
      <c r="S301" s="1"/>
      <c r="T301" s="1"/>
      <c r="U301" s="1"/>
      <c r="V301" s="1"/>
      <c r="W301" s="1"/>
      <c r="X301" s="1">
        <v>0</v>
      </c>
      <c r="Y301" s="1"/>
      <c r="Z301" s="1" t="s">
        <v>32</v>
      </c>
      <c r="AA301" s="1" t="s">
        <v>32</v>
      </c>
      <c r="AB301" s="17"/>
      <c r="AC301" s="18"/>
      <c r="AD301" s="125"/>
      <c r="AE301" s="126" t="s">
        <v>1107</v>
      </c>
      <c r="AF301" s="62">
        <v>0.9</v>
      </c>
      <c r="AG301" s="10"/>
      <c r="AH301" s="10"/>
      <c r="AM301"/>
    </row>
    <row r="302" spans="2:39" hidden="1" x14ac:dyDescent="0.25">
      <c r="B302" s="1">
        <v>290</v>
      </c>
      <c r="C302" s="1">
        <v>0</v>
      </c>
      <c r="D302" s="1" t="s">
        <v>185</v>
      </c>
      <c r="E302" s="1" t="s">
        <v>347</v>
      </c>
      <c r="F302" s="1" t="s">
        <v>345</v>
      </c>
      <c r="G302" s="1" t="s">
        <v>345</v>
      </c>
      <c r="H302" s="1" t="s">
        <v>344</v>
      </c>
      <c r="I302" s="1"/>
      <c r="J302" s="1" t="s">
        <v>87</v>
      </c>
      <c r="K302" s="1" t="s">
        <v>486</v>
      </c>
      <c r="L302" s="1" t="s">
        <v>502</v>
      </c>
      <c r="M302" s="1">
        <v>0</v>
      </c>
      <c r="N302" s="1">
        <v>4</v>
      </c>
      <c r="O302" s="1">
        <v>4</v>
      </c>
      <c r="P302" s="1">
        <v>0</v>
      </c>
      <c r="Q302" s="1"/>
      <c r="R302" s="1"/>
      <c r="S302" s="1"/>
      <c r="T302" s="1"/>
      <c r="U302" s="1"/>
      <c r="V302" s="1"/>
      <c r="W302" s="1"/>
      <c r="X302" s="1"/>
      <c r="Y302" s="1"/>
      <c r="Z302" s="1" t="s">
        <v>32</v>
      </c>
      <c r="AA302" s="1" t="s">
        <v>32</v>
      </c>
      <c r="AB302" s="17"/>
      <c r="AC302" s="18"/>
      <c r="AD302" s="125"/>
      <c r="AE302" s="125"/>
      <c r="AF302" s="51"/>
      <c r="AG302" s="10" t="s">
        <v>348</v>
      </c>
      <c r="AH302" s="10"/>
      <c r="AM302"/>
    </row>
    <row r="303" spans="2:39" ht="15" hidden="1" customHeight="1" x14ac:dyDescent="0.25">
      <c r="B303" s="1">
        <v>291</v>
      </c>
      <c r="C303" s="1">
        <v>0</v>
      </c>
      <c r="D303" s="1" t="s">
        <v>185</v>
      </c>
      <c r="E303" s="1" t="s">
        <v>517</v>
      </c>
      <c r="F303" s="1" t="s">
        <v>345</v>
      </c>
      <c r="G303" s="1" t="s">
        <v>345</v>
      </c>
      <c r="H303" s="1" t="s">
        <v>344</v>
      </c>
      <c r="I303" s="1"/>
      <c r="J303" s="1" t="s">
        <v>87</v>
      </c>
      <c r="K303" s="1" t="s">
        <v>486</v>
      </c>
      <c r="L303" s="1" t="s">
        <v>502</v>
      </c>
      <c r="M303" s="1">
        <v>0</v>
      </c>
      <c r="N303" s="1">
        <v>4</v>
      </c>
      <c r="O303" s="1">
        <v>4</v>
      </c>
      <c r="P303" s="1">
        <v>0</v>
      </c>
      <c r="Q303" s="1"/>
      <c r="R303" s="1"/>
      <c r="S303" s="35"/>
      <c r="T303" s="35"/>
      <c r="U303" s="1"/>
      <c r="V303" s="1"/>
      <c r="W303" s="1"/>
      <c r="X303" s="1"/>
      <c r="Y303" s="1"/>
      <c r="Z303" s="1" t="s">
        <v>32</v>
      </c>
      <c r="AA303" s="1" t="s">
        <v>32</v>
      </c>
      <c r="AB303" s="17"/>
      <c r="AC303" s="18"/>
      <c r="AD303" s="125"/>
      <c r="AE303" s="125"/>
      <c r="AF303" s="51"/>
      <c r="AG303" s="10" t="s">
        <v>348</v>
      </c>
      <c r="AM303"/>
    </row>
    <row r="304" spans="2:39" ht="15" hidden="1" customHeight="1" x14ac:dyDescent="0.25">
      <c r="B304" s="1">
        <v>292</v>
      </c>
      <c r="C304" s="1">
        <v>0</v>
      </c>
      <c r="D304" s="1" t="s">
        <v>185</v>
      </c>
      <c r="E304" s="1" t="s">
        <v>518</v>
      </c>
      <c r="F304" s="1" t="s">
        <v>345</v>
      </c>
      <c r="G304" s="1" t="s">
        <v>345</v>
      </c>
      <c r="H304" s="1" t="s">
        <v>344</v>
      </c>
      <c r="I304" s="1"/>
      <c r="J304" s="1" t="s">
        <v>87</v>
      </c>
      <c r="K304" s="1" t="s">
        <v>486</v>
      </c>
      <c r="L304" s="1" t="s">
        <v>502</v>
      </c>
      <c r="M304" s="1">
        <v>0</v>
      </c>
      <c r="N304" s="1">
        <v>4</v>
      </c>
      <c r="O304" s="1">
        <v>4</v>
      </c>
      <c r="P304" s="1">
        <v>0</v>
      </c>
      <c r="Q304" s="1"/>
      <c r="R304" s="1"/>
      <c r="S304" s="35"/>
      <c r="T304" s="35"/>
      <c r="U304" s="1"/>
      <c r="V304" s="1"/>
      <c r="W304" s="1"/>
      <c r="X304" s="1"/>
      <c r="Y304" s="1"/>
      <c r="Z304" s="1" t="s">
        <v>32</v>
      </c>
      <c r="AA304" s="1" t="s">
        <v>32</v>
      </c>
      <c r="AB304" s="17"/>
      <c r="AC304" s="18"/>
      <c r="AD304" s="125"/>
      <c r="AE304" s="125"/>
      <c r="AF304" s="51"/>
      <c r="AG304" s="10" t="s">
        <v>348</v>
      </c>
      <c r="AM304"/>
    </row>
    <row r="305" spans="2:39" hidden="1" x14ac:dyDescent="0.25">
      <c r="B305" s="1">
        <v>293</v>
      </c>
      <c r="C305" s="1">
        <v>0</v>
      </c>
      <c r="D305" s="1" t="s">
        <v>185</v>
      </c>
      <c r="E305" s="1" t="s">
        <v>520</v>
      </c>
      <c r="F305" s="1" t="s">
        <v>345</v>
      </c>
      <c r="G305" s="1" t="s">
        <v>345</v>
      </c>
      <c r="H305" s="1" t="s">
        <v>344</v>
      </c>
      <c r="I305" s="1"/>
      <c r="J305" s="1" t="s">
        <v>87</v>
      </c>
      <c r="K305" s="1" t="s">
        <v>486</v>
      </c>
      <c r="L305" s="1" t="s">
        <v>502</v>
      </c>
      <c r="M305" s="1">
        <v>0</v>
      </c>
      <c r="N305" s="1">
        <v>4</v>
      </c>
      <c r="O305" s="1">
        <v>4</v>
      </c>
      <c r="P305" s="1">
        <v>0</v>
      </c>
      <c r="Q305" s="1"/>
      <c r="R305" s="1"/>
      <c r="S305" s="35"/>
      <c r="T305" s="35"/>
      <c r="U305" s="1"/>
      <c r="V305" s="1"/>
      <c r="W305" s="1"/>
      <c r="X305" s="1"/>
      <c r="Y305" s="1"/>
      <c r="Z305" s="1" t="s">
        <v>32</v>
      </c>
      <c r="AA305" s="1" t="s">
        <v>32</v>
      </c>
      <c r="AB305" s="17"/>
      <c r="AC305" s="18"/>
      <c r="AD305" s="125"/>
      <c r="AE305" s="125"/>
      <c r="AF305" s="51"/>
      <c r="AG305" s="10" t="s">
        <v>348</v>
      </c>
      <c r="AH305" s="10"/>
      <c r="AM305"/>
    </row>
    <row r="306" spans="2:39" ht="15" customHeight="1" x14ac:dyDescent="0.25">
      <c r="B306" s="1">
        <v>294</v>
      </c>
      <c r="C306" s="1">
        <v>1</v>
      </c>
      <c r="D306" s="1" t="s">
        <v>212</v>
      </c>
      <c r="E306" s="1" t="s">
        <v>101</v>
      </c>
      <c r="F306" s="1" t="s">
        <v>282</v>
      </c>
      <c r="G306" s="1" t="s">
        <v>282</v>
      </c>
      <c r="H306" s="1" t="s">
        <v>357</v>
      </c>
      <c r="I306" s="1"/>
      <c r="J306" s="1" t="s">
        <v>85</v>
      </c>
      <c r="K306" s="1" t="s">
        <v>408</v>
      </c>
      <c r="L306" s="1" t="s">
        <v>1317</v>
      </c>
      <c r="M306" s="1">
        <v>0</v>
      </c>
      <c r="N306" s="1">
        <v>0</v>
      </c>
      <c r="O306" s="1">
        <v>0</v>
      </c>
      <c r="P306" s="1">
        <v>0</v>
      </c>
      <c r="Q306" s="1">
        <v>0</v>
      </c>
      <c r="R306" s="1">
        <v>0</v>
      </c>
      <c r="S306" s="1">
        <v>4</v>
      </c>
      <c r="T306" s="1">
        <v>3</v>
      </c>
      <c r="U306" s="1">
        <v>0</v>
      </c>
      <c r="V306" s="1">
        <v>3</v>
      </c>
      <c r="W306" s="1">
        <v>3</v>
      </c>
      <c r="X306" s="1">
        <v>0</v>
      </c>
      <c r="Y306" s="1"/>
      <c r="Z306" s="1"/>
      <c r="AA306" s="1" t="s">
        <v>21</v>
      </c>
      <c r="AB306" s="17">
        <v>45702</v>
      </c>
      <c r="AC306" s="18" t="s">
        <v>1049</v>
      </c>
      <c r="AD306" s="126" t="s">
        <v>1344</v>
      </c>
      <c r="AE306" s="126" t="s">
        <v>1126</v>
      </c>
      <c r="AF306" s="51">
        <v>0.9</v>
      </c>
      <c r="AG306" s="10"/>
      <c r="AH306" s="10"/>
      <c r="AM306"/>
    </row>
    <row r="307" spans="2:39" ht="15" customHeight="1" x14ac:dyDescent="0.25">
      <c r="B307" s="1">
        <v>295</v>
      </c>
      <c r="C307" s="1">
        <v>1</v>
      </c>
      <c r="D307" s="1" t="s">
        <v>212</v>
      </c>
      <c r="E307" s="1" t="s">
        <v>101</v>
      </c>
      <c r="F307" s="1" t="s">
        <v>282</v>
      </c>
      <c r="G307" s="1" t="s">
        <v>282</v>
      </c>
      <c r="H307" s="1" t="s">
        <v>361</v>
      </c>
      <c r="I307" s="1"/>
      <c r="J307" s="1" t="s">
        <v>86</v>
      </c>
      <c r="K307" s="1" t="s">
        <v>408</v>
      </c>
      <c r="L307" s="1" t="s">
        <v>1317</v>
      </c>
      <c r="M307" s="1">
        <v>0</v>
      </c>
      <c r="N307" s="1">
        <v>0</v>
      </c>
      <c r="O307" s="1">
        <v>0</v>
      </c>
      <c r="P307" s="1">
        <v>0</v>
      </c>
      <c r="Q307" s="1">
        <v>0</v>
      </c>
      <c r="R307" s="1">
        <v>0</v>
      </c>
      <c r="S307" s="1">
        <v>4</v>
      </c>
      <c r="T307" s="1">
        <v>3</v>
      </c>
      <c r="U307" s="1">
        <v>0</v>
      </c>
      <c r="V307" s="1">
        <v>3</v>
      </c>
      <c r="W307" s="1">
        <v>3</v>
      </c>
      <c r="X307" s="1">
        <v>0</v>
      </c>
      <c r="Y307" s="1"/>
      <c r="Z307" s="1"/>
      <c r="AA307" s="1" t="s">
        <v>21</v>
      </c>
      <c r="AB307" s="17">
        <v>45702</v>
      </c>
      <c r="AC307" s="18" t="s">
        <v>1049</v>
      </c>
      <c r="AD307" s="126" t="s">
        <v>1344</v>
      </c>
      <c r="AE307" s="126" t="s">
        <v>1342</v>
      </c>
      <c r="AF307" s="51">
        <v>0.5</v>
      </c>
      <c r="AG307" s="10"/>
      <c r="AM307"/>
    </row>
    <row r="308" spans="2:39" ht="15" customHeight="1" x14ac:dyDescent="0.25">
      <c r="B308" s="1">
        <v>296</v>
      </c>
      <c r="C308" s="1">
        <v>1</v>
      </c>
      <c r="D308" s="1" t="s">
        <v>383</v>
      </c>
      <c r="E308" s="1" t="s">
        <v>1141</v>
      </c>
      <c r="F308" s="1" t="s">
        <v>113</v>
      </c>
      <c r="G308" s="1"/>
      <c r="H308" s="1" t="s">
        <v>374</v>
      </c>
      <c r="I308" s="1"/>
      <c r="J308" s="1" t="s">
        <v>85</v>
      </c>
      <c r="K308" s="1" t="s">
        <v>165</v>
      </c>
      <c r="L308" s="1" t="s">
        <v>491</v>
      </c>
      <c r="M308" s="35">
        <v>0</v>
      </c>
      <c r="N308" s="35">
        <v>0</v>
      </c>
      <c r="O308" s="35">
        <v>0</v>
      </c>
      <c r="P308" s="36">
        <v>4</v>
      </c>
      <c r="Q308" s="1">
        <v>0</v>
      </c>
      <c r="R308" s="1">
        <v>0</v>
      </c>
      <c r="S308" s="1">
        <v>0</v>
      </c>
      <c r="T308" s="1">
        <v>0</v>
      </c>
      <c r="U308" s="1"/>
      <c r="V308" s="1"/>
      <c r="W308" s="1"/>
      <c r="X308" s="1">
        <v>0</v>
      </c>
      <c r="Y308" s="1"/>
      <c r="Z308" s="1" t="s">
        <v>21</v>
      </c>
      <c r="AA308" s="1" t="s">
        <v>21</v>
      </c>
      <c r="AB308" s="17"/>
      <c r="AC308" s="18" t="s">
        <v>417</v>
      </c>
      <c r="AD308" s="126" t="s">
        <v>1157</v>
      </c>
      <c r="AE308" s="126" t="s">
        <v>1158</v>
      </c>
      <c r="AF308" s="60">
        <v>0.8</v>
      </c>
      <c r="AG308" s="10"/>
      <c r="AM308"/>
    </row>
    <row r="309" spans="2:39" ht="15" customHeight="1" x14ac:dyDescent="0.25">
      <c r="B309" s="1">
        <v>297</v>
      </c>
      <c r="C309" s="1">
        <v>1</v>
      </c>
      <c r="D309" s="1" t="s">
        <v>383</v>
      </c>
      <c r="E309" s="10" t="s">
        <v>382</v>
      </c>
      <c r="F309" s="1" t="s">
        <v>113</v>
      </c>
      <c r="G309" s="1"/>
      <c r="H309" s="1" t="s">
        <v>375</v>
      </c>
      <c r="I309" s="1"/>
      <c r="J309" s="1" t="s">
        <v>87</v>
      </c>
      <c r="K309" s="1" t="s">
        <v>165</v>
      </c>
      <c r="L309" s="1" t="s">
        <v>491</v>
      </c>
      <c r="M309" s="35">
        <v>0</v>
      </c>
      <c r="N309" s="35">
        <v>0</v>
      </c>
      <c r="O309" s="35">
        <v>0</v>
      </c>
      <c r="P309" s="36">
        <v>4</v>
      </c>
      <c r="Q309" s="1">
        <v>0</v>
      </c>
      <c r="R309" s="1">
        <v>3</v>
      </c>
      <c r="S309" s="1">
        <v>0</v>
      </c>
      <c r="T309" s="1">
        <v>3</v>
      </c>
      <c r="U309" s="1"/>
      <c r="V309" s="1"/>
      <c r="W309" s="1"/>
      <c r="X309" s="1">
        <v>0</v>
      </c>
      <c r="Y309" s="1"/>
      <c r="Z309" s="1" t="s">
        <v>21</v>
      </c>
      <c r="AA309" s="1" t="s">
        <v>21</v>
      </c>
      <c r="AB309" s="17"/>
      <c r="AC309" s="18" t="s">
        <v>417</v>
      </c>
      <c r="AD309" s="126" t="s">
        <v>1157</v>
      </c>
      <c r="AE309" s="126" t="s">
        <v>1159</v>
      </c>
      <c r="AF309" s="62">
        <v>0.9</v>
      </c>
      <c r="AG309" s="10"/>
      <c r="AM309"/>
    </row>
    <row r="310" spans="2:39" x14ac:dyDescent="0.25">
      <c r="B310" s="1">
        <v>298</v>
      </c>
      <c r="C310" s="1">
        <v>1</v>
      </c>
      <c r="D310" s="1" t="s">
        <v>383</v>
      </c>
      <c r="E310" s="1" t="s">
        <v>381</v>
      </c>
      <c r="F310" s="1" t="s">
        <v>380</v>
      </c>
      <c r="G310" s="1"/>
      <c r="H310" s="1" t="s">
        <v>376</v>
      </c>
      <c r="I310" s="1"/>
      <c r="J310" s="1" t="s">
        <v>85</v>
      </c>
      <c r="K310" s="1" t="s">
        <v>165</v>
      </c>
      <c r="L310" s="1" t="s">
        <v>491</v>
      </c>
      <c r="M310" s="35">
        <v>0</v>
      </c>
      <c r="N310" s="35">
        <v>0</v>
      </c>
      <c r="O310" s="35">
        <v>0</v>
      </c>
      <c r="P310" s="36">
        <v>4</v>
      </c>
      <c r="Q310" s="1">
        <v>0</v>
      </c>
      <c r="R310" s="1">
        <v>3</v>
      </c>
      <c r="S310" s="1">
        <v>0</v>
      </c>
      <c r="T310" s="1">
        <v>3</v>
      </c>
      <c r="U310" s="1"/>
      <c r="V310" s="1"/>
      <c r="W310" s="1"/>
      <c r="X310" s="1">
        <v>0</v>
      </c>
      <c r="Y310" s="1"/>
      <c r="Z310" s="1" t="s">
        <v>21</v>
      </c>
      <c r="AA310" s="1" t="s">
        <v>21</v>
      </c>
      <c r="AB310" s="17"/>
      <c r="AC310" s="18" t="s">
        <v>417</v>
      </c>
      <c r="AD310" s="126" t="s">
        <v>1157</v>
      </c>
      <c r="AE310" s="126" t="s">
        <v>1160</v>
      </c>
      <c r="AF310" s="62">
        <v>0.9</v>
      </c>
      <c r="AG310" s="10"/>
      <c r="AH310" s="10"/>
      <c r="AM310"/>
    </row>
    <row r="311" spans="2:39" x14ac:dyDescent="0.25">
      <c r="B311" s="1">
        <v>299</v>
      </c>
      <c r="C311" s="1">
        <v>1</v>
      </c>
      <c r="D311" s="1" t="s">
        <v>383</v>
      </c>
      <c r="E311" s="1" t="s">
        <v>381</v>
      </c>
      <c r="F311" s="1" t="s">
        <v>419</v>
      </c>
      <c r="G311" s="1"/>
      <c r="H311" s="1" t="s">
        <v>418</v>
      </c>
      <c r="I311" s="1"/>
      <c r="J311" s="1" t="s">
        <v>85</v>
      </c>
      <c r="K311" s="1" t="s">
        <v>165</v>
      </c>
      <c r="L311" s="1" t="s">
        <v>491</v>
      </c>
      <c r="M311" s="35">
        <v>0</v>
      </c>
      <c r="N311" s="35">
        <v>0</v>
      </c>
      <c r="O311" s="35">
        <v>0</v>
      </c>
      <c r="P311" s="36">
        <v>4</v>
      </c>
      <c r="Q311" s="35">
        <v>0</v>
      </c>
      <c r="R311" s="1">
        <v>3</v>
      </c>
      <c r="S311" s="35">
        <v>0</v>
      </c>
      <c r="T311" s="35">
        <v>3</v>
      </c>
      <c r="U311" s="1"/>
      <c r="V311" s="1"/>
      <c r="W311" s="1"/>
      <c r="X311" s="1">
        <v>0</v>
      </c>
      <c r="Y311" s="1"/>
      <c r="Z311" s="1" t="s">
        <v>21</v>
      </c>
      <c r="AA311" s="1" t="s">
        <v>21</v>
      </c>
      <c r="AB311" s="17"/>
      <c r="AC311" s="18" t="s">
        <v>417</v>
      </c>
      <c r="AD311" s="126" t="s">
        <v>1157</v>
      </c>
      <c r="AE311" s="126" t="s">
        <v>1163</v>
      </c>
      <c r="AF311" s="60">
        <v>0.8</v>
      </c>
      <c r="AG311" s="10"/>
      <c r="AH311" s="10"/>
      <c r="AM311"/>
    </row>
    <row r="312" spans="2:39" x14ac:dyDescent="0.25">
      <c r="B312" s="1">
        <v>300</v>
      </c>
      <c r="C312" s="1">
        <v>1</v>
      </c>
      <c r="D312" s="1" t="s">
        <v>383</v>
      </c>
      <c r="E312" s="1" t="s">
        <v>381</v>
      </c>
      <c r="F312" s="1" t="s">
        <v>380</v>
      </c>
      <c r="G312" s="1"/>
      <c r="H312" s="1" t="s">
        <v>192</v>
      </c>
      <c r="I312" s="1"/>
      <c r="J312" s="1" t="s">
        <v>85</v>
      </c>
      <c r="K312" s="1" t="s">
        <v>165</v>
      </c>
      <c r="L312" s="1" t="s">
        <v>491</v>
      </c>
      <c r="M312" s="35">
        <v>0</v>
      </c>
      <c r="N312" s="35">
        <v>0</v>
      </c>
      <c r="O312" s="35">
        <v>0</v>
      </c>
      <c r="P312" s="36">
        <v>4</v>
      </c>
      <c r="Q312" s="1">
        <v>0</v>
      </c>
      <c r="R312" s="1">
        <v>3</v>
      </c>
      <c r="S312" s="1">
        <v>0</v>
      </c>
      <c r="T312" s="1">
        <v>3</v>
      </c>
      <c r="U312" s="1"/>
      <c r="V312" s="1"/>
      <c r="W312" s="1"/>
      <c r="X312" s="1">
        <v>0</v>
      </c>
      <c r="Y312" s="1"/>
      <c r="Z312" s="1" t="s">
        <v>21</v>
      </c>
      <c r="AA312" s="1" t="s">
        <v>21</v>
      </c>
      <c r="AB312" s="17"/>
      <c r="AC312" s="18" t="s">
        <v>417</v>
      </c>
      <c r="AD312" s="126" t="s">
        <v>1157</v>
      </c>
      <c r="AE312" s="126" t="s">
        <v>1160</v>
      </c>
      <c r="AF312" s="62">
        <v>0.9</v>
      </c>
      <c r="AG312" s="10"/>
      <c r="AH312" s="10"/>
      <c r="AM312"/>
    </row>
    <row r="313" spans="2:39" x14ac:dyDescent="0.25">
      <c r="B313" s="1">
        <v>301</v>
      </c>
      <c r="C313" s="1">
        <v>1</v>
      </c>
      <c r="D313" s="1" t="s">
        <v>383</v>
      </c>
      <c r="E313" s="1" t="s">
        <v>381</v>
      </c>
      <c r="F313" s="1" t="s">
        <v>380</v>
      </c>
      <c r="G313" s="1"/>
      <c r="H313" s="1" t="s">
        <v>420</v>
      </c>
      <c r="I313" s="1"/>
      <c r="J313" s="1" t="s">
        <v>85</v>
      </c>
      <c r="K313" s="1" t="s">
        <v>165</v>
      </c>
      <c r="L313" s="1" t="s">
        <v>491</v>
      </c>
      <c r="M313" s="35">
        <v>0</v>
      </c>
      <c r="N313" s="35">
        <v>0</v>
      </c>
      <c r="O313" s="35">
        <v>0</v>
      </c>
      <c r="P313" s="36">
        <v>4</v>
      </c>
      <c r="Q313" s="1">
        <v>0</v>
      </c>
      <c r="R313" s="1">
        <v>3</v>
      </c>
      <c r="S313" s="1">
        <v>0</v>
      </c>
      <c r="T313" s="1">
        <v>3</v>
      </c>
      <c r="U313" s="1"/>
      <c r="V313" s="1"/>
      <c r="W313" s="1"/>
      <c r="X313" s="1">
        <v>0</v>
      </c>
      <c r="Y313" s="1"/>
      <c r="Z313" s="1" t="s">
        <v>21</v>
      </c>
      <c r="AA313" s="1" t="s">
        <v>21</v>
      </c>
      <c r="AB313" s="17"/>
      <c r="AC313" s="18" t="s">
        <v>417</v>
      </c>
      <c r="AD313" s="126" t="s">
        <v>1157</v>
      </c>
      <c r="AE313" s="125" t="s">
        <v>1161</v>
      </c>
      <c r="AF313" s="60">
        <v>0.8</v>
      </c>
      <c r="AG313" s="10"/>
      <c r="AH313" s="10"/>
      <c r="AM313"/>
    </row>
    <row r="314" spans="2:39" x14ac:dyDescent="0.25">
      <c r="B314" s="1">
        <v>302</v>
      </c>
      <c r="C314" s="1">
        <v>1</v>
      </c>
      <c r="D314" s="1" t="s">
        <v>383</v>
      </c>
      <c r="E314" s="1" t="s">
        <v>381</v>
      </c>
      <c r="F314" s="1" t="s">
        <v>380</v>
      </c>
      <c r="G314" s="1"/>
      <c r="H314" s="1" t="s">
        <v>424</v>
      </c>
      <c r="I314" s="1"/>
      <c r="J314" s="1" t="s">
        <v>85</v>
      </c>
      <c r="K314" s="1" t="s">
        <v>165</v>
      </c>
      <c r="L314" s="1" t="s">
        <v>491</v>
      </c>
      <c r="M314" s="35">
        <v>0</v>
      </c>
      <c r="N314" s="35">
        <v>0</v>
      </c>
      <c r="O314" s="35">
        <v>0</v>
      </c>
      <c r="P314" s="36">
        <v>4</v>
      </c>
      <c r="Q314" s="1">
        <v>0</v>
      </c>
      <c r="R314" s="1">
        <v>3</v>
      </c>
      <c r="S314" s="1">
        <v>0</v>
      </c>
      <c r="T314" s="1">
        <v>3</v>
      </c>
      <c r="U314" s="1"/>
      <c r="V314" s="1"/>
      <c r="W314" s="1"/>
      <c r="X314" s="1">
        <v>0</v>
      </c>
      <c r="Y314" s="1"/>
      <c r="Z314" s="1" t="s">
        <v>21</v>
      </c>
      <c r="AA314" s="1" t="s">
        <v>21</v>
      </c>
      <c r="AB314" s="17"/>
      <c r="AC314" s="18" t="s">
        <v>417</v>
      </c>
      <c r="AD314" s="126" t="s">
        <v>1157</v>
      </c>
      <c r="AE314" s="126" t="s">
        <v>1160</v>
      </c>
      <c r="AF314" s="62">
        <v>0.9</v>
      </c>
      <c r="AG314" s="10"/>
      <c r="AH314" s="10"/>
      <c r="AM314"/>
    </row>
    <row r="315" spans="2:39" x14ac:dyDescent="0.25">
      <c r="B315" s="1">
        <v>303</v>
      </c>
      <c r="C315" s="1">
        <v>1</v>
      </c>
      <c r="D315" s="1" t="s">
        <v>383</v>
      </c>
      <c r="E315" s="1" t="s">
        <v>381</v>
      </c>
      <c r="F315" s="1" t="s">
        <v>380</v>
      </c>
      <c r="G315" s="1"/>
      <c r="H315" s="1" t="s">
        <v>1144</v>
      </c>
      <c r="I315" s="1"/>
      <c r="J315" s="1" t="s">
        <v>85</v>
      </c>
      <c r="K315" s="1" t="s">
        <v>165</v>
      </c>
      <c r="L315" s="1" t="s">
        <v>491</v>
      </c>
      <c r="M315" s="35">
        <v>0</v>
      </c>
      <c r="N315" s="35">
        <v>0</v>
      </c>
      <c r="O315" s="35">
        <v>0</v>
      </c>
      <c r="P315" s="36">
        <v>4</v>
      </c>
      <c r="Q315" s="1">
        <v>0</v>
      </c>
      <c r="R315" s="1">
        <v>3</v>
      </c>
      <c r="S315" s="1">
        <v>0</v>
      </c>
      <c r="T315" s="1">
        <v>3</v>
      </c>
      <c r="U315" s="1"/>
      <c r="V315" s="1"/>
      <c r="W315" s="1"/>
      <c r="X315" s="1">
        <v>0</v>
      </c>
      <c r="Y315" s="1"/>
      <c r="Z315" s="1" t="s">
        <v>21</v>
      </c>
      <c r="AA315" s="1" t="s">
        <v>21</v>
      </c>
      <c r="AB315" s="17"/>
      <c r="AC315" s="18" t="s">
        <v>417</v>
      </c>
      <c r="AD315" s="126" t="s">
        <v>1157</v>
      </c>
      <c r="AE315" s="126" t="s">
        <v>1160</v>
      </c>
      <c r="AF315" s="62">
        <v>0.9</v>
      </c>
      <c r="AG315" s="10"/>
      <c r="AH315" s="10"/>
      <c r="AM315"/>
    </row>
    <row r="316" spans="2:39" x14ac:dyDescent="0.25">
      <c r="B316" s="1">
        <v>304</v>
      </c>
      <c r="C316" s="1">
        <v>1</v>
      </c>
      <c r="D316" s="1" t="s">
        <v>383</v>
      </c>
      <c r="E316" s="1" t="s">
        <v>381</v>
      </c>
      <c r="F316" s="1" t="s">
        <v>380</v>
      </c>
      <c r="G316" s="1"/>
      <c r="H316" s="1" t="s">
        <v>429</v>
      </c>
      <c r="I316" s="1"/>
      <c r="J316" s="1" t="s">
        <v>87</v>
      </c>
      <c r="K316" s="1" t="s">
        <v>165</v>
      </c>
      <c r="L316" s="1" t="s">
        <v>491</v>
      </c>
      <c r="M316" s="35">
        <v>0</v>
      </c>
      <c r="N316" s="35">
        <v>0</v>
      </c>
      <c r="O316" s="35">
        <v>0</v>
      </c>
      <c r="P316" s="36">
        <v>4</v>
      </c>
      <c r="Q316" s="1">
        <v>0</v>
      </c>
      <c r="R316" s="1">
        <v>3</v>
      </c>
      <c r="S316" s="35">
        <v>0</v>
      </c>
      <c r="T316" s="1">
        <v>3</v>
      </c>
      <c r="U316" s="1"/>
      <c r="V316" s="1"/>
      <c r="W316" s="1"/>
      <c r="X316" s="1">
        <v>0</v>
      </c>
      <c r="Y316" s="1"/>
      <c r="Z316" s="1" t="s">
        <v>21</v>
      </c>
      <c r="AA316" s="1" t="s">
        <v>21</v>
      </c>
      <c r="AB316" s="17"/>
      <c r="AC316" s="18" t="s">
        <v>417</v>
      </c>
      <c r="AD316" s="126" t="s">
        <v>1157</v>
      </c>
      <c r="AE316" s="125" t="s">
        <v>1161</v>
      </c>
      <c r="AF316" s="62">
        <v>0.9</v>
      </c>
      <c r="AG316" s="10"/>
      <c r="AH316" s="10"/>
      <c r="AM316"/>
    </row>
    <row r="317" spans="2:39" x14ac:dyDescent="0.25">
      <c r="B317" s="1">
        <v>305</v>
      </c>
      <c r="C317" s="1">
        <v>1</v>
      </c>
      <c r="D317" s="1" t="s">
        <v>383</v>
      </c>
      <c r="E317" s="1" t="s">
        <v>381</v>
      </c>
      <c r="F317" s="1" t="s">
        <v>380</v>
      </c>
      <c r="G317" s="1"/>
      <c r="H317" s="1" t="s">
        <v>377</v>
      </c>
      <c r="I317" s="1"/>
      <c r="J317" s="1" t="s">
        <v>87</v>
      </c>
      <c r="K317" s="1" t="s">
        <v>165</v>
      </c>
      <c r="L317" s="1" t="s">
        <v>491</v>
      </c>
      <c r="M317" s="35">
        <v>0</v>
      </c>
      <c r="N317" s="35">
        <v>0</v>
      </c>
      <c r="O317" s="35">
        <v>0</v>
      </c>
      <c r="P317" s="36">
        <v>4</v>
      </c>
      <c r="Q317" s="1">
        <v>0</v>
      </c>
      <c r="R317" s="1">
        <v>0</v>
      </c>
      <c r="S317" s="35">
        <v>0</v>
      </c>
      <c r="T317" s="1">
        <v>0</v>
      </c>
      <c r="U317" s="1"/>
      <c r="V317" s="1"/>
      <c r="W317" s="1"/>
      <c r="X317" s="1">
        <v>0</v>
      </c>
      <c r="Y317" s="1"/>
      <c r="Z317" s="1" t="s">
        <v>21</v>
      </c>
      <c r="AA317" s="1" t="s">
        <v>21</v>
      </c>
      <c r="AB317" s="17"/>
      <c r="AC317" s="18" t="s">
        <v>417</v>
      </c>
      <c r="AD317" s="126" t="s">
        <v>1157</v>
      </c>
      <c r="AE317" s="125" t="s">
        <v>1161</v>
      </c>
      <c r="AF317" s="63">
        <v>0.5</v>
      </c>
      <c r="AG317" s="10"/>
      <c r="AH317" s="10"/>
      <c r="AM317"/>
    </row>
    <row r="318" spans="2:39" x14ac:dyDescent="0.25">
      <c r="B318" s="1">
        <v>306</v>
      </c>
      <c r="C318" s="1">
        <v>1</v>
      </c>
      <c r="D318" s="1" t="s">
        <v>383</v>
      </c>
      <c r="E318" s="1" t="s">
        <v>381</v>
      </c>
      <c r="F318" s="1" t="s">
        <v>380</v>
      </c>
      <c r="G318" s="1"/>
      <c r="H318" s="1" t="s">
        <v>378</v>
      </c>
      <c r="I318" s="1"/>
      <c r="J318" s="1" t="s">
        <v>85</v>
      </c>
      <c r="K318" s="1" t="s">
        <v>165</v>
      </c>
      <c r="L318" s="1" t="s">
        <v>491</v>
      </c>
      <c r="M318" s="35">
        <v>0</v>
      </c>
      <c r="N318" s="35">
        <v>0</v>
      </c>
      <c r="O318" s="35">
        <v>0</v>
      </c>
      <c r="P318" s="36">
        <v>4</v>
      </c>
      <c r="Q318" s="1">
        <v>0</v>
      </c>
      <c r="R318" s="1">
        <v>3</v>
      </c>
      <c r="S318" s="35">
        <v>0</v>
      </c>
      <c r="T318" s="1">
        <v>3</v>
      </c>
      <c r="U318" s="1"/>
      <c r="V318" s="1"/>
      <c r="W318" s="1"/>
      <c r="X318" s="1">
        <v>0</v>
      </c>
      <c r="Y318" s="1"/>
      <c r="Z318" s="1" t="s">
        <v>21</v>
      </c>
      <c r="AA318" s="1" t="s">
        <v>21</v>
      </c>
      <c r="AB318" s="17"/>
      <c r="AC318" s="18" t="s">
        <v>417</v>
      </c>
      <c r="AD318" s="126" t="s">
        <v>1157</v>
      </c>
      <c r="AE318" s="126" t="s">
        <v>1162</v>
      </c>
      <c r="AF318" s="62">
        <v>0.9</v>
      </c>
      <c r="AG318" s="10"/>
      <c r="AH318" s="10"/>
      <c r="AM318"/>
    </row>
    <row r="319" spans="2:39" x14ac:dyDescent="0.25">
      <c r="B319" s="1">
        <v>307</v>
      </c>
      <c r="C319" s="1">
        <v>1</v>
      </c>
      <c r="D319" s="1" t="s">
        <v>383</v>
      </c>
      <c r="E319" s="1" t="s">
        <v>381</v>
      </c>
      <c r="F319" s="1" t="s">
        <v>380</v>
      </c>
      <c r="G319" s="1"/>
      <c r="H319" s="1" t="s">
        <v>1152</v>
      </c>
      <c r="I319" s="1"/>
      <c r="J319" s="1" t="s">
        <v>85</v>
      </c>
      <c r="K319" s="1" t="s">
        <v>165</v>
      </c>
      <c r="L319" s="1" t="s">
        <v>491</v>
      </c>
      <c r="M319" s="35">
        <v>0</v>
      </c>
      <c r="N319" s="35">
        <v>0</v>
      </c>
      <c r="O319" s="35">
        <v>0</v>
      </c>
      <c r="P319" s="36">
        <v>4</v>
      </c>
      <c r="Q319" s="1">
        <v>0</v>
      </c>
      <c r="R319" s="1">
        <v>3</v>
      </c>
      <c r="S319" s="35">
        <v>0</v>
      </c>
      <c r="T319" s="1">
        <v>3</v>
      </c>
      <c r="U319" s="1"/>
      <c r="V319" s="1"/>
      <c r="W319" s="1"/>
      <c r="X319" s="1">
        <v>0</v>
      </c>
      <c r="Y319" s="1"/>
      <c r="Z319" s="1" t="s">
        <v>21</v>
      </c>
      <c r="AA319" s="1" t="s">
        <v>21</v>
      </c>
      <c r="AB319" s="17"/>
      <c r="AC319" s="18" t="s">
        <v>417</v>
      </c>
      <c r="AD319" s="126" t="s">
        <v>1157</v>
      </c>
      <c r="AE319" s="125" t="s">
        <v>1161</v>
      </c>
      <c r="AF319" s="63">
        <v>0.5</v>
      </c>
      <c r="AG319" s="10"/>
      <c r="AH319" s="10"/>
      <c r="AM319"/>
    </row>
    <row r="320" spans="2:39" x14ac:dyDescent="0.25">
      <c r="B320" s="1">
        <v>308</v>
      </c>
      <c r="C320" s="1">
        <v>1</v>
      </c>
      <c r="D320" s="1" t="s">
        <v>383</v>
      </c>
      <c r="E320" s="1" t="s">
        <v>381</v>
      </c>
      <c r="F320" s="1" t="s">
        <v>380</v>
      </c>
      <c r="G320" s="1"/>
      <c r="H320" s="1" t="s">
        <v>1155</v>
      </c>
      <c r="I320" s="1"/>
      <c r="J320" s="1" t="s">
        <v>87</v>
      </c>
      <c r="K320" s="1" t="s">
        <v>165</v>
      </c>
      <c r="L320" s="1" t="s">
        <v>491</v>
      </c>
      <c r="M320" s="35">
        <v>0</v>
      </c>
      <c r="N320" s="35">
        <v>0</v>
      </c>
      <c r="O320" s="35">
        <v>0</v>
      </c>
      <c r="P320" s="36">
        <v>4</v>
      </c>
      <c r="Q320" s="1">
        <v>0</v>
      </c>
      <c r="R320" s="1">
        <v>0</v>
      </c>
      <c r="S320" s="35">
        <v>0</v>
      </c>
      <c r="T320" s="1">
        <v>0</v>
      </c>
      <c r="U320" s="1"/>
      <c r="V320" s="1"/>
      <c r="W320" s="1"/>
      <c r="X320" s="1">
        <v>0</v>
      </c>
      <c r="Y320" s="1"/>
      <c r="Z320" s="1" t="s">
        <v>32</v>
      </c>
      <c r="AA320" s="1" t="s">
        <v>32</v>
      </c>
      <c r="AB320" s="17"/>
      <c r="AC320" s="18" t="s">
        <v>417</v>
      </c>
      <c r="AD320" s="125"/>
      <c r="AE320" s="125" t="s">
        <v>1161</v>
      </c>
      <c r="AF320" s="63">
        <v>0.5</v>
      </c>
      <c r="AG320" s="10"/>
      <c r="AH320" s="10"/>
      <c r="AM320"/>
    </row>
    <row r="321" spans="2:39" x14ac:dyDescent="0.25">
      <c r="B321" s="1">
        <v>309</v>
      </c>
      <c r="C321" s="1">
        <v>1</v>
      </c>
      <c r="D321" s="1" t="s">
        <v>383</v>
      </c>
      <c r="E321" s="1" t="s">
        <v>381</v>
      </c>
      <c r="F321" s="1" t="s">
        <v>380</v>
      </c>
      <c r="G321" s="1"/>
      <c r="H321" s="1" t="s">
        <v>1140</v>
      </c>
      <c r="I321" s="1"/>
      <c r="J321" s="1" t="s">
        <v>85</v>
      </c>
      <c r="K321" s="1" t="s">
        <v>165</v>
      </c>
      <c r="L321" s="1" t="s">
        <v>491</v>
      </c>
      <c r="M321" s="35">
        <v>0</v>
      </c>
      <c r="N321" s="35">
        <v>0</v>
      </c>
      <c r="O321" s="35">
        <v>0</v>
      </c>
      <c r="P321" s="36">
        <v>4</v>
      </c>
      <c r="Q321" s="1">
        <v>0</v>
      </c>
      <c r="R321" s="1">
        <v>3</v>
      </c>
      <c r="S321" s="35">
        <v>0</v>
      </c>
      <c r="T321" s="1">
        <v>3</v>
      </c>
      <c r="U321" s="1"/>
      <c r="V321" s="1"/>
      <c r="W321" s="1"/>
      <c r="X321" s="1">
        <v>0</v>
      </c>
      <c r="Y321" s="1"/>
      <c r="Z321" s="1" t="s">
        <v>21</v>
      </c>
      <c r="AA321" s="1" t="s">
        <v>21</v>
      </c>
      <c r="AB321" s="17"/>
      <c r="AC321" s="18" t="s">
        <v>417</v>
      </c>
      <c r="AD321" s="126" t="s">
        <v>1157</v>
      </c>
      <c r="AE321" s="126" t="s">
        <v>1160</v>
      </c>
      <c r="AF321" s="62">
        <v>0.9</v>
      </c>
      <c r="AG321" s="10"/>
      <c r="AH321" s="10"/>
      <c r="AM321"/>
    </row>
    <row r="322" spans="2:39" hidden="1" x14ac:dyDescent="0.25">
      <c r="B322" s="1">
        <v>310</v>
      </c>
      <c r="C322" s="1">
        <v>0</v>
      </c>
      <c r="D322" s="1" t="s">
        <v>212</v>
      </c>
      <c r="E322" s="1" t="s">
        <v>91</v>
      </c>
      <c r="F322" s="1" t="s">
        <v>96</v>
      </c>
      <c r="G322" s="1" t="s">
        <v>96</v>
      </c>
      <c r="H322" s="118" t="s">
        <v>469</v>
      </c>
      <c r="I322" s="1"/>
      <c r="J322" s="1" t="s">
        <v>85</v>
      </c>
      <c r="K322" s="1" t="s">
        <v>312</v>
      </c>
      <c r="L322" s="1" t="s">
        <v>452</v>
      </c>
      <c r="M322" s="1">
        <v>0</v>
      </c>
      <c r="N322" s="1">
        <v>0</v>
      </c>
      <c r="O322" s="1">
        <v>0</v>
      </c>
      <c r="P322" s="1">
        <v>0</v>
      </c>
      <c r="Q322" s="1"/>
      <c r="R322" s="1"/>
      <c r="S322" s="35"/>
      <c r="T322" s="35">
        <v>3</v>
      </c>
      <c r="U322" s="1"/>
      <c r="V322" s="1"/>
      <c r="W322" s="1"/>
      <c r="X322" s="1"/>
      <c r="Y322" s="1"/>
      <c r="Z322" s="1" t="s">
        <v>21</v>
      </c>
      <c r="AA322" s="1" t="s">
        <v>21</v>
      </c>
      <c r="AB322" s="17" t="s">
        <v>1052</v>
      </c>
      <c r="AC322" s="18" t="s">
        <v>417</v>
      </c>
      <c r="AD322" s="126" t="s">
        <v>1249</v>
      </c>
      <c r="AE322" s="126" t="s">
        <v>1258</v>
      </c>
      <c r="AF322" s="51">
        <v>1</v>
      </c>
      <c r="AG322" s="10"/>
      <c r="AH322" s="10"/>
      <c r="AM322"/>
    </row>
    <row r="323" spans="2:39" hidden="1" x14ac:dyDescent="0.25">
      <c r="B323" s="1">
        <v>311</v>
      </c>
      <c r="C323" s="1">
        <v>0</v>
      </c>
      <c r="D323" s="1" t="s">
        <v>212</v>
      </c>
      <c r="E323" s="1" t="s">
        <v>91</v>
      </c>
      <c r="F323" s="1" t="s">
        <v>98</v>
      </c>
      <c r="G323" s="1" t="s">
        <v>98</v>
      </c>
      <c r="H323" s="1" t="s">
        <v>470</v>
      </c>
      <c r="I323" s="1"/>
      <c r="J323" s="1" t="s">
        <v>85</v>
      </c>
      <c r="K323" s="1" t="s">
        <v>331</v>
      </c>
      <c r="L323" s="1" t="s">
        <v>12</v>
      </c>
      <c r="M323" s="1">
        <v>0</v>
      </c>
      <c r="N323" s="1">
        <v>0</v>
      </c>
      <c r="O323" s="1">
        <v>0</v>
      </c>
      <c r="P323" s="1">
        <v>0</v>
      </c>
      <c r="Q323" s="1"/>
      <c r="R323" s="1"/>
      <c r="S323" s="35"/>
      <c r="T323" s="35">
        <v>3</v>
      </c>
      <c r="U323" s="1"/>
      <c r="V323" s="1"/>
      <c r="W323" s="1"/>
      <c r="X323" s="1"/>
      <c r="Y323" s="1"/>
      <c r="Z323" s="1" t="s">
        <v>21</v>
      </c>
      <c r="AA323" s="1" t="s">
        <v>21</v>
      </c>
      <c r="AB323" s="17">
        <v>44967</v>
      </c>
      <c r="AC323" s="18" t="s">
        <v>417</v>
      </c>
      <c r="AD323" s="126" t="s">
        <v>1249</v>
      </c>
      <c r="AE323" s="126" t="s">
        <v>1059</v>
      </c>
      <c r="AF323" s="51">
        <v>0.8</v>
      </c>
      <c r="AG323" s="10"/>
      <c r="AH323" s="10"/>
      <c r="AM323"/>
    </row>
    <row r="324" spans="2:39" hidden="1" x14ac:dyDescent="0.25">
      <c r="B324" s="1">
        <v>312</v>
      </c>
      <c r="C324" s="1">
        <v>0</v>
      </c>
      <c r="D324" s="1" t="s">
        <v>212</v>
      </c>
      <c r="E324" s="1" t="s">
        <v>91</v>
      </c>
      <c r="F324" s="1" t="s">
        <v>98</v>
      </c>
      <c r="G324" s="1" t="s">
        <v>98</v>
      </c>
      <c r="H324" s="1" t="s">
        <v>1057</v>
      </c>
      <c r="I324" s="1"/>
      <c r="J324" s="1" t="s">
        <v>85</v>
      </c>
      <c r="K324" s="1" t="s">
        <v>331</v>
      </c>
      <c r="L324" s="1" t="s">
        <v>12</v>
      </c>
      <c r="M324" s="1">
        <v>0</v>
      </c>
      <c r="N324" s="1">
        <v>0</v>
      </c>
      <c r="O324" s="1">
        <v>0</v>
      </c>
      <c r="P324" s="1">
        <v>0</v>
      </c>
      <c r="Q324" s="1"/>
      <c r="R324" s="1"/>
      <c r="S324" s="35"/>
      <c r="T324" s="35">
        <v>3</v>
      </c>
      <c r="U324" s="1"/>
      <c r="V324" s="1"/>
      <c r="W324" s="1"/>
      <c r="X324" s="1"/>
      <c r="Y324" s="1"/>
      <c r="Z324" s="1" t="s">
        <v>21</v>
      </c>
      <c r="AA324" s="1" t="s">
        <v>21</v>
      </c>
      <c r="AB324" s="17">
        <v>44967</v>
      </c>
      <c r="AC324" s="18" t="s">
        <v>417</v>
      </c>
      <c r="AD324" s="126" t="s">
        <v>1249</v>
      </c>
      <c r="AE324" s="126" t="s">
        <v>1059</v>
      </c>
      <c r="AF324" s="51">
        <v>0.8</v>
      </c>
      <c r="AG324" s="10"/>
      <c r="AH324" s="10"/>
      <c r="AM324"/>
    </row>
    <row r="325" spans="2:39" ht="15" hidden="1" customHeight="1" x14ac:dyDescent="0.25">
      <c r="B325" s="1">
        <v>313</v>
      </c>
      <c r="C325" s="1">
        <v>0</v>
      </c>
      <c r="D325" s="1" t="s">
        <v>212</v>
      </c>
      <c r="E325" s="1" t="s">
        <v>91</v>
      </c>
      <c r="F325" s="1" t="s">
        <v>98</v>
      </c>
      <c r="G325" s="1" t="s">
        <v>98</v>
      </c>
      <c r="H325" s="1" t="s">
        <v>472</v>
      </c>
      <c r="I325" s="1"/>
      <c r="J325" s="1" t="s">
        <v>86</v>
      </c>
      <c r="K325" s="1" t="s">
        <v>331</v>
      </c>
      <c r="L325" s="1" t="s">
        <v>12</v>
      </c>
      <c r="M325" s="1">
        <v>0</v>
      </c>
      <c r="N325" s="1">
        <v>0</v>
      </c>
      <c r="O325" s="1">
        <v>0</v>
      </c>
      <c r="P325" s="1">
        <v>0</v>
      </c>
      <c r="Q325" s="1"/>
      <c r="R325" s="1"/>
      <c r="S325" s="35"/>
      <c r="T325" s="35">
        <v>3</v>
      </c>
      <c r="U325" s="1"/>
      <c r="V325" s="1"/>
      <c r="W325" s="1"/>
      <c r="X325" s="1"/>
      <c r="Y325" s="1"/>
      <c r="Z325" s="1" t="s">
        <v>21</v>
      </c>
      <c r="AA325" s="1" t="s">
        <v>21</v>
      </c>
      <c r="AB325" s="17">
        <v>44967</v>
      </c>
      <c r="AC325" s="18" t="s">
        <v>417</v>
      </c>
      <c r="AD325" s="126" t="s">
        <v>1249</v>
      </c>
      <c r="AE325" s="126" t="s">
        <v>1061</v>
      </c>
      <c r="AF325" s="51">
        <v>0.5</v>
      </c>
      <c r="AG325" s="10"/>
      <c r="AM325"/>
    </row>
    <row r="326" spans="2:39" ht="15" customHeight="1" x14ac:dyDescent="0.25">
      <c r="B326" s="1">
        <v>314</v>
      </c>
      <c r="C326" s="1">
        <v>1</v>
      </c>
      <c r="D326" s="1" t="s">
        <v>212</v>
      </c>
      <c r="E326" s="1" t="s">
        <v>91</v>
      </c>
      <c r="F326" s="1" t="s">
        <v>473</v>
      </c>
      <c r="G326" s="1" t="s">
        <v>473</v>
      </c>
      <c r="H326" s="1" t="s">
        <v>1324</v>
      </c>
      <c r="I326" s="1"/>
      <c r="J326" s="1" t="s">
        <v>85</v>
      </c>
      <c r="K326" s="1" t="s">
        <v>1317</v>
      </c>
      <c r="L326" s="1" t="s">
        <v>408</v>
      </c>
      <c r="M326" s="1">
        <v>0</v>
      </c>
      <c r="N326" s="1">
        <v>0</v>
      </c>
      <c r="O326" s="1">
        <v>0</v>
      </c>
      <c r="P326" s="1">
        <v>0</v>
      </c>
      <c r="Q326" s="1">
        <v>0</v>
      </c>
      <c r="R326" s="1">
        <v>0</v>
      </c>
      <c r="S326" s="1">
        <v>3</v>
      </c>
      <c r="T326" s="35">
        <v>3</v>
      </c>
      <c r="U326" s="1">
        <v>0</v>
      </c>
      <c r="V326" s="1">
        <v>4</v>
      </c>
      <c r="W326" s="1">
        <v>4</v>
      </c>
      <c r="X326" s="1">
        <v>0</v>
      </c>
      <c r="Y326" s="1"/>
      <c r="Z326" s="1"/>
      <c r="AA326" s="1" t="s">
        <v>21</v>
      </c>
      <c r="AB326" s="17">
        <v>45708</v>
      </c>
      <c r="AC326" s="18" t="s">
        <v>1049</v>
      </c>
      <c r="AD326" s="126" t="s">
        <v>1320</v>
      </c>
      <c r="AE326" s="126" t="s">
        <v>1321</v>
      </c>
      <c r="AF326" s="51">
        <v>1</v>
      </c>
      <c r="AG326" s="10"/>
      <c r="AH326" s="10"/>
      <c r="AM326"/>
    </row>
    <row r="327" spans="2:39" ht="15" customHeight="1" x14ac:dyDescent="0.25">
      <c r="B327" s="1">
        <v>315</v>
      </c>
      <c r="C327" s="1">
        <v>1</v>
      </c>
      <c r="D327" s="1" t="s">
        <v>212</v>
      </c>
      <c r="E327" s="1" t="s">
        <v>91</v>
      </c>
      <c r="F327" s="1" t="s">
        <v>473</v>
      </c>
      <c r="G327" s="1" t="s">
        <v>473</v>
      </c>
      <c r="H327" s="1" t="s">
        <v>477</v>
      </c>
      <c r="I327" s="1"/>
      <c r="J327" s="1" t="s">
        <v>87</v>
      </c>
      <c r="K327" s="1" t="s">
        <v>1317</v>
      </c>
      <c r="L327" s="1" t="s">
        <v>408</v>
      </c>
      <c r="M327" s="1">
        <v>0</v>
      </c>
      <c r="N327" s="1">
        <v>0</v>
      </c>
      <c r="O327" s="1">
        <v>0</v>
      </c>
      <c r="P327" s="1">
        <v>0</v>
      </c>
      <c r="Q327" s="1">
        <v>0</v>
      </c>
      <c r="R327" s="1">
        <v>0</v>
      </c>
      <c r="S327" s="1">
        <v>3</v>
      </c>
      <c r="T327" s="35">
        <v>3</v>
      </c>
      <c r="U327" s="1">
        <v>0</v>
      </c>
      <c r="V327" s="1">
        <v>4</v>
      </c>
      <c r="W327" s="1">
        <v>4</v>
      </c>
      <c r="X327" s="1">
        <v>0</v>
      </c>
      <c r="Y327" s="1"/>
      <c r="Z327" s="1"/>
      <c r="AA327" s="1" t="s">
        <v>21</v>
      </c>
      <c r="AB327" s="17">
        <v>45708</v>
      </c>
      <c r="AC327" s="18" t="s">
        <v>1049</v>
      </c>
      <c r="AD327" s="126" t="s">
        <v>1320</v>
      </c>
      <c r="AE327" s="126" t="s">
        <v>1374</v>
      </c>
      <c r="AF327" s="51">
        <v>1</v>
      </c>
      <c r="AG327" s="10"/>
      <c r="AH327" s="10"/>
      <c r="AM327"/>
    </row>
    <row r="328" spans="2:39" ht="15" customHeight="1" x14ac:dyDescent="0.25">
      <c r="B328" s="1">
        <v>316</v>
      </c>
      <c r="C328" s="1">
        <v>1</v>
      </c>
      <c r="D328" s="1" t="s">
        <v>212</v>
      </c>
      <c r="E328" s="1" t="s">
        <v>91</v>
      </c>
      <c r="F328" s="1" t="s">
        <v>1318</v>
      </c>
      <c r="G328" s="1" t="s">
        <v>1318</v>
      </c>
      <c r="H328" s="1" t="s">
        <v>1335</v>
      </c>
      <c r="I328" s="1"/>
      <c r="J328" s="1" t="s">
        <v>85</v>
      </c>
      <c r="K328" s="1" t="s">
        <v>1317</v>
      </c>
      <c r="L328" s="1" t="s">
        <v>408</v>
      </c>
      <c r="M328" s="1">
        <v>0</v>
      </c>
      <c r="N328" s="1">
        <v>0</v>
      </c>
      <c r="O328" s="1">
        <v>0</v>
      </c>
      <c r="P328" s="1">
        <v>0</v>
      </c>
      <c r="Q328" s="1">
        <v>0</v>
      </c>
      <c r="R328" s="1">
        <v>0</v>
      </c>
      <c r="S328" s="1">
        <v>4</v>
      </c>
      <c r="T328" s="1">
        <v>3</v>
      </c>
      <c r="U328" s="1">
        <v>0</v>
      </c>
      <c r="V328" s="1">
        <v>4</v>
      </c>
      <c r="W328" s="1">
        <v>4</v>
      </c>
      <c r="X328" s="1">
        <v>0</v>
      </c>
      <c r="Y328" s="1"/>
      <c r="Z328" s="1"/>
      <c r="AA328" s="1" t="s">
        <v>21</v>
      </c>
      <c r="AB328" s="17">
        <v>45681</v>
      </c>
      <c r="AC328" s="18" t="s">
        <v>1049</v>
      </c>
      <c r="AD328" s="126" t="s">
        <v>1320</v>
      </c>
      <c r="AE328" s="126" t="s">
        <v>1339</v>
      </c>
      <c r="AF328" s="51">
        <v>1</v>
      </c>
      <c r="AG328" s="10"/>
      <c r="AH328" s="10"/>
      <c r="AM328"/>
    </row>
    <row r="329" spans="2:39" ht="15" customHeight="1" x14ac:dyDescent="0.25">
      <c r="B329" s="1">
        <v>317</v>
      </c>
      <c r="C329" s="1">
        <v>1</v>
      </c>
      <c r="D329" s="1" t="s">
        <v>212</v>
      </c>
      <c r="E329" s="1" t="s">
        <v>91</v>
      </c>
      <c r="F329" s="1" t="s">
        <v>1319</v>
      </c>
      <c r="G329" s="1" t="s">
        <v>1319</v>
      </c>
      <c r="H329" s="1" t="s">
        <v>481</v>
      </c>
      <c r="I329" s="1"/>
      <c r="J329" s="1" t="s">
        <v>85</v>
      </c>
      <c r="K329" s="1" t="s">
        <v>1317</v>
      </c>
      <c r="L329" s="1" t="s">
        <v>408</v>
      </c>
      <c r="M329" s="1">
        <v>0</v>
      </c>
      <c r="N329" s="1">
        <v>0</v>
      </c>
      <c r="O329" s="1">
        <v>0</v>
      </c>
      <c r="P329" s="1">
        <v>0</v>
      </c>
      <c r="Q329" s="1">
        <v>0</v>
      </c>
      <c r="R329" s="1">
        <v>0</v>
      </c>
      <c r="S329" s="1">
        <v>3</v>
      </c>
      <c r="T329" s="1">
        <v>3</v>
      </c>
      <c r="U329" s="1">
        <v>0</v>
      </c>
      <c r="V329" s="1">
        <v>4</v>
      </c>
      <c r="W329" s="1">
        <v>4</v>
      </c>
      <c r="X329" s="1">
        <v>0</v>
      </c>
      <c r="Y329" s="1"/>
      <c r="Z329" s="1"/>
      <c r="AA329" s="1" t="s">
        <v>21</v>
      </c>
      <c r="AB329" s="17">
        <v>45749</v>
      </c>
      <c r="AC329" s="18" t="s">
        <v>1049</v>
      </c>
      <c r="AD329" s="126" t="s">
        <v>1320</v>
      </c>
      <c r="AE329" s="126" t="s">
        <v>1325</v>
      </c>
      <c r="AF329" s="51">
        <v>1</v>
      </c>
      <c r="AG329" s="10"/>
      <c r="AH329" s="10"/>
      <c r="AM329"/>
    </row>
    <row r="330" spans="2:39" hidden="1" x14ac:dyDescent="0.25">
      <c r="B330" s="1">
        <v>318</v>
      </c>
      <c r="C330" s="1">
        <v>0</v>
      </c>
      <c r="D330" s="1" t="s">
        <v>212</v>
      </c>
      <c r="E330" s="1" t="s">
        <v>91</v>
      </c>
      <c r="F330" s="1" t="s">
        <v>1319</v>
      </c>
      <c r="G330" s="1" t="s">
        <v>1319</v>
      </c>
      <c r="H330" s="1" t="s">
        <v>1055</v>
      </c>
      <c r="I330" s="1"/>
      <c r="J330" s="1" t="s">
        <v>85</v>
      </c>
      <c r="K330" s="1" t="s">
        <v>1317</v>
      </c>
      <c r="L330" s="1" t="s">
        <v>1049</v>
      </c>
      <c r="M330" s="1">
        <v>0</v>
      </c>
      <c r="N330" s="1">
        <v>0</v>
      </c>
      <c r="O330" s="1">
        <v>0</v>
      </c>
      <c r="P330" s="1">
        <v>0</v>
      </c>
      <c r="Q330" s="1"/>
      <c r="R330" s="1"/>
      <c r="S330" s="35"/>
      <c r="T330" s="35">
        <v>3</v>
      </c>
      <c r="U330" s="1"/>
      <c r="V330" s="1"/>
      <c r="W330" s="1">
        <v>1</v>
      </c>
      <c r="X330" s="1"/>
      <c r="Y330" s="1"/>
      <c r="Z330" s="1" t="s">
        <v>21</v>
      </c>
      <c r="AA330" s="1" t="s">
        <v>21</v>
      </c>
      <c r="AB330" s="17">
        <v>44967</v>
      </c>
      <c r="AC330" s="18" t="s">
        <v>417</v>
      </c>
      <c r="AD330" s="126" t="s">
        <v>1249</v>
      </c>
      <c r="AE330" s="126" t="s">
        <v>1054</v>
      </c>
      <c r="AF330" s="51">
        <v>0.8</v>
      </c>
      <c r="AG330" s="10"/>
      <c r="AM330"/>
    </row>
    <row r="331" spans="2:39" x14ac:dyDescent="0.25">
      <c r="B331" s="1">
        <v>319</v>
      </c>
      <c r="C331" s="1">
        <v>1</v>
      </c>
      <c r="D331" s="1" t="s">
        <v>212</v>
      </c>
      <c r="E331" s="1" t="s">
        <v>91</v>
      </c>
      <c r="F331" s="1" t="s">
        <v>1319</v>
      </c>
      <c r="G331" s="1" t="s">
        <v>1319</v>
      </c>
      <c r="H331" s="1" t="s">
        <v>1063</v>
      </c>
      <c r="I331" s="1"/>
      <c r="J331" s="1" t="s">
        <v>87</v>
      </c>
      <c r="K331" s="1" t="s">
        <v>1317</v>
      </c>
      <c r="L331" s="1" t="s">
        <v>408</v>
      </c>
      <c r="M331" s="1">
        <v>0</v>
      </c>
      <c r="N331" s="1">
        <v>0</v>
      </c>
      <c r="O331" s="1">
        <v>0</v>
      </c>
      <c r="P331" s="1">
        <v>0</v>
      </c>
      <c r="Q331" s="1">
        <v>0</v>
      </c>
      <c r="R331" s="1">
        <v>0</v>
      </c>
      <c r="S331" s="1">
        <v>3</v>
      </c>
      <c r="T331" s="35">
        <v>3</v>
      </c>
      <c r="U331" s="1">
        <v>0</v>
      </c>
      <c r="V331" s="1">
        <v>4</v>
      </c>
      <c r="W331" s="1">
        <v>4</v>
      </c>
      <c r="X331" s="1">
        <v>0</v>
      </c>
      <c r="Y331" s="1"/>
      <c r="Z331" s="1"/>
      <c r="AA331" s="1" t="s">
        <v>21</v>
      </c>
      <c r="AB331" s="17">
        <v>45749</v>
      </c>
      <c r="AC331" s="18" t="s">
        <v>1049</v>
      </c>
      <c r="AD331" s="126" t="s">
        <v>1320</v>
      </c>
      <c r="AE331" s="126" t="s">
        <v>1376</v>
      </c>
      <c r="AF331" s="51">
        <v>1</v>
      </c>
      <c r="AG331" s="10"/>
      <c r="AM331"/>
    </row>
    <row r="332" spans="2:39" hidden="1" x14ac:dyDescent="0.25">
      <c r="B332" s="1">
        <v>320</v>
      </c>
      <c r="C332" s="1">
        <v>0</v>
      </c>
      <c r="D332" s="1" t="s">
        <v>212</v>
      </c>
      <c r="E332" s="1" t="s">
        <v>91</v>
      </c>
      <c r="F332" s="1" t="s">
        <v>98</v>
      </c>
      <c r="G332" s="1" t="s">
        <v>98</v>
      </c>
      <c r="H332" s="1" t="s">
        <v>1301</v>
      </c>
      <c r="I332" s="1"/>
      <c r="J332" s="1" t="s">
        <v>88</v>
      </c>
      <c r="K332" s="1" t="s">
        <v>331</v>
      </c>
      <c r="L332" s="1" t="s">
        <v>12</v>
      </c>
      <c r="M332" s="1">
        <v>0</v>
      </c>
      <c r="N332" s="1">
        <v>0</v>
      </c>
      <c r="O332" s="1">
        <v>0</v>
      </c>
      <c r="P332" s="1">
        <v>0</v>
      </c>
      <c r="Q332" s="1">
        <v>0</v>
      </c>
      <c r="R332" s="1">
        <v>0</v>
      </c>
      <c r="S332" s="35">
        <v>0</v>
      </c>
      <c r="T332" s="35">
        <v>3</v>
      </c>
      <c r="U332" s="1"/>
      <c r="V332" s="1"/>
      <c r="W332" s="1"/>
      <c r="X332" s="1"/>
      <c r="Y332" s="1"/>
      <c r="Z332" s="1" t="s">
        <v>21</v>
      </c>
      <c r="AA332" s="1" t="s">
        <v>21</v>
      </c>
      <c r="AB332" s="17">
        <v>44967</v>
      </c>
      <c r="AC332" s="18" t="s">
        <v>417</v>
      </c>
      <c r="AD332" s="126" t="s">
        <v>1249</v>
      </c>
      <c r="AE332" s="126" t="s">
        <v>1065</v>
      </c>
      <c r="AF332" s="51">
        <v>0.5</v>
      </c>
      <c r="AG332" s="10"/>
      <c r="AM332"/>
    </row>
    <row r="333" spans="2:39" x14ac:dyDescent="0.25">
      <c r="B333" s="1">
        <v>321</v>
      </c>
      <c r="C333" s="1">
        <v>1</v>
      </c>
      <c r="D333" s="1" t="s">
        <v>212</v>
      </c>
      <c r="E333" s="1" t="s">
        <v>91</v>
      </c>
      <c r="F333" s="1" t="s">
        <v>1318</v>
      </c>
      <c r="G333" s="1" t="s">
        <v>1318</v>
      </c>
      <c r="H333" s="1" t="s">
        <v>1343</v>
      </c>
      <c r="I333" s="1"/>
      <c r="J333" s="1" t="s">
        <v>88</v>
      </c>
      <c r="K333" s="1" t="s">
        <v>1317</v>
      </c>
      <c r="L333" s="1" t="s">
        <v>408</v>
      </c>
      <c r="M333" s="1">
        <v>0</v>
      </c>
      <c r="N333" s="1">
        <v>0</v>
      </c>
      <c r="O333" s="1">
        <v>0</v>
      </c>
      <c r="P333" s="1">
        <v>0</v>
      </c>
      <c r="Q333" s="1">
        <v>0</v>
      </c>
      <c r="R333" s="1">
        <v>0</v>
      </c>
      <c r="S333" s="1">
        <v>2</v>
      </c>
      <c r="T333" s="1">
        <v>3</v>
      </c>
      <c r="U333" s="1">
        <v>0</v>
      </c>
      <c r="V333" s="1">
        <v>4</v>
      </c>
      <c r="W333" s="1">
        <v>4</v>
      </c>
      <c r="X333" s="1">
        <v>0</v>
      </c>
      <c r="Y333" s="1"/>
      <c r="Z333" s="1"/>
      <c r="AA333" s="1" t="s">
        <v>21</v>
      </c>
      <c r="AB333" s="17">
        <v>45681</v>
      </c>
      <c r="AC333" s="18" t="s">
        <v>1049</v>
      </c>
      <c r="AD333" s="126" t="s">
        <v>1320</v>
      </c>
      <c r="AE333" s="126" t="s">
        <v>1064</v>
      </c>
      <c r="AF333" s="51">
        <v>0.5</v>
      </c>
      <c r="AG333" s="10"/>
      <c r="AM333"/>
    </row>
    <row r="334" spans="2:39" hidden="1" x14ac:dyDescent="0.25">
      <c r="B334" s="1">
        <v>322</v>
      </c>
      <c r="C334" s="1">
        <v>0</v>
      </c>
      <c r="D334" s="1" t="s">
        <v>212</v>
      </c>
      <c r="E334" s="1" t="s">
        <v>91</v>
      </c>
      <c r="F334" s="1" t="s">
        <v>96</v>
      </c>
      <c r="G334" s="1" t="s">
        <v>96</v>
      </c>
      <c r="H334" s="1" t="s">
        <v>1069</v>
      </c>
      <c r="I334" s="1"/>
      <c r="J334" s="1" t="s">
        <v>85</v>
      </c>
      <c r="K334" s="1" t="s">
        <v>312</v>
      </c>
      <c r="L334" s="1" t="s">
        <v>452</v>
      </c>
      <c r="M334" s="1">
        <v>0</v>
      </c>
      <c r="N334" s="1">
        <v>0</v>
      </c>
      <c r="O334" s="1">
        <v>0</v>
      </c>
      <c r="P334" s="1">
        <v>0</v>
      </c>
      <c r="Q334" s="1">
        <v>0</v>
      </c>
      <c r="R334" s="1">
        <v>0</v>
      </c>
      <c r="S334" s="1">
        <v>0</v>
      </c>
      <c r="T334" s="1">
        <v>3</v>
      </c>
      <c r="U334" s="1"/>
      <c r="V334" s="1"/>
      <c r="W334" s="1"/>
      <c r="X334" s="1"/>
      <c r="Y334" s="1"/>
      <c r="Z334" s="1" t="s">
        <v>21</v>
      </c>
      <c r="AA334" s="1" t="s">
        <v>21</v>
      </c>
      <c r="AB334" s="17" t="s">
        <v>1052</v>
      </c>
      <c r="AC334" s="18" t="s">
        <v>417</v>
      </c>
      <c r="AD334" s="126" t="s">
        <v>1249</v>
      </c>
      <c r="AE334" s="126" t="s">
        <v>1258</v>
      </c>
      <c r="AF334" s="51">
        <v>1</v>
      </c>
      <c r="AG334" s="10"/>
      <c r="AM334"/>
    </row>
    <row r="335" spans="2:39" hidden="1" x14ac:dyDescent="0.25">
      <c r="B335" s="1">
        <v>323</v>
      </c>
      <c r="C335" s="1">
        <v>0</v>
      </c>
      <c r="D335" s="1" t="s">
        <v>212</v>
      </c>
      <c r="E335" s="1" t="s">
        <v>91</v>
      </c>
      <c r="F335" s="1" t="s">
        <v>96</v>
      </c>
      <c r="G335" s="1" t="s">
        <v>96</v>
      </c>
      <c r="H335" s="1" t="s">
        <v>1070</v>
      </c>
      <c r="I335" s="1"/>
      <c r="J335" s="1" t="s">
        <v>85</v>
      </c>
      <c r="K335" s="1" t="s">
        <v>312</v>
      </c>
      <c r="L335" s="1" t="s">
        <v>452</v>
      </c>
      <c r="M335" s="1">
        <v>0</v>
      </c>
      <c r="N335" s="1">
        <v>0</v>
      </c>
      <c r="O335" s="1">
        <v>0</v>
      </c>
      <c r="P335" s="1">
        <v>0</v>
      </c>
      <c r="Q335" s="1">
        <v>0</v>
      </c>
      <c r="R335" s="1">
        <v>0</v>
      </c>
      <c r="S335" s="1">
        <v>0</v>
      </c>
      <c r="T335" s="1">
        <v>3</v>
      </c>
      <c r="U335" s="1"/>
      <c r="V335" s="1"/>
      <c r="W335" s="1"/>
      <c r="X335" s="1"/>
      <c r="Y335" s="1"/>
      <c r="Z335" s="1" t="s">
        <v>21</v>
      </c>
      <c r="AA335" s="1" t="s">
        <v>21</v>
      </c>
      <c r="AB335" s="17" t="s">
        <v>1052</v>
      </c>
      <c r="AC335" s="18" t="s">
        <v>417</v>
      </c>
      <c r="AD335" s="126" t="s">
        <v>1249</v>
      </c>
      <c r="AE335" s="126" t="s">
        <v>1260</v>
      </c>
      <c r="AF335" s="51">
        <v>1</v>
      </c>
      <c r="AG335" s="10"/>
      <c r="AM335"/>
    </row>
    <row r="336" spans="2:39" ht="15" hidden="1" customHeight="1" x14ac:dyDescent="0.25">
      <c r="B336" s="1">
        <v>324</v>
      </c>
      <c r="C336" s="1">
        <v>0</v>
      </c>
      <c r="D336" s="1" t="s">
        <v>212</v>
      </c>
      <c r="E336" s="1" t="s">
        <v>91</v>
      </c>
      <c r="F336" s="1" t="s">
        <v>96</v>
      </c>
      <c r="G336" s="1" t="s">
        <v>96</v>
      </c>
      <c r="H336" s="1" t="s">
        <v>1073</v>
      </c>
      <c r="I336" s="1"/>
      <c r="J336" s="1" t="s">
        <v>86</v>
      </c>
      <c r="K336" s="1" t="s">
        <v>312</v>
      </c>
      <c r="L336" s="1" t="s">
        <v>452</v>
      </c>
      <c r="M336" s="1">
        <v>0</v>
      </c>
      <c r="N336" s="1">
        <v>0</v>
      </c>
      <c r="O336" s="1">
        <v>0</v>
      </c>
      <c r="P336" s="1">
        <v>0</v>
      </c>
      <c r="Q336" s="1">
        <v>0</v>
      </c>
      <c r="R336" s="1">
        <v>0</v>
      </c>
      <c r="S336" s="1">
        <v>0</v>
      </c>
      <c r="T336" s="1">
        <v>3</v>
      </c>
      <c r="U336" s="1"/>
      <c r="V336" s="1"/>
      <c r="W336" s="1"/>
      <c r="X336" s="1"/>
      <c r="Y336" s="1"/>
      <c r="Z336" s="1" t="s">
        <v>21</v>
      </c>
      <c r="AA336" s="1" t="s">
        <v>21</v>
      </c>
      <c r="AB336" s="17" t="s">
        <v>1052</v>
      </c>
      <c r="AC336" s="18" t="s">
        <v>417</v>
      </c>
      <c r="AD336" s="126" t="s">
        <v>1249</v>
      </c>
      <c r="AE336" s="126" t="s">
        <v>1256</v>
      </c>
      <c r="AF336" s="51">
        <v>0.5</v>
      </c>
      <c r="AG336" s="10" t="s">
        <v>1074</v>
      </c>
      <c r="AM336"/>
    </row>
    <row r="337" spans="2:39" ht="15" hidden="1" customHeight="1" x14ac:dyDescent="0.25">
      <c r="B337" s="1">
        <v>325</v>
      </c>
      <c r="C337" s="1">
        <v>0</v>
      </c>
      <c r="D337" s="1" t="s">
        <v>386</v>
      </c>
      <c r="E337" s="1" t="s">
        <v>294</v>
      </c>
      <c r="F337" s="1" t="s">
        <v>57</v>
      </c>
      <c r="G337" s="1" t="s">
        <v>250</v>
      </c>
      <c r="H337" s="1" t="s">
        <v>1095</v>
      </c>
      <c r="I337" s="1"/>
      <c r="J337" s="1" t="s">
        <v>87</v>
      </c>
      <c r="K337" s="1" t="s">
        <v>453</v>
      </c>
      <c r="L337" s="1" t="s">
        <v>12</v>
      </c>
      <c r="M337" s="1">
        <v>0</v>
      </c>
      <c r="N337" s="1">
        <v>0</v>
      </c>
      <c r="O337" s="1">
        <v>0</v>
      </c>
      <c r="P337" s="1">
        <v>0</v>
      </c>
      <c r="Q337" s="1">
        <v>4</v>
      </c>
      <c r="R337" s="1"/>
      <c r="S337" s="35"/>
      <c r="T337" s="35"/>
      <c r="U337" s="1"/>
      <c r="V337" s="1"/>
      <c r="W337" s="1"/>
      <c r="X337" s="1">
        <v>0</v>
      </c>
      <c r="Y337" s="1"/>
      <c r="Z337" s="1" t="s">
        <v>32</v>
      </c>
      <c r="AA337" s="1" t="s">
        <v>32</v>
      </c>
      <c r="AB337" s="17"/>
      <c r="AC337" s="18"/>
      <c r="AD337" s="125"/>
      <c r="AE337" s="126" t="s">
        <v>1101</v>
      </c>
      <c r="AF337" s="60">
        <v>0.8</v>
      </c>
      <c r="AG337" s="10"/>
      <c r="AM337"/>
    </row>
    <row r="338" spans="2:39" ht="15" hidden="1" customHeight="1" x14ac:dyDescent="0.25">
      <c r="B338" s="1">
        <v>326</v>
      </c>
      <c r="C338" s="1">
        <v>0</v>
      </c>
      <c r="D338" s="1" t="s">
        <v>386</v>
      </c>
      <c r="E338" s="1" t="s">
        <v>294</v>
      </c>
      <c r="F338" s="1" t="s">
        <v>57</v>
      </c>
      <c r="G338" s="1" t="s">
        <v>250</v>
      </c>
      <c r="H338" s="1" t="s">
        <v>1096</v>
      </c>
      <c r="I338" s="1"/>
      <c r="J338" s="1" t="s">
        <v>87</v>
      </c>
      <c r="K338" s="1" t="s">
        <v>453</v>
      </c>
      <c r="L338" s="1" t="s">
        <v>12</v>
      </c>
      <c r="M338" s="1">
        <v>0</v>
      </c>
      <c r="N338" s="1">
        <v>0</v>
      </c>
      <c r="O338" s="1">
        <v>0</v>
      </c>
      <c r="P338" s="1">
        <v>0</v>
      </c>
      <c r="Q338" s="1">
        <v>4</v>
      </c>
      <c r="R338" s="1"/>
      <c r="S338" s="35"/>
      <c r="T338" s="35"/>
      <c r="U338" s="1"/>
      <c r="V338" s="1"/>
      <c r="W338" s="1"/>
      <c r="X338" s="1">
        <v>0</v>
      </c>
      <c r="Y338" s="1"/>
      <c r="Z338" s="1" t="s">
        <v>32</v>
      </c>
      <c r="AA338" s="1" t="s">
        <v>32</v>
      </c>
      <c r="AB338" s="17"/>
      <c r="AC338" s="18"/>
      <c r="AD338" s="125"/>
      <c r="AE338" s="126" t="s">
        <v>1102</v>
      </c>
      <c r="AF338" s="60">
        <v>0.8</v>
      </c>
      <c r="AG338" s="10"/>
      <c r="AM338"/>
    </row>
    <row r="339" spans="2:39" ht="15" hidden="1" customHeight="1" x14ac:dyDescent="0.25">
      <c r="B339" s="1">
        <v>327</v>
      </c>
      <c r="C339" s="1">
        <v>0</v>
      </c>
      <c r="D339" s="1" t="s">
        <v>386</v>
      </c>
      <c r="E339" s="1" t="s">
        <v>294</v>
      </c>
      <c r="F339" s="1" t="s">
        <v>57</v>
      </c>
      <c r="G339" s="1" t="s">
        <v>250</v>
      </c>
      <c r="H339" s="1" t="s">
        <v>1097</v>
      </c>
      <c r="I339" s="1"/>
      <c r="J339" s="1" t="s">
        <v>87</v>
      </c>
      <c r="K339" s="1" t="s">
        <v>453</v>
      </c>
      <c r="L339" s="1" t="s">
        <v>12</v>
      </c>
      <c r="M339" s="1">
        <v>0</v>
      </c>
      <c r="N339" s="1">
        <v>0</v>
      </c>
      <c r="O339" s="1">
        <v>0</v>
      </c>
      <c r="P339" s="1">
        <v>0</v>
      </c>
      <c r="Q339" s="1">
        <v>4</v>
      </c>
      <c r="R339" s="1"/>
      <c r="S339" s="35"/>
      <c r="T339" s="35"/>
      <c r="U339" s="1"/>
      <c r="V339" s="1"/>
      <c r="W339" s="1"/>
      <c r="X339" s="1">
        <v>0</v>
      </c>
      <c r="Y339" s="1"/>
      <c r="Z339" s="1" t="s">
        <v>32</v>
      </c>
      <c r="AA339" s="1" t="s">
        <v>32</v>
      </c>
      <c r="AB339" s="17"/>
      <c r="AC339" s="18"/>
      <c r="AD339" s="125"/>
      <c r="AE339" s="126" t="s">
        <v>1103</v>
      </c>
      <c r="AF339" s="60">
        <v>0.8</v>
      </c>
      <c r="AG339" s="10"/>
      <c r="AM339"/>
    </row>
    <row r="340" spans="2:39" ht="15" hidden="1" customHeight="1" x14ac:dyDescent="0.25">
      <c r="B340" s="1">
        <v>328</v>
      </c>
      <c r="C340" s="1">
        <v>0</v>
      </c>
      <c r="D340" s="1" t="s">
        <v>386</v>
      </c>
      <c r="E340" s="1" t="s">
        <v>294</v>
      </c>
      <c r="F340" s="1" t="s">
        <v>57</v>
      </c>
      <c r="G340" s="1" t="s">
        <v>250</v>
      </c>
      <c r="H340" s="1" t="s">
        <v>1098</v>
      </c>
      <c r="I340" s="1"/>
      <c r="J340" s="1" t="s">
        <v>87</v>
      </c>
      <c r="K340" s="1" t="s">
        <v>453</v>
      </c>
      <c r="L340" s="1" t="s">
        <v>12</v>
      </c>
      <c r="M340" s="1">
        <v>0</v>
      </c>
      <c r="N340" s="1">
        <v>0</v>
      </c>
      <c r="O340" s="1">
        <v>0</v>
      </c>
      <c r="P340" s="1">
        <v>0</v>
      </c>
      <c r="Q340" s="1">
        <v>4</v>
      </c>
      <c r="R340" s="1"/>
      <c r="S340" s="35"/>
      <c r="T340" s="35"/>
      <c r="U340" s="1"/>
      <c r="V340" s="1"/>
      <c r="W340" s="1"/>
      <c r="X340" s="1">
        <v>0</v>
      </c>
      <c r="Y340" s="1"/>
      <c r="Z340" s="1" t="s">
        <v>32</v>
      </c>
      <c r="AA340" s="1" t="s">
        <v>32</v>
      </c>
      <c r="AB340" s="17"/>
      <c r="AC340" s="18"/>
      <c r="AD340" s="125"/>
      <c r="AE340" s="126" t="s">
        <v>1104</v>
      </c>
      <c r="AF340" s="60">
        <v>0.8</v>
      </c>
      <c r="AG340" s="10"/>
      <c r="AM340"/>
    </row>
    <row r="341" spans="2:39" ht="15" hidden="1" customHeight="1" x14ac:dyDescent="0.25">
      <c r="B341" s="1">
        <v>329</v>
      </c>
      <c r="C341" s="1">
        <v>0</v>
      </c>
      <c r="D341" s="1" t="s">
        <v>386</v>
      </c>
      <c r="E341" s="1" t="s">
        <v>294</v>
      </c>
      <c r="F341" s="1" t="s">
        <v>57</v>
      </c>
      <c r="G341" s="1" t="s">
        <v>250</v>
      </c>
      <c r="H341" s="1" t="s">
        <v>1099</v>
      </c>
      <c r="I341" s="1"/>
      <c r="J341" s="1" t="s">
        <v>87</v>
      </c>
      <c r="K341" s="1" t="s">
        <v>453</v>
      </c>
      <c r="L341" s="1" t="s">
        <v>12</v>
      </c>
      <c r="M341" s="1">
        <v>0</v>
      </c>
      <c r="N341" s="1">
        <v>0</v>
      </c>
      <c r="O341" s="1">
        <v>0</v>
      </c>
      <c r="P341" s="1">
        <v>0</v>
      </c>
      <c r="Q341" s="1">
        <v>4</v>
      </c>
      <c r="R341" s="1"/>
      <c r="S341" s="35"/>
      <c r="T341" s="35"/>
      <c r="U341" s="1"/>
      <c r="V341" s="1"/>
      <c r="W341" s="1"/>
      <c r="X341" s="1">
        <v>0</v>
      </c>
      <c r="Y341" s="1"/>
      <c r="Z341" s="1" t="s">
        <v>32</v>
      </c>
      <c r="AA341" s="1" t="s">
        <v>32</v>
      </c>
      <c r="AB341" s="17"/>
      <c r="AC341" s="18"/>
      <c r="AD341" s="125"/>
      <c r="AE341" s="126" t="s">
        <v>1105</v>
      </c>
      <c r="AF341" s="60">
        <v>0.8</v>
      </c>
      <c r="AG341" s="10"/>
      <c r="AM341"/>
    </row>
    <row r="342" spans="2:39" hidden="1" x14ac:dyDescent="0.25">
      <c r="B342" s="1">
        <v>330</v>
      </c>
      <c r="C342" s="1">
        <v>0</v>
      </c>
      <c r="D342" s="1" t="s">
        <v>386</v>
      </c>
      <c r="E342" s="1" t="s">
        <v>294</v>
      </c>
      <c r="F342" s="1" t="s">
        <v>57</v>
      </c>
      <c r="G342" s="1" t="s">
        <v>250</v>
      </c>
      <c r="H342" s="1" t="s">
        <v>1100</v>
      </c>
      <c r="I342" s="1"/>
      <c r="J342" s="1" t="s">
        <v>87</v>
      </c>
      <c r="K342" s="1" t="s">
        <v>453</v>
      </c>
      <c r="L342" s="1" t="s">
        <v>12</v>
      </c>
      <c r="M342" s="1">
        <v>0</v>
      </c>
      <c r="N342" s="1">
        <v>0</v>
      </c>
      <c r="O342" s="1">
        <v>0</v>
      </c>
      <c r="P342" s="1">
        <v>0</v>
      </c>
      <c r="Q342" s="1">
        <v>4</v>
      </c>
      <c r="R342" s="1"/>
      <c r="S342" s="1"/>
      <c r="T342" s="1"/>
      <c r="U342" s="1"/>
      <c r="V342" s="1"/>
      <c r="W342" s="1"/>
      <c r="X342" s="1">
        <v>0</v>
      </c>
      <c r="Y342" s="1"/>
      <c r="Z342" s="1" t="s">
        <v>32</v>
      </c>
      <c r="AA342" s="1" t="s">
        <v>32</v>
      </c>
      <c r="AB342" s="17"/>
      <c r="AC342" s="18"/>
      <c r="AD342" s="125"/>
      <c r="AE342" s="126" t="s">
        <v>1106</v>
      </c>
      <c r="AF342" s="95">
        <v>0.8</v>
      </c>
      <c r="AG342" s="10"/>
      <c r="AH342" s="10"/>
      <c r="AM342"/>
    </row>
    <row r="343" spans="2:39" ht="15" customHeight="1" x14ac:dyDescent="0.25">
      <c r="B343" s="1">
        <v>331</v>
      </c>
      <c r="C343" s="1">
        <v>1</v>
      </c>
      <c r="D343" s="1" t="s">
        <v>212</v>
      </c>
      <c r="E343" s="1" t="s">
        <v>91</v>
      </c>
      <c r="F343" s="1" t="s">
        <v>1087</v>
      </c>
      <c r="G343" s="1" t="s">
        <v>1087</v>
      </c>
      <c r="H343" s="1" t="s">
        <v>1327</v>
      </c>
      <c r="I343" s="1"/>
      <c r="J343" s="1" t="s">
        <v>85</v>
      </c>
      <c r="K343" s="1" t="s">
        <v>1317</v>
      </c>
      <c r="L343" s="1" t="s">
        <v>1292</v>
      </c>
      <c r="M343" s="1">
        <v>0</v>
      </c>
      <c r="N343" s="1">
        <v>0</v>
      </c>
      <c r="O343" s="1">
        <v>0</v>
      </c>
      <c r="P343" s="1">
        <v>0</v>
      </c>
      <c r="Q343" s="1">
        <v>0</v>
      </c>
      <c r="R343" s="1">
        <v>0</v>
      </c>
      <c r="S343" s="1">
        <v>2</v>
      </c>
      <c r="T343" s="1">
        <v>3</v>
      </c>
      <c r="U343" s="1">
        <v>0</v>
      </c>
      <c r="V343" s="1">
        <v>4</v>
      </c>
      <c r="W343" s="1">
        <v>3</v>
      </c>
      <c r="X343" s="1">
        <v>0</v>
      </c>
      <c r="Y343" s="1"/>
      <c r="Z343" s="1"/>
      <c r="AA343" s="1" t="s">
        <v>21</v>
      </c>
      <c r="AB343" s="17">
        <v>45701</v>
      </c>
      <c r="AC343" s="18" t="s">
        <v>1049</v>
      </c>
      <c r="AD343" s="126" t="s">
        <v>1320</v>
      </c>
      <c r="AE343" s="126" t="s">
        <v>1332</v>
      </c>
      <c r="AF343" s="51">
        <v>0.8</v>
      </c>
      <c r="AG343" s="10"/>
      <c r="AM343"/>
    </row>
    <row r="344" spans="2:39" ht="15" customHeight="1" x14ac:dyDescent="0.25">
      <c r="B344" s="1">
        <v>332</v>
      </c>
      <c r="C344" s="1">
        <v>1</v>
      </c>
      <c r="D344" s="1" t="s">
        <v>212</v>
      </c>
      <c r="E344" s="1" t="s">
        <v>91</v>
      </c>
      <c r="F344" s="1" t="s">
        <v>1087</v>
      </c>
      <c r="G344" s="1" t="s">
        <v>1087</v>
      </c>
      <c r="H344" s="1" t="s">
        <v>1329</v>
      </c>
      <c r="I344" s="1"/>
      <c r="J344" s="1" t="s">
        <v>86</v>
      </c>
      <c r="K344" s="1" t="s">
        <v>1317</v>
      </c>
      <c r="L344" s="1" t="s">
        <v>1292</v>
      </c>
      <c r="M344" s="1">
        <v>0</v>
      </c>
      <c r="N344" s="1">
        <v>0</v>
      </c>
      <c r="O344" s="1">
        <v>0</v>
      </c>
      <c r="P344" s="1">
        <v>0</v>
      </c>
      <c r="Q344" s="1">
        <v>0</v>
      </c>
      <c r="R344" s="1">
        <v>0</v>
      </c>
      <c r="S344" s="1">
        <v>3</v>
      </c>
      <c r="T344" s="1">
        <v>3</v>
      </c>
      <c r="U344" s="1">
        <v>0</v>
      </c>
      <c r="V344" s="1">
        <v>4</v>
      </c>
      <c r="W344" s="1">
        <v>3</v>
      </c>
      <c r="X344" s="1">
        <v>0</v>
      </c>
      <c r="Y344" s="1"/>
      <c r="Z344" s="1"/>
      <c r="AA344" s="1" t="s">
        <v>21</v>
      </c>
      <c r="AB344" s="17">
        <v>45701</v>
      </c>
      <c r="AC344" s="18" t="s">
        <v>1049</v>
      </c>
      <c r="AD344" s="126" t="s">
        <v>1320</v>
      </c>
      <c r="AE344" s="126" t="s">
        <v>1062</v>
      </c>
      <c r="AF344" s="51">
        <v>0.8</v>
      </c>
      <c r="AG344" s="10"/>
      <c r="AM344"/>
    </row>
    <row r="345" spans="2:39" ht="15" hidden="1" customHeight="1" x14ac:dyDescent="0.25">
      <c r="B345" s="1">
        <v>333</v>
      </c>
      <c r="C345" s="1">
        <v>0</v>
      </c>
      <c r="D345" s="1" t="s">
        <v>212</v>
      </c>
      <c r="E345" s="1" t="s">
        <v>91</v>
      </c>
      <c r="F345" s="1" t="s">
        <v>1087</v>
      </c>
      <c r="G345" s="1" t="s">
        <v>1087</v>
      </c>
      <c r="H345" s="1" t="s">
        <v>1304</v>
      </c>
      <c r="I345" s="1"/>
      <c r="J345" s="1" t="s">
        <v>86</v>
      </c>
      <c r="K345" s="1" t="s">
        <v>1049</v>
      </c>
      <c r="L345" s="1" t="s">
        <v>408</v>
      </c>
      <c r="M345" s="1"/>
      <c r="N345" s="1"/>
      <c r="O345" s="1"/>
      <c r="P345" s="1"/>
      <c r="Q345" s="1"/>
      <c r="R345" s="1"/>
      <c r="S345" s="1">
        <v>2</v>
      </c>
      <c r="T345" s="1">
        <v>3</v>
      </c>
      <c r="U345" s="1"/>
      <c r="V345" s="1"/>
      <c r="W345" s="1"/>
      <c r="X345" s="1"/>
      <c r="Y345" s="1"/>
      <c r="Z345" s="1"/>
      <c r="AA345" s="1" t="s">
        <v>21</v>
      </c>
      <c r="AB345" s="17"/>
      <c r="AC345" s="18"/>
      <c r="AD345" s="126"/>
      <c r="AE345" s="126"/>
      <c r="AF345" s="51"/>
      <c r="AG345" s="10"/>
      <c r="AM345"/>
    </row>
    <row r="346" spans="2:39" ht="15" customHeight="1" x14ac:dyDescent="0.25">
      <c r="B346" s="1">
        <v>335</v>
      </c>
      <c r="C346" s="1">
        <v>1</v>
      </c>
      <c r="D346" s="1" t="s">
        <v>212</v>
      </c>
      <c r="E346" s="1" t="s">
        <v>91</v>
      </c>
      <c r="F346" s="1" t="s">
        <v>1087</v>
      </c>
      <c r="G346" s="1" t="s">
        <v>1087</v>
      </c>
      <c r="H346" s="1" t="s">
        <v>1330</v>
      </c>
      <c r="I346" s="1"/>
      <c r="J346" s="1" t="s">
        <v>86</v>
      </c>
      <c r="K346" s="1" t="s">
        <v>1317</v>
      </c>
      <c r="L346" s="1" t="s">
        <v>1292</v>
      </c>
      <c r="M346" s="1">
        <v>0</v>
      </c>
      <c r="N346" s="1">
        <v>0</v>
      </c>
      <c r="O346" s="1">
        <v>0</v>
      </c>
      <c r="P346" s="1">
        <v>0</v>
      </c>
      <c r="Q346" s="1">
        <v>0</v>
      </c>
      <c r="R346" s="1">
        <v>0</v>
      </c>
      <c r="S346" s="1">
        <v>3</v>
      </c>
      <c r="T346" s="1">
        <v>3</v>
      </c>
      <c r="U346" s="1">
        <v>0</v>
      </c>
      <c r="V346" s="1">
        <v>4</v>
      </c>
      <c r="W346" s="1">
        <v>4</v>
      </c>
      <c r="X346" s="1">
        <v>0</v>
      </c>
      <c r="Y346" s="1"/>
      <c r="Z346" s="1"/>
      <c r="AA346" s="1" t="s">
        <v>21</v>
      </c>
      <c r="AB346" s="17">
        <v>45701</v>
      </c>
      <c r="AC346" s="18" t="s">
        <v>1049</v>
      </c>
      <c r="AD346" s="126" t="s">
        <v>1320</v>
      </c>
      <c r="AE346" s="126" t="s">
        <v>1333</v>
      </c>
      <c r="AF346" s="51">
        <v>0.5</v>
      </c>
      <c r="AG346" s="10"/>
      <c r="AM346"/>
    </row>
    <row r="347" spans="2:39" x14ac:dyDescent="0.25">
      <c r="B347" s="1">
        <v>336</v>
      </c>
      <c r="C347" s="1">
        <v>1</v>
      </c>
      <c r="D347" s="1" t="s">
        <v>383</v>
      </c>
      <c r="E347" s="1" t="s">
        <v>381</v>
      </c>
      <c r="F347" s="1" t="s">
        <v>380</v>
      </c>
      <c r="G347" s="1"/>
      <c r="H347" s="1" t="s">
        <v>1143</v>
      </c>
      <c r="I347" s="1"/>
      <c r="J347" s="1" t="s">
        <v>85</v>
      </c>
      <c r="K347" s="1" t="s">
        <v>165</v>
      </c>
      <c r="L347" s="1" t="s">
        <v>491</v>
      </c>
      <c r="M347" s="35">
        <v>0</v>
      </c>
      <c r="N347" s="35">
        <v>0</v>
      </c>
      <c r="O347" s="35">
        <v>0</v>
      </c>
      <c r="P347" s="36">
        <v>4</v>
      </c>
      <c r="Q347" s="35">
        <v>0</v>
      </c>
      <c r="R347" s="35">
        <v>3</v>
      </c>
      <c r="S347" s="35">
        <v>0</v>
      </c>
      <c r="T347" s="35">
        <v>3</v>
      </c>
      <c r="U347" s="1"/>
      <c r="V347" s="1"/>
      <c r="W347" s="1"/>
      <c r="X347" s="1">
        <v>0</v>
      </c>
      <c r="Y347" s="1"/>
      <c r="Z347" s="36" t="s">
        <v>21</v>
      </c>
      <c r="AA347" s="1" t="s">
        <v>21</v>
      </c>
      <c r="AB347" s="17"/>
      <c r="AC347" s="18" t="s">
        <v>417</v>
      </c>
      <c r="AD347" s="126" t="s">
        <v>1157</v>
      </c>
      <c r="AE347" s="126" t="s">
        <v>1160</v>
      </c>
      <c r="AF347" s="60">
        <v>0.8</v>
      </c>
      <c r="AG347" s="10"/>
      <c r="AM347"/>
    </row>
    <row r="348" spans="2:39" x14ac:dyDescent="0.25">
      <c r="B348" s="1">
        <v>337</v>
      </c>
      <c r="C348" s="1">
        <v>1</v>
      </c>
      <c r="D348" s="1" t="s">
        <v>383</v>
      </c>
      <c r="E348" s="1" t="s">
        <v>381</v>
      </c>
      <c r="F348" s="1" t="s">
        <v>380</v>
      </c>
      <c r="G348" s="1"/>
      <c r="H348" s="1" t="s">
        <v>1142</v>
      </c>
      <c r="I348" s="1"/>
      <c r="J348" s="1" t="s">
        <v>85</v>
      </c>
      <c r="K348" s="1" t="s">
        <v>165</v>
      </c>
      <c r="L348" s="1" t="s">
        <v>491</v>
      </c>
      <c r="M348" s="35">
        <v>0</v>
      </c>
      <c r="N348" s="35">
        <v>0</v>
      </c>
      <c r="O348" s="35">
        <v>0</v>
      </c>
      <c r="P348" s="36">
        <v>4</v>
      </c>
      <c r="Q348" s="35">
        <v>0</v>
      </c>
      <c r="R348" s="35">
        <v>3</v>
      </c>
      <c r="S348" s="35">
        <v>0</v>
      </c>
      <c r="T348" s="35">
        <v>3</v>
      </c>
      <c r="U348" s="1"/>
      <c r="V348" s="1"/>
      <c r="W348" s="1"/>
      <c r="X348" s="1">
        <v>0</v>
      </c>
      <c r="Y348" s="1"/>
      <c r="Z348" s="36" t="s">
        <v>21</v>
      </c>
      <c r="AA348" s="1" t="s">
        <v>21</v>
      </c>
      <c r="AB348" s="17"/>
      <c r="AC348" s="18" t="s">
        <v>417</v>
      </c>
      <c r="AD348" s="126" t="s">
        <v>1157</v>
      </c>
      <c r="AE348" s="126" t="s">
        <v>1160</v>
      </c>
      <c r="AF348" s="62">
        <v>0.9</v>
      </c>
      <c r="AG348" s="10"/>
      <c r="AM348"/>
    </row>
    <row r="349" spans="2:39" x14ac:dyDescent="0.25">
      <c r="B349" s="1">
        <v>338</v>
      </c>
      <c r="C349" s="1">
        <v>1</v>
      </c>
      <c r="D349" s="1" t="s">
        <v>383</v>
      </c>
      <c r="E349" s="1" t="s">
        <v>381</v>
      </c>
      <c r="F349" s="1" t="s">
        <v>380</v>
      </c>
      <c r="G349" s="1"/>
      <c r="H349" s="1" t="s">
        <v>1145</v>
      </c>
      <c r="I349" s="1"/>
      <c r="J349" s="1" t="s">
        <v>85</v>
      </c>
      <c r="K349" s="1" t="s">
        <v>165</v>
      </c>
      <c r="L349" s="1" t="s">
        <v>491</v>
      </c>
      <c r="M349" s="35">
        <v>0</v>
      </c>
      <c r="N349" s="35">
        <v>0</v>
      </c>
      <c r="O349" s="35">
        <v>0</v>
      </c>
      <c r="P349" s="36">
        <v>4</v>
      </c>
      <c r="Q349" s="35">
        <v>0</v>
      </c>
      <c r="R349" s="35">
        <v>3</v>
      </c>
      <c r="S349" s="35">
        <v>0</v>
      </c>
      <c r="T349" s="35">
        <v>3</v>
      </c>
      <c r="U349" s="1"/>
      <c r="V349" s="1"/>
      <c r="W349" s="1"/>
      <c r="X349" s="1">
        <v>0</v>
      </c>
      <c r="Y349" s="1"/>
      <c r="Z349" s="36" t="s">
        <v>21</v>
      </c>
      <c r="AA349" s="1" t="s">
        <v>21</v>
      </c>
      <c r="AB349" s="17"/>
      <c r="AC349" s="18" t="s">
        <v>417</v>
      </c>
      <c r="AD349" s="126" t="s">
        <v>1157</v>
      </c>
      <c r="AE349" s="126" t="s">
        <v>1160</v>
      </c>
      <c r="AF349" s="62">
        <v>0.9</v>
      </c>
      <c r="AG349" s="10"/>
      <c r="AM349"/>
    </row>
    <row r="350" spans="2:39" x14ac:dyDescent="0.25">
      <c r="B350" s="1">
        <v>339</v>
      </c>
      <c r="C350" s="1">
        <v>1</v>
      </c>
      <c r="D350" s="1" t="s">
        <v>383</v>
      </c>
      <c r="E350" s="1" t="s">
        <v>381</v>
      </c>
      <c r="F350" s="1" t="s">
        <v>380</v>
      </c>
      <c r="G350" s="1"/>
      <c r="H350" s="1" t="s">
        <v>1146</v>
      </c>
      <c r="I350" s="1"/>
      <c r="J350" s="1" t="s">
        <v>85</v>
      </c>
      <c r="K350" s="1" t="s">
        <v>165</v>
      </c>
      <c r="L350" s="1" t="s">
        <v>491</v>
      </c>
      <c r="M350" s="35">
        <v>0</v>
      </c>
      <c r="N350" s="35">
        <v>0</v>
      </c>
      <c r="O350" s="35">
        <v>0</v>
      </c>
      <c r="P350" s="36">
        <v>4</v>
      </c>
      <c r="Q350" s="35">
        <v>0</v>
      </c>
      <c r="R350" s="35">
        <v>3</v>
      </c>
      <c r="S350" s="35">
        <v>0</v>
      </c>
      <c r="T350" s="35">
        <v>3</v>
      </c>
      <c r="U350" s="1"/>
      <c r="V350" s="1"/>
      <c r="W350" s="1"/>
      <c r="X350" s="1">
        <v>0</v>
      </c>
      <c r="Y350" s="1"/>
      <c r="Z350" s="36" t="s">
        <v>21</v>
      </c>
      <c r="AA350" s="1" t="s">
        <v>21</v>
      </c>
      <c r="AB350" s="17"/>
      <c r="AC350" s="18" t="s">
        <v>417</v>
      </c>
      <c r="AD350" s="126" t="s">
        <v>1157</v>
      </c>
      <c r="AE350" s="126" t="s">
        <v>1160</v>
      </c>
      <c r="AF350" s="62">
        <v>0.9</v>
      </c>
      <c r="AG350" s="10"/>
      <c r="AM350"/>
    </row>
    <row r="351" spans="2:39" x14ac:dyDescent="0.25">
      <c r="B351" s="1">
        <v>340</v>
      </c>
      <c r="C351" s="1">
        <v>1</v>
      </c>
      <c r="D351" s="1" t="s">
        <v>383</v>
      </c>
      <c r="E351" s="1" t="s">
        <v>381</v>
      </c>
      <c r="F351" s="1" t="s">
        <v>380</v>
      </c>
      <c r="G351" s="1"/>
      <c r="H351" s="1" t="s">
        <v>1147</v>
      </c>
      <c r="I351" s="1"/>
      <c r="J351" s="1" t="s">
        <v>85</v>
      </c>
      <c r="K351" s="1" t="s">
        <v>165</v>
      </c>
      <c r="L351" s="1" t="s">
        <v>491</v>
      </c>
      <c r="M351" s="35">
        <v>0</v>
      </c>
      <c r="N351" s="35">
        <v>0</v>
      </c>
      <c r="O351" s="35">
        <v>0</v>
      </c>
      <c r="P351" s="36">
        <v>4</v>
      </c>
      <c r="Q351" s="35">
        <v>0</v>
      </c>
      <c r="R351" s="35">
        <v>3</v>
      </c>
      <c r="S351" s="35">
        <v>0</v>
      </c>
      <c r="T351" s="35">
        <v>3</v>
      </c>
      <c r="U351" s="1"/>
      <c r="V351" s="1"/>
      <c r="W351" s="1"/>
      <c r="X351" s="1">
        <v>0</v>
      </c>
      <c r="Y351" s="1"/>
      <c r="Z351" s="36" t="s">
        <v>21</v>
      </c>
      <c r="AA351" s="1" t="s">
        <v>21</v>
      </c>
      <c r="AB351" s="17"/>
      <c r="AC351" s="18" t="s">
        <v>417</v>
      </c>
      <c r="AD351" s="126" t="s">
        <v>1157</v>
      </c>
      <c r="AE351" s="126" t="s">
        <v>1160</v>
      </c>
      <c r="AF351" s="62">
        <v>0.9</v>
      </c>
      <c r="AG351" s="10"/>
      <c r="AM351"/>
    </row>
    <row r="352" spans="2:39" x14ac:dyDescent="0.25">
      <c r="B352" s="1">
        <v>341</v>
      </c>
      <c r="C352" s="1">
        <v>1</v>
      </c>
      <c r="D352" s="1" t="s">
        <v>383</v>
      </c>
      <c r="E352" s="1" t="s">
        <v>381</v>
      </c>
      <c r="F352" s="1" t="s">
        <v>380</v>
      </c>
      <c r="G352" s="1"/>
      <c r="H352" s="1" t="s">
        <v>1148</v>
      </c>
      <c r="I352" s="1"/>
      <c r="J352" s="1" t="s">
        <v>87</v>
      </c>
      <c r="K352" s="1" t="s">
        <v>165</v>
      </c>
      <c r="L352" s="1" t="s">
        <v>491</v>
      </c>
      <c r="M352" s="35">
        <v>0</v>
      </c>
      <c r="N352" s="35">
        <v>0</v>
      </c>
      <c r="O352" s="35">
        <v>0</v>
      </c>
      <c r="P352" s="36">
        <v>4</v>
      </c>
      <c r="Q352" s="35">
        <v>0</v>
      </c>
      <c r="R352" s="35">
        <v>3</v>
      </c>
      <c r="S352" s="35">
        <v>0</v>
      </c>
      <c r="T352" s="35">
        <v>3</v>
      </c>
      <c r="U352" s="1"/>
      <c r="V352" s="1"/>
      <c r="W352" s="1"/>
      <c r="X352" s="1">
        <v>0</v>
      </c>
      <c r="Y352" s="1"/>
      <c r="Z352" s="36" t="s">
        <v>21</v>
      </c>
      <c r="AA352" s="1" t="s">
        <v>21</v>
      </c>
      <c r="AB352" s="17"/>
      <c r="AC352" s="18" t="s">
        <v>417</v>
      </c>
      <c r="AD352" s="126" t="s">
        <v>1157</v>
      </c>
      <c r="AE352" s="126" t="s">
        <v>1160</v>
      </c>
      <c r="AF352" s="62">
        <v>0.9</v>
      </c>
      <c r="AG352" s="10"/>
      <c r="AM352"/>
    </row>
    <row r="353" spans="2:39" x14ac:dyDescent="0.25">
      <c r="B353" s="1">
        <v>342</v>
      </c>
      <c r="C353" s="1">
        <v>1</v>
      </c>
      <c r="D353" s="1" t="s">
        <v>383</v>
      </c>
      <c r="E353" s="1" t="s">
        <v>381</v>
      </c>
      <c r="F353" s="1" t="s">
        <v>380</v>
      </c>
      <c r="G353" s="1"/>
      <c r="H353" s="1" t="s">
        <v>1149</v>
      </c>
      <c r="I353" s="1"/>
      <c r="J353" s="1" t="s">
        <v>86</v>
      </c>
      <c r="K353" s="1" t="s">
        <v>165</v>
      </c>
      <c r="L353" s="1" t="s">
        <v>491</v>
      </c>
      <c r="M353" s="35">
        <v>0</v>
      </c>
      <c r="N353" s="35">
        <v>0</v>
      </c>
      <c r="O353" s="35">
        <v>0</v>
      </c>
      <c r="P353" s="36">
        <v>4</v>
      </c>
      <c r="Q353" s="35">
        <v>0</v>
      </c>
      <c r="R353" s="35">
        <v>0</v>
      </c>
      <c r="S353" s="35">
        <v>0</v>
      </c>
      <c r="T353" s="35">
        <v>0</v>
      </c>
      <c r="U353" s="1"/>
      <c r="V353" s="1"/>
      <c r="W353" s="1"/>
      <c r="X353" s="1">
        <v>0</v>
      </c>
      <c r="Y353" s="1"/>
      <c r="Z353" s="37" t="s">
        <v>32</v>
      </c>
      <c r="AA353" s="1" t="s">
        <v>32</v>
      </c>
      <c r="AB353" s="17"/>
      <c r="AC353" s="18" t="s">
        <v>417</v>
      </c>
      <c r="AD353" s="125"/>
      <c r="AE353" s="126" t="s">
        <v>1160</v>
      </c>
      <c r="AF353" s="63">
        <v>0.5</v>
      </c>
      <c r="AG353" s="10"/>
      <c r="AM353"/>
    </row>
    <row r="354" spans="2:39" x14ac:dyDescent="0.25">
      <c r="B354" s="1">
        <v>343</v>
      </c>
      <c r="C354" s="1">
        <v>1</v>
      </c>
      <c r="D354" s="1" t="s">
        <v>383</v>
      </c>
      <c r="E354" s="1" t="s">
        <v>381</v>
      </c>
      <c r="F354" s="1" t="s">
        <v>380</v>
      </c>
      <c r="G354" s="1"/>
      <c r="H354" s="1" t="s">
        <v>1150</v>
      </c>
      <c r="I354" s="1"/>
      <c r="J354" s="1" t="s">
        <v>87</v>
      </c>
      <c r="K354" s="1" t="s">
        <v>165</v>
      </c>
      <c r="L354" s="1" t="s">
        <v>491</v>
      </c>
      <c r="M354" s="35">
        <v>0</v>
      </c>
      <c r="N354" s="35">
        <v>0</v>
      </c>
      <c r="O354" s="35">
        <v>0</v>
      </c>
      <c r="P354" s="36">
        <v>4</v>
      </c>
      <c r="Q354" s="35">
        <v>0</v>
      </c>
      <c r="R354" s="35">
        <v>3</v>
      </c>
      <c r="S354" s="35">
        <v>0</v>
      </c>
      <c r="T354" s="35">
        <v>3</v>
      </c>
      <c r="U354" s="1"/>
      <c r="V354" s="1"/>
      <c r="W354" s="1"/>
      <c r="X354" s="1">
        <v>0</v>
      </c>
      <c r="Y354" s="1"/>
      <c r="Z354" s="36" t="s">
        <v>21</v>
      </c>
      <c r="AA354" s="1" t="s">
        <v>21</v>
      </c>
      <c r="AB354" s="17"/>
      <c r="AC354" s="18" t="s">
        <v>417</v>
      </c>
      <c r="AD354" s="126" t="s">
        <v>1157</v>
      </c>
      <c r="AE354" s="125" t="s">
        <v>1161</v>
      </c>
      <c r="AF354" s="60">
        <v>0.8</v>
      </c>
      <c r="AG354" s="10"/>
      <c r="AM354"/>
    </row>
    <row r="355" spans="2:39" x14ac:dyDescent="0.25">
      <c r="B355" s="1">
        <v>344</v>
      </c>
      <c r="C355" s="1">
        <v>1</v>
      </c>
      <c r="D355" s="1" t="s">
        <v>383</v>
      </c>
      <c r="E355" s="1" t="s">
        <v>381</v>
      </c>
      <c r="F355" s="1" t="s">
        <v>380</v>
      </c>
      <c r="G355" s="1"/>
      <c r="H355" s="1" t="s">
        <v>1151</v>
      </c>
      <c r="I355" s="1"/>
      <c r="J355" s="1" t="s">
        <v>87</v>
      </c>
      <c r="K355" s="1" t="s">
        <v>165</v>
      </c>
      <c r="L355" s="1" t="s">
        <v>491</v>
      </c>
      <c r="M355" s="35">
        <v>0</v>
      </c>
      <c r="N355" s="35">
        <v>0</v>
      </c>
      <c r="O355" s="35">
        <v>0</v>
      </c>
      <c r="P355" s="36">
        <v>4</v>
      </c>
      <c r="Q355" s="35">
        <v>0</v>
      </c>
      <c r="R355" s="35">
        <v>0</v>
      </c>
      <c r="S355" s="35">
        <v>0</v>
      </c>
      <c r="T355" s="35">
        <v>0</v>
      </c>
      <c r="U355" s="1"/>
      <c r="V355" s="1"/>
      <c r="W355" s="1"/>
      <c r="X355" s="1">
        <v>0</v>
      </c>
      <c r="Y355" s="1"/>
      <c r="Z355" s="37" t="s">
        <v>32</v>
      </c>
      <c r="AA355" s="1" t="s">
        <v>32</v>
      </c>
      <c r="AB355" s="17"/>
      <c r="AC355" s="18" t="s">
        <v>417</v>
      </c>
      <c r="AD355" s="125"/>
      <c r="AE355" s="126" t="s">
        <v>1164</v>
      </c>
      <c r="AF355" s="63">
        <v>0.5</v>
      </c>
      <c r="AG355" s="10"/>
      <c r="AM355"/>
    </row>
    <row r="356" spans="2:39" x14ac:dyDescent="0.25">
      <c r="B356" s="1">
        <v>345</v>
      </c>
      <c r="C356" s="1">
        <v>1</v>
      </c>
      <c r="D356" s="1" t="s">
        <v>383</v>
      </c>
      <c r="E356" s="1" t="s">
        <v>381</v>
      </c>
      <c r="F356" s="1" t="s">
        <v>380</v>
      </c>
      <c r="G356" s="1"/>
      <c r="H356" s="1" t="s">
        <v>1153</v>
      </c>
      <c r="I356" s="1"/>
      <c r="J356" s="1" t="s">
        <v>86</v>
      </c>
      <c r="K356" s="1" t="s">
        <v>165</v>
      </c>
      <c r="L356" s="1" t="s">
        <v>491</v>
      </c>
      <c r="M356" s="35">
        <v>0</v>
      </c>
      <c r="N356" s="35">
        <v>0</v>
      </c>
      <c r="O356" s="35">
        <v>0</v>
      </c>
      <c r="P356" s="36">
        <v>4</v>
      </c>
      <c r="Q356" s="35">
        <v>0</v>
      </c>
      <c r="R356" s="35">
        <v>0</v>
      </c>
      <c r="S356" s="35">
        <v>0</v>
      </c>
      <c r="T356" s="35">
        <v>0</v>
      </c>
      <c r="U356" s="1"/>
      <c r="V356" s="1"/>
      <c r="W356" s="1"/>
      <c r="X356" s="1">
        <v>0</v>
      </c>
      <c r="Y356" s="1"/>
      <c r="Z356" s="37" t="s">
        <v>32</v>
      </c>
      <c r="AA356" s="1" t="s">
        <v>32</v>
      </c>
      <c r="AB356" s="17"/>
      <c r="AC356" s="18" t="s">
        <v>417</v>
      </c>
      <c r="AD356" s="125"/>
      <c r="AE356" s="125" t="s">
        <v>1161</v>
      </c>
      <c r="AF356" s="60">
        <v>0.8</v>
      </c>
      <c r="AG356" s="10"/>
      <c r="AM356"/>
    </row>
    <row r="357" spans="2:39" x14ac:dyDescent="0.25">
      <c r="B357" s="1">
        <v>346</v>
      </c>
      <c r="C357" s="1">
        <v>1</v>
      </c>
      <c r="D357" s="1" t="s">
        <v>383</v>
      </c>
      <c r="E357" s="1" t="s">
        <v>381</v>
      </c>
      <c r="F357" s="1" t="s">
        <v>380</v>
      </c>
      <c r="G357" s="1"/>
      <c r="H357" s="1" t="s">
        <v>1154</v>
      </c>
      <c r="I357" s="1"/>
      <c r="J357" s="1" t="s">
        <v>87</v>
      </c>
      <c r="K357" s="1" t="s">
        <v>165</v>
      </c>
      <c r="L357" s="1" t="s">
        <v>491</v>
      </c>
      <c r="M357" s="35">
        <v>0</v>
      </c>
      <c r="N357" s="35">
        <v>0</v>
      </c>
      <c r="O357" s="35">
        <v>0</v>
      </c>
      <c r="P357" s="36">
        <v>4</v>
      </c>
      <c r="Q357" s="35">
        <v>0</v>
      </c>
      <c r="R357" s="35">
        <v>0</v>
      </c>
      <c r="S357" s="35">
        <v>0</v>
      </c>
      <c r="T357" s="35">
        <v>0</v>
      </c>
      <c r="U357" s="1"/>
      <c r="V357" s="1"/>
      <c r="W357" s="1"/>
      <c r="X357" s="1">
        <v>0</v>
      </c>
      <c r="Y357" s="1"/>
      <c r="Z357" s="37" t="s">
        <v>32</v>
      </c>
      <c r="AA357" s="1" t="s">
        <v>32</v>
      </c>
      <c r="AB357" s="17"/>
      <c r="AC357" s="18" t="s">
        <v>417</v>
      </c>
      <c r="AD357" s="125"/>
      <c r="AE357" s="125" t="s">
        <v>1161</v>
      </c>
      <c r="AF357" s="60">
        <v>0.8</v>
      </c>
      <c r="AG357" s="10"/>
      <c r="AM357"/>
    </row>
    <row r="358" spans="2:39" x14ac:dyDescent="0.25">
      <c r="B358" s="1">
        <v>347</v>
      </c>
      <c r="C358" s="1">
        <v>1</v>
      </c>
      <c r="D358" s="1" t="s">
        <v>383</v>
      </c>
      <c r="E358" s="1" t="s">
        <v>381</v>
      </c>
      <c r="F358" s="1" t="s">
        <v>380</v>
      </c>
      <c r="G358" s="1"/>
      <c r="H358" s="1" t="s">
        <v>1156</v>
      </c>
      <c r="I358" s="1"/>
      <c r="J358" s="1" t="s">
        <v>85</v>
      </c>
      <c r="K358" s="1" t="s">
        <v>165</v>
      </c>
      <c r="L358" s="1" t="s">
        <v>491</v>
      </c>
      <c r="M358" s="35">
        <v>0</v>
      </c>
      <c r="N358" s="35">
        <v>0</v>
      </c>
      <c r="O358" s="35">
        <v>0</v>
      </c>
      <c r="P358" s="36">
        <v>4</v>
      </c>
      <c r="Q358" s="35">
        <v>0</v>
      </c>
      <c r="R358" s="35">
        <v>0</v>
      </c>
      <c r="S358" s="35">
        <v>0</v>
      </c>
      <c r="T358" s="35">
        <v>0</v>
      </c>
      <c r="U358" s="1"/>
      <c r="V358" s="1"/>
      <c r="W358" s="1"/>
      <c r="X358" s="1">
        <v>0</v>
      </c>
      <c r="Y358" s="1"/>
      <c r="Z358" s="37" t="s">
        <v>32</v>
      </c>
      <c r="AA358" s="1" t="s">
        <v>32</v>
      </c>
      <c r="AB358" s="17"/>
      <c r="AC358" s="18" t="s">
        <v>417</v>
      </c>
      <c r="AD358" s="125"/>
      <c r="AE358" s="126" t="s">
        <v>1160</v>
      </c>
      <c r="AF358" s="62">
        <v>0.9</v>
      </c>
      <c r="AG358" s="10"/>
      <c r="AM358"/>
    </row>
    <row r="359" spans="2:39" hidden="1" x14ac:dyDescent="0.25">
      <c r="B359" s="1">
        <v>348</v>
      </c>
      <c r="C359" s="1">
        <v>0</v>
      </c>
      <c r="D359" s="1" t="s">
        <v>386</v>
      </c>
      <c r="E359" s="1" t="s">
        <v>294</v>
      </c>
      <c r="F359" s="1" t="s">
        <v>57</v>
      </c>
      <c r="G359" s="1"/>
      <c r="H359" s="1" t="s">
        <v>1165</v>
      </c>
      <c r="I359" s="1"/>
      <c r="J359" s="1" t="s">
        <v>87</v>
      </c>
      <c r="K359" s="1" t="s">
        <v>12</v>
      </c>
      <c r="L359" s="1" t="s">
        <v>453</v>
      </c>
      <c r="M359" s="1">
        <v>0</v>
      </c>
      <c r="N359" s="1">
        <v>0</v>
      </c>
      <c r="O359" s="1">
        <v>0</v>
      </c>
      <c r="P359" s="1">
        <v>0</v>
      </c>
      <c r="Q359" s="1">
        <v>4</v>
      </c>
      <c r="R359" s="1">
        <v>0</v>
      </c>
      <c r="S359" s="1">
        <v>0</v>
      </c>
      <c r="T359" s="1">
        <v>0</v>
      </c>
      <c r="U359" s="1"/>
      <c r="V359" s="1"/>
      <c r="W359" s="1"/>
      <c r="X359" s="1"/>
      <c r="Y359" s="1"/>
      <c r="Z359" s="1" t="s">
        <v>32</v>
      </c>
      <c r="AA359" s="1" t="s">
        <v>32</v>
      </c>
      <c r="AB359" s="17"/>
      <c r="AC359" s="18"/>
      <c r="AD359" s="125"/>
      <c r="AE359" s="125"/>
      <c r="AF359" s="60">
        <v>0.8</v>
      </c>
      <c r="AG359" s="10"/>
      <c r="AM359"/>
    </row>
    <row r="360" spans="2:39" hidden="1" x14ac:dyDescent="0.25">
      <c r="B360" s="1">
        <v>349</v>
      </c>
      <c r="C360" s="1">
        <v>0</v>
      </c>
      <c r="D360" s="1" t="s">
        <v>386</v>
      </c>
      <c r="E360" s="1" t="s">
        <v>294</v>
      </c>
      <c r="F360" s="1" t="s">
        <v>57</v>
      </c>
      <c r="G360" s="1"/>
      <c r="H360" s="1" t="s">
        <v>1172</v>
      </c>
      <c r="I360" s="1"/>
      <c r="J360" s="1" t="s">
        <v>85</v>
      </c>
      <c r="K360" s="1" t="s">
        <v>12</v>
      </c>
      <c r="L360" s="1" t="s">
        <v>453</v>
      </c>
      <c r="M360" s="1">
        <v>0</v>
      </c>
      <c r="N360" s="1">
        <v>0</v>
      </c>
      <c r="O360" s="1">
        <v>0</v>
      </c>
      <c r="P360" s="1">
        <v>0</v>
      </c>
      <c r="Q360" s="1">
        <v>4</v>
      </c>
      <c r="R360" s="1">
        <v>0</v>
      </c>
      <c r="S360" s="1">
        <v>0</v>
      </c>
      <c r="T360" s="1">
        <v>0</v>
      </c>
      <c r="U360" s="1"/>
      <c r="V360" s="1"/>
      <c r="W360" s="1"/>
      <c r="X360" s="1"/>
      <c r="Y360" s="1"/>
      <c r="Z360" s="1" t="s">
        <v>32</v>
      </c>
      <c r="AA360" s="1" t="s">
        <v>32</v>
      </c>
      <c r="AB360" s="17"/>
      <c r="AC360" s="18"/>
      <c r="AD360" s="125"/>
      <c r="AE360" s="125"/>
      <c r="AF360" s="62">
        <v>0.9</v>
      </c>
      <c r="AG360" s="10"/>
      <c r="AM360"/>
    </row>
    <row r="361" spans="2:39" hidden="1" x14ac:dyDescent="0.25">
      <c r="B361" s="1">
        <v>350</v>
      </c>
      <c r="C361" s="1">
        <v>0</v>
      </c>
      <c r="D361" s="1" t="s">
        <v>386</v>
      </c>
      <c r="E361" s="1" t="s">
        <v>294</v>
      </c>
      <c r="F361" s="1" t="s">
        <v>57</v>
      </c>
      <c r="G361" s="1"/>
      <c r="H361" s="1" t="s">
        <v>1170</v>
      </c>
      <c r="I361" s="1"/>
      <c r="J361" s="1" t="s">
        <v>86</v>
      </c>
      <c r="K361" s="1" t="s">
        <v>12</v>
      </c>
      <c r="L361" s="1" t="s">
        <v>453</v>
      </c>
      <c r="M361" s="1">
        <v>0</v>
      </c>
      <c r="N361" s="1">
        <v>0</v>
      </c>
      <c r="O361" s="1">
        <v>0</v>
      </c>
      <c r="P361" s="1">
        <v>0</v>
      </c>
      <c r="Q361" s="1">
        <v>4</v>
      </c>
      <c r="R361" s="1">
        <v>0</v>
      </c>
      <c r="S361" s="1">
        <v>0</v>
      </c>
      <c r="T361" s="1">
        <v>0</v>
      </c>
      <c r="U361" s="1"/>
      <c r="V361" s="1"/>
      <c r="W361" s="1"/>
      <c r="X361" s="1"/>
      <c r="Y361" s="1"/>
      <c r="Z361" s="1" t="s">
        <v>32</v>
      </c>
      <c r="AA361" s="1" t="s">
        <v>32</v>
      </c>
      <c r="AB361" s="17"/>
      <c r="AC361" s="18"/>
      <c r="AD361" s="125"/>
      <c r="AE361" s="125"/>
      <c r="AF361" s="95">
        <v>0</v>
      </c>
      <c r="AG361" s="10"/>
      <c r="AM361"/>
    </row>
    <row r="362" spans="2:39" x14ac:dyDescent="0.25">
      <c r="B362" s="1">
        <v>351</v>
      </c>
      <c r="C362" s="1">
        <v>1</v>
      </c>
      <c r="D362" s="1" t="s">
        <v>1178</v>
      </c>
      <c r="E362" s="1" t="s">
        <v>10</v>
      </c>
      <c r="F362" s="1" t="s">
        <v>113</v>
      </c>
      <c r="G362" s="1"/>
      <c r="H362" s="1" t="s">
        <v>1180</v>
      </c>
      <c r="I362" s="1" t="s">
        <v>1267</v>
      </c>
      <c r="J362" s="1" t="s">
        <v>85</v>
      </c>
      <c r="K362" s="1" t="s">
        <v>1292</v>
      </c>
      <c r="L362" s="1" t="s">
        <v>502</v>
      </c>
      <c r="M362" s="1"/>
      <c r="N362" s="1"/>
      <c r="O362" s="1"/>
      <c r="P362" s="1"/>
      <c r="Q362" s="1"/>
      <c r="R362" s="1"/>
      <c r="S362" s="35">
        <v>4</v>
      </c>
      <c r="T362" s="35"/>
      <c r="U362" s="1"/>
      <c r="V362" s="1">
        <v>4</v>
      </c>
      <c r="W362" s="1"/>
      <c r="X362" s="1">
        <v>0</v>
      </c>
      <c r="Y362" s="1">
        <v>2</v>
      </c>
      <c r="Z362" s="1" t="s">
        <v>21</v>
      </c>
      <c r="AA362" s="1" t="s">
        <v>21</v>
      </c>
      <c r="AB362" s="17">
        <v>45244</v>
      </c>
      <c r="AC362" s="18" t="s">
        <v>330</v>
      </c>
      <c r="AD362" s="125"/>
      <c r="AE362" s="126" t="s">
        <v>1273</v>
      </c>
      <c r="AF362" s="112">
        <v>0.9</v>
      </c>
      <c r="AG362" s="10"/>
      <c r="AM362"/>
    </row>
    <row r="363" spans="2:39" x14ac:dyDescent="0.25">
      <c r="B363" s="1">
        <v>352</v>
      </c>
      <c r="C363" s="1">
        <v>1</v>
      </c>
      <c r="D363" s="1" t="s">
        <v>1178</v>
      </c>
      <c r="E363" s="1" t="s">
        <v>1179</v>
      </c>
      <c r="F363" s="1" t="s">
        <v>113</v>
      </c>
      <c r="G363" s="1"/>
      <c r="H363" s="1" t="s">
        <v>1181</v>
      </c>
      <c r="I363" s="1" t="s">
        <v>1161</v>
      </c>
      <c r="J363" s="1" t="s">
        <v>87</v>
      </c>
      <c r="K363" s="1" t="s">
        <v>1292</v>
      </c>
      <c r="L363" s="1" t="s">
        <v>502</v>
      </c>
      <c r="M363" s="1"/>
      <c r="N363" s="1"/>
      <c r="O363" s="1"/>
      <c r="P363" s="1"/>
      <c r="Q363" s="1"/>
      <c r="R363" s="1"/>
      <c r="S363" s="35">
        <v>4</v>
      </c>
      <c r="T363" s="35"/>
      <c r="U363" s="1"/>
      <c r="V363" s="1">
        <v>4</v>
      </c>
      <c r="W363" s="1"/>
      <c r="X363" s="1">
        <v>0</v>
      </c>
      <c r="Y363" s="1">
        <v>0</v>
      </c>
      <c r="Z363" s="1" t="s">
        <v>21</v>
      </c>
      <c r="AA363" s="1" t="s">
        <v>21</v>
      </c>
      <c r="AB363" s="17">
        <v>45244</v>
      </c>
      <c r="AC363" s="18" t="s">
        <v>330</v>
      </c>
      <c r="AD363" s="125"/>
      <c r="AE363" s="126" t="s">
        <v>1273</v>
      </c>
      <c r="AF363" s="112">
        <v>0.9</v>
      </c>
      <c r="AG363" s="10"/>
      <c r="AM363"/>
    </row>
    <row r="364" spans="2:39" hidden="1" x14ac:dyDescent="0.25">
      <c r="B364" s="1">
        <v>353</v>
      </c>
      <c r="C364" s="1">
        <v>0</v>
      </c>
      <c r="D364" s="1" t="s">
        <v>109</v>
      </c>
      <c r="E364" s="1" t="s">
        <v>294</v>
      </c>
      <c r="F364" s="1" t="s">
        <v>109</v>
      </c>
      <c r="G364" s="1" t="s">
        <v>1176</v>
      </c>
      <c r="H364" s="1" t="s">
        <v>1177</v>
      </c>
      <c r="I364" s="1" t="s">
        <v>1161</v>
      </c>
      <c r="J364" s="1" t="s">
        <v>85</v>
      </c>
      <c r="K364" s="1" t="s">
        <v>408</v>
      </c>
      <c r="L364" s="1" t="s">
        <v>1292</v>
      </c>
      <c r="M364" s="1"/>
      <c r="N364" s="1"/>
      <c r="O364" s="1"/>
      <c r="P364" s="1"/>
      <c r="Q364" s="1"/>
      <c r="R364" s="1"/>
      <c r="S364" s="35">
        <v>4</v>
      </c>
      <c r="T364" s="35"/>
      <c r="U364" s="1"/>
      <c r="V364" s="1"/>
      <c r="W364" s="1"/>
      <c r="X364" s="1"/>
      <c r="Y364" s="1"/>
      <c r="Z364" s="1" t="s">
        <v>21</v>
      </c>
      <c r="AA364" s="1" t="s">
        <v>21</v>
      </c>
      <c r="AB364" s="17">
        <v>45244</v>
      </c>
      <c r="AC364" s="18" t="s">
        <v>330</v>
      </c>
      <c r="AD364" s="125"/>
      <c r="AE364" s="125" t="s">
        <v>1274</v>
      </c>
      <c r="AF364" s="112">
        <v>0.9</v>
      </c>
      <c r="AG364" s="10"/>
      <c r="AM364"/>
    </row>
    <row r="365" spans="2:39" hidden="1" x14ac:dyDescent="0.25">
      <c r="B365" s="1">
        <v>354</v>
      </c>
      <c r="C365" s="1">
        <v>0</v>
      </c>
      <c r="D365" s="1" t="s">
        <v>1173</v>
      </c>
      <c r="E365" s="1" t="s">
        <v>1187</v>
      </c>
      <c r="F365" s="1" t="s">
        <v>1173</v>
      </c>
      <c r="G365" s="1" t="s">
        <v>1190</v>
      </c>
      <c r="H365" s="1" t="s">
        <v>1189</v>
      </c>
      <c r="I365" s="1" t="s">
        <v>1236</v>
      </c>
      <c r="J365" s="1" t="s">
        <v>85</v>
      </c>
      <c r="K365" s="1" t="s">
        <v>1292</v>
      </c>
      <c r="L365" s="1" t="s">
        <v>502</v>
      </c>
      <c r="M365" s="35">
        <v>0</v>
      </c>
      <c r="N365" s="35">
        <v>0</v>
      </c>
      <c r="O365" s="35">
        <v>0</v>
      </c>
      <c r="P365" s="35">
        <v>0</v>
      </c>
      <c r="Q365" s="35">
        <v>0</v>
      </c>
      <c r="R365" s="35">
        <v>0</v>
      </c>
      <c r="S365" s="1">
        <v>3</v>
      </c>
      <c r="T365" s="35">
        <v>0</v>
      </c>
      <c r="U365" s="35">
        <v>0</v>
      </c>
      <c r="V365" s="1">
        <v>3</v>
      </c>
      <c r="W365" s="1"/>
      <c r="X365" s="1"/>
      <c r="Y365" s="1">
        <v>0</v>
      </c>
      <c r="Z365" s="111" t="s">
        <v>54</v>
      </c>
      <c r="AA365" s="1" t="s">
        <v>21</v>
      </c>
      <c r="AB365" s="17">
        <v>45068</v>
      </c>
      <c r="AC365" s="18" t="s">
        <v>408</v>
      </c>
      <c r="AD365" s="125"/>
      <c r="AE365" s="125"/>
      <c r="AF365" s="51">
        <v>0.8</v>
      </c>
      <c r="AG365" s="10"/>
      <c r="AM365"/>
    </row>
    <row r="366" spans="2:39" hidden="1" x14ac:dyDescent="0.25">
      <c r="B366" s="1">
        <v>355</v>
      </c>
      <c r="C366" s="1">
        <v>0</v>
      </c>
      <c r="D366" s="1" t="s">
        <v>1173</v>
      </c>
      <c r="E366" s="1" t="s">
        <v>101</v>
      </c>
      <c r="F366" s="1" t="s">
        <v>1173</v>
      </c>
      <c r="G366" s="1" t="s">
        <v>1174</v>
      </c>
      <c r="H366" s="1" t="s">
        <v>1188</v>
      </c>
      <c r="I366" s="1" t="s">
        <v>1236</v>
      </c>
      <c r="J366" s="1" t="s">
        <v>85</v>
      </c>
      <c r="K366" s="1" t="s">
        <v>1292</v>
      </c>
      <c r="L366" s="1" t="s">
        <v>502</v>
      </c>
      <c r="M366" s="35">
        <v>0</v>
      </c>
      <c r="N366" s="35">
        <v>0</v>
      </c>
      <c r="O366" s="35">
        <v>0</v>
      </c>
      <c r="P366" s="35">
        <v>0</v>
      </c>
      <c r="Q366" s="35">
        <v>0</v>
      </c>
      <c r="R366" s="35">
        <v>0</v>
      </c>
      <c r="S366" s="1">
        <v>3</v>
      </c>
      <c r="T366" s="35">
        <v>0</v>
      </c>
      <c r="U366" s="35">
        <v>0</v>
      </c>
      <c r="V366" s="1">
        <v>3</v>
      </c>
      <c r="W366" s="1"/>
      <c r="X366" s="1"/>
      <c r="Y366" s="1">
        <v>0</v>
      </c>
      <c r="Z366" s="111" t="s">
        <v>54</v>
      </c>
      <c r="AA366" s="1" t="s">
        <v>21</v>
      </c>
      <c r="AB366" s="17">
        <v>45068</v>
      </c>
      <c r="AC366" s="18" t="s">
        <v>408</v>
      </c>
      <c r="AD366" s="125"/>
      <c r="AE366" s="125"/>
      <c r="AF366" s="51">
        <v>0.8</v>
      </c>
      <c r="AG366" s="10"/>
      <c r="AM366"/>
    </row>
    <row r="367" spans="2:39" hidden="1" x14ac:dyDescent="0.25">
      <c r="B367" s="1">
        <v>356</v>
      </c>
      <c r="C367" s="1">
        <v>0</v>
      </c>
      <c r="D367" s="1" t="s">
        <v>1173</v>
      </c>
      <c r="E367" s="1" t="s">
        <v>294</v>
      </c>
      <c r="F367" s="1" t="s">
        <v>1173</v>
      </c>
      <c r="G367" s="1" t="s">
        <v>1173</v>
      </c>
      <c r="H367" s="1" t="s">
        <v>1193</v>
      </c>
      <c r="I367" s="1" t="s">
        <v>1219</v>
      </c>
      <c r="J367" s="1" t="s">
        <v>87</v>
      </c>
      <c r="K367" s="1" t="s">
        <v>1292</v>
      </c>
      <c r="L367" s="1" t="s">
        <v>502</v>
      </c>
      <c r="M367" s="35">
        <v>0</v>
      </c>
      <c r="N367" s="35">
        <v>0</v>
      </c>
      <c r="O367" s="35">
        <v>0</v>
      </c>
      <c r="P367" s="35">
        <v>0</v>
      </c>
      <c r="Q367" s="35">
        <v>0</v>
      </c>
      <c r="R367" s="35">
        <v>0</v>
      </c>
      <c r="S367" s="1">
        <v>3</v>
      </c>
      <c r="T367" s="35">
        <v>0</v>
      </c>
      <c r="U367" s="35">
        <v>0</v>
      </c>
      <c r="V367" s="1">
        <v>3</v>
      </c>
      <c r="W367" s="1"/>
      <c r="X367" s="1"/>
      <c r="Y367" s="1">
        <v>0</v>
      </c>
      <c r="Z367" s="111" t="s">
        <v>54</v>
      </c>
      <c r="AA367" s="1" t="s">
        <v>21</v>
      </c>
      <c r="AB367" s="17">
        <v>45132</v>
      </c>
      <c r="AC367" s="18" t="s">
        <v>408</v>
      </c>
      <c r="AD367" s="125"/>
      <c r="AE367" s="125"/>
      <c r="AF367" s="51">
        <v>0.5</v>
      </c>
      <c r="AG367" s="10"/>
      <c r="AM367"/>
    </row>
    <row r="368" spans="2:39" hidden="1" x14ac:dyDescent="0.25">
      <c r="B368" s="1">
        <v>357</v>
      </c>
      <c r="C368" s="1">
        <v>0</v>
      </c>
      <c r="D368" s="1" t="s">
        <v>1173</v>
      </c>
      <c r="E368" s="1" t="s">
        <v>1192</v>
      </c>
      <c r="F368" s="1" t="s">
        <v>1173</v>
      </c>
      <c r="G368" s="1" t="s">
        <v>1226</v>
      </c>
      <c r="H368" s="1" t="s">
        <v>1243</v>
      </c>
      <c r="I368" s="1" t="s">
        <v>1236</v>
      </c>
      <c r="J368" s="1" t="s">
        <v>85</v>
      </c>
      <c r="K368" s="1" t="s">
        <v>1292</v>
      </c>
      <c r="L368" s="1" t="s">
        <v>502</v>
      </c>
      <c r="M368" s="35">
        <v>0</v>
      </c>
      <c r="N368" s="35">
        <v>0</v>
      </c>
      <c r="O368" s="35">
        <v>0</v>
      </c>
      <c r="P368" s="35">
        <v>0</v>
      </c>
      <c r="Q368" s="35">
        <v>0</v>
      </c>
      <c r="R368" s="35">
        <v>0</v>
      </c>
      <c r="S368" s="1">
        <v>3</v>
      </c>
      <c r="T368" s="35">
        <v>0</v>
      </c>
      <c r="U368" s="35">
        <v>0</v>
      </c>
      <c r="V368" s="1">
        <v>3</v>
      </c>
      <c r="W368" s="1"/>
      <c r="X368" s="1"/>
      <c r="Y368" s="1">
        <v>0</v>
      </c>
      <c r="Z368" s="111" t="s">
        <v>54</v>
      </c>
      <c r="AA368" s="1" t="s">
        <v>21</v>
      </c>
      <c r="AB368" s="17">
        <v>45068</v>
      </c>
      <c r="AC368" s="18" t="s">
        <v>408</v>
      </c>
      <c r="AD368" s="125"/>
      <c r="AE368" s="125"/>
      <c r="AF368" s="51">
        <v>0.8</v>
      </c>
      <c r="AG368" s="10"/>
      <c r="AM368"/>
    </row>
    <row r="369" spans="2:39" hidden="1" x14ac:dyDescent="0.25">
      <c r="B369" s="1">
        <v>358</v>
      </c>
      <c r="C369" s="1">
        <v>0</v>
      </c>
      <c r="D369" s="1" t="s">
        <v>1173</v>
      </c>
      <c r="E369" s="1" t="s">
        <v>1187</v>
      </c>
      <c r="F369" s="1" t="s">
        <v>1173</v>
      </c>
      <c r="G369" s="1" t="s">
        <v>1190</v>
      </c>
      <c r="H369" s="1" t="s">
        <v>1191</v>
      </c>
      <c r="I369" s="1" t="s">
        <v>1219</v>
      </c>
      <c r="J369" s="1" t="s">
        <v>87</v>
      </c>
      <c r="K369" s="1" t="s">
        <v>1292</v>
      </c>
      <c r="L369" s="1" t="s">
        <v>502</v>
      </c>
      <c r="M369" s="35">
        <v>0</v>
      </c>
      <c r="N369" s="35">
        <v>0</v>
      </c>
      <c r="O369" s="35">
        <v>0</v>
      </c>
      <c r="P369" s="35">
        <v>0</v>
      </c>
      <c r="Q369" s="35">
        <v>0</v>
      </c>
      <c r="R369" s="35">
        <v>0</v>
      </c>
      <c r="S369" s="1">
        <v>3</v>
      </c>
      <c r="T369" s="35">
        <v>0</v>
      </c>
      <c r="U369" s="35">
        <v>0</v>
      </c>
      <c r="V369" s="1">
        <v>3</v>
      </c>
      <c r="W369" s="1"/>
      <c r="X369" s="1"/>
      <c r="Y369" s="1">
        <v>0</v>
      </c>
      <c r="Z369" s="111" t="s">
        <v>54</v>
      </c>
      <c r="AA369" s="1" t="s">
        <v>21</v>
      </c>
      <c r="AB369" s="17">
        <v>45132</v>
      </c>
      <c r="AC369" s="18" t="s">
        <v>408</v>
      </c>
      <c r="AD369" s="125"/>
      <c r="AE369" s="125"/>
      <c r="AF369" s="51">
        <v>0.9</v>
      </c>
      <c r="AG369" s="10"/>
      <c r="AM369"/>
    </row>
    <row r="370" spans="2:39" hidden="1" x14ac:dyDescent="0.25">
      <c r="B370" s="1">
        <v>359</v>
      </c>
      <c r="C370" s="1">
        <v>0</v>
      </c>
      <c r="D370" s="1" t="s">
        <v>1173</v>
      </c>
      <c r="E370" s="1" t="s">
        <v>101</v>
      </c>
      <c r="F370" s="1" t="s">
        <v>1173</v>
      </c>
      <c r="G370" s="1" t="s">
        <v>1174</v>
      </c>
      <c r="H370" s="1" t="s">
        <v>1175</v>
      </c>
      <c r="I370" s="1" t="s">
        <v>1219</v>
      </c>
      <c r="J370" s="1" t="s">
        <v>86</v>
      </c>
      <c r="K370" s="1" t="s">
        <v>1292</v>
      </c>
      <c r="L370" s="1" t="s">
        <v>502</v>
      </c>
      <c r="M370" s="35">
        <v>0</v>
      </c>
      <c r="N370" s="35">
        <v>0</v>
      </c>
      <c r="O370" s="35">
        <v>0</v>
      </c>
      <c r="P370" s="35">
        <v>0</v>
      </c>
      <c r="Q370" s="35">
        <v>0</v>
      </c>
      <c r="R370" s="35">
        <v>0</v>
      </c>
      <c r="S370" s="1">
        <v>3</v>
      </c>
      <c r="T370" s="35">
        <v>0</v>
      </c>
      <c r="U370" s="35">
        <v>0</v>
      </c>
      <c r="V370" s="1">
        <v>3</v>
      </c>
      <c r="W370" s="1"/>
      <c r="X370" s="1"/>
      <c r="Y370" s="1">
        <v>0</v>
      </c>
      <c r="Z370" s="111" t="s">
        <v>54</v>
      </c>
      <c r="AA370" s="1" t="s">
        <v>21</v>
      </c>
      <c r="AB370" s="17">
        <v>45133</v>
      </c>
      <c r="AC370" s="18" t="s">
        <v>408</v>
      </c>
      <c r="AD370" s="125"/>
      <c r="AE370" s="125"/>
      <c r="AF370" s="51">
        <v>0.9</v>
      </c>
      <c r="AG370" s="10"/>
      <c r="AM370"/>
    </row>
    <row r="371" spans="2:39" hidden="1" x14ac:dyDescent="0.25">
      <c r="B371" s="1">
        <v>360</v>
      </c>
      <c r="C371" s="1">
        <v>0</v>
      </c>
      <c r="D371" s="1" t="s">
        <v>1173</v>
      </c>
      <c r="E371" s="1" t="s">
        <v>101</v>
      </c>
      <c r="F371" s="1" t="s">
        <v>1173</v>
      </c>
      <c r="G371" s="1" t="s">
        <v>1174</v>
      </c>
      <c r="H371" s="1" t="s">
        <v>1225</v>
      </c>
      <c r="I371" s="1" t="s">
        <v>1236</v>
      </c>
      <c r="J371" s="1" t="s">
        <v>85</v>
      </c>
      <c r="K371" s="1" t="s">
        <v>1292</v>
      </c>
      <c r="L371" s="1" t="s">
        <v>502</v>
      </c>
      <c r="M371" s="35">
        <v>0</v>
      </c>
      <c r="N371" s="35">
        <v>0</v>
      </c>
      <c r="O371" s="35">
        <v>0</v>
      </c>
      <c r="P371" s="35">
        <v>0</v>
      </c>
      <c r="Q371" s="35">
        <v>0</v>
      </c>
      <c r="R371" s="35">
        <v>0</v>
      </c>
      <c r="S371" s="1">
        <v>3</v>
      </c>
      <c r="T371" s="35">
        <v>0</v>
      </c>
      <c r="U371" s="35">
        <v>0</v>
      </c>
      <c r="V371" s="1">
        <v>3</v>
      </c>
      <c r="W371" s="1"/>
      <c r="X371" s="1"/>
      <c r="Y371" s="1">
        <v>0</v>
      </c>
      <c r="Z371" s="111" t="s">
        <v>54</v>
      </c>
      <c r="AA371" s="1" t="s">
        <v>21</v>
      </c>
      <c r="AB371" s="17">
        <v>45068</v>
      </c>
      <c r="AC371" s="18" t="s">
        <v>408</v>
      </c>
      <c r="AD371" s="125"/>
      <c r="AE371" s="125"/>
      <c r="AF371" s="51">
        <v>1</v>
      </c>
      <c r="AG371" s="10"/>
      <c r="AM371"/>
    </row>
    <row r="372" spans="2:39" hidden="1" x14ac:dyDescent="0.25">
      <c r="B372" s="1">
        <v>361</v>
      </c>
      <c r="C372" s="1">
        <v>0</v>
      </c>
      <c r="D372" s="1" t="s">
        <v>1173</v>
      </c>
      <c r="E372" s="1" t="s">
        <v>1187</v>
      </c>
      <c r="F372" s="1" t="s">
        <v>1173</v>
      </c>
      <c r="G372" s="1" t="s">
        <v>1190</v>
      </c>
      <c r="H372" s="1" t="s">
        <v>1225</v>
      </c>
      <c r="I372" s="1" t="s">
        <v>1236</v>
      </c>
      <c r="J372" s="1" t="s">
        <v>85</v>
      </c>
      <c r="K372" s="1" t="s">
        <v>1292</v>
      </c>
      <c r="L372" s="1" t="s">
        <v>502</v>
      </c>
      <c r="M372" s="35">
        <v>0</v>
      </c>
      <c r="N372" s="35">
        <v>0</v>
      </c>
      <c r="O372" s="35">
        <v>0</v>
      </c>
      <c r="P372" s="35">
        <v>0</v>
      </c>
      <c r="Q372" s="35">
        <v>0</v>
      </c>
      <c r="R372" s="35">
        <v>0</v>
      </c>
      <c r="S372" s="1">
        <v>3</v>
      </c>
      <c r="T372" s="35">
        <v>0</v>
      </c>
      <c r="U372" s="35">
        <v>0</v>
      </c>
      <c r="V372" s="1">
        <v>3</v>
      </c>
      <c r="W372" s="1"/>
      <c r="X372" s="1"/>
      <c r="Y372" s="1">
        <v>0</v>
      </c>
      <c r="Z372" s="111" t="s">
        <v>54</v>
      </c>
      <c r="AA372" s="1" t="s">
        <v>21</v>
      </c>
      <c r="AB372" s="17">
        <v>45068</v>
      </c>
      <c r="AC372" s="18" t="s">
        <v>408</v>
      </c>
      <c r="AD372" s="125"/>
      <c r="AE372" s="125"/>
      <c r="AF372" s="51">
        <v>1</v>
      </c>
      <c r="AG372" s="10"/>
      <c r="AM372"/>
    </row>
    <row r="373" spans="2:39" ht="15" hidden="1" customHeight="1" x14ac:dyDescent="0.25">
      <c r="B373" s="1">
        <v>362</v>
      </c>
      <c r="C373" s="1">
        <v>0</v>
      </c>
      <c r="D373" s="1" t="s">
        <v>1173</v>
      </c>
      <c r="E373" s="1" t="s">
        <v>1192</v>
      </c>
      <c r="F373" s="1" t="s">
        <v>1173</v>
      </c>
      <c r="G373" s="1" t="s">
        <v>1226</v>
      </c>
      <c r="H373" s="1" t="s">
        <v>1225</v>
      </c>
      <c r="I373" s="1" t="s">
        <v>1236</v>
      </c>
      <c r="J373" s="1" t="s">
        <v>85</v>
      </c>
      <c r="K373" s="1" t="s">
        <v>1292</v>
      </c>
      <c r="L373" s="1" t="s">
        <v>502</v>
      </c>
      <c r="M373" s="35">
        <v>0</v>
      </c>
      <c r="N373" s="35">
        <v>0</v>
      </c>
      <c r="O373" s="35">
        <v>0</v>
      </c>
      <c r="P373" s="35">
        <v>0</v>
      </c>
      <c r="Q373" s="35">
        <v>0</v>
      </c>
      <c r="R373" s="35">
        <v>0</v>
      </c>
      <c r="S373" s="1">
        <v>3</v>
      </c>
      <c r="T373" s="35">
        <v>0</v>
      </c>
      <c r="U373" s="35">
        <v>0</v>
      </c>
      <c r="V373" s="1">
        <v>3</v>
      </c>
      <c r="W373" s="1"/>
      <c r="X373" s="1"/>
      <c r="Y373" s="1">
        <v>0</v>
      </c>
      <c r="Z373" s="111" t="s">
        <v>54</v>
      </c>
      <c r="AA373" s="1" t="s">
        <v>21</v>
      </c>
      <c r="AB373" s="17">
        <v>45068</v>
      </c>
      <c r="AC373" s="18" t="s">
        <v>408</v>
      </c>
      <c r="AD373" s="125"/>
      <c r="AE373" s="125"/>
      <c r="AF373" s="51">
        <v>1</v>
      </c>
      <c r="AG373" s="10"/>
      <c r="AH373" s="10"/>
      <c r="AM373"/>
    </row>
    <row r="374" spans="2:39" hidden="1" x14ac:dyDescent="0.25">
      <c r="B374" s="1">
        <v>363</v>
      </c>
      <c r="C374" s="1">
        <v>0</v>
      </c>
      <c r="D374" s="1" t="s">
        <v>1173</v>
      </c>
      <c r="E374" s="1" t="s">
        <v>1187</v>
      </c>
      <c r="F374" s="1" t="s">
        <v>1173</v>
      </c>
      <c r="G374" s="1" t="s">
        <v>1190</v>
      </c>
      <c r="H374" s="1" t="s">
        <v>1227</v>
      </c>
      <c r="I374" s="1" t="s">
        <v>1219</v>
      </c>
      <c r="J374" s="1" t="s">
        <v>87</v>
      </c>
      <c r="K374" s="1" t="s">
        <v>1292</v>
      </c>
      <c r="L374" s="1" t="s">
        <v>502</v>
      </c>
      <c r="M374" s="35">
        <v>0</v>
      </c>
      <c r="N374" s="35">
        <v>0</v>
      </c>
      <c r="O374" s="35">
        <v>0</v>
      </c>
      <c r="P374" s="35">
        <v>0</v>
      </c>
      <c r="Q374" s="35">
        <v>0</v>
      </c>
      <c r="R374" s="35">
        <v>0</v>
      </c>
      <c r="S374" s="1">
        <v>3</v>
      </c>
      <c r="T374" s="35">
        <v>0</v>
      </c>
      <c r="U374" s="35">
        <v>0</v>
      </c>
      <c r="V374" s="1">
        <v>3</v>
      </c>
      <c r="W374" s="1"/>
      <c r="X374" s="1"/>
      <c r="Y374" s="1">
        <v>0</v>
      </c>
      <c r="Z374" s="111" t="s">
        <v>54</v>
      </c>
      <c r="AA374" s="1" t="s">
        <v>21</v>
      </c>
      <c r="AB374" s="105">
        <v>45133</v>
      </c>
      <c r="AC374" s="106" t="s">
        <v>408</v>
      </c>
      <c r="AD374" s="127"/>
      <c r="AE374" s="127"/>
      <c r="AF374" s="51">
        <v>0.9</v>
      </c>
      <c r="AG374" s="107"/>
      <c r="AM374"/>
    </row>
    <row r="375" spans="2:39" hidden="1" x14ac:dyDescent="0.25">
      <c r="B375" s="1">
        <v>364</v>
      </c>
      <c r="C375" s="1">
        <v>0</v>
      </c>
      <c r="D375" s="1" t="s">
        <v>1173</v>
      </c>
      <c r="E375" s="1" t="s">
        <v>294</v>
      </c>
      <c r="F375" s="1" t="s">
        <v>1173</v>
      </c>
      <c r="G375" s="1" t="s">
        <v>1173</v>
      </c>
      <c r="H375" s="1" t="s">
        <v>1229</v>
      </c>
      <c r="I375" s="1" t="s">
        <v>1219</v>
      </c>
      <c r="J375" s="1" t="s">
        <v>86</v>
      </c>
      <c r="K375" s="1" t="s">
        <v>1292</v>
      </c>
      <c r="L375" s="1" t="s">
        <v>502</v>
      </c>
      <c r="M375" s="35">
        <v>0</v>
      </c>
      <c r="N375" s="35">
        <v>0</v>
      </c>
      <c r="O375" s="35">
        <v>0</v>
      </c>
      <c r="P375" s="35">
        <v>0</v>
      </c>
      <c r="Q375" s="35">
        <v>0</v>
      </c>
      <c r="R375" s="35">
        <v>0</v>
      </c>
      <c r="S375" s="1">
        <v>3</v>
      </c>
      <c r="T375" s="35">
        <v>0</v>
      </c>
      <c r="U375" s="35">
        <v>0</v>
      </c>
      <c r="V375" s="1">
        <v>3</v>
      </c>
      <c r="W375" s="1"/>
      <c r="X375" s="1"/>
      <c r="Y375" s="1">
        <v>0</v>
      </c>
      <c r="Z375" s="111" t="s">
        <v>54</v>
      </c>
      <c r="AA375" s="1" t="s">
        <v>21</v>
      </c>
      <c r="AB375" s="105">
        <v>45133</v>
      </c>
      <c r="AC375" s="106" t="s">
        <v>408</v>
      </c>
      <c r="AD375" s="127"/>
      <c r="AE375" s="127"/>
      <c r="AF375" s="51">
        <v>0.8</v>
      </c>
      <c r="AG375" s="107"/>
      <c r="AM375"/>
    </row>
    <row r="376" spans="2:39" x14ac:dyDescent="0.25">
      <c r="B376" s="1">
        <v>365</v>
      </c>
      <c r="C376" s="1">
        <v>1</v>
      </c>
      <c r="D376" s="1" t="s">
        <v>1230</v>
      </c>
      <c r="E376" s="1" t="s">
        <v>1231</v>
      </c>
      <c r="F376" s="1" t="s">
        <v>1230</v>
      </c>
      <c r="G376" s="1" t="s">
        <v>1230</v>
      </c>
      <c r="H376" s="1" t="s">
        <v>1232</v>
      </c>
      <c r="I376" s="1" t="s">
        <v>1233</v>
      </c>
      <c r="J376" s="1" t="s">
        <v>87</v>
      </c>
      <c r="K376" s="1" t="s">
        <v>408</v>
      </c>
      <c r="L376" s="1" t="s">
        <v>1292</v>
      </c>
      <c r="M376" s="1">
        <v>0</v>
      </c>
      <c r="N376" s="1">
        <v>0</v>
      </c>
      <c r="O376" s="1">
        <v>0</v>
      </c>
      <c r="P376" s="1">
        <v>0</v>
      </c>
      <c r="Q376" s="1">
        <v>0</v>
      </c>
      <c r="R376" s="1">
        <v>0</v>
      </c>
      <c r="S376" s="1">
        <v>4</v>
      </c>
      <c r="T376" s="1">
        <v>0</v>
      </c>
      <c r="U376" s="1"/>
      <c r="V376" s="36">
        <v>4</v>
      </c>
      <c r="W376" s="36"/>
      <c r="X376" s="1">
        <v>0</v>
      </c>
      <c r="Y376" s="1">
        <v>2</v>
      </c>
      <c r="Z376" s="1" t="s">
        <v>21</v>
      </c>
      <c r="AA376" s="1" t="s">
        <v>95</v>
      </c>
      <c r="AB376" s="105">
        <v>45356</v>
      </c>
      <c r="AC376" s="106" t="s">
        <v>330</v>
      </c>
      <c r="AD376" s="127"/>
      <c r="AE376" s="127" t="s">
        <v>1272</v>
      </c>
      <c r="AF376" s="51">
        <v>0</v>
      </c>
      <c r="AG376" s="107"/>
      <c r="AM376"/>
    </row>
    <row r="377" spans="2:39" x14ac:dyDescent="0.25">
      <c r="B377" s="1">
        <v>366</v>
      </c>
      <c r="C377" s="1">
        <v>1</v>
      </c>
      <c r="D377" s="1" t="s">
        <v>1234</v>
      </c>
      <c r="E377" s="1" t="s">
        <v>294</v>
      </c>
      <c r="F377" s="1" t="s">
        <v>1234</v>
      </c>
      <c r="G377" s="1" t="s">
        <v>1234</v>
      </c>
      <c r="H377" s="1" t="s">
        <v>1235</v>
      </c>
      <c r="I377" s="1" t="s">
        <v>1236</v>
      </c>
      <c r="J377" s="1" t="s">
        <v>86</v>
      </c>
      <c r="K377" s="1" t="s">
        <v>491</v>
      </c>
      <c r="L377" s="1" t="s">
        <v>11</v>
      </c>
      <c r="M377" s="35">
        <v>0</v>
      </c>
      <c r="N377" s="1">
        <v>4</v>
      </c>
      <c r="O377" s="35">
        <v>0</v>
      </c>
      <c r="P377" s="35">
        <v>0</v>
      </c>
      <c r="Q377" s="35">
        <v>0</v>
      </c>
      <c r="R377" s="35">
        <v>4</v>
      </c>
      <c r="S377" s="1">
        <v>0</v>
      </c>
      <c r="T377" s="35">
        <v>0</v>
      </c>
      <c r="U377" s="35"/>
      <c r="V377" s="35"/>
      <c r="W377" s="35"/>
      <c r="X377" s="35">
        <v>1</v>
      </c>
      <c r="Y377" s="35"/>
      <c r="Z377" s="1" t="s">
        <v>21</v>
      </c>
      <c r="AA377" s="1" t="s">
        <v>21</v>
      </c>
      <c r="AB377" s="105"/>
      <c r="AC377" s="106"/>
      <c r="AD377" s="127"/>
      <c r="AE377" s="127"/>
      <c r="AF377" s="62">
        <v>0.9</v>
      </c>
      <c r="AG377" s="107"/>
      <c r="AM377"/>
    </row>
    <row r="378" spans="2:39" x14ac:dyDescent="0.25">
      <c r="B378" s="1">
        <v>367</v>
      </c>
      <c r="C378" s="1">
        <v>1</v>
      </c>
      <c r="D378" s="1" t="s">
        <v>1234</v>
      </c>
      <c r="E378" s="1" t="s">
        <v>294</v>
      </c>
      <c r="F378" s="1" t="s">
        <v>1234</v>
      </c>
      <c r="G378" s="1" t="s">
        <v>1234</v>
      </c>
      <c r="H378" s="1" t="s">
        <v>1237</v>
      </c>
      <c r="I378" s="1" t="s">
        <v>1236</v>
      </c>
      <c r="J378" s="1" t="s">
        <v>86</v>
      </c>
      <c r="K378" s="1" t="s">
        <v>491</v>
      </c>
      <c r="L378" s="1" t="s">
        <v>11</v>
      </c>
      <c r="M378" s="35">
        <v>0</v>
      </c>
      <c r="N378" s="1">
        <v>4</v>
      </c>
      <c r="O378" s="35">
        <v>0</v>
      </c>
      <c r="P378" s="35">
        <v>0</v>
      </c>
      <c r="Q378" s="35">
        <v>0</v>
      </c>
      <c r="R378" s="35">
        <v>4</v>
      </c>
      <c r="S378" s="1">
        <v>0</v>
      </c>
      <c r="T378" s="35">
        <v>0</v>
      </c>
      <c r="U378" s="35"/>
      <c r="V378" s="35"/>
      <c r="W378" s="35"/>
      <c r="X378" s="35">
        <v>1</v>
      </c>
      <c r="Y378" s="35"/>
      <c r="Z378" s="1" t="s">
        <v>21</v>
      </c>
      <c r="AA378" s="1" t="s">
        <v>21</v>
      </c>
      <c r="AB378" s="17"/>
      <c r="AC378" s="18"/>
      <c r="AD378" s="125"/>
      <c r="AE378" s="125"/>
      <c r="AF378" s="62">
        <v>0.9</v>
      </c>
      <c r="AG378" s="10"/>
      <c r="AH378" s="10"/>
      <c r="AM378"/>
    </row>
    <row r="379" spans="2:39" x14ac:dyDescent="0.25">
      <c r="B379" s="1">
        <v>368</v>
      </c>
      <c r="C379" s="1">
        <v>1</v>
      </c>
      <c r="D379" s="1" t="s">
        <v>1234</v>
      </c>
      <c r="E379" s="1" t="s">
        <v>294</v>
      </c>
      <c r="F379" s="1" t="s">
        <v>1234</v>
      </c>
      <c r="G379" s="1" t="s">
        <v>1234</v>
      </c>
      <c r="H379" s="1" t="s">
        <v>1238</v>
      </c>
      <c r="I379" s="1" t="s">
        <v>1236</v>
      </c>
      <c r="J379" s="1" t="s">
        <v>85</v>
      </c>
      <c r="K379" s="1" t="s">
        <v>491</v>
      </c>
      <c r="L379" s="1" t="s">
        <v>11</v>
      </c>
      <c r="M379" s="35">
        <v>0</v>
      </c>
      <c r="N379" s="1">
        <v>4</v>
      </c>
      <c r="O379" s="35">
        <v>0</v>
      </c>
      <c r="P379" s="35">
        <v>0</v>
      </c>
      <c r="Q379" s="35">
        <v>0</v>
      </c>
      <c r="R379" s="35">
        <v>4</v>
      </c>
      <c r="S379" s="1">
        <v>0</v>
      </c>
      <c r="T379" s="35">
        <v>0</v>
      </c>
      <c r="U379" s="35"/>
      <c r="V379" s="35"/>
      <c r="W379" s="35"/>
      <c r="X379" s="35">
        <v>1</v>
      </c>
      <c r="Y379" s="35"/>
      <c r="Z379" s="1" t="s">
        <v>21</v>
      </c>
      <c r="AA379" s="1" t="s">
        <v>21</v>
      </c>
      <c r="AB379" s="108"/>
      <c r="AC379" s="109"/>
      <c r="AD379" s="128"/>
      <c r="AE379" s="128"/>
      <c r="AF379" s="62">
        <v>0.9</v>
      </c>
      <c r="AG379" s="110" t="s">
        <v>1280</v>
      </c>
      <c r="AM379"/>
    </row>
    <row r="380" spans="2:39" x14ac:dyDescent="0.25">
      <c r="B380" s="1">
        <v>369</v>
      </c>
      <c r="C380" s="1">
        <v>1</v>
      </c>
      <c r="D380" s="1" t="s">
        <v>1234</v>
      </c>
      <c r="E380" s="1" t="s">
        <v>294</v>
      </c>
      <c r="F380" s="1" t="s">
        <v>1234</v>
      </c>
      <c r="G380" s="1" t="s">
        <v>1234</v>
      </c>
      <c r="H380" s="1" t="s">
        <v>1239</v>
      </c>
      <c r="I380" s="1" t="s">
        <v>1236</v>
      </c>
      <c r="J380" s="1" t="s">
        <v>86</v>
      </c>
      <c r="K380" s="1" t="s">
        <v>491</v>
      </c>
      <c r="L380" s="1" t="s">
        <v>11</v>
      </c>
      <c r="M380" s="35">
        <v>0</v>
      </c>
      <c r="N380" s="1">
        <v>4</v>
      </c>
      <c r="O380" s="35">
        <v>0</v>
      </c>
      <c r="P380" s="35">
        <v>0</v>
      </c>
      <c r="Q380" s="35">
        <v>0</v>
      </c>
      <c r="R380" s="35">
        <v>4</v>
      </c>
      <c r="S380" s="1">
        <v>0</v>
      </c>
      <c r="T380" s="35">
        <v>0</v>
      </c>
      <c r="U380" s="35"/>
      <c r="V380" s="35"/>
      <c r="W380" s="35"/>
      <c r="X380" s="35"/>
      <c r="Y380" s="35"/>
      <c r="Z380" s="1" t="s">
        <v>21</v>
      </c>
      <c r="AA380" s="1" t="s">
        <v>21</v>
      </c>
      <c r="AB380" s="17"/>
      <c r="AC380" s="18"/>
      <c r="AD380" s="125"/>
      <c r="AE380" s="125"/>
      <c r="AF380" s="62">
        <v>0.9</v>
      </c>
      <c r="AG380" s="10"/>
      <c r="AH380" s="10"/>
      <c r="AM380"/>
    </row>
    <row r="381" spans="2:39" x14ac:dyDescent="0.25">
      <c r="B381" s="1">
        <v>370</v>
      </c>
      <c r="C381" s="1">
        <v>1</v>
      </c>
      <c r="D381" s="1" t="s">
        <v>1234</v>
      </c>
      <c r="E381" s="1" t="s">
        <v>294</v>
      </c>
      <c r="F381" s="1" t="s">
        <v>1234</v>
      </c>
      <c r="G381" s="1" t="s">
        <v>1234</v>
      </c>
      <c r="H381" s="1" t="s">
        <v>1241</v>
      </c>
      <c r="I381" s="1" t="s">
        <v>1236</v>
      </c>
      <c r="J381" s="1" t="s">
        <v>85</v>
      </c>
      <c r="K381" s="1" t="s">
        <v>491</v>
      </c>
      <c r="L381" s="1" t="s">
        <v>11</v>
      </c>
      <c r="M381" s="35">
        <v>0</v>
      </c>
      <c r="N381" s="1">
        <v>4</v>
      </c>
      <c r="O381" s="35">
        <v>0</v>
      </c>
      <c r="P381" s="35">
        <v>0</v>
      </c>
      <c r="Q381" s="35">
        <v>0</v>
      </c>
      <c r="R381" s="35">
        <v>4</v>
      </c>
      <c r="S381" s="1">
        <v>0</v>
      </c>
      <c r="T381" s="35">
        <v>0</v>
      </c>
      <c r="U381" s="35"/>
      <c r="V381" s="35"/>
      <c r="W381" s="35"/>
      <c r="X381" s="35"/>
      <c r="Y381" s="35"/>
      <c r="Z381" s="1" t="s">
        <v>21</v>
      </c>
      <c r="AA381" s="1" t="s">
        <v>21</v>
      </c>
      <c r="AB381" s="17"/>
      <c r="AC381" s="18"/>
      <c r="AD381" s="125"/>
      <c r="AE381" s="125"/>
      <c r="AF381" s="62">
        <v>0.9</v>
      </c>
      <c r="AG381" s="10"/>
      <c r="AH381" s="10"/>
      <c r="AM381"/>
    </row>
    <row r="382" spans="2:39" ht="15" hidden="1" customHeight="1" x14ac:dyDescent="0.25">
      <c r="B382" s="1">
        <v>371</v>
      </c>
      <c r="C382" s="1">
        <v>0</v>
      </c>
      <c r="D382" s="1" t="s">
        <v>212</v>
      </c>
      <c r="E382" s="1" t="s">
        <v>91</v>
      </c>
      <c r="F382" s="1" t="s">
        <v>96</v>
      </c>
      <c r="G382" s="1" t="s">
        <v>96</v>
      </c>
      <c r="H382" s="1" t="s">
        <v>1250</v>
      </c>
      <c r="I382" s="1"/>
      <c r="J382" s="1" t="s">
        <v>86</v>
      </c>
      <c r="K382" s="1" t="s">
        <v>312</v>
      </c>
      <c r="L382" s="1" t="s">
        <v>452</v>
      </c>
      <c r="M382" s="1">
        <v>0</v>
      </c>
      <c r="N382" s="1">
        <v>0</v>
      </c>
      <c r="O382" s="1">
        <v>0</v>
      </c>
      <c r="P382" s="1">
        <v>0</v>
      </c>
      <c r="Q382" s="1">
        <v>0</v>
      </c>
      <c r="R382" s="1">
        <v>0</v>
      </c>
      <c r="S382" s="1">
        <v>0</v>
      </c>
      <c r="T382" s="1">
        <v>3</v>
      </c>
      <c r="U382" s="1"/>
      <c r="V382" s="1"/>
      <c r="W382" s="1"/>
      <c r="X382" s="1"/>
      <c r="Y382" s="1"/>
      <c r="Z382" s="1" t="s">
        <v>21</v>
      </c>
      <c r="AA382" s="1" t="s">
        <v>21</v>
      </c>
      <c r="AB382" s="17"/>
      <c r="AC382" s="18"/>
      <c r="AD382" s="126" t="s">
        <v>1249</v>
      </c>
      <c r="AE382" s="126" t="s">
        <v>1261</v>
      </c>
      <c r="AF382" s="51">
        <v>0.5</v>
      </c>
      <c r="AG382" s="10"/>
      <c r="AH382" s="10"/>
      <c r="AM382"/>
    </row>
    <row r="383" spans="2:39" ht="15" hidden="1" customHeight="1" x14ac:dyDescent="0.25">
      <c r="B383" s="1">
        <v>372</v>
      </c>
      <c r="C383" s="1">
        <v>0</v>
      </c>
      <c r="D383" s="1" t="s">
        <v>212</v>
      </c>
      <c r="E383" s="1" t="s">
        <v>91</v>
      </c>
      <c r="F383" s="1" t="s">
        <v>96</v>
      </c>
      <c r="G383" s="1" t="s">
        <v>96</v>
      </c>
      <c r="H383" s="1" t="s">
        <v>1251</v>
      </c>
      <c r="I383" s="1"/>
      <c r="J383" s="1" t="s">
        <v>87</v>
      </c>
      <c r="K383" s="1" t="s">
        <v>312</v>
      </c>
      <c r="L383" s="1" t="s">
        <v>452</v>
      </c>
      <c r="M383" s="1">
        <v>0</v>
      </c>
      <c r="N383" s="1">
        <v>0</v>
      </c>
      <c r="O383" s="1">
        <v>0</v>
      </c>
      <c r="P383" s="1">
        <v>0</v>
      </c>
      <c r="Q383" s="1">
        <v>0</v>
      </c>
      <c r="R383" s="1">
        <v>0</v>
      </c>
      <c r="S383" s="1">
        <v>0</v>
      </c>
      <c r="T383" s="1">
        <v>3</v>
      </c>
      <c r="U383" s="1"/>
      <c r="V383" s="1"/>
      <c r="W383" s="1"/>
      <c r="X383" s="1"/>
      <c r="Y383" s="1"/>
      <c r="Z383" s="1" t="s">
        <v>21</v>
      </c>
      <c r="AA383" s="1" t="s">
        <v>21</v>
      </c>
      <c r="AB383" s="17"/>
      <c r="AC383" s="18"/>
      <c r="AD383" s="126" t="s">
        <v>1249</v>
      </c>
      <c r="AE383" s="126" t="s">
        <v>1255</v>
      </c>
      <c r="AF383" s="51">
        <v>0.9</v>
      </c>
      <c r="AG383" s="10" t="s">
        <v>1074</v>
      </c>
      <c r="AH383" s="10"/>
      <c r="AM383"/>
    </row>
    <row r="384" spans="2:39" ht="15" hidden="1" customHeight="1" x14ac:dyDescent="0.25">
      <c r="B384" s="1">
        <v>373</v>
      </c>
      <c r="C384" s="1">
        <v>0</v>
      </c>
      <c r="D384" s="1" t="s">
        <v>212</v>
      </c>
      <c r="E384" s="1" t="s">
        <v>91</v>
      </c>
      <c r="F384" s="1" t="s">
        <v>96</v>
      </c>
      <c r="G384" s="1" t="s">
        <v>96</v>
      </c>
      <c r="H384" s="1" t="s">
        <v>1252</v>
      </c>
      <c r="I384" s="1"/>
      <c r="J384" s="1" t="s">
        <v>1246</v>
      </c>
      <c r="K384" s="1" t="s">
        <v>312</v>
      </c>
      <c r="L384" s="1" t="s">
        <v>452</v>
      </c>
      <c r="M384" s="1">
        <v>0</v>
      </c>
      <c r="N384" s="1">
        <v>0</v>
      </c>
      <c r="O384" s="1">
        <v>0</v>
      </c>
      <c r="P384" s="1">
        <v>0</v>
      </c>
      <c r="Q384" s="1">
        <v>0</v>
      </c>
      <c r="R384" s="1">
        <v>0</v>
      </c>
      <c r="S384" s="1">
        <v>0</v>
      </c>
      <c r="T384" s="1">
        <v>3</v>
      </c>
      <c r="U384" s="1"/>
      <c r="V384" s="1"/>
      <c r="W384" s="1"/>
      <c r="X384" s="1"/>
      <c r="Y384" s="1"/>
      <c r="Z384" s="1" t="s">
        <v>21</v>
      </c>
      <c r="AA384" s="1" t="s">
        <v>21</v>
      </c>
      <c r="AB384" s="17"/>
      <c r="AC384" s="18"/>
      <c r="AD384" s="126" t="s">
        <v>1249</v>
      </c>
      <c r="AE384" s="126" t="s">
        <v>1261</v>
      </c>
      <c r="AF384" s="51">
        <v>1</v>
      </c>
      <c r="AG384" s="10"/>
      <c r="AH384" s="10"/>
      <c r="AM384"/>
    </row>
    <row r="385" spans="2:39" ht="15" hidden="1" customHeight="1" x14ac:dyDescent="0.25">
      <c r="B385" s="1">
        <v>374</v>
      </c>
      <c r="C385" s="1">
        <v>0</v>
      </c>
      <c r="D385" s="1" t="s">
        <v>212</v>
      </c>
      <c r="E385" s="1" t="s">
        <v>91</v>
      </c>
      <c r="F385" s="1" t="s">
        <v>96</v>
      </c>
      <c r="G385" s="1" t="s">
        <v>305</v>
      </c>
      <c r="H385" s="1" t="s">
        <v>1253</v>
      </c>
      <c r="I385" s="1"/>
      <c r="J385" s="1" t="s">
        <v>1246</v>
      </c>
      <c r="K385" s="1" t="s">
        <v>1049</v>
      </c>
      <c r="L385" s="1" t="s">
        <v>452</v>
      </c>
      <c r="M385" s="1">
        <v>0</v>
      </c>
      <c r="N385" s="1">
        <v>0</v>
      </c>
      <c r="O385" s="1">
        <v>0</v>
      </c>
      <c r="P385" s="1">
        <v>0</v>
      </c>
      <c r="Q385" s="1">
        <v>0</v>
      </c>
      <c r="R385" s="1">
        <v>0</v>
      </c>
      <c r="S385" s="1">
        <v>0</v>
      </c>
      <c r="T385" s="1">
        <v>0</v>
      </c>
      <c r="U385" s="1"/>
      <c r="V385" s="1"/>
      <c r="W385" s="1"/>
      <c r="X385" s="1"/>
      <c r="Y385" s="1"/>
      <c r="Z385" s="1" t="s">
        <v>21</v>
      </c>
      <c r="AA385" s="1" t="s">
        <v>21</v>
      </c>
      <c r="AB385" s="17"/>
      <c r="AC385" s="18"/>
      <c r="AD385" s="126" t="s">
        <v>1249</v>
      </c>
      <c r="AE385" s="126" t="s">
        <v>1262</v>
      </c>
      <c r="AF385" s="51">
        <v>1</v>
      </c>
      <c r="AG385" s="10"/>
      <c r="AH385" s="10"/>
      <c r="AM385"/>
    </row>
    <row r="386" spans="2:39" ht="15" hidden="1" customHeight="1" x14ac:dyDescent="0.25">
      <c r="B386" s="1">
        <v>375</v>
      </c>
      <c r="C386" s="1">
        <v>0</v>
      </c>
      <c r="D386" s="1" t="s">
        <v>212</v>
      </c>
      <c r="E386" s="1" t="s">
        <v>91</v>
      </c>
      <c r="F386" s="1" t="s">
        <v>96</v>
      </c>
      <c r="G386" s="1" t="s">
        <v>96</v>
      </c>
      <c r="H386" s="1" t="s">
        <v>1254</v>
      </c>
      <c r="I386" s="1"/>
      <c r="J386" s="1" t="s">
        <v>1246</v>
      </c>
      <c r="K386" s="1" t="s">
        <v>312</v>
      </c>
      <c r="L386" s="1" t="s">
        <v>452</v>
      </c>
      <c r="M386" s="1">
        <v>0</v>
      </c>
      <c r="N386" s="1">
        <v>0</v>
      </c>
      <c r="O386" s="1">
        <v>0</v>
      </c>
      <c r="P386" s="1">
        <v>0</v>
      </c>
      <c r="Q386" s="1">
        <v>0</v>
      </c>
      <c r="R386" s="1">
        <v>0</v>
      </c>
      <c r="S386" s="1">
        <v>0</v>
      </c>
      <c r="T386" s="1">
        <v>3</v>
      </c>
      <c r="U386" s="1"/>
      <c r="V386" s="1"/>
      <c r="W386" s="1"/>
      <c r="X386" s="1"/>
      <c r="Y386" s="1"/>
      <c r="Z386" s="1" t="s">
        <v>21</v>
      </c>
      <c r="AA386" s="1" t="s">
        <v>21</v>
      </c>
      <c r="AB386" s="17"/>
      <c r="AC386" s="18"/>
      <c r="AD386" s="126" t="s">
        <v>1249</v>
      </c>
      <c r="AE386" s="126" t="s">
        <v>1257</v>
      </c>
      <c r="AF386" s="51">
        <v>1</v>
      </c>
      <c r="AG386" s="10"/>
      <c r="AH386" s="10"/>
      <c r="AM386"/>
    </row>
    <row r="387" spans="2:39" ht="15" customHeight="1" x14ac:dyDescent="0.25">
      <c r="B387" s="1">
        <v>376</v>
      </c>
      <c r="C387" s="1">
        <v>1</v>
      </c>
      <c r="D387" s="1" t="s">
        <v>212</v>
      </c>
      <c r="E387" s="1" t="s">
        <v>91</v>
      </c>
      <c r="F387" s="1" t="s">
        <v>1318</v>
      </c>
      <c r="G387" s="1" t="s">
        <v>1318</v>
      </c>
      <c r="H387" s="1" t="s">
        <v>1351</v>
      </c>
      <c r="I387" s="1"/>
      <c r="J387" s="1" t="s">
        <v>86</v>
      </c>
      <c r="K387" s="1" t="s">
        <v>1317</v>
      </c>
      <c r="L387" s="1" t="s">
        <v>408</v>
      </c>
      <c r="M387" s="1">
        <v>0</v>
      </c>
      <c r="N387" s="1">
        <v>0</v>
      </c>
      <c r="O387" s="1">
        <v>0</v>
      </c>
      <c r="P387" s="1">
        <v>0</v>
      </c>
      <c r="Q387" s="1">
        <v>0</v>
      </c>
      <c r="R387" s="1">
        <v>0</v>
      </c>
      <c r="S387" s="1">
        <v>2</v>
      </c>
      <c r="T387" s="1">
        <v>3</v>
      </c>
      <c r="U387" s="1">
        <v>0</v>
      </c>
      <c r="V387" s="1">
        <v>4</v>
      </c>
      <c r="W387" s="1">
        <v>4</v>
      </c>
      <c r="X387" s="1">
        <v>0</v>
      </c>
      <c r="Y387" s="1"/>
      <c r="Z387" s="1"/>
      <c r="AA387" s="1" t="s">
        <v>21</v>
      </c>
      <c r="AB387" s="17">
        <v>45681</v>
      </c>
      <c r="AC387" s="18" t="s">
        <v>1049</v>
      </c>
      <c r="AD387" s="126" t="s">
        <v>1320</v>
      </c>
      <c r="AE387" s="126" t="s">
        <v>1340</v>
      </c>
      <c r="AF387" s="51">
        <v>0.5</v>
      </c>
      <c r="AG387" s="10"/>
      <c r="AM387"/>
    </row>
    <row r="388" spans="2:39" ht="15" customHeight="1" x14ac:dyDescent="0.25">
      <c r="B388" s="1">
        <v>377</v>
      </c>
      <c r="C388" s="1">
        <v>1</v>
      </c>
      <c r="D388" s="1" t="s">
        <v>212</v>
      </c>
      <c r="E388" s="1" t="s">
        <v>91</v>
      </c>
      <c r="F388" s="1" t="s">
        <v>1318</v>
      </c>
      <c r="G388" s="1" t="s">
        <v>1318</v>
      </c>
      <c r="H388" s="1" t="s">
        <v>1336</v>
      </c>
      <c r="I388" s="1"/>
      <c r="J388" s="1" t="s">
        <v>87</v>
      </c>
      <c r="K388" s="1" t="s">
        <v>1317</v>
      </c>
      <c r="L388" s="1" t="s">
        <v>408</v>
      </c>
      <c r="M388" s="1">
        <v>0</v>
      </c>
      <c r="N388" s="1">
        <v>0</v>
      </c>
      <c r="O388" s="1">
        <v>0</v>
      </c>
      <c r="P388" s="1">
        <v>0</v>
      </c>
      <c r="Q388" s="1">
        <v>0</v>
      </c>
      <c r="R388" s="1">
        <v>0</v>
      </c>
      <c r="S388" s="1">
        <v>3</v>
      </c>
      <c r="T388" s="1">
        <v>3</v>
      </c>
      <c r="U388" s="1">
        <v>0</v>
      </c>
      <c r="V388" s="1">
        <v>4</v>
      </c>
      <c r="W388" s="1">
        <v>4</v>
      </c>
      <c r="X388" s="1">
        <v>0</v>
      </c>
      <c r="Y388" s="1"/>
      <c r="Z388" s="1"/>
      <c r="AA388" s="1" t="s">
        <v>21</v>
      </c>
      <c r="AB388" s="17">
        <v>45681</v>
      </c>
      <c r="AC388" s="18" t="s">
        <v>1049</v>
      </c>
      <c r="AD388" s="126" t="s">
        <v>1320</v>
      </c>
      <c r="AE388" s="126" t="s">
        <v>1377</v>
      </c>
      <c r="AF388" s="51">
        <v>1</v>
      </c>
      <c r="AG388" s="10"/>
      <c r="AM388"/>
    </row>
    <row r="389" spans="2:39" ht="15" customHeight="1" x14ac:dyDescent="0.25">
      <c r="B389" s="1">
        <v>378</v>
      </c>
      <c r="C389" s="1">
        <v>1</v>
      </c>
      <c r="D389" s="1" t="s">
        <v>212</v>
      </c>
      <c r="E389" s="1" t="s">
        <v>91</v>
      </c>
      <c r="F389" s="1" t="s">
        <v>1318</v>
      </c>
      <c r="G389" s="1" t="s">
        <v>1318</v>
      </c>
      <c r="H389" s="1" t="s">
        <v>1337</v>
      </c>
      <c r="I389" s="1"/>
      <c r="J389" s="1" t="s">
        <v>87</v>
      </c>
      <c r="K389" s="1" t="s">
        <v>1317</v>
      </c>
      <c r="L389" s="1" t="s">
        <v>408</v>
      </c>
      <c r="M389" s="1">
        <v>0</v>
      </c>
      <c r="N389" s="1">
        <v>0</v>
      </c>
      <c r="O389" s="1">
        <v>0</v>
      </c>
      <c r="P389" s="1">
        <v>0</v>
      </c>
      <c r="Q389" s="1">
        <v>0</v>
      </c>
      <c r="R389" s="1">
        <v>0</v>
      </c>
      <c r="S389" s="1">
        <v>3</v>
      </c>
      <c r="T389" s="1">
        <v>3</v>
      </c>
      <c r="U389" s="1">
        <v>0</v>
      </c>
      <c r="V389" s="1">
        <v>4</v>
      </c>
      <c r="W389" s="1">
        <v>4</v>
      </c>
      <c r="X389" s="1">
        <v>0</v>
      </c>
      <c r="Y389" s="1"/>
      <c r="Z389" s="1"/>
      <c r="AA389" s="1" t="s">
        <v>21</v>
      </c>
      <c r="AB389" s="17">
        <v>45681</v>
      </c>
      <c r="AC389" s="18" t="s">
        <v>1049</v>
      </c>
      <c r="AD389" s="126" t="s">
        <v>1320</v>
      </c>
      <c r="AE389" s="126" t="s">
        <v>1377</v>
      </c>
      <c r="AF389" s="51">
        <v>1</v>
      </c>
      <c r="AG389" s="10"/>
      <c r="AM389"/>
    </row>
    <row r="390" spans="2:39" ht="15" customHeight="1" x14ac:dyDescent="0.25">
      <c r="B390" s="1">
        <v>379</v>
      </c>
      <c r="C390" s="1">
        <v>1</v>
      </c>
      <c r="D390" s="1" t="s">
        <v>212</v>
      </c>
      <c r="E390" s="1" t="s">
        <v>91</v>
      </c>
      <c r="F390" s="1" t="s">
        <v>1318</v>
      </c>
      <c r="G390" s="1" t="s">
        <v>1318</v>
      </c>
      <c r="H390" s="1" t="s">
        <v>1338</v>
      </c>
      <c r="I390" s="1"/>
      <c r="J390" s="1" t="s">
        <v>87</v>
      </c>
      <c r="K390" s="1" t="s">
        <v>1317</v>
      </c>
      <c r="L390" s="1" t="s">
        <v>408</v>
      </c>
      <c r="M390" s="1">
        <v>0</v>
      </c>
      <c r="N390" s="1">
        <v>0</v>
      </c>
      <c r="O390" s="1">
        <v>0</v>
      </c>
      <c r="P390" s="1">
        <v>0</v>
      </c>
      <c r="Q390" s="1">
        <v>0</v>
      </c>
      <c r="R390" s="1">
        <v>0</v>
      </c>
      <c r="S390" s="1">
        <v>3</v>
      </c>
      <c r="T390" s="1">
        <v>3</v>
      </c>
      <c r="U390" s="1">
        <v>0</v>
      </c>
      <c r="V390" s="1">
        <v>4</v>
      </c>
      <c r="W390" s="1">
        <v>4</v>
      </c>
      <c r="X390" s="1">
        <v>0</v>
      </c>
      <c r="Y390" s="1"/>
      <c r="Z390" s="1"/>
      <c r="AA390" s="1" t="s">
        <v>21</v>
      </c>
      <c r="AB390" s="17">
        <v>45681</v>
      </c>
      <c r="AC390" s="18" t="s">
        <v>1049</v>
      </c>
      <c r="AD390" s="126" t="s">
        <v>1320</v>
      </c>
      <c r="AE390" s="126" t="s">
        <v>1377</v>
      </c>
      <c r="AF390" s="51">
        <v>1</v>
      </c>
      <c r="AG390" s="10"/>
      <c r="AM390"/>
    </row>
    <row r="391" spans="2:39" ht="15" customHeight="1" x14ac:dyDescent="0.25">
      <c r="B391" s="1">
        <v>380</v>
      </c>
      <c r="C391" s="1">
        <v>1</v>
      </c>
      <c r="D391" s="1" t="s">
        <v>212</v>
      </c>
      <c r="E391" s="1" t="s">
        <v>91</v>
      </c>
      <c r="F391" s="1" t="s">
        <v>1318</v>
      </c>
      <c r="G391" s="1" t="s">
        <v>1318</v>
      </c>
      <c r="H391" s="1" t="s">
        <v>1352</v>
      </c>
      <c r="I391" s="1"/>
      <c r="J391" s="1" t="s">
        <v>86</v>
      </c>
      <c r="K391" s="1" t="s">
        <v>1317</v>
      </c>
      <c r="L391" s="1" t="s">
        <v>408</v>
      </c>
      <c r="M391" s="1">
        <v>0</v>
      </c>
      <c r="N391" s="1">
        <v>0</v>
      </c>
      <c r="O391" s="1">
        <v>0</v>
      </c>
      <c r="P391" s="1">
        <v>0</v>
      </c>
      <c r="Q391" s="1">
        <v>0</v>
      </c>
      <c r="R391" s="1">
        <v>0</v>
      </c>
      <c r="S391" s="1">
        <v>2</v>
      </c>
      <c r="T391" s="1">
        <v>3</v>
      </c>
      <c r="U391" s="1">
        <v>0</v>
      </c>
      <c r="V391" s="1">
        <v>4</v>
      </c>
      <c r="W391" s="1">
        <v>4</v>
      </c>
      <c r="X391" s="1">
        <v>0</v>
      </c>
      <c r="Y391" s="1"/>
      <c r="Z391" s="1"/>
      <c r="AA391" s="1" t="s">
        <v>21</v>
      </c>
      <c r="AB391" s="17">
        <v>45681</v>
      </c>
      <c r="AC391" s="18" t="s">
        <v>1049</v>
      </c>
      <c r="AD391" s="126" t="s">
        <v>1320</v>
      </c>
      <c r="AE391" s="126" t="s">
        <v>1264</v>
      </c>
      <c r="AF391" s="51">
        <v>0.5</v>
      </c>
      <c r="AG391" s="10"/>
      <c r="AM391"/>
    </row>
    <row r="392" spans="2:39" ht="15" customHeight="1" x14ac:dyDescent="0.25">
      <c r="B392" s="1">
        <v>381</v>
      </c>
      <c r="C392" s="1">
        <v>1</v>
      </c>
      <c r="D392" s="1" t="s">
        <v>212</v>
      </c>
      <c r="E392" s="1" t="s">
        <v>91</v>
      </c>
      <c r="F392" s="1" t="s">
        <v>1318</v>
      </c>
      <c r="G392" s="1" t="s">
        <v>1318</v>
      </c>
      <c r="H392" s="1" t="s">
        <v>1263</v>
      </c>
      <c r="I392" s="1"/>
      <c r="J392" s="1" t="s">
        <v>1246</v>
      </c>
      <c r="K392" s="1" t="s">
        <v>1317</v>
      </c>
      <c r="L392" s="1" t="s">
        <v>408</v>
      </c>
      <c r="M392" s="1">
        <v>0</v>
      </c>
      <c r="N392" s="1">
        <v>0</v>
      </c>
      <c r="O392" s="1">
        <v>0</v>
      </c>
      <c r="P392" s="1">
        <v>0</v>
      </c>
      <c r="Q392" s="1">
        <v>0</v>
      </c>
      <c r="R392" s="1">
        <v>0</v>
      </c>
      <c r="S392" s="1">
        <v>2</v>
      </c>
      <c r="T392" s="1">
        <v>3</v>
      </c>
      <c r="U392" s="1">
        <v>0</v>
      </c>
      <c r="V392" s="1">
        <v>4</v>
      </c>
      <c r="W392" s="1">
        <v>3</v>
      </c>
      <c r="X392" s="1">
        <v>0</v>
      </c>
      <c r="Y392" s="1"/>
      <c r="Z392" s="1"/>
      <c r="AA392" s="1" t="s">
        <v>21</v>
      </c>
      <c r="AB392" s="17">
        <v>45681</v>
      </c>
      <c r="AC392" s="18" t="s">
        <v>1049</v>
      </c>
      <c r="AD392" s="126" t="s">
        <v>1320</v>
      </c>
      <c r="AE392" s="126" t="s">
        <v>1341</v>
      </c>
      <c r="AF392" s="51">
        <v>1</v>
      </c>
      <c r="AG392" s="10"/>
      <c r="AM392"/>
    </row>
    <row r="393" spans="2:39" x14ac:dyDescent="0.25">
      <c r="B393" s="1">
        <v>382</v>
      </c>
      <c r="C393" s="1">
        <v>1</v>
      </c>
      <c r="D393" s="1" t="s">
        <v>212</v>
      </c>
      <c r="E393" s="1" t="s">
        <v>91</v>
      </c>
      <c r="F393" s="1" t="s">
        <v>1319</v>
      </c>
      <c r="G393" s="1" t="s">
        <v>1319</v>
      </c>
      <c r="H393" s="1" t="s">
        <v>1265</v>
      </c>
      <c r="I393" s="1"/>
      <c r="J393" s="1" t="s">
        <v>1246</v>
      </c>
      <c r="K393" s="1" t="s">
        <v>1317</v>
      </c>
      <c r="L393" s="1" t="s">
        <v>408</v>
      </c>
      <c r="M393" s="1">
        <v>0</v>
      </c>
      <c r="N393" s="1">
        <v>0</v>
      </c>
      <c r="O393" s="1">
        <v>0</v>
      </c>
      <c r="P393" s="1">
        <v>0</v>
      </c>
      <c r="Q393" s="1">
        <v>0</v>
      </c>
      <c r="R393" s="1">
        <v>0</v>
      </c>
      <c r="S393" s="35">
        <v>3</v>
      </c>
      <c r="T393" s="35">
        <v>3</v>
      </c>
      <c r="U393" s="1">
        <v>0</v>
      </c>
      <c r="V393" s="1">
        <v>4</v>
      </c>
      <c r="W393" s="1">
        <v>3</v>
      </c>
      <c r="X393" s="1">
        <v>0</v>
      </c>
      <c r="Y393" s="1"/>
      <c r="Z393" s="1"/>
      <c r="AA393" s="1" t="s">
        <v>21</v>
      </c>
      <c r="AB393" s="17">
        <v>45749</v>
      </c>
      <c r="AC393" s="18" t="s">
        <v>1049</v>
      </c>
      <c r="AD393" s="126" t="s">
        <v>1320</v>
      </c>
      <c r="AE393" s="126" t="s">
        <v>1054</v>
      </c>
      <c r="AF393" s="51">
        <v>1</v>
      </c>
      <c r="AG393" s="10"/>
      <c r="AH393" s="10"/>
      <c r="AM393"/>
    </row>
    <row r="394" spans="2:39" hidden="1" x14ac:dyDescent="0.25">
      <c r="B394" s="1">
        <v>383</v>
      </c>
      <c r="C394" s="1">
        <v>0</v>
      </c>
      <c r="D394" s="1" t="s">
        <v>109</v>
      </c>
      <c r="E394" s="1" t="s">
        <v>1231</v>
      </c>
      <c r="F394" s="1" t="s">
        <v>109</v>
      </c>
      <c r="G394" s="1"/>
      <c r="H394" s="1" t="s">
        <v>1266</v>
      </c>
      <c r="I394" s="1" t="s">
        <v>1161</v>
      </c>
      <c r="J394" s="1" t="s">
        <v>87</v>
      </c>
      <c r="K394" s="1" t="s">
        <v>408</v>
      </c>
      <c r="L394" s="1" t="s">
        <v>1292</v>
      </c>
      <c r="M394" s="1"/>
      <c r="N394" s="1"/>
      <c r="O394" s="1"/>
      <c r="P394" s="1"/>
      <c r="Q394" s="1"/>
      <c r="R394" s="1"/>
      <c r="S394" s="35"/>
      <c r="T394" s="35"/>
      <c r="U394" s="1"/>
      <c r="V394" s="1"/>
      <c r="W394" s="1"/>
      <c r="X394" s="1"/>
      <c r="Y394" s="1"/>
      <c r="Z394" s="1" t="s">
        <v>32</v>
      </c>
      <c r="AA394" s="1" t="s">
        <v>32</v>
      </c>
      <c r="AB394" s="17"/>
      <c r="AC394" s="18"/>
      <c r="AD394" s="125"/>
      <c r="AE394" s="125" t="s">
        <v>1274</v>
      </c>
      <c r="AF394" s="51"/>
      <c r="AG394" s="10"/>
      <c r="AM394"/>
    </row>
    <row r="395" spans="2:39" hidden="1" x14ac:dyDescent="0.25">
      <c r="B395" s="1">
        <v>384</v>
      </c>
      <c r="C395" s="1">
        <v>0</v>
      </c>
      <c r="D395" s="1" t="s">
        <v>1173</v>
      </c>
      <c r="E395" s="1" t="s">
        <v>1231</v>
      </c>
      <c r="F395" s="1" t="s">
        <v>1173</v>
      </c>
      <c r="G395" s="1" t="s">
        <v>1173</v>
      </c>
      <c r="H395" s="1" t="s">
        <v>1268</v>
      </c>
      <c r="I395" s="1" t="s">
        <v>1236</v>
      </c>
      <c r="J395" s="1" t="s">
        <v>85</v>
      </c>
      <c r="K395" s="1" t="s">
        <v>1292</v>
      </c>
      <c r="L395" s="1" t="s">
        <v>502</v>
      </c>
      <c r="M395" s="35">
        <v>0</v>
      </c>
      <c r="N395" s="35">
        <v>0</v>
      </c>
      <c r="O395" s="35">
        <v>0</v>
      </c>
      <c r="P395" s="35">
        <v>0</v>
      </c>
      <c r="Q395" s="35">
        <v>0</v>
      </c>
      <c r="R395" s="35">
        <v>0</v>
      </c>
      <c r="S395" s="1">
        <v>3</v>
      </c>
      <c r="T395" s="35">
        <v>0</v>
      </c>
      <c r="U395" s="35">
        <v>0</v>
      </c>
      <c r="V395" s="1">
        <v>3</v>
      </c>
      <c r="W395" s="1"/>
      <c r="X395" s="1"/>
      <c r="Y395" s="1">
        <v>0</v>
      </c>
      <c r="Z395" s="111" t="s">
        <v>54</v>
      </c>
      <c r="AA395" s="1" t="s">
        <v>21</v>
      </c>
      <c r="AB395" s="17">
        <v>45231</v>
      </c>
      <c r="AC395" s="18" t="s">
        <v>408</v>
      </c>
      <c r="AD395" s="125"/>
      <c r="AE395" s="125"/>
      <c r="AF395" s="51">
        <v>1</v>
      </c>
      <c r="AG395" s="10"/>
      <c r="AM395"/>
    </row>
    <row r="396" spans="2:39" x14ac:dyDescent="0.25">
      <c r="B396" s="1">
        <v>385</v>
      </c>
      <c r="C396" s="1">
        <v>1</v>
      </c>
      <c r="D396" s="1" t="s">
        <v>1269</v>
      </c>
      <c r="E396" s="1" t="s">
        <v>294</v>
      </c>
      <c r="F396" s="1" t="s">
        <v>1269</v>
      </c>
      <c r="G396" s="1" t="s">
        <v>1269</v>
      </c>
      <c r="H396" s="1" t="s">
        <v>115</v>
      </c>
      <c r="I396" s="1" t="s">
        <v>1236</v>
      </c>
      <c r="J396" s="1" t="s">
        <v>85</v>
      </c>
      <c r="K396" s="1" t="s">
        <v>408</v>
      </c>
      <c r="L396" s="1" t="s">
        <v>1292</v>
      </c>
      <c r="M396" s="1">
        <v>3</v>
      </c>
      <c r="N396" s="35">
        <v>0</v>
      </c>
      <c r="O396" s="35">
        <v>0</v>
      </c>
      <c r="P396" s="35">
        <v>0</v>
      </c>
      <c r="Q396" s="35">
        <v>0</v>
      </c>
      <c r="R396" s="35">
        <v>0</v>
      </c>
      <c r="S396" s="35">
        <v>3</v>
      </c>
      <c r="T396" s="35">
        <v>0</v>
      </c>
      <c r="U396" s="35">
        <v>0</v>
      </c>
      <c r="V396" s="1">
        <v>4</v>
      </c>
      <c r="W396" s="1"/>
      <c r="X396" s="1">
        <v>0</v>
      </c>
      <c r="Y396" s="1">
        <v>2</v>
      </c>
      <c r="Z396" s="1" t="s">
        <v>21</v>
      </c>
      <c r="AA396" s="1" t="s">
        <v>95</v>
      </c>
      <c r="AB396" s="17">
        <v>44945</v>
      </c>
      <c r="AC396" s="18" t="s">
        <v>1292</v>
      </c>
      <c r="AD396" s="125"/>
      <c r="AE396" s="125"/>
      <c r="AF396" s="51">
        <v>1</v>
      </c>
      <c r="AG396" s="10"/>
      <c r="AM396"/>
    </row>
    <row r="397" spans="2:39" x14ac:dyDescent="0.25">
      <c r="B397" s="1">
        <v>386</v>
      </c>
      <c r="C397" s="1">
        <v>1</v>
      </c>
      <c r="D397" s="1" t="s">
        <v>1269</v>
      </c>
      <c r="E397" s="1" t="s">
        <v>294</v>
      </c>
      <c r="F397" s="1" t="s">
        <v>1269</v>
      </c>
      <c r="G397" s="1" t="s">
        <v>1269</v>
      </c>
      <c r="H397" s="1" t="s">
        <v>1270</v>
      </c>
      <c r="I397" s="1" t="s">
        <v>1236</v>
      </c>
      <c r="J397" s="1" t="s">
        <v>85</v>
      </c>
      <c r="K397" s="1" t="s">
        <v>408</v>
      </c>
      <c r="L397" s="1" t="s">
        <v>1292</v>
      </c>
      <c r="M397" s="1">
        <v>3</v>
      </c>
      <c r="N397" s="35">
        <v>0</v>
      </c>
      <c r="O397" s="35">
        <v>0</v>
      </c>
      <c r="P397" s="35">
        <v>0</v>
      </c>
      <c r="Q397" s="35">
        <v>0</v>
      </c>
      <c r="R397" s="35">
        <v>0</v>
      </c>
      <c r="S397" s="35">
        <v>3</v>
      </c>
      <c r="T397" s="35">
        <v>0</v>
      </c>
      <c r="U397" s="35">
        <v>0</v>
      </c>
      <c r="V397" s="1">
        <v>4</v>
      </c>
      <c r="W397" s="1"/>
      <c r="X397" s="1">
        <v>0</v>
      </c>
      <c r="Y397" s="1">
        <v>2</v>
      </c>
      <c r="Z397" s="1" t="s">
        <v>21</v>
      </c>
      <c r="AA397" s="1" t="s">
        <v>95</v>
      </c>
      <c r="AB397" s="17">
        <v>44945</v>
      </c>
      <c r="AC397" s="18" t="s">
        <v>1292</v>
      </c>
      <c r="AD397" s="125"/>
      <c r="AE397" s="125"/>
      <c r="AF397" s="51">
        <v>0.8</v>
      </c>
      <c r="AG397" s="10"/>
      <c r="AH397" s="10"/>
      <c r="AM397"/>
    </row>
    <row r="398" spans="2:39" hidden="1" x14ac:dyDescent="0.25">
      <c r="B398" s="1">
        <v>387</v>
      </c>
      <c r="C398" s="1">
        <v>0</v>
      </c>
      <c r="D398" s="1" t="s">
        <v>1269</v>
      </c>
      <c r="E398" s="1" t="s">
        <v>294</v>
      </c>
      <c r="F398" s="1" t="s">
        <v>1269</v>
      </c>
      <c r="G398" s="1" t="s">
        <v>1269</v>
      </c>
      <c r="H398" s="1" t="s">
        <v>1293</v>
      </c>
      <c r="I398" s="1" t="s">
        <v>1236</v>
      </c>
      <c r="J398" s="1" t="s">
        <v>87</v>
      </c>
      <c r="K398" s="1" t="s">
        <v>1292</v>
      </c>
      <c r="L398" s="1" t="s">
        <v>502</v>
      </c>
      <c r="M398" s="35">
        <v>0</v>
      </c>
      <c r="N398" s="35">
        <v>0</v>
      </c>
      <c r="O398" s="35">
        <v>0</v>
      </c>
      <c r="P398" s="35">
        <v>0</v>
      </c>
      <c r="Q398" s="35">
        <v>0</v>
      </c>
      <c r="R398" s="35">
        <v>0</v>
      </c>
      <c r="S398" s="35">
        <v>0</v>
      </c>
      <c r="T398" s="35">
        <v>0</v>
      </c>
      <c r="U398" s="35">
        <v>0</v>
      </c>
      <c r="V398" s="1">
        <v>4</v>
      </c>
      <c r="W398" s="1"/>
      <c r="X398" s="1">
        <v>0</v>
      </c>
      <c r="Y398" s="1">
        <v>2</v>
      </c>
      <c r="Z398" s="1" t="s">
        <v>21</v>
      </c>
      <c r="AA398" s="1" t="s">
        <v>95</v>
      </c>
      <c r="AB398" s="17">
        <v>44957</v>
      </c>
      <c r="AC398" s="18" t="s">
        <v>1292</v>
      </c>
      <c r="AD398" s="125"/>
      <c r="AE398" s="125"/>
      <c r="AF398" s="51">
        <v>0.8</v>
      </c>
      <c r="AG398" s="10"/>
      <c r="AH398" s="10"/>
      <c r="AM398"/>
    </row>
    <row r="399" spans="2:39" ht="15.75" thickBot="1" x14ac:dyDescent="0.3">
      <c r="B399" s="1">
        <v>390</v>
      </c>
      <c r="C399" s="1">
        <v>1</v>
      </c>
      <c r="D399" s="1" t="s">
        <v>1269</v>
      </c>
      <c r="E399" s="1" t="s">
        <v>294</v>
      </c>
      <c r="F399" s="1" t="s">
        <v>1269</v>
      </c>
      <c r="G399" s="1" t="s">
        <v>1269</v>
      </c>
      <c r="H399" s="1" t="s">
        <v>1295</v>
      </c>
      <c r="I399" s="1" t="s">
        <v>1236</v>
      </c>
      <c r="J399" s="1" t="s">
        <v>85</v>
      </c>
      <c r="K399" s="1" t="s">
        <v>408</v>
      </c>
      <c r="L399" s="1" t="s">
        <v>1292</v>
      </c>
      <c r="M399" s="35">
        <v>0</v>
      </c>
      <c r="N399" s="35">
        <v>0</v>
      </c>
      <c r="O399" s="35">
        <v>0</v>
      </c>
      <c r="P399" s="35">
        <v>0</v>
      </c>
      <c r="Q399" s="35">
        <v>0</v>
      </c>
      <c r="R399" s="35">
        <v>0</v>
      </c>
      <c r="S399" s="35">
        <v>3</v>
      </c>
      <c r="T399" s="35">
        <v>0</v>
      </c>
      <c r="U399" s="38">
        <v>2</v>
      </c>
      <c r="V399" s="1">
        <v>4</v>
      </c>
      <c r="W399" s="1"/>
      <c r="X399" s="1">
        <v>0</v>
      </c>
      <c r="Y399" s="1">
        <v>2</v>
      </c>
      <c r="Z399" s="1" t="s">
        <v>21</v>
      </c>
      <c r="AA399" s="1" t="s">
        <v>95</v>
      </c>
      <c r="AB399" s="17">
        <v>45337</v>
      </c>
      <c r="AC399" s="18" t="s">
        <v>1294</v>
      </c>
      <c r="AD399" s="125"/>
      <c r="AE399" s="125"/>
      <c r="AF399" s="51">
        <v>0.8</v>
      </c>
      <c r="AG399" s="10"/>
      <c r="AH399" s="10"/>
      <c r="AM399"/>
    </row>
    <row r="400" spans="2:39" ht="15.75" thickBot="1" x14ac:dyDescent="0.3">
      <c r="B400" s="1">
        <f>B399+1</f>
        <v>391</v>
      </c>
      <c r="C400" s="1">
        <v>1</v>
      </c>
      <c r="D400" s="1" t="s">
        <v>1309</v>
      </c>
      <c r="E400" s="1" t="s">
        <v>294</v>
      </c>
      <c r="F400" s="1" t="s">
        <v>1309</v>
      </c>
      <c r="G400" s="1" t="s">
        <v>1309</v>
      </c>
      <c r="H400" s="1" t="s">
        <v>1310</v>
      </c>
      <c r="I400" s="1"/>
      <c r="J400" s="1" t="s">
        <v>1311</v>
      </c>
      <c r="K400" s="1" t="s">
        <v>1371</v>
      </c>
      <c r="L400" s="1" t="s">
        <v>1292</v>
      </c>
      <c r="M400" s="35">
        <v>0</v>
      </c>
      <c r="N400" s="35">
        <v>0</v>
      </c>
      <c r="O400" s="35">
        <v>0</v>
      </c>
      <c r="P400" s="35">
        <v>0</v>
      </c>
      <c r="Q400" s="35">
        <v>0</v>
      </c>
      <c r="R400" s="35">
        <v>0</v>
      </c>
      <c r="S400" s="35">
        <v>3</v>
      </c>
      <c r="T400" s="35">
        <v>0</v>
      </c>
      <c r="U400" s="35">
        <v>0</v>
      </c>
      <c r="V400" s="8">
        <v>4</v>
      </c>
      <c r="W400" s="119"/>
      <c r="X400" s="1">
        <v>0</v>
      </c>
      <c r="Y400" s="1">
        <v>4</v>
      </c>
      <c r="Z400" s="1" t="s">
        <v>32</v>
      </c>
      <c r="AA400" s="1" t="s">
        <v>21</v>
      </c>
      <c r="AB400" s="17">
        <v>45543</v>
      </c>
      <c r="AC400" s="18" t="s">
        <v>1292</v>
      </c>
      <c r="AD400" s="125"/>
      <c r="AE400" s="125"/>
      <c r="AF400" s="51"/>
      <c r="AG400" s="10"/>
      <c r="AH400" s="10"/>
      <c r="AM400"/>
    </row>
    <row r="401" spans="2:39" ht="15.75" thickBot="1" x14ac:dyDescent="0.3">
      <c r="B401" s="1">
        <f>B400+1</f>
        <v>392</v>
      </c>
      <c r="C401" s="1">
        <v>1</v>
      </c>
      <c r="D401" s="1" t="s">
        <v>1309</v>
      </c>
      <c r="E401" s="1" t="s">
        <v>294</v>
      </c>
      <c r="F401" s="1" t="s">
        <v>1309</v>
      </c>
      <c r="G401" s="1" t="s">
        <v>1309</v>
      </c>
      <c r="H401" s="1" t="s">
        <v>1296</v>
      </c>
      <c r="I401" s="1"/>
      <c r="J401" s="1" t="s">
        <v>1311</v>
      </c>
      <c r="K401" s="1" t="s">
        <v>1371</v>
      </c>
      <c r="L401" s="1" t="s">
        <v>1292</v>
      </c>
      <c r="M401" s="35">
        <v>0</v>
      </c>
      <c r="N401" s="35">
        <v>0</v>
      </c>
      <c r="O401" s="35">
        <v>0</v>
      </c>
      <c r="P401" s="35">
        <v>0</v>
      </c>
      <c r="Q401" s="35">
        <v>0</v>
      </c>
      <c r="R401" s="35">
        <v>0</v>
      </c>
      <c r="S401" s="35">
        <v>3</v>
      </c>
      <c r="T401" s="35">
        <v>0</v>
      </c>
      <c r="U401" s="35">
        <v>0</v>
      </c>
      <c r="V401" s="8">
        <v>4</v>
      </c>
      <c r="W401" s="119"/>
      <c r="X401" s="1">
        <v>0</v>
      </c>
      <c r="Y401" s="1">
        <v>4</v>
      </c>
      <c r="Z401" s="1" t="s">
        <v>32</v>
      </c>
      <c r="AA401" s="1" t="s">
        <v>21</v>
      </c>
      <c r="AB401" s="17">
        <v>45544</v>
      </c>
      <c r="AC401" s="18" t="s">
        <v>1292</v>
      </c>
      <c r="AD401" s="125"/>
      <c r="AE401" s="125"/>
      <c r="AF401" s="51"/>
      <c r="AG401" s="10"/>
      <c r="AH401" s="10"/>
      <c r="AM401"/>
    </row>
    <row r="402" spans="2:39" ht="15.75" thickBot="1" x14ac:dyDescent="0.3">
      <c r="B402" s="1">
        <v>391</v>
      </c>
      <c r="C402" s="1">
        <v>1</v>
      </c>
      <c r="D402" s="1" t="s">
        <v>109</v>
      </c>
      <c r="E402" s="1" t="s">
        <v>294</v>
      </c>
      <c r="F402" s="1" t="s">
        <v>109</v>
      </c>
      <c r="G402" s="1" t="s">
        <v>109</v>
      </c>
      <c r="H402" s="1" t="s">
        <v>1296</v>
      </c>
      <c r="I402" s="1" t="s">
        <v>1236</v>
      </c>
      <c r="J402" s="1" t="s">
        <v>85</v>
      </c>
      <c r="K402" s="1" t="s">
        <v>1371</v>
      </c>
      <c r="L402" s="1" t="s">
        <v>1292</v>
      </c>
      <c r="M402" s="35">
        <v>0</v>
      </c>
      <c r="N402" s="35">
        <v>0</v>
      </c>
      <c r="O402" s="35">
        <v>0</v>
      </c>
      <c r="P402" s="35">
        <v>0</v>
      </c>
      <c r="Q402" s="35">
        <v>0</v>
      </c>
      <c r="R402" s="35">
        <v>0</v>
      </c>
      <c r="S402" s="1">
        <v>3</v>
      </c>
      <c r="T402" s="35">
        <v>0</v>
      </c>
      <c r="U402" s="35">
        <v>0</v>
      </c>
      <c r="V402" s="8">
        <v>4</v>
      </c>
      <c r="W402" s="119"/>
      <c r="X402" s="1">
        <v>0</v>
      </c>
      <c r="Y402" s="1">
        <v>4</v>
      </c>
      <c r="Z402" s="1" t="s">
        <v>32</v>
      </c>
      <c r="AA402" s="1" t="s">
        <v>21</v>
      </c>
      <c r="AB402" s="17">
        <v>45425</v>
      </c>
      <c r="AC402" s="18" t="s">
        <v>408</v>
      </c>
      <c r="AD402" s="125"/>
      <c r="AE402" s="125"/>
      <c r="AF402" s="51"/>
      <c r="AG402" s="10"/>
      <c r="AH402" s="10"/>
      <c r="AM402"/>
    </row>
    <row r="403" spans="2:39" ht="15.75" thickBot="1" x14ac:dyDescent="0.3">
      <c r="B403" s="1">
        <v>392</v>
      </c>
      <c r="C403" s="1">
        <v>1</v>
      </c>
      <c r="D403" s="1" t="s">
        <v>109</v>
      </c>
      <c r="E403" s="1" t="s">
        <v>294</v>
      </c>
      <c r="F403" s="1" t="s">
        <v>109</v>
      </c>
      <c r="G403" s="1" t="s">
        <v>109</v>
      </c>
      <c r="H403" s="1" t="s">
        <v>1297</v>
      </c>
      <c r="I403" s="1" t="s">
        <v>1236</v>
      </c>
      <c r="J403" s="1" t="s">
        <v>85</v>
      </c>
      <c r="K403" s="1" t="s">
        <v>1371</v>
      </c>
      <c r="L403" s="1" t="s">
        <v>1292</v>
      </c>
      <c r="M403" s="35">
        <v>0</v>
      </c>
      <c r="N403" s="35">
        <v>0</v>
      </c>
      <c r="O403" s="35">
        <v>0</v>
      </c>
      <c r="P403" s="35">
        <v>0</v>
      </c>
      <c r="Q403" s="35">
        <v>0</v>
      </c>
      <c r="R403" s="35">
        <v>0</v>
      </c>
      <c r="S403" s="1">
        <v>3</v>
      </c>
      <c r="T403" s="35">
        <v>0</v>
      </c>
      <c r="U403" s="35">
        <v>0</v>
      </c>
      <c r="V403" s="8">
        <v>4</v>
      </c>
      <c r="W403" s="119"/>
      <c r="X403" s="1">
        <v>0</v>
      </c>
      <c r="Y403" s="1">
        <v>4</v>
      </c>
      <c r="Z403" s="1" t="s">
        <v>32</v>
      </c>
      <c r="AA403" s="1" t="s">
        <v>21</v>
      </c>
      <c r="AB403" s="17">
        <v>45425</v>
      </c>
      <c r="AC403" s="18" t="s">
        <v>408</v>
      </c>
      <c r="AD403" s="125"/>
      <c r="AE403" s="125"/>
      <c r="AF403" s="51"/>
      <c r="AG403" s="10"/>
      <c r="AH403" s="10"/>
      <c r="AM403"/>
    </row>
    <row r="404" spans="2:39" ht="15.75" thickBot="1" x14ac:dyDescent="0.3">
      <c r="B404" s="1">
        <v>393</v>
      </c>
      <c r="C404" s="1">
        <v>1</v>
      </c>
      <c r="D404" s="1" t="s">
        <v>109</v>
      </c>
      <c r="E404" s="1" t="s">
        <v>294</v>
      </c>
      <c r="F404" s="1" t="s">
        <v>109</v>
      </c>
      <c r="G404" s="1" t="s">
        <v>109</v>
      </c>
      <c r="H404" s="1" t="s">
        <v>1298</v>
      </c>
      <c r="I404" s="1" t="s">
        <v>1236</v>
      </c>
      <c r="J404" s="1" t="s">
        <v>87</v>
      </c>
      <c r="K404" s="1" t="s">
        <v>1371</v>
      </c>
      <c r="L404" s="1" t="s">
        <v>1292</v>
      </c>
      <c r="M404" s="35">
        <v>0</v>
      </c>
      <c r="N404" s="35">
        <v>0</v>
      </c>
      <c r="O404" s="35">
        <v>0</v>
      </c>
      <c r="P404" s="35">
        <v>0</v>
      </c>
      <c r="Q404" s="35">
        <v>0</v>
      </c>
      <c r="R404" s="35">
        <v>0</v>
      </c>
      <c r="S404" s="1">
        <v>3</v>
      </c>
      <c r="T404" s="35">
        <v>0</v>
      </c>
      <c r="U404" s="35">
        <v>0</v>
      </c>
      <c r="V404" s="8">
        <v>4</v>
      </c>
      <c r="W404" s="119"/>
      <c r="X404" s="1">
        <v>0</v>
      </c>
      <c r="Y404" s="1">
        <v>4</v>
      </c>
      <c r="Z404" s="1" t="s">
        <v>32</v>
      </c>
      <c r="AA404" s="1" t="s">
        <v>21</v>
      </c>
      <c r="AB404" s="17">
        <v>45425</v>
      </c>
      <c r="AC404" s="18" t="s">
        <v>408</v>
      </c>
      <c r="AD404" s="125"/>
      <c r="AE404" s="125"/>
      <c r="AF404" s="51"/>
      <c r="AG404" s="10"/>
      <c r="AH404" s="10"/>
      <c r="AM404"/>
    </row>
    <row r="405" spans="2:39" ht="15.75" thickBot="1" x14ac:dyDescent="0.3">
      <c r="B405" s="1">
        <f t="shared" ref="B405:B419" si="0">B404+1</f>
        <v>394</v>
      </c>
      <c r="C405" s="1">
        <v>1</v>
      </c>
      <c r="D405" s="1" t="s">
        <v>109</v>
      </c>
      <c r="E405" s="1" t="s">
        <v>294</v>
      </c>
      <c r="F405" s="1" t="s">
        <v>109</v>
      </c>
      <c r="G405" s="1" t="s">
        <v>109</v>
      </c>
      <c r="H405" s="1" t="s">
        <v>1307</v>
      </c>
      <c r="I405" s="1"/>
      <c r="J405" s="1" t="s">
        <v>644</v>
      </c>
      <c r="K405" s="1" t="s">
        <v>1371</v>
      </c>
      <c r="L405" s="1" t="s">
        <v>1292</v>
      </c>
      <c r="M405" s="35">
        <v>0</v>
      </c>
      <c r="N405" s="35">
        <v>0</v>
      </c>
      <c r="O405" s="35">
        <v>0</v>
      </c>
      <c r="P405" s="35">
        <v>0</v>
      </c>
      <c r="Q405" s="35">
        <v>0</v>
      </c>
      <c r="R405" s="35">
        <v>0</v>
      </c>
      <c r="S405" s="1">
        <v>3</v>
      </c>
      <c r="T405" s="35">
        <v>0</v>
      </c>
      <c r="U405" s="35">
        <v>0</v>
      </c>
      <c r="V405" s="8">
        <v>4</v>
      </c>
      <c r="W405" s="119"/>
      <c r="X405" s="1">
        <v>0</v>
      </c>
      <c r="Y405" s="1">
        <v>4</v>
      </c>
      <c r="Z405" s="1" t="s">
        <v>32</v>
      </c>
      <c r="AA405" s="111" t="s">
        <v>54</v>
      </c>
      <c r="AB405" s="17"/>
      <c r="AC405" s="18"/>
      <c r="AD405" s="125"/>
      <c r="AE405" s="125"/>
      <c r="AF405" s="51"/>
      <c r="AG405" s="10"/>
      <c r="AH405" s="10"/>
      <c r="AM405"/>
    </row>
    <row r="406" spans="2:39" ht="15.75" thickBot="1" x14ac:dyDescent="0.3">
      <c r="B406" s="1">
        <f t="shared" si="0"/>
        <v>395</v>
      </c>
      <c r="C406" s="1">
        <v>1</v>
      </c>
      <c r="D406" s="1" t="s">
        <v>109</v>
      </c>
      <c r="E406" s="1" t="s">
        <v>294</v>
      </c>
      <c r="F406" s="1" t="s">
        <v>109</v>
      </c>
      <c r="G406" s="1" t="s">
        <v>109</v>
      </c>
      <c r="H406" s="1" t="s">
        <v>1308</v>
      </c>
      <c r="I406" s="1"/>
      <c r="J406" s="1" t="s">
        <v>85</v>
      </c>
      <c r="K406" s="1" t="s">
        <v>1371</v>
      </c>
      <c r="L406" s="1" t="s">
        <v>1292</v>
      </c>
      <c r="M406" s="35">
        <v>0</v>
      </c>
      <c r="N406" s="35">
        <v>0</v>
      </c>
      <c r="O406" s="35">
        <v>0</v>
      </c>
      <c r="P406" s="35">
        <v>0</v>
      </c>
      <c r="Q406" s="35">
        <v>0</v>
      </c>
      <c r="R406" s="35">
        <v>0</v>
      </c>
      <c r="S406" s="1">
        <v>3</v>
      </c>
      <c r="T406" s="35">
        <v>0</v>
      </c>
      <c r="U406" s="35">
        <v>0</v>
      </c>
      <c r="V406" s="8">
        <v>4</v>
      </c>
      <c r="W406" s="119"/>
      <c r="X406" s="1">
        <v>0</v>
      </c>
      <c r="Y406" s="1">
        <v>4</v>
      </c>
      <c r="Z406" s="1" t="s">
        <v>32</v>
      </c>
      <c r="AA406" s="111" t="s">
        <v>54</v>
      </c>
      <c r="AB406" s="17"/>
      <c r="AC406" s="18"/>
      <c r="AD406" s="125"/>
      <c r="AE406" s="125"/>
      <c r="AF406" s="51"/>
      <c r="AG406" s="10"/>
      <c r="AH406" s="10"/>
      <c r="AM406"/>
    </row>
    <row r="407" spans="2:39" ht="15.75" thickBot="1" x14ac:dyDescent="0.3">
      <c r="B407" s="1">
        <f t="shared" si="0"/>
        <v>396</v>
      </c>
      <c r="C407" s="1">
        <v>1</v>
      </c>
      <c r="D407" s="1" t="s">
        <v>109</v>
      </c>
      <c r="E407" s="1" t="s">
        <v>294</v>
      </c>
      <c r="F407" s="1" t="s">
        <v>109</v>
      </c>
      <c r="G407" s="1" t="s">
        <v>109</v>
      </c>
      <c r="H407" s="1" t="s">
        <v>1312</v>
      </c>
      <c r="I407" s="1"/>
      <c r="J407" s="1" t="s">
        <v>1311</v>
      </c>
      <c r="K407" s="1" t="s">
        <v>1371</v>
      </c>
      <c r="L407" s="1" t="s">
        <v>1292</v>
      </c>
      <c r="M407" s="35">
        <v>0</v>
      </c>
      <c r="N407" s="35">
        <v>0</v>
      </c>
      <c r="O407" s="35">
        <v>0</v>
      </c>
      <c r="P407" s="35">
        <v>0</v>
      </c>
      <c r="Q407" s="35">
        <v>0</v>
      </c>
      <c r="R407" s="35">
        <v>0</v>
      </c>
      <c r="S407" s="35">
        <v>3</v>
      </c>
      <c r="T407" s="35">
        <v>0</v>
      </c>
      <c r="U407" s="35">
        <v>0</v>
      </c>
      <c r="V407" s="8">
        <v>4</v>
      </c>
      <c r="W407" s="119"/>
      <c r="X407" s="1">
        <v>0</v>
      </c>
      <c r="Y407" s="1">
        <v>4</v>
      </c>
      <c r="Z407" s="1" t="s">
        <v>32</v>
      </c>
      <c r="AA407" s="1" t="s">
        <v>21</v>
      </c>
      <c r="AB407" s="17">
        <v>45604</v>
      </c>
      <c r="AC407" s="18" t="s">
        <v>1292</v>
      </c>
      <c r="AD407" s="125"/>
      <c r="AE407" s="125"/>
      <c r="AF407" s="51"/>
      <c r="AG407" s="10"/>
      <c r="AH407" s="10"/>
      <c r="AM407"/>
    </row>
    <row r="408" spans="2:39" ht="15.75" thickBot="1" x14ac:dyDescent="0.3">
      <c r="B408" s="1">
        <f t="shared" si="0"/>
        <v>397</v>
      </c>
      <c r="C408" s="1">
        <v>1</v>
      </c>
      <c r="D408" s="1" t="s">
        <v>109</v>
      </c>
      <c r="E408" s="1" t="s">
        <v>294</v>
      </c>
      <c r="F408" s="1" t="s">
        <v>109</v>
      </c>
      <c r="G408" s="1" t="s">
        <v>109</v>
      </c>
      <c r="H408" s="1" t="s">
        <v>1313</v>
      </c>
      <c r="I408" s="1"/>
      <c r="J408" s="1" t="s">
        <v>1363</v>
      </c>
      <c r="K408" s="1" t="s">
        <v>1371</v>
      </c>
      <c r="L408" s="1" t="s">
        <v>1292</v>
      </c>
      <c r="M408" s="35">
        <v>0</v>
      </c>
      <c r="N408" s="35">
        <v>0</v>
      </c>
      <c r="O408" s="35">
        <v>0</v>
      </c>
      <c r="P408" s="35">
        <v>0</v>
      </c>
      <c r="Q408" s="35">
        <v>0</v>
      </c>
      <c r="R408" s="35">
        <v>0</v>
      </c>
      <c r="S408" s="35">
        <v>3</v>
      </c>
      <c r="T408" s="35">
        <v>0</v>
      </c>
      <c r="U408" s="35">
        <v>0</v>
      </c>
      <c r="V408" s="8">
        <v>4</v>
      </c>
      <c r="W408" s="119"/>
      <c r="X408" s="1">
        <v>0</v>
      </c>
      <c r="Y408" s="1">
        <v>4</v>
      </c>
      <c r="Z408" s="1" t="s">
        <v>32</v>
      </c>
      <c r="AA408" s="1" t="s">
        <v>21</v>
      </c>
      <c r="AB408" s="17">
        <v>45604</v>
      </c>
      <c r="AC408" s="18" t="s">
        <v>1292</v>
      </c>
      <c r="AD408" s="125"/>
      <c r="AE408" s="125"/>
      <c r="AF408" s="51"/>
      <c r="AG408" s="10"/>
      <c r="AH408" s="10"/>
      <c r="AM408"/>
    </row>
    <row r="409" spans="2:39" x14ac:dyDescent="0.25">
      <c r="B409" s="1">
        <f t="shared" si="0"/>
        <v>398</v>
      </c>
      <c r="C409" s="1">
        <v>1</v>
      </c>
      <c r="D409" s="1" t="s">
        <v>109</v>
      </c>
      <c r="E409" s="1" t="s">
        <v>294</v>
      </c>
      <c r="F409" s="1" t="s">
        <v>109</v>
      </c>
      <c r="G409" s="1" t="s">
        <v>109</v>
      </c>
      <c r="H409" s="1" t="s">
        <v>1314</v>
      </c>
      <c r="I409" s="1"/>
      <c r="J409" s="1" t="s">
        <v>85</v>
      </c>
      <c r="K409" s="1" t="s">
        <v>1371</v>
      </c>
      <c r="L409" s="1" t="s">
        <v>1292</v>
      </c>
      <c r="M409" s="35">
        <v>0</v>
      </c>
      <c r="N409" s="35">
        <v>0</v>
      </c>
      <c r="O409" s="35">
        <v>0</v>
      </c>
      <c r="P409" s="35">
        <v>0</v>
      </c>
      <c r="Q409" s="35">
        <v>0</v>
      </c>
      <c r="R409" s="35">
        <v>0</v>
      </c>
      <c r="S409" s="35">
        <v>3</v>
      </c>
      <c r="T409" s="35">
        <v>0</v>
      </c>
      <c r="U409" s="35">
        <v>0</v>
      </c>
      <c r="V409" s="8">
        <v>4</v>
      </c>
      <c r="W409" s="119"/>
      <c r="X409" s="1">
        <v>0</v>
      </c>
      <c r="Y409" s="1">
        <v>4</v>
      </c>
      <c r="Z409" s="1" t="s">
        <v>32</v>
      </c>
      <c r="AA409" s="1" t="s">
        <v>21</v>
      </c>
      <c r="AB409" s="17">
        <v>45647</v>
      </c>
      <c r="AC409" s="18" t="s">
        <v>1292</v>
      </c>
      <c r="AD409" s="125"/>
      <c r="AE409" s="125"/>
      <c r="AF409" s="51"/>
      <c r="AG409" s="10"/>
      <c r="AH409" s="10"/>
      <c r="AM409"/>
    </row>
    <row r="410" spans="2:39" x14ac:dyDescent="0.25">
      <c r="B410" s="1">
        <f t="shared" si="0"/>
        <v>399</v>
      </c>
      <c r="C410" s="1">
        <v>1</v>
      </c>
      <c r="D410" s="1" t="s">
        <v>1315</v>
      </c>
      <c r="E410" s="1" t="s">
        <v>294</v>
      </c>
      <c r="F410" s="1" t="s">
        <v>1315</v>
      </c>
      <c r="G410" s="1" t="s">
        <v>1315</v>
      </c>
      <c r="H410" s="1" t="s">
        <v>1316</v>
      </c>
      <c r="I410" s="1"/>
      <c r="J410" s="1" t="s">
        <v>85</v>
      </c>
      <c r="K410" s="1" t="s">
        <v>1294</v>
      </c>
      <c r="L410" s="1" t="s">
        <v>1366</v>
      </c>
      <c r="M410" s="35">
        <v>0</v>
      </c>
      <c r="N410" s="35">
        <v>0</v>
      </c>
      <c r="O410" s="35">
        <v>0</v>
      </c>
      <c r="P410" s="35">
        <v>0</v>
      </c>
      <c r="Q410" s="35">
        <v>0</v>
      </c>
      <c r="R410" s="35">
        <v>0</v>
      </c>
      <c r="S410" s="35">
        <v>0</v>
      </c>
      <c r="T410" s="35">
        <v>0</v>
      </c>
      <c r="U410" s="35">
        <v>4</v>
      </c>
      <c r="V410" s="35">
        <v>0</v>
      </c>
      <c r="W410" s="35"/>
      <c r="X410" s="1">
        <v>2</v>
      </c>
      <c r="Y410" s="1">
        <v>0</v>
      </c>
      <c r="Z410" s="1" t="s">
        <v>21</v>
      </c>
      <c r="AA410" s="1" t="s">
        <v>21</v>
      </c>
      <c r="AB410" s="17"/>
      <c r="AC410" s="18"/>
      <c r="AD410" s="126" t="s">
        <v>1380</v>
      </c>
      <c r="AE410" s="125"/>
      <c r="AF410" s="51">
        <v>1</v>
      </c>
      <c r="AG410" s="110"/>
      <c r="AH410" s="10"/>
      <c r="AM410"/>
    </row>
    <row r="411" spans="2:39" x14ac:dyDescent="0.25">
      <c r="B411" s="1">
        <f t="shared" si="0"/>
        <v>400</v>
      </c>
      <c r="C411" s="1">
        <v>1</v>
      </c>
      <c r="D411" s="1" t="s">
        <v>212</v>
      </c>
      <c r="E411" s="1" t="s">
        <v>91</v>
      </c>
      <c r="F411" s="1" t="s">
        <v>473</v>
      </c>
      <c r="G411" s="1" t="s">
        <v>473</v>
      </c>
      <c r="H411" s="1" t="s">
        <v>1322</v>
      </c>
      <c r="I411" s="1"/>
      <c r="J411" s="1" t="s">
        <v>86</v>
      </c>
      <c r="K411" s="1" t="s">
        <v>1317</v>
      </c>
      <c r="L411" s="1" t="s">
        <v>408</v>
      </c>
      <c r="M411" s="1">
        <v>0</v>
      </c>
      <c r="N411" s="1">
        <v>0</v>
      </c>
      <c r="O411" s="1">
        <v>0</v>
      </c>
      <c r="P411" s="1">
        <v>0</v>
      </c>
      <c r="Q411" s="1">
        <v>0</v>
      </c>
      <c r="R411" s="1">
        <v>0</v>
      </c>
      <c r="S411" s="1">
        <v>3</v>
      </c>
      <c r="T411" s="1">
        <v>0</v>
      </c>
      <c r="U411" s="1">
        <v>0</v>
      </c>
      <c r="V411" s="1">
        <v>4</v>
      </c>
      <c r="W411" s="1">
        <v>4</v>
      </c>
      <c r="X411" s="1">
        <v>0</v>
      </c>
      <c r="Y411" s="1"/>
      <c r="Z411" s="1"/>
      <c r="AA411" s="1" t="s">
        <v>21</v>
      </c>
      <c r="AB411" s="17">
        <v>45708</v>
      </c>
      <c r="AC411" s="18" t="s">
        <v>1049</v>
      </c>
      <c r="AD411" s="126" t="s">
        <v>1320</v>
      </c>
      <c r="AE411" s="126" t="s">
        <v>1062</v>
      </c>
      <c r="AF411" s="51">
        <v>0.8</v>
      </c>
      <c r="AG411" s="10"/>
    </row>
    <row r="412" spans="2:39" x14ac:dyDescent="0.25">
      <c r="B412" s="1">
        <f t="shared" si="0"/>
        <v>401</v>
      </c>
      <c r="C412" s="1">
        <v>1</v>
      </c>
      <c r="D412" s="1" t="s">
        <v>212</v>
      </c>
      <c r="E412" s="1" t="s">
        <v>91</v>
      </c>
      <c r="F412" s="1" t="s">
        <v>473</v>
      </c>
      <c r="G412" s="1" t="s">
        <v>473</v>
      </c>
      <c r="H412" s="1" t="s">
        <v>1323</v>
      </c>
      <c r="I412" s="1"/>
      <c r="J412" s="1" t="s">
        <v>86</v>
      </c>
      <c r="K412" s="1" t="s">
        <v>1317</v>
      </c>
      <c r="L412" s="1" t="s">
        <v>408</v>
      </c>
      <c r="M412" s="1">
        <v>0</v>
      </c>
      <c r="N412" s="1">
        <v>0</v>
      </c>
      <c r="O412" s="1">
        <v>0</v>
      </c>
      <c r="P412" s="1">
        <v>0</v>
      </c>
      <c r="Q412" s="1">
        <v>0</v>
      </c>
      <c r="R412" s="1">
        <v>0</v>
      </c>
      <c r="S412" s="1">
        <v>3</v>
      </c>
      <c r="T412" s="1">
        <v>0</v>
      </c>
      <c r="U412" s="1">
        <v>0</v>
      </c>
      <c r="V412" s="1">
        <v>4</v>
      </c>
      <c r="W412" s="1">
        <v>4</v>
      </c>
      <c r="X412" s="1">
        <v>0</v>
      </c>
      <c r="Y412" s="1"/>
      <c r="Z412" s="1"/>
      <c r="AA412" s="1" t="s">
        <v>21</v>
      </c>
      <c r="AB412" s="17">
        <v>45708</v>
      </c>
      <c r="AC412" s="18" t="s">
        <v>1049</v>
      </c>
      <c r="AD412" s="126" t="s">
        <v>1320</v>
      </c>
      <c r="AE412" s="126" t="s">
        <v>1062</v>
      </c>
      <c r="AF412" s="51">
        <v>0.8</v>
      </c>
      <c r="AG412" s="10"/>
    </row>
    <row r="413" spans="2:39" x14ac:dyDescent="0.25">
      <c r="B413" s="1">
        <f t="shared" si="0"/>
        <v>402</v>
      </c>
      <c r="C413" s="1">
        <v>1</v>
      </c>
      <c r="D413" s="1" t="s">
        <v>212</v>
      </c>
      <c r="E413" s="1" t="s">
        <v>91</v>
      </c>
      <c r="F413" s="1" t="s">
        <v>1087</v>
      </c>
      <c r="G413" s="1" t="s">
        <v>1087</v>
      </c>
      <c r="H413" s="1" t="s">
        <v>1326</v>
      </c>
      <c r="I413" s="1"/>
      <c r="J413" s="1" t="s">
        <v>85</v>
      </c>
      <c r="K413" s="1" t="s">
        <v>1317</v>
      </c>
      <c r="L413" s="1" t="s">
        <v>1292</v>
      </c>
      <c r="M413" s="1">
        <v>0</v>
      </c>
      <c r="N413" s="1">
        <v>0</v>
      </c>
      <c r="O413" s="1">
        <v>0</v>
      </c>
      <c r="P413" s="1">
        <v>0</v>
      </c>
      <c r="Q413" s="1">
        <v>0</v>
      </c>
      <c r="R413" s="1">
        <v>0</v>
      </c>
      <c r="S413" s="1">
        <v>2</v>
      </c>
      <c r="T413" s="1">
        <v>0</v>
      </c>
      <c r="U413" s="1">
        <v>0</v>
      </c>
      <c r="V413" s="1">
        <v>4</v>
      </c>
      <c r="W413" s="1">
        <v>3</v>
      </c>
      <c r="X413" s="1">
        <v>0</v>
      </c>
      <c r="Y413" s="1"/>
      <c r="Z413" s="1"/>
      <c r="AA413" s="1" t="s">
        <v>21</v>
      </c>
      <c r="AB413" s="17">
        <v>45701</v>
      </c>
      <c r="AC413" s="18" t="s">
        <v>1049</v>
      </c>
      <c r="AD413" s="126" t="s">
        <v>1320</v>
      </c>
      <c r="AE413" s="126" t="s">
        <v>1332</v>
      </c>
      <c r="AF413" s="51">
        <v>0.8</v>
      </c>
      <c r="AG413" s="10"/>
    </row>
    <row r="414" spans="2:39" x14ac:dyDescent="0.25">
      <c r="B414" s="1">
        <f t="shared" si="0"/>
        <v>403</v>
      </c>
      <c r="C414" s="1">
        <v>1</v>
      </c>
      <c r="D414" s="1" t="s">
        <v>212</v>
      </c>
      <c r="E414" s="1" t="s">
        <v>91</v>
      </c>
      <c r="F414" s="1" t="s">
        <v>1087</v>
      </c>
      <c r="G414" s="1" t="s">
        <v>1087</v>
      </c>
      <c r="H414" s="1" t="s">
        <v>1328</v>
      </c>
      <c r="I414" s="1"/>
      <c r="J414" s="1" t="s">
        <v>87</v>
      </c>
      <c r="K414" s="1" t="s">
        <v>1317</v>
      </c>
      <c r="L414" s="1" t="s">
        <v>1292</v>
      </c>
      <c r="M414" s="1">
        <v>0</v>
      </c>
      <c r="N414" s="1">
        <v>0</v>
      </c>
      <c r="O414" s="1">
        <v>0</v>
      </c>
      <c r="P414" s="1">
        <v>0</v>
      </c>
      <c r="Q414" s="1">
        <v>0</v>
      </c>
      <c r="R414" s="1">
        <v>0</v>
      </c>
      <c r="S414" s="1">
        <v>3</v>
      </c>
      <c r="T414" s="1">
        <v>0</v>
      </c>
      <c r="U414" s="1">
        <v>0</v>
      </c>
      <c r="V414" s="1">
        <v>4</v>
      </c>
      <c r="W414" s="1">
        <v>3</v>
      </c>
      <c r="X414" s="1">
        <v>0</v>
      </c>
      <c r="Y414" s="1"/>
      <c r="Z414" s="1"/>
      <c r="AA414" s="1" t="s">
        <v>21</v>
      </c>
      <c r="AB414" s="17">
        <v>45701</v>
      </c>
      <c r="AC414" s="18" t="s">
        <v>1049</v>
      </c>
      <c r="AD414" s="126" t="s">
        <v>1320</v>
      </c>
      <c r="AE414" s="126" t="s">
        <v>1378</v>
      </c>
      <c r="AF414" s="51">
        <v>1</v>
      </c>
      <c r="AG414" s="10"/>
    </row>
    <row r="415" spans="2:39" x14ac:dyDescent="0.25">
      <c r="B415" s="1">
        <f t="shared" si="0"/>
        <v>404</v>
      </c>
      <c r="C415" s="1">
        <v>1</v>
      </c>
      <c r="D415" s="1" t="s">
        <v>212</v>
      </c>
      <c r="E415" s="1" t="s">
        <v>91</v>
      </c>
      <c r="F415" s="1" t="s">
        <v>1087</v>
      </c>
      <c r="G415" s="1" t="s">
        <v>1087</v>
      </c>
      <c r="H415" s="1" t="s">
        <v>1331</v>
      </c>
      <c r="I415" s="1"/>
      <c r="J415" s="1" t="s">
        <v>86</v>
      </c>
      <c r="K415" s="1" t="s">
        <v>1317</v>
      </c>
      <c r="L415" s="1" t="s">
        <v>1292</v>
      </c>
      <c r="M415" s="1">
        <v>0</v>
      </c>
      <c r="N415" s="1">
        <v>0</v>
      </c>
      <c r="O415" s="1">
        <v>0</v>
      </c>
      <c r="P415" s="1">
        <v>0</v>
      </c>
      <c r="Q415" s="1">
        <v>0</v>
      </c>
      <c r="R415" s="1">
        <v>0</v>
      </c>
      <c r="S415" s="1">
        <v>3</v>
      </c>
      <c r="T415" s="1">
        <v>0</v>
      </c>
      <c r="U415" s="1">
        <v>0</v>
      </c>
      <c r="V415" s="1">
        <v>4</v>
      </c>
      <c r="W415" s="1">
        <v>4</v>
      </c>
      <c r="X415" s="1">
        <v>0</v>
      </c>
      <c r="Y415" s="1"/>
      <c r="Z415" s="1"/>
      <c r="AA415" s="1" t="s">
        <v>21</v>
      </c>
      <c r="AB415" s="17">
        <v>45701</v>
      </c>
      <c r="AC415" s="18" t="s">
        <v>1049</v>
      </c>
      <c r="AD415" s="126" t="s">
        <v>1320</v>
      </c>
      <c r="AE415" s="126" t="s">
        <v>1334</v>
      </c>
      <c r="AF415" s="51">
        <v>0.5</v>
      </c>
      <c r="AG415" s="10"/>
    </row>
    <row r="416" spans="2:39" ht="15.75" thickBot="1" x14ac:dyDescent="0.3">
      <c r="B416" s="1">
        <f t="shared" si="0"/>
        <v>405</v>
      </c>
      <c r="C416" s="1">
        <v>1</v>
      </c>
      <c r="D416" s="1" t="s">
        <v>212</v>
      </c>
      <c r="E416" s="1" t="s">
        <v>91</v>
      </c>
      <c r="F416" s="1" t="s">
        <v>473</v>
      </c>
      <c r="G416" s="1" t="s">
        <v>473</v>
      </c>
      <c r="H416" s="1" t="s">
        <v>1358</v>
      </c>
      <c r="I416" s="1"/>
      <c r="J416" s="1" t="s">
        <v>87</v>
      </c>
      <c r="K416" s="1" t="s">
        <v>1317</v>
      </c>
      <c r="L416" s="1" t="s">
        <v>408</v>
      </c>
      <c r="M416" s="1">
        <v>0</v>
      </c>
      <c r="N416" s="1">
        <v>0</v>
      </c>
      <c r="O416" s="1">
        <v>0</v>
      </c>
      <c r="P416" s="1">
        <v>0</v>
      </c>
      <c r="Q416" s="1">
        <v>0</v>
      </c>
      <c r="R416" s="1">
        <v>0</v>
      </c>
      <c r="S416" s="35">
        <v>3</v>
      </c>
      <c r="T416" s="35">
        <v>0</v>
      </c>
      <c r="U416" s="35">
        <v>0</v>
      </c>
      <c r="V416" s="1">
        <v>4</v>
      </c>
      <c r="W416" s="119">
        <v>4</v>
      </c>
      <c r="X416" s="1">
        <v>0</v>
      </c>
      <c r="Y416" s="1"/>
      <c r="Z416" s="1"/>
      <c r="AA416" s="1" t="s">
        <v>21</v>
      </c>
      <c r="AB416" s="17">
        <v>45726</v>
      </c>
      <c r="AC416" s="18" t="s">
        <v>1049</v>
      </c>
      <c r="AD416" s="126" t="s">
        <v>1320</v>
      </c>
      <c r="AE416" s="126" t="s">
        <v>1255</v>
      </c>
      <c r="AF416" s="51">
        <v>0.9</v>
      </c>
      <c r="AG416" s="10"/>
    </row>
    <row r="417" spans="2:33" ht="15.75" thickBot="1" x14ac:dyDescent="0.3">
      <c r="B417" s="1">
        <f t="shared" si="0"/>
        <v>406</v>
      </c>
      <c r="C417" s="1">
        <v>1</v>
      </c>
      <c r="D417" s="1" t="s">
        <v>109</v>
      </c>
      <c r="E417" s="1" t="s">
        <v>294</v>
      </c>
      <c r="F417" s="1" t="s">
        <v>109</v>
      </c>
      <c r="G417" s="1" t="s">
        <v>109</v>
      </c>
      <c r="H417" s="1" t="s">
        <v>1229</v>
      </c>
      <c r="I417" s="1"/>
      <c r="J417" s="1" t="s">
        <v>86</v>
      </c>
      <c r="K417" s="1" t="s">
        <v>1371</v>
      </c>
      <c r="L417" s="1" t="s">
        <v>1292</v>
      </c>
      <c r="M417" s="1">
        <v>0</v>
      </c>
      <c r="N417" s="1">
        <v>0</v>
      </c>
      <c r="O417" s="1">
        <v>0</v>
      </c>
      <c r="P417" s="1">
        <v>0</v>
      </c>
      <c r="Q417" s="1">
        <v>0</v>
      </c>
      <c r="R417" s="1">
        <v>0</v>
      </c>
      <c r="S417" s="35">
        <v>3</v>
      </c>
      <c r="T417" s="35">
        <v>0</v>
      </c>
      <c r="U417" s="35">
        <v>0</v>
      </c>
      <c r="V417" s="8">
        <v>4</v>
      </c>
      <c r="W417" s="119">
        <v>0</v>
      </c>
      <c r="X417" s="1">
        <v>0</v>
      </c>
      <c r="Y417" s="1">
        <v>4</v>
      </c>
      <c r="Z417" s="1" t="s">
        <v>32</v>
      </c>
      <c r="AA417" s="1" t="s">
        <v>21</v>
      </c>
      <c r="AB417" s="17"/>
      <c r="AC417" s="18"/>
      <c r="AD417" s="125"/>
      <c r="AE417" s="125"/>
      <c r="AF417" s="51"/>
      <c r="AG417" s="10"/>
    </row>
    <row r="418" spans="2:33" ht="15.75" thickBot="1" x14ac:dyDescent="0.3">
      <c r="B418" s="1">
        <f t="shared" si="0"/>
        <v>407</v>
      </c>
      <c r="C418" s="1">
        <v>1</v>
      </c>
      <c r="D418" s="1" t="s">
        <v>109</v>
      </c>
      <c r="E418" s="1" t="s">
        <v>91</v>
      </c>
      <c r="F418" s="1" t="s">
        <v>109</v>
      </c>
      <c r="G418" s="1" t="s">
        <v>109</v>
      </c>
      <c r="H418" s="1" t="s">
        <v>1361</v>
      </c>
      <c r="I418" s="1"/>
      <c r="J418" s="1" t="s">
        <v>87</v>
      </c>
      <c r="K418" s="1" t="s">
        <v>1371</v>
      </c>
      <c r="L418" s="1" t="s">
        <v>1292</v>
      </c>
      <c r="M418" s="1">
        <v>0</v>
      </c>
      <c r="N418" s="1">
        <v>0</v>
      </c>
      <c r="O418" s="1">
        <v>0</v>
      </c>
      <c r="P418" s="1">
        <v>0</v>
      </c>
      <c r="Q418" s="1">
        <v>0</v>
      </c>
      <c r="R418" s="1">
        <v>0</v>
      </c>
      <c r="S418" s="35">
        <v>3</v>
      </c>
      <c r="T418" s="35">
        <v>0</v>
      </c>
      <c r="U418" s="35">
        <v>0</v>
      </c>
      <c r="V418" s="8">
        <v>4</v>
      </c>
      <c r="W418" s="119">
        <v>0</v>
      </c>
      <c r="X418" s="1">
        <v>0</v>
      </c>
      <c r="Y418" s="1">
        <v>4</v>
      </c>
      <c r="Z418" s="1" t="s">
        <v>32</v>
      </c>
      <c r="AA418" s="1" t="s">
        <v>21</v>
      </c>
      <c r="AB418" s="17">
        <v>45757</v>
      </c>
      <c r="AC418" s="18" t="s">
        <v>1292</v>
      </c>
      <c r="AD418" s="125"/>
      <c r="AE418" s="125"/>
      <c r="AF418" s="51"/>
      <c r="AG418" s="10"/>
    </row>
    <row r="419" spans="2:33" x14ac:dyDescent="0.25">
      <c r="B419" s="1">
        <f t="shared" si="0"/>
        <v>408</v>
      </c>
      <c r="C419" s="1">
        <v>1</v>
      </c>
      <c r="D419" s="1" t="s">
        <v>109</v>
      </c>
      <c r="E419" s="1" t="s">
        <v>91</v>
      </c>
      <c r="F419" s="1" t="s">
        <v>109</v>
      </c>
      <c r="G419" s="1" t="s">
        <v>109</v>
      </c>
      <c r="H419" s="1" t="s">
        <v>1362</v>
      </c>
      <c r="I419" s="1"/>
      <c r="J419" s="1" t="s">
        <v>86</v>
      </c>
      <c r="K419" s="1" t="s">
        <v>1371</v>
      </c>
      <c r="L419" s="1" t="s">
        <v>1292</v>
      </c>
      <c r="M419" s="1">
        <v>0</v>
      </c>
      <c r="N419" s="1">
        <v>0</v>
      </c>
      <c r="O419" s="1">
        <v>0</v>
      </c>
      <c r="P419" s="1">
        <v>0</v>
      </c>
      <c r="Q419" s="1">
        <v>0</v>
      </c>
      <c r="R419" s="1">
        <v>0</v>
      </c>
      <c r="S419" s="35">
        <v>1</v>
      </c>
      <c r="T419" s="35">
        <v>0</v>
      </c>
      <c r="U419" s="35">
        <v>0</v>
      </c>
      <c r="V419" s="8">
        <v>4</v>
      </c>
      <c r="W419" s="119">
        <v>0</v>
      </c>
      <c r="X419" s="1">
        <v>0</v>
      </c>
      <c r="Y419" s="1">
        <v>4</v>
      </c>
      <c r="Z419" s="1" t="s">
        <v>32</v>
      </c>
      <c r="AA419" s="1" t="s">
        <v>32</v>
      </c>
      <c r="AB419" s="17"/>
      <c r="AC419" s="18"/>
      <c r="AD419" s="125"/>
      <c r="AE419" s="125"/>
      <c r="AF419" s="51"/>
      <c r="AG419" s="10"/>
    </row>
    <row r="420" spans="2:33" x14ac:dyDescent="0.25">
      <c r="B420" s="1">
        <f>B419+1</f>
        <v>409</v>
      </c>
      <c r="C420" s="1">
        <v>1</v>
      </c>
      <c r="D420" s="1" t="s">
        <v>212</v>
      </c>
      <c r="E420" s="1" t="s">
        <v>91</v>
      </c>
      <c r="F420" s="1" t="s">
        <v>1319</v>
      </c>
      <c r="G420" s="1" t="s">
        <v>1319</v>
      </c>
      <c r="H420" s="1" t="s">
        <v>1364</v>
      </c>
      <c r="I420" s="1"/>
      <c r="J420" s="1" t="s">
        <v>86</v>
      </c>
      <c r="K420" s="1" t="s">
        <v>1317</v>
      </c>
      <c r="L420" s="1" t="s">
        <v>408</v>
      </c>
      <c r="M420" s="1">
        <v>0</v>
      </c>
      <c r="N420" s="1">
        <v>0</v>
      </c>
      <c r="O420" s="1">
        <v>0</v>
      </c>
      <c r="P420" s="1">
        <v>0</v>
      </c>
      <c r="Q420" s="1">
        <v>0</v>
      </c>
      <c r="R420" s="1">
        <v>0</v>
      </c>
      <c r="S420" s="35">
        <v>2</v>
      </c>
      <c r="T420" s="35">
        <v>0</v>
      </c>
      <c r="U420" s="35">
        <v>0</v>
      </c>
      <c r="V420" s="1">
        <v>4</v>
      </c>
      <c r="W420" s="119">
        <v>3</v>
      </c>
      <c r="X420" s="1">
        <v>0</v>
      </c>
      <c r="Y420" s="1"/>
      <c r="Z420" s="1" t="s">
        <v>32</v>
      </c>
      <c r="AA420" s="1" t="s">
        <v>32</v>
      </c>
      <c r="AB420" s="17">
        <v>45967</v>
      </c>
      <c r="AC420" s="18" t="s">
        <v>1049</v>
      </c>
      <c r="AD420" s="126" t="s">
        <v>1320</v>
      </c>
      <c r="AE420" s="125"/>
      <c r="AF420" s="51">
        <v>0.8</v>
      </c>
      <c r="AG420" s="10"/>
    </row>
    <row r="421" spans="2:33" ht="15.75" thickBot="1" x14ac:dyDescent="0.3">
      <c r="B421" s="1">
        <f>B420+1</f>
        <v>410</v>
      </c>
      <c r="C421" s="1">
        <v>1</v>
      </c>
      <c r="D421" s="1" t="s">
        <v>109</v>
      </c>
      <c r="E421" s="1" t="s">
        <v>91</v>
      </c>
      <c r="F421" s="1" t="s">
        <v>109</v>
      </c>
      <c r="G421" s="1" t="s">
        <v>109</v>
      </c>
      <c r="H421" s="1" t="s">
        <v>1370</v>
      </c>
      <c r="I421" s="1"/>
      <c r="J421" s="1" t="s">
        <v>85</v>
      </c>
      <c r="K421" s="1" t="s">
        <v>1371</v>
      </c>
      <c r="L421" s="1" t="s">
        <v>1292</v>
      </c>
      <c r="M421" s="1"/>
      <c r="N421" s="1"/>
      <c r="O421" s="1"/>
      <c r="P421" s="1"/>
      <c r="Q421" s="1"/>
      <c r="R421" s="1"/>
      <c r="S421" s="35">
        <v>1</v>
      </c>
      <c r="T421" s="35"/>
      <c r="U421" s="35"/>
      <c r="V421" s="35">
        <v>4</v>
      </c>
      <c r="W421" s="119"/>
      <c r="X421" s="119"/>
      <c r="Y421" s="1">
        <v>4</v>
      </c>
      <c r="Z421" s="1" t="s">
        <v>32</v>
      </c>
      <c r="AA421" s="1" t="s">
        <v>32</v>
      </c>
      <c r="AB421" s="17"/>
      <c r="AC421" s="18"/>
      <c r="AD421" s="125"/>
      <c r="AE421" s="125"/>
      <c r="AF421" s="51"/>
      <c r="AG421" s="10"/>
    </row>
    <row r="422" spans="2:33" x14ac:dyDescent="0.25">
      <c r="B422" s="1">
        <f>B421+1</f>
        <v>411</v>
      </c>
      <c r="C422" s="1">
        <v>1</v>
      </c>
      <c r="D422" s="1" t="s">
        <v>1309</v>
      </c>
      <c r="E422" s="1" t="s">
        <v>294</v>
      </c>
      <c r="F422" s="1" t="s">
        <v>1309</v>
      </c>
      <c r="G422" s="1" t="s">
        <v>1309</v>
      </c>
      <c r="H422" s="1" t="s">
        <v>1365</v>
      </c>
      <c r="I422" s="1"/>
      <c r="J422" s="1" t="s">
        <v>86</v>
      </c>
      <c r="K422" s="1" t="s">
        <v>1371</v>
      </c>
      <c r="L422" s="1" t="s">
        <v>1292</v>
      </c>
      <c r="M422" s="35">
        <v>0</v>
      </c>
      <c r="N422" s="35">
        <v>0</v>
      </c>
      <c r="O422" s="35">
        <v>0</v>
      </c>
      <c r="P422" s="35">
        <v>0</v>
      </c>
      <c r="Q422" s="35">
        <v>0</v>
      </c>
      <c r="R422" s="35">
        <v>0</v>
      </c>
      <c r="S422" s="35">
        <v>3</v>
      </c>
      <c r="T422" s="35">
        <v>0</v>
      </c>
      <c r="U422" s="35">
        <v>0</v>
      </c>
      <c r="V422" s="8">
        <v>4</v>
      </c>
      <c r="W422" s="119"/>
      <c r="X422" s="1">
        <v>0</v>
      </c>
      <c r="Y422" s="1">
        <v>4</v>
      </c>
      <c r="Z422" s="1" t="s">
        <v>32</v>
      </c>
      <c r="AA422" s="1" t="s">
        <v>21</v>
      </c>
      <c r="AB422" s="17"/>
      <c r="AC422" s="18"/>
      <c r="AD422" s="125"/>
      <c r="AE422" s="125"/>
      <c r="AF422" s="51"/>
      <c r="AG422" s="10"/>
    </row>
    <row r="423" spans="2:33" x14ac:dyDescent="0.25">
      <c r="B423" s="1">
        <f t="shared" ref="B423:B430" si="1">B422+1</f>
        <v>412</v>
      </c>
      <c r="C423" s="1">
        <v>1</v>
      </c>
      <c r="D423" s="1" t="s">
        <v>1234</v>
      </c>
      <c r="E423" s="1" t="s">
        <v>294</v>
      </c>
      <c r="F423" s="1" t="s">
        <v>1234</v>
      </c>
      <c r="G423" s="1" t="s">
        <v>1234</v>
      </c>
      <c r="H423" s="1" t="s">
        <v>1367</v>
      </c>
      <c r="I423" s="1"/>
      <c r="J423" s="1" t="s">
        <v>85</v>
      </c>
      <c r="K423" s="1" t="s">
        <v>491</v>
      </c>
      <c r="L423" s="1" t="s">
        <v>11</v>
      </c>
      <c r="M423" s="1"/>
      <c r="N423" s="1"/>
      <c r="O423" s="1"/>
      <c r="P423" s="1"/>
      <c r="Q423" s="1"/>
      <c r="R423" s="1"/>
      <c r="S423" s="35"/>
      <c r="T423" s="35"/>
      <c r="U423" s="35"/>
      <c r="V423" s="35"/>
      <c r="W423" s="119"/>
      <c r="X423" s="35">
        <v>1</v>
      </c>
      <c r="Y423" s="35"/>
      <c r="Z423" s="1"/>
      <c r="AA423" s="1"/>
      <c r="AB423" s="17"/>
      <c r="AC423" s="18"/>
      <c r="AD423" s="125"/>
      <c r="AE423" s="125"/>
      <c r="AF423" s="51"/>
      <c r="AG423" s="10"/>
    </row>
    <row r="424" spans="2:33" x14ac:dyDescent="0.25">
      <c r="B424" s="1">
        <f t="shared" si="1"/>
        <v>413</v>
      </c>
      <c r="C424" s="1">
        <v>1</v>
      </c>
      <c r="D424" s="1" t="s">
        <v>1234</v>
      </c>
      <c r="E424" s="1" t="s">
        <v>294</v>
      </c>
      <c r="F424" s="1" t="s">
        <v>1234</v>
      </c>
      <c r="G424" s="1" t="s">
        <v>1234</v>
      </c>
      <c r="H424" s="1" t="s">
        <v>1381</v>
      </c>
      <c r="I424" s="1" t="s">
        <v>85</v>
      </c>
      <c r="J424" s="1" t="s">
        <v>85</v>
      </c>
      <c r="K424" s="1" t="s">
        <v>1294</v>
      </c>
      <c r="L424" s="1" t="s">
        <v>1366</v>
      </c>
      <c r="M424" s="35">
        <v>0</v>
      </c>
      <c r="N424" s="35">
        <v>0</v>
      </c>
      <c r="O424" s="35">
        <v>0</v>
      </c>
      <c r="P424" s="35">
        <v>0</v>
      </c>
      <c r="Q424" s="35">
        <v>0</v>
      </c>
      <c r="R424" s="35">
        <v>0</v>
      </c>
      <c r="S424" s="35">
        <v>0</v>
      </c>
      <c r="T424" s="35">
        <v>0</v>
      </c>
      <c r="U424" s="35">
        <v>4</v>
      </c>
      <c r="V424" s="35">
        <v>0</v>
      </c>
      <c r="W424" s="35">
        <v>0</v>
      </c>
      <c r="X424" s="35">
        <v>2</v>
      </c>
      <c r="Y424" s="1">
        <v>0</v>
      </c>
      <c r="Z424" s="1" t="s">
        <v>21</v>
      </c>
      <c r="AA424" s="1" t="s">
        <v>21</v>
      </c>
      <c r="AB424" s="17"/>
      <c r="AC424" s="18"/>
      <c r="AD424" s="126" t="s">
        <v>1382</v>
      </c>
      <c r="AE424" s="125"/>
      <c r="AF424" s="51">
        <v>1</v>
      </c>
      <c r="AG424" s="10"/>
    </row>
    <row r="425" spans="2:33" hidden="1" x14ac:dyDescent="0.25">
      <c r="B425" s="1">
        <f t="shared" si="1"/>
        <v>414</v>
      </c>
      <c r="C425" s="1">
        <v>0</v>
      </c>
      <c r="D425" s="1" t="s">
        <v>1234</v>
      </c>
      <c r="E425" s="1" t="s">
        <v>294</v>
      </c>
      <c r="F425" s="1" t="s">
        <v>1234</v>
      </c>
      <c r="G425" s="1" t="s">
        <v>1234</v>
      </c>
      <c r="H425" s="1" t="s">
        <v>1368</v>
      </c>
      <c r="I425" s="1"/>
      <c r="J425" s="1" t="s">
        <v>87</v>
      </c>
      <c r="K425" s="1" t="s">
        <v>1294</v>
      </c>
      <c r="L425" s="1"/>
      <c r="M425" s="1">
        <v>0</v>
      </c>
      <c r="N425" s="1">
        <v>0</v>
      </c>
      <c r="O425" s="1">
        <v>0</v>
      </c>
      <c r="P425" s="1">
        <v>0</v>
      </c>
      <c r="Q425" s="1">
        <v>0</v>
      </c>
      <c r="R425" s="1">
        <v>2</v>
      </c>
      <c r="S425" s="1">
        <v>0</v>
      </c>
      <c r="T425" s="1">
        <v>0</v>
      </c>
      <c r="U425" s="1">
        <v>4</v>
      </c>
      <c r="V425" s="1">
        <v>0</v>
      </c>
      <c r="W425" s="1">
        <v>0</v>
      </c>
      <c r="X425" s="1">
        <v>0</v>
      </c>
      <c r="Y425" s="1"/>
      <c r="Z425" s="1" t="s">
        <v>32</v>
      </c>
      <c r="AA425" s="17" t="s">
        <v>32</v>
      </c>
      <c r="AB425" s="18"/>
      <c r="AC425" s="126"/>
      <c r="AD425" s="126"/>
      <c r="AE425" s="51" t="s">
        <v>1369</v>
      </c>
      <c r="AF425" s="10">
        <v>0.9</v>
      </c>
      <c r="AG425" s="110" t="s">
        <v>1280</v>
      </c>
    </row>
    <row r="426" spans="2:33" x14ac:dyDescent="0.25">
      <c r="B426" s="1">
        <f t="shared" si="1"/>
        <v>415</v>
      </c>
      <c r="C426" s="1">
        <v>1</v>
      </c>
      <c r="D426" s="1" t="s">
        <v>212</v>
      </c>
      <c r="E426" s="1" t="s">
        <v>91</v>
      </c>
      <c r="F426" s="1" t="s">
        <v>473</v>
      </c>
      <c r="G426" s="1" t="s">
        <v>473</v>
      </c>
      <c r="H426" s="1" t="s">
        <v>1372</v>
      </c>
      <c r="I426" s="1"/>
      <c r="J426" s="1" t="s">
        <v>86</v>
      </c>
      <c r="K426" s="1" t="s">
        <v>1317</v>
      </c>
      <c r="L426" s="1" t="s">
        <v>408</v>
      </c>
      <c r="M426" s="1"/>
      <c r="N426" s="1"/>
      <c r="O426" s="1"/>
      <c r="P426" s="1"/>
      <c r="Q426" s="1"/>
      <c r="R426" s="1"/>
      <c r="S426" s="35"/>
      <c r="T426" s="35"/>
      <c r="U426" s="35"/>
      <c r="V426" s="35"/>
      <c r="W426" s="119">
        <v>4</v>
      </c>
      <c r="X426" s="119"/>
      <c r="Y426" s="35"/>
      <c r="Z426" s="1"/>
      <c r="AA426" s="1" t="s">
        <v>21</v>
      </c>
      <c r="AB426" s="17">
        <v>45966</v>
      </c>
      <c r="AC426" s="18" t="s">
        <v>1049</v>
      </c>
      <c r="AD426" s="126" t="s">
        <v>1320</v>
      </c>
      <c r="AE426" s="126" t="s">
        <v>1373</v>
      </c>
      <c r="AF426" s="51">
        <v>0.5</v>
      </c>
      <c r="AG426" s="10"/>
    </row>
    <row r="427" spans="2:33" x14ac:dyDescent="0.25">
      <c r="B427" s="132">
        <f t="shared" si="1"/>
        <v>416</v>
      </c>
      <c r="C427" s="1">
        <v>1</v>
      </c>
      <c r="D427" s="1" t="s">
        <v>1234</v>
      </c>
      <c r="E427" s="1" t="s">
        <v>294</v>
      </c>
      <c r="F427" s="1" t="s">
        <v>1234</v>
      </c>
      <c r="G427" s="1" t="s">
        <v>1234</v>
      </c>
      <c r="H427" s="1" t="s">
        <v>1383</v>
      </c>
      <c r="I427" s="1" t="s">
        <v>85</v>
      </c>
      <c r="J427" s="1" t="s">
        <v>85</v>
      </c>
      <c r="K427" s="1" t="s">
        <v>1294</v>
      </c>
      <c r="L427" s="1" t="s">
        <v>1366</v>
      </c>
      <c r="M427" s="35">
        <v>0</v>
      </c>
      <c r="N427" s="35">
        <v>0</v>
      </c>
      <c r="O427" s="35">
        <v>0</v>
      </c>
      <c r="P427" s="35">
        <v>0</v>
      </c>
      <c r="Q427" s="35">
        <v>0</v>
      </c>
      <c r="R427" s="35">
        <v>0</v>
      </c>
      <c r="S427" s="35">
        <v>0</v>
      </c>
      <c r="T427" s="35">
        <v>0</v>
      </c>
      <c r="U427" s="35">
        <v>4</v>
      </c>
      <c r="V427" s="35">
        <v>0</v>
      </c>
      <c r="W427" s="35">
        <v>0</v>
      </c>
      <c r="X427" s="35">
        <v>2</v>
      </c>
      <c r="Y427" s="1">
        <v>0</v>
      </c>
      <c r="Z427" s="1" t="s">
        <v>21</v>
      </c>
      <c r="AA427" s="1" t="s">
        <v>21</v>
      </c>
      <c r="AB427" s="17"/>
      <c r="AC427" s="18"/>
      <c r="AD427" s="126" t="s">
        <v>1382</v>
      </c>
      <c r="AE427" s="125"/>
      <c r="AF427" s="51">
        <v>1</v>
      </c>
      <c r="AG427" s="10"/>
    </row>
    <row r="428" spans="2:33" x14ac:dyDescent="0.25">
      <c r="B428" s="132">
        <f t="shared" si="1"/>
        <v>417</v>
      </c>
      <c r="C428" s="1">
        <v>1</v>
      </c>
      <c r="D428" s="1" t="s">
        <v>1234</v>
      </c>
      <c r="E428" s="1" t="s">
        <v>294</v>
      </c>
      <c r="F428" s="1" t="s">
        <v>1234</v>
      </c>
      <c r="G428" s="1" t="s">
        <v>1234</v>
      </c>
      <c r="H428" s="1" t="s">
        <v>1384</v>
      </c>
      <c r="I428" s="1" t="s">
        <v>85</v>
      </c>
      <c r="J428" s="1" t="s">
        <v>85</v>
      </c>
      <c r="K428" s="1" t="s">
        <v>1294</v>
      </c>
      <c r="L428" s="1" t="s">
        <v>1366</v>
      </c>
      <c r="M428" s="35">
        <v>0</v>
      </c>
      <c r="N428" s="35">
        <v>0</v>
      </c>
      <c r="O428" s="35">
        <v>0</v>
      </c>
      <c r="P428" s="35">
        <v>0</v>
      </c>
      <c r="Q428" s="35">
        <v>0</v>
      </c>
      <c r="R428" s="35">
        <v>0</v>
      </c>
      <c r="S428" s="35">
        <v>0</v>
      </c>
      <c r="T428" s="35">
        <v>0</v>
      </c>
      <c r="U428" s="35">
        <v>4</v>
      </c>
      <c r="V428" s="35">
        <v>0</v>
      </c>
      <c r="W428" s="35">
        <v>0</v>
      </c>
      <c r="X428" s="35">
        <v>2</v>
      </c>
      <c r="Y428" s="1">
        <v>0</v>
      </c>
      <c r="Z428" s="1" t="s">
        <v>21</v>
      </c>
      <c r="AA428" s="1" t="s">
        <v>21</v>
      </c>
      <c r="AB428" s="17"/>
      <c r="AC428" s="18"/>
      <c r="AD428" s="126" t="s">
        <v>1382</v>
      </c>
      <c r="AE428" s="125"/>
      <c r="AF428" s="51">
        <v>1</v>
      </c>
      <c r="AG428" s="10"/>
    </row>
    <row r="429" spans="2:33" x14ac:dyDescent="0.25">
      <c r="B429" s="132">
        <f t="shared" si="1"/>
        <v>418</v>
      </c>
      <c r="C429" s="1">
        <v>1</v>
      </c>
      <c r="D429" s="1" t="s">
        <v>1234</v>
      </c>
      <c r="E429" s="1" t="s">
        <v>294</v>
      </c>
      <c r="F429" s="1" t="s">
        <v>1234</v>
      </c>
      <c r="G429" s="1" t="s">
        <v>1234</v>
      </c>
      <c r="H429" s="1" t="s">
        <v>1385</v>
      </c>
      <c r="I429" s="1" t="s">
        <v>85</v>
      </c>
      <c r="J429" s="1" t="s">
        <v>85</v>
      </c>
      <c r="K429" s="1" t="s">
        <v>1294</v>
      </c>
      <c r="L429" s="1" t="s">
        <v>1366</v>
      </c>
      <c r="M429" s="35">
        <v>0</v>
      </c>
      <c r="N429" s="35">
        <v>0</v>
      </c>
      <c r="O429" s="35">
        <v>0</v>
      </c>
      <c r="P429" s="35">
        <v>0</v>
      </c>
      <c r="Q429" s="35">
        <v>0</v>
      </c>
      <c r="R429" s="35">
        <v>0</v>
      </c>
      <c r="S429" s="35">
        <v>0</v>
      </c>
      <c r="T429" s="35">
        <v>0</v>
      </c>
      <c r="U429" s="35">
        <v>4</v>
      </c>
      <c r="V429" s="35">
        <v>0</v>
      </c>
      <c r="W429" s="35">
        <v>0</v>
      </c>
      <c r="X429" s="35">
        <v>2</v>
      </c>
      <c r="Y429" s="1">
        <v>0</v>
      </c>
      <c r="Z429" s="1" t="s">
        <v>21</v>
      </c>
      <c r="AA429" s="1" t="s">
        <v>21</v>
      </c>
      <c r="AB429" s="17"/>
      <c r="AC429" s="18"/>
      <c r="AD429" s="126" t="s">
        <v>1382</v>
      </c>
      <c r="AE429" s="125"/>
      <c r="AF429" s="51">
        <v>1</v>
      </c>
      <c r="AG429" s="10"/>
    </row>
    <row r="430" spans="2:33" x14ac:dyDescent="0.25">
      <c r="B430" s="132">
        <f t="shared" si="1"/>
        <v>419</v>
      </c>
      <c r="C430" s="1">
        <v>1</v>
      </c>
      <c r="D430" s="1" t="s">
        <v>1234</v>
      </c>
      <c r="E430" s="1" t="s">
        <v>294</v>
      </c>
      <c r="F430" s="1" t="s">
        <v>1234</v>
      </c>
      <c r="G430" s="1" t="s">
        <v>1234</v>
      </c>
      <c r="H430" s="1" t="s">
        <v>1386</v>
      </c>
      <c r="I430" s="1" t="s">
        <v>85</v>
      </c>
      <c r="J430" s="1" t="s">
        <v>85</v>
      </c>
      <c r="K430" s="1" t="s">
        <v>1294</v>
      </c>
      <c r="L430" s="1" t="s">
        <v>1366</v>
      </c>
      <c r="M430" s="35">
        <v>0</v>
      </c>
      <c r="N430" s="35">
        <v>0</v>
      </c>
      <c r="O430" s="35">
        <v>0</v>
      </c>
      <c r="P430" s="35">
        <v>0</v>
      </c>
      <c r="Q430" s="35">
        <v>0</v>
      </c>
      <c r="R430" s="35">
        <v>0</v>
      </c>
      <c r="S430" s="35">
        <v>0</v>
      </c>
      <c r="T430" s="35">
        <v>0</v>
      </c>
      <c r="U430" s="35">
        <v>4</v>
      </c>
      <c r="V430" s="35">
        <v>0</v>
      </c>
      <c r="W430" s="35">
        <v>0</v>
      </c>
      <c r="X430" s="35">
        <v>2</v>
      </c>
      <c r="Y430" s="35"/>
      <c r="Z430" s="1" t="s">
        <v>21</v>
      </c>
      <c r="AA430" s="1" t="s">
        <v>21</v>
      </c>
      <c r="AB430" s="17"/>
      <c r="AC430" s="18"/>
      <c r="AD430" s="126" t="s">
        <v>1382</v>
      </c>
      <c r="AE430" s="125"/>
      <c r="AF430" s="51">
        <v>1</v>
      </c>
      <c r="AG430" s="10"/>
    </row>
    <row r="431" spans="2:33" x14ac:dyDescent="0.25">
      <c r="B431" s="132">
        <f>B430+1</f>
        <v>420</v>
      </c>
      <c r="C431" s="1">
        <v>1</v>
      </c>
      <c r="D431" s="1" t="s">
        <v>1315</v>
      </c>
      <c r="E431" s="1" t="s">
        <v>294</v>
      </c>
      <c r="F431" s="1" t="s">
        <v>1315</v>
      </c>
      <c r="G431" s="1" t="s">
        <v>1315</v>
      </c>
      <c r="H431" s="1" t="s">
        <v>1387</v>
      </c>
      <c r="I431" s="1" t="s">
        <v>85</v>
      </c>
      <c r="J431" s="1" t="s">
        <v>85</v>
      </c>
      <c r="K431" s="1" t="s">
        <v>1294</v>
      </c>
      <c r="L431" s="1" t="s">
        <v>1366</v>
      </c>
      <c r="M431" s="35">
        <v>0</v>
      </c>
      <c r="N431" s="35">
        <v>0</v>
      </c>
      <c r="O431" s="35">
        <v>0</v>
      </c>
      <c r="P431" s="35">
        <v>0</v>
      </c>
      <c r="Q431" s="35">
        <v>0</v>
      </c>
      <c r="R431" s="35">
        <v>0</v>
      </c>
      <c r="S431" s="35">
        <v>0</v>
      </c>
      <c r="T431" s="35">
        <v>0</v>
      </c>
      <c r="U431" s="35">
        <v>4</v>
      </c>
      <c r="V431" s="35">
        <v>0</v>
      </c>
      <c r="W431" s="35">
        <v>0</v>
      </c>
      <c r="X431" s="1">
        <v>2</v>
      </c>
      <c r="Y431" s="1">
        <v>0</v>
      </c>
      <c r="Z431" s="1" t="s">
        <v>21</v>
      </c>
      <c r="AA431" s="1" t="s">
        <v>21</v>
      </c>
      <c r="AB431" s="17"/>
      <c r="AC431" s="18"/>
      <c r="AD431" s="126" t="s">
        <v>1388</v>
      </c>
      <c r="AE431" s="125"/>
      <c r="AF431" s="51">
        <v>1</v>
      </c>
      <c r="AG431" s="10"/>
    </row>
    <row r="432" spans="2:33" x14ac:dyDescent="0.25">
      <c r="B432" s="132">
        <v>421</v>
      </c>
      <c r="C432" s="1">
        <v>1</v>
      </c>
      <c r="D432" s="1" t="s">
        <v>1315</v>
      </c>
      <c r="E432" s="1" t="s">
        <v>294</v>
      </c>
      <c r="F432" s="1" t="s">
        <v>1315</v>
      </c>
      <c r="G432" s="1" t="s">
        <v>1315</v>
      </c>
      <c r="H432" s="1" t="s">
        <v>1389</v>
      </c>
      <c r="I432" s="1"/>
      <c r="J432" s="1" t="s">
        <v>85</v>
      </c>
      <c r="K432" s="1" t="s">
        <v>1294</v>
      </c>
      <c r="L432" s="1" t="s">
        <v>1366</v>
      </c>
      <c r="M432" s="35">
        <v>0</v>
      </c>
      <c r="N432" s="35">
        <v>0</v>
      </c>
      <c r="O432" s="35">
        <v>0</v>
      </c>
      <c r="P432" s="35">
        <v>0</v>
      </c>
      <c r="Q432" s="35">
        <v>0</v>
      </c>
      <c r="R432" s="35">
        <v>0</v>
      </c>
      <c r="S432" s="35">
        <v>0</v>
      </c>
      <c r="T432" s="35">
        <v>0</v>
      </c>
      <c r="U432" s="35">
        <v>4</v>
      </c>
      <c r="V432" s="35">
        <v>0</v>
      </c>
      <c r="W432" s="35">
        <v>0</v>
      </c>
      <c r="X432" s="1">
        <v>2</v>
      </c>
      <c r="Y432" s="1">
        <v>0</v>
      </c>
      <c r="Z432" s="1" t="s">
        <v>21</v>
      </c>
      <c r="AA432" s="1" t="s">
        <v>21</v>
      </c>
      <c r="AB432" s="17"/>
      <c r="AC432" s="18"/>
      <c r="AD432" s="126" t="s">
        <v>1390</v>
      </c>
      <c r="AE432" s="125"/>
      <c r="AF432" s="51">
        <v>1</v>
      </c>
      <c r="AG432" s="10"/>
    </row>
    <row r="433" spans="2:33" x14ac:dyDescent="0.25">
      <c r="B433" s="132">
        <f>B432+1</f>
        <v>422</v>
      </c>
      <c r="C433" s="1">
        <v>1</v>
      </c>
      <c r="D433" s="1" t="s">
        <v>1315</v>
      </c>
      <c r="E433" s="1" t="s">
        <v>294</v>
      </c>
      <c r="F433" s="1" t="s">
        <v>1315</v>
      </c>
      <c r="G433" s="1" t="s">
        <v>1315</v>
      </c>
      <c r="H433" s="1" t="s">
        <v>1389</v>
      </c>
      <c r="I433" s="1" t="s">
        <v>85</v>
      </c>
      <c r="J433" s="1" t="s">
        <v>85</v>
      </c>
      <c r="K433" s="1" t="s">
        <v>1294</v>
      </c>
      <c r="L433" s="1" t="s">
        <v>1366</v>
      </c>
      <c r="M433" s="35">
        <v>0</v>
      </c>
      <c r="N433" s="35">
        <v>0</v>
      </c>
      <c r="O433" s="35">
        <v>0</v>
      </c>
      <c r="P433" s="35">
        <v>0</v>
      </c>
      <c r="Q433" s="35">
        <v>0</v>
      </c>
      <c r="R433" s="35">
        <v>0</v>
      </c>
      <c r="S433" s="35">
        <v>0</v>
      </c>
      <c r="T433" s="35">
        <v>0</v>
      </c>
      <c r="U433" s="35">
        <v>4</v>
      </c>
      <c r="V433" s="35">
        <v>0</v>
      </c>
      <c r="W433" s="35">
        <v>0</v>
      </c>
      <c r="X433" s="1">
        <v>2</v>
      </c>
      <c r="Y433" s="1">
        <v>0</v>
      </c>
      <c r="Z433" s="1" t="s">
        <v>21</v>
      </c>
      <c r="AA433" s="1" t="s">
        <v>21</v>
      </c>
      <c r="AB433" s="17"/>
      <c r="AC433" s="18"/>
      <c r="AD433" s="126" t="s">
        <v>1391</v>
      </c>
      <c r="AE433" s="125"/>
      <c r="AF433" s="51">
        <v>1</v>
      </c>
      <c r="AG433" s="10"/>
    </row>
  </sheetData>
  <mergeCells count="8">
    <mergeCell ref="AJ1:AL1"/>
    <mergeCell ref="P1:R1"/>
    <mergeCell ref="E4:H7"/>
    <mergeCell ref="P2:U2"/>
    <mergeCell ref="P6:U6"/>
    <mergeCell ref="P5:U5"/>
    <mergeCell ref="P4:U4"/>
    <mergeCell ref="P3:U3"/>
  </mergeCells>
  <conditionalFormatting sqref="C70 F70:I70 B12:B402 U346:Y356 U344:Z345">
    <cfRule type="expression" dxfId="1466" priority="2636">
      <formula>AND($C12=0,$C12&lt;&gt;"")</formula>
    </cfRule>
  </conditionalFormatting>
  <conditionalFormatting sqref="C284:C287">
    <cfRule type="expression" dxfId="1465" priority="627">
      <formula>AND($C284=0,$C284&lt;&gt;"")</formula>
    </cfRule>
  </conditionalFormatting>
  <conditionalFormatting sqref="C290:C296">
    <cfRule type="expression" dxfId="1464" priority="1567">
      <formula>AND($C290=0,$C290&lt;&gt;"")</formula>
    </cfRule>
  </conditionalFormatting>
  <conditionalFormatting sqref="C306">
    <cfRule type="expression" dxfId="1463" priority="3799">
      <formula>AND($C306=0,$C306&lt;&gt;"")</formula>
    </cfRule>
  </conditionalFormatting>
  <conditionalFormatting sqref="C338:D338">
    <cfRule type="expression" dxfId="1462" priority="2661">
      <formula>AND($C338=0,$C338&lt;&gt;"")</formula>
    </cfRule>
  </conditionalFormatting>
  <conditionalFormatting sqref="C264:E265 AE264:AG265 G265:J265">
    <cfRule type="expression" dxfId="1461" priority="1147">
      <formula>AND($C264=0,$C264&lt;&gt;"")</formula>
    </cfRule>
  </conditionalFormatting>
  <conditionalFormatting sqref="C387:E387 H387:J387">
    <cfRule type="expression" dxfId="1460" priority="2856">
      <formula>AND($C387=0,$C387&lt;&gt;"")</formula>
    </cfRule>
  </conditionalFormatting>
  <conditionalFormatting sqref="C391:E392 H391:J392 AE392:AG392">
    <cfRule type="expression" dxfId="1459" priority="2836">
      <formula>AND($C391=0,$C391&lt;&gt;"")</formula>
    </cfRule>
  </conditionalFormatting>
  <conditionalFormatting sqref="C385:F385">
    <cfRule type="expression" dxfId="1458" priority="2951">
      <formula>AND($C385=0,$C385&lt;&gt;"")</formula>
    </cfRule>
  </conditionalFormatting>
  <conditionalFormatting sqref="C188:J189 Z188:AA189 AG188:AG189">
    <cfRule type="expression" dxfId="1457" priority="5413">
      <formula>AND($C188=0,$C188&lt;&gt;"")</formula>
    </cfRule>
  </conditionalFormatting>
  <conditionalFormatting sqref="C257:J262 AB257:AG262">
    <cfRule type="expression" dxfId="1456" priority="1192">
      <formula>AND($C257=0,$C257&lt;&gt;"")</formula>
    </cfRule>
  </conditionalFormatting>
  <conditionalFormatting sqref="C269:J269 AB269:AG269">
    <cfRule type="expression" dxfId="1455" priority="1557">
      <formula>AND($C269=0,$C269&lt;&gt;"")</formula>
    </cfRule>
  </conditionalFormatting>
  <conditionalFormatting sqref="C322:J322 Z322 AB322:AG322">
    <cfRule type="expression" dxfId="1454" priority="2678">
      <formula>AND($C322=0,$C322&lt;&gt;"")</formula>
    </cfRule>
  </conditionalFormatting>
  <conditionalFormatting sqref="C324:J325 AB324:AG325">
    <cfRule type="expression" dxfId="1453" priority="2816">
      <formula>AND($C324=0,$C324&lt;&gt;"")</formula>
    </cfRule>
  </conditionalFormatting>
  <conditionalFormatting sqref="C336:J336 AB336:AG336">
    <cfRule type="expression" dxfId="1452" priority="2806">
      <formula>AND($C336=0,$C336&lt;&gt;"")</formula>
    </cfRule>
  </conditionalFormatting>
  <conditionalFormatting sqref="D70:E70">
    <cfRule type="expression" dxfId="1451" priority="2635">
      <formula>AND($C70=0,$C70&lt;&gt;"")</formula>
    </cfRule>
  </conditionalFormatting>
  <conditionalFormatting sqref="D250:E251">
    <cfRule type="expression" dxfId="1450" priority="1020">
      <formula>AND($C250=0,$C250&lt;&gt;"")</formula>
    </cfRule>
  </conditionalFormatting>
  <conditionalFormatting sqref="D256:E256">
    <cfRule type="expression" dxfId="1449" priority="1002">
      <formula>AND($C256=0,$C256&lt;&gt;"")</formula>
    </cfRule>
  </conditionalFormatting>
  <conditionalFormatting sqref="D263:E263">
    <cfRule type="expression" dxfId="1448" priority="984">
      <formula>AND($C263=0,$C263&lt;&gt;"")</formula>
    </cfRule>
  </conditionalFormatting>
  <conditionalFormatting sqref="D321:E321">
    <cfRule type="expression" dxfId="1447" priority="2796">
      <formula>AND($C321=0,$C321&lt;&gt;"")</formula>
    </cfRule>
  </conditionalFormatting>
  <conditionalFormatting sqref="D323:E323">
    <cfRule type="expression" dxfId="1446" priority="2778">
      <formula>AND($C323=0,$C323&lt;&gt;"")</formula>
    </cfRule>
  </conditionalFormatting>
  <conditionalFormatting sqref="D330:E335">
    <cfRule type="expression" dxfId="1445" priority="4457">
      <formula>AND($C330=0,$C330&lt;&gt;"")</formula>
    </cfRule>
  </conditionalFormatting>
  <conditionalFormatting sqref="D356:E361">
    <cfRule type="expression" dxfId="1444" priority="4055">
      <formula>AND($C356=0,$C356&lt;&gt;"")</formula>
    </cfRule>
  </conditionalFormatting>
  <conditionalFormatting sqref="D388:E390">
    <cfRule type="expression" dxfId="1443" priority="2647">
      <formula>AND($C388=0,$C388&lt;&gt;"")</formula>
    </cfRule>
  </conditionalFormatting>
  <conditionalFormatting sqref="D393:E393">
    <cfRule type="expression" dxfId="1442" priority="2760">
      <formula>AND($C393=0,$C393&lt;&gt;"")</formula>
    </cfRule>
  </conditionalFormatting>
  <conditionalFormatting sqref="D285:G286">
    <cfRule type="expression" dxfId="1441" priority="628">
      <formula>AND($C285=0,$C285&lt;&gt;"")</formula>
    </cfRule>
  </conditionalFormatting>
  <conditionalFormatting sqref="D245:J246 AA246 J247">
    <cfRule type="expression" dxfId="1440" priority="5236">
      <formula>AND($C245=0,$C245&lt;&gt;"")</formula>
    </cfRule>
  </conditionalFormatting>
  <conditionalFormatting sqref="D287:J287">
    <cfRule type="expression" dxfId="1439" priority="5018">
      <formula>AND($C287=0,$C287&lt;&gt;"")</formula>
    </cfRule>
  </conditionalFormatting>
  <conditionalFormatting sqref="D284:K284 AC284 AE284:AG284 H285:J286 AB285:AG286 K285:K288 K292:K293 K306:K307">
    <cfRule type="expression" dxfId="1438" priority="5028">
      <formula>AND($C284=0,$C284&lt;&gt;"")</formula>
    </cfRule>
  </conditionalFormatting>
  <conditionalFormatting sqref="D373:K373 Z373:AG373">
    <cfRule type="expression" dxfId="1437" priority="3451">
      <formula>AND($C373=0,$C373&lt;&gt;"")</formula>
    </cfRule>
  </conditionalFormatting>
  <conditionalFormatting sqref="D252:N252">
    <cfRule type="expression" dxfId="1436" priority="688">
      <formula>AND($C252=0,$C252&lt;&gt;"")</formula>
    </cfRule>
  </conditionalFormatting>
  <conditionalFormatting sqref="E282:E283">
    <cfRule type="expression" dxfId="1435" priority="5063">
      <formula>AND($C282=0,$C282&lt;&gt;"")</formula>
    </cfRule>
  </conditionalFormatting>
  <conditionalFormatting sqref="E288:E289">
    <cfRule type="expression" dxfId="1434" priority="4940">
      <formula>AND($C288=0,$C288&lt;&gt;"")</formula>
    </cfRule>
  </conditionalFormatting>
  <conditionalFormatting sqref="E306">
    <cfRule type="expression" dxfId="1433" priority="4566">
      <formula>AND($C306=0,$C306&lt;&gt;"")</formula>
    </cfRule>
  </conditionalFormatting>
  <conditionalFormatting sqref="E338:G338">
    <cfRule type="expression" dxfId="1432" priority="2660">
      <formula>AND($C338=0,$C338&lt;&gt;"")</formula>
    </cfRule>
  </conditionalFormatting>
  <conditionalFormatting sqref="E423:G423">
    <cfRule type="expression" dxfId="1431" priority="303">
      <formula>AND($C423=0,$C423&lt;&gt;"")</formula>
    </cfRule>
  </conditionalFormatting>
  <conditionalFormatting sqref="F264:F265 F270:F271">
    <cfRule type="expression" dxfId="1430" priority="334">
      <formula>AND($C264=0,$C264&lt;&gt;"")</formula>
    </cfRule>
  </conditionalFormatting>
  <conditionalFormatting sqref="F330:F331">
    <cfRule type="expression" dxfId="1429" priority="502">
      <formula>AND($C330=0,$C330&lt;&gt;"")</formula>
    </cfRule>
  </conditionalFormatting>
  <conditionalFormatting sqref="F333">
    <cfRule type="expression" dxfId="1428" priority="516">
      <formula>AND($C333=0,$C333&lt;&gt;"")</formula>
    </cfRule>
  </conditionalFormatting>
  <conditionalFormatting sqref="F387:F393">
    <cfRule type="expression" dxfId="1427" priority="501">
      <formula>AND($C387=0,$C387&lt;&gt;"")</formula>
    </cfRule>
  </conditionalFormatting>
  <conditionalFormatting sqref="G55">
    <cfRule type="expression" dxfId="1426" priority="5433">
      <formula>AND($C55=0,$C55&lt;&gt;"")</formula>
    </cfRule>
  </conditionalFormatting>
  <conditionalFormatting sqref="G58">
    <cfRule type="expression" dxfId="1425" priority="4702">
      <formula>AND($C58=0,$C58&lt;&gt;"")</formula>
    </cfRule>
  </conditionalFormatting>
  <conditionalFormatting sqref="G264">
    <cfRule type="expression" dxfId="1424" priority="333">
      <formula>AND($C264=0,$C264&lt;&gt;"")</formula>
    </cfRule>
  </conditionalFormatting>
  <conditionalFormatting sqref="G270">
    <cfRule type="expression" dxfId="1423" priority="332">
      <formula>AND($C270=0,$C270&lt;&gt;"")</formula>
    </cfRule>
  </conditionalFormatting>
  <conditionalFormatting sqref="G330:G331">
    <cfRule type="expression" dxfId="1422" priority="498">
      <formula>AND($C330=0,$C330&lt;&gt;"")</formula>
    </cfRule>
  </conditionalFormatting>
  <conditionalFormatting sqref="G385">
    <cfRule type="expression" dxfId="1421" priority="2896">
      <formula>AND($C385=0,$C385&lt;&gt;"")</formula>
    </cfRule>
  </conditionalFormatting>
  <conditionalFormatting sqref="G387:G393">
    <cfRule type="expression" dxfId="1420" priority="500">
      <formula>AND($C387=0,$C387&lt;&gt;"")</formula>
    </cfRule>
  </conditionalFormatting>
  <conditionalFormatting sqref="H388:H390">
    <cfRule type="expression" dxfId="1419" priority="2646">
      <formula>AND($C388=0,$C388&lt;&gt;"")</formula>
    </cfRule>
  </conditionalFormatting>
  <conditionalFormatting sqref="H264:J264">
    <cfRule type="expression" dxfId="1418" priority="1311">
      <formula>AND($C264=0,$C264&lt;&gt;"")</formula>
    </cfRule>
  </conditionalFormatting>
  <conditionalFormatting sqref="J70">
    <cfRule type="expression" dxfId="1417" priority="2634">
      <formula>AND($C70=0,$C70&lt;&gt;"")</formula>
    </cfRule>
  </conditionalFormatting>
  <conditionalFormatting sqref="J280:J283">
    <cfRule type="expression" dxfId="1416" priority="5061">
      <formula>AND($C280=0,$C280&lt;&gt;"")</formula>
    </cfRule>
  </conditionalFormatting>
  <conditionalFormatting sqref="J288:J289">
    <cfRule type="expression" dxfId="1415" priority="4939">
      <formula>AND($C288=0,$C288&lt;&gt;"")</formula>
    </cfRule>
  </conditionalFormatting>
  <conditionalFormatting sqref="J294">
    <cfRule type="expression" dxfId="1414" priority="4729">
      <formula>AND($C294=0,$C294&lt;&gt;"")</formula>
    </cfRule>
  </conditionalFormatting>
  <conditionalFormatting sqref="J423">
    <cfRule type="expression" dxfId="1413" priority="301">
      <formula>AND($C423=0,$C423&lt;&gt;"")</formula>
    </cfRule>
  </conditionalFormatting>
  <conditionalFormatting sqref="K188:K189">
    <cfRule type="expression" dxfId="1412" priority="5405">
      <formula>AND($C188=0,$C188&lt;&gt;"")</formula>
    </cfRule>
  </conditionalFormatting>
  <conditionalFormatting sqref="K251">
    <cfRule type="expression" dxfId="1411" priority="585">
      <formula>AND($C251=0,$C251&lt;&gt;"")</formula>
    </cfRule>
  </conditionalFormatting>
  <conditionalFormatting sqref="K256:K263">
    <cfRule type="expression" dxfId="1410" priority="583">
      <formula>AND($C256=0,$C256&lt;&gt;"")</formula>
    </cfRule>
  </conditionalFormatting>
  <conditionalFormatting sqref="K269">
    <cfRule type="expression" dxfId="1409" priority="609">
      <formula>AND($C269=0,$C269&lt;&gt;"")</formula>
    </cfRule>
  </conditionalFormatting>
  <conditionalFormatting sqref="K272:K274">
    <cfRule type="expression" dxfId="1408" priority="608">
      <formula>AND($C272=0,$C272&lt;&gt;"")</formula>
    </cfRule>
  </conditionalFormatting>
  <conditionalFormatting sqref="K280:K283">
    <cfRule type="expression" dxfId="1407" priority="4681">
      <formula>AND($C280=0,$C280&lt;&gt;"")</formula>
    </cfRule>
  </conditionalFormatting>
  <conditionalFormatting sqref="K299:K302">
    <cfRule type="expression" dxfId="1406" priority="4445">
      <formula>AND($C299=0,$C299&lt;&gt;"")</formula>
    </cfRule>
  </conditionalFormatting>
  <conditionalFormatting sqref="K322:K325">
    <cfRule type="expression" dxfId="1405" priority="580">
      <formula>AND($C322=0,$C322&lt;&gt;"")</formula>
    </cfRule>
  </conditionalFormatting>
  <conditionalFormatting sqref="K330:K336">
    <cfRule type="expression" dxfId="1404" priority="517">
      <formula>AND($C330=0,$C330&lt;&gt;"")</formula>
    </cfRule>
  </conditionalFormatting>
  <conditionalFormatting sqref="K380:K384">
    <cfRule type="expression" dxfId="1403" priority="601">
      <formula>AND($C380=0,$C380&lt;&gt;"")</formula>
    </cfRule>
  </conditionalFormatting>
  <conditionalFormatting sqref="K386:K392">
    <cfRule type="expression" dxfId="1402" priority="590">
      <formula>AND($C386=0,$C386&lt;&gt;"")</formula>
    </cfRule>
  </conditionalFormatting>
  <conditionalFormatting sqref="K423">
    <cfRule type="expression" dxfId="1401" priority="302">
      <formula>AND($C423=0,$C423&lt;&gt;"")</formula>
    </cfRule>
  </conditionalFormatting>
  <conditionalFormatting sqref="K255:L255 K264:L265 K270:L271">
    <cfRule type="expression" dxfId="1400" priority="1321">
      <formula>AND($C255=0,$C255&lt;&gt;"")</formula>
    </cfRule>
  </conditionalFormatting>
  <conditionalFormatting sqref="L35">
    <cfRule type="expression" dxfId="1399" priority="5223">
      <formula>AND($C35=0,$C35&lt;&gt;"")</formula>
    </cfRule>
  </conditionalFormatting>
  <conditionalFormatting sqref="L41 L76 L101 L171">
    <cfRule type="expression" dxfId="1398" priority="5224">
      <formula>AND($C41=0,$C41&lt;&gt;"")</formula>
    </cfRule>
  </conditionalFormatting>
  <conditionalFormatting sqref="L188:L189">
    <cfRule type="expression" dxfId="1397" priority="5407">
      <formula>AND($C188=0,$C188&lt;&gt;"")</formula>
    </cfRule>
  </conditionalFormatting>
  <conditionalFormatting sqref="L251">
    <cfRule type="expression" dxfId="1396" priority="578">
      <formula>AND($C251=0,$C251&lt;&gt;"")</formula>
    </cfRule>
  </conditionalFormatting>
  <conditionalFormatting sqref="L256">
    <cfRule type="expression" dxfId="1395" priority="577">
      <formula>AND($C256=0,$C256&lt;&gt;"")</formula>
    </cfRule>
  </conditionalFormatting>
  <conditionalFormatting sqref="L263">
    <cfRule type="expression" dxfId="1394" priority="576">
      <formula>AND($C263=0,$C263&lt;&gt;"")</formula>
    </cfRule>
  </conditionalFormatting>
  <conditionalFormatting sqref="L269">
    <cfRule type="expression" dxfId="1393" priority="599">
      <formula>AND($C269=0,$C269&lt;&gt;"")</formula>
    </cfRule>
  </conditionalFormatting>
  <conditionalFormatting sqref="L273:L274">
    <cfRule type="expression" dxfId="1392" priority="4676">
      <formula>AND($C273=0,$C273&lt;&gt;"")</formula>
    </cfRule>
  </conditionalFormatting>
  <conditionalFormatting sqref="L280:L289">
    <cfRule type="expression" dxfId="1391" priority="4670">
      <formula>AND($C280=0,$C280&lt;&gt;"")</formula>
    </cfRule>
  </conditionalFormatting>
  <conditionalFormatting sqref="L292:L293 L306:L307">
    <cfRule type="expression" dxfId="1390" priority="4891">
      <formula>AND($C292=0,$C292&lt;&gt;"")</formula>
    </cfRule>
  </conditionalFormatting>
  <conditionalFormatting sqref="L323:L325">
    <cfRule type="expression" dxfId="1389" priority="573">
      <formula>AND($C323=0,$C323&lt;&gt;"")</formula>
    </cfRule>
  </conditionalFormatting>
  <conditionalFormatting sqref="L332:L333">
    <cfRule type="expression" dxfId="1388" priority="572">
      <formula>AND($C332=0,$C332&lt;&gt;"")</formula>
    </cfRule>
  </conditionalFormatting>
  <conditionalFormatting sqref="L336">
    <cfRule type="expression" dxfId="1387" priority="598">
      <formula>AND($C336=0,$C336&lt;&gt;"")</formula>
    </cfRule>
  </conditionalFormatting>
  <conditionalFormatting sqref="L344:L345">
    <cfRule type="expression" dxfId="1386" priority="562">
      <formula>AND($C344=0,$C344&lt;&gt;"")</formula>
    </cfRule>
  </conditionalFormatting>
  <conditionalFormatting sqref="L346">
    <cfRule type="expression" dxfId="1385" priority="561">
      <formula>AND($C346=0,$C346&lt;&gt;"")</formula>
    </cfRule>
  </conditionalFormatting>
  <conditionalFormatting sqref="L373">
    <cfRule type="expression" dxfId="1384" priority="3450">
      <formula>AND($C373=0,$C373&lt;&gt;"")</formula>
    </cfRule>
  </conditionalFormatting>
  <conditionalFormatting sqref="L383">
    <cfRule type="expression" dxfId="1383" priority="597">
      <formula>AND($C383=0,$C383&lt;&gt;"")</formula>
    </cfRule>
  </conditionalFormatting>
  <conditionalFormatting sqref="L387">
    <cfRule type="expression" dxfId="1382" priority="588">
      <formula>AND($C387=0,$C387&lt;&gt;"")</formula>
    </cfRule>
  </conditionalFormatting>
  <conditionalFormatting sqref="L391:L392">
    <cfRule type="expression" dxfId="1381" priority="586">
      <formula>AND($C391=0,$C391&lt;&gt;"")</formula>
    </cfRule>
  </conditionalFormatting>
  <conditionalFormatting sqref="L423">
    <cfRule type="expression" dxfId="1380" priority="300">
      <formula>AND($C423=0,$C423&lt;&gt;"")</formula>
    </cfRule>
  </conditionalFormatting>
  <conditionalFormatting sqref="L380:AB381 C303:AG304 C320:AG320 K321:Z321 M336:Z336 M391:Z392 K393:Z393 C337:AG337 H338:AG338 C339:AG341 L382:Z382 M383:Z383 L384:Z384 H385:Z385 L386:Z386 M387:Z387 L388:Z390 C69:AG69 K70:AG70 C42:AG53 C141:AG141 C149:AG151 C154:AG158 C163:AG165 C168:AG168 C180:AG181 C203:AG206 C214:AG242 C94:AG95 M269:Z269 C254:Z254 K250:Z250 M251:Z251 M255:Z256 M263:Z265 C343:Z343 C142:Y148 C152:Y153 C159:Y162 C166:Y167 U169:Y179 U182:Y202 C207:Y213 O252:U252 U266:Y268 C326:T328 C329:S329 M344:T346 B11:T11 U11:Y41 C12:T26 C27:P34 M35:P35 C36:P40 M41:P41 C54:P54 U54:Y68 H55:P55 C56:P56 C57:T57 C58 H58:T58 C59:T68 C71:P75 Q71:Y93 M76:P76 C77:P93 C96:P100 Q96:AG140 M101:P101 C102:P140 C169:P170 M171:P171 C172:P179 C182:P187 M188:P189 C190:P202 C243:T244 K245:T246 C253:T253 L257:T262 M270:T271 L272:T272 M273:T274 C279:P279 M280:P289 L290:P290 D291:P291 M292:P293 K294:P294 D295:T296 C297:T298 U297:Z302 L299:T302 K305:Y305 M306:T307 C308:T309 C313:T314 L322:T322 M323:T325 M373:T373 U323:Z329 V331 V333 V343:V344 V346 V387:V393 V411:V416 V420">
    <cfRule type="expression" dxfId="1379" priority="3800">
      <formula>AND($C11=0,$C11&lt;&gt;"")</formula>
    </cfRule>
  </conditionalFormatting>
  <conditionalFormatting sqref="M411:N414">
    <cfRule type="containsBlanks" dxfId="1378" priority="469" stopIfTrue="1">
      <formula>LEN(TRIM(M411))=0</formula>
    </cfRule>
    <cfRule type="cellIs" dxfId="1377" priority="470" operator="equal">
      <formula>4</formula>
    </cfRule>
    <cfRule type="cellIs" dxfId="1376" priority="471" operator="equal">
      <formula>3</formula>
    </cfRule>
    <cfRule type="cellIs" dxfId="1375" priority="472" operator="equal">
      <formula>2</formula>
    </cfRule>
    <cfRule type="cellIs" dxfId="1374" priority="473" operator="equal">
      <formula>1</formula>
    </cfRule>
    <cfRule type="cellIs" dxfId="1373" priority="474" operator="equal">
      <formula>0</formula>
    </cfRule>
    <cfRule type="expression" dxfId="1372" priority="475">
      <formula>AND($C411=0,$C411&lt;&gt;"")</formula>
    </cfRule>
  </conditionalFormatting>
  <conditionalFormatting sqref="M411:N415 M331:N331 M333:N333">
    <cfRule type="expression" dxfId="1371" priority="433">
      <formula>AND($C331=0,$C331&lt;&gt;"")</formula>
    </cfRule>
  </conditionalFormatting>
  <conditionalFormatting sqref="M411:N415 U344:Y356">
    <cfRule type="containsBlanks" dxfId="1370" priority="427" stopIfTrue="1">
      <formula>LEN(TRIM(M344))=0</formula>
    </cfRule>
    <cfRule type="cellIs" dxfId="1369" priority="428" operator="equal">
      <formula>4</formula>
    </cfRule>
    <cfRule type="cellIs" dxfId="1368" priority="429" operator="equal">
      <formula>3</formula>
    </cfRule>
    <cfRule type="cellIs" dxfId="1367" priority="430" operator="equal">
      <formula>2</formula>
    </cfRule>
    <cfRule type="cellIs" dxfId="1366" priority="431" operator="equal">
      <formula>1</formula>
    </cfRule>
    <cfRule type="cellIs" dxfId="1365" priority="432" operator="equal">
      <formula>0</formula>
    </cfRule>
  </conditionalFormatting>
  <conditionalFormatting sqref="M11:Y141 M169:T179 M182:T202 Q247:T249 M254:Y256 M263:Y265 X264:Y267 M279:T296 Y289:Y291 X295:Y301 M297:Y305 X306:Y321 M320:Y321 M323:Y328 M326:N329 X326:Y329 M329:S329 M330:T335 M336:Y341 M343:Y343 M343:N344 M356:T356 Y362:Y363 Y365:Y376 V396:Y398 X396:Y402 Y395:Y409 Y417:Y419 Y421:Y422 M142:T148 M149:Y151 M152:T153 M154:Y158 M159:T162 M163:Y165 M166:T167 M168:Y168 M180:Y181 M203:Y206 M207:T213 M214:Y242 M243:T246 M250:Y251 Q252:S252 M253:T253 M257:T262 M269:Y269 M270:T274 M306:T309 M313:T314 M322:T322 M373:T373 X346:Y358 M357:Y361 Q266:R268 X343:Y344 M344:T346 V327:V329 V331 V333 U343:V344 V346 M380:Y393 V411:V416 V420">
    <cfRule type="containsBlanks" dxfId="1364" priority="5450" stopIfTrue="1">
      <formula>LEN(TRIM(M11))=0</formula>
    </cfRule>
  </conditionalFormatting>
  <conditionalFormatting sqref="M11:Y424">
    <cfRule type="cellIs" dxfId="1363" priority="5451" operator="equal">
      <formula>4</formula>
    </cfRule>
    <cfRule type="cellIs" dxfId="1362" priority="5452" operator="equal">
      <formula>3</formula>
    </cfRule>
    <cfRule type="cellIs" dxfId="1361" priority="5453" operator="equal">
      <formula>2</formula>
    </cfRule>
    <cfRule type="cellIs" dxfId="1360" priority="5454" operator="equal">
      <formula>1</formula>
    </cfRule>
    <cfRule type="cellIs" dxfId="1359" priority="5455" operator="equal">
      <formula>0</formula>
    </cfRule>
  </conditionalFormatting>
  <conditionalFormatting sqref="N374:N377 N379">
    <cfRule type="containsBlanks" dxfId="1358" priority="3472" stopIfTrue="1">
      <formula>LEN(TRIM(N374))=0</formula>
    </cfRule>
    <cfRule type="cellIs" dxfId="1357" priority="3473" operator="equal">
      <formula>4</formula>
    </cfRule>
    <cfRule type="cellIs" dxfId="1356" priority="3474" operator="equal">
      <formula>3</formula>
    </cfRule>
    <cfRule type="cellIs" dxfId="1355" priority="3475" operator="equal">
      <formula>2</formula>
    </cfRule>
    <cfRule type="cellIs" dxfId="1354" priority="3476" operator="equal">
      <formula>1</formula>
    </cfRule>
    <cfRule type="cellIs" dxfId="1353" priority="3477" operator="equal">
      <formula>0</formula>
    </cfRule>
  </conditionalFormatting>
  <conditionalFormatting sqref="O326:R329 O331:R331 O333:R333 O343:R344 O346:R346 O387:R393 O411:R415">
    <cfRule type="containsBlanks" dxfId="1352" priority="413" stopIfTrue="1">
      <formula>LEN(TRIM(O326))=0</formula>
    </cfRule>
    <cfRule type="cellIs" dxfId="1351" priority="414" operator="equal">
      <formula>4</formula>
    </cfRule>
    <cfRule type="cellIs" dxfId="1350" priority="415" operator="equal">
      <formula>3</formula>
    </cfRule>
    <cfRule type="cellIs" dxfId="1349" priority="416" operator="equal">
      <formula>2</formula>
    </cfRule>
    <cfRule type="cellIs" dxfId="1348" priority="417" operator="equal">
      <formula>1</formula>
    </cfRule>
    <cfRule type="cellIs" dxfId="1347" priority="418" operator="equal">
      <formula>0</formula>
    </cfRule>
    <cfRule type="expression" dxfId="1346" priority="419">
      <formula>AND($C326=0,$C326&lt;&gt;"")</formula>
    </cfRule>
  </conditionalFormatting>
  <conditionalFormatting sqref="O411:R414">
    <cfRule type="containsBlanks" dxfId="1345" priority="456" stopIfTrue="1">
      <formula>LEN(TRIM(O411))=0</formula>
    </cfRule>
    <cfRule type="cellIs" dxfId="1344" priority="457" operator="equal">
      <formula>4</formula>
    </cfRule>
    <cfRule type="cellIs" dxfId="1343" priority="458" operator="equal">
      <formula>3</formula>
    </cfRule>
    <cfRule type="cellIs" dxfId="1342" priority="459" operator="equal">
      <formula>2</formula>
    </cfRule>
    <cfRule type="cellIs" dxfId="1341" priority="460" operator="equal">
      <formula>1</formula>
    </cfRule>
    <cfRule type="cellIs" dxfId="1340" priority="461" operator="equal">
      <formula>0</formula>
    </cfRule>
  </conditionalFormatting>
  <conditionalFormatting sqref="R347:R355">
    <cfRule type="expression" dxfId="1339" priority="4108">
      <formula>AND($C347=0,$C347&lt;&gt;"")</formula>
    </cfRule>
    <cfRule type="containsBlanks" dxfId="1338" priority="4109" stopIfTrue="1">
      <formula>LEN(TRIM(R347))=0</formula>
    </cfRule>
    <cfRule type="cellIs" dxfId="1337" priority="4110" operator="equal">
      <formula>4</formula>
    </cfRule>
    <cfRule type="cellIs" dxfId="1336" priority="4111" operator="equal">
      <formula>3</formula>
    </cfRule>
    <cfRule type="cellIs" dxfId="1335" priority="4112" operator="equal">
      <formula>2</formula>
    </cfRule>
    <cfRule type="cellIs" dxfId="1334" priority="4113" operator="equal">
      <formula>1</formula>
    </cfRule>
    <cfRule type="cellIs" dxfId="1333" priority="4114" operator="equal">
      <formula>0</formula>
    </cfRule>
  </conditionalFormatting>
  <conditionalFormatting sqref="R374:R377">
    <cfRule type="expression" dxfId="1332" priority="3109">
      <formula>AND($C374=0,$C374&lt;&gt;"")</formula>
    </cfRule>
    <cfRule type="containsBlanks" dxfId="1331" priority="3110" stopIfTrue="1">
      <formula>LEN(TRIM(R374))=0</formula>
    </cfRule>
    <cfRule type="cellIs" dxfId="1330" priority="3111" operator="equal">
      <formula>4</formula>
    </cfRule>
    <cfRule type="cellIs" dxfId="1329" priority="3112" operator="equal">
      <formula>3</formula>
    </cfRule>
    <cfRule type="cellIs" dxfId="1328" priority="3113" operator="equal">
      <formula>2</formula>
    </cfRule>
    <cfRule type="cellIs" dxfId="1327" priority="3114" operator="equal">
      <formula>1</formula>
    </cfRule>
    <cfRule type="cellIs" dxfId="1326" priority="3115" operator="equal">
      <formula>0</formula>
    </cfRule>
  </conditionalFormatting>
  <conditionalFormatting sqref="R379">
    <cfRule type="expression" dxfId="1325" priority="3095">
      <formula>AND($C379=0,$C379&lt;&gt;"")</formula>
    </cfRule>
    <cfRule type="containsBlanks" dxfId="1324" priority="3096" stopIfTrue="1">
      <formula>LEN(TRIM(R379))=0</formula>
    </cfRule>
    <cfRule type="cellIs" dxfId="1323" priority="3097" operator="equal">
      <formula>4</formula>
    </cfRule>
    <cfRule type="cellIs" dxfId="1322" priority="3098" operator="equal">
      <formula>3</formula>
    </cfRule>
    <cfRule type="cellIs" dxfId="1321" priority="3099" operator="equal">
      <formula>2</formula>
    </cfRule>
    <cfRule type="cellIs" dxfId="1320" priority="3100" operator="equal">
      <formula>1</formula>
    </cfRule>
    <cfRule type="cellIs" dxfId="1319" priority="3101" operator="equal">
      <formula>0</formula>
    </cfRule>
  </conditionalFormatting>
  <conditionalFormatting sqref="S326 S329 S411:S415">
    <cfRule type="containsBlanks" dxfId="1318" priority="406" stopIfTrue="1">
      <formula>LEN(TRIM(S326))=0</formula>
    </cfRule>
    <cfRule type="cellIs" dxfId="1317" priority="407" operator="equal">
      <formula>4</formula>
    </cfRule>
    <cfRule type="cellIs" dxfId="1316" priority="408" operator="equal">
      <formula>3</formula>
    </cfRule>
    <cfRule type="cellIs" dxfId="1315" priority="409" operator="equal">
      <formula>2</formula>
    </cfRule>
    <cfRule type="cellIs" dxfId="1314" priority="410" operator="equal">
      <formula>1</formula>
    </cfRule>
    <cfRule type="cellIs" dxfId="1313" priority="411" operator="equal">
      <formula>0</formula>
    </cfRule>
    <cfRule type="expression" dxfId="1312" priority="412">
      <formula>AND($C326=0,$C326&lt;&gt;"")</formula>
    </cfRule>
  </conditionalFormatting>
  <conditionalFormatting sqref="S362:S372 S395">
    <cfRule type="expression" dxfId="1311" priority="3516">
      <formula>AND($C362=0,$C362&lt;&gt;"")</formula>
    </cfRule>
    <cfRule type="containsBlanks" dxfId="1310" priority="3517" stopIfTrue="1">
      <formula>LEN(TRIM(S362))=0</formula>
    </cfRule>
    <cfRule type="cellIs" dxfId="1309" priority="3518" operator="equal">
      <formula>4</formula>
    </cfRule>
    <cfRule type="cellIs" dxfId="1308" priority="3519" operator="equal">
      <formula>3</formula>
    </cfRule>
    <cfRule type="cellIs" dxfId="1307" priority="3520" operator="equal">
      <formula>2</formula>
    </cfRule>
    <cfRule type="cellIs" dxfId="1306" priority="3521" operator="equal">
      <formula>1</formula>
    </cfRule>
    <cfRule type="cellIs" dxfId="1305" priority="3522" operator="equal">
      <formula>0</formula>
    </cfRule>
  </conditionalFormatting>
  <conditionalFormatting sqref="S374:S377 S379">
    <cfRule type="expression" dxfId="1304" priority="3478">
      <formula>AND($C374=0,$C374&lt;&gt;"")</formula>
    </cfRule>
    <cfRule type="containsBlanks" dxfId="1303" priority="3479" stopIfTrue="1">
      <formula>LEN(TRIM(S374))=0</formula>
    </cfRule>
    <cfRule type="cellIs" dxfId="1302" priority="3480" operator="equal">
      <formula>4</formula>
    </cfRule>
    <cfRule type="cellIs" dxfId="1301" priority="3481" operator="equal">
      <formula>3</formula>
    </cfRule>
    <cfRule type="cellIs" dxfId="1300" priority="3482" operator="equal">
      <formula>2</formula>
    </cfRule>
    <cfRule type="cellIs" dxfId="1299" priority="3483" operator="equal">
      <formula>1</formula>
    </cfRule>
    <cfRule type="cellIs" dxfId="1298" priority="3484" operator="equal">
      <formula>0</formula>
    </cfRule>
  </conditionalFormatting>
  <conditionalFormatting sqref="S400:S404 S422">
    <cfRule type="expression" dxfId="1297" priority="544">
      <formula>AND($C400=0,$C400&lt;&gt;"")</formula>
    </cfRule>
    <cfRule type="containsBlanks" dxfId="1296" priority="545" stopIfTrue="1">
      <formula>LEN(TRIM(S400))=0</formula>
    </cfRule>
    <cfRule type="cellIs" dxfId="1295" priority="546" operator="equal">
      <formula>4</formula>
    </cfRule>
    <cfRule type="cellIs" dxfId="1294" priority="547" operator="equal">
      <formula>3</formula>
    </cfRule>
    <cfRule type="cellIs" dxfId="1293" priority="548" operator="equal">
      <formula>2</formula>
    </cfRule>
    <cfRule type="cellIs" dxfId="1292" priority="549" operator="equal">
      <formula>1</formula>
    </cfRule>
    <cfRule type="cellIs" dxfId="1291" priority="550" operator="equal">
      <formula>0</formula>
    </cfRule>
  </conditionalFormatting>
  <conditionalFormatting sqref="S424">
    <cfRule type="expression" dxfId="1290" priority="281">
      <formula>AND($C424=0,$C424&lt;&gt;"")</formula>
    </cfRule>
    <cfRule type="containsBlanks" dxfId="1289" priority="282" stopIfTrue="1">
      <formula>LEN(TRIM(S424))=0</formula>
    </cfRule>
    <cfRule type="cellIs" dxfId="1288" priority="283" operator="equal">
      <formula>4</formula>
    </cfRule>
    <cfRule type="cellIs" dxfId="1287" priority="284" operator="equal">
      <formula>3</formula>
    </cfRule>
    <cfRule type="cellIs" dxfId="1286" priority="285" operator="equal">
      <formula>2</formula>
    </cfRule>
    <cfRule type="cellIs" dxfId="1285" priority="286" operator="equal">
      <formula>1</formula>
    </cfRule>
    <cfRule type="cellIs" dxfId="1284" priority="287" operator="equal">
      <formula>0</formula>
    </cfRule>
  </conditionalFormatting>
  <conditionalFormatting sqref="S266:T268">
    <cfRule type="expression" dxfId="1283" priority="4967">
      <formula>AND($C266=0,$C266&lt;&gt;"")</formula>
    </cfRule>
    <cfRule type="containsBlanks" dxfId="1282" priority="4968" stopIfTrue="1">
      <formula>LEN(TRIM(S266))=0</formula>
    </cfRule>
    <cfRule type="cellIs" dxfId="1281" priority="4969" operator="equal">
      <formula>4</formula>
    </cfRule>
    <cfRule type="cellIs" dxfId="1280" priority="4970" operator="equal">
      <formula>3</formula>
    </cfRule>
    <cfRule type="cellIs" dxfId="1279" priority="4971" operator="equal">
      <formula>2</formula>
    </cfRule>
    <cfRule type="cellIs" dxfId="1278" priority="4972" operator="equal">
      <formula>1</formula>
    </cfRule>
    <cfRule type="cellIs" dxfId="1277" priority="4973" operator="equal">
      <formula>0</formula>
    </cfRule>
  </conditionalFormatting>
  <conditionalFormatting sqref="S347:T355">
    <cfRule type="expression" dxfId="1276" priority="4158">
      <formula>AND($C347=0,$C347&lt;&gt;"")</formula>
    </cfRule>
    <cfRule type="containsBlanks" dxfId="1275" priority="4159" stopIfTrue="1">
      <formula>LEN(TRIM(S347))=0</formula>
    </cfRule>
    <cfRule type="cellIs" dxfId="1274" priority="4160" operator="equal">
      <formula>4</formula>
    </cfRule>
    <cfRule type="cellIs" dxfId="1273" priority="4161" operator="equal">
      <formula>3</formula>
    </cfRule>
    <cfRule type="cellIs" dxfId="1272" priority="4162" operator="equal">
      <formula>2</formula>
    </cfRule>
    <cfRule type="cellIs" dxfId="1271" priority="4163" operator="equal">
      <formula>1</formula>
    </cfRule>
    <cfRule type="cellIs" dxfId="1270" priority="4164" operator="equal">
      <formula>0</formula>
    </cfRule>
  </conditionalFormatting>
  <conditionalFormatting sqref="T252 AB252:AC252">
    <cfRule type="containsBlanks" dxfId="1269" priority="655" stopIfTrue="1">
      <formula>LEN(TRIM(T252))=0</formula>
    </cfRule>
    <cfRule type="containsText" dxfId="1268" priority="656" operator="containsText" text="NO">
      <formula>NOT(ISERROR(SEARCH("NO",T252)))</formula>
    </cfRule>
    <cfRule type="containsText" dxfId="1267" priority="657" operator="containsText" text="YES">
      <formula>NOT(ISERROR(SEARCH("YES",T252)))</formula>
    </cfRule>
    <cfRule type="containsBlanks" dxfId="1266" priority="658" stopIfTrue="1">
      <formula>LEN(TRIM(T252))=0</formula>
    </cfRule>
    <cfRule type="containsText" dxfId="1265" priority="659" operator="containsText" text="NO">
      <formula>NOT(ISERROR(SEARCH("NO",T252)))</formula>
    </cfRule>
    <cfRule type="containsText" dxfId="1264" priority="660" operator="containsText" text="YES">
      <formula>NOT(ISERROR(SEARCH("YES",T252)))</formula>
    </cfRule>
  </conditionalFormatting>
  <conditionalFormatting sqref="T252">
    <cfRule type="containsBlanks" dxfId="1263" priority="619" stopIfTrue="1">
      <formula>LEN(TRIM(T252))=0</formula>
    </cfRule>
    <cfRule type="cellIs" dxfId="1262" priority="620" operator="equal">
      <formula>4</formula>
    </cfRule>
    <cfRule type="cellIs" dxfId="1261" priority="621" operator="equal">
      <formula>3</formula>
    </cfRule>
    <cfRule type="cellIs" dxfId="1260" priority="622" operator="equal">
      <formula>2</formula>
    </cfRule>
    <cfRule type="cellIs" dxfId="1259" priority="623" operator="equal">
      <formula>1</formula>
    </cfRule>
    <cfRule type="cellIs" dxfId="1258" priority="624" operator="equal">
      <formula>0</formula>
    </cfRule>
  </conditionalFormatting>
  <conditionalFormatting sqref="T329">
    <cfRule type="expression" dxfId="1257" priority="564">
      <formula>AND($C329=0,$C329&lt;&gt;"")</formula>
    </cfRule>
    <cfRule type="containsBlanks" dxfId="1256" priority="565" stopIfTrue="1">
      <formula>LEN(TRIM(T329))=0</formula>
    </cfRule>
    <cfRule type="cellIs" dxfId="1255" priority="566" operator="equal">
      <formula>4</formula>
    </cfRule>
    <cfRule type="cellIs" dxfId="1254" priority="567" operator="equal">
      <formula>3</formula>
    </cfRule>
    <cfRule type="cellIs" dxfId="1253" priority="568" operator="equal">
      <formula>2</formula>
    </cfRule>
    <cfRule type="cellIs" dxfId="1252" priority="569" operator="equal">
      <formula>1</formula>
    </cfRule>
    <cfRule type="cellIs" dxfId="1251" priority="570" operator="equal">
      <formula>0</formula>
    </cfRule>
  </conditionalFormatting>
  <conditionalFormatting sqref="T411:T414">
    <cfRule type="containsBlanks" dxfId="1250" priority="442" stopIfTrue="1">
      <formula>LEN(TRIM(T411))=0</formula>
    </cfRule>
    <cfRule type="cellIs" dxfId="1249" priority="443" operator="equal">
      <formula>4</formula>
    </cfRule>
    <cfRule type="cellIs" dxfId="1248" priority="444" operator="equal">
      <formula>3</formula>
    </cfRule>
    <cfRule type="cellIs" dxfId="1247" priority="445" operator="equal">
      <formula>2</formula>
    </cfRule>
    <cfRule type="cellIs" dxfId="1246" priority="446" operator="equal">
      <formula>1</formula>
    </cfRule>
    <cfRule type="cellIs" dxfId="1245" priority="447" operator="equal">
      <formula>0</formula>
    </cfRule>
  </conditionalFormatting>
  <conditionalFormatting sqref="T411:T415">
    <cfRule type="expression" dxfId="1244" priority="405">
      <formula>AND($C411=0,$C411&lt;&gt;"")</formula>
    </cfRule>
  </conditionalFormatting>
  <conditionalFormatting sqref="T415">
    <cfRule type="containsBlanks" dxfId="1243" priority="399" stopIfTrue="1">
      <formula>LEN(TRIM(T415))=0</formula>
    </cfRule>
    <cfRule type="cellIs" dxfId="1242" priority="400" operator="equal">
      <formula>4</formula>
    </cfRule>
    <cfRule type="cellIs" dxfId="1241" priority="401" operator="equal">
      <formula>3</formula>
    </cfRule>
    <cfRule type="cellIs" dxfId="1240" priority="402" operator="equal">
      <formula>2</formula>
    </cfRule>
    <cfRule type="cellIs" dxfId="1239" priority="403" operator="equal">
      <formula>1</formula>
    </cfRule>
    <cfRule type="cellIs" dxfId="1238" priority="404" operator="equal">
      <formula>0</formula>
    </cfRule>
  </conditionalFormatting>
  <conditionalFormatting sqref="U284:V284 U287:V288 U306:V307">
    <cfRule type="expression" dxfId="1237" priority="345">
      <formula>AND($C284=0,$C284&lt;&gt;"")</formula>
    </cfRule>
    <cfRule type="containsBlanks" dxfId="1236" priority="346" stopIfTrue="1">
      <formula>LEN(TRIM(U284))=0</formula>
    </cfRule>
    <cfRule type="cellIs" dxfId="1235" priority="347" operator="equal">
      <formula>4</formula>
    </cfRule>
    <cfRule type="cellIs" dxfId="1234" priority="348" operator="equal">
      <formula>3</formula>
    </cfRule>
    <cfRule type="cellIs" dxfId="1233" priority="349" operator="equal">
      <formula>2</formula>
    </cfRule>
    <cfRule type="cellIs" dxfId="1232" priority="350" operator="equal">
      <formula>1</formula>
    </cfRule>
    <cfRule type="cellIs" dxfId="1231" priority="351" operator="equal">
      <formula>0</formula>
    </cfRule>
  </conditionalFormatting>
  <conditionalFormatting sqref="U411:V415 U326:V329 U331:V331 U333:V333 U343:V344 U346:V346 U387:V393 V411:V416 V420">
    <cfRule type="containsBlanks" dxfId="1230" priority="378" stopIfTrue="1">
      <formula>LEN(TRIM(U326))=0</formula>
    </cfRule>
    <cfRule type="cellIs" dxfId="1229" priority="379" operator="equal">
      <formula>4</formula>
    </cfRule>
    <cfRule type="cellIs" dxfId="1228" priority="380" operator="equal">
      <formula>3</formula>
    </cfRule>
    <cfRule type="cellIs" dxfId="1227" priority="381" operator="equal">
      <formula>2</formula>
    </cfRule>
    <cfRule type="cellIs" dxfId="1226" priority="382" operator="equal">
      <formula>1</formula>
    </cfRule>
    <cfRule type="cellIs" dxfId="1225" priority="383" operator="equal">
      <formula>0</formula>
    </cfRule>
    <cfRule type="expression" dxfId="1224" priority="384">
      <formula>AND($C326=0,$C326&lt;&gt;"")</formula>
    </cfRule>
  </conditionalFormatting>
  <conditionalFormatting sqref="U331:V331 U411:V414">
    <cfRule type="containsBlanks" dxfId="1223" priority="435" stopIfTrue="1">
      <formula>LEN(TRIM(U331))=0</formula>
    </cfRule>
    <cfRule type="cellIs" dxfId="1222" priority="436" operator="equal">
      <formula>4</formula>
    </cfRule>
    <cfRule type="cellIs" dxfId="1221" priority="437" operator="equal">
      <formula>3</formula>
    </cfRule>
    <cfRule type="cellIs" dxfId="1220" priority="438" operator="equal">
      <formula>2</formula>
    </cfRule>
    <cfRule type="cellIs" dxfId="1219" priority="439" operator="equal">
      <formula>1</formula>
    </cfRule>
    <cfRule type="cellIs" dxfId="1218" priority="440" operator="equal">
      <formula>0</formula>
    </cfRule>
  </conditionalFormatting>
  <conditionalFormatting sqref="U142:Y148 U152:Y153 U159:Y162 U166:Y167 U169:Y179 U182:Y202 U207:Y213 M252:N252 U252 XET252 U266:Y268 U329:Y329">
    <cfRule type="cellIs" dxfId="1217" priority="682" operator="equal">
      <formula>4</formula>
    </cfRule>
    <cfRule type="cellIs" dxfId="1216" priority="683" operator="equal">
      <formula>3</formula>
    </cfRule>
    <cfRule type="cellIs" dxfId="1215" priority="684" operator="equal">
      <formula>2</formula>
    </cfRule>
    <cfRule type="cellIs" dxfId="1214" priority="685" operator="equal">
      <formula>1</formula>
    </cfRule>
    <cfRule type="cellIs" dxfId="1213" priority="686" operator="equal">
      <formula>0</formula>
    </cfRule>
  </conditionalFormatting>
  <conditionalFormatting sqref="U243:Y249 U253:Y253 U257:Y262 U306:Y319 U322:Y322 U330:Y335 U373:Y373 U378:Y378 M396:M397 U270:Y296 U342:Y342">
    <cfRule type="containsBlanks" dxfId="1212" priority="3079" stopIfTrue="1">
      <formula>LEN(TRIM(M243))=0</formula>
    </cfRule>
    <cfRule type="cellIs" dxfId="1211" priority="3080" operator="equal">
      <formula>4</formula>
    </cfRule>
    <cfRule type="cellIs" dxfId="1210" priority="3081" operator="equal">
      <formula>3</formula>
    </cfRule>
    <cfRule type="cellIs" dxfId="1209" priority="3082" operator="equal">
      <formula>2</formula>
    </cfRule>
    <cfRule type="cellIs" dxfId="1208" priority="3083" operator="equal">
      <formula>1</formula>
    </cfRule>
    <cfRule type="cellIs" dxfId="1207" priority="3084" operator="equal">
      <formula>0</formula>
    </cfRule>
  </conditionalFormatting>
  <conditionalFormatting sqref="U270:Y271">
    <cfRule type="expression" dxfId="1206" priority="338">
      <formula>AND($C270=0,$C270&lt;&gt;"")</formula>
    </cfRule>
    <cfRule type="containsBlanks" dxfId="1205" priority="339" stopIfTrue="1">
      <formula>LEN(TRIM(U270))=0</formula>
    </cfRule>
    <cfRule type="cellIs" dxfId="1204" priority="340" operator="equal">
      <formula>4</formula>
    </cfRule>
    <cfRule type="cellIs" dxfId="1203" priority="341" operator="equal">
      <formula>3</formula>
    </cfRule>
    <cfRule type="cellIs" dxfId="1202" priority="342" operator="equal">
      <formula>2</formula>
    </cfRule>
    <cfRule type="cellIs" dxfId="1201" priority="343" operator="equal">
      <formula>1</formula>
    </cfRule>
    <cfRule type="cellIs" dxfId="1200" priority="344" operator="equal">
      <formula>0</formula>
    </cfRule>
  </conditionalFormatting>
  <conditionalFormatting sqref="U329:Y329 U142:Y148 U152:Y153 U159:Y162 U166:Y167 U169:Y179 U182:Y202 U207:Y213 M252:N252 U252 XET252 U266:Y268">
    <cfRule type="containsBlanks" dxfId="1199" priority="681" stopIfTrue="1">
      <formula>LEN(TRIM(M142))=0</formula>
    </cfRule>
  </conditionalFormatting>
  <conditionalFormatting sqref="U330:Y335 U306:Y319 U243:Y249 U253:Y255 U257:Y262 U322:Y322 U373:Y373 U378:Y378 M396:M397 U270:Y296 U342:Y342">
    <cfRule type="expression" dxfId="1198" priority="3078">
      <formula>AND($C243=0,$C243&lt;&gt;"")</formula>
    </cfRule>
  </conditionalFormatting>
  <conditionalFormatting sqref="V362:V363 Y362:Y363 Y365:Y376 Y395:Y409 Y417:Y419 Y421:Y422">
    <cfRule type="containsBlanks" dxfId="1197" priority="4556" stopIfTrue="1">
      <formula>LEN(TRIM(V362))=0</formula>
    </cfRule>
    <cfRule type="cellIs" dxfId="1196" priority="4557" operator="equal">
      <formula>4</formula>
    </cfRule>
    <cfRule type="cellIs" dxfId="1195" priority="4558" operator="equal">
      <formula>3</formula>
    </cfRule>
    <cfRule type="cellIs" dxfId="1194" priority="4559" operator="equal">
      <formula>2</formula>
    </cfRule>
    <cfRule type="cellIs" dxfId="1193" priority="4560" operator="equal">
      <formula>1</formula>
    </cfRule>
    <cfRule type="cellIs" dxfId="1192" priority="4561" operator="equal">
      <formula>0</formula>
    </cfRule>
  </conditionalFormatting>
  <conditionalFormatting sqref="V362:Y372 V395:Y395">
    <cfRule type="expression" dxfId="1191" priority="3030">
      <formula>AND($C362=0,$C362&lt;&gt;"")</formula>
    </cfRule>
    <cfRule type="containsBlanks" dxfId="1190" priority="3031" stopIfTrue="1">
      <formula>LEN(TRIM(V362))=0</formula>
    </cfRule>
    <cfRule type="cellIs" dxfId="1189" priority="3032" operator="equal">
      <formula>4</formula>
    </cfRule>
    <cfRule type="cellIs" dxfId="1188" priority="3033" operator="equal">
      <formula>3</formula>
    </cfRule>
    <cfRule type="cellIs" dxfId="1187" priority="3034" operator="equal">
      <formula>2</formula>
    </cfRule>
    <cfRule type="cellIs" dxfId="1186" priority="3035" operator="equal">
      <formula>1</formula>
    </cfRule>
    <cfRule type="cellIs" dxfId="1185" priority="3036" operator="equal">
      <formula>0</formula>
    </cfRule>
  </conditionalFormatting>
  <conditionalFormatting sqref="V399:Y399">
    <cfRule type="containsBlanks" dxfId="1184" priority="3017" stopIfTrue="1">
      <formula>LEN(TRIM(V399))=0</formula>
    </cfRule>
    <cfRule type="cellIs" dxfId="1183" priority="3018" operator="equal">
      <formula>4</formula>
    </cfRule>
    <cfRule type="cellIs" dxfId="1182" priority="3019" operator="equal">
      <formula>3</formula>
    </cfRule>
    <cfRule type="cellIs" dxfId="1181" priority="3020" operator="equal">
      <formula>2</formula>
    </cfRule>
    <cfRule type="cellIs" dxfId="1180" priority="3021" operator="equal">
      <formula>1</formula>
    </cfRule>
    <cfRule type="cellIs" dxfId="1179" priority="3022" operator="equal">
      <formula>0</formula>
    </cfRule>
  </conditionalFormatting>
  <conditionalFormatting sqref="V252:Z252">
    <cfRule type="expression" dxfId="1178" priority="648">
      <formula>AND($C252=0,$C252&lt;&gt;"")</formula>
    </cfRule>
    <cfRule type="containsBlanks" dxfId="1177" priority="649" stopIfTrue="1">
      <formula>LEN(TRIM(V252))=0</formula>
    </cfRule>
    <cfRule type="cellIs" dxfId="1176" priority="650" operator="equal">
      <formula>4</formula>
    </cfRule>
    <cfRule type="cellIs" dxfId="1175" priority="651" operator="equal">
      <formula>3</formula>
    </cfRule>
    <cfRule type="cellIs" dxfId="1174" priority="652" operator="equal">
      <formula>2</formula>
    </cfRule>
    <cfRule type="cellIs" dxfId="1173" priority="653" operator="equal">
      <formula>1</formula>
    </cfRule>
    <cfRule type="cellIs" dxfId="1172" priority="654" operator="equal">
      <formula>0</formula>
    </cfRule>
  </conditionalFormatting>
  <conditionalFormatting sqref="W328:Y328">
    <cfRule type="containsBlanks" dxfId="1171" priority="371" stopIfTrue="1">
      <formula>LEN(TRIM(W328))=0</formula>
    </cfRule>
    <cfRule type="cellIs" dxfId="1170" priority="372" operator="equal">
      <formula>4</formula>
    </cfRule>
    <cfRule type="cellIs" dxfId="1169" priority="373" operator="equal">
      <formula>3</formula>
    </cfRule>
    <cfRule type="cellIs" dxfId="1168" priority="374" operator="equal">
      <formula>2</formula>
    </cfRule>
    <cfRule type="cellIs" dxfId="1167" priority="375" operator="equal">
      <formula>1</formula>
    </cfRule>
    <cfRule type="cellIs" dxfId="1166" priority="376" operator="equal">
      <formula>0</formula>
    </cfRule>
    <cfRule type="expression" dxfId="1165" priority="377">
      <formula>AND($C328=0,$C328&lt;&gt;"")</formula>
    </cfRule>
  </conditionalFormatting>
  <conditionalFormatting sqref="W333:Y333 W343:Y344 W346:Y346 W387:Y392">
    <cfRule type="cellIs" dxfId="1164" priority="365" operator="equal">
      <formula>4</formula>
    </cfRule>
    <cfRule type="cellIs" dxfId="1163" priority="366" operator="equal">
      <formula>3</formula>
    </cfRule>
    <cfRule type="cellIs" dxfId="1162" priority="367" operator="equal">
      <formula>2</formula>
    </cfRule>
    <cfRule type="cellIs" dxfId="1161" priority="368" operator="equal">
      <formula>1</formula>
    </cfRule>
    <cfRule type="cellIs" dxfId="1160" priority="369" operator="equal">
      <formula>0</formula>
    </cfRule>
    <cfRule type="expression" dxfId="1159" priority="370">
      <formula>AND($C333=0,$C333&lt;&gt;"")</formula>
    </cfRule>
  </conditionalFormatting>
  <conditionalFormatting sqref="W333:Y333 W346:Y346 W343:Y344 W387:Y392">
    <cfRule type="containsBlanks" dxfId="1158" priority="364" stopIfTrue="1">
      <formula>LEN(TRIM(W333))=0</formula>
    </cfRule>
  </conditionalFormatting>
  <conditionalFormatting sqref="W411:Y415">
    <cfRule type="containsBlanks" dxfId="1157" priority="357" stopIfTrue="1">
      <formula>LEN(TRIM(W411))=0</formula>
    </cfRule>
    <cfRule type="cellIs" dxfId="1156" priority="358" operator="equal">
      <formula>4</formula>
    </cfRule>
    <cfRule type="cellIs" dxfId="1155" priority="359" operator="equal">
      <formula>3</formula>
    </cfRule>
    <cfRule type="cellIs" dxfId="1154" priority="360" operator="equal">
      <formula>2</formula>
    </cfRule>
    <cfRule type="cellIs" dxfId="1153" priority="361" operator="equal">
      <formula>1</formula>
    </cfRule>
    <cfRule type="cellIs" dxfId="1152" priority="362" operator="equal">
      <formula>0</formula>
    </cfRule>
    <cfRule type="expression" dxfId="1151" priority="363">
      <formula>AND($C411=0,$C411&lt;&gt;"")</formula>
    </cfRule>
  </conditionalFormatting>
  <conditionalFormatting sqref="X270:Y271 X284:Y284 X287:Y291 X293:Y293 X331:Y331 X333:Y333 X346:Y358 X362:Y363 X376:Y376 X273:Y281 X403:Y422">
    <cfRule type="expression" dxfId="1150" priority="304">
      <formula>AND($C270=0,$C270&lt;&gt;"")</formula>
    </cfRule>
  </conditionalFormatting>
  <conditionalFormatting sqref="X270:Y271 X284:Y284 X287:Y291 X293:Y293 X331:Y331 X333:Y333 X362:Y363 X376:Y376 X273:Y281 X403:Y422">
    <cfRule type="containsBlanks" dxfId="1149" priority="305" stopIfTrue="1">
      <formula>LEN(TRIM(X270))=0</formula>
    </cfRule>
    <cfRule type="cellIs" dxfId="1148" priority="306" operator="equal">
      <formula>4</formula>
    </cfRule>
    <cfRule type="cellIs" dxfId="1147" priority="307" operator="equal">
      <formula>3</formula>
    </cfRule>
    <cfRule type="cellIs" dxfId="1146" priority="308" operator="equal">
      <formula>2</formula>
    </cfRule>
    <cfRule type="cellIs" dxfId="1145" priority="309" operator="equal">
      <formula>1</formula>
    </cfRule>
    <cfRule type="cellIs" dxfId="1144" priority="310" operator="equal">
      <formula>0</formula>
    </cfRule>
  </conditionalFormatting>
  <conditionalFormatting sqref="Y365:Y376 V362:V363 Y362:Y363 Y395:Y409 Y417:Y419 Y421:Y422">
    <cfRule type="expression" dxfId="1143" priority="4555">
      <formula>AND($C362=0,$C362&lt;&gt;"")</formula>
    </cfRule>
  </conditionalFormatting>
  <conditionalFormatting sqref="Z245:Z249 Z273:Z274 Z279:Z294 Y362:Y363 Y365:Y376 V396:Y398 X396:Y402 Y395:Y409 Y417:Y419 Y421:Y422 Y289:Y291 X295:Y301 X306:Y321 V331 V333 X337:Y341 U343:V344 V346 Z294:AB294 X264:Y267 X326:Y329 V327:V329 V411:V416 Q330:T335 O331:S331 V387:V393 X387:Y393 Q27:T41 C35:K35 C41:K41 Q54:T56 C55:F55 Z71:AG91 C76:K76 Z92:AD92 AF92:AG92 Z93:AG93 C101:K101 Z142:AG144 Z145:AD145 AF145:AG145 Z146:AG148 Z152:AF153 Z166:AG167 Q169:T179 Z169:AG179 C171:K171 Z182:AG187 Q182:T202 AB188:AF189 Z190:AG199 Z200 AB200:AG200 Z201:AG202 Z207:AG213 Q247:T249 F254:F255 Q254:R255 Z266:Z268 D290:J290 AB292:AG292 D292:J293 AB293:AC293 AE293:AG293 D294:I294 C299:J301 Z299:AB302 AD299:AG302 D302:J302 D305:E305 F306:J306 C307:J307 M326:N329 M343:N344 Q356:T356 M387:N393 Z275:AA279 AD275:AG279 Q275:T294 X343:Y344 Z342:AA342 AD342:AG342 Q342:T342">
    <cfRule type="expression" dxfId="1142" priority="5434">
      <formula>AND($C27=0,$C27&lt;&gt;"")</formula>
    </cfRule>
  </conditionalFormatting>
  <conditionalFormatting sqref="Z246">
    <cfRule type="expression" dxfId="1141" priority="4021">
      <formula>AND($C246=0,$C246&lt;&gt;"")</formula>
    </cfRule>
    <cfRule type="containsBlanks" dxfId="1140" priority="4022" stopIfTrue="1">
      <formula>LEN(TRIM(Z246))=0</formula>
    </cfRule>
    <cfRule type="containsText" dxfId="1139" priority="4023" operator="containsText" text="NO">
      <formula>NOT(ISERROR(SEARCH("NO",Z246)))</formula>
    </cfRule>
    <cfRule type="containsText" dxfId="1138" priority="4024" operator="containsText" text="YES">
      <formula>NOT(ISERROR(SEARCH("YES",Z246)))</formula>
    </cfRule>
  </conditionalFormatting>
  <conditionalFormatting sqref="Z250">
    <cfRule type="expression" dxfId="1137" priority="1037">
      <formula>AND($C250=0,$C250&lt;&gt;"")</formula>
    </cfRule>
    <cfRule type="containsBlanks" dxfId="1136" priority="1039" stopIfTrue="1">
      <formula>LEN(TRIM(Z250))=0</formula>
    </cfRule>
    <cfRule type="containsText" dxfId="1135" priority="1040" operator="containsText" text="NO">
      <formula>NOT(ISERROR(SEARCH("NO",Z250)))</formula>
    </cfRule>
    <cfRule type="containsText" dxfId="1134" priority="1041" operator="containsText" text="YES">
      <formula>NOT(ISERROR(SEARCH("YES",Z250)))</formula>
    </cfRule>
  </conditionalFormatting>
  <conditionalFormatting sqref="Z250:Z251">
    <cfRule type="containsBlanks" dxfId="1133" priority="1021" stopIfTrue="1">
      <formula>LEN(TRIM(Z250))=0</formula>
    </cfRule>
    <cfRule type="containsText" dxfId="1132" priority="1022" operator="containsText" text="NO">
      <formula>NOT(ISERROR(SEARCH("NO",Z250)))</formula>
    </cfRule>
    <cfRule type="containsText" dxfId="1131" priority="1023" operator="containsText" text="YES">
      <formula>NOT(ISERROR(SEARCH("YES",Z250)))</formula>
    </cfRule>
  </conditionalFormatting>
  <conditionalFormatting sqref="Z251">
    <cfRule type="containsBlanks" dxfId="1130" priority="1016" stopIfTrue="1">
      <formula>LEN(TRIM(Z251))=0</formula>
    </cfRule>
    <cfRule type="containsText" dxfId="1129" priority="1017" operator="containsText" text="NO">
      <formula>NOT(ISERROR(SEARCH("NO",Z251)))</formula>
    </cfRule>
    <cfRule type="containsText" dxfId="1128" priority="1018" operator="containsText" text="YES">
      <formula>NOT(ISERROR(SEARCH("YES",Z251)))</formula>
    </cfRule>
    <cfRule type="expression" dxfId="1127" priority="1019">
      <formula>AND($C251=0,$C251&lt;&gt;"")</formula>
    </cfRule>
  </conditionalFormatting>
  <conditionalFormatting sqref="Z253 AB253:AG253">
    <cfRule type="expression" dxfId="1126" priority="1300">
      <formula>AND($C253=0,$C253&lt;&gt;"")</formula>
    </cfRule>
  </conditionalFormatting>
  <conditionalFormatting sqref="Z253:Z254">
    <cfRule type="containsBlanks" dxfId="1125" priority="1301" stopIfTrue="1">
      <formula>LEN(TRIM(Z253))=0</formula>
    </cfRule>
    <cfRule type="containsText" dxfId="1124" priority="1302" operator="containsText" text="NO">
      <formula>NOT(ISERROR(SEARCH("NO",Z253)))</formula>
    </cfRule>
    <cfRule type="containsText" dxfId="1123" priority="1303" operator="containsText" text="YES">
      <formula>NOT(ISERROR(SEARCH("YES",Z253)))</formula>
    </cfRule>
  </conditionalFormatting>
  <conditionalFormatting sqref="Z255:Z262">
    <cfRule type="containsBlanks" dxfId="1122" priority="1003" stopIfTrue="1">
      <formula>LEN(TRIM(Z255))=0</formula>
    </cfRule>
    <cfRule type="containsText" dxfId="1121" priority="1004" operator="containsText" text="NO">
      <formula>NOT(ISERROR(SEARCH("NO",Z255)))</formula>
    </cfRule>
    <cfRule type="containsText" dxfId="1120" priority="1005" operator="containsText" text="YES">
      <formula>NOT(ISERROR(SEARCH("YES",Z255)))</formula>
    </cfRule>
  </conditionalFormatting>
  <conditionalFormatting sqref="Z256">
    <cfRule type="containsBlanks" dxfId="1119" priority="998" stopIfTrue="1">
      <formula>LEN(TRIM(Z256))=0</formula>
    </cfRule>
    <cfRule type="containsText" dxfId="1118" priority="999" operator="containsText" text="NO">
      <formula>NOT(ISERROR(SEARCH("NO",Z256)))</formula>
    </cfRule>
    <cfRule type="containsText" dxfId="1117" priority="1000" operator="containsText" text="YES">
      <formula>NOT(ISERROR(SEARCH("YES",Z256)))</formula>
    </cfRule>
  </conditionalFormatting>
  <conditionalFormatting sqref="Z256:Z262">
    <cfRule type="expression" dxfId="1116" priority="1001">
      <formula>AND($C256=0,$C256&lt;&gt;"")</formula>
    </cfRule>
  </conditionalFormatting>
  <conditionalFormatting sqref="Z263">
    <cfRule type="containsBlanks" dxfId="1115" priority="980" stopIfTrue="1">
      <formula>LEN(TRIM(Z263))=0</formula>
    </cfRule>
    <cfRule type="containsText" dxfId="1114" priority="981" operator="containsText" text="NO">
      <formula>NOT(ISERROR(SEARCH("NO",Z263)))</formula>
    </cfRule>
    <cfRule type="containsText" dxfId="1113" priority="982" operator="containsText" text="YES">
      <formula>NOT(ISERROR(SEARCH("YES",Z263)))</formula>
    </cfRule>
    <cfRule type="expression" dxfId="1112" priority="983">
      <formula>AND($C263=0,$C263&lt;&gt;"")</formula>
    </cfRule>
  </conditionalFormatting>
  <conditionalFormatting sqref="Z263:Z265">
    <cfRule type="containsBlanks" dxfId="1111" priority="985" stopIfTrue="1">
      <formula>LEN(TRIM(Z263))=0</formula>
    </cfRule>
    <cfRule type="containsText" dxfId="1110" priority="986" operator="containsText" text="NO">
      <formula>NOT(ISERROR(SEARCH("NO",Z263)))</formula>
    </cfRule>
    <cfRule type="containsText" dxfId="1109" priority="987" operator="containsText" text="YES">
      <formula>NOT(ISERROR(SEARCH("YES",Z263)))</formula>
    </cfRule>
  </conditionalFormatting>
  <conditionalFormatting sqref="Z269:Z271">
    <cfRule type="containsBlanks" dxfId="1108" priority="1527" stopIfTrue="1">
      <formula>LEN(TRIM(Z269))=0</formula>
    </cfRule>
    <cfRule type="containsText" dxfId="1107" priority="1528" operator="containsText" text="NO">
      <formula>NOT(ISERROR(SEARCH("NO",Z269)))</formula>
    </cfRule>
    <cfRule type="containsText" dxfId="1106" priority="1529" operator="containsText" text="YES">
      <formula>NOT(ISERROR(SEARCH("YES",Z269)))</formula>
    </cfRule>
  </conditionalFormatting>
  <conditionalFormatting sqref="Z270 AE270:AG271">
    <cfRule type="expression" dxfId="1105" priority="1522">
      <formula>AND($C270=0,$C270&lt;&gt;"")</formula>
    </cfRule>
  </conditionalFormatting>
  <conditionalFormatting sqref="Z270">
    <cfRule type="containsBlanks" dxfId="1104" priority="1523" stopIfTrue="1">
      <formula>LEN(TRIM(Z270))=0</formula>
    </cfRule>
    <cfRule type="containsText" dxfId="1103" priority="1524" operator="containsText" text="NO">
      <formula>NOT(ISERROR(SEARCH("NO",Z270)))</formula>
    </cfRule>
    <cfRule type="containsText" dxfId="1102" priority="1525" operator="containsText" text="YES">
      <formula>NOT(ISERROR(SEARCH("YES",Z270)))</formula>
    </cfRule>
  </conditionalFormatting>
  <conditionalFormatting sqref="Z270:Z271 H270:J270 C270:E271">
    <cfRule type="expression" dxfId="1101" priority="1526">
      <formula>AND($C270=0,$C270&lt;&gt;"")</formula>
    </cfRule>
  </conditionalFormatting>
  <conditionalFormatting sqref="Z271 G271:J271">
    <cfRule type="expression" dxfId="1100" priority="1547">
      <formula>AND($C271=0,$C271&lt;&gt;"")</formula>
    </cfRule>
  </conditionalFormatting>
  <conditionalFormatting sqref="Z271">
    <cfRule type="containsBlanks" dxfId="1099" priority="1548" stopIfTrue="1">
      <formula>LEN(TRIM(Z271))=0</formula>
    </cfRule>
    <cfRule type="containsText" dxfId="1098" priority="1549" operator="containsText" text="NO">
      <formula>NOT(ISERROR(SEARCH("NO",Z271)))</formula>
    </cfRule>
    <cfRule type="containsText" dxfId="1097" priority="1550" operator="containsText" text="YES">
      <formula>NOT(ISERROR(SEARCH("YES",Z271)))</formula>
    </cfRule>
  </conditionalFormatting>
  <conditionalFormatting sqref="Z272 AB272:AG272 C272:J274">
    <cfRule type="expression" dxfId="1096" priority="1174">
      <formula>AND($C272=0,$C272&lt;&gt;"")</formula>
    </cfRule>
  </conditionalFormatting>
  <conditionalFormatting sqref="Z272">
    <cfRule type="containsBlanks" dxfId="1095" priority="1175" stopIfTrue="1">
      <formula>LEN(TRIM(Z272))=0</formula>
    </cfRule>
    <cfRule type="containsText" dxfId="1094" priority="1176" operator="containsText" text="NO">
      <formula>NOT(ISERROR(SEARCH("NO",Z272)))</formula>
    </cfRule>
    <cfRule type="containsText" dxfId="1093" priority="1177" operator="containsText" text="YES">
      <formula>NOT(ISERROR(SEARCH("YES",Z272)))</formula>
    </cfRule>
  </conditionalFormatting>
  <conditionalFormatting sqref="Z274">
    <cfRule type="containsBlanks" dxfId="1092" priority="3910" stopIfTrue="1">
      <formula>LEN(TRIM(Z274))=0</formula>
    </cfRule>
    <cfRule type="containsText" dxfId="1091" priority="3911" operator="containsText" text="NO">
      <formula>NOT(ISERROR(SEARCH("NO",Z274)))</formula>
    </cfRule>
    <cfRule type="containsText" dxfId="1090" priority="3912" operator="containsText" text="YES">
      <formula>NOT(ISERROR(SEARCH("YES",Z274)))</formula>
    </cfRule>
  </conditionalFormatting>
  <conditionalFormatting sqref="Z274">
    <cfRule type="expression" dxfId="1089" priority="2546">
      <formula>AND($C274=0,$C274&lt;&gt;"")</formula>
    </cfRule>
  </conditionalFormatting>
  <conditionalFormatting sqref="Z279">
    <cfRule type="containsBlanks" dxfId="1088" priority="3890" stopIfTrue="1">
      <formula>LEN(TRIM(Z279))=0</formula>
    </cfRule>
    <cfRule type="containsText" dxfId="1087" priority="3891" operator="containsText" text="NO">
      <formula>NOT(ISERROR(SEARCH("NO",Z279)))</formula>
    </cfRule>
    <cfRule type="containsText" dxfId="1086" priority="3892" operator="containsText" text="YES">
      <formula>NOT(ISERROR(SEARCH("YES",Z279)))</formula>
    </cfRule>
  </conditionalFormatting>
  <conditionalFormatting sqref="Z281">
    <cfRule type="expression" dxfId="1085" priority="3886">
      <formula>AND($C281=0,$C281&lt;&gt;"")</formula>
    </cfRule>
    <cfRule type="containsBlanks" dxfId="1084" priority="3887" stopIfTrue="1">
      <formula>LEN(TRIM(Z281))=0</formula>
    </cfRule>
    <cfRule type="containsText" dxfId="1083" priority="3888" operator="containsText" text="NO">
      <formula>NOT(ISERROR(SEARCH("NO",Z281)))</formula>
    </cfRule>
    <cfRule type="containsText" dxfId="1082" priority="3889" operator="containsText" text="YES">
      <formula>NOT(ISERROR(SEARCH("YES",Z281)))</formula>
    </cfRule>
  </conditionalFormatting>
  <conditionalFormatting sqref="Z284:Z287">
    <cfRule type="containsBlanks" dxfId="1081" priority="5019" stopIfTrue="1">
      <formula>LEN(TRIM(Z284))=0</formula>
    </cfRule>
    <cfRule type="containsText" dxfId="1080" priority="5020" operator="containsText" text="NO">
      <formula>NOT(ISERROR(SEARCH("NO",Z284)))</formula>
    </cfRule>
    <cfRule type="containsText" dxfId="1079" priority="5021" operator="containsText" text="YES">
      <formula>NOT(ISERROR(SEARCH("YES",Z284)))</formula>
    </cfRule>
  </conditionalFormatting>
  <conditionalFormatting sqref="Z284:Z288 AE288:AG288">
    <cfRule type="expression" dxfId="1078" priority="4958">
      <formula>AND($C284=0,$C284&lt;&gt;"")</formula>
    </cfRule>
  </conditionalFormatting>
  <conditionalFormatting sqref="Z288">
    <cfRule type="containsBlanks" dxfId="1077" priority="4955" stopIfTrue="1">
      <formula>LEN(TRIM(Z288))=0</formula>
    </cfRule>
    <cfRule type="containsText" dxfId="1076" priority="4956" operator="containsText" text="NO">
      <formula>NOT(ISERROR(SEARCH("NO",Z288)))</formula>
    </cfRule>
    <cfRule type="containsText" dxfId="1075" priority="4957" operator="containsText" text="YES">
      <formula>NOT(ISERROR(SEARCH("YES",Z288)))</formula>
    </cfRule>
  </conditionalFormatting>
  <conditionalFormatting sqref="Z292:Z293">
    <cfRule type="containsBlanks" dxfId="1074" priority="4918" stopIfTrue="1">
      <formula>LEN(TRIM(Z292))=0</formula>
    </cfRule>
    <cfRule type="containsText" dxfId="1073" priority="4919" operator="containsText" text="NO">
      <formula>NOT(ISERROR(SEARCH("NO",Z292)))</formula>
    </cfRule>
    <cfRule type="containsText" dxfId="1072" priority="4920" operator="containsText" text="YES">
      <formula>NOT(ISERROR(SEARCH("YES",Z292)))</formula>
    </cfRule>
  </conditionalFormatting>
  <conditionalFormatting sqref="Z305:Z307">
    <cfRule type="containsBlanks" dxfId="1071" priority="4609" stopIfTrue="1">
      <formula>LEN(TRIM(Z305))=0</formula>
    </cfRule>
    <cfRule type="containsText" dxfId="1070" priority="4610" operator="containsText" text="NO">
      <formula>NOT(ISERROR(SEARCH("NO",Z305)))</formula>
    </cfRule>
    <cfRule type="containsText" dxfId="1069" priority="4611" operator="containsText" text="YES">
      <formula>NOT(ISERROR(SEARCH("YES",Z305)))</formula>
    </cfRule>
  </conditionalFormatting>
  <conditionalFormatting sqref="Z305:Z309 D306">
    <cfRule type="expression" dxfId="1068" priority="4827">
      <formula>AND($C305=0,$C305&lt;&gt;"")</formula>
    </cfRule>
  </conditionalFormatting>
  <conditionalFormatting sqref="Z310:Z312">
    <cfRule type="expression" dxfId="1067" priority="2458">
      <formula>AND($C310=0,$C310&lt;&gt;"")</formula>
    </cfRule>
  </conditionalFormatting>
  <conditionalFormatting sqref="Z315:Z319">
    <cfRule type="expression" dxfId="1066" priority="2469">
      <formula>AND($C315=0,$C315&lt;&gt;"")</formula>
    </cfRule>
  </conditionalFormatting>
  <conditionalFormatting sqref="Z321">
    <cfRule type="expression" dxfId="1065" priority="2795">
      <formula>AND($C321=0,$C321&lt;&gt;"")</formula>
    </cfRule>
  </conditionalFormatting>
  <conditionalFormatting sqref="Z321:Z323">
    <cfRule type="containsBlanks" dxfId="1064" priority="2679" stopIfTrue="1">
      <formula>LEN(TRIM(Z321))=0</formula>
    </cfRule>
    <cfRule type="containsText" dxfId="1063" priority="2680" operator="containsText" text="NO">
      <formula>NOT(ISERROR(SEARCH("NO",Z321)))</formula>
    </cfRule>
    <cfRule type="containsText" dxfId="1062" priority="2681" operator="containsText" text="YES">
      <formula>NOT(ISERROR(SEARCH("YES",Z321)))</formula>
    </cfRule>
  </conditionalFormatting>
  <conditionalFormatting sqref="Z323">
    <cfRule type="expression" dxfId="1061" priority="2777">
      <formula>AND($C323=0,$C323&lt;&gt;"")</formula>
    </cfRule>
  </conditionalFormatting>
  <conditionalFormatting sqref="Z323:Z336">
    <cfRule type="containsBlanks" dxfId="1060" priority="2779" stopIfTrue="1">
      <formula>LEN(TRIM(Z323))=0</formula>
    </cfRule>
    <cfRule type="containsText" dxfId="1059" priority="2780" operator="containsText" text="NO">
      <formula>NOT(ISERROR(SEARCH("NO",Z323)))</formula>
    </cfRule>
    <cfRule type="containsText" dxfId="1058" priority="2781" operator="containsText" text="YES">
      <formula>NOT(ISERROR(SEARCH("YES",Z323)))</formula>
    </cfRule>
  </conditionalFormatting>
  <conditionalFormatting sqref="Z343">
    <cfRule type="containsBlanks" dxfId="1057" priority="967" stopIfTrue="1">
      <formula>LEN(TRIM(Z343))=0</formula>
    </cfRule>
    <cfRule type="containsText" dxfId="1056" priority="968" operator="containsText" text="NO">
      <formula>NOT(ISERROR(SEARCH("NO",Z343)))</formula>
    </cfRule>
    <cfRule type="containsText" dxfId="1055" priority="969" operator="containsText" text="YES">
      <formula>NOT(ISERROR(SEARCH("YES",Z343)))</formula>
    </cfRule>
  </conditionalFormatting>
  <conditionalFormatting sqref="Z344">
    <cfRule type="expression" dxfId="1054" priority="1477">
      <formula>AND($C344=0,$C344&lt;&gt;"")</formula>
    </cfRule>
    <cfRule type="containsBlanks" dxfId="1053" priority="1478" stopIfTrue="1">
      <formula>LEN(TRIM(Z344))=0</formula>
    </cfRule>
    <cfRule type="containsText" dxfId="1052" priority="1479" operator="containsText" text="NO">
      <formula>NOT(ISERROR(SEARCH("NO",Z344)))</formula>
    </cfRule>
    <cfRule type="containsText" dxfId="1051" priority="1480" operator="containsText" text="YES">
      <formula>NOT(ISERROR(SEARCH("YES",Z344)))</formula>
    </cfRule>
  </conditionalFormatting>
  <conditionalFormatting sqref="Z344:Z345">
    <cfRule type="containsBlanks" dxfId="1050" priority="1457" stopIfTrue="1">
      <formula>LEN(TRIM(Z344))=0</formula>
    </cfRule>
    <cfRule type="containsText" dxfId="1049" priority="1458" operator="containsText" text="NO">
      <formula>NOT(ISERROR(SEARCH("NO",Z344)))</formula>
    </cfRule>
    <cfRule type="containsText" dxfId="1048" priority="1459" operator="containsText" text="YES">
      <formula>NOT(ISERROR(SEARCH("YES",Z344)))</formula>
    </cfRule>
  </conditionalFormatting>
  <conditionalFormatting sqref="C344:K345">
    <cfRule type="expression" dxfId="1047" priority="1456">
      <formula>AND($C344=0,$C344&lt;&gt;"")</formula>
    </cfRule>
  </conditionalFormatting>
  <conditionalFormatting sqref="Z345">
    <cfRule type="containsBlanks" dxfId="1046" priority="1453" stopIfTrue="1">
      <formula>LEN(TRIM(Z345))=0</formula>
    </cfRule>
    <cfRule type="containsText" dxfId="1045" priority="1454" operator="containsText" text="NO">
      <formula>NOT(ISERROR(SEARCH("NO",Z345)))</formula>
    </cfRule>
    <cfRule type="containsText" dxfId="1044" priority="1455" operator="containsText" text="YES">
      <formula>NOT(ISERROR(SEARCH("YES",Z345)))</formula>
    </cfRule>
  </conditionalFormatting>
  <conditionalFormatting sqref="Z345 AB345:AG345">
    <cfRule type="expression" dxfId="1043" priority="1452">
      <formula>AND($C345=0,$C345&lt;&gt;"")</formula>
    </cfRule>
  </conditionalFormatting>
  <conditionalFormatting sqref="Z346 C346:K346">
    <cfRule type="expression" dxfId="1042" priority="1435">
      <formula>AND($C346=0,$C346&lt;&gt;"")</formula>
    </cfRule>
  </conditionalFormatting>
  <conditionalFormatting sqref="Z346 AE346:AG346">
    <cfRule type="expression" dxfId="1041" priority="1431">
      <formula>AND($C346=0,$C346&lt;&gt;"")</formula>
    </cfRule>
  </conditionalFormatting>
  <conditionalFormatting sqref="Z346">
    <cfRule type="containsBlanks" dxfId="1040" priority="1432" stopIfTrue="1">
      <formula>LEN(TRIM(Z346))=0</formula>
    </cfRule>
    <cfRule type="containsText" dxfId="1039" priority="1433" operator="containsText" text="NO">
      <formula>NOT(ISERROR(SEARCH("NO",Z346)))</formula>
    </cfRule>
    <cfRule type="containsText" dxfId="1038" priority="1434" operator="containsText" text="YES">
      <formula>NOT(ISERROR(SEARCH("YES",Z346)))</formula>
    </cfRule>
    <cfRule type="containsBlanks" dxfId="1037" priority="1436" stopIfTrue="1">
      <formula>LEN(TRIM(Z346))=0</formula>
    </cfRule>
    <cfRule type="containsText" dxfId="1036" priority="1437" operator="containsText" text="NO">
      <formula>NOT(ISERROR(SEARCH("NO",Z346)))</formula>
    </cfRule>
    <cfRule type="containsText" dxfId="1035" priority="1438" operator="containsText" text="YES">
      <formula>NOT(ISERROR(SEARCH("YES",Z346)))</formula>
    </cfRule>
  </conditionalFormatting>
  <conditionalFormatting sqref="Z356:Z372 Z395">
    <cfRule type="containsBlanks" dxfId="1034" priority="4034" stopIfTrue="1">
      <formula>LEN(TRIM(Z356))=0</formula>
    </cfRule>
    <cfRule type="containsText" dxfId="1033" priority="4035" operator="containsText" text="NO">
      <formula>NOT(ISERROR(SEARCH("NO",Z356)))</formula>
    </cfRule>
    <cfRule type="containsText" dxfId="1032" priority="4036" operator="containsText" text="YES">
      <formula>NOT(ISERROR(SEARCH("YES",Z356)))</formula>
    </cfRule>
  </conditionalFormatting>
  <conditionalFormatting sqref="Z373">
    <cfRule type="expression" dxfId="1031" priority="3455">
      <formula>AND($C373=0,$C373&lt;&gt;"")</formula>
    </cfRule>
  </conditionalFormatting>
  <conditionalFormatting sqref="Z374:Z377 Z379">
    <cfRule type="containsBlanks" dxfId="1030" priority="3488" stopIfTrue="1">
      <formula>LEN(TRIM(Z374))=0</formula>
    </cfRule>
    <cfRule type="containsText" dxfId="1029" priority="3489" operator="containsText" text="NO">
      <formula>NOT(ISERROR(SEARCH("NO",Z374)))</formula>
    </cfRule>
    <cfRule type="containsText" dxfId="1028" priority="3490" operator="containsText" text="YES">
      <formula>NOT(ISERROR(SEARCH("YES",Z374)))</formula>
    </cfRule>
  </conditionalFormatting>
  <conditionalFormatting sqref="Z378">
    <cfRule type="expression" dxfId="1027" priority="2447">
      <formula>AND($C378=0,$C378&lt;&gt;"")</formula>
    </cfRule>
  </conditionalFormatting>
  <conditionalFormatting sqref="Z382:Z390">
    <cfRule type="containsBlanks" dxfId="1026" priority="2651" stopIfTrue="1">
      <formula>LEN(TRIM(Z382))=0</formula>
    </cfRule>
    <cfRule type="containsText" dxfId="1025" priority="2652" operator="containsText" text="NO">
      <formula>NOT(ISERROR(SEARCH("NO",Z382)))</formula>
    </cfRule>
    <cfRule type="containsText" dxfId="1024" priority="2653" operator="containsText" text="YES">
      <formula>NOT(ISERROR(SEARCH("YES",Z382)))</formula>
    </cfRule>
  </conditionalFormatting>
  <conditionalFormatting sqref="Z391:Z393">
    <cfRule type="containsBlanks" dxfId="1023" priority="2761" stopIfTrue="1">
      <formula>LEN(TRIM(Z391))=0</formula>
    </cfRule>
    <cfRule type="containsText" dxfId="1022" priority="2762" operator="containsText" text="NO">
      <formula>NOT(ISERROR(SEARCH("NO",Z391)))</formula>
    </cfRule>
    <cfRule type="containsText" dxfId="1021" priority="2763" operator="containsText" text="YES">
      <formula>NOT(ISERROR(SEARCH("YES",Z391)))</formula>
    </cfRule>
  </conditionalFormatting>
  <conditionalFormatting sqref="Z393">
    <cfRule type="containsBlanks" dxfId="1020" priority="2756" stopIfTrue="1">
      <formula>LEN(TRIM(Z393))=0</formula>
    </cfRule>
    <cfRule type="containsText" dxfId="1019" priority="2757" operator="containsText" text="NO">
      <formula>NOT(ISERROR(SEARCH("NO",Z393)))</formula>
    </cfRule>
    <cfRule type="containsText" dxfId="1018" priority="2758" operator="containsText" text="YES">
      <formula>NOT(ISERROR(SEARCH("YES",Z393)))</formula>
    </cfRule>
    <cfRule type="expression" dxfId="1017" priority="2759">
      <formula>AND($C393=0,$C393&lt;&gt;"")</formula>
    </cfRule>
  </conditionalFormatting>
  <conditionalFormatting sqref="Z411:Z415">
    <cfRule type="containsBlanks" dxfId="1016" priority="324" stopIfTrue="1">
      <formula>LEN(TRIM(Z411))=0</formula>
    </cfRule>
    <cfRule type="containsText" dxfId="1015" priority="325" operator="containsText" text="NO">
      <formula>NOT(ISERROR(SEARCH("NO",Z411)))</formula>
    </cfRule>
    <cfRule type="containsText" dxfId="1014" priority="326" operator="containsText" text="YES">
      <formula>NOT(ISERROR(SEARCH("YES",Z411)))</formula>
    </cfRule>
    <cfRule type="expression" dxfId="1013" priority="327">
      <formula>AND($C411=0,$C411&lt;&gt;"")</formula>
    </cfRule>
    <cfRule type="containsBlanks" dxfId="1012" priority="328" stopIfTrue="1">
      <formula>LEN(TRIM(Z411))=0</formula>
    </cfRule>
    <cfRule type="containsText" dxfId="1011" priority="329" operator="containsText" text="NO">
      <formula>NOT(ISERROR(SEARCH("NO",Z411)))</formula>
    </cfRule>
    <cfRule type="containsText" dxfId="1010" priority="330" operator="containsText" text="YES">
      <formula>NOT(ISERROR(SEARCH("YES",Z411)))</formula>
    </cfRule>
    <cfRule type="expression" dxfId="1009" priority="331">
      <formula>AND($C411=0,$C411&lt;&gt;"")</formula>
    </cfRule>
  </conditionalFormatting>
  <conditionalFormatting sqref="Z11:AA41">
    <cfRule type="containsBlanks" dxfId="1008" priority="4778" stopIfTrue="1">
      <formula>LEN(TRIM(Z11))=0</formula>
    </cfRule>
    <cfRule type="containsText" dxfId="1007" priority="4779" operator="containsText" text="NO">
      <formula>NOT(ISERROR(SEARCH("NO",Z11)))</formula>
    </cfRule>
    <cfRule type="containsText" dxfId="1006" priority="4780" operator="containsText" text="YES">
      <formula>NOT(ISERROR(SEARCH("YES",Z11)))</formula>
    </cfRule>
  </conditionalFormatting>
  <conditionalFormatting sqref="Z42:AA42">
    <cfRule type="containsBlanks" dxfId="1005" priority="2210" stopIfTrue="1">
      <formula>LEN(TRIM(Z42))=0</formula>
    </cfRule>
    <cfRule type="containsText" dxfId="1004" priority="2211" operator="containsText" text="NO">
      <formula>NOT(ISERROR(SEARCH("NO",Z42)))</formula>
    </cfRule>
    <cfRule type="containsText" dxfId="1003" priority="2212" operator="containsText" text="YES">
      <formula>NOT(ISERROR(SEARCH("YES",Z42)))</formula>
    </cfRule>
  </conditionalFormatting>
  <conditionalFormatting sqref="Z43:AA43 Z48:AA49 Z71:AA93 Z96:AA140 Z142:AA148 Z152:AA153 Z166:AA167 Z169:AA179 Z182:AA187 Z190:AA199 Z200 Z201:AA202 Z207:AA213 Z245:AA249 O252 Z266:AA268 Z273:AA274 Z279:AA283 Z284:Z288 Z289:AA291 Z292:Z293 Z294:AA294 Z297:AA302 Z305:AA305 Z306:Z307 Z308:AA309 Z396:AA399">
    <cfRule type="containsText" dxfId="1002" priority="5448" operator="containsText" text="NO">
      <formula>NOT(ISERROR(SEARCH("NO",O43)))</formula>
    </cfRule>
    <cfRule type="containsText" dxfId="1001" priority="5449" operator="containsText" text="YES">
      <formula>NOT(ISERROR(SEARCH("YES",O43)))</formula>
    </cfRule>
  </conditionalFormatting>
  <conditionalFormatting sqref="Z44:AA47">
    <cfRule type="containsBlanks" dxfId="1000" priority="2170" stopIfTrue="1">
      <formula>LEN(TRIM(Z44))=0</formula>
    </cfRule>
    <cfRule type="containsText" dxfId="999" priority="2171" operator="containsText" text="NO">
      <formula>NOT(ISERROR(SEARCH("NO",Z44)))</formula>
    </cfRule>
    <cfRule type="containsText" dxfId="998" priority="2172" operator="containsText" text="YES">
      <formula>NOT(ISERROR(SEARCH("YES",Z44)))</formula>
    </cfRule>
  </conditionalFormatting>
  <conditionalFormatting sqref="Z50:AA53">
    <cfRule type="containsBlanks" dxfId="997" priority="2130" stopIfTrue="1">
      <formula>LEN(TRIM(Z50))=0</formula>
    </cfRule>
    <cfRule type="containsText" dxfId="996" priority="2131" operator="containsText" text="NO">
      <formula>NOT(ISERROR(SEARCH("NO",Z50)))</formula>
    </cfRule>
    <cfRule type="containsText" dxfId="995" priority="2132" operator="containsText" text="YES">
      <formula>NOT(ISERROR(SEARCH("YES",Z50)))</formula>
    </cfRule>
  </conditionalFormatting>
  <conditionalFormatting sqref="Z54:AA68">
    <cfRule type="containsBlanks" dxfId="994" priority="4704" stopIfTrue="1">
      <formula>LEN(TRIM(Z54))=0</formula>
    </cfRule>
    <cfRule type="containsText" dxfId="993" priority="4705" operator="containsText" text="NO">
      <formula>NOT(ISERROR(SEARCH("NO",Z54)))</formula>
    </cfRule>
    <cfRule type="containsText" dxfId="992" priority="4706" operator="containsText" text="YES">
      <formula>NOT(ISERROR(SEARCH("YES",Z54)))</formula>
    </cfRule>
  </conditionalFormatting>
  <conditionalFormatting sqref="Z69:AA70">
    <cfRule type="containsBlanks" dxfId="991" priority="2637" stopIfTrue="1">
      <formula>LEN(TRIM(Z69))=0</formula>
    </cfRule>
    <cfRule type="containsText" dxfId="990" priority="2638" operator="containsText" text="NO">
      <formula>NOT(ISERROR(SEARCH("NO",Z69)))</formula>
    </cfRule>
    <cfRule type="containsText" dxfId="989" priority="2639" operator="containsText" text="YES">
      <formula>NOT(ISERROR(SEARCH("YES",Z69)))</formula>
    </cfRule>
  </conditionalFormatting>
  <conditionalFormatting sqref="Z71:AA93 Z142:AA148 Z152:AA153 Z166:AA167 Z169:AA179 Z182:AA187 Z190:AA199 Z200 Z201:AA202 Z207:AA213 Z245:AA249 Z266:AA268 Z273:AA274 Z279:AA283 Z284:Z288 Z289:AA291 Z292:Z293 Z294:AA294 Z297:AA302 Z305:AA305 Z306:Z307 Z308:AA309 Z43:AA43 Z48:AA49 Z96:AA140 O252 Z396:AA399">
    <cfRule type="containsBlanks" dxfId="988" priority="5447" stopIfTrue="1">
      <formula>LEN(TRIM(O43))=0</formula>
    </cfRule>
  </conditionalFormatting>
  <conditionalFormatting sqref="Z94:AA95">
    <cfRule type="containsBlanks" dxfId="987" priority="1610" stopIfTrue="1">
      <formula>LEN(TRIM(Z94))=0</formula>
    </cfRule>
    <cfRule type="containsText" dxfId="986" priority="1611" operator="containsText" text="NO">
      <formula>NOT(ISERROR(SEARCH("NO",Z94)))</formula>
    </cfRule>
    <cfRule type="containsText" dxfId="985" priority="1612" operator="containsText" text="YES">
      <formula>NOT(ISERROR(SEARCH("YES",Z94)))</formula>
    </cfRule>
  </conditionalFormatting>
  <conditionalFormatting sqref="Z141:AA141">
    <cfRule type="containsBlanks" dxfId="984" priority="2120" stopIfTrue="1">
      <formula>LEN(TRIM(Z141))=0</formula>
    </cfRule>
    <cfRule type="containsText" dxfId="983" priority="2121" operator="containsText" text="NO">
      <formula>NOT(ISERROR(SEARCH("NO",Z141)))</formula>
    </cfRule>
    <cfRule type="containsText" dxfId="982" priority="2122" operator="containsText" text="YES">
      <formula>NOT(ISERROR(SEARCH("YES",Z141)))</formula>
    </cfRule>
  </conditionalFormatting>
  <conditionalFormatting sqref="Z149:AA151">
    <cfRule type="containsBlanks" dxfId="981" priority="2090" stopIfTrue="1">
      <formula>LEN(TRIM(Z149))=0</formula>
    </cfRule>
    <cfRule type="containsText" dxfId="980" priority="2091" operator="containsText" text="NO">
      <formula>NOT(ISERROR(SEARCH("NO",Z149)))</formula>
    </cfRule>
    <cfRule type="containsText" dxfId="979" priority="2092" operator="containsText" text="YES">
      <formula>NOT(ISERROR(SEARCH("YES",Z149)))</formula>
    </cfRule>
  </conditionalFormatting>
  <conditionalFormatting sqref="Z154:AA158">
    <cfRule type="containsBlanks" dxfId="978" priority="2040" stopIfTrue="1">
      <formula>LEN(TRIM(Z154))=0</formula>
    </cfRule>
    <cfRule type="containsText" dxfId="977" priority="2041" operator="containsText" text="NO">
      <formula>NOT(ISERROR(SEARCH("NO",Z154)))</formula>
    </cfRule>
    <cfRule type="containsText" dxfId="976" priority="2042" operator="containsText" text="YES">
      <formula>NOT(ISERROR(SEARCH("YES",Z154)))</formula>
    </cfRule>
  </conditionalFormatting>
  <conditionalFormatting sqref="Z159:AA162">
    <cfRule type="containsBlanks" dxfId="975" priority="4874" stopIfTrue="1">
      <formula>LEN(TRIM(Z159))=0</formula>
    </cfRule>
    <cfRule type="containsText" dxfId="974" priority="4875" operator="containsText" text="NO">
      <formula>NOT(ISERROR(SEARCH("NO",Z159)))</formula>
    </cfRule>
    <cfRule type="containsText" dxfId="973" priority="4876" operator="containsText" text="YES">
      <formula>NOT(ISERROR(SEARCH("YES",Z159)))</formula>
    </cfRule>
  </conditionalFormatting>
  <conditionalFormatting sqref="Z163:AA165">
    <cfRule type="containsBlanks" dxfId="972" priority="2010" stopIfTrue="1">
      <formula>LEN(TRIM(Z163))=0</formula>
    </cfRule>
    <cfRule type="containsText" dxfId="971" priority="2011" operator="containsText" text="NO">
      <formula>NOT(ISERROR(SEARCH("NO",Z163)))</formula>
    </cfRule>
    <cfRule type="containsText" dxfId="970" priority="2012" operator="containsText" text="YES">
      <formula>NOT(ISERROR(SEARCH("YES",Z163)))</formula>
    </cfRule>
  </conditionalFormatting>
  <conditionalFormatting sqref="Z168:AA168">
    <cfRule type="containsBlanks" dxfId="969" priority="2000" stopIfTrue="1">
      <formula>LEN(TRIM(Z168))=0</formula>
    </cfRule>
    <cfRule type="containsText" dxfId="968" priority="2001" operator="containsText" text="NO">
      <formula>NOT(ISERROR(SEARCH("NO",Z168)))</formula>
    </cfRule>
    <cfRule type="containsText" dxfId="967" priority="2002" operator="containsText" text="YES">
      <formula>NOT(ISERROR(SEARCH("YES",Z168)))</formula>
    </cfRule>
  </conditionalFormatting>
  <conditionalFormatting sqref="Z180:AA181">
    <cfRule type="containsBlanks" dxfId="966" priority="1980" stopIfTrue="1">
      <formula>LEN(TRIM(Z180))=0</formula>
    </cfRule>
    <cfRule type="containsText" dxfId="965" priority="1981" operator="containsText" text="NO">
      <formula>NOT(ISERROR(SEARCH("NO",Z180)))</formula>
    </cfRule>
    <cfRule type="containsText" dxfId="964" priority="1982" operator="containsText" text="YES">
      <formula>NOT(ISERROR(SEARCH("YES",Z180)))</formula>
    </cfRule>
  </conditionalFormatting>
  <conditionalFormatting sqref="Z188:AA189">
    <cfRule type="containsBlanks" dxfId="963" priority="5414" stopIfTrue="1">
      <formula>LEN(TRIM(Z188))=0</formula>
    </cfRule>
    <cfRule type="containsText" dxfId="962" priority="5415" operator="containsText" text="NO">
      <formula>NOT(ISERROR(SEARCH("NO",Z188)))</formula>
    </cfRule>
    <cfRule type="containsText" dxfId="961" priority="5416" operator="containsText" text="YES">
      <formula>NOT(ISERROR(SEARCH("YES",Z188)))</formula>
    </cfRule>
  </conditionalFormatting>
  <conditionalFormatting sqref="Z203:AA206">
    <cfRule type="containsBlanks" dxfId="960" priority="1940" stopIfTrue="1">
      <formula>LEN(TRIM(Z203))=0</formula>
    </cfRule>
    <cfRule type="containsText" dxfId="959" priority="1941" operator="containsText" text="NO">
      <formula>NOT(ISERROR(SEARCH("NO",Z203)))</formula>
    </cfRule>
    <cfRule type="containsText" dxfId="958" priority="1942" operator="containsText" text="YES">
      <formula>NOT(ISERROR(SEARCH("YES",Z203)))</formula>
    </cfRule>
  </conditionalFormatting>
  <conditionalFormatting sqref="Z214:AA242">
    <cfRule type="containsBlanks" dxfId="957" priority="1630" stopIfTrue="1">
      <formula>LEN(TRIM(Z214))=0</formula>
    </cfRule>
    <cfRule type="containsText" dxfId="956" priority="1631" operator="containsText" text="NO">
      <formula>NOT(ISERROR(SEARCH("NO",Z214)))</formula>
    </cfRule>
    <cfRule type="containsText" dxfId="955" priority="1632" operator="containsText" text="YES">
      <formula>NOT(ISERROR(SEARCH("YES",Z214)))</formula>
    </cfRule>
  </conditionalFormatting>
  <conditionalFormatting sqref="Z243:AA244">
    <cfRule type="containsBlanks" dxfId="954" priority="2696" stopIfTrue="1">
      <formula>LEN(TRIM(Z243))=0</formula>
    </cfRule>
    <cfRule type="containsText" dxfId="953" priority="2697" operator="containsText" text="NO">
      <formula>NOT(ISERROR(SEARCH("NO",Z243)))</formula>
    </cfRule>
    <cfRule type="containsText" dxfId="952" priority="2698" operator="containsText" text="YES">
      <formula>NOT(ISERROR(SEARCH("YES",Z243)))</formula>
    </cfRule>
  </conditionalFormatting>
  <conditionalFormatting sqref="Z245:AA245">
    <cfRule type="expression" dxfId="951" priority="5246">
      <formula>AND($C245=0,$C245&lt;&gt;"")</formula>
    </cfRule>
    <cfRule type="containsBlanks" dxfId="950" priority="5247" stopIfTrue="1">
      <formula>LEN(TRIM(Z245))=0</formula>
    </cfRule>
    <cfRule type="containsText" dxfId="949" priority="5248" operator="containsText" text="NO">
      <formula>NOT(ISERROR(SEARCH("NO",Z245)))</formula>
    </cfRule>
    <cfRule type="containsText" dxfId="948" priority="5249" operator="containsText" text="YES">
      <formula>NOT(ISERROR(SEARCH("YES",Z245)))</formula>
    </cfRule>
  </conditionalFormatting>
  <conditionalFormatting sqref="Z273:AA273">
    <cfRule type="containsBlanks" dxfId="947" priority="5204" stopIfTrue="1">
      <formula>LEN(TRIM(Z273))=0</formula>
    </cfRule>
    <cfRule type="containsText" dxfId="946" priority="5205" operator="containsText" text="NO">
      <formula>NOT(ISERROR(SEARCH("NO",Z273)))</formula>
    </cfRule>
    <cfRule type="containsText" dxfId="945" priority="5206" operator="containsText" text="YES">
      <formula>NOT(ISERROR(SEARCH("YES",Z273)))</formula>
    </cfRule>
  </conditionalFormatting>
  <conditionalFormatting sqref="Z279:AA280">
    <cfRule type="containsBlanks" dxfId="944" priority="5102" stopIfTrue="1">
      <formula>LEN(TRIM(Z279))=0</formula>
    </cfRule>
    <cfRule type="containsText" dxfId="943" priority="5103" operator="containsText" text="NO">
      <formula>NOT(ISERROR(SEARCH("NO",Z279)))</formula>
    </cfRule>
    <cfRule type="containsText" dxfId="942" priority="5104" operator="containsText" text="YES">
      <formula>NOT(ISERROR(SEARCH("YES",Z279)))</formula>
    </cfRule>
  </conditionalFormatting>
  <conditionalFormatting sqref="Z282:AA283">
    <cfRule type="containsBlanks" dxfId="941" priority="5066" stopIfTrue="1">
      <formula>LEN(TRIM(Z282))=0</formula>
    </cfRule>
    <cfRule type="containsText" dxfId="940" priority="5067" operator="containsText" text="NO">
      <formula>NOT(ISERROR(SEARCH("NO",Z282)))</formula>
    </cfRule>
    <cfRule type="containsText" dxfId="939" priority="5068" operator="containsText" text="YES">
      <formula>NOT(ISERROR(SEARCH("YES",Z282)))</formula>
    </cfRule>
  </conditionalFormatting>
  <conditionalFormatting sqref="Z289:AA291">
    <cfRule type="containsBlanks" dxfId="938" priority="4895" stopIfTrue="1">
      <formula>LEN(TRIM(Z289))=0</formula>
    </cfRule>
    <cfRule type="containsText" dxfId="937" priority="4896" operator="containsText" text="NO">
      <formula>NOT(ISERROR(SEARCH("NO",Z289)))</formula>
    </cfRule>
    <cfRule type="containsText" dxfId="936" priority="4897" operator="containsText" text="YES">
      <formula>NOT(ISERROR(SEARCH("YES",Z289)))</formula>
    </cfRule>
  </conditionalFormatting>
  <conditionalFormatting sqref="Z294:AA295">
    <cfRule type="containsBlanks" dxfId="935" priority="1600" stopIfTrue="1">
      <formula>LEN(TRIM(Z294))=0</formula>
    </cfRule>
    <cfRule type="containsText" dxfId="934" priority="1601" operator="containsText" text="NO">
      <formula>NOT(ISERROR(SEARCH("NO",Z294)))</formula>
    </cfRule>
    <cfRule type="containsText" dxfId="933" priority="1602" operator="containsText" text="YES">
      <formula>NOT(ISERROR(SEARCH("YES",Z294)))</formula>
    </cfRule>
  </conditionalFormatting>
  <conditionalFormatting sqref="Z295:AA296">
    <cfRule type="containsBlanks" dxfId="932" priority="1579" stopIfTrue="1">
      <formula>LEN(TRIM(Z295))=0</formula>
    </cfRule>
    <cfRule type="containsText" dxfId="931" priority="1580" operator="containsText" text="NO">
      <formula>NOT(ISERROR(SEARCH("NO",Z295)))</formula>
    </cfRule>
    <cfRule type="containsText" dxfId="930" priority="1581" operator="containsText" text="YES">
      <formula>NOT(ISERROR(SEARCH("YES",Z295)))</formula>
    </cfRule>
  </conditionalFormatting>
  <conditionalFormatting sqref="Z296:AA296">
    <cfRule type="containsBlanks" dxfId="929" priority="1575" stopIfTrue="1">
      <formula>LEN(TRIM(Z296))=0</formula>
    </cfRule>
    <cfRule type="containsText" dxfId="928" priority="1576" operator="containsText" text="NO">
      <formula>NOT(ISERROR(SEARCH("NO",Z296)))</formula>
    </cfRule>
    <cfRule type="containsText" dxfId="927" priority="1577" operator="containsText" text="YES">
      <formula>NOT(ISERROR(SEARCH("YES",Z296)))</formula>
    </cfRule>
  </conditionalFormatting>
  <conditionalFormatting sqref="Z303:AA304">
    <cfRule type="containsBlanks" dxfId="926" priority="2877" stopIfTrue="1">
      <formula>LEN(TRIM(Z303))=0</formula>
    </cfRule>
    <cfRule type="containsText" dxfId="925" priority="2878" operator="containsText" text="NO">
      <formula>NOT(ISERROR(SEARCH("NO",Z303)))</formula>
    </cfRule>
    <cfRule type="containsText" dxfId="924" priority="2879" operator="containsText" text="YES">
      <formula>NOT(ISERROR(SEARCH("YES",Z303)))</formula>
    </cfRule>
  </conditionalFormatting>
  <conditionalFormatting sqref="Z308:AA312">
    <cfRule type="containsBlanks" dxfId="923" priority="2459" stopIfTrue="1">
      <formula>LEN(TRIM(Z308))=0</formula>
    </cfRule>
    <cfRule type="containsText" dxfId="922" priority="2460" operator="containsText" text="NO">
      <formula>NOT(ISERROR(SEARCH("NO",Z308)))</formula>
    </cfRule>
    <cfRule type="containsText" dxfId="921" priority="2461" operator="containsText" text="YES">
      <formula>NOT(ISERROR(SEARCH("YES",Z308)))</formula>
    </cfRule>
  </conditionalFormatting>
  <conditionalFormatting sqref="Z313:AA314">
    <cfRule type="containsBlanks" dxfId="920" priority="3572" stopIfTrue="1">
      <formula>LEN(TRIM(Z313))=0</formula>
    </cfRule>
    <cfRule type="containsText" dxfId="919" priority="3573" operator="containsText" text="NO">
      <formula>NOT(ISERROR(SEARCH("NO",Z313)))</formula>
    </cfRule>
    <cfRule type="containsText" dxfId="918" priority="3574" operator="containsText" text="YES">
      <formula>NOT(ISERROR(SEARCH("YES",Z313)))</formula>
    </cfRule>
  </conditionalFormatting>
  <conditionalFormatting sqref="Z315:AA319">
    <cfRule type="containsBlanks" dxfId="917" priority="2470" stopIfTrue="1">
      <formula>LEN(TRIM(Z315))=0</formula>
    </cfRule>
    <cfRule type="containsText" dxfId="916" priority="2471" operator="containsText" text="NO">
      <formula>NOT(ISERROR(SEARCH("NO",Z315)))</formula>
    </cfRule>
    <cfRule type="containsText" dxfId="915" priority="2472" operator="containsText" text="YES">
      <formula>NOT(ISERROR(SEARCH("YES",Z315)))</formula>
    </cfRule>
  </conditionalFormatting>
  <conditionalFormatting sqref="Z320:AA321">
    <cfRule type="containsBlanks" dxfId="914" priority="2797" stopIfTrue="1">
      <formula>LEN(TRIM(Z320))=0</formula>
    </cfRule>
    <cfRule type="containsText" dxfId="913" priority="2798" operator="containsText" text="NO">
      <formula>NOT(ISERROR(SEARCH("NO",Z320)))</formula>
    </cfRule>
    <cfRule type="containsText" dxfId="912" priority="2799" operator="containsText" text="YES">
      <formula>NOT(ISERROR(SEARCH("YES",Z320)))</formula>
    </cfRule>
  </conditionalFormatting>
  <conditionalFormatting sqref="Z337:AA341">
    <cfRule type="containsBlanks" dxfId="911" priority="2662" stopIfTrue="1">
      <formula>LEN(TRIM(Z337))=0</formula>
    </cfRule>
    <cfRule type="containsText" dxfId="910" priority="2663" operator="containsText" text="NO">
      <formula>NOT(ISERROR(SEARCH("NO",Z337)))</formula>
    </cfRule>
    <cfRule type="containsText" dxfId="909" priority="2664" operator="containsText" text="YES">
      <formula>NOT(ISERROR(SEARCH("YES",Z337)))</formula>
    </cfRule>
  </conditionalFormatting>
  <conditionalFormatting sqref="Z373:AA373">
    <cfRule type="containsBlanks" dxfId="908" priority="3452" stopIfTrue="1">
      <formula>LEN(TRIM(Z373))=0</formula>
    </cfRule>
    <cfRule type="containsText" dxfId="907" priority="3453" operator="containsText" text="NO">
      <formula>NOT(ISERROR(SEARCH("NO",Z373)))</formula>
    </cfRule>
    <cfRule type="containsText" dxfId="906" priority="3454" operator="containsText" text="YES">
      <formula>NOT(ISERROR(SEARCH("YES",Z373)))</formula>
    </cfRule>
    <cfRule type="containsBlanks" dxfId="905" priority="3456" stopIfTrue="1">
      <formula>LEN(TRIM(Z373))=0</formula>
    </cfRule>
    <cfRule type="containsText" dxfId="904" priority="3457" operator="containsText" text="NO">
      <formula>NOT(ISERROR(SEARCH("NO",Z373)))</formula>
    </cfRule>
    <cfRule type="containsText" dxfId="903" priority="3458" operator="containsText" text="YES">
      <formula>NOT(ISERROR(SEARCH("YES",Z373)))</formula>
    </cfRule>
  </conditionalFormatting>
  <conditionalFormatting sqref="Z378:AA378">
    <cfRule type="containsBlanks" dxfId="902" priority="2448" stopIfTrue="1">
      <formula>LEN(TRIM(Z378))=0</formula>
    </cfRule>
    <cfRule type="containsText" dxfId="901" priority="2449" operator="containsText" text="NO">
      <formula>NOT(ISERROR(SEARCH("NO",Z378)))</formula>
    </cfRule>
    <cfRule type="containsText" dxfId="900" priority="2450" operator="containsText" text="YES">
      <formula>NOT(ISERROR(SEARCH("YES",Z378)))</formula>
    </cfRule>
  </conditionalFormatting>
  <conditionalFormatting sqref="Z380:AA381">
    <cfRule type="containsBlanks" dxfId="899" priority="2920" stopIfTrue="1">
      <formula>LEN(TRIM(Z380))=0</formula>
    </cfRule>
    <cfRule type="containsText" dxfId="898" priority="2921" operator="containsText" text="NO">
      <formula>NOT(ISERROR(SEARCH("NO",Z380)))</formula>
    </cfRule>
    <cfRule type="containsText" dxfId="897" priority="2922" operator="containsText" text="YES">
      <formula>NOT(ISERROR(SEARCH("YES",Z380)))</formula>
    </cfRule>
  </conditionalFormatting>
  <conditionalFormatting sqref="Z11:AG41">
    <cfRule type="expression" dxfId="896" priority="4777">
      <formula>AND($C11=0,$C11&lt;&gt;"")</formula>
    </cfRule>
  </conditionalFormatting>
  <conditionalFormatting sqref="Z54:AG68 D58:F58">
    <cfRule type="expression" dxfId="895" priority="4703">
      <formula>AND($C54=0,$C54&lt;&gt;"")</formula>
    </cfRule>
  </conditionalFormatting>
  <conditionalFormatting sqref="Z159:AG162">
    <cfRule type="expression" dxfId="894" priority="4873">
      <formula>AND($C159=0,$C159&lt;&gt;"")</formula>
    </cfRule>
  </conditionalFormatting>
  <conditionalFormatting sqref="Z243:AG244">
    <cfRule type="expression" dxfId="893" priority="2695">
      <formula>AND($C243=0,$C243&lt;&gt;"")</formula>
    </cfRule>
  </conditionalFormatting>
  <conditionalFormatting sqref="Z273:AG273">
    <cfRule type="expression" dxfId="892" priority="5203">
      <formula>AND($C273=0,$C273&lt;&gt;"")</formula>
    </cfRule>
  </conditionalFormatting>
  <conditionalFormatting sqref="Z280:AG280">
    <cfRule type="expression" dxfId="891" priority="5106">
      <formula>AND($C280=0,$C280&lt;&gt;"")</formula>
    </cfRule>
  </conditionalFormatting>
  <conditionalFormatting sqref="Z282:AG283 C282:D283 F282:I283">
    <cfRule type="expression" dxfId="890" priority="5070">
      <formula>AND($C282=0,$C282&lt;&gt;"")</formula>
    </cfRule>
  </conditionalFormatting>
  <conditionalFormatting sqref="Z289:AG291 C288:D289 F288:I289">
    <cfRule type="expression" dxfId="889" priority="4944">
      <formula>AND($C288=0,$C288&lt;&gt;"")</formula>
    </cfRule>
  </conditionalFormatting>
  <conditionalFormatting sqref="Z295:AG295">
    <cfRule type="expression" dxfId="888" priority="1599">
      <formula>AND($C295=0,$C295&lt;&gt;"")</formula>
    </cfRule>
  </conditionalFormatting>
  <conditionalFormatting sqref="Z296:AG298">
    <cfRule type="expression" dxfId="887" priority="1578">
      <formula>AND($C296=0,$C296&lt;&gt;"")</formula>
    </cfRule>
  </conditionalFormatting>
  <conditionalFormatting sqref="Z308:AG309">
    <cfRule type="expression" dxfId="886" priority="4583">
      <formula>AND($C308=0,$C308&lt;&gt;"")</formula>
    </cfRule>
  </conditionalFormatting>
  <conditionalFormatting sqref="Z313:AG314">
    <cfRule type="expression" dxfId="885" priority="3571">
      <formula>AND($C313=0,$C313&lt;&gt;"")</formula>
    </cfRule>
  </conditionalFormatting>
  <conditionalFormatting sqref="AA200">
    <cfRule type="expression" dxfId="884" priority="4446">
      <formula>AND($C200=0,$C200&lt;&gt;"")</formula>
    </cfRule>
    <cfRule type="containsBlanks" dxfId="883" priority="4447" stopIfTrue="1">
      <formula>LEN(TRIM(AA200))=0</formula>
    </cfRule>
    <cfRule type="containsText" dxfId="882" priority="4448" operator="containsText" text="NO">
      <formula>NOT(ISERROR(SEARCH("NO",AA200)))</formula>
    </cfRule>
    <cfRule type="containsText" dxfId="881" priority="4449" operator="containsText" text="YES">
      <formula>NOT(ISERROR(SEARCH("YES",AA200)))</formula>
    </cfRule>
  </conditionalFormatting>
  <conditionalFormatting sqref="AA246">
    <cfRule type="containsBlanks" dxfId="880" priority="5237" stopIfTrue="1">
      <formula>LEN(TRIM(AA246))=0</formula>
    </cfRule>
    <cfRule type="containsText" dxfId="879" priority="5238" operator="containsText" text="NO">
      <formula>NOT(ISERROR(SEARCH("NO",AA246)))</formula>
    </cfRule>
    <cfRule type="containsText" dxfId="878" priority="5239" operator="containsText" text="YES">
      <formula>NOT(ISERROR(SEARCH("YES",AA246)))</formula>
    </cfRule>
  </conditionalFormatting>
  <conditionalFormatting sqref="AA250:AA252">
    <cfRule type="containsBlanks" dxfId="877" priority="638" stopIfTrue="1">
      <formula>LEN(TRIM(AA250))=0</formula>
    </cfRule>
    <cfRule type="containsText" dxfId="876" priority="639" operator="containsText" text="NO">
      <formula>NOT(ISERROR(SEARCH("NO",AA250)))</formula>
    </cfRule>
    <cfRule type="containsText" dxfId="875" priority="640" operator="containsText" text="YES">
      <formula>NOT(ISERROR(SEARCH("YES",AA250)))</formula>
    </cfRule>
  </conditionalFormatting>
  <conditionalFormatting sqref="AA252">
    <cfRule type="expression" dxfId="874" priority="637">
      <formula>AND($C252=0,$C252&lt;&gt;"")</formula>
    </cfRule>
  </conditionalFormatting>
  <conditionalFormatting sqref="AA253:AA265">
    <cfRule type="containsBlanks" dxfId="873" priority="821" stopIfTrue="1">
      <formula>LEN(TRIM(AA253))=0</formula>
    </cfRule>
    <cfRule type="containsText" dxfId="872" priority="822" operator="containsText" text="NO">
      <formula>NOT(ISERROR(SEARCH("NO",AA253)))</formula>
    </cfRule>
    <cfRule type="containsText" dxfId="871" priority="823" operator="containsText" text="YES">
      <formula>NOT(ISERROR(SEARCH("YES",AA253)))</formula>
    </cfRule>
  </conditionalFormatting>
  <conditionalFormatting sqref="AA257">
    <cfRule type="expression" dxfId="870" priority="820">
      <formula>AND($C257=0,$C257&lt;&gt;"")</formula>
    </cfRule>
  </conditionalFormatting>
  <conditionalFormatting sqref="AA269:AA272">
    <cfRule type="containsBlanks" dxfId="869" priority="915" stopIfTrue="1">
      <formula>LEN(TRIM(AA269))=0</formula>
    </cfRule>
    <cfRule type="containsText" dxfId="868" priority="916" operator="containsText" text="NO">
      <formula>NOT(ISERROR(SEARCH("NO",AA269)))</formula>
    </cfRule>
    <cfRule type="containsText" dxfId="867" priority="917" operator="containsText" text="YES">
      <formula>NOT(ISERROR(SEARCH("YES",AA269)))</formula>
    </cfRule>
  </conditionalFormatting>
  <conditionalFormatting sqref="AA274 AD274:AG274">
    <cfRule type="expression" dxfId="866" priority="5193">
      <formula>AND($C274=0,$C274&lt;&gt;"")</formula>
    </cfRule>
  </conditionalFormatting>
  <conditionalFormatting sqref="AA274">
    <cfRule type="containsBlanks" dxfId="865" priority="5194" stopIfTrue="1">
      <formula>LEN(TRIM(AA274))=0</formula>
    </cfRule>
    <cfRule type="containsText" dxfId="864" priority="5195" operator="containsText" text="NO">
      <formula>NOT(ISERROR(SEARCH("NO",AA274)))</formula>
    </cfRule>
    <cfRule type="containsText" dxfId="863" priority="5196" operator="containsText" text="YES">
      <formula>NOT(ISERROR(SEARCH("YES",AA274)))</formula>
    </cfRule>
  </conditionalFormatting>
  <conditionalFormatting sqref="AA281 C280:I281 AD281:AG281">
    <cfRule type="expression" dxfId="862" priority="5095">
      <formula>AND($C280=0,$C280&lt;&gt;"")</formula>
    </cfRule>
  </conditionalFormatting>
  <conditionalFormatting sqref="AA281">
    <cfRule type="containsBlanks" dxfId="861" priority="5091" stopIfTrue="1">
      <formula>LEN(TRIM(AA281))=0</formula>
    </cfRule>
    <cfRule type="containsText" dxfId="860" priority="5092" operator="containsText" text="NO">
      <formula>NOT(ISERROR(SEARCH("NO",AA281)))</formula>
    </cfRule>
    <cfRule type="containsText" dxfId="859" priority="5093" operator="containsText" text="YES">
      <formula>NOT(ISERROR(SEARCH("YES",AA281)))</formula>
    </cfRule>
  </conditionalFormatting>
  <conditionalFormatting sqref="AA284:AA288">
    <cfRule type="containsBlanks" dxfId="858" priority="906" stopIfTrue="1">
      <formula>LEN(TRIM(AA284))=0</formula>
    </cfRule>
    <cfRule type="containsText" dxfId="857" priority="907" operator="containsText" text="NO">
      <formula>NOT(ISERROR(SEARCH("NO",AA284)))</formula>
    </cfRule>
    <cfRule type="containsText" dxfId="856" priority="908" operator="containsText" text="YES">
      <formula>NOT(ISERROR(SEARCH("YES",AA284)))</formula>
    </cfRule>
  </conditionalFormatting>
  <conditionalFormatting sqref="AA292:AA293">
    <cfRule type="containsBlanks" dxfId="855" priority="317" stopIfTrue="1">
      <formula>LEN(TRIM(AA292))=0</formula>
    </cfRule>
    <cfRule type="containsText" dxfId="854" priority="318" operator="containsText" text="NO">
      <formula>NOT(ISERROR(SEARCH("NO",AA292)))</formula>
    </cfRule>
    <cfRule type="containsText" dxfId="853" priority="319" operator="containsText" text="YES">
      <formula>NOT(ISERROR(SEARCH("YES",AA292)))</formula>
    </cfRule>
  </conditionalFormatting>
  <conditionalFormatting sqref="AA305">
    <cfRule type="expression" dxfId="852" priority="4842">
      <formula>AND($C305=0,$C305&lt;&gt;"")</formula>
    </cfRule>
  </conditionalFormatting>
  <conditionalFormatting sqref="AA305:AA307">
    <cfRule type="containsBlanks" dxfId="851" priority="897" stopIfTrue="1">
      <formula>LEN(TRIM(AA305))=0</formula>
    </cfRule>
    <cfRule type="containsText" dxfId="850" priority="898" operator="containsText" text="NO">
      <formula>NOT(ISERROR(SEARCH("NO",AA305)))</formula>
    </cfRule>
    <cfRule type="containsText" dxfId="849" priority="899" operator="containsText" text="YES">
      <formula>NOT(ISERROR(SEARCH("YES",AA305)))</formula>
    </cfRule>
  </conditionalFormatting>
  <conditionalFormatting sqref="AA321">
    <cfRule type="expression" dxfId="848" priority="2791">
      <formula>AND($C321=0,$C321&lt;&gt;"")</formula>
    </cfRule>
  </conditionalFormatting>
  <conditionalFormatting sqref="AA321:AA336">
    <cfRule type="containsBlanks" dxfId="847" priority="813" stopIfTrue="1">
      <formula>LEN(TRIM(AA321))=0</formula>
    </cfRule>
    <cfRule type="containsText" dxfId="846" priority="814" operator="containsText" text="NO">
      <formula>NOT(ISERROR(SEARCH("NO",AA321)))</formula>
    </cfRule>
    <cfRule type="containsText" dxfId="845" priority="815" operator="containsText" text="YES">
      <formula>NOT(ISERROR(SEARCH("YES",AA321)))</formula>
    </cfRule>
  </conditionalFormatting>
  <conditionalFormatting sqref="AA334:AA335">
    <cfRule type="expression" dxfId="844" priority="812">
      <formula>AND($C334=0,$C334&lt;&gt;"")</formula>
    </cfRule>
  </conditionalFormatting>
  <conditionalFormatting sqref="AA343:AA345">
    <cfRule type="containsBlanks" dxfId="843" priority="809" stopIfTrue="1">
      <formula>LEN(TRIM(AA343))=0</formula>
    </cfRule>
    <cfRule type="containsText" dxfId="842" priority="810" operator="containsText" text="NO">
      <formula>NOT(ISERROR(SEARCH("NO",AA343)))</formula>
    </cfRule>
    <cfRule type="containsText" dxfId="841" priority="811" operator="containsText" text="YES">
      <formula>NOT(ISERROR(SEARCH("YES",AA343)))</formula>
    </cfRule>
  </conditionalFormatting>
  <conditionalFormatting sqref="AA344">
    <cfRule type="expression" dxfId="840" priority="808">
      <formula>AND($C344=0,$C344&lt;&gt;"")</formula>
    </cfRule>
  </conditionalFormatting>
  <conditionalFormatting sqref="AA346:AA372">
    <cfRule type="containsBlanks" dxfId="839" priority="849" stopIfTrue="1">
      <formula>LEN(TRIM(AA346))=0</formula>
    </cfRule>
    <cfRule type="containsText" dxfId="838" priority="850" operator="containsText" text="NO">
      <formula>NOT(ISERROR(SEARCH("NO",AA346)))</formula>
    </cfRule>
    <cfRule type="containsText" dxfId="837" priority="851" operator="containsText" text="YES">
      <formula>NOT(ISERROR(SEARCH("YES",AA346)))</formula>
    </cfRule>
  </conditionalFormatting>
  <conditionalFormatting sqref="AA374:AA377 AA379">
    <cfRule type="containsBlanks" dxfId="836" priority="3485" stopIfTrue="1">
      <formula>LEN(TRIM(AA374))=0</formula>
    </cfRule>
    <cfRule type="containsText" dxfId="835" priority="3486" operator="containsText" text="NO">
      <formula>NOT(ISERROR(SEARCH("NO",AA374)))</formula>
    </cfRule>
    <cfRule type="containsText" dxfId="834" priority="3487" operator="containsText" text="YES">
      <formula>NOT(ISERROR(SEARCH("YES",AA374)))</formula>
    </cfRule>
  </conditionalFormatting>
  <conditionalFormatting sqref="AA382:AA386">
    <cfRule type="containsBlanks" dxfId="833" priority="785" stopIfTrue="1">
      <formula>LEN(TRIM(AA382))=0</formula>
    </cfRule>
    <cfRule type="containsText" dxfId="832" priority="786" operator="containsText" text="NO">
      <formula>NOT(ISERROR(SEARCH("NO",AA382)))</formula>
    </cfRule>
    <cfRule type="containsText" dxfId="831" priority="787" operator="containsText" text="YES">
      <formula>NOT(ISERROR(SEARCH("YES",AA382)))</formula>
    </cfRule>
  </conditionalFormatting>
  <conditionalFormatting sqref="AA385:AA386">
    <cfRule type="expression" dxfId="830" priority="784">
      <formula>AND($C385=0,$C385&lt;&gt;"")</formula>
    </cfRule>
  </conditionalFormatting>
  <conditionalFormatting sqref="AA387:AA393">
    <cfRule type="containsBlanks" dxfId="829" priority="793" stopIfTrue="1">
      <formula>LEN(TRIM(AA387))=0</formula>
    </cfRule>
    <cfRule type="containsText" dxfId="828" priority="794" operator="containsText" text="NO">
      <formula>NOT(ISERROR(SEARCH("NO",AA387)))</formula>
    </cfRule>
    <cfRule type="containsText" dxfId="827" priority="795" operator="containsText" text="YES">
      <formula>NOT(ISERROR(SEARCH("YES",AA387)))</formula>
    </cfRule>
  </conditionalFormatting>
  <conditionalFormatting sqref="AA392:AA393">
    <cfRule type="expression" dxfId="826" priority="792">
      <formula>AND($C392=0,$C392&lt;&gt;"")</formula>
    </cfRule>
  </conditionalFormatting>
  <conditionalFormatting sqref="AA395">
    <cfRule type="containsBlanks" dxfId="825" priority="3092" stopIfTrue="1">
      <formula>LEN(TRIM(AA395))=0</formula>
    </cfRule>
    <cfRule type="containsText" dxfId="824" priority="3093" operator="containsText" text="NO">
      <formula>NOT(ISERROR(SEARCH("NO",AA395)))</formula>
    </cfRule>
    <cfRule type="containsText" dxfId="823" priority="3094" operator="containsText" text="YES">
      <formula>NOT(ISERROR(SEARCH("YES",AA395)))</formula>
    </cfRule>
  </conditionalFormatting>
  <conditionalFormatting sqref="AA400:AA402 AA422">
    <cfRule type="containsBlanks" dxfId="822" priority="551" stopIfTrue="1">
      <formula>LEN(TRIM(AA400))=0</formula>
    </cfRule>
    <cfRule type="containsText" dxfId="821" priority="552" operator="containsText" text="NO">
      <formula>NOT(ISERROR(SEARCH("NO",AA400)))</formula>
    </cfRule>
    <cfRule type="containsText" dxfId="820" priority="553" operator="containsText" text="YES">
      <formula>NOT(ISERROR(SEARCH("YES",AA400)))</formula>
    </cfRule>
  </conditionalFormatting>
  <conditionalFormatting sqref="AA403:AA409">
    <cfRule type="containsBlanks" dxfId="819" priority="526" stopIfTrue="1">
      <formula>LEN(TRIM(AA403))=0</formula>
    </cfRule>
    <cfRule type="containsText" dxfId="818" priority="527" operator="containsText" text="NO">
      <formula>NOT(ISERROR(SEARCH("NO",AA403)))</formula>
    </cfRule>
    <cfRule type="containsText" dxfId="817" priority="528" operator="containsText" text="YES">
      <formula>NOT(ISERROR(SEARCH("YES",AA403)))</formula>
    </cfRule>
  </conditionalFormatting>
  <conditionalFormatting sqref="AA411:AA412">
    <cfRule type="expression" dxfId="816" priority="493">
      <formula>AND($C411=0,$C411&lt;&gt;"")</formula>
    </cfRule>
  </conditionalFormatting>
  <conditionalFormatting sqref="AA411:AA418">
    <cfRule type="containsBlanks" dxfId="815" priority="311" stopIfTrue="1">
      <formula>LEN(TRIM(AA411))=0</formula>
    </cfRule>
    <cfRule type="containsText" dxfId="814" priority="312" operator="containsText" text="NO">
      <formula>NOT(ISERROR(SEARCH("NO",AA411)))</formula>
    </cfRule>
    <cfRule type="containsText" dxfId="813" priority="313" operator="containsText" text="YES">
      <formula>NOT(ISERROR(SEARCH("YES",AA411)))</formula>
    </cfRule>
  </conditionalFormatting>
  <conditionalFormatting sqref="AA416">
    <cfRule type="expression" dxfId="812" priority="314">
      <formula>AND($C416=0,$C416&lt;&gt;"")</formula>
    </cfRule>
  </conditionalFormatting>
  <conditionalFormatting sqref="AA426">
    <cfRule type="containsBlanks" dxfId="811" priority="276" stopIfTrue="1">
      <formula>LEN(TRIM(AA426))=0</formula>
    </cfRule>
    <cfRule type="containsText" dxfId="810" priority="277" operator="containsText" text="NO">
      <formula>NOT(ISERROR(SEARCH("NO",AA426)))</formula>
    </cfRule>
    <cfRule type="containsText" dxfId="809" priority="278" operator="containsText" text="YES">
      <formula>NOT(ISERROR(SEARCH("YES",AA426)))</formula>
    </cfRule>
    <cfRule type="expression" dxfId="808" priority="279">
      <formula>AND($C426=0,$C426&lt;&gt;"")</formula>
    </cfRule>
  </conditionalFormatting>
  <conditionalFormatting sqref="AB245:AB246">
    <cfRule type="expression" dxfId="807" priority="4019">
      <formula>AND($C245=0,$C245&lt;&gt;"")</formula>
    </cfRule>
  </conditionalFormatting>
  <conditionalFormatting sqref="AB284 AB287:AB288 AB306:AB307">
    <cfRule type="expression" dxfId="806" priority="315">
      <formula>AND($C284=0,$C284&lt;&gt;"")</formula>
    </cfRule>
  </conditionalFormatting>
  <conditionalFormatting sqref="AB333 AB387:AB392">
    <cfRule type="expression" dxfId="805" priority="323">
      <formula>AND($C333=0,$C333&lt;&gt;"")</formula>
    </cfRule>
  </conditionalFormatting>
  <conditionalFormatting sqref="AB346 AB413:AB415">
    <cfRule type="expression" dxfId="804" priority="320">
      <formula>AND($C346=0,$C346&lt;&gt;"")</formula>
    </cfRule>
  </conditionalFormatting>
  <conditionalFormatting sqref="AB252:AC252">
    <cfRule type="expression" dxfId="803" priority="661">
      <formula>AND($C252=0,$C252&lt;&gt;"")</formula>
    </cfRule>
  </conditionalFormatting>
  <conditionalFormatting sqref="AB254:AC255 AB264:AC265 AB270:AC271">
    <cfRule type="expression" dxfId="802" priority="337">
      <formula>AND($C254=0,$C254&lt;&gt;"")</formula>
    </cfRule>
  </conditionalFormatting>
  <conditionalFormatting sqref="AB331:AC331">
    <cfRule type="expression" dxfId="801" priority="487">
      <formula>AND($C331=0,$C331&lt;&gt;"")</formula>
    </cfRule>
  </conditionalFormatting>
  <conditionalFormatting sqref="AB343:AC344 AE343:AG344">
    <cfRule type="expression" dxfId="800" priority="966">
      <formula>AND($C343=0,$C343&lt;&gt;"")</formula>
    </cfRule>
  </conditionalFormatting>
  <conditionalFormatting sqref="AB393:AC393">
    <cfRule type="expression" dxfId="799" priority="486">
      <formula>AND($C393=0,$C393&lt;&gt;"")</formula>
    </cfRule>
  </conditionalFormatting>
  <conditionalFormatting sqref="AB420:AC420">
    <cfRule type="expression" dxfId="798" priority="280">
      <formula>AND($C420=0,$C420&lt;&gt;"")</formula>
    </cfRule>
  </conditionalFormatting>
  <conditionalFormatting sqref="AB382:AG386 C386:J386">
    <cfRule type="expression" dxfId="797" priority="2941">
      <formula>AND($C382=0,$C382&lt;&gt;"")</formula>
    </cfRule>
  </conditionalFormatting>
  <conditionalFormatting sqref="AC281 AC274:AC279">
    <cfRule type="expression" dxfId="796" priority="3808">
      <formula>AND($C274=0,$C274&lt;&gt;"")</formula>
    </cfRule>
  </conditionalFormatting>
  <conditionalFormatting sqref="AC287:AC288 AC306:AC307">
    <cfRule type="expression" dxfId="795" priority="356">
      <formula>AND($C287=0,$C287&lt;&gt;"")</formula>
    </cfRule>
  </conditionalFormatting>
  <conditionalFormatting sqref="AC333 AC387:AC392">
    <cfRule type="expression" dxfId="794" priority="476">
      <formula>AND($C333=0,$C333&lt;&gt;"")</formula>
    </cfRule>
  </conditionalFormatting>
  <conditionalFormatting sqref="AC346 AC413:AC415">
    <cfRule type="expression" dxfId="793" priority="479">
      <formula>AND($C346=0,$C346&lt;&gt;"")</formula>
    </cfRule>
  </conditionalFormatting>
  <conditionalFormatting sqref="AC380:AC381">
    <cfRule type="expression" dxfId="792" priority="2917">
      <formula>AND($C380=0,$C380&lt;&gt;"")</formula>
    </cfRule>
  </conditionalFormatting>
  <conditionalFormatting sqref="AC245:AF246 AC299:AC302">
    <cfRule type="expression" dxfId="791" priority="4443">
      <formula>AND($C245=0,$C245&lt;&gt;"")</formula>
    </cfRule>
  </conditionalFormatting>
  <conditionalFormatting sqref="AC294:AF294">
    <cfRule type="expression" dxfId="790" priority="4694">
      <formula>AND($C294=0,$C294&lt;&gt;"")</formula>
    </cfRule>
  </conditionalFormatting>
  <conditionalFormatting sqref="AD254:AD255 AD264:AD265 AD270:AD271">
    <cfRule type="expression" dxfId="789" priority="336">
      <formula>AND($C254=0,$C254&lt;&gt;"")</formula>
    </cfRule>
  </conditionalFormatting>
  <conditionalFormatting sqref="AD284 AD287:AD288 AD306:AD307">
    <cfRule type="expression" dxfId="788" priority="335">
      <formula>AND($C284=0,$C284&lt;&gt;"")</formula>
    </cfRule>
  </conditionalFormatting>
  <conditionalFormatting sqref="AD293">
    <cfRule type="expression" dxfId="787" priority="316">
      <formula>AND($C293=0,$C293&lt;&gt;"")</formula>
    </cfRule>
  </conditionalFormatting>
  <conditionalFormatting sqref="AD380:AG381 C380:J384">
    <cfRule type="expression" dxfId="786" priority="2919">
      <formula>AND($C380=0,$C380&lt;&gt;"")</formula>
    </cfRule>
  </conditionalFormatting>
  <conditionalFormatting sqref="AE92">
    <cfRule type="expression" dxfId="785" priority="3260">
      <formula>AND($C92=0,$C92&lt;&gt;"")</formula>
    </cfRule>
  </conditionalFormatting>
  <conditionalFormatting sqref="AE145">
    <cfRule type="expression" dxfId="784" priority="3262">
      <formula>AND($C145=0,$C145&lt;&gt;"")</formula>
    </cfRule>
  </conditionalFormatting>
  <conditionalFormatting sqref="AE387:AE391 AG387:AG391 C388:C390 I388:J390">
    <cfRule type="expression" dxfId="783" priority="2650">
      <formula>AND($C387=0,$C387&lt;&gt;"")</formula>
    </cfRule>
  </conditionalFormatting>
  <conditionalFormatting sqref="AE411:AE414">
    <cfRule type="expression" dxfId="782" priority="477">
      <formula>AND($C411=0,$C411&lt;&gt;"")</formula>
    </cfRule>
  </conditionalFormatting>
  <conditionalFormatting sqref="AE287:AF287">
    <cfRule type="expression" dxfId="781" priority="5016">
      <formula>AND($C287=0,$C287&lt;&gt;"")</formula>
    </cfRule>
  </conditionalFormatting>
  <conditionalFormatting sqref="AE254:AG255 C255:J255">
    <cfRule type="expression" dxfId="780" priority="1157">
      <formula>AND($C254=0,$C254&lt;&gt;"")</formula>
    </cfRule>
  </conditionalFormatting>
  <conditionalFormatting sqref="AE306:AG307 Z307">
    <cfRule type="expression" dxfId="779" priority="4608">
      <formula>AND($C306=0,$C306&lt;&gt;"")</formula>
    </cfRule>
  </conditionalFormatting>
  <conditionalFormatting sqref="AE326:AG329 AB328:AC329">
    <cfRule type="expression" dxfId="778" priority="2897">
      <formula>AND($C326=0,$C326&lt;&gt;"")</formula>
    </cfRule>
  </conditionalFormatting>
  <conditionalFormatting sqref="AG152:AG153">
    <cfRule type="expression" dxfId="777" priority="4872">
      <formula>AND($C152=0,$C152&lt;&gt;"")</formula>
    </cfRule>
  </conditionalFormatting>
  <conditionalFormatting sqref="AG287">
    <cfRule type="expression" dxfId="776" priority="5017">
      <formula>AND($C287=0,$C287&lt;&gt;"")</formula>
    </cfRule>
  </conditionalFormatting>
  <conditionalFormatting sqref="AG294">
    <cfRule type="expression" dxfId="775" priority="4726">
      <formula>AND($C294=0,$C294&lt;&gt;"")</formula>
    </cfRule>
  </conditionalFormatting>
  <conditionalFormatting sqref="XEI252:XET252 C252">
    <cfRule type="expression" dxfId="774" priority="687">
      <formula>AND($C252=0,$C252&lt;&gt;"")</formula>
    </cfRule>
  </conditionalFormatting>
  <conditionalFormatting sqref="C275:P275">
    <cfRule type="expression" dxfId="773" priority="265">
      <formula>AND($C275=0,$C275&lt;&gt;"")</formula>
    </cfRule>
  </conditionalFormatting>
  <conditionalFormatting sqref="M275:T275">
    <cfRule type="containsBlanks" dxfId="772" priority="275" stopIfTrue="1">
      <formula>LEN(TRIM(M275))=0</formula>
    </cfRule>
  </conditionalFormatting>
  <conditionalFormatting sqref="Z275:Z278">
    <cfRule type="containsBlanks" dxfId="771" priority="266" stopIfTrue="1">
      <formula>LEN(TRIM(Z275))=0</formula>
    </cfRule>
    <cfRule type="containsText" dxfId="770" priority="267" operator="containsText" text="NO">
      <formula>NOT(ISERROR(SEARCH("NO",Z275)))</formula>
    </cfRule>
    <cfRule type="containsText" dxfId="769" priority="268" operator="containsText" text="YES">
      <formula>NOT(ISERROR(SEARCH("YES",Z275)))</formula>
    </cfRule>
  </conditionalFormatting>
  <conditionalFormatting sqref="Z275:AA275">
    <cfRule type="containsText" dxfId="768" priority="273" operator="containsText" text="NO">
      <formula>NOT(ISERROR(SEARCH("NO",Z275)))</formula>
    </cfRule>
    <cfRule type="containsText" dxfId="767" priority="274" operator="containsText" text="YES">
      <formula>NOT(ISERROR(SEARCH("YES",Z275)))</formula>
    </cfRule>
  </conditionalFormatting>
  <conditionalFormatting sqref="Z275:AA275">
    <cfRule type="containsBlanks" dxfId="766" priority="272" stopIfTrue="1">
      <formula>LEN(TRIM(Z275))=0</formula>
    </cfRule>
  </conditionalFormatting>
  <conditionalFormatting sqref="Z275:AA275">
    <cfRule type="containsBlanks" dxfId="765" priority="269" stopIfTrue="1">
      <formula>LEN(TRIM(Z275))=0</formula>
    </cfRule>
    <cfRule type="containsText" dxfId="764" priority="270" operator="containsText" text="NO">
      <formula>NOT(ISERROR(SEARCH("NO",Z275)))</formula>
    </cfRule>
    <cfRule type="containsText" dxfId="763" priority="271" operator="containsText" text="YES">
      <formula>NOT(ISERROR(SEARCH("YES",Z275)))</formula>
    </cfRule>
  </conditionalFormatting>
  <conditionalFormatting sqref="C276:P276">
    <cfRule type="expression" dxfId="762" priority="257">
      <formula>AND($C276=0,$C276&lt;&gt;"")</formula>
    </cfRule>
  </conditionalFormatting>
  <conditionalFormatting sqref="M276:T276">
    <cfRule type="containsBlanks" dxfId="761" priority="264" stopIfTrue="1">
      <formula>LEN(TRIM(M276))=0</formula>
    </cfRule>
  </conditionalFormatting>
  <conditionalFormatting sqref="Z276:AA276">
    <cfRule type="containsText" dxfId="760" priority="262" operator="containsText" text="NO">
      <formula>NOT(ISERROR(SEARCH("NO",Z276)))</formula>
    </cfRule>
    <cfRule type="containsText" dxfId="759" priority="263" operator="containsText" text="YES">
      <formula>NOT(ISERROR(SEARCH("YES",Z276)))</formula>
    </cfRule>
  </conditionalFormatting>
  <conditionalFormatting sqref="Z276:AA276">
    <cfRule type="containsBlanks" dxfId="758" priority="261" stopIfTrue="1">
      <formula>LEN(TRIM(Z276))=0</formula>
    </cfRule>
  </conditionalFormatting>
  <conditionalFormatting sqref="Z276:AA276">
    <cfRule type="containsBlanks" dxfId="757" priority="258" stopIfTrue="1">
      <formula>LEN(TRIM(Z276))=0</formula>
    </cfRule>
    <cfRule type="containsText" dxfId="756" priority="259" operator="containsText" text="NO">
      <formula>NOT(ISERROR(SEARCH("NO",Z276)))</formula>
    </cfRule>
    <cfRule type="containsText" dxfId="755" priority="260" operator="containsText" text="YES">
      <formula>NOT(ISERROR(SEARCH("YES",Z276)))</formula>
    </cfRule>
  </conditionalFormatting>
  <conditionalFormatting sqref="C277:P277">
    <cfRule type="expression" dxfId="754" priority="249">
      <formula>AND($C277=0,$C277&lt;&gt;"")</formula>
    </cfRule>
  </conditionalFormatting>
  <conditionalFormatting sqref="M277:T277">
    <cfRule type="containsBlanks" dxfId="753" priority="256" stopIfTrue="1">
      <formula>LEN(TRIM(M277))=0</formula>
    </cfRule>
  </conditionalFormatting>
  <conditionalFormatting sqref="Z277:AA277">
    <cfRule type="containsText" dxfId="752" priority="254" operator="containsText" text="NO">
      <formula>NOT(ISERROR(SEARCH("NO",Z277)))</formula>
    </cfRule>
    <cfRule type="containsText" dxfId="751" priority="255" operator="containsText" text="YES">
      <formula>NOT(ISERROR(SEARCH("YES",Z277)))</formula>
    </cfRule>
  </conditionalFormatting>
  <conditionalFormatting sqref="Z277:AA277">
    <cfRule type="containsBlanks" dxfId="750" priority="253" stopIfTrue="1">
      <formula>LEN(TRIM(Z277))=0</formula>
    </cfRule>
  </conditionalFormatting>
  <conditionalFormatting sqref="Z277:AA277">
    <cfRule type="containsBlanks" dxfId="749" priority="250" stopIfTrue="1">
      <formula>LEN(TRIM(Z277))=0</formula>
    </cfRule>
    <cfRule type="containsText" dxfId="748" priority="251" operator="containsText" text="NO">
      <formula>NOT(ISERROR(SEARCH("NO",Z277)))</formula>
    </cfRule>
    <cfRule type="containsText" dxfId="747" priority="252" operator="containsText" text="YES">
      <formula>NOT(ISERROR(SEARCH("YES",Z277)))</formula>
    </cfRule>
  </conditionalFormatting>
  <conditionalFormatting sqref="C278:P278">
    <cfRule type="expression" dxfId="746" priority="241">
      <formula>AND($C278=0,$C278&lt;&gt;"")</formula>
    </cfRule>
  </conditionalFormatting>
  <conditionalFormatting sqref="M278:T278">
    <cfRule type="containsBlanks" dxfId="745" priority="248" stopIfTrue="1">
      <formula>LEN(TRIM(M278))=0</formula>
    </cfRule>
  </conditionalFormatting>
  <conditionalFormatting sqref="Z278:AA278">
    <cfRule type="containsText" dxfId="744" priority="246" operator="containsText" text="NO">
      <formula>NOT(ISERROR(SEARCH("NO",Z278)))</formula>
    </cfRule>
    <cfRule type="containsText" dxfId="743" priority="247" operator="containsText" text="YES">
      <formula>NOT(ISERROR(SEARCH("YES",Z278)))</formula>
    </cfRule>
  </conditionalFormatting>
  <conditionalFormatting sqref="Z278:AA278">
    <cfRule type="containsBlanks" dxfId="742" priority="245" stopIfTrue="1">
      <formula>LEN(TRIM(Z278))=0</formula>
    </cfRule>
  </conditionalFormatting>
  <conditionalFormatting sqref="Z278:AA278">
    <cfRule type="containsBlanks" dxfId="741" priority="242" stopIfTrue="1">
      <formula>LEN(TRIM(Z278))=0</formula>
    </cfRule>
    <cfRule type="containsText" dxfId="740" priority="243" operator="containsText" text="NO">
      <formula>NOT(ISERROR(SEARCH("NO",Z278)))</formula>
    </cfRule>
    <cfRule type="containsText" dxfId="739" priority="244" operator="containsText" text="YES">
      <formula>NOT(ISERROR(SEARCH("YES",Z278)))</formula>
    </cfRule>
  </conditionalFormatting>
  <conditionalFormatting sqref="X342:Y342">
    <cfRule type="expression" dxfId="738" priority="233">
      <formula>AND($C342=0,$C342&lt;&gt;"")</formula>
    </cfRule>
  </conditionalFormatting>
  <conditionalFormatting sqref="X342:Y342">
    <cfRule type="containsBlanks" dxfId="737" priority="234" stopIfTrue="1">
      <formula>LEN(TRIM(X342))=0</formula>
    </cfRule>
    <cfRule type="cellIs" dxfId="736" priority="235" operator="equal">
      <formula>4</formula>
    </cfRule>
    <cfRule type="cellIs" dxfId="735" priority="236" operator="equal">
      <formula>3</formula>
    </cfRule>
    <cfRule type="cellIs" dxfId="734" priority="237" operator="equal">
      <formula>2</formula>
    </cfRule>
    <cfRule type="cellIs" dxfId="733" priority="238" operator="equal">
      <formula>1</formula>
    </cfRule>
    <cfRule type="cellIs" dxfId="732" priority="239" operator="equal">
      <formula>0</formula>
    </cfRule>
  </conditionalFormatting>
  <conditionalFormatting sqref="AC342">
    <cfRule type="expression" dxfId="731" priority="240">
      <formula>AND($C342=0,$C342&lt;&gt;"")</formula>
    </cfRule>
  </conditionalFormatting>
  <conditionalFormatting sqref="Z342">
    <cfRule type="containsBlanks" dxfId="730" priority="230" stopIfTrue="1">
      <formula>LEN(TRIM(Z342))=0</formula>
    </cfRule>
    <cfRule type="containsText" dxfId="729" priority="231" operator="containsText" text="NO">
      <formula>NOT(ISERROR(SEARCH("NO",Z342)))</formula>
    </cfRule>
    <cfRule type="containsText" dxfId="728" priority="232" operator="containsText" text="YES">
      <formula>NOT(ISERROR(SEARCH("YES",Z342)))</formula>
    </cfRule>
  </conditionalFormatting>
  <conditionalFormatting sqref="C342:P342">
    <cfRule type="expression" dxfId="727" priority="222">
      <formula>AND($C342=0,$C342&lt;&gt;"")</formula>
    </cfRule>
  </conditionalFormatting>
  <conditionalFormatting sqref="M342:T342">
    <cfRule type="containsBlanks" dxfId="726" priority="229" stopIfTrue="1">
      <formula>LEN(TRIM(M342))=0</formula>
    </cfRule>
  </conditionalFormatting>
  <conditionalFormatting sqref="Z342:AA342">
    <cfRule type="containsText" dxfId="725" priority="227" operator="containsText" text="NO">
      <formula>NOT(ISERROR(SEARCH("NO",Z342)))</formula>
    </cfRule>
    <cfRule type="containsText" dxfId="724" priority="228" operator="containsText" text="YES">
      <formula>NOT(ISERROR(SEARCH("YES",Z342)))</formula>
    </cfRule>
  </conditionalFormatting>
  <conditionalFormatting sqref="Z342:AA342">
    <cfRule type="containsBlanks" dxfId="723" priority="226" stopIfTrue="1">
      <formula>LEN(TRIM(Z342))=0</formula>
    </cfRule>
  </conditionalFormatting>
  <conditionalFormatting sqref="Z342:AA342">
    <cfRule type="containsBlanks" dxfId="722" priority="223" stopIfTrue="1">
      <formula>LEN(TRIM(Z342))=0</formula>
    </cfRule>
    <cfRule type="containsText" dxfId="721" priority="224" operator="containsText" text="NO">
      <formula>NOT(ISERROR(SEARCH("NO",Z342)))</formula>
    </cfRule>
    <cfRule type="containsText" dxfId="720" priority="225" operator="containsText" text="YES">
      <formula>NOT(ISERROR(SEARCH("YES",Z342)))</formula>
    </cfRule>
  </conditionalFormatting>
  <conditionalFormatting sqref="Z410:AA410">
    <cfRule type="containsBlanks" dxfId="719" priority="219" stopIfTrue="1">
      <formula>LEN(TRIM(Z410))=0</formula>
    </cfRule>
    <cfRule type="containsText" dxfId="718" priority="220" operator="containsText" text="NO">
      <formula>NOT(ISERROR(SEARCH("NO",Z410)))</formula>
    </cfRule>
    <cfRule type="containsText" dxfId="717" priority="221" operator="containsText" text="YES">
      <formula>NOT(ISERROR(SEARCH("YES",Z410)))</formula>
    </cfRule>
  </conditionalFormatting>
  <conditionalFormatting sqref="Y429">
    <cfRule type="expression" dxfId="716" priority="61">
      <formula>AND($C429=0,$C429&lt;&gt;"")</formula>
    </cfRule>
  </conditionalFormatting>
  <conditionalFormatting sqref="B425">
    <cfRule type="expression" dxfId="715" priority="218">
      <formula>AND($C425=0,$C425&lt;&gt;"")</formula>
    </cfRule>
  </conditionalFormatting>
  <conditionalFormatting sqref="C425:I425">
    <cfRule type="expression" dxfId="714" priority="217">
      <formula>AND($C425=0,$C425&lt;&gt;"")</formula>
    </cfRule>
  </conditionalFormatting>
  <conditionalFormatting sqref="J425">
    <cfRule type="expression" dxfId="713" priority="202">
      <formula>AND($C425=0,$C425&lt;&gt;"")</formula>
    </cfRule>
  </conditionalFormatting>
  <conditionalFormatting sqref="K425:Y425">
    <cfRule type="expression" dxfId="712" priority="210">
      <formula>AND($C425=0,$C425&lt;&gt;"")</formula>
    </cfRule>
  </conditionalFormatting>
  <conditionalFormatting sqref="L425:X425">
    <cfRule type="containsBlanks" dxfId="711" priority="211" stopIfTrue="1">
      <formula>LEN(TRIM(L425))=0</formula>
    </cfRule>
  </conditionalFormatting>
  <conditionalFormatting sqref="L425:X425">
    <cfRule type="cellIs" dxfId="710" priority="212" operator="equal">
      <formula>4</formula>
    </cfRule>
    <cfRule type="cellIs" dxfId="709" priority="213" operator="equal">
      <formula>3</formula>
    </cfRule>
    <cfRule type="cellIs" dxfId="708" priority="214" operator="equal">
      <formula>2</formula>
    </cfRule>
    <cfRule type="cellIs" dxfId="707" priority="215" operator="equal">
      <formula>1</formula>
    </cfRule>
    <cfRule type="cellIs" dxfId="706" priority="216" operator="equal">
      <formula>0</formula>
    </cfRule>
  </conditionalFormatting>
  <conditionalFormatting sqref="Y425">
    <cfRule type="containsBlanks" dxfId="705" priority="206" stopIfTrue="1">
      <formula>LEN(TRIM(Y425))=0</formula>
    </cfRule>
    <cfRule type="containsText" dxfId="704" priority="207" operator="containsText" text="NO">
      <formula>NOT(ISERROR(SEARCH("NO",Y425)))</formula>
    </cfRule>
    <cfRule type="containsText" dxfId="703" priority="208" operator="containsText" text="YES">
      <formula>NOT(ISERROR(SEARCH("YES",Y425)))</formula>
    </cfRule>
  </conditionalFormatting>
  <conditionalFormatting sqref="Z425">
    <cfRule type="containsBlanks" dxfId="702" priority="203" stopIfTrue="1">
      <formula>LEN(TRIM(Z425))=0</formula>
    </cfRule>
    <cfRule type="containsText" dxfId="701" priority="204" operator="containsText" text="NO">
      <formula>NOT(ISERROR(SEARCH("NO",Z425)))</formula>
    </cfRule>
    <cfRule type="containsText" dxfId="700" priority="205" operator="containsText" text="YES">
      <formula>NOT(ISERROR(SEARCH("YES",Z425)))</formula>
    </cfRule>
  </conditionalFormatting>
  <conditionalFormatting sqref="AA425:AF425">
    <cfRule type="expression" dxfId="699" priority="209">
      <formula>AND($C425=0,$C425&lt;&gt;"")</formula>
    </cfRule>
  </conditionalFormatting>
  <conditionalFormatting sqref="M427:X427">
    <cfRule type="cellIs" dxfId="698" priority="197" operator="equal">
      <formula>4</formula>
    </cfRule>
    <cfRule type="cellIs" dxfId="697" priority="198" operator="equal">
      <formula>3</formula>
    </cfRule>
    <cfRule type="cellIs" dxfId="696" priority="199" operator="equal">
      <formula>2</formula>
    </cfRule>
    <cfRule type="cellIs" dxfId="695" priority="200" operator="equal">
      <formula>1</formula>
    </cfRule>
    <cfRule type="cellIs" dxfId="694" priority="201" operator="equal">
      <formula>0</formula>
    </cfRule>
  </conditionalFormatting>
  <conditionalFormatting sqref="S427">
    <cfRule type="expression" dxfId="693" priority="190">
      <formula>AND($C427=0,$C427&lt;&gt;"")</formula>
    </cfRule>
    <cfRule type="containsBlanks" dxfId="692" priority="191" stopIfTrue="1">
      <formula>LEN(TRIM(S427))=0</formula>
    </cfRule>
    <cfRule type="cellIs" dxfId="691" priority="192" operator="equal">
      <formula>4</formula>
    </cfRule>
    <cfRule type="cellIs" dxfId="690" priority="193" operator="equal">
      <formula>3</formula>
    </cfRule>
    <cfRule type="cellIs" dxfId="689" priority="194" operator="equal">
      <formula>2</formula>
    </cfRule>
    <cfRule type="cellIs" dxfId="688" priority="195" operator="equal">
      <formula>1</formula>
    </cfRule>
    <cfRule type="cellIs" dxfId="687" priority="196" operator="equal">
      <formula>0</formula>
    </cfRule>
  </conditionalFormatting>
  <conditionalFormatting sqref="M428:X428">
    <cfRule type="cellIs" dxfId="686" priority="185" operator="equal">
      <formula>4</formula>
    </cfRule>
    <cfRule type="cellIs" dxfId="685" priority="186" operator="equal">
      <formula>3</formula>
    </cfRule>
    <cfRule type="cellIs" dxfId="684" priority="187" operator="equal">
      <formula>2</formula>
    </cfRule>
    <cfRule type="cellIs" dxfId="683" priority="188" operator="equal">
      <formula>1</formula>
    </cfRule>
    <cfRule type="cellIs" dxfId="682" priority="189" operator="equal">
      <formula>0</formula>
    </cfRule>
  </conditionalFormatting>
  <conditionalFormatting sqref="S428">
    <cfRule type="expression" dxfId="681" priority="178">
      <formula>AND($C428=0,$C428&lt;&gt;"")</formula>
    </cfRule>
    <cfRule type="containsBlanks" dxfId="680" priority="179" stopIfTrue="1">
      <formula>LEN(TRIM(S428))=0</formula>
    </cfRule>
    <cfRule type="cellIs" dxfId="679" priority="180" operator="equal">
      <formula>4</formula>
    </cfRule>
    <cfRule type="cellIs" dxfId="678" priority="181" operator="equal">
      <formula>3</formula>
    </cfRule>
    <cfRule type="cellIs" dxfId="677" priority="182" operator="equal">
      <formula>2</formula>
    </cfRule>
    <cfRule type="cellIs" dxfId="676" priority="183" operator="equal">
      <formula>1</formula>
    </cfRule>
    <cfRule type="cellIs" dxfId="675" priority="184" operator="equal">
      <formula>0</formula>
    </cfRule>
  </conditionalFormatting>
  <conditionalFormatting sqref="M429:X429">
    <cfRule type="cellIs" dxfId="674" priority="173" operator="equal">
      <formula>4</formula>
    </cfRule>
    <cfRule type="cellIs" dxfId="673" priority="174" operator="equal">
      <formula>3</formula>
    </cfRule>
    <cfRule type="cellIs" dxfId="672" priority="175" operator="equal">
      <formula>2</formula>
    </cfRule>
    <cfRule type="cellIs" dxfId="671" priority="176" operator="equal">
      <formula>1</formula>
    </cfRule>
    <cfRule type="cellIs" dxfId="670" priority="177" operator="equal">
      <formula>0</formula>
    </cfRule>
  </conditionalFormatting>
  <conditionalFormatting sqref="S429">
    <cfRule type="expression" dxfId="669" priority="166">
      <formula>AND($C429=0,$C429&lt;&gt;"")</formula>
    </cfRule>
    <cfRule type="containsBlanks" dxfId="668" priority="167" stopIfTrue="1">
      <formula>LEN(TRIM(S429))=0</formula>
    </cfRule>
    <cfRule type="cellIs" dxfId="667" priority="168" operator="equal">
      <formula>4</formula>
    </cfRule>
    <cfRule type="cellIs" dxfId="666" priority="169" operator="equal">
      <formula>3</formula>
    </cfRule>
    <cfRule type="cellIs" dxfId="665" priority="170" operator="equal">
      <formula>2</formula>
    </cfRule>
    <cfRule type="cellIs" dxfId="664" priority="171" operator="equal">
      <formula>1</formula>
    </cfRule>
    <cfRule type="cellIs" dxfId="663" priority="172" operator="equal">
      <formula>0</formula>
    </cfRule>
  </conditionalFormatting>
  <conditionalFormatting sqref="M430:Y430">
    <cfRule type="cellIs" dxfId="662" priority="161" operator="equal">
      <formula>4</formula>
    </cfRule>
    <cfRule type="cellIs" dxfId="661" priority="162" operator="equal">
      <formula>3</formula>
    </cfRule>
    <cfRule type="cellIs" dxfId="660" priority="163" operator="equal">
      <formula>2</formula>
    </cfRule>
    <cfRule type="cellIs" dxfId="659" priority="164" operator="equal">
      <formula>1</formula>
    </cfRule>
    <cfRule type="cellIs" dxfId="658" priority="165" operator="equal">
      <formula>0</formula>
    </cfRule>
  </conditionalFormatting>
  <conditionalFormatting sqref="S430">
    <cfRule type="expression" dxfId="657" priority="154">
      <formula>AND($C430=0,$C430&lt;&gt;"")</formula>
    </cfRule>
    <cfRule type="containsBlanks" dxfId="656" priority="155" stopIfTrue="1">
      <formula>LEN(TRIM(S430))=0</formula>
    </cfRule>
    <cfRule type="cellIs" dxfId="655" priority="156" operator="equal">
      <formula>4</formula>
    </cfRule>
    <cfRule type="cellIs" dxfId="654" priority="157" operator="equal">
      <formula>3</formula>
    </cfRule>
    <cfRule type="cellIs" dxfId="653" priority="158" operator="equal">
      <formula>2</formula>
    </cfRule>
    <cfRule type="cellIs" dxfId="652" priority="159" operator="equal">
      <formula>1</formula>
    </cfRule>
    <cfRule type="cellIs" dxfId="651" priority="160" operator="equal">
      <formula>0</formula>
    </cfRule>
  </conditionalFormatting>
  <conditionalFormatting sqref="L431:Y431">
    <cfRule type="cellIs" dxfId="650" priority="149" operator="equal">
      <formula>4</formula>
    </cfRule>
    <cfRule type="cellIs" dxfId="649" priority="150" operator="equal">
      <formula>3</formula>
    </cfRule>
    <cfRule type="cellIs" dxfId="648" priority="151" operator="equal">
      <formula>2</formula>
    </cfRule>
    <cfRule type="cellIs" dxfId="647" priority="152" operator="equal">
      <formula>1</formula>
    </cfRule>
    <cfRule type="cellIs" dxfId="646" priority="153" operator="equal">
      <formula>0</formula>
    </cfRule>
  </conditionalFormatting>
  <conditionalFormatting sqref="W431:Y431">
    <cfRule type="expression" dxfId="645" priority="142">
      <formula>AND($C431=0,$C431&lt;&gt;"")</formula>
    </cfRule>
  </conditionalFormatting>
  <conditionalFormatting sqref="W431:Y431">
    <cfRule type="containsBlanks" dxfId="644" priority="143" stopIfTrue="1">
      <formula>LEN(TRIM(W431))=0</formula>
    </cfRule>
    <cfRule type="cellIs" dxfId="643" priority="144" operator="equal">
      <formula>4</formula>
    </cfRule>
    <cfRule type="cellIs" dxfId="642" priority="145" operator="equal">
      <formula>3</formula>
    </cfRule>
    <cfRule type="cellIs" dxfId="641" priority="146" operator="equal">
      <formula>2</formula>
    </cfRule>
    <cfRule type="cellIs" dxfId="640" priority="147" operator="equal">
      <formula>1</formula>
    </cfRule>
    <cfRule type="cellIs" dxfId="639" priority="148" operator="equal">
      <formula>0</formula>
    </cfRule>
  </conditionalFormatting>
  <conditionalFormatting sqref="Y431:AA431">
    <cfRule type="containsBlanks" dxfId="638" priority="139" stopIfTrue="1">
      <formula>LEN(TRIM(Y431))=0</formula>
    </cfRule>
    <cfRule type="containsText" dxfId="637" priority="140" operator="containsText" text="NO">
      <formula>NOT(ISERROR(SEARCH("NO",Y431)))</formula>
    </cfRule>
    <cfRule type="containsText" dxfId="636" priority="141" operator="containsText" text="YES">
      <formula>NOT(ISERROR(SEARCH("YES",Y431)))</formula>
    </cfRule>
  </conditionalFormatting>
  <conditionalFormatting sqref="Y410">
    <cfRule type="containsBlanks" dxfId="635" priority="132" stopIfTrue="1">
      <formula>LEN(TRIM(Y410))=0</formula>
    </cfRule>
    <cfRule type="cellIs" dxfId="634" priority="133" operator="equal">
      <formula>4</formula>
    </cfRule>
    <cfRule type="cellIs" dxfId="633" priority="134" operator="equal">
      <formula>3</formula>
    </cfRule>
    <cfRule type="cellIs" dxfId="632" priority="135" operator="equal">
      <formula>2</formula>
    </cfRule>
    <cfRule type="cellIs" dxfId="631" priority="136" operator="equal">
      <formula>1</formula>
    </cfRule>
    <cfRule type="cellIs" dxfId="630" priority="137" operator="equal">
      <formula>0</formula>
    </cfRule>
    <cfRule type="expression" dxfId="629" priority="138">
      <formula>AND($C410=0,$C410&lt;&gt;"")</formula>
    </cfRule>
  </conditionalFormatting>
  <conditionalFormatting sqref="Y424">
    <cfRule type="containsBlanks" dxfId="628" priority="125" stopIfTrue="1">
      <formula>LEN(TRIM(Y424))=0</formula>
    </cfRule>
    <cfRule type="cellIs" dxfId="627" priority="126" operator="equal">
      <formula>4</formula>
    </cfRule>
    <cfRule type="cellIs" dxfId="626" priority="127" operator="equal">
      <formula>3</formula>
    </cfRule>
    <cfRule type="cellIs" dxfId="625" priority="128" operator="equal">
      <formula>2</formula>
    </cfRule>
    <cfRule type="cellIs" dxfId="624" priority="129" operator="equal">
      <formula>1</formula>
    </cfRule>
    <cfRule type="cellIs" dxfId="623" priority="130" operator="equal">
      <formula>0</formula>
    </cfRule>
    <cfRule type="expression" dxfId="622" priority="131">
      <formula>AND($C424=0,$C424&lt;&gt;"")</formula>
    </cfRule>
  </conditionalFormatting>
  <conditionalFormatting sqref="Y424">
    <cfRule type="expression" dxfId="621" priority="118">
      <formula>AND($C424=0,$C424&lt;&gt;"")</formula>
    </cfRule>
  </conditionalFormatting>
  <conditionalFormatting sqref="Y424">
    <cfRule type="containsBlanks" dxfId="620" priority="119" stopIfTrue="1">
      <formula>LEN(TRIM(Y424))=0</formula>
    </cfRule>
    <cfRule type="cellIs" dxfId="619" priority="120" operator="equal">
      <formula>4</formula>
    </cfRule>
    <cfRule type="cellIs" dxfId="618" priority="121" operator="equal">
      <formula>3</formula>
    </cfRule>
    <cfRule type="cellIs" dxfId="617" priority="122" operator="equal">
      <formula>2</formula>
    </cfRule>
    <cfRule type="cellIs" dxfId="616" priority="123" operator="equal">
      <formula>1</formula>
    </cfRule>
    <cfRule type="cellIs" dxfId="615" priority="124" operator="equal">
      <formula>0</formula>
    </cfRule>
  </conditionalFormatting>
  <conditionalFormatting sqref="Y427">
    <cfRule type="cellIs" dxfId="614" priority="113" operator="equal">
      <formula>4</formula>
    </cfRule>
    <cfRule type="cellIs" dxfId="613" priority="114" operator="equal">
      <formula>3</formula>
    </cfRule>
    <cfRule type="cellIs" dxfId="612" priority="115" operator="equal">
      <formula>2</formula>
    </cfRule>
    <cfRule type="cellIs" dxfId="611" priority="116" operator="equal">
      <formula>1</formula>
    </cfRule>
    <cfRule type="cellIs" dxfId="610" priority="117" operator="equal">
      <formula>0</formula>
    </cfRule>
  </conditionalFormatting>
  <conditionalFormatting sqref="Y427">
    <cfRule type="containsBlanks" dxfId="609" priority="106" stopIfTrue="1">
      <formula>LEN(TRIM(Y427))=0</formula>
    </cfRule>
    <cfRule type="cellIs" dxfId="608" priority="107" operator="equal">
      <formula>4</formula>
    </cfRule>
    <cfRule type="cellIs" dxfId="607" priority="108" operator="equal">
      <formula>3</formula>
    </cfRule>
    <cfRule type="cellIs" dxfId="606" priority="109" operator="equal">
      <formula>2</formula>
    </cfRule>
    <cfRule type="cellIs" dxfId="605" priority="110" operator="equal">
      <formula>1</formula>
    </cfRule>
    <cfRule type="cellIs" dxfId="604" priority="111" operator="equal">
      <formula>0</formula>
    </cfRule>
    <cfRule type="expression" dxfId="603" priority="112">
      <formula>AND($C427=0,$C427&lt;&gt;"")</formula>
    </cfRule>
  </conditionalFormatting>
  <conditionalFormatting sqref="Y427">
    <cfRule type="expression" dxfId="602" priority="99">
      <formula>AND($C427=0,$C427&lt;&gt;"")</formula>
    </cfRule>
  </conditionalFormatting>
  <conditionalFormatting sqref="Y427">
    <cfRule type="containsBlanks" dxfId="601" priority="100" stopIfTrue="1">
      <formula>LEN(TRIM(Y427))=0</formula>
    </cfRule>
    <cfRule type="cellIs" dxfId="600" priority="101" operator="equal">
      <formula>4</formula>
    </cfRule>
    <cfRule type="cellIs" dxfId="599" priority="102" operator="equal">
      <formula>3</formula>
    </cfRule>
    <cfRule type="cellIs" dxfId="598" priority="103" operator="equal">
      <formula>2</formula>
    </cfRule>
    <cfRule type="cellIs" dxfId="597" priority="104" operator="equal">
      <formula>1</formula>
    </cfRule>
    <cfRule type="cellIs" dxfId="596" priority="105" operator="equal">
      <formula>0</formula>
    </cfRule>
  </conditionalFormatting>
  <conditionalFormatting sqref="Y428">
    <cfRule type="cellIs" dxfId="595" priority="94" operator="equal">
      <formula>4</formula>
    </cfRule>
    <cfRule type="cellIs" dxfId="594" priority="95" operator="equal">
      <formula>3</formula>
    </cfRule>
    <cfRule type="cellIs" dxfId="593" priority="96" operator="equal">
      <formula>2</formula>
    </cfRule>
    <cfRule type="cellIs" dxfId="592" priority="97" operator="equal">
      <formula>1</formula>
    </cfRule>
    <cfRule type="cellIs" dxfId="591" priority="98" operator="equal">
      <formula>0</formula>
    </cfRule>
  </conditionalFormatting>
  <conditionalFormatting sqref="Y428">
    <cfRule type="containsBlanks" dxfId="590" priority="87" stopIfTrue="1">
      <formula>LEN(TRIM(Y428))=0</formula>
    </cfRule>
    <cfRule type="cellIs" dxfId="589" priority="88" operator="equal">
      <formula>4</formula>
    </cfRule>
    <cfRule type="cellIs" dxfId="588" priority="89" operator="equal">
      <formula>3</formula>
    </cfRule>
    <cfRule type="cellIs" dxfId="587" priority="90" operator="equal">
      <formula>2</formula>
    </cfRule>
    <cfRule type="cellIs" dxfId="586" priority="91" operator="equal">
      <formula>1</formula>
    </cfRule>
    <cfRule type="cellIs" dxfId="585" priority="92" operator="equal">
      <formula>0</formula>
    </cfRule>
    <cfRule type="expression" dxfId="584" priority="93">
      <formula>AND($C428=0,$C428&lt;&gt;"")</formula>
    </cfRule>
  </conditionalFormatting>
  <conditionalFormatting sqref="Y428">
    <cfRule type="expression" dxfId="583" priority="80">
      <formula>AND($C428=0,$C428&lt;&gt;"")</formula>
    </cfRule>
  </conditionalFormatting>
  <conditionalFormatting sqref="Y428">
    <cfRule type="containsBlanks" dxfId="582" priority="81" stopIfTrue="1">
      <formula>LEN(TRIM(Y428))=0</formula>
    </cfRule>
    <cfRule type="cellIs" dxfId="581" priority="82" operator="equal">
      <formula>4</formula>
    </cfRule>
    <cfRule type="cellIs" dxfId="580" priority="83" operator="equal">
      <formula>3</formula>
    </cfRule>
    <cfRule type="cellIs" dxfId="579" priority="84" operator="equal">
      <formula>2</formula>
    </cfRule>
    <cfRule type="cellIs" dxfId="578" priority="85" operator="equal">
      <formula>1</formula>
    </cfRule>
    <cfRule type="cellIs" dxfId="577" priority="86" operator="equal">
      <formula>0</formula>
    </cfRule>
  </conditionalFormatting>
  <conditionalFormatting sqref="Y429">
    <cfRule type="cellIs" dxfId="576" priority="75" operator="equal">
      <formula>4</formula>
    </cfRule>
    <cfRule type="cellIs" dxfId="575" priority="76" operator="equal">
      <formula>3</formula>
    </cfRule>
    <cfRule type="cellIs" dxfId="574" priority="77" operator="equal">
      <formula>2</formula>
    </cfRule>
    <cfRule type="cellIs" dxfId="573" priority="78" operator="equal">
      <formula>1</formula>
    </cfRule>
    <cfRule type="cellIs" dxfId="572" priority="79" operator="equal">
      <formula>0</formula>
    </cfRule>
  </conditionalFormatting>
  <conditionalFormatting sqref="Y429">
    <cfRule type="containsBlanks" dxfId="571" priority="68" stopIfTrue="1">
      <formula>LEN(TRIM(Y429))=0</formula>
    </cfRule>
    <cfRule type="cellIs" dxfId="570" priority="69" operator="equal">
      <formula>4</formula>
    </cfRule>
    <cfRule type="cellIs" dxfId="569" priority="70" operator="equal">
      <formula>3</formula>
    </cfRule>
    <cfRule type="cellIs" dxfId="568" priority="71" operator="equal">
      <formula>2</formula>
    </cfRule>
    <cfRule type="cellIs" dxfId="567" priority="72" operator="equal">
      <formula>1</formula>
    </cfRule>
    <cfRule type="cellIs" dxfId="566" priority="73" operator="equal">
      <formula>0</formula>
    </cfRule>
    <cfRule type="expression" dxfId="565" priority="74">
      <formula>AND($C429=0,$C429&lt;&gt;"")</formula>
    </cfRule>
  </conditionalFormatting>
  <conditionalFormatting sqref="Y429">
    <cfRule type="containsBlanks" dxfId="564" priority="62" stopIfTrue="1">
      <formula>LEN(TRIM(Y429))=0</formula>
    </cfRule>
    <cfRule type="cellIs" dxfId="563" priority="63" operator="equal">
      <formula>4</formula>
    </cfRule>
    <cfRule type="cellIs" dxfId="562" priority="64" operator="equal">
      <formula>3</formula>
    </cfRule>
    <cfRule type="cellIs" dxfId="561" priority="65" operator="equal">
      <formula>2</formula>
    </cfRule>
    <cfRule type="cellIs" dxfId="560" priority="66" operator="equal">
      <formula>1</formula>
    </cfRule>
    <cfRule type="cellIs" dxfId="559" priority="67" operator="equal">
      <formula>0</formula>
    </cfRule>
  </conditionalFormatting>
  <conditionalFormatting sqref="L432">
    <cfRule type="cellIs" dxfId="558" priority="56" operator="equal">
      <formula>4</formula>
    </cfRule>
    <cfRule type="cellIs" dxfId="557" priority="57" operator="equal">
      <formula>3</formula>
    </cfRule>
    <cfRule type="cellIs" dxfId="556" priority="58" operator="equal">
      <formula>2</formula>
    </cfRule>
    <cfRule type="cellIs" dxfId="555" priority="59" operator="equal">
      <formula>1</formula>
    </cfRule>
    <cfRule type="cellIs" dxfId="554" priority="60" operator="equal">
      <formula>0</formula>
    </cfRule>
  </conditionalFormatting>
  <conditionalFormatting sqref="M432:Y432">
    <cfRule type="cellIs" dxfId="553" priority="51" operator="equal">
      <formula>4</formula>
    </cfRule>
    <cfRule type="cellIs" dxfId="552" priority="52" operator="equal">
      <formula>3</formula>
    </cfRule>
    <cfRule type="cellIs" dxfId="551" priority="53" operator="equal">
      <formula>2</formula>
    </cfRule>
    <cfRule type="cellIs" dxfId="550" priority="54" operator="equal">
      <formula>1</formula>
    </cfRule>
    <cfRule type="cellIs" dxfId="549" priority="55" operator="equal">
      <formula>0</formula>
    </cfRule>
  </conditionalFormatting>
  <conditionalFormatting sqref="W432:Y432">
    <cfRule type="expression" dxfId="548" priority="44">
      <formula>AND($C432=0,$C432&lt;&gt;"")</formula>
    </cfRule>
  </conditionalFormatting>
  <conditionalFormatting sqref="W432:Y432">
    <cfRule type="containsBlanks" dxfId="547" priority="45" stopIfTrue="1">
      <formula>LEN(TRIM(W432))=0</formula>
    </cfRule>
    <cfRule type="cellIs" dxfId="546" priority="46" operator="equal">
      <formula>4</formula>
    </cfRule>
    <cfRule type="cellIs" dxfId="545" priority="47" operator="equal">
      <formula>3</formula>
    </cfRule>
    <cfRule type="cellIs" dxfId="544" priority="48" operator="equal">
      <formula>2</formula>
    </cfRule>
    <cfRule type="cellIs" dxfId="543" priority="49" operator="equal">
      <formula>1</formula>
    </cfRule>
    <cfRule type="cellIs" dxfId="542" priority="50" operator="equal">
      <formula>0</formula>
    </cfRule>
  </conditionalFormatting>
  <conditionalFormatting sqref="Y432:AA432">
    <cfRule type="containsBlanks" dxfId="541" priority="41" stopIfTrue="1">
      <formula>LEN(TRIM(Y432))=0</formula>
    </cfRule>
    <cfRule type="containsText" dxfId="540" priority="42" operator="containsText" text="NO">
      <formula>NOT(ISERROR(SEARCH("NO",Y432)))</formula>
    </cfRule>
    <cfRule type="containsText" dxfId="539" priority="43" operator="containsText" text="YES">
      <formula>NOT(ISERROR(SEARCH("YES",Y432)))</formula>
    </cfRule>
  </conditionalFormatting>
  <conditionalFormatting sqref="L433">
    <cfRule type="cellIs" dxfId="538" priority="16" operator="equal">
      <formula>4</formula>
    </cfRule>
    <cfRule type="cellIs" dxfId="537" priority="17" operator="equal">
      <formula>3</formula>
    </cfRule>
    <cfRule type="cellIs" dxfId="536" priority="18" operator="equal">
      <formula>2</formula>
    </cfRule>
    <cfRule type="cellIs" dxfId="535" priority="19" operator="equal">
      <formula>1</formula>
    </cfRule>
    <cfRule type="cellIs" dxfId="534" priority="20" operator="equal">
      <formula>0</formula>
    </cfRule>
  </conditionalFormatting>
  <conditionalFormatting sqref="M433:Y433">
    <cfRule type="cellIs" dxfId="533" priority="11" operator="equal">
      <formula>4</formula>
    </cfRule>
    <cfRule type="cellIs" dxfId="532" priority="12" operator="equal">
      <formula>3</formula>
    </cfRule>
    <cfRule type="cellIs" dxfId="531" priority="13" operator="equal">
      <formula>2</formula>
    </cfRule>
    <cfRule type="cellIs" dxfId="530" priority="14" operator="equal">
      <formula>1</formula>
    </cfRule>
    <cfRule type="cellIs" dxfId="529" priority="15" operator="equal">
      <formula>0</formula>
    </cfRule>
  </conditionalFormatting>
  <conditionalFormatting sqref="W433:Y433">
    <cfRule type="expression" dxfId="528" priority="4">
      <formula>AND($C433=0,$C433&lt;&gt;"")</formula>
    </cfRule>
  </conditionalFormatting>
  <conditionalFormatting sqref="W433:Y433">
    <cfRule type="containsBlanks" dxfId="527" priority="5" stopIfTrue="1">
      <formula>LEN(TRIM(W433))=0</formula>
    </cfRule>
    <cfRule type="cellIs" dxfId="526" priority="6" operator="equal">
      <formula>4</formula>
    </cfRule>
    <cfRule type="cellIs" dxfId="525" priority="7" operator="equal">
      <formula>3</formula>
    </cfRule>
    <cfRule type="cellIs" dxfId="524" priority="8" operator="equal">
      <formula>2</formula>
    </cfRule>
    <cfRule type="cellIs" dxfId="523" priority="9" operator="equal">
      <formula>1</formula>
    </cfRule>
    <cfRule type="cellIs" dxfId="522" priority="10" operator="equal">
      <formula>0</formula>
    </cfRule>
  </conditionalFormatting>
  <conditionalFormatting sqref="Y433:AA433">
    <cfRule type="containsBlanks" dxfId="521" priority="1" stopIfTrue="1">
      <formula>LEN(TRIM(Y433))=0</formula>
    </cfRule>
    <cfRule type="containsText" dxfId="520" priority="2" operator="containsText" text="NO">
      <formula>NOT(ISERROR(SEARCH("NO",Y433)))</formula>
    </cfRule>
    <cfRule type="containsText" dxfId="519" priority="3" operator="containsText" text="YES">
      <formula>NOT(ISERROR(SEARCH("YES",Y433)))</formula>
    </cfRule>
  </conditionalFormatting>
  <hyperlinks>
    <hyperlink ref="AE218" r:id="rId1" xr:uid="{00000000-0004-0000-0000-000002000000}"/>
    <hyperlink ref="AE330" r:id="rId2" xr:uid="{00000000-0004-0000-0000-000005000000}"/>
    <hyperlink ref="AE234" r:id="rId3" xr:uid="{00000000-0004-0000-0000-000006000000}"/>
    <hyperlink ref="AE256" r:id="rId4" xr:uid="{00000000-0004-0000-0000-000007000000}"/>
    <hyperlink ref="AE323" r:id="rId5" xr:uid="{00000000-0004-0000-0000-000008000000}"/>
    <hyperlink ref="AE251" r:id="rId6" xr:uid="{00000000-0004-0000-0000-000009000000}"/>
    <hyperlink ref="AE324" r:id="rId7" xr:uid="{00000000-0004-0000-0000-00000A000000}"/>
    <hyperlink ref="AE250" r:id="rId8" xr:uid="{00000000-0004-0000-0000-00000B000000}"/>
    <hyperlink ref="AE325" r:id="rId9" xr:uid="{00000000-0004-0000-0000-00000C000000}"/>
    <hyperlink ref="AE263" r:id="rId10" xr:uid="{00000000-0004-0000-0000-00000D000000}"/>
    <hyperlink ref="AE332" r:id="rId11" xr:uid="{00000000-0004-0000-0000-000010000000}"/>
    <hyperlink ref="AD253" r:id="rId12" xr:uid="{00000000-0004-0000-0000-000011000000}"/>
    <hyperlink ref="AE253" r:id="rId13" xr:uid="{00000000-0004-0000-0000-000012000000}"/>
    <hyperlink ref="AE260" r:id="rId14" xr:uid="{00000000-0004-0000-0000-000013000000}"/>
    <hyperlink ref="AE261" r:id="rId15" xr:uid="{00000000-0004-0000-0000-000014000000}"/>
    <hyperlink ref="AE262" r:id="rId16" xr:uid="{00000000-0004-0000-0000-000015000000}"/>
    <hyperlink ref="AE269" r:id="rId17" xr:uid="{00000000-0004-0000-0000-000016000000}"/>
    <hyperlink ref="AE336" r:id="rId18" xr:uid="{00000000-0004-0000-0000-000017000000}"/>
    <hyperlink ref="AD56" r:id="rId19" xr:uid="{00000000-0004-0000-0000-000028000000}"/>
    <hyperlink ref="AE56" r:id="rId20" xr:uid="{00000000-0004-0000-0000-000029000000}"/>
    <hyperlink ref="AE72" r:id="rId21" xr:uid="{00000000-0004-0000-0000-00002E000000}"/>
    <hyperlink ref="AD90" r:id="rId22" xr:uid="{00000000-0004-0000-0000-00002F000000}"/>
    <hyperlink ref="AE90" r:id="rId23" xr:uid="{00000000-0004-0000-0000-000030000000}"/>
    <hyperlink ref="AE91" r:id="rId24" xr:uid="{00000000-0004-0000-0000-000031000000}"/>
    <hyperlink ref="AD112" r:id="rId25" xr:uid="{00000000-0004-0000-0000-000034000000}"/>
    <hyperlink ref="AE112" r:id="rId26" xr:uid="{00000000-0004-0000-0000-000035000000}"/>
    <hyperlink ref="AE292" r:id="rId27" xr:uid="{00000000-0004-0000-0000-00003E000000}"/>
    <hyperlink ref="AD154" r:id="rId28" xr:uid="{00000000-0004-0000-0000-000040000000}"/>
    <hyperlink ref="AE154" r:id="rId29" xr:uid="{00000000-0004-0000-0000-000041000000}"/>
    <hyperlink ref="AE216" r:id="rId30" xr:uid="{00000000-0004-0000-0000-000048000000}"/>
    <hyperlink ref="AE217" r:id="rId31" xr:uid="{00000000-0004-0000-0000-000049000000}"/>
    <hyperlink ref="AD236" r:id="rId32" xr:uid="{00000000-0004-0000-0000-00004B000000}"/>
    <hyperlink ref="AE236" r:id="rId33" xr:uid="{00000000-0004-0000-0000-00004C000000}"/>
    <hyperlink ref="AD216" r:id="rId34" xr:uid="{00000000-0004-0000-0000-000060000000}"/>
    <hyperlink ref="AD217" r:id="rId35" xr:uid="{00000000-0004-0000-0000-000061000000}"/>
    <hyperlink ref="AD241" r:id="rId36" xr:uid="{00000000-0004-0000-0000-000063000000}"/>
    <hyperlink ref="AD242" r:id="rId37" xr:uid="{00000000-0004-0000-0000-000064000000}"/>
    <hyperlink ref="AE241" r:id="rId38" xr:uid="{00000000-0004-0000-0000-000065000000}"/>
    <hyperlink ref="AE242" r:id="rId39" xr:uid="{00000000-0004-0000-0000-000066000000}"/>
    <hyperlink ref="AD258" r:id="rId40" xr:uid="{00000000-0004-0000-0000-000067000000}"/>
    <hyperlink ref="AD106:AD108" r:id="rId41" display="\\10.17.25.15\Administrative$\Reporting\Data_Reporting\Private\1. Projects\8. Sofia\3. Working Instructions\Sofia Manuals" xr:uid="{00000000-0004-0000-0000-000068000000}"/>
    <hyperlink ref="AD262" r:id="rId42" xr:uid="{00000000-0004-0000-0000-000069000000}"/>
    <hyperlink ref="AD269" r:id="rId43" xr:uid="{00000000-0004-0000-0000-00006A000000}"/>
    <hyperlink ref="AD272" r:id="rId44" xr:uid="{00000000-0004-0000-0000-00006B000000}"/>
    <hyperlink ref="AD198:AD199" r:id="rId45" display="\\10.17.25.15\Administrative$\Reporting\Data_Reporting\Private\1. Projects\8. Sofia\3. Working Instructions\Sofia Manuals" xr:uid="{00000000-0004-0000-0000-00006C000000}"/>
    <hyperlink ref="AD322" r:id="rId46" xr:uid="{00000000-0004-0000-0000-00006D000000}"/>
    <hyperlink ref="AD257" r:id="rId47" xr:uid="{00000000-0004-0000-0000-00006F000000}"/>
    <hyperlink ref="AE383" r:id="rId48" xr:uid="{00000000-0004-0000-0000-000070000000}"/>
    <hyperlink ref="AD382:AD386" r:id="rId49" display="\\10.17.25.15\Administrative$\Reporting\Data_Reporting\Private\1. Projects\8. Sofia\3. Working Instructions\Sofia Manuals" xr:uid="{00000000-0004-0000-0000-000071000000}"/>
    <hyperlink ref="AE386" r:id="rId50" xr:uid="{00000000-0004-0000-0000-000072000000}"/>
    <hyperlink ref="AE258" r:id="rId51" xr:uid="{00000000-0004-0000-0000-000073000000}"/>
    <hyperlink ref="AE322" r:id="rId52" xr:uid="{00000000-0004-0000-0000-000074000000}"/>
    <hyperlink ref="AE150" r:id="rId53" xr:uid="{00000000-0004-0000-0000-000075000000}"/>
    <hyperlink ref="AE151" r:id="rId54" xr:uid="{00000000-0004-0000-0000-000076000000}"/>
    <hyperlink ref="AE235" r:id="rId55" xr:uid="{00000000-0004-0000-0000-000077000000}"/>
    <hyperlink ref="AE272" r:id="rId56" xr:uid="{00000000-0004-0000-0000-000078000000}"/>
    <hyperlink ref="AE334" r:id="rId57" xr:uid="{00000000-0004-0000-0000-000079000000}"/>
    <hyperlink ref="AE257" r:id="rId58" xr:uid="{00000000-0004-0000-0000-00007A000000}"/>
    <hyperlink ref="AE259" r:id="rId59" xr:uid="{00000000-0004-0000-0000-00007B000000}"/>
    <hyperlink ref="AE335" r:id="rId60" xr:uid="{00000000-0004-0000-0000-00007C000000}"/>
    <hyperlink ref="AE382" r:id="rId61" xr:uid="{00000000-0004-0000-0000-00007D000000}"/>
    <hyperlink ref="AE384" r:id="rId62" xr:uid="{00000000-0004-0000-0000-00007E000000}"/>
    <hyperlink ref="AE385" r:id="rId63" xr:uid="{00000000-0004-0000-0000-00007F000000}"/>
    <hyperlink ref="AD218" r:id="rId64" xr:uid="{00000000-0004-0000-0000-000080000000}"/>
    <hyperlink ref="AD250" r:id="rId65" xr:uid="{00000000-0004-0000-0000-000088000000}"/>
    <hyperlink ref="AD251" r:id="rId66" xr:uid="{00000000-0004-0000-0000-000089000000}"/>
    <hyperlink ref="AD256" r:id="rId67" xr:uid="{00000000-0004-0000-0000-00008A000000}"/>
    <hyperlink ref="AD263" r:id="rId68" xr:uid="{00000000-0004-0000-0000-00008B000000}"/>
    <hyperlink ref="AD323" r:id="rId69" xr:uid="{00000000-0004-0000-0000-00008C000000}"/>
    <hyperlink ref="AD324" r:id="rId70" xr:uid="{00000000-0004-0000-0000-00008D000000}"/>
    <hyperlink ref="AD325" r:id="rId71" xr:uid="{00000000-0004-0000-0000-00008E000000}"/>
    <hyperlink ref="AD332" r:id="rId72" xr:uid="{00000000-0004-0000-0000-00008F000000}"/>
    <hyperlink ref="AD330" r:id="rId73" xr:uid="{00000000-0004-0000-0000-000090000000}"/>
    <hyperlink ref="AD234" r:id="rId74" xr:uid="{00000000-0004-0000-0000-000091000000}"/>
    <hyperlink ref="AE425" r:id="rId75" xr:uid="{E6014BEF-0D8C-444C-B2AA-5C12CAEA8FE0}"/>
    <hyperlink ref="AE416" r:id="rId76" xr:uid="{09782AC7-FDCE-434D-A0A8-D1FCACE6BE15}"/>
    <hyperlink ref="AD416" r:id="rId77" xr:uid="{60A78FDC-B264-41F1-8D2A-C85E3B7A26F0}"/>
    <hyperlink ref="AE415" r:id="rId78" xr:uid="{2D7B57D2-9919-4EF8-B5E9-C9FA57BD2719}"/>
    <hyperlink ref="AE414" r:id="rId79" xr:uid="{1ADB92CE-27C4-41FB-B949-B421695AF1A9}"/>
    <hyperlink ref="AE413" r:id="rId80" xr:uid="{9A746C35-5F87-455B-AE6A-8D8BEA522337}"/>
    <hyperlink ref="AD411:AD415" r:id="rId81" display="https://sitel.sharepoint.com/:o:/r/sites/EMEAREPORTINGPRIVATE/Projects/1.%20Site/7.%20Sofia/4.%20Working%20Instructions/Sofia%20Working%20Instructions" xr:uid="{499703CF-53AE-4B2D-B810-2A77463A9B33}"/>
    <hyperlink ref="AE412" r:id="rId82" xr:uid="{C9BC50EC-B122-4D5C-9E7C-D3C35A181586}"/>
    <hyperlink ref="AE411" r:id="rId83" xr:uid="{7B2A13E6-9473-4A51-A6F5-F58790B3EFA0}"/>
    <hyperlink ref="AE392" r:id="rId84" xr:uid="{A34D2146-F416-4A0D-A467-0A7D52752B8E}"/>
    <hyperlink ref="AE391" r:id="rId85" xr:uid="{1364B257-9858-4CDE-86B3-A1397A8F6D71}"/>
    <hyperlink ref="AE388" r:id="rId86" xr:uid="{3A3B7312-47FE-47A8-B075-D800C5691C83}"/>
    <hyperlink ref="AD392" r:id="rId87" xr:uid="{0E8FF1A9-4855-41EC-9AD3-6A30C468A1AC}"/>
    <hyperlink ref="AD391" r:id="rId88" xr:uid="{A94D39B2-C32B-4194-899A-3424CF6C9A9C}"/>
    <hyperlink ref="AD390" r:id="rId89" xr:uid="{FB83B395-5E91-4493-8B36-2A646FDEDE78}"/>
    <hyperlink ref="AD389" r:id="rId90" xr:uid="{14200E88-9E62-423C-99C6-9935D45BEE0F}"/>
    <hyperlink ref="AD388" r:id="rId91" xr:uid="{4A5DDC83-C136-4CB5-B9F2-DD06411469EA}"/>
    <hyperlink ref="AD387" r:id="rId92" xr:uid="{9C2AB327-5226-45D5-853A-77F799D563A0}"/>
    <hyperlink ref="AD393" r:id="rId93" xr:uid="{7ADA3D3B-0CF9-4858-B071-ADD9F1A6609F}"/>
    <hyperlink ref="AE393" r:id="rId94" xr:uid="{00000000-0004-0000-0000-000093000000}"/>
    <hyperlink ref="AE387" r:id="rId95" xr:uid="{00000000-0004-0000-0000-000086000000}"/>
    <hyperlink ref="AE363" display="https://sitel.sharepoint.com/sites/EMEAREPORTINGPRIVATE/_layouts/15/Doc.aspx?sourcedoc={471ad92b-ba4f-4834-be69-b1d16e0337fa}&amp;action=edit&amp;wd=target%28Kronos%20Paid%20Hours%20DMT.one%7Cd475d6d2-eead-4123-9ee3-38c73d641844%2FSummary%7C0b932b7b-d533-4954-a69" xr:uid="{00000000-0004-0000-0000-000097000000}"/>
    <hyperlink ref="AE362" display="https://sitel.sharepoint.com/sites/EMEAREPORTINGPRIVATE/_layouts/15/Doc.aspx?sourcedoc={471ad92b-ba4f-4834-be69-b1d16e0337fa}&amp;action=edit&amp;wd=target%28Kronos%20Paid%20Hours%20DMT.one%7Cd475d6d2-eead-4123-9ee3-38c73d641844%2FSummary%7C0b932b7b-d533-4954-a69" xr:uid="{00000000-0004-0000-0000-000096000000}"/>
    <hyperlink ref="AE346" r:id="rId96" xr:uid="{EE177D09-68E5-4FF5-96E3-3C5203963C75}"/>
    <hyperlink ref="AD346" r:id="rId97" xr:uid="{5BD453F4-F825-4000-B1AF-A75794D4FEB0}"/>
    <hyperlink ref="AE355" r:id="rId98" xr:uid="{00000000-0004-0000-0000-00005F000000}"/>
    <hyperlink ref="AE358" r:id="rId99" xr:uid="{00000000-0004-0000-0000-00005E000000}"/>
    <hyperlink ref="AE353" r:id="rId100" xr:uid="{00000000-0004-0000-0000-00005D000000}"/>
    <hyperlink ref="AE352" r:id="rId101" xr:uid="{00000000-0004-0000-0000-00005C000000}"/>
    <hyperlink ref="AE351" r:id="rId102" xr:uid="{00000000-0004-0000-0000-00005B000000}"/>
    <hyperlink ref="AE350" r:id="rId103" xr:uid="{00000000-0004-0000-0000-00005A000000}"/>
    <hyperlink ref="AE349" r:id="rId104" xr:uid="{00000000-0004-0000-0000-000059000000}"/>
    <hyperlink ref="AE348" r:id="rId105" xr:uid="{00000000-0004-0000-0000-000058000000}"/>
    <hyperlink ref="AE347" r:id="rId106" xr:uid="{00000000-0004-0000-0000-000057000000}"/>
    <hyperlink ref="AE344" r:id="rId107" xr:uid="{F4A95A65-DA37-4563-A243-51CE076CCDAE}"/>
    <hyperlink ref="AE343" r:id="rId108" xr:uid="{7F43787F-ADD8-4072-A333-6150CA49DAFE}"/>
    <hyperlink ref="AD343:AD344" r:id="rId109" display="https://sitel.sharepoint.com/:o:/r/sites/EMEAREPORTINGPRIVATE/Projects/1.%20Site/7.%20Sofia/4.%20Working%20Instructions/Sofia%20Working%20Instructions" xr:uid="{078857C5-B08B-4B36-ABEC-DE87A49EAB27}"/>
    <hyperlink ref="AD339:AD341" r:id="rId110" display="\\BG279K12FPS01\Administrative$\Reporting\Data_Reporting\Private\1. Projects\8. Sofia\3. Working Instructions\Sofia Manuals\ZF.one" xr:uid="{00000000-0004-0000-0000-00004E000000}"/>
    <hyperlink ref="AE342" r:id="rId111" xr:uid="{00000000-0004-0000-0000-00001D000000}"/>
    <hyperlink ref="AE341" r:id="rId112" xr:uid="{00000000-0004-0000-0000-00001C000000}"/>
    <hyperlink ref="AE340" r:id="rId113" xr:uid="{00000000-0004-0000-0000-00001B000000}"/>
    <hyperlink ref="AE339" r:id="rId114" xr:uid="{00000000-0004-0000-0000-00001A000000}"/>
    <hyperlink ref="AE338" r:id="rId115" xr:uid="{00000000-0004-0000-0000-000019000000}"/>
    <hyperlink ref="AE337" r:id="rId116" xr:uid="{00000000-0004-0000-0000-000018000000}"/>
    <hyperlink ref="AE333" r:id="rId117" xr:uid="{0510C959-E6A2-4DD4-AD62-12964DE9EE07}"/>
    <hyperlink ref="AD333" r:id="rId118" xr:uid="{896666F5-BADD-48C5-B952-736B0F4F6FEF}"/>
    <hyperlink ref="AD331" r:id="rId119" xr:uid="{B198D752-7AC5-448A-934D-285DF212FFDD}"/>
    <hyperlink ref="AE331" r:id="rId120" xr:uid="{00000000-0004-0000-0000-00000E000000}"/>
    <hyperlink ref="AD328" r:id="rId121" xr:uid="{4309C5B9-1D98-40B8-B2B8-5D63461B9445}"/>
    <hyperlink ref="AD329" r:id="rId122" xr:uid="{61F7C998-6116-42F8-9514-37BAECF7B5B5}"/>
    <hyperlink ref="AD326" r:id="rId123" xr:uid="{EE4F9EFA-3332-455D-BA4A-48726B35A34D}"/>
    <hyperlink ref="AD327" r:id="rId124" xr:uid="{BA8D359F-7059-4985-9B54-BAFDFABB6C65}"/>
    <hyperlink ref="AE327" r:id="rId125" xr:uid="{00000000-0004-0000-0000-00004A000000}"/>
    <hyperlink ref="AE326" r:id="rId126" xr:uid="{00000000-0004-0000-0000-000047000000}"/>
    <hyperlink ref="AE329" r:id="rId127" xr:uid="{00000000-0004-0000-0000-000004000000}"/>
    <hyperlink ref="AE328" r:id="rId128" xr:uid="{00000000-0004-0000-0000-000001000000}"/>
    <hyperlink ref="AE307" r:id="rId129" xr:uid="{9CE6FE3F-75B8-4021-BA16-8341B1DC6AC2}"/>
    <hyperlink ref="AE321" r:id="rId130" xr:uid="{00000000-0004-0000-0000-000056000000}"/>
    <hyperlink ref="AE318" r:id="rId131" xr:uid="{00000000-0004-0000-0000-000055000000}"/>
    <hyperlink ref="AE315" r:id="rId132" xr:uid="{00000000-0004-0000-0000-000054000000}"/>
    <hyperlink ref="AE314" r:id="rId133" xr:uid="{00000000-0004-0000-0000-000053000000}"/>
    <hyperlink ref="AE312" r:id="rId134" xr:uid="{00000000-0004-0000-0000-000052000000}"/>
    <hyperlink ref="AE310" r:id="rId135" xr:uid="{00000000-0004-0000-0000-000051000000}"/>
    <hyperlink ref="AE309" r:id="rId136" xr:uid="{00000000-0004-0000-0000-000050000000}"/>
    <hyperlink ref="AE308" r:id="rId137" xr:uid="{00000000-0004-0000-0000-00004F000000}"/>
    <hyperlink ref="AE306" r:id="rId138" xr:uid="{00000000-0004-0000-0000-000043000000}"/>
    <hyperlink ref="AE295" r:id="rId139" xr:uid="{00000000-0004-0000-0000-000024000000}"/>
    <hyperlink ref="AE296" r:id="rId140" xr:uid="{00000000-0004-0000-0000-000023000000}"/>
    <hyperlink ref="AE297" r:id="rId141" xr:uid="{00000000-0004-0000-0000-000022000000}"/>
    <hyperlink ref="AE298" r:id="rId142" xr:uid="{00000000-0004-0000-0000-000021000000}"/>
    <hyperlink ref="AE299" r:id="rId143" xr:uid="{00000000-0004-0000-0000-000020000000}"/>
    <hyperlink ref="AE300" r:id="rId144" xr:uid="{00000000-0004-0000-0000-00001F000000}"/>
    <hyperlink ref="AE301" r:id="rId145" xr:uid="{00000000-0004-0000-0000-00001E000000}"/>
    <hyperlink ref="AE293" r:id="rId146" xr:uid="{00000000-0004-0000-0000-00003F000000}"/>
    <hyperlink ref="AE291" display="https://sitel.sharepoint.com/sites/EMEAREPORTINGPRIVATE/_layouts/15/Doc.aspx?sourcedoc={0889a4c3-ad7f-4c45-b50b-a7468856193e}&amp;action=edit&amp;wd=target%28Untitled%20Section.one%7C86405021-ae12-4232-8a3a-27d77885c6de%2FSummary%7C02d53770-63d9-40b0-a741-e83b9f3" xr:uid="{00000000-0004-0000-0000-000095000000}"/>
    <hyperlink ref="AE288" r:id="rId147" xr:uid="{00000000-0004-0000-0000-00003D000000}"/>
    <hyperlink ref="AE287" r:id="rId148" xr:uid="{00000000-0004-0000-0000-00003C000000}"/>
    <hyperlink ref="AE284" r:id="rId149" xr:uid="{00000000-0004-0000-0000-00003B000000}"/>
    <hyperlink ref="AE279" r:id="rId150" xr:uid="{00000000-0004-0000-0000-000027000000}"/>
    <hyperlink ref="AE278" r:id="rId151" xr:uid="{00000000-0004-0000-0000-000026000000}"/>
    <hyperlink ref="AE280" r:id="rId152" xr:uid="{00000000-0004-0000-0000-000025000000}"/>
    <hyperlink ref="AE270" r:id="rId153" xr:uid="{00000000-0004-0000-0000-000037000000}"/>
    <hyperlink ref="AE271" r:id="rId154" xr:uid="{00000000-0004-0000-0000-000036000000}"/>
    <hyperlink ref="AE264" r:id="rId155" xr:uid="{37BE0E36-D802-4B17-B21C-9902EA3077DF}"/>
    <hyperlink ref="AE265" r:id="rId156" xr:uid="{A9597177-209A-480A-9C85-5E4D86BBECD7}"/>
    <hyperlink ref="AE267" r:id="rId157" xr:uid="{00000000-0004-0000-0000-000098000000}"/>
    <hyperlink ref="AE254" r:id="rId158" xr:uid="{1D0A8227-474C-47EE-A5C3-642AB06DCB07}"/>
    <hyperlink ref="AE255" r:id="rId159" xr:uid="{F3EE5072-B97B-450D-B489-B59FA1D83AF2}"/>
    <hyperlink ref="AD426" r:id="rId160" xr:uid="{92404EDE-C547-4B13-AA45-C4522716AFEF}"/>
    <hyperlink ref="AE426" r:id="rId161" xr:uid="{6AA0C6AE-2297-4B16-B875-0F0A9620C5CF}"/>
    <hyperlink ref="AD420" r:id="rId162" xr:uid="{E9478B42-20AD-4454-9BA3-F7881066DD99}"/>
    <hyperlink ref="AE389" r:id="rId163" xr:uid="{8DAE2B0D-B2CC-4093-B890-4B57E87E014E}"/>
    <hyperlink ref="AE390" r:id="rId164" xr:uid="{370A339F-2C74-447A-83AB-203333896159}"/>
    <hyperlink ref="AD410" r:id="rId165" display="https://sitel.sharepoint.com/sites/EMEAREPORTINGPRIVATE/_layouts/15/Doc.aspx?sourcedoc={1b61f683-a43c-4647-8970-c2ff9a81899f}&amp;action=edit&amp;wd=target%28Untitled%20Section.one%7Ccc0e5794-a221-4f47-9e2c-46824b8908b1%2FOverview%7C27f2e6e1-312e-428f-a4a9-e68b9a445352%2F%29&amp;wdorigin=NavigationUrl" xr:uid="{D8F2E43A-E797-43A9-8CE3-5892A6ADD4FE}"/>
    <hyperlink ref="AD424" r:id="rId166" display="https://sitel.sharepoint.com/sites/EMEAREPORTINGPRIVATE/_layouts/15/Doc.aspx?sourcedoc={a4c05416-6148-4630-a1cb-169ccb12e7d9}&amp;action=edit&amp;wd=target%28Untitled%20Section.one%7C896ae842-4b85-4ad5-88a8-efb0745f4c14%2FSummary%7C4b85afdf-66a3-4316-a281-3e8ce0956c9b%2F%29&amp;wdorigin=NavigationUrl" xr:uid="{B4AB8840-04B3-41DE-94B8-8B057AE62E25}"/>
    <hyperlink ref="AD427" r:id="rId167" display="https://sitel.sharepoint.com/sites/EMEAREPORTINGPRIVATE/_layouts/15/Doc.aspx?sourcedoc={a4c05416-6148-4630-a1cb-169ccb12e7d9}&amp;action=edit&amp;wd=target%28Untitled%20Section.one%7C896ae842-4b85-4ad5-88a8-efb0745f4c14%2FSummary%7C4b85afdf-66a3-4316-a281-3e8ce0956c9b%2F%29&amp;wdorigin=NavigationUrl" xr:uid="{D8BEEABA-1B2D-4982-B0F9-FB995613848E}"/>
    <hyperlink ref="AD428" r:id="rId168" display="https://sitel.sharepoint.com/sites/EMEAREPORTINGPRIVATE/_layouts/15/Doc.aspx?sourcedoc={a4c05416-6148-4630-a1cb-169ccb12e7d9}&amp;action=edit&amp;wd=target%28Untitled%20Section.one%7C896ae842-4b85-4ad5-88a8-efb0745f4c14%2FSummary%7C4b85afdf-66a3-4316-a281-3e8ce0956c9b%2F%29&amp;wdorigin=NavigationUrl" xr:uid="{4FBF00A5-E72D-477F-B667-980F137237B6}"/>
    <hyperlink ref="AD429" r:id="rId169" display="https://sitel.sharepoint.com/sites/EMEAREPORTINGPRIVATE/_layouts/15/Doc.aspx?sourcedoc={a4c05416-6148-4630-a1cb-169ccb12e7d9}&amp;action=edit&amp;wd=target%28Untitled%20Section.one%7C896ae842-4b85-4ad5-88a8-efb0745f4c14%2FSummary%7C4b85afdf-66a3-4316-a281-3e8ce0956c9b%2F%29&amp;wdorigin=NavigationUrl" xr:uid="{B37AE459-2E65-4C0F-9B90-A339C96E19ED}"/>
    <hyperlink ref="AD430" r:id="rId170" display="https://sitel.sharepoint.com/sites/EMEAREPORTINGPRIVATE/_layouts/15/Doc.aspx?sourcedoc={a4c05416-6148-4630-a1cb-169ccb12e7d9}&amp;action=edit&amp;wd=target%28Untitled%20Section.one%7C896ae842-4b85-4ad5-88a8-efb0745f4c14%2FSummary%7C4b85afdf-66a3-4316-a281-3e8ce0956c9b%2F%29&amp;wdorigin=NavigationUrl" xr:uid="{4A5BD42E-F8F9-44D5-A960-677917B9C6AF}"/>
    <hyperlink ref="AD431" r:id="rId171" display="https://sitel.sharepoint.com/sites/EMEAREPORTINGPRIVATE/_layouts/15/Doc.aspx?sourcedoc={1b61f683-a43c-4647-8970-c2ff9a81899f}&amp;action=edit&amp;wd=target%28Billing%20Analytics.one%7C27b537c2-f01f-4d18-80b3-1de193cf525e%2FOverview%7C297abd25-8270-4552-bbd2-cc51e9a7efff%2F%29&amp;wdorigin=NavigationUrl" xr:uid="{0B821E68-989D-4EEC-8776-EB5DC4DEF69B}"/>
    <hyperlink ref="AD432" r:id="rId172" display="https://sitel.sharepoint.com/sites/EMEAREPORTINGPRIVATE/_layouts/15/Doc.aspx?sourcedoc={1b61f683-a43c-4647-8970-c2ff9a81899f}&amp;action=edit&amp;wd=target%28Billing%20Summary.one%7C51ca08d1-07d7-4149-87a3-72c7f557086d%2FSummary%7Cb2ed8fa6-a3ab-4a87-ad45-af6a3215b3d7%2F%29&amp;wdorigin=NavigationUrl" xr:uid="{5A7C41AC-0BE1-4E7A-A71E-9BD9A41A66A9}"/>
    <hyperlink ref="AD433" r:id="rId173" display="https://sitel.sharepoint.com/sites/EMEAREPORTINGPRIVATE/_layouts/15/Doc.aspx?sourcedoc={1b61f683-a43c-4647-8970-c2ff9a81899f}&amp;action=edit&amp;wd=target%28Klarna%20Complete%20Roster.one%7C96deacfc-4855-4a5b-8c34-8f97cbb5178b%2FUntitled%20Page%7C0bd70e28-8327-4f8d-920c-9679034ae985%2F%29&amp;wdorigin=NavigationUrl" xr:uid="{6561FB92-ED23-447A-B55E-BBA04EC90137}"/>
  </hyperlinks>
  <pageMargins left="0.7" right="0.7" top="0.75" bottom="0.75" header="0.3" footer="0.3"/>
  <pageSetup paperSize="9" orientation="portrait" r:id="rId174"/>
  <ignoredErrors>
    <ignoredError sqref="B287:B345 B11:B284 B399 B346:B398" calculatedColumn="1"/>
  </ignoredErrors>
  <legacyDrawing r:id="rId175"/>
  <tableParts count="1">
    <tablePart r:id="rId17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AH43"/>
  <sheetViews>
    <sheetView showGridLines="0" zoomScale="85" zoomScaleNormal="85" workbookViewId="0"/>
  </sheetViews>
  <sheetFormatPr defaultRowHeight="15" x14ac:dyDescent="0.25"/>
  <cols>
    <col min="1" max="1" width="4.42578125" customWidth="1"/>
    <col min="4" max="4" width="42.42578125" bestFit="1" customWidth="1"/>
    <col min="5" max="5" width="16.42578125" bestFit="1" customWidth="1"/>
    <col min="6" max="6" width="35.42578125" bestFit="1" customWidth="1"/>
    <col min="7" max="7" width="7.42578125" customWidth="1"/>
    <col min="8" max="8" width="10.140625" customWidth="1"/>
    <col min="9" max="24" width="4.42578125" customWidth="1"/>
    <col min="26" max="29" width="18.42578125" customWidth="1"/>
    <col min="30" max="30" width="72.42578125" style="10" bestFit="1" customWidth="1"/>
  </cols>
  <sheetData>
    <row r="1" spans="2:34" ht="15.75" customHeight="1" thickBot="1" x14ac:dyDescent="0.3">
      <c r="N1" s="4" t="s">
        <v>0</v>
      </c>
      <c r="O1" s="142" t="s">
        <v>2</v>
      </c>
      <c r="P1" s="135"/>
      <c r="Q1" s="135"/>
      <c r="R1" s="19" t="s">
        <v>3</v>
      </c>
      <c r="S1" s="20"/>
      <c r="T1" s="20"/>
      <c r="U1" s="14"/>
      <c r="V1" s="14"/>
      <c r="W1" s="20"/>
      <c r="X1" s="20"/>
      <c r="Y1" s="20"/>
      <c r="Z1" s="14"/>
      <c r="AD1"/>
    </row>
    <row r="2" spans="2:34" ht="15.75" customHeight="1" thickBot="1" x14ac:dyDescent="0.3">
      <c r="N2" s="5">
        <v>0</v>
      </c>
      <c r="O2" s="143" t="s">
        <v>5</v>
      </c>
      <c r="P2" s="144"/>
      <c r="Q2" s="144"/>
      <c r="R2" s="21" t="s">
        <v>6</v>
      </c>
      <c r="S2" s="22"/>
      <c r="T2" s="22"/>
      <c r="U2" s="15"/>
      <c r="V2" s="15"/>
      <c r="W2" s="22"/>
      <c r="X2" s="22"/>
      <c r="Y2" s="22"/>
      <c r="Z2" s="15"/>
      <c r="AD2"/>
    </row>
    <row r="3" spans="2:34" ht="15.75" customHeight="1" thickBot="1" x14ac:dyDescent="0.3">
      <c r="N3" s="6">
        <v>1</v>
      </c>
      <c r="O3" s="145" t="s">
        <v>4</v>
      </c>
      <c r="P3" s="146"/>
      <c r="Q3" s="146"/>
      <c r="R3" s="23" t="s">
        <v>7</v>
      </c>
      <c r="S3" s="24"/>
      <c r="T3" s="24"/>
      <c r="U3" s="16"/>
      <c r="V3" s="16"/>
      <c r="W3" s="24"/>
      <c r="X3" s="24"/>
      <c r="Y3" s="24"/>
      <c r="Z3" s="16"/>
      <c r="AD3"/>
    </row>
    <row r="4" spans="2:34" ht="15.75" customHeight="1" thickBot="1" x14ac:dyDescent="0.3">
      <c r="D4" s="136" t="s">
        <v>231</v>
      </c>
      <c r="E4" s="136"/>
      <c r="F4" s="136"/>
      <c r="G4" s="136"/>
      <c r="N4" s="7">
        <v>2</v>
      </c>
      <c r="O4" s="147" t="s">
        <v>1</v>
      </c>
      <c r="P4" s="148"/>
      <c r="Q4" s="148"/>
      <c r="R4" s="25" t="s">
        <v>26</v>
      </c>
      <c r="S4" s="26"/>
      <c r="T4" s="26"/>
      <c r="U4" s="11"/>
      <c r="V4" s="11"/>
      <c r="W4" s="26"/>
      <c r="X4" s="26"/>
      <c r="Y4" s="26"/>
      <c r="Z4" s="11"/>
      <c r="AD4"/>
    </row>
    <row r="5" spans="2:34" ht="15.75" customHeight="1" thickBot="1" x14ac:dyDescent="0.3">
      <c r="D5" s="136"/>
      <c r="E5" s="136"/>
      <c r="F5" s="136"/>
      <c r="G5" s="136"/>
      <c r="N5" s="8">
        <v>3</v>
      </c>
      <c r="O5" s="149" t="s">
        <v>8</v>
      </c>
      <c r="P5" s="150"/>
      <c r="Q5" s="150"/>
      <c r="R5" s="27" t="s">
        <v>24</v>
      </c>
      <c r="S5" s="28"/>
      <c r="T5" s="28"/>
      <c r="U5" s="12"/>
      <c r="V5" s="12"/>
      <c r="W5" s="28"/>
      <c r="X5" s="28"/>
      <c r="Y5" s="28"/>
      <c r="Z5" s="12"/>
      <c r="AD5"/>
    </row>
    <row r="6" spans="2:34" ht="15.75" customHeight="1" thickBot="1" x14ac:dyDescent="0.3">
      <c r="D6" s="136"/>
      <c r="E6" s="136"/>
      <c r="F6" s="136"/>
      <c r="G6" s="136"/>
      <c r="N6" s="9">
        <v>4</v>
      </c>
      <c r="O6" s="151" t="s">
        <v>9</v>
      </c>
      <c r="P6" s="152"/>
      <c r="Q6" s="152"/>
      <c r="R6" s="29" t="s">
        <v>25</v>
      </c>
      <c r="S6" s="30"/>
      <c r="T6" s="30"/>
      <c r="U6" s="13"/>
      <c r="V6" s="13"/>
      <c r="W6" s="30"/>
      <c r="X6" s="30"/>
      <c r="Y6" s="30"/>
      <c r="Z6" s="13"/>
      <c r="AD6"/>
    </row>
    <row r="7" spans="2:34" ht="14.45" customHeight="1" x14ac:dyDescent="0.25">
      <c r="D7" s="136"/>
      <c r="E7" s="136"/>
      <c r="F7" s="136"/>
      <c r="G7" s="136"/>
      <c r="AA7" s="10"/>
      <c r="AB7" s="10"/>
      <c r="AD7"/>
    </row>
    <row r="8" spans="2:34" x14ac:dyDescent="0.25">
      <c r="AA8" s="10"/>
      <c r="AB8" s="10"/>
      <c r="AD8"/>
    </row>
    <row r="9" spans="2:34" x14ac:dyDescent="0.25">
      <c r="AA9" s="10"/>
      <c r="AB9" s="10"/>
      <c r="AD9"/>
    </row>
    <row r="10" spans="2:34" ht="60.75" customHeight="1" thickBot="1" x14ac:dyDescent="0.3">
      <c r="B10" s="2" t="s">
        <v>18</v>
      </c>
      <c r="C10" s="2" t="s">
        <v>188</v>
      </c>
      <c r="D10" s="2" t="s">
        <v>229</v>
      </c>
      <c r="E10" s="2" t="s">
        <v>233</v>
      </c>
      <c r="F10" s="2" t="s">
        <v>234</v>
      </c>
      <c r="G10" s="2" t="s">
        <v>230</v>
      </c>
      <c r="H10" s="2" t="s">
        <v>20</v>
      </c>
      <c r="I10" s="2" t="s">
        <v>10</v>
      </c>
      <c r="J10" s="2" t="s">
        <v>312</v>
      </c>
      <c r="K10" s="2" t="s">
        <v>331</v>
      </c>
      <c r="L10" s="2" t="s">
        <v>11</v>
      </c>
      <c r="M10" s="2" t="s">
        <v>12</v>
      </c>
      <c r="N10" s="2" t="s">
        <v>13</v>
      </c>
      <c r="O10" s="2" t="s">
        <v>94</v>
      </c>
      <c r="P10" s="2" t="s">
        <v>55</v>
      </c>
      <c r="Q10" s="2" t="s">
        <v>61</v>
      </c>
      <c r="R10" s="2" t="s">
        <v>62</v>
      </c>
      <c r="S10" s="2" t="s">
        <v>143</v>
      </c>
      <c r="T10" s="2" t="s">
        <v>165</v>
      </c>
      <c r="U10" s="2" t="s">
        <v>486</v>
      </c>
      <c r="V10" s="2" t="s">
        <v>502</v>
      </c>
      <c r="W10" s="2" t="s">
        <v>1049</v>
      </c>
      <c r="X10" s="2" t="s">
        <v>452</v>
      </c>
      <c r="Y10" s="2" t="s">
        <v>17</v>
      </c>
      <c r="Z10" s="2" t="s">
        <v>152</v>
      </c>
      <c r="AA10" s="2" t="s">
        <v>235</v>
      </c>
      <c r="AB10" s="2" t="s">
        <v>155</v>
      </c>
      <c r="AC10" s="2" t="s">
        <v>537</v>
      </c>
      <c r="AD10" s="3" t="s">
        <v>27</v>
      </c>
    </row>
    <row r="11" spans="2:34" ht="15.75" thickBot="1" x14ac:dyDescent="0.3">
      <c r="B11" s="1">
        <f>ROW()-10</f>
        <v>1</v>
      </c>
      <c r="C11" s="1">
        <v>1</v>
      </c>
      <c r="D11" s="1" t="s">
        <v>236</v>
      </c>
      <c r="E11" s="1" t="s">
        <v>237</v>
      </c>
      <c r="F11" s="1" t="s">
        <v>43</v>
      </c>
      <c r="G11" s="1" t="s">
        <v>62</v>
      </c>
      <c r="H11" s="1" t="s">
        <v>11</v>
      </c>
      <c r="I11" s="31">
        <v>4</v>
      </c>
      <c r="J11" s="31">
        <v>0</v>
      </c>
      <c r="K11" s="31">
        <v>0</v>
      </c>
      <c r="L11" s="31">
        <v>3</v>
      </c>
      <c r="M11" s="31">
        <v>0</v>
      </c>
      <c r="N11" s="31">
        <v>3</v>
      </c>
      <c r="O11" s="31">
        <v>3</v>
      </c>
      <c r="P11" s="31">
        <v>0</v>
      </c>
      <c r="Q11" s="31">
        <v>0</v>
      </c>
      <c r="R11" s="31">
        <v>4</v>
      </c>
      <c r="S11" s="31">
        <v>0</v>
      </c>
      <c r="T11" s="31">
        <v>0</v>
      </c>
      <c r="U11" s="48">
        <v>0</v>
      </c>
      <c r="V11" s="48">
        <v>0</v>
      </c>
      <c r="W11" s="48">
        <v>0</v>
      </c>
      <c r="X11" s="48">
        <v>0</v>
      </c>
      <c r="Y11" s="1" t="s">
        <v>21</v>
      </c>
      <c r="Z11" s="1" t="s">
        <v>21</v>
      </c>
      <c r="AA11" s="17">
        <v>43467</v>
      </c>
      <c r="AB11" s="18" t="s">
        <v>62</v>
      </c>
      <c r="AC11" s="125"/>
    </row>
    <row r="12" spans="2:34" ht="15.75" thickBot="1" x14ac:dyDescent="0.3">
      <c r="B12" s="1">
        <f t="shared" ref="B12:B20" si="0">ROW()-10</f>
        <v>2</v>
      </c>
      <c r="C12" s="1">
        <v>1</v>
      </c>
      <c r="D12" s="1" t="s">
        <v>240</v>
      </c>
      <c r="E12" s="1" t="s">
        <v>241</v>
      </c>
      <c r="F12" s="1" t="s">
        <v>43</v>
      </c>
      <c r="G12" s="1" t="s">
        <v>62</v>
      </c>
      <c r="H12" s="1" t="s">
        <v>11</v>
      </c>
      <c r="I12" s="31">
        <v>4</v>
      </c>
      <c r="J12" s="31">
        <v>0</v>
      </c>
      <c r="K12" s="31">
        <v>0</v>
      </c>
      <c r="L12" s="31">
        <v>4</v>
      </c>
      <c r="M12" s="31">
        <v>0</v>
      </c>
      <c r="N12" s="31">
        <v>0</v>
      </c>
      <c r="O12" s="31">
        <v>0</v>
      </c>
      <c r="P12" s="31">
        <v>0</v>
      </c>
      <c r="Q12" s="31">
        <v>0</v>
      </c>
      <c r="R12" s="31">
        <v>4</v>
      </c>
      <c r="S12" s="31">
        <v>0</v>
      </c>
      <c r="T12" s="31">
        <v>0</v>
      </c>
      <c r="U12" s="48">
        <v>0</v>
      </c>
      <c r="V12" s="48">
        <v>0</v>
      </c>
      <c r="W12" s="48">
        <v>0</v>
      </c>
      <c r="X12" s="48">
        <v>0</v>
      </c>
      <c r="Y12" s="1" t="s">
        <v>21</v>
      </c>
      <c r="Z12" s="1" t="s">
        <v>21</v>
      </c>
      <c r="AA12" s="17">
        <v>43650</v>
      </c>
      <c r="AB12" s="18" t="s">
        <v>62</v>
      </c>
      <c r="AC12" s="125"/>
      <c r="AE12" s="10"/>
    </row>
    <row r="13" spans="2:34" ht="15.75" hidden="1" thickBot="1" x14ac:dyDescent="0.3">
      <c r="B13" s="1">
        <f t="shared" si="0"/>
        <v>3</v>
      </c>
      <c r="C13" s="1">
        <v>0</v>
      </c>
      <c r="D13" s="1" t="s">
        <v>49</v>
      </c>
      <c r="E13" s="1" t="s">
        <v>30</v>
      </c>
      <c r="F13" s="1" t="s">
        <v>113</v>
      </c>
      <c r="G13" s="1" t="s">
        <v>486</v>
      </c>
      <c r="H13" s="1" t="s">
        <v>62</v>
      </c>
      <c r="I13" s="31">
        <v>4</v>
      </c>
      <c r="J13" s="31">
        <v>0</v>
      </c>
      <c r="K13" s="31">
        <v>0</v>
      </c>
      <c r="L13" s="31">
        <v>4</v>
      </c>
      <c r="M13" s="31">
        <v>0</v>
      </c>
      <c r="N13" s="31">
        <v>0</v>
      </c>
      <c r="O13" s="31">
        <v>0</v>
      </c>
      <c r="P13" s="31">
        <v>0</v>
      </c>
      <c r="Q13" s="31">
        <v>0</v>
      </c>
      <c r="R13" s="31">
        <v>3</v>
      </c>
      <c r="S13" s="31">
        <v>0</v>
      </c>
      <c r="T13" s="31">
        <v>0</v>
      </c>
      <c r="U13" s="48">
        <v>3</v>
      </c>
      <c r="V13" s="48">
        <v>2</v>
      </c>
      <c r="W13" s="48">
        <v>0</v>
      </c>
      <c r="X13" s="48">
        <v>0</v>
      </c>
      <c r="Y13" s="1" t="s">
        <v>21</v>
      </c>
      <c r="Z13" s="1" t="s">
        <v>21</v>
      </c>
      <c r="AA13" s="17" t="s">
        <v>242</v>
      </c>
      <c r="AB13" s="18" t="s">
        <v>11</v>
      </c>
      <c r="AC13" s="125"/>
      <c r="AE13" s="10"/>
      <c r="AG13" s="10"/>
    </row>
    <row r="14" spans="2:34" ht="15.75" hidden="1" thickBot="1" x14ac:dyDescent="0.3">
      <c r="B14" s="1">
        <f t="shared" si="0"/>
        <v>4</v>
      </c>
      <c r="C14" s="1">
        <v>0</v>
      </c>
      <c r="D14" s="1" t="s">
        <v>49</v>
      </c>
      <c r="E14" s="1" t="s">
        <v>202</v>
      </c>
      <c r="F14" s="1" t="s">
        <v>113</v>
      </c>
      <c r="G14" s="1" t="s">
        <v>486</v>
      </c>
      <c r="H14" s="1" t="s">
        <v>62</v>
      </c>
      <c r="I14" s="31">
        <v>4</v>
      </c>
      <c r="J14" s="31">
        <v>0</v>
      </c>
      <c r="K14" s="31">
        <v>0</v>
      </c>
      <c r="L14" s="31">
        <v>4</v>
      </c>
      <c r="M14" s="31">
        <v>0</v>
      </c>
      <c r="N14" s="31">
        <v>0</v>
      </c>
      <c r="O14" s="31">
        <v>0</v>
      </c>
      <c r="P14" s="31">
        <v>0</v>
      </c>
      <c r="Q14" s="31">
        <v>0</v>
      </c>
      <c r="R14" s="31">
        <v>3</v>
      </c>
      <c r="S14" s="31">
        <v>0</v>
      </c>
      <c r="T14" s="31">
        <v>0</v>
      </c>
      <c r="U14" s="48">
        <v>3</v>
      </c>
      <c r="V14" s="48">
        <v>2</v>
      </c>
      <c r="W14" s="48">
        <v>0</v>
      </c>
      <c r="X14" s="48">
        <v>0</v>
      </c>
      <c r="Y14" s="1" t="s">
        <v>21</v>
      </c>
      <c r="Z14" s="1" t="s">
        <v>21</v>
      </c>
      <c r="AA14" s="17" t="s">
        <v>242</v>
      </c>
      <c r="AB14" s="18" t="s">
        <v>11</v>
      </c>
      <c r="AC14" s="125"/>
      <c r="AE14" s="10"/>
      <c r="AG14" s="10"/>
      <c r="AH14" s="10"/>
    </row>
    <row r="15" spans="2:34" ht="15.75" hidden="1" thickBot="1" x14ac:dyDescent="0.3">
      <c r="B15" s="1">
        <f t="shared" si="0"/>
        <v>5</v>
      </c>
      <c r="C15" s="1">
        <v>0</v>
      </c>
      <c r="D15" s="1" t="s">
        <v>49</v>
      </c>
      <c r="E15" s="1" t="s">
        <v>196</v>
      </c>
      <c r="F15" s="1" t="s">
        <v>113</v>
      </c>
      <c r="G15" s="1" t="s">
        <v>486</v>
      </c>
      <c r="H15" s="1" t="s">
        <v>62</v>
      </c>
      <c r="I15" s="31">
        <v>4</v>
      </c>
      <c r="J15" s="31">
        <v>0</v>
      </c>
      <c r="K15" s="31">
        <v>0</v>
      </c>
      <c r="L15" s="31">
        <v>4</v>
      </c>
      <c r="M15" s="31">
        <v>0</v>
      </c>
      <c r="N15" s="31">
        <v>0</v>
      </c>
      <c r="O15" s="31">
        <v>0</v>
      </c>
      <c r="P15" s="31">
        <v>0</v>
      </c>
      <c r="Q15" s="31">
        <v>0</v>
      </c>
      <c r="R15" s="31">
        <v>3</v>
      </c>
      <c r="S15" s="31">
        <v>0</v>
      </c>
      <c r="T15" s="31">
        <v>0</v>
      </c>
      <c r="U15" s="48">
        <v>3</v>
      </c>
      <c r="V15" s="48">
        <v>2</v>
      </c>
      <c r="W15" s="48">
        <v>0</v>
      </c>
      <c r="X15" s="48">
        <v>0</v>
      </c>
      <c r="Y15" s="1" t="s">
        <v>21</v>
      </c>
      <c r="Z15" s="1" t="s">
        <v>21</v>
      </c>
      <c r="AA15" s="17" t="s">
        <v>242</v>
      </c>
      <c r="AB15" s="18" t="s">
        <v>11</v>
      </c>
      <c r="AC15" s="125"/>
      <c r="AE15" s="10"/>
      <c r="AG15" s="10"/>
      <c r="AH15" s="10"/>
    </row>
    <row r="16" spans="2:34" ht="15.75" hidden="1" thickBot="1" x14ac:dyDescent="0.3">
      <c r="B16" s="1">
        <f t="shared" si="0"/>
        <v>6</v>
      </c>
      <c r="C16" s="1">
        <v>0</v>
      </c>
      <c r="D16" s="1" t="s">
        <v>244</v>
      </c>
      <c r="E16" s="1" t="s">
        <v>202</v>
      </c>
      <c r="F16" s="1" t="s">
        <v>238</v>
      </c>
      <c r="G16" s="1" t="s">
        <v>486</v>
      </c>
      <c r="H16" s="1" t="s">
        <v>62</v>
      </c>
      <c r="I16" s="31">
        <v>4</v>
      </c>
      <c r="J16" s="31">
        <v>0</v>
      </c>
      <c r="K16" s="31">
        <v>0</v>
      </c>
      <c r="L16" s="31">
        <v>4</v>
      </c>
      <c r="M16" s="31">
        <v>0</v>
      </c>
      <c r="N16" s="31">
        <v>0</v>
      </c>
      <c r="O16" s="31">
        <v>0</v>
      </c>
      <c r="P16" s="31">
        <v>0</v>
      </c>
      <c r="Q16" s="31">
        <v>0</v>
      </c>
      <c r="R16" s="31">
        <v>3</v>
      </c>
      <c r="S16" s="31">
        <v>0</v>
      </c>
      <c r="T16" s="31">
        <v>0</v>
      </c>
      <c r="U16" s="48">
        <v>4</v>
      </c>
      <c r="V16" s="48">
        <v>4</v>
      </c>
      <c r="W16" s="48">
        <v>0</v>
      </c>
      <c r="X16" s="48">
        <v>0</v>
      </c>
      <c r="Y16" s="1" t="s">
        <v>21</v>
      </c>
      <c r="Z16" s="1" t="s">
        <v>21</v>
      </c>
      <c r="AA16" s="17">
        <v>43651</v>
      </c>
      <c r="AB16" s="18" t="s">
        <v>62</v>
      </c>
      <c r="AC16" s="125"/>
      <c r="AE16" s="10"/>
      <c r="AG16" s="10"/>
      <c r="AH16" s="10"/>
    </row>
    <row r="17" spans="2:34" ht="15.75" hidden="1" thickBot="1" x14ac:dyDescent="0.3">
      <c r="B17" s="1">
        <f t="shared" si="0"/>
        <v>7</v>
      </c>
      <c r="C17" s="1">
        <v>0</v>
      </c>
      <c r="D17" s="1" t="s">
        <v>239</v>
      </c>
      <c r="E17" s="1" t="s">
        <v>30</v>
      </c>
      <c r="F17" s="1" t="s">
        <v>113</v>
      </c>
      <c r="G17" s="1" t="s">
        <v>11</v>
      </c>
      <c r="H17" s="1" t="s">
        <v>62</v>
      </c>
      <c r="I17" s="31">
        <v>4</v>
      </c>
      <c r="J17" s="31">
        <v>0</v>
      </c>
      <c r="K17" s="31">
        <v>0</v>
      </c>
      <c r="L17" s="31">
        <v>4</v>
      </c>
      <c r="M17" s="31">
        <v>0</v>
      </c>
      <c r="N17" s="31">
        <v>2</v>
      </c>
      <c r="O17" s="31">
        <v>0</v>
      </c>
      <c r="P17" s="31">
        <v>0</v>
      </c>
      <c r="Q17" s="31">
        <v>0</v>
      </c>
      <c r="R17" s="31">
        <v>3</v>
      </c>
      <c r="S17" s="31">
        <v>0</v>
      </c>
      <c r="T17" s="31">
        <v>0</v>
      </c>
      <c r="U17" s="48">
        <v>0</v>
      </c>
      <c r="V17" s="48">
        <v>0</v>
      </c>
      <c r="W17" s="48">
        <v>0</v>
      </c>
      <c r="X17" s="48">
        <v>0</v>
      </c>
      <c r="Y17" s="1" t="s">
        <v>21</v>
      </c>
      <c r="Z17" s="1" t="s">
        <v>21</v>
      </c>
      <c r="AA17" s="17" t="s">
        <v>242</v>
      </c>
      <c r="AB17" s="18" t="s">
        <v>11</v>
      </c>
      <c r="AC17" s="125"/>
      <c r="AE17" s="10"/>
      <c r="AG17" s="10"/>
      <c r="AH17" s="10"/>
    </row>
    <row r="18" spans="2:34" ht="15.75" thickBot="1" x14ac:dyDescent="0.3">
      <c r="B18" s="1">
        <f t="shared" si="0"/>
        <v>8</v>
      </c>
      <c r="C18" s="1">
        <v>1</v>
      </c>
      <c r="D18" s="1" t="s">
        <v>243</v>
      </c>
      <c r="E18" s="1" t="s">
        <v>30</v>
      </c>
      <c r="F18" s="1" t="s">
        <v>43</v>
      </c>
      <c r="G18" s="1" t="s">
        <v>62</v>
      </c>
      <c r="H18" s="1" t="s">
        <v>11</v>
      </c>
      <c r="I18" s="31">
        <v>4</v>
      </c>
      <c r="J18" s="31">
        <v>0</v>
      </c>
      <c r="K18" s="31">
        <v>0</v>
      </c>
      <c r="L18" s="31">
        <v>3</v>
      </c>
      <c r="M18" s="31">
        <v>0</v>
      </c>
      <c r="N18" s="31">
        <v>0</v>
      </c>
      <c r="O18" s="31">
        <v>0</v>
      </c>
      <c r="P18" s="31">
        <v>0</v>
      </c>
      <c r="Q18" s="31">
        <v>0</v>
      </c>
      <c r="R18" s="31">
        <v>0</v>
      </c>
      <c r="S18" s="31">
        <v>0</v>
      </c>
      <c r="T18" s="31">
        <v>0</v>
      </c>
      <c r="U18" s="48">
        <v>0</v>
      </c>
      <c r="V18" s="48">
        <v>0</v>
      </c>
      <c r="W18" s="48">
        <v>0</v>
      </c>
      <c r="X18" s="48">
        <v>0</v>
      </c>
      <c r="Y18" s="1" t="s">
        <v>21</v>
      </c>
      <c r="Z18" s="1" t="s">
        <v>21</v>
      </c>
      <c r="AA18" s="17" t="s">
        <v>242</v>
      </c>
      <c r="AB18" s="18" t="s">
        <v>62</v>
      </c>
      <c r="AC18" s="125"/>
      <c r="AE18" s="10"/>
    </row>
    <row r="19" spans="2:34" ht="15.75" hidden="1" thickBot="1" x14ac:dyDescent="0.3">
      <c r="B19" s="1">
        <f t="shared" si="0"/>
        <v>9</v>
      </c>
      <c r="C19" s="1">
        <v>0</v>
      </c>
      <c r="D19" s="1" t="s">
        <v>245</v>
      </c>
      <c r="E19" s="1" t="s">
        <v>91</v>
      </c>
      <c r="F19" s="1" t="s">
        <v>96</v>
      </c>
      <c r="G19" s="1" t="s">
        <v>1049</v>
      </c>
      <c r="H19" s="1" t="s">
        <v>452</v>
      </c>
      <c r="I19" s="31">
        <v>0</v>
      </c>
      <c r="J19" s="31">
        <v>3</v>
      </c>
      <c r="K19" s="31">
        <v>1</v>
      </c>
      <c r="L19" s="31">
        <v>0</v>
      </c>
      <c r="M19" s="31">
        <v>2</v>
      </c>
      <c r="N19" s="31">
        <v>0</v>
      </c>
      <c r="O19" s="31">
        <v>0</v>
      </c>
      <c r="P19" s="31">
        <v>0</v>
      </c>
      <c r="Q19" s="31">
        <v>4</v>
      </c>
      <c r="R19" s="31">
        <v>0</v>
      </c>
      <c r="S19" s="31">
        <v>0</v>
      </c>
      <c r="T19" s="31">
        <v>0</v>
      </c>
      <c r="U19" s="48">
        <v>0</v>
      </c>
      <c r="V19" s="48">
        <v>0</v>
      </c>
      <c r="W19" s="48">
        <v>4</v>
      </c>
      <c r="X19" s="48">
        <v>3</v>
      </c>
      <c r="Y19" s="1" t="s">
        <v>21</v>
      </c>
      <c r="Z19" s="1" t="s">
        <v>21</v>
      </c>
      <c r="AA19" s="17">
        <v>43617</v>
      </c>
      <c r="AB19" s="18" t="s">
        <v>61</v>
      </c>
      <c r="AC19" s="131" t="s">
        <v>1249</v>
      </c>
      <c r="AD19" s="10" t="s">
        <v>1076</v>
      </c>
      <c r="AE19" s="10"/>
    </row>
    <row r="20" spans="2:34" ht="15.75" hidden="1" thickBot="1" x14ac:dyDescent="0.3">
      <c r="B20" s="1">
        <f t="shared" si="0"/>
        <v>10</v>
      </c>
      <c r="C20" s="1">
        <v>0</v>
      </c>
      <c r="D20" s="1" t="s">
        <v>246</v>
      </c>
      <c r="E20" s="1" t="s">
        <v>91</v>
      </c>
      <c r="F20" s="1" t="s">
        <v>92</v>
      </c>
      <c r="G20" s="1" t="s">
        <v>1049</v>
      </c>
      <c r="H20" s="1" t="s">
        <v>452</v>
      </c>
      <c r="I20" s="31">
        <v>0</v>
      </c>
      <c r="J20" s="31">
        <v>0</v>
      </c>
      <c r="K20" s="31">
        <v>0</v>
      </c>
      <c r="L20" s="31">
        <v>0</v>
      </c>
      <c r="M20" s="31">
        <v>0</v>
      </c>
      <c r="N20" s="31">
        <v>0</v>
      </c>
      <c r="O20" s="31">
        <v>0</v>
      </c>
      <c r="P20" s="31">
        <v>0</v>
      </c>
      <c r="Q20" s="31">
        <v>3</v>
      </c>
      <c r="R20" s="31">
        <v>0</v>
      </c>
      <c r="S20" s="31">
        <v>0</v>
      </c>
      <c r="T20" s="31">
        <v>0</v>
      </c>
      <c r="U20" s="48">
        <v>0</v>
      </c>
      <c r="V20" s="48">
        <v>0</v>
      </c>
      <c r="W20" s="48">
        <v>4</v>
      </c>
      <c r="X20" s="48">
        <v>3</v>
      </c>
      <c r="Y20" s="1" t="s">
        <v>21</v>
      </c>
      <c r="Z20" s="1" t="s">
        <v>21</v>
      </c>
      <c r="AA20" s="17">
        <v>43607</v>
      </c>
      <c r="AB20" s="18" t="s">
        <v>61</v>
      </c>
      <c r="AC20" s="131" t="s">
        <v>1051</v>
      </c>
      <c r="AD20" s="10" t="s">
        <v>1078</v>
      </c>
      <c r="AE20" s="10"/>
    </row>
    <row r="21" spans="2:34" ht="15.75" hidden="1" thickBot="1" x14ac:dyDescent="0.3">
      <c r="B21" s="1">
        <f t="shared" ref="B21:B30" si="1">ROW()-10</f>
        <v>11</v>
      </c>
      <c r="C21" s="1">
        <v>0</v>
      </c>
      <c r="D21" s="1" t="s">
        <v>247</v>
      </c>
      <c r="E21" s="1" t="s">
        <v>101</v>
      </c>
      <c r="F21" s="1" t="s">
        <v>118</v>
      </c>
      <c r="G21" s="1" t="s">
        <v>170</v>
      </c>
      <c r="H21" s="1" t="s">
        <v>61</v>
      </c>
      <c r="I21" s="31">
        <v>0</v>
      </c>
      <c r="J21" s="31">
        <v>0</v>
      </c>
      <c r="K21" s="31">
        <v>0</v>
      </c>
      <c r="L21" s="31">
        <v>0</v>
      </c>
      <c r="M21" s="31">
        <v>0</v>
      </c>
      <c r="N21" s="31">
        <v>0</v>
      </c>
      <c r="O21" s="31">
        <v>0</v>
      </c>
      <c r="P21" s="31">
        <v>0</v>
      </c>
      <c r="Q21" s="31">
        <v>4</v>
      </c>
      <c r="R21" s="31">
        <v>0</v>
      </c>
      <c r="S21" s="31">
        <v>0</v>
      </c>
      <c r="T21" s="31">
        <v>0</v>
      </c>
      <c r="U21" s="48">
        <v>0</v>
      </c>
      <c r="V21" s="48">
        <v>0</v>
      </c>
      <c r="W21" s="48">
        <v>3</v>
      </c>
      <c r="X21" s="48">
        <v>3</v>
      </c>
      <c r="Y21" s="1" t="s">
        <v>95</v>
      </c>
      <c r="Z21" s="1" t="s">
        <v>21</v>
      </c>
      <c r="AA21" s="17">
        <v>43642</v>
      </c>
      <c r="AB21" s="18" t="s">
        <v>61</v>
      </c>
      <c r="AC21" s="125"/>
      <c r="AE21" s="10"/>
    </row>
    <row r="22" spans="2:34" ht="15.75" hidden="1" thickBot="1" x14ac:dyDescent="0.3">
      <c r="B22" s="1">
        <f t="shared" si="1"/>
        <v>12</v>
      </c>
      <c r="C22" s="1">
        <v>0</v>
      </c>
      <c r="D22" s="1" t="s">
        <v>354</v>
      </c>
      <c r="E22" s="1" t="s">
        <v>101</v>
      </c>
      <c r="F22" s="1" t="s">
        <v>118</v>
      </c>
      <c r="G22" s="1" t="s">
        <v>61</v>
      </c>
      <c r="H22" s="1" t="s">
        <v>170</v>
      </c>
      <c r="I22" s="31">
        <v>0</v>
      </c>
      <c r="J22" s="31">
        <v>0</v>
      </c>
      <c r="K22" s="31">
        <v>0</v>
      </c>
      <c r="L22" s="31">
        <v>0</v>
      </c>
      <c r="M22" s="31">
        <v>0</v>
      </c>
      <c r="N22" s="31">
        <v>0</v>
      </c>
      <c r="O22" s="31">
        <v>0</v>
      </c>
      <c r="P22" s="31">
        <v>0</v>
      </c>
      <c r="Q22" s="31">
        <v>4</v>
      </c>
      <c r="R22" s="31">
        <v>0</v>
      </c>
      <c r="S22" s="31">
        <v>0</v>
      </c>
      <c r="T22" s="31">
        <v>0</v>
      </c>
      <c r="U22" s="48">
        <v>0</v>
      </c>
      <c r="V22" s="48">
        <v>0</v>
      </c>
      <c r="W22" s="48">
        <v>3</v>
      </c>
      <c r="X22" s="48">
        <v>3</v>
      </c>
      <c r="Y22" s="1" t="s">
        <v>32</v>
      </c>
      <c r="Z22" s="1" t="s">
        <v>32</v>
      </c>
      <c r="AA22" s="17">
        <v>43671</v>
      </c>
      <c r="AB22" s="18" t="s">
        <v>170</v>
      </c>
      <c r="AC22" s="125"/>
      <c r="AE22" s="10"/>
    </row>
    <row r="23" spans="2:34" ht="15.75" hidden="1" thickBot="1" x14ac:dyDescent="0.3">
      <c r="B23" s="1">
        <f t="shared" si="1"/>
        <v>13</v>
      </c>
      <c r="C23" s="1">
        <v>0</v>
      </c>
      <c r="D23" s="1" t="s">
        <v>351</v>
      </c>
      <c r="E23" s="1" t="s">
        <v>101</v>
      </c>
      <c r="F23" s="1" t="s">
        <v>1346</v>
      </c>
      <c r="G23" s="1" t="s">
        <v>1049</v>
      </c>
      <c r="H23" s="1"/>
      <c r="I23" s="31">
        <v>0</v>
      </c>
      <c r="J23" s="31">
        <v>2</v>
      </c>
      <c r="K23" s="31">
        <v>1</v>
      </c>
      <c r="L23" s="31">
        <v>0</v>
      </c>
      <c r="M23" s="31">
        <v>1</v>
      </c>
      <c r="N23" s="31">
        <v>0</v>
      </c>
      <c r="O23" s="31">
        <v>0</v>
      </c>
      <c r="P23" s="31">
        <v>0</v>
      </c>
      <c r="Q23" s="31">
        <v>4</v>
      </c>
      <c r="R23" s="31">
        <v>0</v>
      </c>
      <c r="S23" s="31">
        <v>0</v>
      </c>
      <c r="T23" s="31">
        <v>0</v>
      </c>
      <c r="U23" s="48">
        <v>0</v>
      </c>
      <c r="V23" s="48">
        <v>0</v>
      </c>
      <c r="W23" s="48">
        <v>4</v>
      </c>
      <c r="X23" s="48">
        <v>4</v>
      </c>
      <c r="Y23" s="1" t="s">
        <v>21</v>
      </c>
      <c r="Z23" s="1" t="s">
        <v>32</v>
      </c>
      <c r="AA23" s="17">
        <v>45027</v>
      </c>
      <c r="AB23" s="18" t="s">
        <v>1049</v>
      </c>
      <c r="AC23" s="131" t="s">
        <v>1051</v>
      </c>
      <c r="AD23" s="10" t="s">
        <v>1052</v>
      </c>
      <c r="AE23" s="10"/>
    </row>
    <row r="24" spans="2:34" ht="15.75" thickBot="1" x14ac:dyDescent="0.3">
      <c r="B24" s="1">
        <f t="shared" si="1"/>
        <v>14</v>
      </c>
      <c r="C24" s="1">
        <v>1</v>
      </c>
      <c r="D24" s="1" t="s">
        <v>350</v>
      </c>
      <c r="E24" s="1" t="s">
        <v>101</v>
      </c>
      <c r="F24" s="1" t="s">
        <v>104</v>
      </c>
      <c r="G24" s="1" t="s">
        <v>1049</v>
      </c>
      <c r="H24" s="1"/>
      <c r="I24" s="31">
        <v>0</v>
      </c>
      <c r="J24" s="31">
        <v>2</v>
      </c>
      <c r="K24" s="31">
        <v>1</v>
      </c>
      <c r="L24" s="31">
        <v>0</v>
      </c>
      <c r="M24" s="31">
        <v>1</v>
      </c>
      <c r="N24" s="31">
        <v>0</v>
      </c>
      <c r="O24" s="31">
        <v>0</v>
      </c>
      <c r="P24" s="31">
        <v>0</v>
      </c>
      <c r="Q24" s="31">
        <v>4</v>
      </c>
      <c r="R24" s="31">
        <v>0</v>
      </c>
      <c r="S24" s="31">
        <v>0</v>
      </c>
      <c r="T24" s="31">
        <v>0</v>
      </c>
      <c r="U24" s="48">
        <v>0</v>
      </c>
      <c r="V24" s="48">
        <v>0</v>
      </c>
      <c r="W24" s="48">
        <v>4</v>
      </c>
      <c r="X24" s="48">
        <v>4</v>
      </c>
      <c r="Y24" s="1" t="s">
        <v>21</v>
      </c>
      <c r="Z24" s="1" t="s">
        <v>21</v>
      </c>
      <c r="AA24" s="17">
        <v>45713</v>
      </c>
      <c r="AB24" s="18" t="s">
        <v>1049</v>
      </c>
      <c r="AC24" s="126" t="s">
        <v>1344</v>
      </c>
      <c r="AD24" s="10" t="s">
        <v>1052</v>
      </c>
      <c r="AE24" s="10"/>
    </row>
    <row r="25" spans="2:34" ht="15.75" hidden="1" thickBot="1" x14ac:dyDescent="0.3">
      <c r="B25" s="1">
        <f t="shared" si="1"/>
        <v>15</v>
      </c>
      <c r="C25" s="1">
        <v>0</v>
      </c>
      <c r="D25" s="1" t="s">
        <v>1075</v>
      </c>
      <c r="E25" s="1" t="s">
        <v>91</v>
      </c>
      <c r="F25" s="1" t="s">
        <v>96</v>
      </c>
      <c r="G25" s="1" t="s">
        <v>1049</v>
      </c>
      <c r="H25" s="1" t="s">
        <v>452</v>
      </c>
      <c r="I25" s="31">
        <v>0</v>
      </c>
      <c r="J25" s="31">
        <v>3</v>
      </c>
      <c r="K25" s="31">
        <v>1</v>
      </c>
      <c r="L25" s="31">
        <v>0</v>
      </c>
      <c r="M25" s="31">
        <v>2</v>
      </c>
      <c r="N25" s="31">
        <v>0</v>
      </c>
      <c r="O25" s="31">
        <v>0</v>
      </c>
      <c r="P25" s="31">
        <v>0</v>
      </c>
      <c r="Q25" s="31">
        <v>4</v>
      </c>
      <c r="R25" s="31">
        <v>0</v>
      </c>
      <c r="S25" s="31">
        <v>0</v>
      </c>
      <c r="T25" s="31">
        <v>0</v>
      </c>
      <c r="U25" s="48">
        <v>0</v>
      </c>
      <c r="V25" s="48">
        <v>0</v>
      </c>
      <c r="W25" s="48">
        <v>4</v>
      </c>
      <c r="X25" s="48">
        <v>3</v>
      </c>
      <c r="Y25" s="1" t="s">
        <v>21</v>
      </c>
      <c r="Z25" s="1" t="s">
        <v>21</v>
      </c>
      <c r="AA25" s="17">
        <v>43617</v>
      </c>
      <c r="AB25" s="18" t="s">
        <v>61</v>
      </c>
      <c r="AC25" s="131" t="s">
        <v>1249</v>
      </c>
      <c r="AD25" s="10" t="s">
        <v>1077</v>
      </c>
      <c r="AE25" s="10"/>
    </row>
    <row r="26" spans="2:34" ht="15.75" hidden="1" thickBot="1" x14ac:dyDescent="0.3">
      <c r="B26" s="1">
        <f t="shared" si="1"/>
        <v>16</v>
      </c>
      <c r="C26" s="1">
        <v>0</v>
      </c>
      <c r="D26" s="1" t="s">
        <v>355</v>
      </c>
      <c r="E26" s="1" t="s">
        <v>101</v>
      </c>
      <c r="F26" s="1" t="s">
        <v>118</v>
      </c>
      <c r="G26" s="1" t="s">
        <v>61</v>
      </c>
      <c r="H26" s="1" t="s">
        <v>170</v>
      </c>
      <c r="I26" s="31">
        <v>0</v>
      </c>
      <c r="J26" s="31">
        <v>0</v>
      </c>
      <c r="K26" s="31">
        <v>0</v>
      </c>
      <c r="L26" s="31">
        <v>0</v>
      </c>
      <c r="M26" s="31">
        <v>0</v>
      </c>
      <c r="N26" s="31">
        <v>0</v>
      </c>
      <c r="O26" s="31">
        <v>0</v>
      </c>
      <c r="P26" s="31">
        <v>0</v>
      </c>
      <c r="Q26" s="31">
        <v>4</v>
      </c>
      <c r="R26" s="31">
        <v>0</v>
      </c>
      <c r="S26" s="31">
        <v>0</v>
      </c>
      <c r="T26" s="31">
        <v>0</v>
      </c>
      <c r="U26" s="48">
        <v>0</v>
      </c>
      <c r="V26" s="48">
        <v>0</v>
      </c>
      <c r="W26" s="48">
        <v>3</v>
      </c>
      <c r="X26" s="48">
        <v>3</v>
      </c>
      <c r="Y26" s="1" t="s">
        <v>32</v>
      </c>
      <c r="Z26" s="1" t="s">
        <v>32</v>
      </c>
      <c r="AA26" s="17">
        <v>43937</v>
      </c>
      <c r="AB26" s="18" t="s">
        <v>61</v>
      </c>
      <c r="AC26" s="125"/>
      <c r="AE26" s="10"/>
    </row>
    <row r="27" spans="2:34" ht="15.75" hidden="1" thickBot="1" x14ac:dyDescent="0.3">
      <c r="B27" s="1">
        <f t="shared" si="1"/>
        <v>17</v>
      </c>
      <c r="C27" s="1">
        <v>0</v>
      </c>
      <c r="D27" s="1" t="s">
        <v>356</v>
      </c>
      <c r="E27" s="1" t="s">
        <v>101</v>
      </c>
      <c r="F27" s="1" t="s">
        <v>118</v>
      </c>
      <c r="G27" s="1" t="s">
        <v>61</v>
      </c>
      <c r="H27" s="1" t="s">
        <v>170</v>
      </c>
      <c r="I27" s="31">
        <v>0</v>
      </c>
      <c r="J27" s="31">
        <v>0</v>
      </c>
      <c r="K27" s="31">
        <v>0</v>
      </c>
      <c r="L27" s="31">
        <v>0</v>
      </c>
      <c r="M27" s="31">
        <v>0</v>
      </c>
      <c r="N27" s="31">
        <v>0</v>
      </c>
      <c r="O27" s="31">
        <v>0</v>
      </c>
      <c r="P27" s="31">
        <v>0</v>
      </c>
      <c r="Q27" s="31">
        <v>4</v>
      </c>
      <c r="R27" s="31">
        <v>0</v>
      </c>
      <c r="S27" s="31">
        <v>0</v>
      </c>
      <c r="T27" s="31">
        <v>0</v>
      </c>
      <c r="U27" s="48">
        <v>0</v>
      </c>
      <c r="V27" s="48">
        <v>0</v>
      </c>
      <c r="W27" s="48">
        <v>3</v>
      </c>
      <c r="X27" s="48">
        <v>3</v>
      </c>
      <c r="Y27" s="1" t="s">
        <v>32</v>
      </c>
      <c r="Z27" s="1" t="s">
        <v>32</v>
      </c>
      <c r="AA27" s="17">
        <v>44090</v>
      </c>
      <c r="AB27" s="18" t="s">
        <v>61</v>
      </c>
      <c r="AC27" s="125"/>
      <c r="AE27" s="10"/>
    </row>
    <row r="28" spans="2:34" ht="15.75" thickBot="1" x14ac:dyDescent="0.3">
      <c r="B28" s="1">
        <f t="shared" si="1"/>
        <v>18</v>
      </c>
      <c r="C28" s="1">
        <v>1</v>
      </c>
      <c r="D28" s="1" t="s">
        <v>359</v>
      </c>
      <c r="E28" s="1" t="s">
        <v>101</v>
      </c>
      <c r="F28" s="1" t="s">
        <v>282</v>
      </c>
      <c r="G28" s="1" t="s">
        <v>1049</v>
      </c>
      <c r="H28" s="1"/>
      <c r="I28" s="31">
        <v>0</v>
      </c>
      <c r="J28" s="31">
        <v>3</v>
      </c>
      <c r="K28" s="31">
        <v>0</v>
      </c>
      <c r="L28" s="31">
        <v>0</v>
      </c>
      <c r="M28" s="31">
        <v>2</v>
      </c>
      <c r="N28" s="31">
        <v>0</v>
      </c>
      <c r="O28" s="31">
        <v>0</v>
      </c>
      <c r="P28" s="31">
        <v>0</v>
      </c>
      <c r="Q28" s="31">
        <v>4</v>
      </c>
      <c r="R28" s="31">
        <v>0</v>
      </c>
      <c r="S28" s="31">
        <v>0</v>
      </c>
      <c r="T28" s="31">
        <v>0</v>
      </c>
      <c r="U28" s="48">
        <v>0</v>
      </c>
      <c r="V28" s="48">
        <v>0</v>
      </c>
      <c r="W28" s="48">
        <v>4</v>
      </c>
      <c r="X28" s="48">
        <v>4</v>
      </c>
      <c r="Y28" s="1" t="s">
        <v>21</v>
      </c>
      <c r="Z28" s="1" t="s">
        <v>21</v>
      </c>
      <c r="AA28" s="17">
        <v>45701</v>
      </c>
      <c r="AB28" s="18" t="s">
        <v>1049</v>
      </c>
      <c r="AC28" s="126" t="s">
        <v>1344</v>
      </c>
      <c r="AD28" s="10" t="s">
        <v>1052</v>
      </c>
      <c r="AE28" s="10"/>
    </row>
    <row r="29" spans="2:34" ht="15.75" hidden="1" thickBot="1" x14ac:dyDescent="0.3">
      <c r="B29" s="1">
        <f t="shared" si="1"/>
        <v>19</v>
      </c>
      <c r="C29" s="1">
        <v>0</v>
      </c>
      <c r="D29" s="1" t="s">
        <v>358</v>
      </c>
      <c r="E29" s="1" t="s">
        <v>101</v>
      </c>
      <c r="F29" s="1" t="s">
        <v>282</v>
      </c>
      <c r="G29" s="1" t="s">
        <v>1049</v>
      </c>
      <c r="H29" s="1" t="s">
        <v>452</v>
      </c>
      <c r="I29" s="31">
        <v>0</v>
      </c>
      <c r="J29" s="31">
        <v>3</v>
      </c>
      <c r="K29" s="31">
        <v>0</v>
      </c>
      <c r="L29" s="31">
        <v>0</v>
      </c>
      <c r="M29" s="31">
        <v>2</v>
      </c>
      <c r="N29" s="31">
        <v>0</v>
      </c>
      <c r="O29" s="31">
        <v>0</v>
      </c>
      <c r="P29" s="31">
        <v>0</v>
      </c>
      <c r="Q29" s="31">
        <v>4</v>
      </c>
      <c r="R29" s="31">
        <v>0</v>
      </c>
      <c r="S29" s="31">
        <v>0</v>
      </c>
      <c r="T29" s="31">
        <v>0</v>
      </c>
      <c r="U29" s="48">
        <v>0</v>
      </c>
      <c r="V29" s="48">
        <v>0</v>
      </c>
      <c r="W29" s="48">
        <v>3</v>
      </c>
      <c r="X29" s="48">
        <v>3</v>
      </c>
      <c r="Y29" s="1" t="s">
        <v>32</v>
      </c>
      <c r="Z29" s="1" t="s">
        <v>32</v>
      </c>
      <c r="AA29" s="17">
        <v>44090</v>
      </c>
      <c r="AB29" s="18" t="s">
        <v>61</v>
      </c>
      <c r="AC29" s="131" t="s">
        <v>1051</v>
      </c>
      <c r="AD29" s="10" t="s">
        <v>1052</v>
      </c>
      <c r="AE29" s="10"/>
    </row>
    <row r="30" spans="2:34" ht="15.75" hidden="1" thickBot="1" x14ac:dyDescent="0.3">
      <c r="B30" s="1">
        <f t="shared" si="1"/>
        <v>20</v>
      </c>
      <c r="C30" s="1">
        <v>0</v>
      </c>
      <c r="D30" s="1" t="s">
        <v>360</v>
      </c>
      <c r="E30" s="1" t="s">
        <v>101</v>
      </c>
      <c r="F30" s="1" t="s">
        <v>282</v>
      </c>
      <c r="G30" s="1" t="s">
        <v>1049</v>
      </c>
      <c r="H30" s="1" t="s">
        <v>452</v>
      </c>
      <c r="I30" s="31">
        <v>0</v>
      </c>
      <c r="J30" s="31">
        <v>3</v>
      </c>
      <c r="K30" s="31">
        <v>0</v>
      </c>
      <c r="L30" s="31">
        <v>0</v>
      </c>
      <c r="M30" s="31">
        <v>2</v>
      </c>
      <c r="N30" s="31">
        <v>0</v>
      </c>
      <c r="O30" s="31">
        <v>0</v>
      </c>
      <c r="P30" s="31">
        <v>0</v>
      </c>
      <c r="Q30" s="31">
        <v>4</v>
      </c>
      <c r="R30" s="31">
        <v>0</v>
      </c>
      <c r="S30" s="31">
        <v>0</v>
      </c>
      <c r="T30" s="31">
        <v>0</v>
      </c>
      <c r="U30" s="48">
        <v>0</v>
      </c>
      <c r="V30" s="48">
        <v>0</v>
      </c>
      <c r="W30" s="48">
        <v>3</v>
      </c>
      <c r="X30" s="48">
        <v>3</v>
      </c>
      <c r="Y30" s="1" t="s">
        <v>32</v>
      </c>
      <c r="Z30" s="1" t="s">
        <v>32</v>
      </c>
      <c r="AA30" s="17">
        <v>44056</v>
      </c>
      <c r="AB30" s="18" t="s">
        <v>61</v>
      </c>
      <c r="AC30" s="131" t="s">
        <v>1051</v>
      </c>
      <c r="AD30" s="10" t="s">
        <v>1052</v>
      </c>
      <c r="AE30" s="10"/>
    </row>
    <row r="31" spans="2:34" ht="15.75" hidden="1" thickBot="1" x14ac:dyDescent="0.3">
      <c r="B31" s="1">
        <f t="shared" ref="B31:B38" si="2">ROW()-10</f>
        <v>21</v>
      </c>
      <c r="C31" s="1">
        <v>0</v>
      </c>
      <c r="D31" s="1" t="s">
        <v>1083</v>
      </c>
      <c r="E31" s="1" t="s">
        <v>91</v>
      </c>
      <c r="F31" s="1" t="s">
        <v>96</v>
      </c>
      <c r="G31" s="1" t="s">
        <v>1049</v>
      </c>
      <c r="H31" s="1" t="s">
        <v>452</v>
      </c>
      <c r="I31" s="31">
        <v>0</v>
      </c>
      <c r="J31" s="31">
        <v>3</v>
      </c>
      <c r="K31" s="31">
        <v>1</v>
      </c>
      <c r="L31" s="31">
        <v>0</v>
      </c>
      <c r="M31" s="31">
        <v>2</v>
      </c>
      <c r="N31" s="31">
        <v>0</v>
      </c>
      <c r="O31" s="31">
        <v>0</v>
      </c>
      <c r="P31" s="31">
        <v>0</v>
      </c>
      <c r="Q31" s="31">
        <v>0</v>
      </c>
      <c r="R31" s="31">
        <v>0</v>
      </c>
      <c r="S31" s="31">
        <v>0</v>
      </c>
      <c r="T31" s="31">
        <v>0</v>
      </c>
      <c r="U31" s="48">
        <v>0</v>
      </c>
      <c r="V31" s="48">
        <v>0</v>
      </c>
      <c r="W31" s="48">
        <v>4</v>
      </c>
      <c r="X31" s="48">
        <v>3</v>
      </c>
      <c r="Y31" s="1" t="s">
        <v>21</v>
      </c>
      <c r="Z31" s="1" t="s">
        <v>32</v>
      </c>
      <c r="AA31" s="17" t="s">
        <v>1052</v>
      </c>
      <c r="AB31" s="18" t="s">
        <v>417</v>
      </c>
      <c r="AC31" s="131" t="s">
        <v>1249</v>
      </c>
      <c r="AD31" s="10" t="s">
        <v>1084</v>
      </c>
      <c r="AE31" s="10"/>
    </row>
    <row r="32" spans="2:34" ht="15.75" hidden="1" thickBot="1" x14ac:dyDescent="0.3">
      <c r="B32" s="1">
        <f t="shared" si="2"/>
        <v>22</v>
      </c>
      <c r="C32" s="1">
        <v>0</v>
      </c>
      <c r="D32" s="1" t="s">
        <v>1079</v>
      </c>
      <c r="E32" s="1" t="s">
        <v>91</v>
      </c>
      <c r="F32" s="1" t="s">
        <v>1318</v>
      </c>
      <c r="G32" s="1" t="s">
        <v>1049</v>
      </c>
      <c r="H32" s="1"/>
      <c r="I32" s="31">
        <v>0</v>
      </c>
      <c r="J32" s="31">
        <v>3</v>
      </c>
      <c r="K32" s="31">
        <v>3</v>
      </c>
      <c r="L32" s="31">
        <v>0</v>
      </c>
      <c r="M32" s="31">
        <v>3</v>
      </c>
      <c r="N32" s="31">
        <v>0</v>
      </c>
      <c r="O32" s="31">
        <v>0</v>
      </c>
      <c r="P32" s="31">
        <v>0</v>
      </c>
      <c r="Q32" s="31">
        <v>0</v>
      </c>
      <c r="R32" s="31">
        <v>0</v>
      </c>
      <c r="S32" s="31">
        <v>0</v>
      </c>
      <c r="T32" s="31">
        <v>0</v>
      </c>
      <c r="U32" s="48">
        <v>0</v>
      </c>
      <c r="V32" s="48">
        <v>0</v>
      </c>
      <c r="W32" s="48">
        <v>4</v>
      </c>
      <c r="X32" s="48">
        <v>3</v>
      </c>
      <c r="Y32" s="1" t="s">
        <v>21</v>
      </c>
      <c r="Z32" s="1" t="s">
        <v>32</v>
      </c>
      <c r="AA32" s="17">
        <v>45588</v>
      </c>
      <c r="AB32" s="18" t="s">
        <v>1049</v>
      </c>
      <c r="AC32" s="131" t="s">
        <v>1249</v>
      </c>
      <c r="AD32" s="10" t="s">
        <v>1052</v>
      </c>
      <c r="AE32" s="10"/>
    </row>
    <row r="33" spans="2:31" ht="15.75" hidden="1" thickBot="1" x14ac:dyDescent="0.3">
      <c r="B33" s="1">
        <f t="shared" si="2"/>
        <v>23</v>
      </c>
      <c r="C33" s="1">
        <v>0</v>
      </c>
      <c r="D33" s="1" t="s">
        <v>1080</v>
      </c>
      <c r="E33" s="1" t="s">
        <v>91</v>
      </c>
      <c r="F33" s="1" t="s">
        <v>1318</v>
      </c>
      <c r="G33" s="1" t="s">
        <v>1049</v>
      </c>
      <c r="H33" s="1"/>
      <c r="I33" s="31">
        <v>0</v>
      </c>
      <c r="J33" s="31">
        <v>3</v>
      </c>
      <c r="K33" s="31">
        <v>3</v>
      </c>
      <c r="L33" s="31">
        <v>0</v>
      </c>
      <c r="M33" s="31">
        <v>3</v>
      </c>
      <c r="N33" s="31">
        <v>0</v>
      </c>
      <c r="O33" s="31">
        <v>0</v>
      </c>
      <c r="P33" s="31">
        <v>0</v>
      </c>
      <c r="Q33" s="31">
        <v>0</v>
      </c>
      <c r="R33" s="31">
        <v>0</v>
      </c>
      <c r="S33" s="31">
        <v>0</v>
      </c>
      <c r="T33" s="31">
        <v>0</v>
      </c>
      <c r="U33" s="48">
        <v>0</v>
      </c>
      <c r="V33" s="48">
        <v>0</v>
      </c>
      <c r="W33" s="48">
        <v>4</v>
      </c>
      <c r="X33" s="48">
        <v>3</v>
      </c>
      <c r="Y33" s="1" t="s">
        <v>21</v>
      </c>
      <c r="Z33" s="1" t="s">
        <v>32</v>
      </c>
      <c r="AA33" s="17">
        <v>45588</v>
      </c>
      <c r="AB33" s="18" t="s">
        <v>1049</v>
      </c>
      <c r="AC33" s="131" t="s">
        <v>1249</v>
      </c>
      <c r="AD33" s="10" t="s">
        <v>1052</v>
      </c>
      <c r="AE33" s="10"/>
    </row>
    <row r="34" spans="2:31" ht="15.75" hidden="1" thickBot="1" x14ac:dyDescent="0.3">
      <c r="B34" s="1">
        <f t="shared" si="2"/>
        <v>24</v>
      </c>
      <c r="C34" s="1">
        <v>0</v>
      </c>
      <c r="D34" s="1" t="s">
        <v>1081</v>
      </c>
      <c r="E34" s="1" t="s">
        <v>91</v>
      </c>
      <c r="F34" s="1" t="s">
        <v>1318</v>
      </c>
      <c r="G34" s="1" t="s">
        <v>1049</v>
      </c>
      <c r="H34" s="1"/>
      <c r="I34" s="31">
        <v>0</v>
      </c>
      <c r="J34" s="31">
        <v>3</v>
      </c>
      <c r="K34" s="31">
        <v>3</v>
      </c>
      <c r="L34" s="31">
        <v>0</v>
      </c>
      <c r="M34" s="31">
        <v>3</v>
      </c>
      <c r="N34" s="31">
        <v>0</v>
      </c>
      <c r="O34" s="31">
        <v>0</v>
      </c>
      <c r="P34" s="31">
        <v>0</v>
      </c>
      <c r="Q34" s="31">
        <v>0</v>
      </c>
      <c r="R34" s="31">
        <v>0</v>
      </c>
      <c r="S34" s="31">
        <v>0</v>
      </c>
      <c r="T34" s="31">
        <v>0</v>
      </c>
      <c r="U34" s="48">
        <v>0</v>
      </c>
      <c r="V34" s="48">
        <v>0</v>
      </c>
      <c r="W34" s="48">
        <v>4</v>
      </c>
      <c r="X34" s="48">
        <v>3</v>
      </c>
      <c r="Y34" s="1" t="s">
        <v>21</v>
      </c>
      <c r="Z34" s="1" t="s">
        <v>32</v>
      </c>
      <c r="AA34" s="17">
        <v>45588</v>
      </c>
      <c r="AB34" s="18" t="s">
        <v>1049</v>
      </c>
      <c r="AC34" s="131" t="s">
        <v>1249</v>
      </c>
      <c r="AD34" s="10" t="s">
        <v>1052</v>
      </c>
      <c r="AE34" s="10"/>
    </row>
    <row r="35" spans="2:31" ht="15.75" thickBot="1" x14ac:dyDescent="0.3">
      <c r="B35" s="1">
        <f t="shared" si="2"/>
        <v>25</v>
      </c>
      <c r="C35" s="1">
        <v>1</v>
      </c>
      <c r="D35" s="1" t="s">
        <v>1082</v>
      </c>
      <c r="E35" s="1" t="s">
        <v>91</v>
      </c>
      <c r="F35" s="1" t="s">
        <v>1318</v>
      </c>
      <c r="G35" s="1" t="s">
        <v>1049</v>
      </c>
      <c r="H35" s="1"/>
      <c r="I35" s="31">
        <v>0</v>
      </c>
      <c r="J35" s="31">
        <v>3</v>
      </c>
      <c r="K35" s="31">
        <v>3</v>
      </c>
      <c r="L35" s="31">
        <v>0</v>
      </c>
      <c r="M35" s="31">
        <v>3</v>
      </c>
      <c r="N35" s="31">
        <v>0</v>
      </c>
      <c r="O35" s="31">
        <v>0</v>
      </c>
      <c r="P35" s="31">
        <v>0</v>
      </c>
      <c r="Q35" s="31">
        <v>0</v>
      </c>
      <c r="R35" s="31">
        <v>0</v>
      </c>
      <c r="S35" s="31">
        <v>0</v>
      </c>
      <c r="T35" s="31">
        <v>0</v>
      </c>
      <c r="U35" s="48">
        <v>0</v>
      </c>
      <c r="V35" s="48">
        <v>0</v>
      </c>
      <c r="W35" s="48">
        <v>4</v>
      </c>
      <c r="X35" s="48">
        <v>3</v>
      </c>
      <c r="Y35" s="1" t="s">
        <v>21</v>
      </c>
      <c r="Z35" s="1" t="s">
        <v>21</v>
      </c>
      <c r="AA35" s="17">
        <v>45672</v>
      </c>
      <c r="AB35" s="18" t="s">
        <v>1049</v>
      </c>
      <c r="AC35" s="126" t="s">
        <v>1320</v>
      </c>
      <c r="AD35" s="10" t="s">
        <v>1052</v>
      </c>
      <c r="AE35" s="10"/>
    </row>
    <row r="36" spans="2:31" ht="15.75" thickBot="1" x14ac:dyDescent="0.3">
      <c r="B36" s="1">
        <f t="shared" si="2"/>
        <v>26</v>
      </c>
      <c r="C36" s="1">
        <v>1</v>
      </c>
      <c r="D36" s="1" t="s">
        <v>1085</v>
      </c>
      <c r="E36" s="1" t="s">
        <v>91</v>
      </c>
      <c r="F36" s="1" t="s">
        <v>480</v>
      </c>
      <c r="G36" s="1" t="s">
        <v>1049</v>
      </c>
      <c r="H36" s="1"/>
      <c r="I36" s="31">
        <v>0</v>
      </c>
      <c r="J36" s="31">
        <v>3</v>
      </c>
      <c r="K36" s="31">
        <v>0</v>
      </c>
      <c r="L36" s="31">
        <v>0</v>
      </c>
      <c r="M36" s="31">
        <v>3</v>
      </c>
      <c r="N36" s="31">
        <v>0</v>
      </c>
      <c r="O36" s="31">
        <v>0</v>
      </c>
      <c r="P36" s="31">
        <v>0</v>
      </c>
      <c r="Q36" s="31">
        <v>0</v>
      </c>
      <c r="R36" s="31">
        <v>0</v>
      </c>
      <c r="S36" s="31">
        <v>0</v>
      </c>
      <c r="T36" s="31">
        <v>0</v>
      </c>
      <c r="U36" s="48">
        <v>0</v>
      </c>
      <c r="V36" s="48">
        <v>0</v>
      </c>
      <c r="W36" s="48">
        <v>4</v>
      </c>
      <c r="X36" s="48">
        <v>3</v>
      </c>
      <c r="Y36" s="1" t="s">
        <v>21</v>
      </c>
      <c r="Z36" s="1" t="s">
        <v>21</v>
      </c>
      <c r="AA36" s="17">
        <v>45730</v>
      </c>
      <c r="AB36" s="18" t="s">
        <v>1049</v>
      </c>
      <c r="AC36" s="126" t="s">
        <v>1320</v>
      </c>
      <c r="AD36" s="10" t="s">
        <v>1052</v>
      </c>
      <c r="AE36" s="10"/>
    </row>
    <row r="37" spans="2:31" ht="15.75" hidden="1" thickBot="1" x14ac:dyDescent="0.3">
      <c r="B37" s="1">
        <f t="shared" si="2"/>
        <v>27</v>
      </c>
      <c r="C37" s="1">
        <v>0</v>
      </c>
      <c r="D37" s="1" t="s">
        <v>1086</v>
      </c>
      <c r="E37" s="1" t="s">
        <v>91</v>
      </c>
      <c r="F37" s="1" t="s">
        <v>1087</v>
      </c>
      <c r="G37" s="1" t="s">
        <v>1049</v>
      </c>
      <c r="H37" s="1" t="s">
        <v>452</v>
      </c>
      <c r="I37" s="31">
        <v>0</v>
      </c>
      <c r="J37" s="31">
        <v>3</v>
      </c>
      <c r="K37" s="31">
        <v>1</v>
      </c>
      <c r="L37" s="31">
        <v>0</v>
      </c>
      <c r="M37" s="31">
        <v>1</v>
      </c>
      <c r="N37" s="31">
        <v>0</v>
      </c>
      <c r="O37" s="31">
        <v>0</v>
      </c>
      <c r="P37" s="31">
        <v>0</v>
      </c>
      <c r="Q37" s="31">
        <v>0</v>
      </c>
      <c r="R37" s="31">
        <v>0</v>
      </c>
      <c r="S37" s="31">
        <v>0</v>
      </c>
      <c r="T37" s="31">
        <v>0</v>
      </c>
      <c r="U37" s="48">
        <v>0</v>
      </c>
      <c r="V37" s="48">
        <v>0</v>
      </c>
      <c r="W37" s="48">
        <v>4</v>
      </c>
      <c r="X37" s="48">
        <v>3</v>
      </c>
      <c r="Y37" s="1" t="s">
        <v>32</v>
      </c>
      <c r="Z37" s="1" t="s">
        <v>32</v>
      </c>
      <c r="AA37" s="17" t="s">
        <v>1052</v>
      </c>
      <c r="AB37" s="18" t="s">
        <v>417</v>
      </c>
      <c r="AC37" s="131" t="s">
        <v>1051</v>
      </c>
      <c r="AD37" s="10" t="s">
        <v>1078</v>
      </c>
      <c r="AE37" s="10"/>
    </row>
    <row r="38" spans="2:31" ht="15.75" hidden="1" thickBot="1" x14ac:dyDescent="0.3">
      <c r="B38" s="1">
        <f t="shared" si="2"/>
        <v>28</v>
      </c>
      <c r="C38" s="1">
        <v>0</v>
      </c>
      <c r="D38" s="1" t="s">
        <v>1088</v>
      </c>
      <c r="E38" s="1" t="s">
        <v>91</v>
      </c>
      <c r="F38" s="1" t="s">
        <v>473</v>
      </c>
      <c r="G38" s="1" t="s">
        <v>1049</v>
      </c>
      <c r="H38" s="1" t="s">
        <v>452</v>
      </c>
      <c r="I38" s="31">
        <v>0</v>
      </c>
      <c r="J38" s="31">
        <v>3</v>
      </c>
      <c r="K38" s="31">
        <v>0</v>
      </c>
      <c r="L38" s="31">
        <v>0</v>
      </c>
      <c r="M38" s="31">
        <v>2</v>
      </c>
      <c r="N38" s="31">
        <v>0</v>
      </c>
      <c r="O38" s="31">
        <v>0</v>
      </c>
      <c r="P38" s="31">
        <v>0</v>
      </c>
      <c r="Q38" s="31">
        <v>0</v>
      </c>
      <c r="R38" s="31">
        <v>0</v>
      </c>
      <c r="S38" s="31">
        <v>0</v>
      </c>
      <c r="T38" s="31">
        <v>0</v>
      </c>
      <c r="U38" s="48">
        <v>0</v>
      </c>
      <c r="V38" s="48">
        <v>0</v>
      </c>
      <c r="W38" s="48">
        <v>3</v>
      </c>
      <c r="X38" s="48">
        <v>3</v>
      </c>
      <c r="Y38" s="1" t="s">
        <v>21</v>
      </c>
      <c r="Z38" s="1" t="s">
        <v>32</v>
      </c>
      <c r="AA38" s="17" t="s">
        <v>1052</v>
      </c>
      <c r="AB38" s="18" t="s">
        <v>417</v>
      </c>
      <c r="AC38" s="131" t="s">
        <v>1249</v>
      </c>
      <c r="AD38" s="10" t="s">
        <v>1078</v>
      </c>
      <c r="AE38" s="10"/>
    </row>
    <row r="39" spans="2:31" ht="15.75" hidden="1" thickBot="1" x14ac:dyDescent="0.3">
      <c r="B39" s="1">
        <f>ROW()-10</f>
        <v>29</v>
      </c>
      <c r="C39" s="1">
        <v>0</v>
      </c>
      <c r="D39" s="1" t="s">
        <v>1089</v>
      </c>
      <c r="E39" s="1" t="s">
        <v>91</v>
      </c>
      <c r="F39" s="1" t="s">
        <v>473</v>
      </c>
      <c r="G39" s="1" t="s">
        <v>1049</v>
      </c>
      <c r="H39" s="1" t="s">
        <v>452</v>
      </c>
      <c r="I39" s="31">
        <v>0</v>
      </c>
      <c r="J39" s="31">
        <v>3</v>
      </c>
      <c r="K39" s="31">
        <v>0</v>
      </c>
      <c r="L39" s="31">
        <v>0</v>
      </c>
      <c r="M39" s="31">
        <v>2</v>
      </c>
      <c r="N39" s="31">
        <v>0</v>
      </c>
      <c r="O39" s="31">
        <v>0</v>
      </c>
      <c r="P39" s="31">
        <v>0</v>
      </c>
      <c r="Q39" s="31">
        <v>0</v>
      </c>
      <c r="R39" s="31">
        <v>0</v>
      </c>
      <c r="S39" s="31">
        <v>0</v>
      </c>
      <c r="T39" s="31">
        <v>0</v>
      </c>
      <c r="U39" s="48">
        <v>0</v>
      </c>
      <c r="V39" s="48">
        <v>0</v>
      </c>
      <c r="W39" s="48">
        <v>3</v>
      </c>
      <c r="X39" s="48">
        <v>3</v>
      </c>
      <c r="Y39" s="1" t="s">
        <v>32</v>
      </c>
      <c r="Z39" s="1" t="s">
        <v>32</v>
      </c>
      <c r="AA39" s="17" t="s">
        <v>1052</v>
      </c>
      <c r="AB39" s="18" t="s">
        <v>417</v>
      </c>
      <c r="AC39" s="131" t="s">
        <v>1249</v>
      </c>
      <c r="AD39" s="10" t="s">
        <v>1052</v>
      </c>
      <c r="AE39" s="10"/>
    </row>
    <row r="40" spans="2:31" ht="15.75" thickBot="1" x14ac:dyDescent="0.3">
      <c r="B40" s="1">
        <f>ROW()-10</f>
        <v>30</v>
      </c>
      <c r="C40" s="1">
        <v>1</v>
      </c>
      <c r="D40" s="1" t="s">
        <v>1090</v>
      </c>
      <c r="E40" s="1" t="s">
        <v>101</v>
      </c>
      <c r="F40" s="1" t="s">
        <v>1346</v>
      </c>
      <c r="G40" s="1" t="s">
        <v>1049</v>
      </c>
      <c r="H40" s="1"/>
      <c r="I40" s="31">
        <v>0</v>
      </c>
      <c r="J40" s="31">
        <v>2</v>
      </c>
      <c r="K40" s="31">
        <v>1</v>
      </c>
      <c r="L40" s="31">
        <v>0</v>
      </c>
      <c r="M40" s="31">
        <v>1</v>
      </c>
      <c r="N40" s="31">
        <v>0</v>
      </c>
      <c r="O40" s="31">
        <v>0</v>
      </c>
      <c r="P40" s="31">
        <v>0</v>
      </c>
      <c r="Q40" s="31">
        <v>0</v>
      </c>
      <c r="R40" s="31">
        <v>0</v>
      </c>
      <c r="S40" s="31">
        <v>0</v>
      </c>
      <c r="T40" s="31">
        <v>0</v>
      </c>
      <c r="U40" s="48">
        <v>0</v>
      </c>
      <c r="V40" s="48">
        <v>0</v>
      </c>
      <c r="W40" s="48">
        <v>4</v>
      </c>
      <c r="X40" s="48">
        <v>3</v>
      </c>
      <c r="Y40" s="1" t="s">
        <v>21</v>
      </c>
      <c r="Z40" s="1" t="s">
        <v>21</v>
      </c>
      <c r="AA40" s="17">
        <v>45714</v>
      </c>
      <c r="AB40" s="18" t="s">
        <v>1049</v>
      </c>
      <c r="AC40" s="126" t="s">
        <v>1344</v>
      </c>
      <c r="AD40" s="10" t="s">
        <v>1052</v>
      </c>
      <c r="AE40" s="10"/>
    </row>
    <row r="41" spans="2:31" ht="15.75" thickBot="1" x14ac:dyDescent="0.3">
      <c r="B41" s="1">
        <f>ROW()-10</f>
        <v>31</v>
      </c>
      <c r="C41" s="1">
        <v>1</v>
      </c>
      <c r="D41" s="1" t="s">
        <v>1091</v>
      </c>
      <c r="E41" s="1" t="s">
        <v>101</v>
      </c>
      <c r="F41" s="1" t="s">
        <v>104</v>
      </c>
      <c r="G41" s="1" t="s">
        <v>1049</v>
      </c>
      <c r="H41" s="1"/>
      <c r="I41" s="31">
        <v>0</v>
      </c>
      <c r="J41" s="31">
        <v>2</v>
      </c>
      <c r="K41" s="31">
        <v>1</v>
      </c>
      <c r="L41" s="31">
        <v>0</v>
      </c>
      <c r="M41" s="31">
        <v>1</v>
      </c>
      <c r="N41" s="31">
        <v>0</v>
      </c>
      <c r="O41" s="31">
        <v>0</v>
      </c>
      <c r="P41" s="31">
        <v>0</v>
      </c>
      <c r="Q41" s="31">
        <v>0</v>
      </c>
      <c r="R41" s="31">
        <v>0</v>
      </c>
      <c r="S41" s="31">
        <v>0</v>
      </c>
      <c r="T41" s="31">
        <v>0</v>
      </c>
      <c r="U41" s="48">
        <v>0</v>
      </c>
      <c r="V41" s="48">
        <v>0</v>
      </c>
      <c r="W41" s="48">
        <v>4</v>
      </c>
      <c r="X41" s="48">
        <v>3</v>
      </c>
      <c r="Y41" s="1" t="s">
        <v>21</v>
      </c>
      <c r="Z41" s="1" t="s">
        <v>21</v>
      </c>
      <c r="AA41" s="17">
        <v>45714</v>
      </c>
      <c r="AB41" s="18" t="s">
        <v>1049</v>
      </c>
      <c r="AC41" s="126" t="s">
        <v>1344</v>
      </c>
      <c r="AD41" s="10" t="s">
        <v>1052</v>
      </c>
      <c r="AE41" s="10"/>
    </row>
    <row r="42" spans="2:31" x14ac:dyDescent="0.25">
      <c r="B42" s="1">
        <f>ROW()-10</f>
        <v>32</v>
      </c>
      <c r="C42" s="1">
        <v>1</v>
      </c>
      <c r="D42" s="1" t="s">
        <v>1222</v>
      </c>
      <c r="E42" s="1" t="s">
        <v>91</v>
      </c>
      <c r="F42" s="1" t="s">
        <v>1223</v>
      </c>
      <c r="G42" s="1" t="s">
        <v>486</v>
      </c>
      <c r="H42" s="1" t="s">
        <v>502</v>
      </c>
      <c r="I42" s="31"/>
      <c r="J42" s="31">
        <v>0</v>
      </c>
      <c r="K42" s="31">
        <v>0</v>
      </c>
      <c r="L42" s="31"/>
      <c r="M42" s="31"/>
      <c r="N42" s="31"/>
      <c r="O42" s="31"/>
      <c r="P42" s="31"/>
      <c r="Q42" s="31"/>
      <c r="R42" s="31"/>
      <c r="S42" s="31"/>
      <c r="T42" s="31"/>
      <c r="U42" s="48">
        <v>4</v>
      </c>
      <c r="V42" s="48">
        <v>3</v>
      </c>
      <c r="W42" s="48"/>
      <c r="X42" s="48"/>
      <c r="Y42" s="1" t="s">
        <v>32</v>
      </c>
      <c r="Z42" s="1" t="s">
        <v>32</v>
      </c>
      <c r="AA42" s="17"/>
      <c r="AB42" s="18"/>
      <c r="AC42" s="131"/>
      <c r="AD42" s="10" t="s">
        <v>1224</v>
      </c>
      <c r="AE42" s="10"/>
    </row>
    <row r="43" spans="2:31" ht="15.75" hidden="1" thickBot="1" x14ac:dyDescent="0.3">
      <c r="B43" s="1">
        <f>ROW()-10</f>
        <v>33</v>
      </c>
      <c r="C43" s="1">
        <v>0</v>
      </c>
      <c r="D43" s="1" t="s">
        <v>309</v>
      </c>
      <c r="E43" s="1" t="s">
        <v>101</v>
      </c>
      <c r="F43" s="1" t="s">
        <v>282</v>
      </c>
      <c r="G43" s="1" t="s">
        <v>1049</v>
      </c>
      <c r="H43" s="1"/>
      <c r="I43" s="129">
        <v>0</v>
      </c>
      <c r="J43" s="31">
        <v>0</v>
      </c>
      <c r="K43" s="31">
        <v>0</v>
      </c>
      <c r="L43" s="31">
        <v>0</v>
      </c>
      <c r="M43" s="129">
        <v>0</v>
      </c>
      <c r="N43" s="129">
        <v>0</v>
      </c>
      <c r="O43" s="129">
        <v>0</v>
      </c>
      <c r="P43" s="129">
        <v>0</v>
      </c>
      <c r="Q43" s="129">
        <v>0</v>
      </c>
      <c r="R43" s="129">
        <v>0</v>
      </c>
      <c r="S43" s="129">
        <v>0</v>
      </c>
      <c r="T43" s="129">
        <v>0</v>
      </c>
      <c r="U43" s="130">
        <v>0</v>
      </c>
      <c r="V43" s="130">
        <v>0</v>
      </c>
      <c r="W43" s="130">
        <v>4</v>
      </c>
      <c r="X43" s="130">
        <v>0</v>
      </c>
      <c r="Y43" s="1"/>
      <c r="Z43" s="1" t="s">
        <v>32</v>
      </c>
      <c r="AA43" s="17">
        <v>45121</v>
      </c>
      <c r="AB43" s="18"/>
      <c r="AC43" s="125"/>
    </row>
  </sheetData>
  <mergeCells count="7">
    <mergeCell ref="D4:G7"/>
    <mergeCell ref="O1:Q1"/>
    <mergeCell ref="O2:Q2"/>
    <mergeCell ref="O3:Q3"/>
    <mergeCell ref="O4:Q4"/>
    <mergeCell ref="O5:Q5"/>
    <mergeCell ref="O6:Q6"/>
  </mergeCells>
  <conditionalFormatting sqref="I12:T29">
    <cfRule type="containsBlanks" dxfId="485" priority="127">
      <formula>LEN(TRIM(I12))=0</formula>
    </cfRule>
  </conditionalFormatting>
  <conditionalFormatting sqref="I23:T24">
    <cfRule type="cellIs" dxfId="484" priority="164" operator="equal">
      <formula>0</formula>
    </cfRule>
    <cfRule type="cellIs" dxfId="483" priority="165" operator="equal">
      <formula>1</formula>
    </cfRule>
    <cfRule type="cellIs" dxfId="482" priority="166" operator="equal">
      <formula>2</formula>
    </cfRule>
    <cfRule type="cellIs" dxfId="481" priority="167" operator="equal">
      <formula>3</formula>
    </cfRule>
    <cfRule type="cellIs" dxfId="480" priority="168" operator="equal">
      <formula>4</formula>
    </cfRule>
  </conditionalFormatting>
  <conditionalFormatting sqref="I26:T29">
    <cfRule type="cellIs" dxfId="479" priority="128" operator="equal">
      <formula>0</formula>
    </cfRule>
    <cfRule type="cellIs" dxfId="478" priority="129" operator="equal">
      <formula>1</formula>
    </cfRule>
    <cfRule type="cellIs" dxfId="477" priority="130" operator="equal">
      <formula>2</formula>
    </cfRule>
    <cfRule type="cellIs" dxfId="476" priority="131" operator="equal">
      <formula>3</formula>
    </cfRule>
    <cfRule type="cellIs" dxfId="475" priority="132" operator="equal">
      <formula>4</formula>
    </cfRule>
  </conditionalFormatting>
  <conditionalFormatting sqref="I11:V11 W11:X29 J11:K31 I12:T22 U12:V29 I25:T25">
    <cfRule type="cellIs" dxfId="474" priority="197" operator="equal">
      <formula>0</formula>
    </cfRule>
    <cfRule type="cellIs" dxfId="473" priority="198" operator="equal">
      <formula>1</formula>
    </cfRule>
    <cfRule type="cellIs" dxfId="472" priority="199" operator="equal">
      <formula>2</formula>
    </cfRule>
    <cfRule type="cellIs" dxfId="471" priority="200" operator="equal">
      <formula>3</formula>
    </cfRule>
    <cfRule type="cellIs" dxfId="470" priority="201" operator="equal">
      <formula>4</formula>
    </cfRule>
  </conditionalFormatting>
  <conditionalFormatting sqref="I11:X43">
    <cfRule type="cellIs" dxfId="469" priority="2" operator="equal">
      <formula>0</formula>
    </cfRule>
    <cfRule type="cellIs" dxfId="468" priority="3" operator="equal">
      <formula>1</formula>
    </cfRule>
    <cfRule type="cellIs" dxfId="467" priority="4" operator="equal">
      <formula>2</formula>
    </cfRule>
    <cfRule type="cellIs" dxfId="466" priority="5" operator="equal">
      <formula>3</formula>
    </cfRule>
    <cfRule type="cellIs" dxfId="465" priority="6" operator="equal">
      <formula>4</formula>
    </cfRule>
  </conditionalFormatting>
  <conditionalFormatting sqref="I30:X31">
    <cfRule type="containsBlanks" dxfId="464" priority="16">
      <formula>LEN(TRIM(I30))=0</formula>
    </cfRule>
    <cfRule type="cellIs" dxfId="463" priority="17" operator="equal">
      <formula>0</formula>
    </cfRule>
    <cfRule type="cellIs" dxfId="462" priority="18" operator="equal">
      <formula>1</formula>
    </cfRule>
    <cfRule type="cellIs" dxfId="461" priority="19" operator="equal">
      <formula>2</formula>
    </cfRule>
    <cfRule type="cellIs" dxfId="460" priority="20" operator="equal">
      <formula>3</formula>
    </cfRule>
    <cfRule type="cellIs" dxfId="459" priority="21" operator="equal">
      <formula>4</formula>
    </cfRule>
  </conditionalFormatting>
  <conditionalFormatting sqref="I32:X42">
    <cfRule type="containsBlanks" dxfId="458" priority="1">
      <formula>LEN(TRIM(I32))=0</formula>
    </cfRule>
  </conditionalFormatting>
  <conditionalFormatting sqref="J11:K31 I11:V11 W11:X29 U12:V29">
    <cfRule type="containsBlanks" dxfId="457" priority="196">
      <formula>LEN(TRIM(I11))=0</formula>
    </cfRule>
  </conditionalFormatting>
  <conditionalFormatting sqref="J32:K42">
    <cfRule type="containsBlanks" dxfId="456" priority="10">
      <formula>LEN(TRIM(J32))=0</formula>
    </cfRule>
    <cfRule type="cellIs" dxfId="455" priority="11" operator="equal">
      <formula>0</formula>
    </cfRule>
    <cfRule type="cellIs" dxfId="454" priority="12" operator="equal">
      <formula>1</formula>
    </cfRule>
    <cfRule type="cellIs" dxfId="453" priority="13" operator="equal">
      <formula>2</formula>
    </cfRule>
    <cfRule type="cellIs" dxfId="452" priority="14" operator="equal">
      <formula>3</formula>
    </cfRule>
    <cfRule type="cellIs" dxfId="451" priority="15" operator="equal">
      <formula>4</formula>
    </cfRule>
  </conditionalFormatting>
  <conditionalFormatting sqref="Y22:Y24">
    <cfRule type="containsBlanks" dxfId="450" priority="94" stopIfTrue="1">
      <formula>LEN(TRIM(Y22))=0</formula>
    </cfRule>
    <cfRule type="containsText" dxfId="449" priority="95" operator="containsText" text="NO">
      <formula>NOT(ISERROR(SEARCH("NO",Y22)))</formula>
    </cfRule>
    <cfRule type="containsText" dxfId="448" priority="96" operator="containsText" text="YES">
      <formula>NOT(ISERROR(SEARCH("YES",Y22)))</formula>
    </cfRule>
  </conditionalFormatting>
  <conditionalFormatting sqref="Y26:Y27">
    <cfRule type="containsBlanks" dxfId="447" priority="112" stopIfTrue="1">
      <formula>LEN(TRIM(Y26))=0</formula>
    </cfRule>
    <cfRule type="containsText" dxfId="446" priority="113" operator="containsText" text="NO">
      <formula>NOT(ISERROR(SEARCH("NO",Y26)))</formula>
    </cfRule>
    <cfRule type="containsText" dxfId="445" priority="114" operator="containsText" text="YES">
      <formula>NOT(ISERROR(SEARCH("YES",Y26)))</formula>
    </cfRule>
  </conditionalFormatting>
  <conditionalFormatting sqref="Y29">
    <cfRule type="containsBlanks" dxfId="444" priority="124" stopIfTrue="1">
      <formula>LEN(TRIM(Y29))=0</formula>
    </cfRule>
    <cfRule type="containsText" dxfId="443" priority="125" operator="containsText" text="NO">
      <formula>NOT(ISERROR(SEARCH("NO",Y29)))</formula>
    </cfRule>
    <cfRule type="containsText" dxfId="442" priority="126" operator="containsText" text="YES">
      <formula>NOT(ISERROR(SEARCH("YES",Y29)))</formula>
    </cfRule>
  </conditionalFormatting>
  <conditionalFormatting sqref="Y11:Z43">
    <cfRule type="containsText" dxfId="441" priority="2717" operator="containsText" text="NO">
      <formula>NOT(ISERROR(SEARCH("NO",Y11)))</formula>
    </cfRule>
    <cfRule type="containsText" dxfId="440" priority="2718" operator="containsText" text="YES">
      <formula>NOT(ISERROR(SEARCH("YES",Y11)))</formula>
    </cfRule>
  </conditionalFormatting>
  <conditionalFormatting sqref="Y28:AB28">
    <cfRule type="containsBlanks" dxfId="439" priority="133" stopIfTrue="1">
      <formula>LEN(TRIM(Y28))=0</formula>
    </cfRule>
    <cfRule type="containsText" dxfId="438" priority="134" operator="containsText" text="NO">
      <formula>NOT(ISERROR(SEARCH("NO",Y28)))</formula>
    </cfRule>
    <cfRule type="containsText" dxfId="437" priority="135" operator="containsText" text="YES">
      <formula>NOT(ISERROR(SEARCH("YES",Y28)))</formula>
    </cfRule>
  </conditionalFormatting>
  <conditionalFormatting sqref="Y11:AC21 Y25:AC25">
    <cfRule type="containsBlanks" dxfId="436" priority="2716" stopIfTrue="1">
      <formula>LEN(TRIM(Y11))=0</formula>
    </cfRule>
  </conditionalFormatting>
  <conditionalFormatting sqref="Y30:AC34 Y35:AB36 Y37:AC39 Y40:AB41 Y42:AC42">
    <cfRule type="containsBlanks" dxfId="435" priority="7" stopIfTrue="1">
      <formula>LEN(TRIM(Y30))=0</formula>
    </cfRule>
    <cfRule type="containsText" dxfId="434" priority="8" operator="containsText" text="NO">
      <formula>NOT(ISERROR(SEARCH("NO",Y30)))</formula>
    </cfRule>
    <cfRule type="containsText" dxfId="433" priority="9" operator="containsText" text="YES">
      <formula>NOT(ISERROR(SEARCH("YES",Y30)))</formula>
    </cfRule>
  </conditionalFormatting>
  <conditionalFormatting sqref="Z22:Z24">
    <cfRule type="containsBlanks" dxfId="432" priority="91" stopIfTrue="1">
      <formula>LEN(TRIM(Z22))=0</formula>
    </cfRule>
    <cfRule type="containsText" dxfId="431" priority="92" operator="containsText" text="NO">
      <formula>NOT(ISERROR(SEARCH("NO",Z22)))</formula>
    </cfRule>
    <cfRule type="containsText" dxfId="430" priority="93" operator="containsText" text="YES">
      <formula>NOT(ISERROR(SEARCH("YES",Z22)))</formula>
    </cfRule>
  </conditionalFormatting>
  <conditionalFormatting sqref="Z26:Z27">
    <cfRule type="containsBlanks" dxfId="429" priority="109" stopIfTrue="1">
      <formula>LEN(TRIM(Z26))=0</formula>
    </cfRule>
    <cfRule type="containsText" dxfId="428" priority="110" operator="containsText" text="NO">
      <formula>NOT(ISERROR(SEARCH("NO",Z26)))</formula>
    </cfRule>
    <cfRule type="containsText" dxfId="427" priority="111" operator="containsText" text="YES">
      <formula>NOT(ISERROR(SEARCH("YES",Z26)))</formula>
    </cfRule>
  </conditionalFormatting>
  <conditionalFormatting sqref="Z29">
    <cfRule type="containsBlanks" dxfId="426" priority="121" stopIfTrue="1">
      <formula>LEN(TRIM(Z29))=0</formula>
    </cfRule>
    <cfRule type="containsText" dxfId="425" priority="122" operator="containsText" text="NO">
      <formula>NOT(ISERROR(SEARCH("NO",Z29)))</formula>
    </cfRule>
    <cfRule type="containsText" dxfId="424" priority="123" operator="containsText" text="YES">
      <formula>NOT(ISERROR(SEARCH("YES",Z29)))</formula>
    </cfRule>
  </conditionalFormatting>
  <conditionalFormatting sqref="AA24:AB24">
    <cfRule type="containsBlanks" dxfId="423" priority="169" stopIfTrue="1">
      <formula>LEN(TRIM(AA24))=0</formula>
    </cfRule>
    <cfRule type="containsText" dxfId="422" priority="170" operator="containsText" text="NO">
      <formula>NOT(ISERROR(SEARCH("NO",AA24)))</formula>
    </cfRule>
    <cfRule type="containsText" dxfId="421" priority="171" operator="containsText" text="YES">
      <formula>NOT(ISERROR(SEARCH("YES",AA24)))</formula>
    </cfRule>
  </conditionalFormatting>
  <conditionalFormatting sqref="AA29:AB29">
    <cfRule type="containsBlanks" dxfId="420" priority="142" stopIfTrue="1">
      <formula>LEN(TRIM(AA29))=0</formula>
    </cfRule>
    <cfRule type="containsText" dxfId="419" priority="143" operator="containsText" text="NO">
      <formula>NOT(ISERROR(SEARCH("NO",AA29)))</formula>
    </cfRule>
    <cfRule type="containsText" dxfId="418" priority="144" operator="containsText" text="YES">
      <formula>NOT(ISERROR(SEARCH("YES",AA29)))</formula>
    </cfRule>
  </conditionalFormatting>
  <conditionalFormatting sqref="AA22:AC23">
    <cfRule type="containsBlanks" dxfId="417" priority="178" stopIfTrue="1">
      <formula>LEN(TRIM(AA22))=0</formula>
    </cfRule>
  </conditionalFormatting>
  <conditionalFormatting sqref="AA23:AC23">
    <cfRule type="containsText" dxfId="416" priority="179" operator="containsText" text="NO">
      <formula>NOT(ISERROR(SEARCH("NO",AA23)))</formula>
    </cfRule>
    <cfRule type="containsText" dxfId="415" priority="180" operator="containsText" text="YES">
      <formula>NOT(ISERROR(SEARCH("YES",AA23)))</formula>
    </cfRule>
  </conditionalFormatting>
  <conditionalFormatting sqref="AA26:AC27">
    <cfRule type="containsBlanks" dxfId="414" priority="151" stopIfTrue="1">
      <formula>LEN(TRIM(AA26))=0</formula>
    </cfRule>
    <cfRule type="containsText" dxfId="413" priority="152" operator="containsText" text="NO">
      <formula>NOT(ISERROR(SEARCH("NO",AA26)))</formula>
    </cfRule>
    <cfRule type="containsText" dxfId="412" priority="153" operator="containsText" text="YES">
      <formula>NOT(ISERROR(SEARCH("YES",AA26)))</formula>
    </cfRule>
  </conditionalFormatting>
  <conditionalFormatting sqref="AC29">
    <cfRule type="containsBlanks" dxfId="411" priority="73" stopIfTrue="1">
      <formula>LEN(TRIM(AC29))=0</formula>
    </cfRule>
    <cfRule type="containsText" dxfId="410" priority="74" operator="containsText" text="NO">
      <formula>NOT(ISERROR(SEARCH("NO",AC29)))</formula>
    </cfRule>
    <cfRule type="containsText" dxfId="409" priority="75" operator="containsText" text="YES">
      <formula>NOT(ISERROR(SEARCH("YES",AC29)))</formula>
    </cfRule>
  </conditionalFormatting>
  <hyperlinks>
    <hyperlink ref="Y13" r:id="rId1" xr:uid="{00000000-0004-0000-0100-000000000000}"/>
    <hyperlink ref="Z13" r:id="rId2" xr:uid="{00000000-0004-0000-0100-000001000000}"/>
    <hyperlink ref="Y14" r:id="rId3" xr:uid="{00000000-0004-0000-0100-000002000000}"/>
    <hyperlink ref="Z14" r:id="rId4" xr:uid="{00000000-0004-0000-0100-000003000000}"/>
    <hyperlink ref="Z15" r:id="rId5" xr:uid="{00000000-0004-0000-0100-000004000000}"/>
    <hyperlink ref="Y15" r:id="rId6" xr:uid="{00000000-0004-0000-0100-000005000000}"/>
    <hyperlink ref="Y16" r:id="rId7" xr:uid="{00000000-0004-0000-0100-000006000000}"/>
    <hyperlink ref="Z16" r:id="rId8" xr:uid="{00000000-0004-0000-0100-000007000000}"/>
    <hyperlink ref="Y17" r:id="rId9" xr:uid="{00000000-0004-0000-0100-000008000000}"/>
    <hyperlink ref="Z17" r:id="rId10" xr:uid="{00000000-0004-0000-0100-000009000000}"/>
    <hyperlink ref="Y18" r:id="rId11" xr:uid="{00000000-0004-0000-0100-00000A000000}"/>
    <hyperlink ref="Z18" r:id="rId12" xr:uid="{00000000-0004-0000-0100-00000B000000}"/>
    <hyperlink ref="AC20" r:id="rId13" xr:uid="{00000000-0004-0000-0100-00000C000000}"/>
    <hyperlink ref="AC19" r:id="rId14" xr:uid="{00000000-0004-0000-0100-00000D000000}"/>
    <hyperlink ref="AC38" r:id="rId15" xr:uid="{00000000-0004-0000-0100-00000E000000}"/>
    <hyperlink ref="AC39" r:id="rId16" xr:uid="{00000000-0004-0000-0100-00000F000000}"/>
    <hyperlink ref="AC32" r:id="rId17" xr:uid="{00000000-0004-0000-0100-000010000000}"/>
    <hyperlink ref="AC33" r:id="rId18" xr:uid="{00000000-0004-0000-0100-000011000000}"/>
    <hyperlink ref="AC34" r:id="rId19" xr:uid="{00000000-0004-0000-0100-000012000000}"/>
    <hyperlink ref="AC25" r:id="rId20" xr:uid="{00000000-0004-0000-0100-000014000000}"/>
    <hyperlink ref="AC31" r:id="rId21" xr:uid="{00000000-0004-0000-0100-000015000000}"/>
    <hyperlink ref="AC35" r:id="rId22" xr:uid="{2D3672FD-3394-4563-B6ED-72EA1929F55A}"/>
    <hyperlink ref="AC28" r:id="rId23" xr:uid="{3AD9C43B-C86C-4796-A55C-73531DED526C}"/>
    <hyperlink ref="AC36" r:id="rId24" xr:uid="{F6FED875-4865-4473-9BBE-52EE7DAB5AB2}"/>
    <hyperlink ref="AC24" r:id="rId25" xr:uid="{CFABD76B-4B25-438F-8EDA-073A43578A87}"/>
    <hyperlink ref="AC41" r:id="rId26" xr:uid="{D1F26748-AEAF-4B9D-B6DF-A633E29EF0D7}"/>
    <hyperlink ref="AC40" r:id="rId27" xr:uid="{82A618E5-2D1A-40A2-84F4-4FBA0286F6AC}"/>
  </hyperlinks>
  <pageMargins left="0.7" right="0.7" top="0.75" bottom="0.75" header="0.3" footer="0.3"/>
  <pageSetup paperSize="9" orientation="portrait" r:id="rId28"/>
  <tableParts count="1">
    <tablePart r:id="rId2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X19"/>
  <sheetViews>
    <sheetView showGridLines="0" workbookViewId="0">
      <selection activeCell="U21" sqref="U21"/>
    </sheetView>
  </sheetViews>
  <sheetFormatPr defaultRowHeight="15" x14ac:dyDescent="0.25"/>
  <cols>
    <col min="3" max="3" width="12" customWidth="1"/>
    <col min="16" max="18" width="10.42578125" customWidth="1"/>
    <col min="19" max="19" width="16" customWidth="1"/>
    <col min="20" max="20" width="30.42578125" customWidth="1"/>
    <col min="21" max="21" width="12.5703125" customWidth="1"/>
    <col min="22" max="22" width="12" customWidth="1"/>
  </cols>
  <sheetData>
    <row r="1" spans="2:24" ht="15.75" thickBot="1" x14ac:dyDescent="0.3">
      <c r="K1" s="4" t="s">
        <v>0</v>
      </c>
      <c r="L1" s="142" t="s">
        <v>2</v>
      </c>
      <c r="M1" s="135"/>
      <c r="N1" s="135"/>
      <c r="O1" s="19" t="s">
        <v>3</v>
      </c>
      <c r="P1" s="20"/>
      <c r="Q1" s="20"/>
      <c r="R1" s="20"/>
      <c r="S1" s="20"/>
      <c r="T1" s="14"/>
      <c r="U1" s="14"/>
      <c r="V1" s="14"/>
      <c r="W1" s="20"/>
      <c r="X1" s="20"/>
    </row>
    <row r="2" spans="2:24" ht="15.75" thickBot="1" x14ac:dyDescent="0.3">
      <c r="K2" s="5">
        <v>0</v>
      </c>
      <c r="L2" s="143" t="s">
        <v>5</v>
      </c>
      <c r="M2" s="144"/>
      <c r="N2" s="144"/>
      <c r="O2" s="21" t="s">
        <v>6</v>
      </c>
      <c r="P2" s="22"/>
      <c r="Q2" s="22"/>
      <c r="R2" s="22"/>
      <c r="S2" s="22"/>
      <c r="T2" s="15"/>
      <c r="U2" s="15"/>
      <c r="V2" s="15"/>
      <c r="W2" s="22"/>
      <c r="X2" s="22"/>
    </row>
    <row r="3" spans="2:24" ht="15.75" thickBot="1" x14ac:dyDescent="0.3">
      <c r="K3" s="6">
        <v>1</v>
      </c>
      <c r="L3" s="145" t="s">
        <v>4</v>
      </c>
      <c r="M3" s="146"/>
      <c r="N3" s="146"/>
      <c r="O3" s="23" t="s">
        <v>7</v>
      </c>
      <c r="P3" s="24"/>
      <c r="Q3" s="24"/>
      <c r="R3" s="24"/>
      <c r="S3" s="24"/>
      <c r="T3" s="16"/>
      <c r="U3" s="16"/>
      <c r="V3" s="16"/>
      <c r="W3" s="24"/>
      <c r="X3" s="24"/>
    </row>
    <row r="4" spans="2:24" ht="15" customHeight="1" thickBot="1" x14ac:dyDescent="0.3">
      <c r="C4" s="136" t="s">
        <v>231</v>
      </c>
      <c r="D4" s="136"/>
      <c r="E4" s="136"/>
      <c r="F4" s="136"/>
      <c r="G4" s="136"/>
      <c r="H4" s="136"/>
      <c r="I4" s="136"/>
      <c r="K4" s="7">
        <v>2</v>
      </c>
      <c r="L4" s="147" t="s">
        <v>1</v>
      </c>
      <c r="M4" s="148"/>
      <c r="N4" s="148"/>
      <c r="O4" s="25" t="s">
        <v>26</v>
      </c>
      <c r="P4" s="26"/>
      <c r="Q4" s="26"/>
      <c r="R4" s="26"/>
      <c r="S4" s="26"/>
      <c r="T4" s="11"/>
      <c r="U4" s="11"/>
      <c r="V4" s="11"/>
      <c r="W4" s="26"/>
      <c r="X4" s="26"/>
    </row>
    <row r="5" spans="2:24" ht="15" customHeight="1" thickBot="1" x14ac:dyDescent="0.3">
      <c r="C5" s="136"/>
      <c r="D5" s="136"/>
      <c r="E5" s="136"/>
      <c r="F5" s="136"/>
      <c r="G5" s="136"/>
      <c r="H5" s="136"/>
      <c r="I5" s="136"/>
      <c r="K5" s="8">
        <v>3</v>
      </c>
      <c r="L5" s="149" t="s">
        <v>8</v>
      </c>
      <c r="M5" s="150"/>
      <c r="N5" s="150"/>
      <c r="O5" s="27" t="s">
        <v>24</v>
      </c>
      <c r="P5" s="28"/>
      <c r="Q5" s="28"/>
      <c r="R5" s="28"/>
      <c r="S5" s="28"/>
      <c r="T5" s="12"/>
      <c r="U5" s="12"/>
      <c r="V5" s="12"/>
      <c r="W5" s="28"/>
      <c r="X5" s="28"/>
    </row>
    <row r="6" spans="2:24" ht="15" customHeight="1" thickBot="1" x14ac:dyDescent="0.3">
      <c r="C6" s="136"/>
      <c r="D6" s="136"/>
      <c r="E6" s="136"/>
      <c r="F6" s="136"/>
      <c r="G6" s="136"/>
      <c r="H6" s="136"/>
      <c r="I6" s="136"/>
      <c r="K6" s="9">
        <v>4</v>
      </c>
      <c r="L6" s="151" t="s">
        <v>9</v>
      </c>
      <c r="M6" s="152"/>
      <c r="N6" s="152"/>
      <c r="O6" s="29" t="s">
        <v>25</v>
      </c>
      <c r="P6" s="30"/>
      <c r="Q6" s="30"/>
      <c r="R6" s="30"/>
      <c r="S6" s="30"/>
      <c r="T6" s="13"/>
      <c r="U6" s="13"/>
      <c r="V6" s="13"/>
      <c r="W6" s="30"/>
      <c r="X6" s="30"/>
    </row>
    <row r="7" spans="2:24" ht="14.45" customHeight="1" x14ac:dyDescent="0.25">
      <c r="C7" s="136"/>
      <c r="D7" s="136"/>
      <c r="E7" s="136"/>
      <c r="F7" s="136"/>
      <c r="G7" s="136"/>
      <c r="H7" s="136"/>
      <c r="I7" s="136"/>
    </row>
    <row r="11" spans="2:24" ht="15.75" thickBot="1" x14ac:dyDescent="0.3">
      <c r="B11" s="65" t="s">
        <v>18</v>
      </c>
      <c r="C11" s="66" t="s">
        <v>229</v>
      </c>
      <c r="D11" s="66" t="s">
        <v>312</v>
      </c>
      <c r="E11" s="66" t="s">
        <v>11</v>
      </c>
      <c r="F11" s="66" t="s">
        <v>12</v>
      </c>
      <c r="G11" s="66" t="s">
        <v>13</v>
      </c>
      <c r="H11" s="66" t="s">
        <v>94</v>
      </c>
      <c r="I11" s="66" t="s">
        <v>55</v>
      </c>
      <c r="J11" s="66" t="s">
        <v>61</v>
      </c>
      <c r="K11" s="66" t="s">
        <v>62</v>
      </c>
      <c r="L11" s="66" t="s">
        <v>143</v>
      </c>
      <c r="M11" s="66" t="s">
        <v>165</v>
      </c>
      <c r="N11" s="66" t="s">
        <v>170</v>
      </c>
      <c r="O11" s="66" t="s">
        <v>486</v>
      </c>
      <c r="P11" s="66" t="s">
        <v>330</v>
      </c>
      <c r="Q11" s="66" t="s">
        <v>340</v>
      </c>
      <c r="R11" s="66" t="s">
        <v>502</v>
      </c>
      <c r="S11" s="66" t="s">
        <v>17</v>
      </c>
      <c r="T11" s="66" t="s">
        <v>152</v>
      </c>
      <c r="U11" s="66" t="s">
        <v>537</v>
      </c>
      <c r="V11" s="70" t="s">
        <v>27</v>
      </c>
    </row>
    <row r="12" spans="2:24" ht="15.75" thickBot="1" x14ac:dyDescent="0.3">
      <c r="B12" s="64">
        <v>1</v>
      </c>
      <c r="C12" s="53" t="s">
        <v>548</v>
      </c>
      <c r="D12" s="58">
        <v>0</v>
      </c>
      <c r="E12" s="58">
        <v>0</v>
      </c>
      <c r="F12" s="58">
        <v>0</v>
      </c>
      <c r="G12" s="58">
        <v>0</v>
      </c>
      <c r="H12" s="58">
        <v>0</v>
      </c>
      <c r="I12" s="58">
        <v>0</v>
      </c>
      <c r="J12" s="58">
        <v>0</v>
      </c>
      <c r="K12" s="58">
        <v>0</v>
      </c>
      <c r="L12" s="58">
        <v>0</v>
      </c>
      <c r="M12" s="58">
        <v>0</v>
      </c>
      <c r="N12" s="58">
        <v>0</v>
      </c>
      <c r="O12" s="52">
        <v>0</v>
      </c>
      <c r="P12" s="52">
        <v>0</v>
      </c>
      <c r="Q12" s="52">
        <v>0</v>
      </c>
      <c r="R12" s="52">
        <v>0</v>
      </c>
      <c r="S12" s="53"/>
      <c r="T12" s="53"/>
      <c r="U12" s="55"/>
      <c r="V12" s="69"/>
    </row>
    <row r="13" spans="2:24" ht="15.75" thickBot="1" x14ac:dyDescent="0.3">
      <c r="B13" s="67">
        <v>2</v>
      </c>
      <c r="C13" s="68" t="s">
        <v>539</v>
      </c>
      <c r="D13" s="58">
        <v>0</v>
      </c>
      <c r="E13" s="58">
        <v>0</v>
      </c>
      <c r="F13" s="58">
        <v>0</v>
      </c>
      <c r="G13" s="58">
        <v>0</v>
      </c>
      <c r="H13" s="58">
        <v>0</v>
      </c>
      <c r="I13" s="58">
        <v>0</v>
      </c>
      <c r="J13" s="58">
        <v>0</v>
      </c>
      <c r="K13" s="58">
        <v>0</v>
      </c>
      <c r="L13" s="58">
        <v>0</v>
      </c>
      <c r="M13" s="58">
        <v>0</v>
      </c>
      <c r="N13" s="58">
        <v>0</v>
      </c>
      <c r="O13" s="52">
        <v>0</v>
      </c>
      <c r="P13" s="52">
        <v>0</v>
      </c>
      <c r="Q13" s="52">
        <v>0</v>
      </c>
      <c r="R13" s="52">
        <v>0</v>
      </c>
      <c r="S13" s="68"/>
      <c r="T13" s="68"/>
      <c r="U13" s="71"/>
      <c r="V13" s="72"/>
    </row>
    <row r="14" spans="2:24" ht="15.75" thickBot="1" x14ac:dyDescent="0.3">
      <c r="B14" s="64">
        <v>3</v>
      </c>
      <c r="C14" s="53" t="s">
        <v>540</v>
      </c>
      <c r="D14" s="58">
        <v>0</v>
      </c>
      <c r="E14" s="58">
        <v>0</v>
      </c>
      <c r="F14" s="58">
        <v>0</v>
      </c>
      <c r="G14" s="58">
        <v>0</v>
      </c>
      <c r="H14" s="58">
        <v>0</v>
      </c>
      <c r="I14" s="58">
        <v>0</v>
      </c>
      <c r="J14" s="58">
        <v>0</v>
      </c>
      <c r="K14" s="58">
        <v>0</v>
      </c>
      <c r="L14" s="58">
        <v>0</v>
      </c>
      <c r="M14" s="58">
        <v>0</v>
      </c>
      <c r="N14" s="58">
        <v>0</v>
      </c>
      <c r="O14" s="52">
        <v>0</v>
      </c>
      <c r="P14" s="52">
        <v>0</v>
      </c>
      <c r="Q14" s="52">
        <v>0</v>
      </c>
      <c r="R14" s="52">
        <v>0</v>
      </c>
      <c r="U14" s="55"/>
    </row>
    <row r="15" spans="2:24" ht="15.75" thickBot="1" x14ac:dyDescent="0.3">
      <c r="B15" s="67">
        <v>4</v>
      </c>
      <c r="C15" s="68" t="s">
        <v>541</v>
      </c>
      <c r="D15" s="58">
        <v>0</v>
      </c>
      <c r="E15" s="58">
        <v>0</v>
      </c>
      <c r="F15" s="58">
        <v>0</v>
      </c>
      <c r="G15" s="58">
        <v>0</v>
      </c>
      <c r="H15" s="58">
        <v>0</v>
      </c>
      <c r="I15" s="58">
        <v>0</v>
      </c>
      <c r="J15" s="58">
        <v>0</v>
      </c>
      <c r="K15" s="58">
        <v>0</v>
      </c>
      <c r="L15" s="58">
        <v>0</v>
      </c>
      <c r="M15" s="58">
        <v>0</v>
      </c>
      <c r="N15" s="58">
        <v>0</v>
      </c>
      <c r="O15" s="52">
        <v>0</v>
      </c>
      <c r="P15" s="52">
        <v>0</v>
      </c>
      <c r="Q15" s="52">
        <v>0</v>
      </c>
      <c r="R15" s="52">
        <v>0</v>
      </c>
      <c r="U15" s="55"/>
    </row>
    <row r="16" spans="2:24" ht="15.75" thickBot="1" x14ac:dyDescent="0.3">
      <c r="B16" s="64">
        <v>5</v>
      </c>
      <c r="C16" s="53" t="s">
        <v>542</v>
      </c>
      <c r="D16" s="58">
        <v>0</v>
      </c>
      <c r="E16" s="58">
        <v>0</v>
      </c>
      <c r="F16" s="58">
        <v>0</v>
      </c>
      <c r="G16" s="58">
        <v>0</v>
      </c>
      <c r="H16" s="58">
        <v>0</v>
      </c>
      <c r="I16" s="58">
        <v>0</v>
      </c>
      <c r="J16" s="58">
        <v>0</v>
      </c>
      <c r="K16" s="58">
        <v>0</v>
      </c>
      <c r="L16" s="58">
        <v>0</v>
      </c>
      <c r="M16" s="58">
        <v>0</v>
      </c>
      <c r="N16" s="58">
        <v>0</v>
      </c>
      <c r="O16" s="52">
        <v>0</v>
      </c>
      <c r="P16" s="52">
        <v>0</v>
      </c>
      <c r="Q16" s="52">
        <v>0</v>
      </c>
      <c r="R16" s="52">
        <v>0</v>
      </c>
      <c r="U16" s="55"/>
    </row>
    <row r="17" spans="2:21" ht="15.75" thickBot="1" x14ac:dyDescent="0.3">
      <c r="B17" s="67">
        <v>6</v>
      </c>
      <c r="C17" s="68" t="s">
        <v>549</v>
      </c>
      <c r="D17" s="58">
        <v>0</v>
      </c>
      <c r="E17" s="58">
        <v>0</v>
      </c>
      <c r="F17" s="58">
        <v>0</v>
      </c>
      <c r="G17" s="58">
        <v>0</v>
      </c>
      <c r="H17" s="58">
        <v>0</v>
      </c>
      <c r="I17" s="58">
        <v>0</v>
      </c>
      <c r="J17" s="58">
        <v>0</v>
      </c>
      <c r="K17" s="58">
        <v>0</v>
      </c>
      <c r="L17" s="58">
        <v>0</v>
      </c>
      <c r="M17" s="58">
        <v>0</v>
      </c>
      <c r="N17" s="58">
        <v>0</v>
      </c>
      <c r="O17" s="52">
        <v>0</v>
      </c>
      <c r="P17" s="52">
        <v>0</v>
      </c>
      <c r="Q17" s="52">
        <v>0</v>
      </c>
      <c r="R17" s="52">
        <v>0</v>
      </c>
      <c r="U17" s="55"/>
    </row>
    <row r="18" spans="2:21" ht="15.75" thickBot="1" x14ac:dyDescent="0.3">
      <c r="B18" s="64">
        <v>7</v>
      </c>
      <c r="C18" s="53" t="s">
        <v>536</v>
      </c>
      <c r="D18" s="58">
        <v>0</v>
      </c>
      <c r="E18" s="58">
        <v>0</v>
      </c>
      <c r="F18" s="58">
        <v>0</v>
      </c>
      <c r="G18" s="58">
        <v>0</v>
      </c>
      <c r="H18" s="58">
        <v>0</v>
      </c>
      <c r="I18" s="58">
        <v>0</v>
      </c>
      <c r="J18" s="58">
        <v>0</v>
      </c>
      <c r="K18" s="58">
        <v>0</v>
      </c>
      <c r="L18" s="58">
        <v>0</v>
      </c>
      <c r="M18" s="58">
        <v>0</v>
      </c>
      <c r="N18" s="58">
        <v>0</v>
      </c>
      <c r="O18" s="52">
        <v>0</v>
      </c>
      <c r="P18" s="52">
        <v>0</v>
      </c>
      <c r="Q18" s="52">
        <v>0</v>
      </c>
      <c r="R18" s="52">
        <v>0</v>
      </c>
      <c r="U18" s="55"/>
    </row>
    <row r="19" spans="2:21" x14ac:dyDescent="0.25">
      <c r="B19" s="67">
        <v>8</v>
      </c>
      <c r="C19" s="68" t="s">
        <v>550</v>
      </c>
      <c r="D19" s="58">
        <v>0</v>
      </c>
      <c r="E19" s="58">
        <v>0</v>
      </c>
      <c r="F19" s="58">
        <v>0</v>
      </c>
      <c r="G19" s="58">
        <v>0</v>
      </c>
      <c r="H19" s="58">
        <v>0</v>
      </c>
      <c r="I19" s="58">
        <v>0</v>
      </c>
      <c r="J19" s="58">
        <v>0</v>
      </c>
      <c r="K19" s="58">
        <v>0</v>
      </c>
      <c r="L19" s="58">
        <v>0</v>
      </c>
      <c r="M19" s="58">
        <v>0</v>
      </c>
      <c r="N19" s="58">
        <v>0</v>
      </c>
      <c r="O19" s="52">
        <v>0</v>
      </c>
      <c r="P19" s="52">
        <v>0</v>
      </c>
      <c r="Q19" s="52">
        <v>0</v>
      </c>
      <c r="R19" s="52">
        <v>0</v>
      </c>
      <c r="U19" s="71"/>
    </row>
  </sheetData>
  <mergeCells count="7">
    <mergeCell ref="L6:N6"/>
    <mergeCell ref="C4:I7"/>
    <mergeCell ref="L1:N1"/>
    <mergeCell ref="L2:N2"/>
    <mergeCell ref="L3:N3"/>
    <mergeCell ref="L4:N4"/>
    <mergeCell ref="L5:N5"/>
  </mergeCells>
  <conditionalFormatting sqref="D12:R19">
    <cfRule type="containsBlanks" dxfId="378" priority="1">
      <formula>LEN(TRIM(D12))=0</formula>
    </cfRule>
    <cfRule type="cellIs" dxfId="377" priority="2" operator="equal">
      <formula>0</formula>
    </cfRule>
    <cfRule type="cellIs" dxfId="376" priority="3" operator="equal">
      <formula>1</formula>
    </cfRule>
    <cfRule type="cellIs" dxfId="375" priority="4" operator="equal">
      <formula>2</formula>
    </cfRule>
    <cfRule type="cellIs" dxfId="374" priority="5" operator="equal">
      <formula>3</formula>
    </cfRule>
    <cfRule type="cellIs" dxfId="373" priority="6" operator="equal">
      <formula>4</formula>
    </cfRule>
  </conditionalFormatting>
  <conditionalFormatting sqref="S12:U19">
    <cfRule type="containsBlanks" dxfId="372" priority="7" stopIfTrue="1">
      <formula>LEN(TRIM(S12))=0</formula>
    </cfRule>
    <cfRule type="containsText" dxfId="371" priority="8" operator="containsText" text="NO">
      <formula>NOT(ISERROR(SEARCH("NO",S12)))</formula>
    </cfRule>
    <cfRule type="containsText" dxfId="370" priority="9" operator="containsText" text="YES">
      <formula>NOT(ISERROR(SEARCH("YES",S12)))</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O247"/>
  <sheetViews>
    <sheetView zoomScale="85" zoomScaleNormal="85" workbookViewId="0">
      <pane ySplit="1" topLeftCell="A2" activePane="bottomLeft" state="frozen"/>
      <selection pane="bottomLeft"/>
    </sheetView>
  </sheetViews>
  <sheetFormatPr defaultColWidth="8.85546875" defaultRowHeight="15" x14ac:dyDescent="0.25"/>
  <cols>
    <col min="1" max="1" width="5" bestFit="1" customWidth="1"/>
    <col min="2" max="2" width="8.42578125" bestFit="1" customWidth="1"/>
    <col min="3" max="3" width="68.42578125" bestFit="1" customWidth="1"/>
    <col min="4" max="4" width="79.42578125" bestFit="1" customWidth="1"/>
    <col min="5" max="5" width="19.42578125" bestFit="1" customWidth="1"/>
    <col min="6" max="6" width="19.7109375" bestFit="1" customWidth="1"/>
    <col min="7" max="7" width="12" bestFit="1" customWidth="1"/>
    <col min="8" max="8" width="51.42578125" customWidth="1"/>
    <col min="9" max="9" width="48.42578125" customWidth="1"/>
    <col min="10" max="10" width="8.7109375" bestFit="1" customWidth="1"/>
    <col min="11" max="11" width="43.28515625" bestFit="1" customWidth="1"/>
    <col min="12" max="12" width="9.28515625" bestFit="1" customWidth="1"/>
    <col min="13" max="13" width="8.42578125" bestFit="1" customWidth="1"/>
    <col min="14" max="14" width="129.42578125" bestFit="1" customWidth="1"/>
    <col min="15" max="15" width="9" customWidth="1"/>
  </cols>
  <sheetData>
    <row r="1" spans="1:15" x14ac:dyDescent="0.25">
      <c r="A1" t="s">
        <v>62</v>
      </c>
      <c r="B1" t="s">
        <v>188</v>
      </c>
      <c r="C1" t="s">
        <v>551</v>
      </c>
      <c r="D1" t="s">
        <v>552</v>
      </c>
      <c r="E1" t="s">
        <v>14</v>
      </c>
      <c r="F1" t="s">
        <v>15</v>
      </c>
      <c r="G1" t="s">
        <v>84</v>
      </c>
      <c r="H1" t="s">
        <v>553</v>
      </c>
      <c r="I1" t="s">
        <v>554</v>
      </c>
      <c r="J1" t="s">
        <v>555</v>
      </c>
      <c r="K1" t="s">
        <v>556</v>
      </c>
      <c r="L1" t="s">
        <v>557</v>
      </c>
      <c r="M1" t="s">
        <v>1185</v>
      </c>
      <c r="N1" t="s">
        <v>558</v>
      </c>
      <c r="O1" t="s">
        <v>1186</v>
      </c>
    </row>
    <row r="2" spans="1:15" x14ac:dyDescent="0.25">
      <c r="A2" s="73">
        <v>1</v>
      </c>
      <c r="B2" s="73">
        <f>IF(Table1[[#This Row],[Active2]]="No",0,1)</f>
        <v>1</v>
      </c>
      <c r="C2" s="74" t="s">
        <v>559</v>
      </c>
      <c r="D2" s="74" t="s">
        <v>560</v>
      </c>
      <c r="E2" s="74" t="s">
        <v>561</v>
      </c>
      <c r="F2" s="74" t="s">
        <v>113</v>
      </c>
      <c r="G2" s="75" t="s">
        <v>87</v>
      </c>
      <c r="H2" s="74"/>
      <c r="I2" s="74"/>
      <c r="J2" s="74" t="s">
        <v>12</v>
      </c>
      <c r="K2" s="74"/>
      <c r="L2" s="74"/>
      <c r="M2" s="74"/>
      <c r="N2" s="74" t="s">
        <v>562</v>
      </c>
      <c r="O2" s="98"/>
    </row>
    <row r="3" spans="1:15" hidden="1" x14ac:dyDescent="0.25">
      <c r="A3" s="76">
        <f t="shared" ref="A3:A66" si="0">IF(C3&lt;&gt;"",A2+1,"")</f>
        <v>2</v>
      </c>
      <c r="B3" s="76">
        <f>IF(Table1[[#This Row],[Active2]]="No",0,1)</f>
        <v>0</v>
      </c>
      <c r="C3" s="77" t="s">
        <v>563</v>
      </c>
      <c r="D3" s="78" t="s">
        <v>564</v>
      </c>
      <c r="E3" s="78" t="s">
        <v>565</v>
      </c>
      <c r="F3" s="78" t="s">
        <v>566</v>
      </c>
      <c r="G3" s="78" t="s">
        <v>85</v>
      </c>
      <c r="H3" s="79" t="s">
        <v>567</v>
      </c>
      <c r="I3" s="78" t="s">
        <v>568</v>
      </c>
      <c r="J3" s="77" t="s">
        <v>11</v>
      </c>
      <c r="K3" s="77"/>
      <c r="L3" s="77"/>
      <c r="M3" s="77" t="s">
        <v>302</v>
      </c>
      <c r="N3" s="77"/>
      <c r="O3" s="98"/>
    </row>
    <row r="4" spans="1:15" hidden="1" x14ac:dyDescent="0.25">
      <c r="A4" s="76">
        <f t="shared" si="0"/>
        <v>3</v>
      </c>
      <c r="B4" s="76">
        <f>IF(Table1[[#This Row],[Active2]]="No",0,1)</f>
        <v>0</v>
      </c>
      <c r="C4" s="78" t="s">
        <v>569</v>
      </c>
      <c r="D4" s="78" t="s">
        <v>570</v>
      </c>
      <c r="E4" s="78" t="s">
        <v>52</v>
      </c>
      <c r="F4" s="78" t="s">
        <v>284</v>
      </c>
      <c r="G4" s="78" t="s">
        <v>85</v>
      </c>
      <c r="H4" s="83" t="s">
        <v>571</v>
      </c>
      <c r="I4" s="78"/>
      <c r="J4" s="78" t="s">
        <v>312</v>
      </c>
      <c r="K4" s="78"/>
      <c r="L4" s="78"/>
      <c r="M4" s="78" t="s">
        <v>302</v>
      </c>
      <c r="N4" s="78"/>
      <c r="O4" s="100"/>
    </row>
    <row r="5" spans="1:15" hidden="1" x14ac:dyDescent="0.25">
      <c r="A5" s="76">
        <f t="shared" si="0"/>
        <v>4</v>
      </c>
      <c r="B5" s="76">
        <f>IF(Table1[[#This Row],[Active2]]="No",0,1)</f>
        <v>0</v>
      </c>
      <c r="C5" s="78" t="s">
        <v>572</v>
      </c>
      <c r="D5" s="78" t="s">
        <v>570</v>
      </c>
      <c r="E5" s="78" t="s">
        <v>52</v>
      </c>
      <c r="F5" s="78" t="s">
        <v>284</v>
      </c>
      <c r="G5" s="78" t="s">
        <v>85</v>
      </c>
      <c r="H5" s="83" t="s">
        <v>571</v>
      </c>
      <c r="I5" s="78"/>
      <c r="J5" s="78" t="s">
        <v>312</v>
      </c>
      <c r="K5" s="78"/>
      <c r="L5" s="78"/>
      <c r="M5" s="78" t="s">
        <v>302</v>
      </c>
      <c r="N5" s="78"/>
      <c r="O5" s="100"/>
    </row>
    <row r="6" spans="1:15" hidden="1" x14ac:dyDescent="0.25">
      <c r="A6" s="76">
        <f t="shared" si="0"/>
        <v>5</v>
      </c>
      <c r="B6" s="76">
        <f>IF(Table1[[#This Row],[Active2]]="No",0,1)</f>
        <v>0</v>
      </c>
      <c r="C6" s="78" t="s">
        <v>573</v>
      </c>
      <c r="D6" s="77" t="s">
        <v>574</v>
      </c>
      <c r="E6" s="77" t="s">
        <v>520</v>
      </c>
      <c r="F6" s="77" t="s">
        <v>113</v>
      </c>
      <c r="G6" s="77" t="s">
        <v>85</v>
      </c>
      <c r="H6" s="77"/>
      <c r="I6" s="77" t="s">
        <v>568</v>
      </c>
      <c r="J6" s="77" t="s">
        <v>11</v>
      </c>
      <c r="K6" s="77"/>
      <c r="L6" s="77"/>
      <c r="M6" s="77" t="s">
        <v>302</v>
      </c>
      <c r="N6" s="77" t="s">
        <v>575</v>
      </c>
      <c r="O6" s="98"/>
    </row>
    <row r="7" spans="1:15" hidden="1" x14ac:dyDescent="0.25">
      <c r="A7" s="76">
        <f t="shared" si="0"/>
        <v>6</v>
      </c>
      <c r="B7" s="76">
        <f>IF(Table1[[#This Row],[Active2]]="No",0,1)</f>
        <v>0</v>
      </c>
      <c r="C7" s="77" t="s">
        <v>576</v>
      </c>
      <c r="D7" s="77" t="s">
        <v>577</v>
      </c>
      <c r="E7" s="77" t="s">
        <v>30</v>
      </c>
      <c r="F7" s="77" t="s">
        <v>113</v>
      </c>
      <c r="G7" s="77" t="s">
        <v>87</v>
      </c>
      <c r="H7" s="77" t="s">
        <v>578</v>
      </c>
      <c r="I7" s="77" t="s">
        <v>568</v>
      </c>
      <c r="J7" s="77" t="s">
        <v>11</v>
      </c>
      <c r="K7" s="77"/>
      <c r="L7" s="77"/>
      <c r="M7" s="77" t="s">
        <v>302</v>
      </c>
      <c r="N7" s="77" t="s">
        <v>1220</v>
      </c>
      <c r="O7" s="98"/>
    </row>
    <row r="8" spans="1:15" hidden="1" x14ac:dyDescent="0.25">
      <c r="A8" s="80">
        <f t="shared" si="0"/>
        <v>7</v>
      </c>
      <c r="B8" s="80">
        <f>IF(Table1[[#This Row],[Active2]]="No",0,1)</f>
        <v>0</v>
      </c>
      <c r="C8" s="77" t="s">
        <v>579</v>
      </c>
      <c r="D8" s="77" t="s">
        <v>574</v>
      </c>
      <c r="E8" s="77" t="s">
        <v>520</v>
      </c>
      <c r="F8" s="77" t="s">
        <v>113</v>
      </c>
      <c r="G8" s="77" t="s">
        <v>87</v>
      </c>
      <c r="H8" s="77" t="s">
        <v>580</v>
      </c>
      <c r="I8" s="77" t="s">
        <v>568</v>
      </c>
      <c r="J8" s="77" t="s">
        <v>11</v>
      </c>
      <c r="K8" s="77"/>
      <c r="L8" s="77"/>
      <c r="M8" s="77" t="s">
        <v>302</v>
      </c>
      <c r="N8" s="77" t="s">
        <v>581</v>
      </c>
      <c r="O8" s="98"/>
    </row>
    <row r="9" spans="1:15" hidden="1" x14ac:dyDescent="0.25">
      <c r="A9" s="81">
        <f t="shared" si="0"/>
        <v>8</v>
      </c>
      <c r="B9" s="81">
        <f>IF(Table1[[#This Row],[Active2]]="No",0,1)</f>
        <v>0</v>
      </c>
      <c r="C9" s="75" t="s">
        <v>582</v>
      </c>
      <c r="D9" s="75" t="s">
        <v>574</v>
      </c>
      <c r="E9" s="75" t="s">
        <v>520</v>
      </c>
      <c r="F9" s="75" t="s">
        <v>113</v>
      </c>
      <c r="G9" s="75" t="s">
        <v>87</v>
      </c>
      <c r="H9" s="75" t="s">
        <v>580</v>
      </c>
      <c r="I9" s="75" t="s">
        <v>583</v>
      </c>
      <c r="J9" s="75" t="s">
        <v>486</v>
      </c>
      <c r="K9" s="75"/>
      <c r="L9" s="75"/>
      <c r="M9" s="75" t="s">
        <v>302</v>
      </c>
      <c r="N9" s="75" t="s">
        <v>1220</v>
      </c>
      <c r="O9" s="98"/>
    </row>
    <row r="10" spans="1:15" x14ac:dyDescent="0.25">
      <c r="A10" s="73">
        <f t="shared" si="0"/>
        <v>9</v>
      </c>
      <c r="B10" s="73">
        <f>IF(Table1[[#This Row],[Active2]]="No",0,1)</f>
        <v>1</v>
      </c>
      <c r="C10" s="75" t="s">
        <v>584</v>
      </c>
      <c r="D10" s="75" t="s">
        <v>585</v>
      </c>
      <c r="E10" s="75" t="s">
        <v>586</v>
      </c>
      <c r="F10" s="75" t="s">
        <v>380</v>
      </c>
      <c r="G10" s="75" t="s">
        <v>85</v>
      </c>
      <c r="H10" t="s">
        <v>587</v>
      </c>
      <c r="I10" s="75"/>
      <c r="J10" s="75" t="s">
        <v>165</v>
      </c>
      <c r="K10" s="75"/>
      <c r="L10" s="75"/>
      <c r="M10" s="75" t="s">
        <v>95</v>
      </c>
      <c r="N10" s="75"/>
      <c r="O10" s="98"/>
    </row>
    <row r="11" spans="1:15" hidden="1" x14ac:dyDescent="0.25">
      <c r="A11" s="80">
        <f t="shared" si="0"/>
        <v>10</v>
      </c>
      <c r="B11" s="80">
        <f>IF(Table1[[#This Row],[Active2]]="No",0,1)</f>
        <v>0</v>
      </c>
      <c r="C11" s="77" t="s">
        <v>588</v>
      </c>
      <c r="D11" s="77"/>
      <c r="E11" s="77" t="s">
        <v>30</v>
      </c>
      <c r="F11" s="77" t="s">
        <v>44</v>
      </c>
      <c r="G11" s="77" t="s">
        <v>87</v>
      </c>
      <c r="H11" s="77" t="s">
        <v>589</v>
      </c>
      <c r="I11" s="77" t="s">
        <v>589</v>
      </c>
      <c r="J11" s="77" t="s">
        <v>11</v>
      </c>
      <c r="K11" s="77" t="s">
        <v>590</v>
      </c>
      <c r="L11" s="77"/>
      <c r="M11" s="77" t="s">
        <v>302</v>
      </c>
      <c r="N11" s="77" t="s">
        <v>591</v>
      </c>
      <c r="O11" s="98"/>
    </row>
    <row r="12" spans="1:15" hidden="1" x14ac:dyDescent="0.25">
      <c r="A12" s="80">
        <f t="shared" si="0"/>
        <v>11</v>
      </c>
      <c r="B12" s="80">
        <f>IF(Table1[[#This Row],[Active2]]="No",0,1)</f>
        <v>0</v>
      </c>
      <c r="C12" s="77" t="s">
        <v>592</v>
      </c>
      <c r="D12" s="77"/>
      <c r="E12" s="77" t="s">
        <v>347</v>
      </c>
      <c r="F12" s="77" t="s">
        <v>43</v>
      </c>
      <c r="G12" s="77" t="s">
        <v>87</v>
      </c>
      <c r="H12" s="77" t="s">
        <v>589</v>
      </c>
      <c r="I12" s="77" t="s">
        <v>589</v>
      </c>
      <c r="J12" s="77" t="s">
        <v>11</v>
      </c>
      <c r="K12" s="77" t="s">
        <v>590</v>
      </c>
      <c r="L12" s="77"/>
      <c r="M12" s="77" t="s">
        <v>302</v>
      </c>
      <c r="N12" s="77" t="s">
        <v>593</v>
      </c>
      <c r="O12" s="98"/>
    </row>
    <row r="13" spans="1:15" hidden="1" x14ac:dyDescent="0.25">
      <c r="A13" s="80">
        <f t="shared" si="0"/>
        <v>12</v>
      </c>
      <c r="B13" s="80">
        <f>IF(Table1[[#This Row],[Active2]]="No",0,1)</f>
        <v>0</v>
      </c>
      <c r="C13" s="77" t="s">
        <v>594</v>
      </c>
      <c r="D13" s="77"/>
      <c r="E13" s="77" t="s">
        <v>595</v>
      </c>
      <c r="F13" s="77" t="s">
        <v>43</v>
      </c>
      <c r="G13" s="77" t="s">
        <v>87</v>
      </c>
      <c r="H13" s="77" t="s">
        <v>589</v>
      </c>
      <c r="I13" s="77" t="s">
        <v>589</v>
      </c>
      <c r="J13" s="77" t="s">
        <v>11</v>
      </c>
      <c r="K13" s="77" t="s">
        <v>590</v>
      </c>
      <c r="L13" s="77"/>
      <c r="M13" s="77" t="s">
        <v>302</v>
      </c>
      <c r="N13" s="77" t="s">
        <v>596</v>
      </c>
      <c r="O13" s="98"/>
    </row>
    <row r="14" spans="1:15" hidden="1" x14ac:dyDescent="0.25">
      <c r="A14" s="81">
        <f t="shared" si="0"/>
        <v>13</v>
      </c>
      <c r="B14" s="81">
        <f>IF(Table1[[#This Row],[Active2]]="No",0,1)</f>
        <v>0</v>
      </c>
      <c r="C14" s="75" t="s">
        <v>597</v>
      </c>
      <c r="D14" s="75" t="s">
        <v>598</v>
      </c>
      <c r="E14" s="75" t="s">
        <v>202</v>
      </c>
      <c r="F14" s="75" t="s">
        <v>45</v>
      </c>
      <c r="G14" s="75" t="s">
        <v>85</v>
      </c>
      <c r="H14" s="75" t="s">
        <v>599</v>
      </c>
      <c r="I14" s="75"/>
      <c r="J14" s="75" t="s">
        <v>486</v>
      </c>
      <c r="K14" s="75"/>
      <c r="L14" s="75"/>
      <c r="M14" s="75" t="s">
        <v>302</v>
      </c>
      <c r="N14" s="75"/>
      <c r="O14" s="98"/>
    </row>
    <row r="15" spans="1:15" hidden="1" x14ac:dyDescent="0.25">
      <c r="A15" s="76">
        <f t="shared" si="0"/>
        <v>14</v>
      </c>
      <c r="B15" s="76">
        <f>IF(Table1[[#This Row],[Active2]]="No",0,1)</f>
        <v>0</v>
      </c>
      <c r="C15" s="77" t="s">
        <v>600</v>
      </c>
      <c r="D15" s="78" t="s">
        <v>601</v>
      </c>
      <c r="E15" s="78" t="s">
        <v>52</v>
      </c>
      <c r="F15" s="77" t="s">
        <v>321</v>
      </c>
      <c r="G15" s="77" t="s">
        <v>85</v>
      </c>
      <c r="H15" s="79" t="s">
        <v>602</v>
      </c>
      <c r="I15" s="78" t="s">
        <v>568</v>
      </c>
      <c r="J15" s="77" t="s">
        <v>11</v>
      </c>
      <c r="K15" s="77"/>
      <c r="L15" s="77"/>
      <c r="M15" s="77" t="s">
        <v>302</v>
      </c>
      <c r="N15" s="77" t="s">
        <v>603</v>
      </c>
      <c r="O15" s="98"/>
    </row>
    <row r="16" spans="1:15" hidden="1" x14ac:dyDescent="0.25">
      <c r="A16" s="76">
        <f t="shared" si="0"/>
        <v>15</v>
      </c>
      <c r="B16" s="76">
        <f>IF(Table1[[#This Row],[Active2]]="No",0,1)</f>
        <v>0</v>
      </c>
      <c r="C16" s="77" t="s">
        <v>604</v>
      </c>
      <c r="D16" s="78" t="s">
        <v>601</v>
      </c>
      <c r="E16" s="77" t="s">
        <v>52</v>
      </c>
      <c r="F16" s="77" t="s">
        <v>321</v>
      </c>
      <c r="G16" s="77" t="s">
        <v>85</v>
      </c>
      <c r="H16" s="79" t="s">
        <v>605</v>
      </c>
      <c r="I16" s="78" t="s">
        <v>568</v>
      </c>
      <c r="J16" s="77" t="s">
        <v>11</v>
      </c>
      <c r="K16" s="77"/>
      <c r="L16" s="77"/>
      <c r="M16" s="77" t="s">
        <v>302</v>
      </c>
      <c r="N16" s="77" t="s">
        <v>603</v>
      </c>
      <c r="O16" s="98"/>
    </row>
    <row r="17" spans="1:15" hidden="1" x14ac:dyDescent="0.25">
      <c r="A17" s="76">
        <f t="shared" si="0"/>
        <v>16</v>
      </c>
      <c r="B17" s="76">
        <f>IF(Table1[[#This Row],[Active2]]="No",0,1)</f>
        <v>0</v>
      </c>
      <c r="C17" s="77" t="s">
        <v>606</v>
      </c>
      <c r="D17" s="78" t="s">
        <v>601</v>
      </c>
      <c r="E17" s="77" t="s">
        <v>52</v>
      </c>
      <c r="F17" s="77" t="s">
        <v>321</v>
      </c>
      <c r="G17" s="77" t="s">
        <v>85</v>
      </c>
      <c r="H17" s="77" t="s">
        <v>607</v>
      </c>
      <c r="I17" s="78" t="s">
        <v>568</v>
      </c>
      <c r="J17" s="77" t="s">
        <v>11</v>
      </c>
      <c r="K17" s="77"/>
      <c r="L17" s="77"/>
      <c r="M17" s="77" t="s">
        <v>302</v>
      </c>
      <c r="N17" s="77" t="s">
        <v>603</v>
      </c>
      <c r="O17" s="98"/>
    </row>
    <row r="18" spans="1:15" hidden="1" x14ac:dyDescent="0.25">
      <c r="A18" s="76">
        <f t="shared" si="0"/>
        <v>17</v>
      </c>
      <c r="B18" s="76">
        <f>IF(Table1[[#This Row],[Active2]]="No",0,1)</f>
        <v>0</v>
      </c>
      <c r="C18" s="77" t="s">
        <v>608</v>
      </c>
      <c r="D18" s="78" t="s">
        <v>601</v>
      </c>
      <c r="E18" s="77" t="s">
        <v>52</v>
      </c>
      <c r="F18" s="77" t="s">
        <v>321</v>
      </c>
      <c r="G18" s="77" t="s">
        <v>85</v>
      </c>
      <c r="H18" s="77" t="s">
        <v>609</v>
      </c>
      <c r="I18" s="78" t="s">
        <v>568</v>
      </c>
      <c r="J18" s="77" t="s">
        <v>11</v>
      </c>
      <c r="K18" s="77"/>
      <c r="L18" s="77"/>
      <c r="M18" s="77" t="s">
        <v>302</v>
      </c>
      <c r="N18" s="77" t="s">
        <v>603</v>
      </c>
      <c r="O18" s="98"/>
    </row>
    <row r="19" spans="1:15" x14ac:dyDescent="0.25">
      <c r="A19" s="73">
        <f t="shared" si="0"/>
        <v>18</v>
      </c>
      <c r="B19" s="73">
        <f>IF(Table1[[#This Row],[Active2]]="No",0,1)</f>
        <v>1</v>
      </c>
      <c r="C19" s="75" t="s">
        <v>610</v>
      </c>
      <c r="D19" s="74" t="s">
        <v>601</v>
      </c>
      <c r="E19" s="75" t="s">
        <v>565</v>
      </c>
      <c r="F19" s="75" t="s">
        <v>321</v>
      </c>
      <c r="G19" s="75" t="s">
        <v>85</v>
      </c>
      <c r="H19" s="75" t="s">
        <v>611</v>
      </c>
      <c r="I19" s="74"/>
      <c r="J19" s="75" t="s">
        <v>486</v>
      </c>
      <c r="K19" s="75"/>
      <c r="L19" s="75"/>
      <c r="M19" s="75" t="s">
        <v>95</v>
      </c>
      <c r="N19" s="75"/>
      <c r="O19" s="98"/>
    </row>
    <row r="20" spans="1:15" hidden="1" x14ac:dyDescent="0.25">
      <c r="A20" s="76">
        <f t="shared" si="0"/>
        <v>19</v>
      </c>
      <c r="B20" s="76">
        <f>IF(Table1[[#This Row],[Active2]]="No",0,1)</f>
        <v>0</v>
      </c>
      <c r="C20" s="77" t="s">
        <v>612</v>
      </c>
      <c r="D20" s="78" t="s">
        <v>601</v>
      </c>
      <c r="E20" s="77" t="s">
        <v>52</v>
      </c>
      <c r="F20" s="77" t="s">
        <v>321</v>
      </c>
      <c r="G20" s="77" t="s">
        <v>85</v>
      </c>
      <c r="H20" s="79" t="s">
        <v>611</v>
      </c>
      <c r="I20" s="78" t="s">
        <v>568</v>
      </c>
      <c r="J20" s="77" t="s">
        <v>11</v>
      </c>
      <c r="K20" s="77"/>
      <c r="L20" s="77"/>
      <c r="M20" s="77" t="s">
        <v>302</v>
      </c>
      <c r="N20" s="77" t="s">
        <v>603</v>
      </c>
      <c r="O20" s="98"/>
    </row>
    <row r="21" spans="1:15" hidden="1" x14ac:dyDescent="0.25">
      <c r="A21" s="76">
        <f t="shared" si="0"/>
        <v>20</v>
      </c>
      <c r="B21" s="76">
        <f>IF(Table1[[#This Row],[Active2]]="No",0,1)</f>
        <v>0</v>
      </c>
      <c r="C21" s="77" t="s">
        <v>613</v>
      </c>
      <c r="D21" s="78" t="s">
        <v>601</v>
      </c>
      <c r="E21" s="77" t="s">
        <v>565</v>
      </c>
      <c r="F21" s="77" t="s">
        <v>321</v>
      </c>
      <c r="G21" s="77" t="s">
        <v>87</v>
      </c>
      <c r="H21" s="77" t="s">
        <v>614</v>
      </c>
      <c r="I21" s="78" t="s">
        <v>568</v>
      </c>
      <c r="J21" s="77" t="s">
        <v>11</v>
      </c>
      <c r="K21" s="77"/>
      <c r="L21" s="77"/>
      <c r="M21" s="77" t="s">
        <v>302</v>
      </c>
      <c r="N21" s="77" t="s">
        <v>603</v>
      </c>
      <c r="O21" s="98"/>
    </row>
    <row r="22" spans="1:15" hidden="1" x14ac:dyDescent="0.25">
      <c r="A22" s="80">
        <f t="shared" si="0"/>
        <v>21</v>
      </c>
      <c r="B22" s="80">
        <f>IF(Table1[[#This Row],[Active2]]="No",0,1)</f>
        <v>0</v>
      </c>
      <c r="C22" s="77" t="s">
        <v>615</v>
      </c>
      <c r="D22" s="78" t="s">
        <v>601</v>
      </c>
      <c r="E22" s="77" t="s">
        <v>565</v>
      </c>
      <c r="F22" s="77" t="s">
        <v>321</v>
      </c>
      <c r="G22" s="77" t="s">
        <v>86</v>
      </c>
      <c r="H22" s="77" t="s">
        <v>616</v>
      </c>
      <c r="I22" s="77"/>
      <c r="J22" s="77" t="s">
        <v>11</v>
      </c>
      <c r="K22" s="77"/>
      <c r="L22" s="77"/>
      <c r="M22" s="77" t="s">
        <v>302</v>
      </c>
      <c r="N22" s="77" t="s">
        <v>603</v>
      </c>
      <c r="O22" s="98"/>
    </row>
    <row r="23" spans="1:15" hidden="1" x14ac:dyDescent="0.25">
      <c r="A23" s="80">
        <f t="shared" si="0"/>
        <v>22</v>
      </c>
      <c r="B23" s="80">
        <f>IF(Table1[[#This Row],[Active2]]="No",0,1)</f>
        <v>0</v>
      </c>
      <c r="C23" s="77" t="s">
        <v>617</v>
      </c>
      <c r="D23" s="77" t="s">
        <v>618</v>
      </c>
      <c r="E23" s="77" t="s">
        <v>196</v>
      </c>
      <c r="F23" s="77" t="s">
        <v>113</v>
      </c>
      <c r="G23" s="77" t="s">
        <v>85</v>
      </c>
      <c r="H23" s="77" t="s">
        <v>619</v>
      </c>
      <c r="I23" s="77" t="s">
        <v>620</v>
      </c>
      <c r="J23" s="77" t="s">
        <v>11</v>
      </c>
      <c r="K23" s="77"/>
      <c r="L23" s="77"/>
      <c r="M23" s="77" t="s">
        <v>302</v>
      </c>
      <c r="N23" s="77" t="s">
        <v>575</v>
      </c>
      <c r="O23" s="98"/>
    </row>
    <row r="24" spans="1:15" hidden="1" x14ac:dyDescent="0.25">
      <c r="A24" s="80">
        <f t="shared" si="0"/>
        <v>23</v>
      </c>
      <c r="B24" s="80">
        <f>IF(Table1[[#This Row],[Active2]]="No",0,1)</f>
        <v>0</v>
      </c>
      <c r="C24" s="77" t="s">
        <v>621</v>
      </c>
      <c r="D24" s="78" t="s">
        <v>601</v>
      </c>
      <c r="E24" s="77" t="s">
        <v>565</v>
      </c>
      <c r="F24" s="77" t="s">
        <v>321</v>
      </c>
      <c r="G24" s="77" t="s">
        <v>85</v>
      </c>
      <c r="H24" s="77" t="s">
        <v>616</v>
      </c>
      <c r="I24" s="77"/>
      <c r="J24" s="77" t="s">
        <v>11</v>
      </c>
      <c r="K24" s="77"/>
      <c r="L24" s="77"/>
      <c r="M24" s="77" t="s">
        <v>302</v>
      </c>
      <c r="N24" s="77" t="s">
        <v>603</v>
      </c>
      <c r="O24" s="98"/>
    </row>
    <row r="25" spans="1:15" hidden="1" x14ac:dyDescent="0.25">
      <c r="A25" s="81">
        <f t="shared" si="0"/>
        <v>24</v>
      </c>
      <c r="B25" s="81">
        <f>IF(Table1[[#This Row],[Active2]]="No",0,1)</f>
        <v>0</v>
      </c>
      <c r="C25" s="75" t="s">
        <v>622</v>
      </c>
      <c r="D25" s="75" t="s">
        <v>618</v>
      </c>
      <c r="E25" s="75" t="s">
        <v>196</v>
      </c>
      <c r="F25" s="75" t="s">
        <v>113</v>
      </c>
      <c r="G25" s="75" t="s">
        <v>87</v>
      </c>
      <c r="H25" s="75" t="s">
        <v>623</v>
      </c>
      <c r="I25" s="75"/>
      <c r="J25" s="75" t="s">
        <v>486</v>
      </c>
      <c r="K25" s="75"/>
      <c r="L25" s="75"/>
      <c r="M25" s="77" t="s">
        <v>302</v>
      </c>
      <c r="N25" s="75" t="s">
        <v>1220</v>
      </c>
      <c r="O25" s="98"/>
    </row>
    <row r="26" spans="1:15" hidden="1" x14ac:dyDescent="0.25">
      <c r="A26" s="81">
        <f t="shared" si="0"/>
        <v>25</v>
      </c>
      <c r="B26" s="81">
        <f>IF(Table1[[#This Row],[Active2]]="No",0,1)</f>
        <v>0</v>
      </c>
      <c r="C26" s="75" t="s">
        <v>624</v>
      </c>
      <c r="D26" s="75" t="s">
        <v>618</v>
      </c>
      <c r="E26" s="75" t="s">
        <v>196</v>
      </c>
      <c r="F26" s="75" t="s">
        <v>113</v>
      </c>
      <c r="G26" s="75" t="s">
        <v>87</v>
      </c>
      <c r="H26" s="75" t="s">
        <v>623</v>
      </c>
      <c r="I26" s="75"/>
      <c r="J26" s="75" t="s">
        <v>486</v>
      </c>
      <c r="K26" s="75"/>
      <c r="L26" s="75"/>
      <c r="M26" s="77" t="s">
        <v>302</v>
      </c>
      <c r="N26" s="75" t="s">
        <v>1220</v>
      </c>
      <c r="O26" s="98"/>
    </row>
    <row r="27" spans="1:15" hidden="1" x14ac:dyDescent="0.25">
      <c r="A27" s="81">
        <f t="shared" si="0"/>
        <v>26</v>
      </c>
      <c r="B27" s="81">
        <f>IF(Table1[[#This Row],[Active2]]="No",0,1)</f>
        <v>0</v>
      </c>
      <c r="C27" s="75" t="s">
        <v>625</v>
      </c>
      <c r="D27" s="75" t="s">
        <v>618</v>
      </c>
      <c r="E27" s="75" t="s">
        <v>196</v>
      </c>
      <c r="F27" s="75" t="s">
        <v>113</v>
      </c>
      <c r="G27" s="75" t="s">
        <v>87</v>
      </c>
      <c r="H27" s="75" t="s">
        <v>626</v>
      </c>
      <c r="I27" s="75" t="s">
        <v>583</v>
      </c>
      <c r="J27" s="75" t="s">
        <v>486</v>
      </c>
      <c r="K27" s="75"/>
      <c r="L27" s="75"/>
      <c r="M27" s="77" t="s">
        <v>302</v>
      </c>
      <c r="N27" s="75" t="s">
        <v>1220</v>
      </c>
      <c r="O27" s="98"/>
    </row>
    <row r="28" spans="1:15" hidden="1" x14ac:dyDescent="0.25">
      <c r="A28" s="81">
        <f t="shared" si="0"/>
        <v>27</v>
      </c>
      <c r="B28" s="81">
        <f>IF(Table1[[#This Row],[Active2]]="No",0,1)</f>
        <v>0</v>
      </c>
      <c r="C28" s="75" t="s">
        <v>627</v>
      </c>
      <c r="D28" s="75" t="s">
        <v>628</v>
      </c>
      <c r="E28" s="75" t="s">
        <v>196</v>
      </c>
      <c r="F28" s="75" t="s">
        <v>43</v>
      </c>
      <c r="G28" s="75" t="s">
        <v>87</v>
      </c>
      <c r="H28" s="75" t="s">
        <v>629</v>
      </c>
      <c r="I28" s="75" t="s">
        <v>583</v>
      </c>
      <c r="J28" s="75" t="s">
        <v>486</v>
      </c>
      <c r="K28" s="75"/>
      <c r="L28" s="75"/>
      <c r="M28" s="77" t="s">
        <v>302</v>
      </c>
      <c r="N28" s="75" t="s">
        <v>1220</v>
      </c>
      <c r="O28" s="98"/>
    </row>
    <row r="29" spans="1:15" hidden="1" x14ac:dyDescent="0.25">
      <c r="A29" s="80">
        <f t="shared" si="0"/>
        <v>28</v>
      </c>
      <c r="B29" s="80">
        <f>IF(Table1[[#This Row],[Active2]]="No",0,1)</f>
        <v>0</v>
      </c>
      <c r="C29" s="77" t="s">
        <v>630</v>
      </c>
      <c r="D29" s="77" t="s">
        <v>618</v>
      </c>
      <c r="E29" s="77" t="s">
        <v>196</v>
      </c>
      <c r="F29" s="77" t="s">
        <v>113</v>
      </c>
      <c r="G29" s="77" t="s">
        <v>87</v>
      </c>
      <c r="H29" s="77" t="s">
        <v>623</v>
      </c>
      <c r="I29" s="77"/>
      <c r="J29" s="77" t="s">
        <v>11</v>
      </c>
      <c r="K29" s="77"/>
      <c r="L29" s="77"/>
      <c r="M29" s="77" t="s">
        <v>302</v>
      </c>
      <c r="N29" s="77" t="s">
        <v>631</v>
      </c>
      <c r="O29" s="98"/>
    </row>
    <row r="30" spans="1:15" hidden="1" x14ac:dyDescent="0.25">
      <c r="A30" s="81">
        <f t="shared" si="0"/>
        <v>29</v>
      </c>
      <c r="B30" s="81">
        <f>IF(Table1[[#This Row],[Active2]]="No",0,1)</f>
        <v>0</v>
      </c>
      <c r="C30" s="75" t="s">
        <v>632</v>
      </c>
      <c r="D30" s="75" t="s">
        <v>618</v>
      </c>
      <c r="E30" s="75" t="s">
        <v>196</v>
      </c>
      <c r="F30" s="75" t="s">
        <v>113</v>
      </c>
      <c r="G30" s="75" t="s">
        <v>87</v>
      </c>
      <c r="H30" s="75" t="s">
        <v>633</v>
      </c>
      <c r="I30" s="75" t="s">
        <v>583</v>
      </c>
      <c r="J30" s="75" t="s">
        <v>486</v>
      </c>
      <c r="K30" s="75"/>
      <c r="L30" s="75"/>
      <c r="M30" s="77" t="s">
        <v>302</v>
      </c>
      <c r="N30" s="75" t="s">
        <v>1220</v>
      </c>
      <c r="O30" s="98"/>
    </row>
    <row r="31" spans="1:15" x14ac:dyDescent="0.25">
      <c r="A31" s="81">
        <f t="shared" si="0"/>
        <v>30</v>
      </c>
      <c r="B31" s="81">
        <f>IF(Table1[[#This Row],[Active2]]="No",0,1)</f>
        <v>1</v>
      </c>
      <c r="C31" s="75" t="s">
        <v>634</v>
      </c>
      <c r="D31" s="75" t="s">
        <v>635</v>
      </c>
      <c r="E31" s="75" t="s">
        <v>270</v>
      </c>
      <c r="F31" s="75" t="s">
        <v>177</v>
      </c>
      <c r="G31" s="75" t="s">
        <v>87</v>
      </c>
      <c r="H31" s="75" t="s">
        <v>636</v>
      </c>
      <c r="I31" s="75"/>
      <c r="J31" s="75" t="s">
        <v>94</v>
      </c>
      <c r="K31" s="75"/>
      <c r="L31" s="75"/>
      <c r="M31" s="75" t="s">
        <v>95</v>
      </c>
      <c r="N31" s="75"/>
      <c r="O31" s="98"/>
    </row>
    <row r="32" spans="1:15" hidden="1" x14ac:dyDescent="0.25">
      <c r="A32" s="73">
        <f t="shared" si="0"/>
        <v>31</v>
      </c>
      <c r="B32" s="73">
        <f>IF(Table1[[#This Row],[Active2]]="No",0,1)</f>
        <v>0</v>
      </c>
      <c r="C32" s="75" t="s">
        <v>637</v>
      </c>
      <c r="D32" s="75" t="s">
        <v>638</v>
      </c>
      <c r="E32" s="75" t="s">
        <v>196</v>
      </c>
      <c r="F32" s="75" t="s">
        <v>113</v>
      </c>
      <c r="G32" s="75" t="s">
        <v>87</v>
      </c>
      <c r="H32" s="82" t="s">
        <v>639</v>
      </c>
      <c r="I32" s="74" t="s">
        <v>583</v>
      </c>
      <c r="J32" s="75" t="s">
        <v>486</v>
      </c>
      <c r="K32" s="75"/>
      <c r="L32" s="75"/>
      <c r="M32" s="77" t="s">
        <v>302</v>
      </c>
      <c r="N32" s="75" t="s">
        <v>1220</v>
      </c>
      <c r="O32" s="98"/>
    </row>
    <row r="33" spans="1:15" hidden="1" x14ac:dyDescent="0.25">
      <c r="A33" s="76">
        <f t="shared" si="0"/>
        <v>32</v>
      </c>
      <c r="B33" s="76">
        <f>IF(Table1[[#This Row],[Active2]]="No",0,1)</f>
        <v>0</v>
      </c>
      <c r="C33" s="78" t="s">
        <v>640</v>
      </c>
      <c r="D33" s="78" t="s">
        <v>564</v>
      </c>
      <c r="E33" s="78" t="s">
        <v>565</v>
      </c>
      <c r="F33" s="78" t="s">
        <v>566</v>
      </c>
      <c r="G33" s="78" t="s">
        <v>85</v>
      </c>
      <c r="H33" s="78" t="s">
        <v>641</v>
      </c>
      <c r="I33" s="78" t="s">
        <v>568</v>
      </c>
      <c r="J33" s="78" t="s">
        <v>11</v>
      </c>
      <c r="K33" s="78"/>
      <c r="L33" s="78"/>
      <c r="M33" s="78" t="s">
        <v>302</v>
      </c>
      <c r="N33" s="78" t="s">
        <v>642</v>
      </c>
      <c r="O33" s="98"/>
    </row>
    <row r="34" spans="1:15" hidden="1" x14ac:dyDescent="0.25">
      <c r="A34" s="76">
        <f t="shared" si="0"/>
        <v>33</v>
      </c>
      <c r="B34" s="76">
        <f>IF(Table1[[#This Row],[Active2]]="No",0,1)</f>
        <v>0</v>
      </c>
      <c r="C34" s="78" t="s">
        <v>643</v>
      </c>
      <c r="D34" s="77" t="s">
        <v>564</v>
      </c>
      <c r="E34" s="78" t="s">
        <v>565</v>
      </c>
      <c r="F34" s="78" t="s">
        <v>566</v>
      </c>
      <c r="G34" s="78" t="s">
        <v>644</v>
      </c>
      <c r="H34" s="78" t="s">
        <v>641</v>
      </c>
      <c r="I34" s="78" t="s">
        <v>568</v>
      </c>
      <c r="J34" s="78" t="s">
        <v>11</v>
      </c>
      <c r="K34" s="78"/>
      <c r="L34" s="78"/>
      <c r="M34" s="78" t="s">
        <v>302</v>
      </c>
      <c r="N34" s="78" t="s">
        <v>642</v>
      </c>
      <c r="O34" s="98"/>
    </row>
    <row r="35" spans="1:15" hidden="1" x14ac:dyDescent="0.25">
      <c r="A35" s="80">
        <f t="shared" si="0"/>
        <v>34</v>
      </c>
      <c r="B35" s="80">
        <f>IF(Table1[[#This Row],[Active2]]="No",0,1)</f>
        <v>0</v>
      </c>
      <c r="C35" s="77" t="s">
        <v>645</v>
      </c>
      <c r="D35" s="77" t="s">
        <v>646</v>
      </c>
      <c r="E35" s="77" t="s">
        <v>30</v>
      </c>
      <c r="F35" s="77" t="s">
        <v>43</v>
      </c>
      <c r="G35" s="77" t="s">
        <v>87</v>
      </c>
      <c r="H35" s="77" t="s">
        <v>647</v>
      </c>
      <c r="I35" s="77" t="s">
        <v>568</v>
      </c>
      <c r="J35" s="77" t="s">
        <v>11</v>
      </c>
      <c r="K35" s="77"/>
      <c r="L35" s="77"/>
      <c r="M35" s="77" t="s">
        <v>302</v>
      </c>
      <c r="N35" s="77" t="s">
        <v>648</v>
      </c>
      <c r="O35" s="98"/>
    </row>
    <row r="36" spans="1:15" x14ac:dyDescent="0.25">
      <c r="A36" s="73">
        <f t="shared" si="0"/>
        <v>35</v>
      </c>
      <c r="B36" s="73">
        <f>IF(Table1[[#This Row],[Active2]]="No",0,1)</f>
        <v>1</v>
      </c>
      <c r="C36" s="75" t="s">
        <v>649</v>
      </c>
      <c r="D36" s="75" t="s">
        <v>585</v>
      </c>
      <c r="E36" s="75" t="s">
        <v>586</v>
      </c>
      <c r="F36" s="75" t="s">
        <v>380</v>
      </c>
      <c r="G36" s="75" t="s">
        <v>85</v>
      </c>
      <c r="H36" t="s">
        <v>587</v>
      </c>
      <c r="I36" s="75"/>
      <c r="J36" s="75" t="s">
        <v>165</v>
      </c>
      <c r="K36" s="75"/>
      <c r="L36" s="75"/>
      <c r="M36" s="75" t="s">
        <v>95</v>
      </c>
      <c r="N36" s="75"/>
      <c r="O36" s="98"/>
    </row>
    <row r="37" spans="1:15" x14ac:dyDescent="0.25">
      <c r="A37" s="73">
        <f t="shared" si="0"/>
        <v>36</v>
      </c>
      <c r="B37" s="73">
        <f>IF(Table1[[#This Row],[Active2]]="No",0,1)</f>
        <v>1</v>
      </c>
      <c r="C37" s="75" t="s">
        <v>650</v>
      </c>
      <c r="D37" s="75" t="s">
        <v>585</v>
      </c>
      <c r="E37" s="75" t="s">
        <v>586</v>
      </c>
      <c r="F37" s="75" t="s">
        <v>380</v>
      </c>
      <c r="G37" s="75" t="s">
        <v>85</v>
      </c>
      <c r="H37" t="s">
        <v>587</v>
      </c>
      <c r="I37" s="75"/>
      <c r="J37" s="75" t="s">
        <v>165</v>
      </c>
      <c r="K37" s="75"/>
      <c r="L37" s="75"/>
      <c r="M37" s="75" t="s">
        <v>95</v>
      </c>
      <c r="N37" s="75"/>
      <c r="O37" s="98"/>
    </row>
    <row r="38" spans="1:15" x14ac:dyDescent="0.25">
      <c r="A38" s="81">
        <f t="shared" si="0"/>
        <v>37</v>
      </c>
      <c r="B38" s="81">
        <f>IF(Table1[[#This Row],[Active2]]="No",0,1)</f>
        <v>1</v>
      </c>
      <c r="C38" s="75" t="s">
        <v>651</v>
      </c>
      <c r="D38" s="75" t="s">
        <v>635</v>
      </c>
      <c r="E38" s="75" t="s">
        <v>224</v>
      </c>
      <c r="F38" s="75" t="s">
        <v>177</v>
      </c>
      <c r="G38" s="75" t="s">
        <v>87</v>
      </c>
      <c r="H38" s="75" t="s">
        <v>636</v>
      </c>
      <c r="I38" s="75"/>
      <c r="J38" s="75" t="s">
        <v>94</v>
      </c>
      <c r="K38" s="75"/>
      <c r="L38" s="75"/>
      <c r="M38" s="75" t="s">
        <v>95</v>
      </c>
      <c r="N38" s="75"/>
      <c r="O38" s="98"/>
    </row>
    <row r="39" spans="1:15" x14ac:dyDescent="0.25">
      <c r="A39" s="81">
        <f t="shared" si="0"/>
        <v>38</v>
      </c>
      <c r="B39" s="81">
        <f>IF(Table1[[#This Row],[Active2]]="No",0,1)</f>
        <v>1</v>
      </c>
      <c r="C39" s="75" t="s">
        <v>652</v>
      </c>
      <c r="D39" s="75" t="s">
        <v>635</v>
      </c>
      <c r="E39" s="75" t="s">
        <v>224</v>
      </c>
      <c r="F39" s="75" t="s">
        <v>10</v>
      </c>
      <c r="G39" s="75" t="s">
        <v>85</v>
      </c>
      <c r="H39" s="75" t="s">
        <v>636</v>
      </c>
      <c r="I39" s="75" t="s">
        <v>589</v>
      </c>
      <c r="J39" s="75" t="s">
        <v>94</v>
      </c>
      <c r="K39" s="75"/>
      <c r="L39" s="75"/>
      <c r="M39" s="75" t="s">
        <v>95</v>
      </c>
      <c r="N39" s="75"/>
      <c r="O39" s="98"/>
    </row>
    <row r="40" spans="1:15" hidden="1" x14ac:dyDescent="0.25">
      <c r="A40" s="76">
        <f t="shared" si="0"/>
        <v>39</v>
      </c>
      <c r="B40" s="76">
        <f>IF(Table1[[#This Row],[Active2]]="No",0,1)</f>
        <v>0</v>
      </c>
      <c r="C40" s="78" t="s">
        <v>653</v>
      </c>
      <c r="D40" s="78" t="s">
        <v>564</v>
      </c>
      <c r="E40" s="78" t="s">
        <v>565</v>
      </c>
      <c r="F40" s="78" t="s">
        <v>566</v>
      </c>
      <c r="G40" s="78" t="s">
        <v>85</v>
      </c>
      <c r="H40" s="78" t="s">
        <v>641</v>
      </c>
      <c r="I40" s="78" t="s">
        <v>568</v>
      </c>
      <c r="J40" s="78" t="s">
        <v>11</v>
      </c>
      <c r="K40" s="78"/>
      <c r="L40" s="78"/>
      <c r="M40" s="78" t="s">
        <v>302</v>
      </c>
      <c r="N40" s="78" t="s">
        <v>642</v>
      </c>
      <c r="O40" s="98"/>
    </row>
    <row r="41" spans="1:15" hidden="1" x14ac:dyDescent="0.25">
      <c r="A41" s="76">
        <f t="shared" si="0"/>
        <v>40</v>
      </c>
      <c r="B41" s="76">
        <f>IF(Table1[[#This Row],[Active2]]="No",0,1)</f>
        <v>0</v>
      </c>
      <c r="C41" s="78" t="s">
        <v>654</v>
      </c>
      <c r="D41" s="78" t="s">
        <v>564</v>
      </c>
      <c r="E41" s="78" t="s">
        <v>565</v>
      </c>
      <c r="F41" s="78" t="s">
        <v>566</v>
      </c>
      <c r="G41" s="78" t="s">
        <v>85</v>
      </c>
      <c r="H41" s="78" t="s">
        <v>641</v>
      </c>
      <c r="I41" s="78" t="s">
        <v>568</v>
      </c>
      <c r="J41" s="78" t="s">
        <v>11</v>
      </c>
      <c r="K41" s="78"/>
      <c r="L41" s="78"/>
      <c r="M41" s="78" t="s">
        <v>302</v>
      </c>
      <c r="N41" s="78" t="s">
        <v>642</v>
      </c>
      <c r="O41" s="98"/>
    </row>
    <row r="42" spans="1:15" hidden="1" x14ac:dyDescent="0.25">
      <c r="A42" s="76">
        <f t="shared" si="0"/>
        <v>41</v>
      </c>
      <c r="B42" s="76">
        <f>IF(Table1[[#This Row],[Active2]]="No",0,1)</f>
        <v>0</v>
      </c>
      <c r="C42" s="78" t="s">
        <v>655</v>
      </c>
      <c r="D42" s="78" t="s">
        <v>564</v>
      </c>
      <c r="E42" s="78" t="s">
        <v>565</v>
      </c>
      <c r="F42" s="78" t="s">
        <v>566</v>
      </c>
      <c r="G42" s="78" t="s">
        <v>644</v>
      </c>
      <c r="H42" s="78" t="s">
        <v>641</v>
      </c>
      <c r="I42" s="78" t="s">
        <v>568</v>
      </c>
      <c r="J42" s="78" t="s">
        <v>11</v>
      </c>
      <c r="K42" s="78"/>
      <c r="L42" s="78"/>
      <c r="M42" s="78" t="s">
        <v>302</v>
      </c>
      <c r="N42" s="78" t="s">
        <v>642</v>
      </c>
      <c r="O42" s="98"/>
    </row>
    <row r="43" spans="1:15" hidden="1" x14ac:dyDescent="0.25">
      <c r="A43" s="76">
        <f t="shared" si="0"/>
        <v>42</v>
      </c>
      <c r="B43" s="76">
        <f>IF(Table1[[#This Row],[Active2]]="No",0,1)</f>
        <v>0</v>
      </c>
      <c r="C43" s="78" t="s">
        <v>656</v>
      </c>
      <c r="D43" s="78" t="s">
        <v>564</v>
      </c>
      <c r="E43" s="78" t="s">
        <v>565</v>
      </c>
      <c r="F43" s="78" t="s">
        <v>566</v>
      </c>
      <c r="G43" s="78" t="s">
        <v>85</v>
      </c>
      <c r="H43" s="78" t="s">
        <v>641</v>
      </c>
      <c r="I43" s="78" t="s">
        <v>568</v>
      </c>
      <c r="J43" s="78" t="s">
        <v>11</v>
      </c>
      <c r="K43" s="78"/>
      <c r="L43" s="78"/>
      <c r="M43" s="78" t="s">
        <v>302</v>
      </c>
      <c r="N43" s="78" t="s">
        <v>642</v>
      </c>
      <c r="O43" s="98"/>
    </row>
    <row r="44" spans="1:15" hidden="1" x14ac:dyDescent="0.25">
      <c r="A44" s="76">
        <f t="shared" si="0"/>
        <v>43</v>
      </c>
      <c r="B44" s="76">
        <f>IF(Table1[[#This Row],[Active2]]="No",0,1)</f>
        <v>0</v>
      </c>
      <c r="C44" s="77" t="s">
        <v>657</v>
      </c>
      <c r="D44" s="78" t="s">
        <v>658</v>
      </c>
      <c r="E44" s="77" t="s">
        <v>565</v>
      </c>
      <c r="F44" s="77" t="s">
        <v>659</v>
      </c>
      <c r="G44" s="77" t="s">
        <v>85</v>
      </c>
      <c r="H44" s="77" t="s">
        <v>660</v>
      </c>
      <c r="I44" s="77"/>
      <c r="J44" s="77" t="s">
        <v>11</v>
      </c>
      <c r="K44" s="77"/>
      <c r="L44" s="77"/>
      <c r="M44" s="77" t="s">
        <v>302</v>
      </c>
      <c r="N44" s="77" t="s">
        <v>661</v>
      </c>
      <c r="O44" s="98"/>
    </row>
    <row r="45" spans="1:15" hidden="1" x14ac:dyDescent="0.25">
      <c r="A45" s="76">
        <f t="shared" si="0"/>
        <v>44</v>
      </c>
      <c r="B45" s="76">
        <f>IF(Table1[[#This Row],[Active2]]="No",0,1)</f>
        <v>0</v>
      </c>
      <c r="C45" s="77" t="s">
        <v>662</v>
      </c>
      <c r="D45" s="78" t="s">
        <v>564</v>
      </c>
      <c r="E45" s="78" t="s">
        <v>565</v>
      </c>
      <c r="F45" s="78" t="s">
        <v>566</v>
      </c>
      <c r="G45" s="78" t="s">
        <v>644</v>
      </c>
      <c r="H45" s="78" t="s">
        <v>641</v>
      </c>
      <c r="I45" s="78" t="s">
        <v>568</v>
      </c>
      <c r="J45" s="77" t="s">
        <v>11</v>
      </c>
      <c r="K45" s="77"/>
      <c r="L45" s="77"/>
      <c r="M45" s="77" t="s">
        <v>302</v>
      </c>
      <c r="N45" s="77"/>
      <c r="O45" s="98"/>
    </row>
    <row r="46" spans="1:15" hidden="1" x14ac:dyDescent="0.25">
      <c r="A46" s="76">
        <f t="shared" si="0"/>
        <v>45</v>
      </c>
      <c r="B46" s="76">
        <f>IF(Table1[[#This Row],[Active2]]="No",0,1)</f>
        <v>0</v>
      </c>
      <c r="C46" s="77" t="s">
        <v>663</v>
      </c>
      <c r="D46" s="78" t="s">
        <v>564</v>
      </c>
      <c r="E46" s="78" t="s">
        <v>565</v>
      </c>
      <c r="F46" s="78" t="s">
        <v>566</v>
      </c>
      <c r="G46" s="78" t="s">
        <v>85</v>
      </c>
      <c r="H46" s="78" t="s">
        <v>641</v>
      </c>
      <c r="I46" s="78" t="s">
        <v>568</v>
      </c>
      <c r="J46" s="77" t="s">
        <v>11</v>
      </c>
      <c r="K46" s="77"/>
      <c r="L46" s="77"/>
      <c r="M46" s="77" t="s">
        <v>302</v>
      </c>
      <c r="N46" s="77"/>
      <c r="O46" s="98"/>
    </row>
    <row r="47" spans="1:15" hidden="1" x14ac:dyDescent="0.25">
      <c r="A47" s="76">
        <f t="shared" si="0"/>
        <v>46</v>
      </c>
      <c r="B47" s="76">
        <f>IF(Table1[[#This Row],[Active2]]="No",0,1)</f>
        <v>0</v>
      </c>
      <c r="C47" s="78" t="s">
        <v>664</v>
      </c>
      <c r="D47" s="78" t="s">
        <v>665</v>
      </c>
      <c r="E47" s="78" t="s">
        <v>403</v>
      </c>
      <c r="F47" s="78" t="s">
        <v>303</v>
      </c>
      <c r="G47" s="78" t="s">
        <v>85</v>
      </c>
      <c r="H47" s="83" t="s">
        <v>666</v>
      </c>
      <c r="I47" s="78" t="s">
        <v>667</v>
      </c>
      <c r="J47" s="78" t="s">
        <v>312</v>
      </c>
      <c r="K47" s="78"/>
      <c r="L47" s="78"/>
      <c r="M47" s="78" t="s">
        <v>302</v>
      </c>
      <c r="N47" s="78" t="s">
        <v>668</v>
      </c>
      <c r="O47" s="98"/>
    </row>
    <row r="48" spans="1:15" hidden="1" x14ac:dyDescent="0.25">
      <c r="A48" s="80">
        <f t="shared" si="0"/>
        <v>47</v>
      </c>
      <c r="B48" s="80">
        <f>IF(Table1[[#This Row],[Active2]]="No",0,1)</f>
        <v>0</v>
      </c>
      <c r="C48" s="77" t="s">
        <v>669</v>
      </c>
      <c r="D48" s="77" t="s">
        <v>670</v>
      </c>
      <c r="E48" s="77" t="s">
        <v>347</v>
      </c>
      <c r="F48" s="77" t="s">
        <v>43</v>
      </c>
      <c r="G48" s="77" t="s">
        <v>87</v>
      </c>
      <c r="H48" s="77" t="s">
        <v>671</v>
      </c>
      <c r="I48" s="77" t="s">
        <v>568</v>
      </c>
      <c r="J48" s="77" t="s">
        <v>11</v>
      </c>
      <c r="K48" s="77"/>
      <c r="L48" s="77"/>
      <c r="M48" s="77" t="s">
        <v>302</v>
      </c>
      <c r="N48" s="77" t="s">
        <v>593</v>
      </c>
      <c r="O48" s="98"/>
    </row>
    <row r="49" spans="1:15" hidden="1" x14ac:dyDescent="0.25">
      <c r="A49" s="76">
        <f t="shared" si="0"/>
        <v>48</v>
      </c>
      <c r="B49" s="76">
        <f>IF(Table1[[#This Row],[Active2]]="No",0,1)</f>
        <v>0</v>
      </c>
      <c r="C49" s="78" t="s">
        <v>672</v>
      </c>
      <c r="D49" s="78" t="s">
        <v>665</v>
      </c>
      <c r="E49" s="78" t="s">
        <v>347</v>
      </c>
      <c r="F49" s="78" t="s">
        <v>45</v>
      </c>
      <c r="G49" s="78" t="s">
        <v>85</v>
      </c>
      <c r="H49" s="83" t="s">
        <v>666</v>
      </c>
      <c r="I49" s="78" t="s">
        <v>673</v>
      </c>
      <c r="J49" s="78" t="s">
        <v>312</v>
      </c>
      <c r="K49" s="78"/>
      <c r="L49" s="78"/>
      <c r="M49" s="78" t="s">
        <v>302</v>
      </c>
      <c r="N49" s="78" t="s">
        <v>674</v>
      </c>
      <c r="O49" s="98"/>
    </row>
    <row r="50" spans="1:15" hidden="1" x14ac:dyDescent="0.25">
      <c r="A50" s="80">
        <f t="shared" si="0"/>
        <v>49</v>
      </c>
      <c r="B50" s="80">
        <f>IF(Table1[[#This Row],[Active2]]="No",0,1)</f>
        <v>0</v>
      </c>
      <c r="C50" s="77" t="s">
        <v>675</v>
      </c>
      <c r="D50" s="78" t="s">
        <v>658</v>
      </c>
      <c r="E50" s="77" t="s">
        <v>565</v>
      </c>
      <c r="F50" s="77" t="s">
        <v>659</v>
      </c>
      <c r="G50" s="77" t="s">
        <v>85</v>
      </c>
      <c r="H50" s="77" t="s">
        <v>676</v>
      </c>
      <c r="I50" s="77" t="s">
        <v>568</v>
      </c>
      <c r="J50" s="77" t="s">
        <v>11</v>
      </c>
      <c r="K50" s="77"/>
      <c r="L50" s="77"/>
      <c r="M50" s="77" t="s">
        <v>302</v>
      </c>
      <c r="N50" s="77" t="s">
        <v>661</v>
      </c>
      <c r="O50" s="98"/>
    </row>
    <row r="51" spans="1:15" hidden="1" x14ac:dyDescent="0.25">
      <c r="A51" s="73">
        <f t="shared" si="0"/>
        <v>50</v>
      </c>
      <c r="B51" s="73">
        <f>IF(Table1[[#This Row],[Active2]]="No",0,1)</f>
        <v>0</v>
      </c>
      <c r="C51" s="75" t="s">
        <v>677</v>
      </c>
      <c r="D51" s="74" t="s">
        <v>678</v>
      </c>
      <c r="E51" s="74" t="s">
        <v>30</v>
      </c>
      <c r="F51" s="74" t="s">
        <v>113</v>
      </c>
      <c r="G51" s="74" t="s">
        <v>87</v>
      </c>
      <c r="H51" s="74" t="s">
        <v>679</v>
      </c>
      <c r="I51" s="75" t="s">
        <v>583</v>
      </c>
      <c r="J51" s="74" t="s">
        <v>486</v>
      </c>
      <c r="K51" s="74"/>
      <c r="L51" s="74"/>
      <c r="M51" s="77" t="s">
        <v>302</v>
      </c>
      <c r="N51" s="74" t="s">
        <v>1220</v>
      </c>
      <c r="O51" s="98"/>
    </row>
    <row r="52" spans="1:15" hidden="1" x14ac:dyDescent="0.25">
      <c r="A52" s="73">
        <f t="shared" si="0"/>
        <v>51</v>
      </c>
      <c r="B52" s="73">
        <f>IF(Table1[[#This Row],[Active2]]="No",0,1)</f>
        <v>0</v>
      </c>
      <c r="C52" s="74" t="s">
        <v>677</v>
      </c>
      <c r="D52" s="75" t="s">
        <v>618</v>
      </c>
      <c r="E52" s="74" t="s">
        <v>196</v>
      </c>
      <c r="F52" s="74" t="s">
        <v>113</v>
      </c>
      <c r="G52" s="74" t="s">
        <v>87</v>
      </c>
      <c r="H52" s="74" t="s">
        <v>680</v>
      </c>
      <c r="I52" s="74" t="s">
        <v>583</v>
      </c>
      <c r="J52" s="74" t="s">
        <v>486</v>
      </c>
      <c r="K52" s="74"/>
      <c r="L52" s="74"/>
      <c r="M52" s="77" t="s">
        <v>302</v>
      </c>
      <c r="N52" s="74" t="s">
        <v>1220</v>
      </c>
      <c r="O52" s="98"/>
    </row>
    <row r="53" spans="1:15" x14ac:dyDescent="0.25">
      <c r="A53" s="81">
        <f t="shared" si="0"/>
        <v>52</v>
      </c>
      <c r="B53" s="81">
        <f>IF(Table1[[#This Row],[Active2]]="No",0,1)</f>
        <v>1</v>
      </c>
      <c r="C53" s="75" t="s">
        <v>681</v>
      </c>
      <c r="D53" s="75" t="s">
        <v>682</v>
      </c>
      <c r="E53" s="75" t="s">
        <v>595</v>
      </c>
      <c r="F53" s="75" t="s">
        <v>109</v>
      </c>
      <c r="G53" s="75" t="s">
        <v>85</v>
      </c>
      <c r="H53" s="75" t="s">
        <v>683</v>
      </c>
      <c r="I53" s="75"/>
      <c r="J53" s="75" t="s">
        <v>340</v>
      </c>
      <c r="K53" s="75"/>
      <c r="L53" s="75"/>
      <c r="M53" s="75" t="s">
        <v>95</v>
      </c>
      <c r="N53" s="75"/>
      <c r="O53" s="98"/>
    </row>
    <row r="54" spans="1:15" hidden="1" x14ac:dyDescent="0.25">
      <c r="A54" s="81">
        <f t="shared" si="0"/>
        <v>53</v>
      </c>
      <c r="B54" s="81">
        <f>IF(Table1[[#This Row],[Active2]]="No",0,1)</f>
        <v>0</v>
      </c>
      <c r="C54" s="75" t="s">
        <v>684</v>
      </c>
      <c r="D54" s="75" t="s">
        <v>685</v>
      </c>
      <c r="E54" s="75" t="s">
        <v>202</v>
      </c>
      <c r="F54" s="75" t="s">
        <v>238</v>
      </c>
      <c r="G54" s="75" t="s">
        <v>85</v>
      </c>
      <c r="H54" s="75" t="s">
        <v>686</v>
      </c>
      <c r="I54" s="75" t="s">
        <v>583</v>
      </c>
      <c r="J54" s="75" t="s">
        <v>486</v>
      </c>
      <c r="K54" s="75"/>
      <c r="L54" s="75"/>
      <c r="M54" s="77" t="s">
        <v>302</v>
      </c>
      <c r="N54" s="75" t="s">
        <v>1220</v>
      </c>
      <c r="O54" s="98"/>
    </row>
    <row r="55" spans="1:15" hidden="1" x14ac:dyDescent="0.25">
      <c r="A55" s="76">
        <f t="shared" si="0"/>
        <v>54</v>
      </c>
      <c r="B55" s="76">
        <f>IF(Table1[[#This Row],[Active2]]="No",0,1)</f>
        <v>0</v>
      </c>
      <c r="C55" s="78" t="s">
        <v>687</v>
      </c>
      <c r="D55" s="77" t="s">
        <v>685</v>
      </c>
      <c r="E55" s="77" t="s">
        <v>202</v>
      </c>
      <c r="F55" s="78" t="s">
        <v>113</v>
      </c>
      <c r="G55" s="78" t="s">
        <v>87</v>
      </c>
      <c r="H55" s="79" t="s">
        <v>688</v>
      </c>
      <c r="I55" s="77" t="s">
        <v>583</v>
      </c>
      <c r="J55" s="78" t="s">
        <v>486</v>
      </c>
      <c r="K55" s="78"/>
      <c r="L55" s="78"/>
      <c r="M55" s="78" t="s">
        <v>302</v>
      </c>
      <c r="N55" s="78" t="s">
        <v>689</v>
      </c>
      <c r="O55" s="98"/>
    </row>
    <row r="56" spans="1:15" hidden="1" x14ac:dyDescent="0.25">
      <c r="A56" s="81">
        <f t="shared" si="0"/>
        <v>55</v>
      </c>
      <c r="B56" s="81">
        <f>IF(Table1[[#This Row],[Active2]]="No",0,1)</f>
        <v>0</v>
      </c>
      <c r="C56" s="75" t="s">
        <v>690</v>
      </c>
      <c r="D56" s="75" t="s">
        <v>685</v>
      </c>
      <c r="E56" s="75" t="s">
        <v>202</v>
      </c>
      <c r="F56" s="75" t="s">
        <v>238</v>
      </c>
      <c r="G56" s="75" t="s">
        <v>85</v>
      </c>
      <c r="H56" s="75" t="s">
        <v>691</v>
      </c>
      <c r="I56" s="75" t="s">
        <v>692</v>
      </c>
      <c r="J56" s="74" t="s">
        <v>486</v>
      </c>
      <c r="K56" s="75"/>
      <c r="L56" s="75"/>
      <c r="M56" s="78" t="s">
        <v>302</v>
      </c>
      <c r="N56" s="75" t="s">
        <v>1220</v>
      </c>
      <c r="O56" s="98"/>
    </row>
    <row r="57" spans="1:15" hidden="1" x14ac:dyDescent="0.25">
      <c r="A57" s="76">
        <f t="shared" si="0"/>
        <v>56</v>
      </c>
      <c r="B57" s="76">
        <f>IF(Table1[[#This Row],[Active2]]="No",0,1)</f>
        <v>0</v>
      </c>
      <c r="C57" s="78" t="s">
        <v>693</v>
      </c>
      <c r="D57" s="78" t="s">
        <v>694</v>
      </c>
      <c r="E57" s="78" t="s">
        <v>52</v>
      </c>
      <c r="F57" s="78" t="s">
        <v>113</v>
      </c>
      <c r="G57" s="78" t="s">
        <v>87</v>
      </c>
      <c r="H57" s="83" t="s">
        <v>695</v>
      </c>
      <c r="I57" s="78" t="s">
        <v>696</v>
      </c>
      <c r="J57" s="78" t="s">
        <v>312</v>
      </c>
      <c r="K57" s="78"/>
      <c r="L57" s="78"/>
      <c r="M57" s="78" t="s">
        <v>302</v>
      </c>
      <c r="N57" s="78" t="s">
        <v>697</v>
      </c>
      <c r="O57" s="98"/>
    </row>
    <row r="58" spans="1:15" x14ac:dyDescent="0.25">
      <c r="A58" s="81">
        <f t="shared" si="0"/>
        <v>57</v>
      </c>
      <c r="B58" s="81">
        <f>IF(Table1[[#This Row],[Active2]]="No",0,1)</f>
        <v>1</v>
      </c>
      <c r="C58" s="75" t="s">
        <v>698</v>
      </c>
      <c r="D58" s="75" t="s">
        <v>635</v>
      </c>
      <c r="E58" s="75" t="s">
        <v>699</v>
      </c>
      <c r="F58" s="75" t="s">
        <v>43</v>
      </c>
      <c r="G58" s="75" t="s">
        <v>85</v>
      </c>
      <c r="H58" s="75" t="s">
        <v>636</v>
      </c>
      <c r="I58" s="75" t="s">
        <v>589</v>
      </c>
      <c r="J58" s="75" t="s">
        <v>94</v>
      </c>
      <c r="K58" s="75"/>
      <c r="L58" s="75"/>
      <c r="M58" s="75" t="s">
        <v>95</v>
      </c>
      <c r="N58" s="75"/>
      <c r="O58" s="98"/>
    </row>
    <row r="59" spans="1:15" hidden="1" x14ac:dyDescent="0.25">
      <c r="A59" s="81">
        <f t="shared" si="0"/>
        <v>58</v>
      </c>
      <c r="B59" s="81">
        <f>IF(Table1[[#This Row],[Active2]]="No",0,1)</f>
        <v>0</v>
      </c>
      <c r="C59" s="75" t="s">
        <v>700</v>
      </c>
      <c r="D59" s="75" t="s">
        <v>701</v>
      </c>
      <c r="E59" s="75" t="s">
        <v>699</v>
      </c>
      <c r="F59" s="75" t="s">
        <v>43</v>
      </c>
      <c r="G59" s="75" t="s">
        <v>87</v>
      </c>
      <c r="H59" s="75" t="s">
        <v>647</v>
      </c>
      <c r="I59" s="75" t="s">
        <v>583</v>
      </c>
      <c r="J59" s="75" t="s">
        <v>486</v>
      </c>
      <c r="K59" s="75"/>
      <c r="L59" s="75"/>
      <c r="M59" s="78" t="s">
        <v>302</v>
      </c>
      <c r="N59" s="75" t="s">
        <v>1220</v>
      </c>
      <c r="O59" s="98"/>
    </row>
    <row r="60" spans="1:15" hidden="1" x14ac:dyDescent="0.25">
      <c r="A60" s="76">
        <f t="shared" si="0"/>
        <v>59</v>
      </c>
      <c r="B60" s="76">
        <f>IF(Table1[[#This Row],[Active2]]="No",0,1)</f>
        <v>0</v>
      </c>
      <c r="C60" s="78" t="s">
        <v>702</v>
      </c>
      <c r="D60" s="84" t="s">
        <v>703</v>
      </c>
      <c r="E60" s="84" t="s">
        <v>565</v>
      </c>
      <c r="F60" s="78" t="s">
        <v>704</v>
      </c>
      <c r="G60" s="78" t="s">
        <v>85</v>
      </c>
      <c r="H60" s="79" t="s">
        <v>666</v>
      </c>
      <c r="I60" s="84" t="s">
        <v>705</v>
      </c>
      <c r="J60" s="84" t="s">
        <v>486</v>
      </c>
      <c r="K60" s="78"/>
      <c r="L60" s="78"/>
      <c r="M60" s="78" t="s">
        <v>302</v>
      </c>
      <c r="N60" s="78" t="s">
        <v>706</v>
      </c>
      <c r="O60" s="98"/>
    </row>
    <row r="61" spans="1:15" x14ac:dyDescent="0.25">
      <c r="A61" s="73">
        <f t="shared" si="0"/>
        <v>60</v>
      </c>
      <c r="B61" s="73">
        <f>IF(Table1[[#This Row],[Active2]]="No",0,1)</f>
        <v>1</v>
      </c>
      <c r="C61" s="74" t="s">
        <v>707</v>
      </c>
      <c r="D61" s="85" t="s">
        <v>703</v>
      </c>
      <c r="E61" s="74" t="s">
        <v>565</v>
      </c>
      <c r="F61" s="74" t="s">
        <v>704</v>
      </c>
      <c r="G61" s="74" t="s">
        <v>87</v>
      </c>
      <c r="H61" s="82" t="s">
        <v>666</v>
      </c>
      <c r="I61" s="85" t="s">
        <v>705</v>
      </c>
      <c r="J61" s="85" t="s">
        <v>486</v>
      </c>
      <c r="K61" s="74"/>
      <c r="L61" s="74"/>
      <c r="M61" s="74" t="s">
        <v>95</v>
      </c>
      <c r="N61" s="74"/>
      <c r="O61" s="98"/>
    </row>
    <row r="62" spans="1:15" hidden="1" x14ac:dyDescent="0.25">
      <c r="A62" s="80">
        <f t="shared" si="0"/>
        <v>61</v>
      </c>
      <c r="B62" s="80">
        <f>IF(Table1[[#This Row],[Active2]]="No",0,1)</f>
        <v>0</v>
      </c>
      <c r="C62" s="77" t="s">
        <v>708</v>
      </c>
      <c r="D62" s="86" t="s">
        <v>709</v>
      </c>
      <c r="E62" s="77" t="s">
        <v>595</v>
      </c>
      <c r="F62" s="77" t="s">
        <v>113</v>
      </c>
      <c r="G62" s="77" t="s">
        <v>85</v>
      </c>
      <c r="H62" s="87" t="s">
        <v>666</v>
      </c>
      <c r="I62" s="86" t="s">
        <v>568</v>
      </c>
      <c r="J62" s="86" t="s">
        <v>11</v>
      </c>
      <c r="K62" s="77"/>
      <c r="L62" s="77"/>
      <c r="M62" s="77" t="s">
        <v>302</v>
      </c>
      <c r="N62" s="77" t="s">
        <v>710</v>
      </c>
      <c r="O62" s="98"/>
    </row>
    <row r="63" spans="1:15" x14ac:dyDescent="0.25">
      <c r="A63" s="81">
        <f t="shared" si="0"/>
        <v>62</v>
      </c>
      <c r="B63" s="81">
        <f>IF(Table1[[#This Row],[Active2]]="No",0,1)</f>
        <v>1</v>
      </c>
      <c r="C63" s="75" t="s">
        <v>711</v>
      </c>
      <c r="D63" s="88" t="s">
        <v>712</v>
      </c>
      <c r="E63" s="75" t="s">
        <v>565</v>
      </c>
      <c r="F63" s="75" t="s">
        <v>704</v>
      </c>
      <c r="G63" s="75" t="s">
        <v>87</v>
      </c>
      <c r="H63" s="75" t="s">
        <v>713</v>
      </c>
      <c r="I63" s="88" t="s">
        <v>583</v>
      </c>
      <c r="J63" s="88" t="s">
        <v>486</v>
      </c>
      <c r="K63" s="75"/>
      <c r="L63" s="75"/>
      <c r="M63" s="75" t="s">
        <v>95</v>
      </c>
      <c r="N63" s="75"/>
      <c r="O63" s="98"/>
    </row>
    <row r="64" spans="1:15" hidden="1" x14ac:dyDescent="0.25">
      <c r="A64" s="80">
        <f t="shared" si="0"/>
        <v>63</v>
      </c>
      <c r="B64" s="80">
        <f>IF(Table1[[#This Row],[Active2]]="No",0,1)</f>
        <v>0</v>
      </c>
      <c r="C64" s="77" t="s">
        <v>714</v>
      </c>
      <c r="D64" s="86" t="s">
        <v>715</v>
      </c>
      <c r="E64" s="77" t="s">
        <v>595</v>
      </c>
      <c r="F64" s="77" t="s">
        <v>113</v>
      </c>
      <c r="G64" s="77" t="s">
        <v>87</v>
      </c>
      <c r="H64" s="77" t="s">
        <v>716</v>
      </c>
      <c r="I64" s="86" t="s">
        <v>568</v>
      </c>
      <c r="J64" s="86" t="s">
        <v>340</v>
      </c>
      <c r="K64" s="77"/>
      <c r="L64" s="77"/>
      <c r="M64" s="77" t="s">
        <v>302</v>
      </c>
      <c r="N64" s="77" t="s">
        <v>581</v>
      </c>
      <c r="O64" s="98"/>
    </row>
    <row r="65" spans="1:15" hidden="1" x14ac:dyDescent="0.25">
      <c r="A65" s="80">
        <f t="shared" si="0"/>
        <v>64</v>
      </c>
      <c r="B65" s="80">
        <f>IF(Table1[[#This Row],[Active2]]="No",0,1)</f>
        <v>0</v>
      </c>
      <c r="C65" s="77" t="s">
        <v>717</v>
      </c>
      <c r="D65" s="86" t="s">
        <v>709</v>
      </c>
      <c r="E65" s="77" t="s">
        <v>595</v>
      </c>
      <c r="F65" s="77" t="s">
        <v>113</v>
      </c>
      <c r="G65" s="77" t="s">
        <v>85</v>
      </c>
      <c r="H65" s="87" t="s">
        <v>666</v>
      </c>
      <c r="I65" s="86" t="s">
        <v>568</v>
      </c>
      <c r="J65" s="86" t="s">
        <v>11</v>
      </c>
      <c r="K65" s="77"/>
      <c r="L65" s="77"/>
      <c r="M65" s="77" t="s">
        <v>302</v>
      </c>
      <c r="N65" s="77" t="s">
        <v>710</v>
      </c>
      <c r="O65" s="98"/>
    </row>
    <row r="66" spans="1:15" hidden="1" x14ac:dyDescent="0.25">
      <c r="A66" s="80">
        <f t="shared" si="0"/>
        <v>65</v>
      </c>
      <c r="B66" s="80">
        <f>IF(Table1[[#This Row],[Active2]]="No",0,1)</f>
        <v>0</v>
      </c>
      <c r="C66" s="77" t="s">
        <v>718</v>
      </c>
      <c r="D66" s="77" t="s">
        <v>709</v>
      </c>
      <c r="E66" s="77" t="s">
        <v>595</v>
      </c>
      <c r="F66" s="77" t="s">
        <v>113</v>
      </c>
      <c r="G66" s="77" t="s">
        <v>85</v>
      </c>
      <c r="H66" s="87" t="s">
        <v>666</v>
      </c>
      <c r="I66" s="86" t="s">
        <v>568</v>
      </c>
      <c r="J66" s="86" t="s">
        <v>11</v>
      </c>
      <c r="K66" s="77"/>
      <c r="L66" s="77"/>
      <c r="M66" s="77" t="s">
        <v>302</v>
      </c>
      <c r="N66" s="77" t="s">
        <v>710</v>
      </c>
      <c r="O66" s="98"/>
    </row>
    <row r="67" spans="1:15" hidden="1" x14ac:dyDescent="0.25">
      <c r="A67" s="80">
        <f t="shared" ref="A67:A130" si="1">IF(C67&lt;&gt;"",A66+1,"")</f>
        <v>66</v>
      </c>
      <c r="B67" s="80">
        <f>IF(Table1[[#This Row],[Active2]]="No",0,1)</f>
        <v>0</v>
      </c>
      <c r="C67" s="77" t="s">
        <v>719</v>
      </c>
      <c r="D67" s="77" t="s">
        <v>709</v>
      </c>
      <c r="E67" s="77" t="s">
        <v>595</v>
      </c>
      <c r="F67" s="77" t="s">
        <v>113</v>
      </c>
      <c r="G67" s="77" t="s">
        <v>85</v>
      </c>
      <c r="H67" s="87" t="s">
        <v>666</v>
      </c>
      <c r="I67" s="77" t="s">
        <v>568</v>
      </c>
      <c r="J67" s="77" t="s">
        <v>11</v>
      </c>
      <c r="K67" s="77"/>
      <c r="L67" s="77"/>
      <c r="M67" s="77" t="s">
        <v>302</v>
      </c>
      <c r="N67" s="77" t="s">
        <v>710</v>
      </c>
      <c r="O67" s="98"/>
    </row>
    <row r="68" spans="1:15" hidden="1" x14ac:dyDescent="0.25">
      <c r="A68" s="80">
        <f t="shared" si="1"/>
        <v>67</v>
      </c>
      <c r="B68" s="80">
        <f>IF(Table1[[#This Row],[Active2]]="No",0,1)</f>
        <v>0</v>
      </c>
      <c r="C68" s="77" t="s">
        <v>720</v>
      </c>
      <c r="D68" s="77" t="s">
        <v>709</v>
      </c>
      <c r="E68" s="77" t="s">
        <v>595</v>
      </c>
      <c r="F68" s="77" t="s">
        <v>113</v>
      </c>
      <c r="G68" s="77" t="s">
        <v>85</v>
      </c>
      <c r="H68" s="87" t="s">
        <v>666</v>
      </c>
      <c r="I68" s="77" t="s">
        <v>568</v>
      </c>
      <c r="J68" s="77" t="s">
        <v>11</v>
      </c>
      <c r="K68" s="77"/>
      <c r="L68" s="77"/>
      <c r="M68" s="77" t="s">
        <v>302</v>
      </c>
      <c r="N68" s="77" t="s">
        <v>710</v>
      </c>
      <c r="O68" s="98"/>
    </row>
    <row r="69" spans="1:15" hidden="1" x14ac:dyDescent="0.25">
      <c r="A69" s="80">
        <f t="shared" si="1"/>
        <v>68</v>
      </c>
      <c r="B69" s="80">
        <f>IF(Table1[[#This Row],[Active2]]="No",0,1)</f>
        <v>0</v>
      </c>
      <c r="C69" s="77" t="s">
        <v>721</v>
      </c>
      <c r="D69" s="77"/>
      <c r="E69" s="77" t="s">
        <v>595</v>
      </c>
      <c r="F69" s="77" t="s">
        <v>43</v>
      </c>
      <c r="G69" s="77" t="s">
        <v>87</v>
      </c>
      <c r="H69" s="77" t="s">
        <v>722</v>
      </c>
      <c r="I69" s="77" t="s">
        <v>568</v>
      </c>
      <c r="J69" s="77" t="s">
        <v>11</v>
      </c>
      <c r="K69" s="77"/>
      <c r="L69" s="77"/>
      <c r="M69" s="77" t="s">
        <v>302</v>
      </c>
      <c r="N69" s="77" t="s">
        <v>596</v>
      </c>
      <c r="O69" s="98"/>
    </row>
    <row r="70" spans="1:15" x14ac:dyDescent="0.25">
      <c r="A70" s="81">
        <f t="shared" si="1"/>
        <v>69</v>
      </c>
      <c r="B70" s="81">
        <f>IF(Table1[[#This Row],[Active2]]="No",0,1)</f>
        <v>1</v>
      </c>
      <c r="C70" s="75" t="s">
        <v>723</v>
      </c>
      <c r="D70" s="75" t="s">
        <v>709</v>
      </c>
      <c r="E70" s="75" t="s">
        <v>595</v>
      </c>
      <c r="F70" s="75" t="s">
        <v>113</v>
      </c>
      <c r="G70" s="75" t="s">
        <v>85</v>
      </c>
      <c r="H70" s="75" t="s">
        <v>724</v>
      </c>
      <c r="I70" s="75" t="s">
        <v>725</v>
      </c>
      <c r="J70" s="75" t="s">
        <v>340</v>
      </c>
      <c r="K70" s="75"/>
      <c r="L70" s="75"/>
      <c r="M70" s="75" t="s">
        <v>95</v>
      </c>
      <c r="N70" s="75"/>
      <c r="O70" s="98"/>
    </row>
    <row r="71" spans="1:15" hidden="1" x14ac:dyDescent="0.25">
      <c r="A71" s="76">
        <f t="shared" si="1"/>
        <v>70</v>
      </c>
      <c r="B71" s="76">
        <f>IF(Table1[[#This Row],[Active2]]="No",0,1)</f>
        <v>0</v>
      </c>
      <c r="C71" s="78" t="s">
        <v>726</v>
      </c>
      <c r="D71" s="78" t="s">
        <v>727</v>
      </c>
      <c r="E71" s="78" t="s">
        <v>196</v>
      </c>
      <c r="F71" s="78" t="s">
        <v>113</v>
      </c>
      <c r="G71" s="78" t="s">
        <v>87</v>
      </c>
      <c r="H71" s="78" t="s">
        <v>683</v>
      </c>
      <c r="I71" s="78"/>
      <c r="J71" s="78" t="s">
        <v>11</v>
      </c>
      <c r="K71" s="78"/>
      <c r="L71" s="78"/>
      <c r="M71" s="78" t="s">
        <v>302</v>
      </c>
      <c r="N71" s="78"/>
      <c r="O71" s="98"/>
    </row>
    <row r="72" spans="1:15" x14ac:dyDescent="0.25">
      <c r="A72" s="81">
        <f t="shared" si="1"/>
        <v>71</v>
      </c>
      <c r="B72" s="81">
        <f>IF(Table1[[#This Row],[Active2]]="No",0,1)</f>
        <v>1</v>
      </c>
      <c r="C72" s="75" t="s">
        <v>728</v>
      </c>
      <c r="D72" s="75" t="s">
        <v>715</v>
      </c>
      <c r="E72" s="75" t="s">
        <v>595</v>
      </c>
      <c r="F72" s="75" t="s">
        <v>113</v>
      </c>
      <c r="G72" s="75" t="s">
        <v>87</v>
      </c>
      <c r="H72" s="75" t="s">
        <v>729</v>
      </c>
      <c r="I72" s="75" t="s">
        <v>730</v>
      </c>
      <c r="J72" s="75" t="s">
        <v>340</v>
      </c>
      <c r="K72" s="75"/>
      <c r="L72" s="75"/>
      <c r="M72" s="75" t="s">
        <v>95</v>
      </c>
      <c r="N72" s="75"/>
      <c r="O72" s="98"/>
    </row>
    <row r="73" spans="1:15" hidden="1" x14ac:dyDescent="0.25">
      <c r="A73" s="73">
        <f t="shared" si="1"/>
        <v>72</v>
      </c>
      <c r="B73" s="73">
        <f>IF(Table1[[#This Row],[Active2]]="No",0,1)</f>
        <v>0</v>
      </c>
      <c r="C73" s="75" t="s">
        <v>731</v>
      </c>
      <c r="D73" s="74" t="s">
        <v>732</v>
      </c>
      <c r="E73" s="75" t="s">
        <v>565</v>
      </c>
      <c r="F73" s="75" t="s">
        <v>43</v>
      </c>
      <c r="G73" s="75" t="s">
        <v>87</v>
      </c>
      <c r="H73" s="75" t="s">
        <v>733</v>
      </c>
      <c r="I73" s="74" t="s">
        <v>583</v>
      </c>
      <c r="J73" s="75" t="s">
        <v>486</v>
      </c>
      <c r="K73" s="75"/>
      <c r="L73" s="75"/>
      <c r="M73" s="75" t="s">
        <v>302</v>
      </c>
      <c r="N73" s="75" t="s">
        <v>1221</v>
      </c>
      <c r="O73" s="98"/>
    </row>
    <row r="74" spans="1:15" hidden="1" x14ac:dyDescent="0.25">
      <c r="A74" s="76">
        <f t="shared" si="1"/>
        <v>73</v>
      </c>
      <c r="B74" s="76">
        <f>IF(Table1[[#This Row],[Active2]]="No",0,1)</f>
        <v>0</v>
      </c>
      <c r="C74" s="77" t="s">
        <v>734</v>
      </c>
      <c r="D74" s="86" t="s">
        <v>735</v>
      </c>
      <c r="E74" s="77" t="s">
        <v>202</v>
      </c>
      <c r="F74" s="77" t="s">
        <v>43</v>
      </c>
      <c r="G74" s="77" t="s">
        <v>85</v>
      </c>
      <c r="H74" s="77" t="s">
        <v>736</v>
      </c>
      <c r="I74" s="84" t="s">
        <v>568</v>
      </c>
      <c r="J74" s="86" t="s">
        <v>11</v>
      </c>
      <c r="K74" s="77"/>
      <c r="L74" s="77"/>
      <c r="M74" s="77" t="s">
        <v>302</v>
      </c>
      <c r="N74" s="77" t="s">
        <v>737</v>
      </c>
      <c r="O74" s="100"/>
    </row>
    <row r="75" spans="1:15" hidden="1" x14ac:dyDescent="0.25">
      <c r="A75" s="76">
        <f t="shared" si="1"/>
        <v>74</v>
      </c>
      <c r="B75" s="76">
        <f>IF(Table1[[#This Row],[Active2]]="No",0,1)</f>
        <v>0</v>
      </c>
      <c r="C75" s="78" t="s">
        <v>738</v>
      </c>
      <c r="D75" s="78" t="s">
        <v>732</v>
      </c>
      <c r="E75" s="78" t="s">
        <v>30</v>
      </c>
      <c r="F75" s="78" t="s">
        <v>43</v>
      </c>
      <c r="G75" s="78" t="s">
        <v>644</v>
      </c>
      <c r="H75" s="78" t="s">
        <v>739</v>
      </c>
      <c r="I75" s="78" t="s">
        <v>583</v>
      </c>
      <c r="J75" s="78" t="s">
        <v>486</v>
      </c>
      <c r="K75" s="78"/>
      <c r="L75" s="78"/>
      <c r="M75" s="78" t="s">
        <v>302</v>
      </c>
      <c r="N75" s="78" t="s">
        <v>740</v>
      </c>
      <c r="O75" s="98"/>
    </row>
    <row r="76" spans="1:15" hidden="1" x14ac:dyDescent="0.25">
      <c r="A76" s="73">
        <f t="shared" si="1"/>
        <v>75</v>
      </c>
      <c r="B76" s="73">
        <f>IF(Table1[[#This Row],[Active2]]="No",0,1)</f>
        <v>0</v>
      </c>
      <c r="C76" s="75" t="s">
        <v>741</v>
      </c>
      <c r="D76" s="74" t="s">
        <v>742</v>
      </c>
      <c r="E76" s="75" t="s">
        <v>202</v>
      </c>
      <c r="F76" s="75" t="s">
        <v>43</v>
      </c>
      <c r="G76" s="75" t="s">
        <v>85</v>
      </c>
      <c r="H76" s="82" t="s">
        <v>743</v>
      </c>
      <c r="I76" s="75"/>
      <c r="J76" s="75" t="s">
        <v>486</v>
      </c>
      <c r="K76" s="75"/>
      <c r="L76" s="75"/>
      <c r="M76" s="78" t="s">
        <v>302</v>
      </c>
      <c r="N76" s="75" t="s">
        <v>1220</v>
      </c>
      <c r="O76" s="98"/>
    </row>
    <row r="77" spans="1:15" hidden="1" x14ac:dyDescent="0.25">
      <c r="A77" s="80">
        <f t="shared" si="1"/>
        <v>76</v>
      </c>
      <c r="B77" s="80">
        <f>IF(Table1[[#This Row],[Active2]]="No",0,1)</f>
        <v>0</v>
      </c>
      <c r="C77" s="77" t="s">
        <v>744</v>
      </c>
      <c r="D77" s="77"/>
      <c r="E77" s="77" t="s">
        <v>196</v>
      </c>
      <c r="F77" s="77" t="s">
        <v>43</v>
      </c>
      <c r="G77" s="77" t="s">
        <v>85</v>
      </c>
      <c r="H77" s="77" t="s">
        <v>745</v>
      </c>
      <c r="I77" s="77" t="s">
        <v>568</v>
      </c>
      <c r="J77" s="77" t="s">
        <v>11</v>
      </c>
      <c r="K77" s="77"/>
      <c r="L77" s="77"/>
      <c r="M77" s="77" t="s">
        <v>302</v>
      </c>
      <c r="N77" s="77" t="s">
        <v>746</v>
      </c>
      <c r="O77" s="98"/>
    </row>
    <row r="78" spans="1:15" hidden="1" x14ac:dyDescent="0.25">
      <c r="A78" s="80">
        <f t="shared" si="1"/>
        <v>77</v>
      </c>
      <c r="B78" s="80">
        <f>IF(Table1[[#This Row],[Active2]]="No",0,1)</f>
        <v>0</v>
      </c>
      <c r="C78" s="77" t="s">
        <v>747</v>
      </c>
      <c r="D78" s="77" t="s">
        <v>628</v>
      </c>
      <c r="E78" s="77" t="s">
        <v>196</v>
      </c>
      <c r="F78" s="77" t="s">
        <v>43</v>
      </c>
      <c r="G78" s="77" t="s">
        <v>85</v>
      </c>
      <c r="H78" s="77" t="s">
        <v>745</v>
      </c>
      <c r="I78" s="77" t="s">
        <v>568</v>
      </c>
      <c r="J78" s="77" t="s">
        <v>11</v>
      </c>
      <c r="K78" s="77"/>
      <c r="L78" s="77"/>
      <c r="M78" s="77" t="s">
        <v>302</v>
      </c>
      <c r="N78" s="77" t="s">
        <v>746</v>
      </c>
      <c r="O78" s="98"/>
    </row>
    <row r="79" spans="1:15" hidden="1" x14ac:dyDescent="0.25">
      <c r="A79" s="73">
        <f t="shared" si="1"/>
        <v>78</v>
      </c>
      <c r="B79" s="73">
        <f>IF(Table1[[#This Row],[Active2]]="No",0,1)</f>
        <v>0</v>
      </c>
      <c r="C79" s="75" t="s">
        <v>748</v>
      </c>
      <c r="D79" s="75" t="s">
        <v>735</v>
      </c>
      <c r="E79" s="75" t="s">
        <v>202</v>
      </c>
      <c r="F79" s="75" t="s">
        <v>43</v>
      </c>
      <c r="G79" s="75" t="s">
        <v>85</v>
      </c>
      <c r="H79" s="75" t="s">
        <v>736</v>
      </c>
      <c r="I79" s="74" t="s">
        <v>749</v>
      </c>
      <c r="J79" s="75" t="s">
        <v>502</v>
      </c>
      <c r="K79" s="75"/>
      <c r="L79" s="75"/>
      <c r="M79" s="77" t="s">
        <v>302</v>
      </c>
      <c r="N79" s="75" t="s">
        <v>737</v>
      </c>
      <c r="O79" s="98"/>
    </row>
    <row r="80" spans="1:15" hidden="1" x14ac:dyDescent="0.25">
      <c r="A80" s="73">
        <f t="shared" si="1"/>
        <v>79</v>
      </c>
      <c r="B80" s="73">
        <f>IF(Table1[[#This Row],[Active2]]="No",0,1)</f>
        <v>0</v>
      </c>
      <c r="C80" s="75" t="s">
        <v>750</v>
      </c>
      <c r="D80" s="75" t="s">
        <v>742</v>
      </c>
      <c r="E80" s="75" t="s">
        <v>202</v>
      </c>
      <c r="F80" s="75" t="s">
        <v>43</v>
      </c>
      <c r="G80" s="75" t="s">
        <v>85</v>
      </c>
      <c r="H80" s="75" t="s">
        <v>751</v>
      </c>
      <c r="I80" s="74" t="s">
        <v>583</v>
      </c>
      <c r="J80" s="75" t="s">
        <v>486</v>
      </c>
      <c r="K80" s="75"/>
      <c r="L80" s="75"/>
      <c r="M80" s="77" t="s">
        <v>302</v>
      </c>
      <c r="N80" s="75" t="s">
        <v>1220</v>
      </c>
      <c r="O80" s="98"/>
    </row>
    <row r="81" spans="1:15" hidden="1" x14ac:dyDescent="0.25">
      <c r="A81" s="73">
        <f t="shared" si="1"/>
        <v>80</v>
      </c>
      <c r="B81" s="73">
        <f>IF(Table1[[#This Row],[Active2]]="No",0,1)</f>
        <v>0</v>
      </c>
      <c r="C81" s="75" t="s">
        <v>752</v>
      </c>
      <c r="D81" s="74" t="s">
        <v>732</v>
      </c>
      <c r="E81" s="75" t="s">
        <v>565</v>
      </c>
      <c r="F81" s="75" t="s">
        <v>43</v>
      </c>
      <c r="G81" s="75" t="s">
        <v>87</v>
      </c>
      <c r="H81" s="75" t="s">
        <v>753</v>
      </c>
      <c r="I81" s="75" t="s">
        <v>583</v>
      </c>
      <c r="J81" s="75" t="s">
        <v>486</v>
      </c>
      <c r="K81" s="75"/>
      <c r="L81" s="75"/>
      <c r="M81" s="75" t="s">
        <v>302</v>
      </c>
      <c r="N81" s="75" t="s">
        <v>1221</v>
      </c>
      <c r="O81" s="98"/>
    </row>
    <row r="82" spans="1:15" hidden="1" x14ac:dyDescent="0.25">
      <c r="A82" s="73">
        <f t="shared" si="1"/>
        <v>81</v>
      </c>
      <c r="B82" s="73">
        <f>IF(Table1[[#This Row],[Active2]]="No",0,1)</f>
        <v>0</v>
      </c>
      <c r="C82" s="75" t="s">
        <v>754</v>
      </c>
      <c r="D82" s="74" t="s">
        <v>732</v>
      </c>
      <c r="E82" s="75" t="s">
        <v>565</v>
      </c>
      <c r="F82" s="75" t="s">
        <v>43</v>
      </c>
      <c r="G82" s="75" t="s">
        <v>85</v>
      </c>
      <c r="H82" s="75" t="s">
        <v>755</v>
      </c>
      <c r="I82" s="74" t="s">
        <v>583</v>
      </c>
      <c r="J82" s="75" t="s">
        <v>486</v>
      </c>
      <c r="K82" s="75"/>
      <c r="L82" s="75"/>
      <c r="M82" s="75" t="s">
        <v>302</v>
      </c>
      <c r="N82" s="75" t="s">
        <v>756</v>
      </c>
      <c r="O82" s="98"/>
    </row>
    <row r="83" spans="1:15" hidden="1" x14ac:dyDescent="0.25">
      <c r="A83" s="81">
        <f t="shared" si="1"/>
        <v>82</v>
      </c>
      <c r="B83" s="81">
        <f>IF(Table1[[#This Row],[Active2]]="No",0,1)</f>
        <v>0</v>
      </c>
      <c r="C83" s="75" t="s">
        <v>757</v>
      </c>
      <c r="D83" s="75" t="s">
        <v>732</v>
      </c>
      <c r="E83" s="75" t="s">
        <v>565</v>
      </c>
      <c r="F83" s="75" t="s">
        <v>43</v>
      </c>
      <c r="G83" s="75" t="s">
        <v>85</v>
      </c>
      <c r="H83" s="75" t="s">
        <v>758</v>
      </c>
      <c r="I83" s="75" t="s">
        <v>583</v>
      </c>
      <c r="J83" s="75" t="s">
        <v>486</v>
      </c>
      <c r="K83" s="75"/>
      <c r="L83" s="75"/>
      <c r="M83" s="75" t="s">
        <v>302</v>
      </c>
      <c r="N83" s="75" t="s">
        <v>756</v>
      </c>
      <c r="O83" s="98"/>
    </row>
    <row r="84" spans="1:15" hidden="1" x14ac:dyDescent="0.25">
      <c r="A84" s="80">
        <f t="shared" si="1"/>
        <v>83</v>
      </c>
      <c r="B84" s="80">
        <f>IF(Table1[[#This Row],[Active2]]="No",0,1)</f>
        <v>0</v>
      </c>
      <c r="C84" s="77" t="s">
        <v>759</v>
      </c>
      <c r="D84" s="77" t="s">
        <v>732</v>
      </c>
      <c r="E84" s="77" t="s">
        <v>565</v>
      </c>
      <c r="F84" s="77" t="s">
        <v>43</v>
      </c>
      <c r="G84" s="77" t="s">
        <v>85</v>
      </c>
      <c r="H84" s="77" t="s">
        <v>760</v>
      </c>
      <c r="I84" s="77" t="s">
        <v>568</v>
      </c>
      <c r="J84" s="77" t="s">
        <v>11</v>
      </c>
      <c r="K84" s="56"/>
      <c r="L84" s="77"/>
      <c r="M84" s="77" t="s">
        <v>302</v>
      </c>
      <c r="N84" s="77" t="s">
        <v>761</v>
      </c>
      <c r="O84" s="100"/>
    </row>
    <row r="85" spans="1:15" hidden="1" x14ac:dyDescent="0.25">
      <c r="A85" s="80">
        <f t="shared" si="1"/>
        <v>84</v>
      </c>
      <c r="B85" s="80">
        <f>IF(Table1[[#This Row],[Active2]]="No",0,1)</f>
        <v>0</v>
      </c>
      <c r="C85" s="77" t="s">
        <v>762</v>
      </c>
      <c r="D85" s="77" t="s">
        <v>732</v>
      </c>
      <c r="E85" s="77" t="s">
        <v>565</v>
      </c>
      <c r="F85" s="77" t="s">
        <v>43</v>
      </c>
      <c r="G85" s="77" t="s">
        <v>85</v>
      </c>
      <c r="H85" s="77" t="s">
        <v>760</v>
      </c>
      <c r="I85" s="77" t="s">
        <v>568</v>
      </c>
      <c r="J85" s="77" t="s">
        <v>11</v>
      </c>
      <c r="K85" s="77" t="s">
        <v>763</v>
      </c>
      <c r="L85" s="77"/>
      <c r="M85" s="77" t="s">
        <v>302</v>
      </c>
      <c r="N85" s="77"/>
      <c r="O85" s="100"/>
    </row>
    <row r="86" spans="1:15" hidden="1" x14ac:dyDescent="0.25">
      <c r="A86" s="73">
        <f t="shared" si="1"/>
        <v>85</v>
      </c>
      <c r="B86" s="73">
        <f>IF(Table1[[#This Row],[Active2]]="No",0,1)</f>
        <v>0</v>
      </c>
      <c r="C86" s="74" t="s">
        <v>764</v>
      </c>
      <c r="D86" s="74" t="s">
        <v>732</v>
      </c>
      <c r="E86" s="74" t="s">
        <v>565</v>
      </c>
      <c r="F86" s="74" t="s">
        <v>43</v>
      </c>
      <c r="G86" s="74" t="s">
        <v>87</v>
      </c>
      <c r="H86" s="74" t="s">
        <v>765</v>
      </c>
      <c r="I86" s="74"/>
      <c r="J86" s="74" t="s">
        <v>486</v>
      </c>
      <c r="K86" s="74"/>
      <c r="L86" s="74"/>
      <c r="M86" s="75" t="s">
        <v>302</v>
      </c>
      <c r="N86" s="75" t="s">
        <v>756</v>
      </c>
      <c r="O86" s="98"/>
    </row>
    <row r="87" spans="1:15" x14ac:dyDescent="0.25">
      <c r="A87" s="73">
        <f t="shared" si="1"/>
        <v>86</v>
      </c>
      <c r="B87" s="73">
        <f>IF(Table1[[#This Row],[Active2]]="No",0,1)</f>
        <v>1</v>
      </c>
      <c r="C87" s="75" t="s">
        <v>766</v>
      </c>
      <c r="D87" s="75" t="s">
        <v>585</v>
      </c>
      <c r="E87" s="75" t="s">
        <v>586</v>
      </c>
      <c r="F87" s="75" t="s">
        <v>380</v>
      </c>
      <c r="G87" s="75" t="s">
        <v>85</v>
      </c>
      <c r="H87" t="s">
        <v>587</v>
      </c>
      <c r="I87" s="75"/>
      <c r="J87" s="75" t="s">
        <v>165</v>
      </c>
      <c r="K87" s="75"/>
      <c r="L87" s="75"/>
      <c r="M87" s="75" t="s">
        <v>95</v>
      </c>
      <c r="N87" s="75"/>
      <c r="O87" s="98"/>
    </row>
    <row r="88" spans="1:15" hidden="1" x14ac:dyDescent="0.25">
      <c r="A88" s="80">
        <f t="shared" si="1"/>
        <v>87</v>
      </c>
      <c r="B88" s="80">
        <f>IF(Table1[[#This Row],[Active2]]="No",0,1)</f>
        <v>0</v>
      </c>
      <c r="C88" s="77" t="s">
        <v>767</v>
      </c>
      <c r="D88" s="77" t="s">
        <v>768</v>
      </c>
      <c r="E88" s="77" t="s">
        <v>30</v>
      </c>
      <c r="F88" s="77" t="s">
        <v>195</v>
      </c>
      <c r="G88" s="77" t="s">
        <v>87</v>
      </c>
      <c r="H88" s="77" t="s">
        <v>769</v>
      </c>
      <c r="I88" s="77" t="s">
        <v>568</v>
      </c>
      <c r="J88" s="77" t="s">
        <v>11</v>
      </c>
      <c r="K88" s="77"/>
      <c r="L88" s="77"/>
      <c r="M88" s="77" t="s">
        <v>302</v>
      </c>
      <c r="N88" s="77" t="s">
        <v>770</v>
      </c>
      <c r="O88" s="100"/>
    </row>
    <row r="89" spans="1:15" hidden="1" x14ac:dyDescent="0.25">
      <c r="A89" s="76">
        <f t="shared" si="1"/>
        <v>88</v>
      </c>
      <c r="B89" s="76">
        <f>IF(Table1[[#This Row],[Active2]]="No",0,1)</f>
        <v>0</v>
      </c>
      <c r="C89" s="78" t="s">
        <v>771</v>
      </c>
      <c r="D89" s="78" t="s">
        <v>768</v>
      </c>
      <c r="E89" s="78" t="s">
        <v>30</v>
      </c>
      <c r="F89" s="78" t="s">
        <v>195</v>
      </c>
      <c r="G89" s="78" t="s">
        <v>87</v>
      </c>
      <c r="H89" s="78" t="s">
        <v>772</v>
      </c>
      <c r="I89" s="78" t="s">
        <v>568</v>
      </c>
      <c r="J89" s="78" t="s">
        <v>11</v>
      </c>
      <c r="K89" s="78"/>
      <c r="L89" s="78"/>
      <c r="M89" s="77" t="s">
        <v>302</v>
      </c>
      <c r="N89" s="77" t="s">
        <v>770</v>
      </c>
      <c r="O89" s="100"/>
    </row>
    <row r="90" spans="1:15" hidden="1" x14ac:dyDescent="0.25">
      <c r="A90" s="76">
        <f t="shared" si="1"/>
        <v>89</v>
      </c>
      <c r="B90" s="76">
        <f>IF(Table1[[#This Row],[Active2]]="No",0,1)</f>
        <v>0</v>
      </c>
      <c r="C90" s="78" t="s">
        <v>773</v>
      </c>
      <c r="D90" s="77" t="s">
        <v>768</v>
      </c>
      <c r="E90" s="78" t="s">
        <v>30</v>
      </c>
      <c r="F90" s="78" t="s">
        <v>195</v>
      </c>
      <c r="G90" s="78" t="s">
        <v>85</v>
      </c>
      <c r="H90" s="78" t="s">
        <v>772</v>
      </c>
      <c r="I90" s="77" t="s">
        <v>568</v>
      </c>
      <c r="J90" s="78" t="s">
        <v>11</v>
      </c>
      <c r="K90" s="78"/>
      <c r="L90" s="78"/>
      <c r="M90" s="77" t="s">
        <v>302</v>
      </c>
      <c r="N90" s="77" t="s">
        <v>770</v>
      </c>
      <c r="O90" s="100"/>
    </row>
    <row r="91" spans="1:15" hidden="1" x14ac:dyDescent="0.25">
      <c r="A91" s="76">
        <f t="shared" si="1"/>
        <v>90</v>
      </c>
      <c r="B91" s="76">
        <f>IF(Table1[[#This Row],[Active2]]="No",0,1)</f>
        <v>0</v>
      </c>
      <c r="C91" s="77" t="s">
        <v>774</v>
      </c>
      <c r="D91" s="77" t="s">
        <v>768</v>
      </c>
      <c r="E91" s="77" t="s">
        <v>30</v>
      </c>
      <c r="F91" s="77" t="s">
        <v>195</v>
      </c>
      <c r="G91" s="77" t="s">
        <v>85</v>
      </c>
      <c r="H91" s="77" t="s">
        <v>775</v>
      </c>
      <c r="I91" s="77" t="s">
        <v>568</v>
      </c>
      <c r="J91" s="77" t="s">
        <v>11</v>
      </c>
      <c r="K91" s="77"/>
      <c r="L91" s="77"/>
      <c r="M91" s="77" t="s">
        <v>302</v>
      </c>
      <c r="N91" s="77" t="s">
        <v>770</v>
      </c>
      <c r="O91" s="100"/>
    </row>
    <row r="92" spans="1:15" hidden="1" x14ac:dyDescent="0.25">
      <c r="A92" s="76">
        <f t="shared" si="1"/>
        <v>91</v>
      </c>
      <c r="B92" s="76">
        <f>IF(Table1[[#This Row],[Active2]]="No",0,1)</f>
        <v>0</v>
      </c>
      <c r="C92" s="77" t="s">
        <v>776</v>
      </c>
      <c r="D92" s="77" t="s">
        <v>577</v>
      </c>
      <c r="E92" s="77" t="s">
        <v>30</v>
      </c>
      <c r="F92" s="77" t="s">
        <v>113</v>
      </c>
      <c r="G92" s="77" t="s">
        <v>85</v>
      </c>
      <c r="H92" s="77" t="s">
        <v>777</v>
      </c>
      <c r="I92" s="77" t="s">
        <v>568</v>
      </c>
      <c r="J92" s="77" t="s">
        <v>11</v>
      </c>
      <c r="K92" s="77"/>
      <c r="L92" s="77"/>
      <c r="M92" s="77" t="s">
        <v>302</v>
      </c>
      <c r="N92" s="77" t="s">
        <v>575</v>
      </c>
      <c r="O92" s="98"/>
    </row>
    <row r="93" spans="1:15" hidden="1" x14ac:dyDescent="0.25">
      <c r="A93" s="81">
        <f t="shared" si="1"/>
        <v>92</v>
      </c>
      <c r="B93" s="81">
        <f>IF(Table1[[#This Row],[Active2]]="No",0,1)</f>
        <v>0</v>
      </c>
      <c r="C93" s="75" t="s">
        <v>778</v>
      </c>
      <c r="D93" s="75" t="s">
        <v>732</v>
      </c>
      <c r="E93" s="75" t="s">
        <v>565</v>
      </c>
      <c r="F93" s="75" t="s">
        <v>43</v>
      </c>
      <c r="G93" s="75" t="s">
        <v>87</v>
      </c>
      <c r="H93" s="75" t="s">
        <v>722</v>
      </c>
      <c r="I93" s="75" t="s">
        <v>583</v>
      </c>
      <c r="J93" s="75" t="s">
        <v>486</v>
      </c>
      <c r="K93" s="75"/>
      <c r="L93" s="75"/>
      <c r="M93" s="75" t="s">
        <v>302</v>
      </c>
      <c r="N93" s="75" t="s">
        <v>756</v>
      </c>
      <c r="O93" s="98"/>
    </row>
    <row r="94" spans="1:15" hidden="1" x14ac:dyDescent="0.25">
      <c r="A94" s="73">
        <f t="shared" si="1"/>
        <v>93</v>
      </c>
      <c r="B94" s="73">
        <f>IF(Table1[[#This Row],[Active2]]="No",0,1)</f>
        <v>0</v>
      </c>
      <c r="C94" s="75" t="s">
        <v>779</v>
      </c>
      <c r="D94" s="75" t="s">
        <v>577</v>
      </c>
      <c r="E94" s="75" t="s">
        <v>30</v>
      </c>
      <c r="F94" s="75" t="s">
        <v>113</v>
      </c>
      <c r="G94" s="75" t="s">
        <v>87</v>
      </c>
      <c r="H94" s="75" t="s">
        <v>780</v>
      </c>
      <c r="I94" s="75" t="s">
        <v>583</v>
      </c>
      <c r="J94" s="75" t="s">
        <v>486</v>
      </c>
      <c r="K94" s="75"/>
      <c r="L94" s="75"/>
      <c r="M94" s="77" t="s">
        <v>302</v>
      </c>
      <c r="N94" s="75" t="s">
        <v>1220</v>
      </c>
      <c r="O94" s="98"/>
    </row>
    <row r="95" spans="1:15" hidden="1" x14ac:dyDescent="0.25">
      <c r="A95" s="73">
        <f t="shared" si="1"/>
        <v>94</v>
      </c>
      <c r="B95" s="73">
        <f>IF(Table1[[#This Row],[Active2]]="No",0,1)</f>
        <v>0</v>
      </c>
      <c r="C95" s="75" t="s">
        <v>781</v>
      </c>
      <c r="D95" s="75" t="s">
        <v>577</v>
      </c>
      <c r="E95" s="75" t="s">
        <v>30</v>
      </c>
      <c r="F95" s="75" t="s">
        <v>113</v>
      </c>
      <c r="G95" s="75" t="s">
        <v>87</v>
      </c>
      <c r="H95" s="75" t="s">
        <v>780</v>
      </c>
      <c r="I95" s="75" t="s">
        <v>583</v>
      </c>
      <c r="J95" s="75" t="s">
        <v>486</v>
      </c>
      <c r="K95" s="75"/>
      <c r="L95" s="75"/>
      <c r="M95" s="77" t="s">
        <v>302</v>
      </c>
      <c r="N95" s="75" t="s">
        <v>1220</v>
      </c>
      <c r="O95" s="98"/>
    </row>
    <row r="96" spans="1:15" hidden="1" x14ac:dyDescent="0.25">
      <c r="A96" s="73">
        <f t="shared" si="1"/>
        <v>95</v>
      </c>
      <c r="B96" s="73">
        <f>IF(Table1[[#This Row],[Active2]]="No",0,1)</f>
        <v>0</v>
      </c>
      <c r="C96" s="74" t="s">
        <v>782</v>
      </c>
      <c r="D96" s="74" t="s">
        <v>678</v>
      </c>
      <c r="E96" s="74" t="s">
        <v>30</v>
      </c>
      <c r="F96" s="74" t="s">
        <v>113</v>
      </c>
      <c r="G96" s="74" t="s">
        <v>86</v>
      </c>
      <c r="H96" s="82" t="s">
        <v>783</v>
      </c>
      <c r="I96" s="74" t="s">
        <v>583</v>
      </c>
      <c r="J96" s="75" t="s">
        <v>486</v>
      </c>
      <c r="K96" s="74"/>
      <c r="L96" s="74"/>
      <c r="M96" s="77" t="s">
        <v>302</v>
      </c>
      <c r="N96" s="74" t="s">
        <v>1220</v>
      </c>
      <c r="O96" s="98"/>
    </row>
    <row r="97" spans="1:15" hidden="1" x14ac:dyDescent="0.25">
      <c r="A97" s="76">
        <f t="shared" si="1"/>
        <v>96</v>
      </c>
      <c r="B97" s="76">
        <f>IF(Table1[[#This Row],[Active2]]="No",0,1)</f>
        <v>0</v>
      </c>
      <c r="C97" s="77" t="s">
        <v>784</v>
      </c>
      <c r="D97" s="77" t="s">
        <v>646</v>
      </c>
      <c r="E97" s="77" t="s">
        <v>30</v>
      </c>
      <c r="F97" s="77" t="s">
        <v>43</v>
      </c>
      <c r="G97" s="77" t="s">
        <v>87</v>
      </c>
      <c r="H97" s="77" t="s">
        <v>785</v>
      </c>
      <c r="I97" s="77" t="s">
        <v>568</v>
      </c>
      <c r="J97" s="77" t="s">
        <v>11</v>
      </c>
      <c r="K97" s="77"/>
      <c r="L97" s="77"/>
      <c r="M97" s="77" t="s">
        <v>302</v>
      </c>
      <c r="N97" s="77" t="s">
        <v>746</v>
      </c>
      <c r="O97" s="100"/>
    </row>
    <row r="98" spans="1:15" hidden="1" x14ac:dyDescent="0.25">
      <c r="A98" s="76">
        <f t="shared" si="1"/>
        <v>97</v>
      </c>
      <c r="B98" s="76">
        <f>IF(Table1[[#This Row],[Active2]]="No",0,1)</f>
        <v>0</v>
      </c>
      <c r="C98" s="77" t="s">
        <v>786</v>
      </c>
      <c r="D98" s="77" t="s">
        <v>577</v>
      </c>
      <c r="E98" s="77" t="s">
        <v>30</v>
      </c>
      <c r="F98" s="77" t="s">
        <v>113</v>
      </c>
      <c r="G98" s="77" t="s">
        <v>87</v>
      </c>
      <c r="H98" s="77" t="s">
        <v>780</v>
      </c>
      <c r="I98" s="77" t="s">
        <v>568</v>
      </c>
      <c r="J98" s="77" t="s">
        <v>11</v>
      </c>
      <c r="K98" s="77"/>
      <c r="L98" s="77"/>
      <c r="M98" s="77" t="s">
        <v>302</v>
      </c>
      <c r="N98" s="77" t="s">
        <v>1220</v>
      </c>
      <c r="O98" s="98"/>
    </row>
    <row r="99" spans="1:15" hidden="1" x14ac:dyDescent="0.25">
      <c r="A99" s="73">
        <f t="shared" si="1"/>
        <v>98</v>
      </c>
      <c r="B99" s="73">
        <f>IF(Table1[[#This Row],[Active2]]="No",0,1)</f>
        <v>0</v>
      </c>
      <c r="C99" s="75" t="s">
        <v>787</v>
      </c>
      <c r="D99" s="75" t="s">
        <v>646</v>
      </c>
      <c r="E99" s="75" t="s">
        <v>30</v>
      </c>
      <c r="F99" s="75" t="s">
        <v>43</v>
      </c>
      <c r="G99" s="75" t="s">
        <v>87</v>
      </c>
      <c r="H99" s="75" t="s">
        <v>671</v>
      </c>
      <c r="I99" s="75" t="s">
        <v>583</v>
      </c>
      <c r="J99" s="75" t="s">
        <v>486</v>
      </c>
      <c r="K99" s="75"/>
      <c r="L99" s="75"/>
      <c r="M99" s="77" t="s">
        <v>302</v>
      </c>
      <c r="N99" s="77" t="s">
        <v>1220</v>
      </c>
      <c r="O99" s="98"/>
    </row>
    <row r="100" spans="1:15" hidden="1" x14ac:dyDescent="0.25">
      <c r="A100" s="73">
        <f t="shared" si="1"/>
        <v>99</v>
      </c>
      <c r="B100" s="73">
        <f>IF(Table1[[#This Row],[Active2]]="No",0,1)</f>
        <v>0</v>
      </c>
      <c r="C100" s="75" t="s">
        <v>788</v>
      </c>
      <c r="D100" s="75" t="s">
        <v>646</v>
      </c>
      <c r="E100" s="75" t="s">
        <v>30</v>
      </c>
      <c r="F100" s="75" t="s">
        <v>43</v>
      </c>
      <c r="G100" s="75" t="s">
        <v>86</v>
      </c>
      <c r="H100" s="75" t="s">
        <v>679</v>
      </c>
      <c r="I100" s="74" t="s">
        <v>583</v>
      </c>
      <c r="J100" s="75" t="s">
        <v>486</v>
      </c>
      <c r="K100" s="75"/>
      <c r="L100" s="75"/>
      <c r="M100" s="77" t="s">
        <v>302</v>
      </c>
      <c r="N100" s="77" t="s">
        <v>1220</v>
      </c>
      <c r="O100" s="98"/>
    </row>
    <row r="101" spans="1:15" hidden="1" x14ac:dyDescent="0.25">
      <c r="A101" s="73">
        <f t="shared" si="1"/>
        <v>100</v>
      </c>
      <c r="B101" s="73">
        <f>IF(Table1[[#This Row],[Active2]]="No",0,1)</f>
        <v>0</v>
      </c>
      <c r="C101" s="75" t="s">
        <v>789</v>
      </c>
      <c r="D101" s="75" t="s">
        <v>646</v>
      </c>
      <c r="E101" s="75" t="s">
        <v>30</v>
      </c>
      <c r="F101" s="75" t="s">
        <v>43</v>
      </c>
      <c r="G101" s="75" t="s">
        <v>85</v>
      </c>
      <c r="H101" s="75" t="s">
        <v>679</v>
      </c>
      <c r="I101" s="74" t="s">
        <v>583</v>
      </c>
      <c r="J101" s="75" t="s">
        <v>486</v>
      </c>
      <c r="K101" s="75"/>
      <c r="L101" s="75"/>
      <c r="M101" s="77" t="s">
        <v>302</v>
      </c>
      <c r="N101" s="77" t="s">
        <v>1220</v>
      </c>
      <c r="O101" s="98"/>
    </row>
    <row r="102" spans="1:15" hidden="1" x14ac:dyDescent="0.25">
      <c r="A102" s="73">
        <f t="shared" si="1"/>
        <v>101</v>
      </c>
      <c r="B102" s="73">
        <f>IF(Table1[[#This Row],[Active2]]="No",0,1)</f>
        <v>0</v>
      </c>
      <c r="C102" s="75" t="s">
        <v>790</v>
      </c>
      <c r="D102" s="75" t="s">
        <v>678</v>
      </c>
      <c r="E102" s="75" t="s">
        <v>30</v>
      </c>
      <c r="F102" s="75" t="s">
        <v>113</v>
      </c>
      <c r="G102" s="75" t="s">
        <v>87</v>
      </c>
      <c r="H102" s="82" t="s">
        <v>639</v>
      </c>
      <c r="I102" s="74" t="s">
        <v>583</v>
      </c>
      <c r="J102" s="75" t="s">
        <v>486</v>
      </c>
      <c r="K102" s="75"/>
      <c r="L102" s="75"/>
      <c r="M102" s="77" t="s">
        <v>302</v>
      </c>
      <c r="N102" s="77" t="s">
        <v>1220</v>
      </c>
      <c r="O102" s="98"/>
    </row>
    <row r="103" spans="1:15" hidden="1" x14ac:dyDescent="0.25">
      <c r="A103" s="73">
        <f t="shared" si="1"/>
        <v>102</v>
      </c>
      <c r="B103" s="73">
        <f>IF(Table1[[#This Row],[Active2]]="No",0,1)</f>
        <v>0</v>
      </c>
      <c r="C103" s="74" t="s">
        <v>791</v>
      </c>
      <c r="D103" s="75" t="s">
        <v>678</v>
      </c>
      <c r="E103" s="74" t="s">
        <v>30</v>
      </c>
      <c r="F103" s="74" t="s">
        <v>113</v>
      </c>
      <c r="G103" s="74" t="s">
        <v>85</v>
      </c>
      <c r="H103" s="74" t="s">
        <v>792</v>
      </c>
      <c r="I103" s="74" t="s">
        <v>793</v>
      </c>
      <c r="J103" s="75" t="s">
        <v>486</v>
      </c>
      <c r="K103" s="74"/>
      <c r="L103" s="74"/>
      <c r="M103" s="77" t="s">
        <v>302</v>
      </c>
      <c r="N103" s="77" t="s">
        <v>1220</v>
      </c>
      <c r="O103" s="98"/>
    </row>
    <row r="104" spans="1:15" hidden="1" x14ac:dyDescent="0.25">
      <c r="A104" s="73">
        <f t="shared" si="1"/>
        <v>103</v>
      </c>
      <c r="B104" s="73">
        <f>IF(Table1[[#This Row],[Active2]]="No",0,1)</f>
        <v>0</v>
      </c>
      <c r="C104" s="75" t="s">
        <v>794</v>
      </c>
      <c r="D104" s="74" t="s">
        <v>732</v>
      </c>
      <c r="E104" s="75" t="s">
        <v>565</v>
      </c>
      <c r="F104" s="75" t="s">
        <v>43</v>
      </c>
      <c r="G104" s="75" t="s">
        <v>85</v>
      </c>
      <c r="H104" s="75" t="s">
        <v>795</v>
      </c>
      <c r="I104" s="74" t="s">
        <v>583</v>
      </c>
      <c r="J104" s="75" t="s">
        <v>486</v>
      </c>
      <c r="K104" s="75"/>
      <c r="L104" s="75"/>
      <c r="M104" s="75" t="s">
        <v>302</v>
      </c>
      <c r="N104" s="75" t="s">
        <v>756</v>
      </c>
      <c r="O104" s="98"/>
    </row>
    <row r="105" spans="1:15" hidden="1" x14ac:dyDescent="0.25">
      <c r="A105" s="76">
        <f t="shared" si="1"/>
        <v>104</v>
      </c>
      <c r="B105" s="76">
        <v>0</v>
      </c>
      <c r="C105" s="78" t="s">
        <v>796</v>
      </c>
      <c r="D105" s="78" t="s">
        <v>797</v>
      </c>
      <c r="E105" s="78" t="s">
        <v>91</v>
      </c>
      <c r="F105" s="78" t="s">
        <v>473</v>
      </c>
      <c r="G105" s="78" t="s">
        <v>85</v>
      </c>
      <c r="H105" s="83" t="s">
        <v>666</v>
      </c>
      <c r="I105" s="78"/>
      <c r="J105" s="78" t="s">
        <v>170</v>
      </c>
      <c r="K105" s="78"/>
      <c r="L105" s="78"/>
      <c r="M105" s="78" t="s">
        <v>302</v>
      </c>
      <c r="N105" s="78"/>
      <c r="O105" s="98"/>
    </row>
    <row r="106" spans="1:15" hidden="1" x14ac:dyDescent="0.25">
      <c r="A106" s="76">
        <f t="shared" si="1"/>
        <v>105</v>
      </c>
      <c r="B106" s="76">
        <v>0</v>
      </c>
      <c r="C106" s="78" t="s">
        <v>798</v>
      </c>
      <c r="D106" s="78" t="s">
        <v>797</v>
      </c>
      <c r="E106" s="78" t="s">
        <v>91</v>
      </c>
      <c r="F106" s="78" t="s">
        <v>473</v>
      </c>
      <c r="G106" s="78" t="s">
        <v>85</v>
      </c>
      <c r="H106" s="83" t="s">
        <v>666</v>
      </c>
      <c r="I106" s="78"/>
      <c r="J106" s="78" t="s">
        <v>170</v>
      </c>
      <c r="K106" s="78"/>
      <c r="L106" s="78"/>
      <c r="M106" s="78" t="s">
        <v>302</v>
      </c>
      <c r="N106" s="78"/>
      <c r="O106" s="98"/>
    </row>
    <row r="107" spans="1:15" hidden="1" x14ac:dyDescent="0.25">
      <c r="A107" s="76">
        <f t="shared" si="1"/>
        <v>106</v>
      </c>
      <c r="B107" s="76">
        <v>0</v>
      </c>
      <c r="C107" s="78" t="s">
        <v>799</v>
      </c>
      <c r="D107" s="78" t="s">
        <v>797</v>
      </c>
      <c r="E107" s="78" t="s">
        <v>91</v>
      </c>
      <c r="F107" s="78" t="s">
        <v>473</v>
      </c>
      <c r="G107" s="78" t="s">
        <v>85</v>
      </c>
      <c r="H107" s="83" t="s">
        <v>666</v>
      </c>
      <c r="I107" s="78"/>
      <c r="J107" s="78" t="s">
        <v>170</v>
      </c>
      <c r="K107" s="78"/>
      <c r="L107" s="78"/>
      <c r="M107" s="78" t="s">
        <v>302</v>
      </c>
      <c r="N107" s="78"/>
      <c r="O107" s="98"/>
    </row>
    <row r="108" spans="1:15" x14ac:dyDescent="0.25">
      <c r="A108" s="73">
        <f t="shared" si="1"/>
        <v>107</v>
      </c>
      <c r="B108" s="73">
        <f>IF(Table1[[#This Row],[Active2]]="No",0,1)</f>
        <v>1</v>
      </c>
      <c r="C108" s="75" t="s">
        <v>800</v>
      </c>
      <c r="D108" s="75" t="s">
        <v>585</v>
      </c>
      <c r="E108" s="75" t="s">
        <v>801</v>
      </c>
      <c r="F108" s="75" t="s">
        <v>113</v>
      </c>
      <c r="G108" s="75" t="s">
        <v>85</v>
      </c>
      <c r="H108" t="s">
        <v>587</v>
      </c>
      <c r="I108" s="75"/>
      <c r="J108" s="75" t="s">
        <v>165</v>
      </c>
      <c r="K108" s="75"/>
      <c r="L108" s="75"/>
      <c r="M108" s="75" t="s">
        <v>95</v>
      </c>
      <c r="N108" s="75"/>
      <c r="O108" s="98"/>
    </row>
    <row r="109" spans="1:15" x14ac:dyDescent="0.25">
      <c r="A109" s="73">
        <f t="shared" si="1"/>
        <v>108</v>
      </c>
      <c r="B109" s="73">
        <f>IF(Table1[[#This Row],[Active2]]="No",0,1)</f>
        <v>1</v>
      </c>
      <c r="C109" s="75" t="s">
        <v>802</v>
      </c>
      <c r="D109" s="75" t="s">
        <v>585</v>
      </c>
      <c r="E109" s="75" t="s">
        <v>801</v>
      </c>
      <c r="F109" s="75" t="s">
        <v>113</v>
      </c>
      <c r="G109" s="75" t="s">
        <v>85</v>
      </c>
      <c r="H109" t="s">
        <v>587</v>
      </c>
      <c r="I109" s="75"/>
      <c r="J109" s="75" t="s">
        <v>165</v>
      </c>
      <c r="K109" s="75"/>
      <c r="L109" s="75"/>
      <c r="M109" s="75" t="s">
        <v>95</v>
      </c>
      <c r="N109" s="75"/>
      <c r="O109" s="98"/>
    </row>
    <row r="110" spans="1:15" x14ac:dyDescent="0.25">
      <c r="A110" s="73">
        <f t="shared" si="1"/>
        <v>109</v>
      </c>
      <c r="B110" s="73">
        <f>IF(Table1[[#This Row],[Active2]]="No",0,1)</f>
        <v>1</v>
      </c>
      <c r="C110" s="75" t="s">
        <v>803</v>
      </c>
      <c r="D110" s="75" t="s">
        <v>585</v>
      </c>
      <c r="E110" s="75" t="s">
        <v>586</v>
      </c>
      <c r="F110" s="75" t="s">
        <v>380</v>
      </c>
      <c r="G110" s="75" t="s">
        <v>85</v>
      </c>
      <c r="H110" t="s">
        <v>587</v>
      </c>
      <c r="I110" s="75"/>
      <c r="J110" s="75" t="s">
        <v>165</v>
      </c>
      <c r="K110" s="75"/>
      <c r="L110" s="75"/>
      <c r="M110" s="75" t="s">
        <v>95</v>
      </c>
      <c r="N110" s="75"/>
      <c r="O110" s="98"/>
    </row>
    <row r="111" spans="1:15" hidden="1" x14ac:dyDescent="0.25">
      <c r="A111" s="76">
        <f t="shared" si="1"/>
        <v>110</v>
      </c>
      <c r="B111" s="76">
        <f>IF(Table1[[#This Row],[Active2]]="No",0,1)</f>
        <v>0</v>
      </c>
      <c r="C111" s="78" t="s">
        <v>804</v>
      </c>
      <c r="D111" s="78" t="s">
        <v>665</v>
      </c>
      <c r="E111" s="78" t="s">
        <v>52</v>
      </c>
      <c r="F111" s="78" t="s">
        <v>166</v>
      </c>
      <c r="G111" s="78" t="s">
        <v>85</v>
      </c>
      <c r="H111" s="83" t="s">
        <v>666</v>
      </c>
      <c r="I111" s="78" t="s">
        <v>673</v>
      </c>
      <c r="J111" s="78" t="s">
        <v>312</v>
      </c>
      <c r="K111" s="78"/>
      <c r="L111" s="78"/>
      <c r="M111" s="78" t="s">
        <v>302</v>
      </c>
      <c r="N111" s="78" t="s">
        <v>805</v>
      </c>
      <c r="O111" s="98"/>
    </row>
    <row r="112" spans="1:15" hidden="1" x14ac:dyDescent="0.25">
      <c r="A112" s="73">
        <f t="shared" si="1"/>
        <v>111</v>
      </c>
      <c r="B112" s="73">
        <f>IF(Table1[[#This Row],[Active2]]="No",0,1)</f>
        <v>0</v>
      </c>
      <c r="C112" s="75" t="s">
        <v>806</v>
      </c>
      <c r="D112" s="75" t="s">
        <v>628</v>
      </c>
      <c r="E112" s="75" t="s">
        <v>196</v>
      </c>
      <c r="F112" s="75" t="s">
        <v>43</v>
      </c>
      <c r="G112" s="75" t="s">
        <v>85</v>
      </c>
      <c r="H112" s="75" t="s">
        <v>807</v>
      </c>
      <c r="I112" s="75" t="s">
        <v>583</v>
      </c>
      <c r="J112" s="75" t="s">
        <v>486</v>
      </c>
      <c r="K112" s="75"/>
      <c r="L112" s="75"/>
      <c r="M112" s="77" t="s">
        <v>302</v>
      </c>
      <c r="N112" s="77" t="s">
        <v>1220</v>
      </c>
      <c r="O112" s="98"/>
    </row>
    <row r="113" spans="1:15" hidden="1" x14ac:dyDescent="0.25">
      <c r="A113" s="76">
        <f t="shared" si="1"/>
        <v>112</v>
      </c>
      <c r="B113" s="76">
        <f>IF(Table1[[#This Row],[Active2]]="No",0,1)</f>
        <v>0</v>
      </c>
      <c r="C113" s="77" t="s">
        <v>808</v>
      </c>
      <c r="D113" s="77" t="s">
        <v>694</v>
      </c>
      <c r="E113" s="77" t="s">
        <v>52</v>
      </c>
      <c r="F113" s="77" t="s">
        <v>113</v>
      </c>
      <c r="G113" s="77" t="s">
        <v>85</v>
      </c>
      <c r="H113" s="77"/>
      <c r="I113" s="77" t="s">
        <v>568</v>
      </c>
      <c r="J113" s="77" t="s">
        <v>11</v>
      </c>
      <c r="K113" s="77"/>
      <c r="L113" s="77"/>
      <c r="M113" s="77" t="s">
        <v>302</v>
      </c>
      <c r="N113" s="77" t="s">
        <v>575</v>
      </c>
      <c r="O113" s="98"/>
    </row>
    <row r="114" spans="1:15" hidden="1" x14ac:dyDescent="0.25">
      <c r="A114" s="76">
        <f t="shared" si="1"/>
        <v>113</v>
      </c>
      <c r="B114" s="76">
        <f>IF(Table1[[#This Row],[Active2]]="No",0,1)</f>
        <v>0</v>
      </c>
      <c r="C114" s="77" t="s">
        <v>809</v>
      </c>
      <c r="D114" s="77" t="s">
        <v>810</v>
      </c>
      <c r="E114" s="77" t="s">
        <v>52</v>
      </c>
      <c r="F114" s="77" t="s">
        <v>113</v>
      </c>
      <c r="G114" s="77" t="s">
        <v>87</v>
      </c>
      <c r="H114" s="77" t="s">
        <v>811</v>
      </c>
      <c r="I114" s="77" t="s">
        <v>568</v>
      </c>
      <c r="J114" s="77" t="s">
        <v>11</v>
      </c>
      <c r="K114" s="77"/>
      <c r="L114" s="77"/>
      <c r="M114" s="77" t="s">
        <v>302</v>
      </c>
      <c r="N114" s="77"/>
      <c r="O114" s="98"/>
    </row>
    <row r="115" spans="1:15" hidden="1" x14ac:dyDescent="0.25">
      <c r="A115" s="76">
        <f t="shared" si="1"/>
        <v>114</v>
      </c>
      <c r="B115" s="76">
        <f>IF(Table1[[#This Row],[Active2]]="No",0,1)</f>
        <v>0</v>
      </c>
      <c r="C115" s="78" t="s">
        <v>812</v>
      </c>
      <c r="D115" s="78" t="s">
        <v>694</v>
      </c>
      <c r="E115" s="78" t="s">
        <v>52</v>
      </c>
      <c r="F115" s="78" t="s">
        <v>113</v>
      </c>
      <c r="G115" s="78" t="s">
        <v>86</v>
      </c>
      <c r="H115" s="83" t="s">
        <v>813</v>
      </c>
      <c r="I115" s="83" t="s">
        <v>696</v>
      </c>
      <c r="J115" s="78" t="s">
        <v>312</v>
      </c>
      <c r="K115" s="78"/>
      <c r="L115" s="78"/>
      <c r="M115" s="78" t="s">
        <v>302</v>
      </c>
      <c r="N115" s="78"/>
      <c r="O115" s="100"/>
    </row>
    <row r="116" spans="1:15" hidden="1" x14ac:dyDescent="0.25">
      <c r="A116" s="76">
        <f t="shared" si="1"/>
        <v>115</v>
      </c>
      <c r="B116" s="76">
        <f>IF(Table1[[#This Row],[Active2]]="No",0,1)</f>
        <v>0</v>
      </c>
      <c r="C116" s="77" t="s">
        <v>814</v>
      </c>
      <c r="D116" s="77"/>
      <c r="E116" s="77" t="s">
        <v>52</v>
      </c>
      <c r="F116" s="77" t="s">
        <v>815</v>
      </c>
      <c r="G116" s="77" t="s">
        <v>85</v>
      </c>
      <c r="H116" s="77" t="s">
        <v>636</v>
      </c>
      <c r="I116" s="77" t="s">
        <v>589</v>
      </c>
      <c r="J116" s="77" t="s">
        <v>62</v>
      </c>
      <c r="K116" s="77"/>
      <c r="L116" s="77"/>
      <c r="M116" s="77" t="s">
        <v>302</v>
      </c>
      <c r="N116" s="77" t="s">
        <v>816</v>
      </c>
      <c r="O116" s="98"/>
    </row>
    <row r="117" spans="1:15" hidden="1" x14ac:dyDescent="0.25">
      <c r="A117" s="76">
        <f t="shared" si="1"/>
        <v>116</v>
      </c>
      <c r="B117" s="76">
        <f>IF(Table1[[#This Row],[Active2]]="No",0,1)</f>
        <v>0</v>
      </c>
      <c r="C117" s="77" t="s">
        <v>817</v>
      </c>
      <c r="D117" s="77"/>
      <c r="E117" s="77" t="s">
        <v>52</v>
      </c>
      <c r="F117" s="77" t="s">
        <v>815</v>
      </c>
      <c r="G117" s="77" t="s">
        <v>85</v>
      </c>
      <c r="H117" s="77" t="s">
        <v>636</v>
      </c>
      <c r="I117" s="77" t="s">
        <v>589</v>
      </c>
      <c r="J117" s="77" t="s">
        <v>62</v>
      </c>
      <c r="K117" s="77"/>
      <c r="L117" s="77"/>
      <c r="M117" s="77" t="s">
        <v>302</v>
      </c>
      <c r="N117" s="77" t="s">
        <v>816</v>
      </c>
      <c r="O117" s="98"/>
    </row>
    <row r="118" spans="1:15" hidden="1" x14ac:dyDescent="0.25">
      <c r="A118" s="76">
        <f t="shared" si="1"/>
        <v>117</v>
      </c>
      <c r="B118" s="76">
        <f>IF(Table1[[#This Row],[Active2]]="No",0,1)</f>
        <v>0</v>
      </c>
      <c r="C118" s="78" t="s">
        <v>818</v>
      </c>
      <c r="D118" s="78" t="s">
        <v>810</v>
      </c>
      <c r="E118" s="78" t="s">
        <v>52</v>
      </c>
      <c r="F118" s="78" t="s">
        <v>113</v>
      </c>
      <c r="G118" s="78" t="s">
        <v>85</v>
      </c>
      <c r="H118" s="83" t="s">
        <v>819</v>
      </c>
      <c r="I118" s="83" t="s">
        <v>696</v>
      </c>
      <c r="J118" s="78" t="s">
        <v>312</v>
      </c>
      <c r="K118" s="78"/>
      <c r="L118" s="78"/>
      <c r="M118" s="78" t="s">
        <v>302</v>
      </c>
      <c r="N118" s="78"/>
      <c r="O118" s="100"/>
    </row>
    <row r="119" spans="1:15" hidden="1" x14ac:dyDescent="0.25">
      <c r="A119" s="76">
        <f t="shared" si="1"/>
        <v>118</v>
      </c>
      <c r="B119" s="76">
        <f>IF(Table1[[#This Row],[Active2]]="No",0,1)</f>
        <v>0</v>
      </c>
      <c r="C119" s="77" t="s">
        <v>820</v>
      </c>
      <c r="D119" s="77"/>
      <c r="E119" s="77" t="s">
        <v>30</v>
      </c>
      <c r="F119" s="77" t="s">
        <v>44</v>
      </c>
      <c r="G119" s="77" t="s">
        <v>87</v>
      </c>
      <c r="H119" s="77" t="s">
        <v>821</v>
      </c>
      <c r="I119" s="77" t="s">
        <v>568</v>
      </c>
      <c r="J119" s="77" t="s">
        <v>11</v>
      </c>
      <c r="K119" s="77"/>
      <c r="L119" s="77"/>
      <c r="M119" s="77" t="s">
        <v>302</v>
      </c>
      <c r="N119" s="77" t="s">
        <v>591</v>
      </c>
      <c r="O119" s="98"/>
    </row>
    <row r="120" spans="1:15" hidden="1" x14ac:dyDescent="0.25">
      <c r="A120" s="73">
        <f t="shared" si="1"/>
        <v>119</v>
      </c>
      <c r="B120" s="73">
        <f>IF(Table1[[#This Row],[Active2]]="No",0,1)</f>
        <v>0</v>
      </c>
      <c r="C120" s="75" t="s">
        <v>822</v>
      </c>
      <c r="D120" s="75" t="s">
        <v>823</v>
      </c>
      <c r="E120" s="75" t="s">
        <v>30</v>
      </c>
      <c r="F120" s="75" t="s">
        <v>38</v>
      </c>
      <c r="G120" s="75" t="s">
        <v>87</v>
      </c>
      <c r="H120" s="75" t="s">
        <v>824</v>
      </c>
      <c r="I120" s="75" t="s">
        <v>583</v>
      </c>
      <c r="J120" s="75" t="s">
        <v>486</v>
      </c>
      <c r="K120" s="75"/>
      <c r="L120" s="75"/>
      <c r="M120" s="77" t="s">
        <v>302</v>
      </c>
      <c r="N120" s="75" t="s">
        <v>1220</v>
      </c>
      <c r="O120" s="98"/>
    </row>
    <row r="121" spans="1:15" hidden="1" x14ac:dyDescent="0.25">
      <c r="A121" s="73">
        <f t="shared" si="1"/>
        <v>120</v>
      </c>
      <c r="B121" s="73">
        <f>IF(Table1[[#This Row],[Active2]]="No",0,1)</f>
        <v>0</v>
      </c>
      <c r="C121" s="75" t="s">
        <v>825</v>
      </c>
      <c r="D121" s="75" t="s">
        <v>646</v>
      </c>
      <c r="E121" s="75" t="s">
        <v>30</v>
      </c>
      <c r="F121" s="75" t="s">
        <v>43</v>
      </c>
      <c r="G121" s="75" t="s">
        <v>87</v>
      </c>
      <c r="H121" s="75" t="s">
        <v>824</v>
      </c>
      <c r="I121" s="75" t="s">
        <v>583</v>
      </c>
      <c r="J121" s="75" t="s">
        <v>486</v>
      </c>
      <c r="K121" s="75"/>
      <c r="L121" s="75"/>
      <c r="M121" s="77" t="s">
        <v>302</v>
      </c>
      <c r="N121" s="75" t="s">
        <v>1220</v>
      </c>
      <c r="O121" s="98"/>
    </row>
    <row r="122" spans="1:15" hidden="1" x14ac:dyDescent="0.25">
      <c r="A122" s="73">
        <f t="shared" si="1"/>
        <v>121</v>
      </c>
      <c r="B122" s="73">
        <f>IF(Table1[[#This Row],[Active2]]="No",0,1)</f>
        <v>0</v>
      </c>
      <c r="C122" s="75" t="s">
        <v>826</v>
      </c>
      <c r="D122" s="75" t="s">
        <v>646</v>
      </c>
      <c r="E122" s="75" t="s">
        <v>30</v>
      </c>
      <c r="F122" s="75" t="s">
        <v>43</v>
      </c>
      <c r="G122" s="75" t="s">
        <v>87</v>
      </c>
      <c r="H122" s="75" t="s">
        <v>824</v>
      </c>
      <c r="I122" s="75" t="s">
        <v>583</v>
      </c>
      <c r="J122" s="75" t="s">
        <v>486</v>
      </c>
      <c r="K122" s="75"/>
      <c r="L122" s="75"/>
      <c r="M122" s="77" t="s">
        <v>302</v>
      </c>
      <c r="N122" s="75" t="s">
        <v>1220</v>
      </c>
      <c r="O122" s="98"/>
    </row>
    <row r="123" spans="1:15" hidden="1" x14ac:dyDescent="0.25">
      <c r="A123" s="73">
        <f t="shared" si="1"/>
        <v>122</v>
      </c>
      <c r="B123" s="73">
        <f>IF(Table1[[#This Row],[Active2]]="No",0,1)</f>
        <v>0</v>
      </c>
      <c r="C123" s="75" t="s">
        <v>827</v>
      </c>
      <c r="D123" s="75" t="s">
        <v>628</v>
      </c>
      <c r="E123" s="75" t="s">
        <v>196</v>
      </c>
      <c r="F123" s="75" t="s">
        <v>43</v>
      </c>
      <c r="G123" s="75" t="s">
        <v>85</v>
      </c>
      <c r="H123" s="75" t="s">
        <v>828</v>
      </c>
      <c r="I123" s="75" t="s">
        <v>583</v>
      </c>
      <c r="J123" s="75" t="s">
        <v>486</v>
      </c>
      <c r="K123" s="75"/>
      <c r="L123" s="75"/>
      <c r="M123" s="77" t="s">
        <v>302</v>
      </c>
      <c r="N123" s="75" t="s">
        <v>1220</v>
      </c>
      <c r="O123" s="98"/>
    </row>
    <row r="124" spans="1:15" x14ac:dyDescent="0.25">
      <c r="A124" s="73">
        <f t="shared" si="1"/>
        <v>123</v>
      </c>
      <c r="B124" s="73">
        <f>IF(Table1[[#This Row],[Active2]]="No",0,1)</f>
        <v>1</v>
      </c>
      <c r="C124" s="75" t="s">
        <v>829</v>
      </c>
      <c r="D124" s="75" t="s">
        <v>830</v>
      </c>
      <c r="E124" s="75" t="s">
        <v>595</v>
      </c>
      <c r="F124" s="75" t="s">
        <v>19</v>
      </c>
      <c r="G124" s="75" t="s">
        <v>85</v>
      </c>
      <c r="H124" s="75" t="s">
        <v>831</v>
      </c>
      <c r="I124" s="75" t="s">
        <v>730</v>
      </c>
      <c r="J124" s="75" t="s">
        <v>340</v>
      </c>
      <c r="K124" s="75"/>
      <c r="L124" s="75"/>
      <c r="M124" s="75" t="s">
        <v>95</v>
      </c>
      <c r="N124" s="75"/>
      <c r="O124" s="98"/>
    </row>
    <row r="125" spans="1:15" x14ac:dyDescent="0.25">
      <c r="A125" s="73">
        <f t="shared" si="1"/>
        <v>124</v>
      </c>
      <c r="B125" s="73">
        <f>IF(Table1[[#This Row],[Active2]]="No",0,1)</f>
        <v>1</v>
      </c>
      <c r="C125" s="75" t="s">
        <v>832</v>
      </c>
      <c r="D125" s="75" t="s">
        <v>833</v>
      </c>
      <c r="E125" s="75" t="s">
        <v>595</v>
      </c>
      <c r="F125" s="75" t="s">
        <v>19</v>
      </c>
      <c r="G125" s="75" t="s">
        <v>87</v>
      </c>
      <c r="H125" s="75" t="s">
        <v>834</v>
      </c>
      <c r="I125" s="75" t="s">
        <v>636</v>
      </c>
      <c r="J125" s="75" t="s">
        <v>13</v>
      </c>
      <c r="K125" s="75"/>
      <c r="L125" s="75"/>
      <c r="M125" s="75" t="s">
        <v>95</v>
      </c>
      <c r="N125" s="75"/>
      <c r="O125" s="98"/>
    </row>
    <row r="126" spans="1:15" x14ac:dyDescent="0.25">
      <c r="A126" s="73">
        <f t="shared" si="1"/>
        <v>125</v>
      </c>
      <c r="B126" s="73">
        <f>IF(Table1[[#This Row],[Active2]]="No",0,1)</f>
        <v>1</v>
      </c>
      <c r="C126" s="75" t="s">
        <v>835</v>
      </c>
      <c r="D126" s="75" t="s">
        <v>830</v>
      </c>
      <c r="E126" s="75" t="s">
        <v>595</v>
      </c>
      <c r="F126" s="75" t="s">
        <v>19</v>
      </c>
      <c r="G126" s="75" t="s">
        <v>85</v>
      </c>
      <c r="H126" s="75" t="s">
        <v>683</v>
      </c>
      <c r="I126" s="75"/>
      <c r="J126" s="75" t="s">
        <v>340</v>
      </c>
      <c r="K126" s="75"/>
      <c r="L126" s="75"/>
      <c r="M126" s="75" t="s">
        <v>95</v>
      </c>
      <c r="N126" s="75"/>
      <c r="O126" s="98"/>
    </row>
    <row r="127" spans="1:15" hidden="1" x14ac:dyDescent="0.25">
      <c r="A127" s="76">
        <f t="shared" si="1"/>
        <v>126</v>
      </c>
      <c r="B127" s="76">
        <f>IF(Table1[[#This Row],[Active2]]="No",0,1)</f>
        <v>0</v>
      </c>
      <c r="C127" s="77" t="s">
        <v>836</v>
      </c>
      <c r="D127" s="77" t="s">
        <v>628</v>
      </c>
      <c r="E127" s="77" t="s">
        <v>196</v>
      </c>
      <c r="F127" s="77" t="s">
        <v>43</v>
      </c>
      <c r="G127" s="77" t="s">
        <v>85</v>
      </c>
      <c r="H127" s="77" t="s">
        <v>837</v>
      </c>
      <c r="I127" s="77" t="s">
        <v>568</v>
      </c>
      <c r="J127" s="77" t="s">
        <v>11</v>
      </c>
      <c r="K127" s="77"/>
      <c r="L127" s="77"/>
      <c r="M127" s="77" t="s">
        <v>302</v>
      </c>
      <c r="N127" s="77" t="s">
        <v>746</v>
      </c>
      <c r="O127" s="98"/>
    </row>
    <row r="128" spans="1:15" hidden="1" x14ac:dyDescent="0.25">
      <c r="A128" s="76">
        <f t="shared" si="1"/>
        <v>127</v>
      </c>
      <c r="B128" s="76">
        <f>IF(Table1[[#This Row],[Active2]]="No",0,1)</f>
        <v>0</v>
      </c>
      <c r="C128" s="77" t="s">
        <v>838</v>
      </c>
      <c r="D128" s="77" t="s">
        <v>628</v>
      </c>
      <c r="E128" s="77" t="s">
        <v>196</v>
      </c>
      <c r="F128" s="77" t="s">
        <v>43</v>
      </c>
      <c r="G128" s="77" t="s">
        <v>85</v>
      </c>
      <c r="H128" s="77" t="s">
        <v>837</v>
      </c>
      <c r="I128" s="77" t="s">
        <v>568</v>
      </c>
      <c r="J128" s="77" t="s">
        <v>11</v>
      </c>
      <c r="K128" s="77"/>
      <c r="L128" s="77"/>
      <c r="M128" s="77" t="s">
        <v>302</v>
      </c>
      <c r="N128" s="77" t="s">
        <v>746</v>
      </c>
      <c r="O128" s="98"/>
    </row>
    <row r="129" spans="1:15" x14ac:dyDescent="0.25">
      <c r="A129" s="73">
        <f t="shared" si="1"/>
        <v>128</v>
      </c>
      <c r="B129" s="73">
        <f>IF(Table1[[#This Row],[Active2]]="No",0,1)</f>
        <v>1</v>
      </c>
      <c r="C129" s="75" t="s">
        <v>839</v>
      </c>
      <c r="D129" s="75" t="s">
        <v>585</v>
      </c>
      <c r="E129" s="75" t="s">
        <v>586</v>
      </c>
      <c r="F129" s="75" t="s">
        <v>113</v>
      </c>
      <c r="G129" s="75" t="s">
        <v>85</v>
      </c>
      <c r="H129" t="s">
        <v>587</v>
      </c>
      <c r="I129" s="75"/>
      <c r="J129" s="75" t="s">
        <v>165</v>
      </c>
      <c r="K129" s="75"/>
      <c r="L129" s="75"/>
      <c r="M129" s="75" t="s">
        <v>95</v>
      </c>
      <c r="N129" s="75"/>
      <c r="O129" s="98"/>
    </row>
    <row r="130" spans="1:15" hidden="1" x14ac:dyDescent="0.25">
      <c r="A130" s="73">
        <f t="shared" si="1"/>
        <v>129</v>
      </c>
      <c r="B130" s="73">
        <f>IF(Table1[[#This Row],[Active2]]="No",0,1)</f>
        <v>0</v>
      </c>
      <c r="C130" s="75" t="s">
        <v>840</v>
      </c>
      <c r="D130" s="75" t="s">
        <v>841</v>
      </c>
      <c r="E130" s="75" t="s">
        <v>30</v>
      </c>
      <c r="F130" s="75" t="s">
        <v>71</v>
      </c>
      <c r="G130" s="75" t="s">
        <v>87</v>
      </c>
      <c r="H130" s="75" t="s">
        <v>842</v>
      </c>
      <c r="I130" s="75" t="s">
        <v>583</v>
      </c>
      <c r="J130" s="75" t="s">
        <v>486</v>
      </c>
      <c r="K130" s="75"/>
      <c r="L130" s="75"/>
      <c r="M130" s="77" t="s">
        <v>302</v>
      </c>
      <c r="N130" s="75" t="s">
        <v>1220</v>
      </c>
      <c r="O130" s="98"/>
    </row>
    <row r="131" spans="1:15" hidden="1" x14ac:dyDescent="0.25">
      <c r="A131" s="73">
        <f t="shared" ref="A131:A194" si="2">IF(C131&lt;&gt;"",A130+1,"")</f>
        <v>130</v>
      </c>
      <c r="B131" s="73">
        <f>IF(Table1[[#This Row],[Active2]]="No",0,1)</f>
        <v>0</v>
      </c>
      <c r="C131" s="75" t="s">
        <v>843</v>
      </c>
      <c r="D131" s="75" t="s">
        <v>841</v>
      </c>
      <c r="E131" s="75" t="s">
        <v>30</v>
      </c>
      <c r="F131" s="75" t="s">
        <v>71</v>
      </c>
      <c r="G131" s="75" t="s">
        <v>86</v>
      </c>
      <c r="H131" s="75" t="s">
        <v>844</v>
      </c>
      <c r="I131" s="75" t="s">
        <v>583</v>
      </c>
      <c r="J131" s="75" t="s">
        <v>486</v>
      </c>
      <c r="K131" s="75"/>
      <c r="L131" s="75"/>
      <c r="M131" s="77" t="s">
        <v>302</v>
      </c>
      <c r="N131" s="75" t="s">
        <v>1220</v>
      </c>
      <c r="O131" s="98"/>
    </row>
    <row r="132" spans="1:15" hidden="1" x14ac:dyDescent="0.25">
      <c r="A132" s="76">
        <f t="shared" si="2"/>
        <v>131</v>
      </c>
      <c r="B132" s="76">
        <f>IF(Table1[[#This Row],[Active2]]="No",0,1)</f>
        <v>0</v>
      </c>
      <c r="C132" s="77" t="s">
        <v>845</v>
      </c>
      <c r="D132" s="77" t="s">
        <v>768</v>
      </c>
      <c r="E132" s="77" t="s">
        <v>30</v>
      </c>
      <c r="F132" s="77" t="s">
        <v>195</v>
      </c>
      <c r="G132" s="77" t="s">
        <v>87</v>
      </c>
      <c r="H132" s="77" t="s">
        <v>846</v>
      </c>
      <c r="I132" s="77" t="s">
        <v>568</v>
      </c>
      <c r="J132" s="77" t="s">
        <v>11</v>
      </c>
      <c r="K132" s="77"/>
      <c r="L132" s="77"/>
      <c r="M132" s="77" t="s">
        <v>302</v>
      </c>
      <c r="N132" s="77" t="s">
        <v>770</v>
      </c>
      <c r="O132" s="100"/>
    </row>
    <row r="133" spans="1:15" hidden="1" x14ac:dyDescent="0.25">
      <c r="A133" s="76">
        <f t="shared" si="2"/>
        <v>132</v>
      </c>
      <c r="B133" s="76">
        <f>IF(Table1[[#This Row],[Active2]]="No",0,1)</f>
        <v>0</v>
      </c>
      <c r="C133" s="77" t="s">
        <v>847</v>
      </c>
      <c r="D133" s="77" t="s">
        <v>848</v>
      </c>
      <c r="E133" s="77" t="s">
        <v>699</v>
      </c>
      <c r="F133" s="77" t="s">
        <v>43</v>
      </c>
      <c r="G133" s="77" t="s">
        <v>87</v>
      </c>
      <c r="H133" s="77" t="s">
        <v>647</v>
      </c>
      <c r="I133" s="77" t="s">
        <v>568</v>
      </c>
      <c r="J133" s="77" t="s">
        <v>11</v>
      </c>
      <c r="K133" s="77"/>
      <c r="L133" s="77"/>
      <c r="M133" s="77" t="s">
        <v>302</v>
      </c>
      <c r="N133" s="77" t="s">
        <v>849</v>
      </c>
      <c r="O133" s="98"/>
    </row>
    <row r="134" spans="1:15" hidden="1" x14ac:dyDescent="0.25">
      <c r="A134" s="76">
        <f t="shared" si="2"/>
        <v>133</v>
      </c>
      <c r="B134" s="76">
        <f>IF(Table1[[#This Row],[Active2]]="No",0,1)</f>
        <v>0</v>
      </c>
      <c r="C134" s="77" t="s">
        <v>850</v>
      </c>
      <c r="D134" s="77" t="s">
        <v>841</v>
      </c>
      <c r="E134" s="77" t="s">
        <v>30</v>
      </c>
      <c r="F134" s="77" t="s">
        <v>71</v>
      </c>
      <c r="G134" s="77" t="s">
        <v>87</v>
      </c>
      <c r="H134" s="77" t="s">
        <v>568</v>
      </c>
      <c r="I134" s="77"/>
      <c r="J134" s="77" t="s">
        <v>11</v>
      </c>
      <c r="K134" s="77" t="s">
        <v>851</v>
      </c>
      <c r="L134" s="77"/>
      <c r="M134" s="77" t="s">
        <v>302</v>
      </c>
      <c r="N134" s="77" t="s">
        <v>852</v>
      </c>
      <c r="O134" s="98"/>
    </row>
    <row r="135" spans="1:15" hidden="1" x14ac:dyDescent="0.25">
      <c r="A135" s="73">
        <f t="shared" si="2"/>
        <v>134</v>
      </c>
      <c r="B135" s="73">
        <f>IF(Table1[[#This Row],[Active2]]="No",0,1)</f>
        <v>0</v>
      </c>
      <c r="C135" s="75" t="s">
        <v>853</v>
      </c>
      <c r="D135" s="75" t="s">
        <v>854</v>
      </c>
      <c r="E135" s="75" t="s">
        <v>30</v>
      </c>
      <c r="F135" s="75" t="s">
        <v>71</v>
      </c>
      <c r="G135" s="75" t="s">
        <v>87</v>
      </c>
      <c r="H135" s="75" t="s">
        <v>589</v>
      </c>
      <c r="I135" s="75" t="s">
        <v>589</v>
      </c>
      <c r="J135" s="75" t="s">
        <v>486</v>
      </c>
      <c r="K135" s="75" t="s">
        <v>590</v>
      </c>
      <c r="L135" s="75"/>
      <c r="M135" s="77" t="s">
        <v>302</v>
      </c>
      <c r="N135" s="75" t="s">
        <v>1220</v>
      </c>
      <c r="O135" s="98"/>
    </row>
    <row r="136" spans="1:15" hidden="1" x14ac:dyDescent="0.25">
      <c r="A136" s="76">
        <f t="shared" si="2"/>
        <v>135</v>
      </c>
      <c r="B136" s="76">
        <f>IF(Table1[[#This Row],[Active2]]="No",0,1)</f>
        <v>0</v>
      </c>
      <c r="C136" s="77" t="s">
        <v>855</v>
      </c>
      <c r="D136" s="77" t="s">
        <v>856</v>
      </c>
      <c r="E136" s="77" t="s">
        <v>30</v>
      </c>
      <c r="F136" s="77" t="s">
        <v>195</v>
      </c>
      <c r="G136" s="77" t="s">
        <v>87</v>
      </c>
      <c r="H136" s="77" t="s">
        <v>589</v>
      </c>
      <c r="I136" s="77" t="s">
        <v>589</v>
      </c>
      <c r="J136" s="77" t="s">
        <v>11</v>
      </c>
      <c r="K136" s="77" t="s">
        <v>590</v>
      </c>
      <c r="L136" s="77"/>
      <c r="M136" s="77" t="s">
        <v>302</v>
      </c>
      <c r="N136" s="77" t="s">
        <v>770</v>
      </c>
      <c r="O136" s="98"/>
    </row>
    <row r="137" spans="1:15" hidden="1" x14ac:dyDescent="0.25">
      <c r="A137" s="73">
        <f t="shared" si="2"/>
        <v>136</v>
      </c>
      <c r="B137" s="73">
        <f>IF(Table1[[#This Row],[Active2]]="No",0,1)</f>
        <v>0</v>
      </c>
      <c r="C137" s="75" t="s">
        <v>857</v>
      </c>
      <c r="D137" s="75" t="s">
        <v>858</v>
      </c>
      <c r="E137" s="75" t="s">
        <v>30</v>
      </c>
      <c r="F137" s="75" t="s">
        <v>38</v>
      </c>
      <c r="G137" s="75" t="s">
        <v>87</v>
      </c>
      <c r="H137" s="75" t="s">
        <v>589</v>
      </c>
      <c r="I137" s="75" t="s">
        <v>589</v>
      </c>
      <c r="J137" s="75" t="s">
        <v>486</v>
      </c>
      <c r="K137" s="75" t="s">
        <v>590</v>
      </c>
      <c r="L137" s="75"/>
      <c r="M137" s="77" t="s">
        <v>302</v>
      </c>
      <c r="N137" s="75" t="s">
        <v>1220</v>
      </c>
      <c r="O137" s="98"/>
    </row>
    <row r="138" spans="1:15" hidden="1" x14ac:dyDescent="0.25">
      <c r="A138" s="73">
        <f t="shared" si="2"/>
        <v>137</v>
      </c>
      <c r="B138" s="73">
        <f>IF(Table1[[#This Row],[Active2]]="No",0,1)</f>
        <v>0</v>
      </c>
      <c r="C138" s="75" t="s">
        <v>859</v>
      </c>
      <c r="D138" s="89" t="s">
        <v>860</v>
      </c>
      <c r="E138" s="75" t="s">
        <v>30</v>
      </c>
      <c r="F138" s="89" t="s">
        <v>43</v>
      </c>
      <c r="G138" s="75" t="s">
        <v>87</v>
      </c>
      <c r="H138" s="75" t="s">
        <v>589</v>
      </c>
      <c r="I138" s="89" t="s">
        <v>589</v>
      </c>
      <c r="J138" s="75" t="s">
        <v>486</v>
      </c>
      <c r="K138" s="75" t="s">
        <v>590</v>
      </c>
      <c r="L138" s="75"/>
      <c r="M138" s="77" t="s">
        <v>302</v>
      </c>
      <c r="N138" s="75" t="s">
        <v>1220</v>
      </c>
      <c r="O138" s="98"/>
    </row>
    <row r="139" spans="1:15" hidden="1" x14ac:dyDescent="0.25">
      <c r="A139" s="73">
        <f t="shared" si="2"/>
        <v>138</v>
      </c>
      <c r="B139" s="73">
        <f>IF(Table1[[#This Row],[Active2]]="No",0,1)</f>
        <v>0</v>
      </c>
      <c r="C139" s="75" t="s">
        <v>861</v>
      </c>
      <c r="D139" s="75" t="s">
        <v>862</v>
      </c>
      <c r="E139" s="75" t="s">
        <v>520</v>
      </c>
      <c r="F139" s="75" t="s">
        <v>113</v>
      </c>
      <c r="G139" s="75" t="s">
        <v>85</v>
      </c>
      <c r="H139" t="s">
        <v>863</v>
      </c>
      <c r="I139" t="s">
        <v>864</v>
      </c>
      <c r="J139" s="75" t="s">
        <v>486</v>
      </c>
      <c r="K139" s="75"/>
      <c r="L139" s="75"/>
      <c r="M139" s="77" t="s">
        <v>302</v>
      </c>
      <c r="N139" s="75" t="s">
        <v>1220</v>
      </c>
      <c r="O139" s="98"/>
    </row>
    <row r="140" spans="1:15" x14ac:dyDescent="0.25">
      <c r="A140" s="73">
        <f t="shared" si="2"/>
        <v>139</v>
      </c>
      <c r="B140" s="73">
        <f>IF(Table1[[#This Row],[Active2]]="No",0,1)</f>
        <v>1</v>
      </c>
      <c r="C140" s="75" t="s">
        <v>865</v>
      </c>
      <c r="D140" s="75" t="s">
        <v>585</v>
      </c>
      <c r="E140" s="75" t="s">
        <v>586</v>
      </c>
      <c r="F140" s="75" t="s">
        <v>380</v>
      </c>
      <c r="G140" s="75" t="s">
        <v>85</v>
      </c>
      <c r="H140" t="s">
        <v>587</v>
      </c>
      <c r="I140" s="75"/>
      <c r="J140" s="75" t="s">
        <v>165</v>
      </c>
      <c r="K140" s="75"/>
      <c r="L140" s="75"/>
      <c r="M140" s="75" t="s">
        <v>95</v>
      </c>
      <c r="N140" s="75"/>
      <c r="O140" s="98"/>
    </row>
    <row r="141" spans="1:15" x14ac:dyDescent="0.25">
      <c r="A141" s="73">
        <f t="shared" si="2"/>
        <v>140</v>
      </c>
      <c r="B141" s="73">
        <f>IF(Table1[[#This Row],[Active2]]="No",0,1)</f>
        <v>1</v>
      </c>
      <c r="C141" s="75" t="s">
        <v>866</v>
      </c>
      <c r="D141" s="75" t="s">
        <v>585</v>
      </c>
      <c r="E141" s="75" t="s">
        <v>801</v>
      </c>
      <c r="F141" s="75" t="s">
        <v>113</v>
      </c>
      <c r="G141" s="75" t="s">
        <v>85</v>
      </c>
      <c r="H141" t="s">
        <v>587</v>
      </c>
      <c r="I141" s="75"/>
      <c r="J141" s="75" t="s">
        <v>165</v>
      </c>
      <c r="K141" s="75"/>
      <c r="L141" s="75"/>
      <c r="M141" s="75" t="s">
        <v>95</v>
      </c>
      <c r="N141" s="75"/>
      <c r="O141" s="98"/>
    </row>
    <row r="142" spans="1:15" x14ac:dyDescent="0.25">
      <c r="A142" s="73">
        <f t="shared" si="2"/>
        <v>141</v>
      </c>
      <c r="B142" s="73">
        <f>IF(Table1[[#This Row],[Active2]]="No",0,1)</f>
        <v>1</v>
      </c>
      <c r="C142" s="75" t="s">
        <v>867</v>
      </c>
      <c r="D142" s="89" t="s">
        <v>585</v>
      </c>
      <c r="E142" s="75" t="s">
        <v>801</v>
      </c>
      <c r="F142" s="75" t="s">
        <v>113</v>
      </c>
      <c r="G142" s="75" t="s">
        <v>85</v>
      </c>
      <c r="H142" t="s">
        <v>587</v>
      </c>
      <c r="I142" s="75"/>
      <c r="J142" s="75" t="s">
        <v>165</v>
      </c>
      <c r="K142" s="75"/>
      <c r="L142" s="75"/>
      <c r="M142" s="75" t="s">
        <v>95</v>
      </c>
      <c r="N142" s="75"/>
      <c r="O142" s="98"/>
    </row>
    <row r="143" spans="1:15" x14ac:dyDescent="0.25">
      <c r="A143" s="73">
        <f t="shared" si="2"/>
        <v>142</v>
      </c>
      <c r="B143" s="73">
        <f>IF(Table1[[#This Row],[Active2]]="No",0,1)</f>
        <v>1</v>
      </c>
      <c r="C143" s="75" t="s">
        <v>868</v>
      </c>
      <c r="D143" s="89" t="s">
        <v>585</v>
      </c>
      <c r="E143" s="75" t="s">
        <v>801</v>
      </c>
      <c r="F143" s="75" t="s">
        <v>113</v>
      </c>
      <c r="G143" s="75" t="s">
        <v>85</v>
      </c>
      <c r="H143" t="s">
        <v>587</v>
      </c>
      <c r="I143" s="75"/>
      <c r="J143" s="75" t="s">
        <v>165</v>
      </c>
      <c r="K143" s="75"/>
      <c r="L143" s="75"/>
      <c r="M143" s="75" t="s">
        <v>95</v>
      </c>
      <c r="N143" s="75"/>
      <c r="O143" s="98"/>
    </row>
    <row r="144" spans="1:15" hidden="1" x14ac:dyDescent="0.25">
      <c r="A144" s="76">
        <f t="shared" si="2"/>
        <v>143</v>
      </c>
      <c r="B144" s="76">
        <f>IF(Table1[[#This Row],[Active2]]="No",0,1)</f>
        <v>0</v>
      </c>
      <c r="C144" s="77" t="s">
        <v>869</v>
      </c>
      <c r="D144" s="77" t="s">
        <v>635</v>
      </c>
      <c r="E144" s="77" t="s">
        <v>224</v>
      </c>
      <c r="F144" s="77" t="s">
        <v>173</v>
      </c>
      <c r="G144" s="77" t="s">
        <v>85</v>
      </c>
      <c r="H144" s="77" t="s">
        <v>636</v>
      </c>
      <c r="I144" s="77" t="s">
        <v>589</v>
      </c>
      <c r="J144" s="77" t="s">
        <v>94</v>
      </c>
      <c r="K144" s="77"/>
      <c r="L144" s="77">
        <v>104022</v>
      </c>
      <c r="M144" s="77" t="s">
        <v>302</v>
      </c>
      <c r="N144" s="77"/>
      <c r="O144" s="100"/>
    </row>
    <row r="145" spans="1:15" hidden="1" x14ac:dyDescent="0.25">
      <c r="A145" s="76">
        <f t="shared" si="2"/>
        <v>144</v>
      </c>
      <c r="B145" s="76">
        <f>IF(Table1[[#This Row],[Active2]]="No",0,1)</f>
        <v>0</v>
      </c>
      <c r="C145" s="77" t="s">
        <v>870</v>
      </c>
      <c r="D145" s="101" t="s">
        <v>635</v>
      </c>
      <c r="E145" s="77" t="s">
        <v>224</v>
      </c>
      <c r="F145" s="77" t="s">
        <v>173</v>
      </c>
      <c r="G145" s="77" t="s">
        <v>85</v>
      </c>
      <c r="H145" s="77" t="s">
        <v>636</v>
      </c>
      <c r="I145" s="77" t="s">
        <v>589</v>
      </c>
      <c r="J145" s="77" t="s">
        <v>94</v>
      </c>
      <c r="K145" s="77"/>
      <c r="L145" s="77"/>
      <c r="M145" s="77" t="s">
        <v>302</v>
      </c>
      <c r="N145" s="77"/>
      <c r="O145" s="100"/>
    </row>
    <row r="146" spans="1:15" hidden="1" x14ac:dyDescent="0.25">
      <c r="A146" s="76">
        <f t="shared" si="2"/>
        <v>145</v>
      </c>
      <c r="B146" s="76">
        <f>IF(Table1[[#This Row],[Active2]]="No",0,1)</f>
        <v>0</v>
      </c>
      <c r="C146" s="77" t="s">
        <v>871</v>
      </c>
      <c r="D146" s="101" t="s">
        <v>635</v>
      </c>
      <c r="E146" s="77" t="s">
        <v>224</v>
      </c>
      <c r="F146" s="77" t="s">
        <v>173</v>
      </c>
      <c r="G146" s="77" t="s">
        <v>85</v>
      </c>
      <c r="H146" s="77" t="s">
        <v>636</v>
      </c>
      <c r="I146" s="77" t="s">
        <v>589</v>
      </c>
      <c r="J146" s="77" t="s">
        <v>94</v>
      </c>
      <c r="K146" s="77"/>
      <c r="L146" s="77">
        <v>104003</v>
      </c>
      <c r="M146" s="77" t="s">
        <v>302</v>
      </c>
      <c r="N146" s="77"/>
      <c r="O146" s="100"/>
    </row>
    <row r="147" spans="1:15" hidden="1" x14ac:dyDescent="0.25">
      <c r="A147" s="76">
        <f t="shared" si="2"/>
        <v>146</v>
      </c>
      <c r="B147" s="76">
        <f>IF(Table1[[#This Row],[Active2]]="No",0,1)</f>
        <v>0</v>
      </c>
      <c r="C147" s="77" t="s">
        <v>872</v>
      </c>
      <c r="D147" s="77" t="s">
        <v>732</v>
      </c>
      <c r="E147" s="77" t="s">
        <v>565</v>
      </c>
      <c r="F147" s="77" t="s">
        <v>43</v>
      </c>
      <c r="G147" s="77" t="s">
        <v>644</v>
      </c>
      <c r="H147" s="77" t="s">
        <v>873</v>
      </c>
      <c r="I147" s="77" t="s">
        <v>583</v>
      </c>
      <c r="J147" s="77" t="s">
        <v>486</v>
      </c>
      <c r="K147" s="77"/>
      <c r="L147" s="77"/>
      <c r="M147" s="78" t="s">
        <v>302</v>
      </c>
      <c r="N147" s="77" t="s">
        <v>874</v>
      </c>
      <c r="O147" s="98"/>
    </row>
    <row r="148" spans="1:15" hidden="1" x14ac:dyDescent="0.25">
      <c r="A148" s="76">
        <f t="shared" si="2"/>
        <v>147</v>
      </c>
      <c r="B148" s="76">
        <f>IF(Table1[[#This Row],[Active2]]="No",0,1)</f>
        <v>0</v>
      </c>
      <c r="C148" s="77" t="s">
        <v>875</v>
      </c>
      <c r="D148" s="77" t="s">
        <v>732</v>
      </c>
      <c r="E148" s="77" t="s">
        <v>565</v>
      </c>
      <c r="F148" s="77" t="s">
        <v>43</v>
      </c>
      <c r="G148" s="77" t="s">
        <v>644</v>
      </c>
      <c r="H148" s="77" t="s">
        <v>876</v>
      </c>
      <c r="I148" s="77" t="s">
        <v>583</v>
      </c>
      <c r="J148" s="77" t="s">
        <v>486</v>
      </c>
      <c r="K148" s="77"/>
      <c r="L148" s="77"/>
      <c r="M148" s="78" t="s">
        <v>302</v>
      </c>
      <c r="N148" s="77" t="s">
        <v>874</v>
      </c>
      <c r="O148" s="98"/>
    </row>
    <row r="149" spans="1:15" hidden="1" x14ac:dyDescent="0.25">
      <c r="A149" s="73">
        <f t="shared" si="2"/>
        <v>148</v>
      </c>
      <c r="B149" s="73">
        <f>IF(Table1[[#This Row],[Active2]]="No",0,1)</f>
        <v>0</v>
      </c>
      <c r="C149" s="75" t="s">
        <v>877</v>
      </c>
      <c r="D149" s="75" t="s">
        <v>598</v>
      </c>
      <c r="E149" s="75" t="s">
        <v>202</v>
      </c>
      <c r="F149" s="75" t="s">
        <v>45</v>
      </c>
      <c r="G149" s="75" t="s">
        <v>85</v>
      </c>
      <c r="H149" s="82" t="s">
        <v>878</v>
      </c>
      <c r="I149" s="75" t="s">
        <v>583</v>
      </c>
      <c r="J149" s="75" t="s">
        <v>486</v>
      </c>
      <c r="K149" s="75"/>
      <c r="L149" s="75"/>
      <c r="M149" s="77" t="s">
        <v>302</v>
      </c>
      <c r="N149" s="75" t="s">
        <v>1220</v>
      </c>
      <c r="O149" s="98"/>
    </row>
    <row r="150" spans="1:15" hidden="1" x14ac:dyDescent="0.25">
      <c r="A150" s="81">
        <f t="shared" si="2"/>
        <v>149</v>
      </c>
      <c r="B150" s="81">
        <f>IF(Table1[[#This Row],[Active2]]="No",0,1)</f>
        <v>0</v>
      </c>
      <c r="C150" s="88" t="s">
        <v>879</v>
      </c>
      <c r="D150" s="88" t="s">
        <v>598</v>
      </c>
      <c r="E150" s="75" t="s">
        <v>202</v>
      </c>
      <c r="F150" s="75" t="s">
        <v>45</v>
      </c>
      <c r="G150" s="75" t="s">
        <v>85</v>
      </c>
      <c r="H150" s="90" t="s">
        <v>878</v>
      </c>
      <c r="I150" s="91" t="s">
        <v>583</v>
      </c>
      <c r="J150" s="75" t="s">
        <v>486</v>
      </c>
      <c r="K150" s="75"/>
      <c r="L150" s="75"/>
      <c r="M150" s="77" t="s">
        <v>302</v>
      </c>
      <c r="N150" s="75" t="s">
        <v>1220</v>
      </c>
      <c r="O150" s="98"/>
    </row>
    <row r="151" spans="1:15" hidden="1" x14ac:dyDescent="0.25">
      <c r="A151" s="76">
        <f t="shared" si="2"/>
        <v>150</v>
      </c>
      <c r="B151" s="76">
        <f>IF(Table1[[#This Row],[Active2]]="No",0,1)</f>
        <v>0</v>
      </c>
      <c r="C151" s="78" t="s">
        <v>880</v>
      </c>
      <c r="D151" s="78" t="s">
        <v>881</v>
      </c>
      <c r="E151" s="78" t="s">
        <v>347</v>
      </c>
      <c r="F151" s="78" t="s">
        <v>113</v>
      </c>
      <c r="G151" s="78" t="s">
        <v>85</v>
      </c>
      <c r="H151" s="83" t="s">
        <v>882</v>
      </c>
      <c r="I151" s="83" t="s">
        <v>696</v>
      </c>
      <c r="J151" s="78" t="s">
        <v>312</v>
      </c>
      <c r="K151" s="78"/>
      <c r="L151" s="78"/>
      <c r="M151" s="78" t="s">
        <v>302</v>
      </c>
      <c r="N151" s="78"/>
      <c r="O151" s="100"/>
    </row>
    <row r="152" spans="1:15" hidden="1" x14ac:dyDescent="0.25">
      <c r="A152" s="81">
        <f t="shared" si="2"/>
        <v>151</v>
      </c>
      <c r="B152" s="81">
        <f>IF(Table1[[#This Row],[Active2]]="No",0,1)</f>
        <v>0</v>
      </c>
      <c r="C152" s="92" t="s">
        <v>883</v>
      </c>
      <c r="D152" s="92" t="s">
        <v>884</v>
      </c>
      <c r="E152" s="75" t="s">
        <v>346</v>
      </c>
      <c r="F152" s="75" t="s">
        <v>113</v>
      </c>
      <c r="G152" s="75" t="s">
        <v>85</v>
      </c>
      <c r="H152" s="75" t="s">
        <v>885</v>
      </c>
      <c r="I152" s="92" t="s">
        <v>583</v>
      </c>
      <c r="J152" s="75" t="s">
        <v>486</v>
      </c>
      <c r="K152" s="75"/>
      <c r="L152" s="75"/>
      <c r="M152" s="77" t="s">
        <v>302</v>
      </c>
      <c r="N152" s="75" t="s">
        <v>1220</v>
      </c>
      <c r="O152" s="98"/>
    </row>
    <row r="153" spans="1:15" hidden="1" x14ac:dyDescent="0.25">
      <c r="A153" s="81">
        <f t="shared" si="2"/>
        <v>152</v>
      </c>
      <c r="B153" s="81">
        <f>IF(Table1[[#This Row],[Active2]]="No",0,1)</f>
        <v>0</v>
      </c>
      <c r="C153" s="75" t="s">
        <v>886</v>
      </c>
      <c r="D153" s="92" t="s">
        <v>887</v>
      </c>
      <c r="E153" s="75" t="s">
        <v>113</v>
      </c>
      <c r="F153" s="75" t="s">
        <v>113</v>
      </c>
      <c r="G153" s="75" t="s">
        <v>85</v>
      </c>
      <c r="H153" s="75" t="s">
        <v>888</v>
      </c>
      <c r="I153" s="92" t="s">
        <v>583</v>
      </c>
      <c r="J153" s="75" t="s">
        <v>486</v>
      </c>
      <c r="K153" s="75"/>
      <c r="L153" s="75"/>
      <c r="M153" s="75" t="s">
        <v>302</v>
      </c>
      <c r="N153" s="75" t="s">
        <v>756</v>
      </c>
      <c r="O153" s="98"/>
    </row>
    <row r="154" spans="1:15" hidden="1" x14ac:dyDescent="0.25">
      <c r="A154" s="81">
        <f t="shared" si="2"/>
        <v>153</v>
      </c>
      <c r="B154" s="81">
        <f>IF(Table1[[#This Row],[Active2]]="No",0,1)</f>
        <v>0</v>
      </c>
      <c r="C154" s="75" t="s">
        <v>889</v>
      </c>
      <c r="D154" s="92" t="s">
        <v>887</v>
      </c>
      <c r="E154" s="75" t="s">
        <v>113</v>
      </c>
      <c r="F154" s="75" t="s">
        <v>113</v>
      </c>
      <c r="G154" s="75" t="s">
        <v>85</v>
      </c>
      <c r="H154" s="75" t="s">
        <v>890</v>
      </c>
      <c r="I154" s="92" t="s">
        <v>891</v>
      </c>
      <c r="J154" s="75" t="s">
        <v>486</v>
      </c>
      <c r="K154" s="75"/>
      <c r="L154" s="75"/>
      <c r="M154" s="75" t="s">
        <v>302</v>
      </c>
      <c r="N154" s="75" t="s">
        <v>756</v>
      </c>
      <c r="O154" s="98"/>
    </row>
    <row r="155" spans="1:15" hidden="1" x14ac:dyDescent="0.25">
      <c r="A155" s="76">
        <f t="shared" si="2"/>
        <v>154</v>
      </c>
      <c r="B155" s="76">
        <f>IF(Table1[[#This Row],[Active2]]="No",0,1)</f>
        <v>0</v>
      </c>
      <c r="C155" s="78" t="s">
        <v>892</v>
      </c>
      <c r="D155" s="78" t="s">
        <v>665</v>
      </c>
      <c r="E155" s="78" t="s">
        <v>347</v>
      </c>
      <c r="F155" s="78" t="s">
        <v>45</v>
      </c>
      <c r="G155" s="78" t="s">
        <v>85</v>
      </c>
      <c r="H155" s="79" t="s">
        <v>893</v>
      </c>
      <c r="I155" s="83"/>
      <c r="J155" s="78" t="s">
        <v>312</v>
      </c>
      <c r="K155" s="78"/>
      <c r="L155" s="78"/>
      <c r="M155" s="78" t="s">
        <v>302</v>
      </c>
      <c r="N155" s="78"/>
      <c r="O155" s="98"/>
    </row>
    <row r="156" spans="1:15" hidden="1" x14ac:dyDescent="0.25">
      <c r="A156" s="76">
        <f t="shared" si="2"/>
        <v>155</v>
      </c>
      <c r="B156" s="76">
        <f>IF(Table1[[#This Row],[Active2]]="No",0,1)</f>
        <v>0</v>
      </c>
      <c r="C156" s="78" t="s">
        <v>894</v>
      </c>
      <c r="D156" s="78" t="s">
        <v>881</v>
      </c>
      <c r="E156" s="78" t="s">
        <v>347</v>
      </c>
      <c r="F156" s="78" t="s">
        <v>45</v>
      </c>
      <c r="G156" s="78" t="s">
        <v>85</v>
      </c>
      <c r="H156" s="83" t="s">
        <v>895</v>
      </c>
      <c r="I156" s="83" t="s">
        <v>896</v>
      </c>
      <c r="J156" s="78" t="s">
        <v>312</v>
      </c>
      <c r="K156" s="78"/>
      <c r="L156" s="78"/>
      <c r="M156" s="78" t="s">
        <v>302</v>
      </c>
      <c r="N156" s="78"/>
      <c r="O156" s="100"/>
    </row>
    <row r="157" spans="1:15" hidden="1" x14ac:dyDescent="0.25">
      <c r="A157" s="76">
        <f t="shared" si="2"/>
        <v>156</v>
      </c>
      <c r="B157" s="76">
        <f>IF(Table1[[#This Row],[Active2]]="No",0,1)</f>
        <v>0</v>
      </c>
      <c r="C157" s="78" t="s">
        <v>897</v>
      </c>
      <c r="D157" s="78" t="s">
        <v>881</v>
      </c>
      <c r="E157" s="78" t="s">
        <v>347</v>
      </c>
      <c r="F157" s="78" t="s">
        <v>45</v>
      </c>
      <c r="G157" s="78" t="s">
        <v>644</v>
      </c>
      <c r="H157" s="83" t="s">
        <v>895</v>
      </c>
      <c r="I157" s="83" t="s">
        <v>896</v>
      </c>
      <c r="J157" s="78" t="s">
        <v>312</v>
      </c>
      <c r="K157" s="78"/>
      <c r="L157" s="78"/>
      <c r="M157" s="78" t="s">
        <v>302</v>
      </c>
      <c r="N157" s="78"/>
      <c r="O157" s="100"/>
    </row>
    <row r="158" spans="1:15" hidden="1" x14ac:dyDescent="0.25">
      <c r="A158" s="80">
        <f t="shared" si="2"/>
        <v>157</v>
      </c>
      <c r="B158" s="80">
        <f>IF(Table1[[#This Row],[Active2]]="No",0,1)</f>
        <v>0</v>
      </c>
      <c r="C158" s="77" t="s">
        <v>898</v>
      </c>
      <c r="D158" s="77" t="s">
        <v>732</v>
      </c>
      <c r="E158" s="77" t="s">
        <v>565</v>
      </c>
      <c r="F158" s="77" t="s">
        <v>43</v>
      </c>
      <c r="G158" s="77" t="s">
        <v>85</v>
      </c>
      <c r="H158" s="77" t="s">
        <v>899</v>
      </c>
      <c r="I158" s="93" t="s">
        <v>568</v>
      </c>
      <c r="J158" s="77" t="s">
        <v>11</v>
      </c>
      <c r="K158" s="94" t="s">
        <v>763</v>
      </c>
      <c r="L158" s="77"/>
      <c r="M158" s="77" t="s">
        <v>302</v>
      </c>
      <c r="N158" s="77"/>
      <c r="O158" s="98"/>
    </row>
    <row r="159" spans="1:15" hidden="1" x14ac:dyDescent="0.25">
      <c r="A159" s="81">
        <f t="shared" si="2"/>
        <v>158</v>
      </c>
      <c r="B159" s="81">
        <f>IF(Table1[[#This Row],[Active2]]="No",0,1)</f>
        <v>0</v>
      </c>
      <c r="C159" s="75" t="s">
        <v>900</v>
      </c>
      <c r="D159" s="75" t="s">
        <v>732</v>
      </c>
      <c r="E159" s="75" t="s">
        <v>565</v>
      </c>
      <c r="F159" s="75" t="s">
        <v>43</v>
      </c>
      <c r="G159" s="75" t="s">
        <v>85</v>
      </c>
      <c r="H159" s="82" t="s">
        <v>901</v>
      </c>
      <c r="I159" s="92" t="s">
        <v>583</v>
      </c>
      <c r="J159" s="75" t="s">
        <v>486</v>
      </c>
      <c r="K159" s="75"/>
      <c r="L159" s="75"/>
      <c r="M159" s="75" t="s">
        <v>302</v>
      </c>
      <c r="N159" s="75" t="s">
        <v>756</v>
      </c>
      <c r="O159" s="98"/>
    </row>
    <row r="160" spans="1:15" hidden="1" x14ac:dyDescent="0.25">
      <c r="A160" s="81">
        <f t="shared" si="2"/>
        <v>159</v>
      </c>
      <c r="B160" s="81">
        <f>IF(Table1[[#This Row],[Active2]]="No",0,1)</f>
        <v>0</v>
      </c>
      <c r="C160" s="75" t="s">
        <v>902</v>
      </c>
      <c r="D160" s="75" t="s">
        <v>732</v>
      </c>
      <c r="E160" s="75" t="s">
        <v>565</v>
      </c>
      <c r="F160" s="75" t="s">
        <v>43</v>
      </c>
      <c r="G160" s="75" t="s">
        <v>85</v>
      </c>
      <c r="H160" s="75" t="s">
        <v>903</v>
      </c>
      <c r="I160" s="92" t="s">
        <v>583</v>
      </c>
      <c r="J160" s="75" t="s">
        <v>486</v>
      </c>
      <c r="K160" s="75"/>
      <c r="L160" s="75"/>
      <c r="M160" s="75" t="s">
        <v>302</v>
      </c>
      <c r="N160" s="75" t="s">
        <v>756</v>
      </c>
      <c r="O160" s="98"/>
    </row>
    <row r="161" spans="1:15" hidden="1" x14ac:dyDescent="0.25">
      <c r="A161" s="81">
        <f t="shared" si="2"/>
        <v>160</v>
      </c>
      <c r="B161" s="81">
        <f>IF(Table1[[#This Row],[Active2]]="No",0,1)</f>
        <v>0</v>
      </c>
      <c r="C161" s="75" t="s">
        <v>904</v>
      </c>
      <c r="D161" s="92" t="s">
        <v>887</v>
      </c>
      <c r="E161" s="75" t="s">
        <v>565</v>
      </c>
      <c r="F161" s="75" t="s">
        <v>113</v>
      </c>
      <c r="G161" s="75" t="s">
        <v>85</v>
      </c>
      <c r="H161" s="82" t="s">
        <v>680</v>
      </c>
      <c r="I161" s="92" t="s">
        <v>583</v>
      </c>
      <c r="J161" s="75" t="s">
        <v>486</v>
      </c>
      <c r="K161" s="75"/>
      <c r="L161" s="75"/>
      <c r="M161" s="75" t="s">
        <v>302</v>
      </c>
      <c r="N161" s="75" t="s">
        <v>756</v>
      </c>
      <c r="O161" s="98"/>
    </row>
    <row r="162" spans="1:15" x14ac:dyDescent="0.25">
      <c r="A162" s="81">
        <f t="shared" si="2"/>
        <v>161</v>
      </c>
      <c r="B162" s="81">
        <f>IF(Table1[[#This Row],[Active2]]="No",0,1)</f>
        <v>1</v>
      </c>
      <c r="C162" s="75" t="s">
        <v>905</v>
      </c>
      <c r="D162" s="75" t="s">
        <v>906</v>
      </c>
      <c r="E162" s="75" t="s">
        <v>565</v>
      </c>
      <c r="F162" s="75" t="s">
        <v>238</v>
      </c>
      <c r="G162" s="75" t="s">
        <v>85</v>
      </c>
      <c r="H162" s="75" t="s">
        <v>907</v>
      </c>
      <c r="I162" s="92" t="s">
        <v>583</v>
      </c>
      <c r="J162" s="75" t="s">
        <v>502</v>
      </c>
      <c r="K162" s="75"/>
      <c r="L162" s="75"/>
      <c r="M162" s="75" t="s">
        <v>95</v>
      </c>
      <c r="N162" s="75"/>
      <c r="O162" s="98"/>
    </row>
    <row r="163" spans="1:15" hidden="1" x14ac:dyDescent="0.25">
      <c r="A163" s="76">
        <f t="shared" si="2"/>
        <v>162</v>
      </c>
      <c r="B163" s="76">
        <f>IF(Table1[[#This Row],[Active2]]="No",0,1)</f>
        <v>0</v>
      </c>
      <c r="C163" s="78" t="s">
        <v>908</v>
      </c>
      <c r="D163" s="78" t="s">
        <v>881</v>
      </c>
      <c r="E163" s="78" t="s">
        <v>347</v>
      </c>
      <c r="F163" s="78" t="s">
        <v>45</v>
      </c>
      <c r="G163" s="78" t="s">
        <v>85</v>
      </c>
      <c r="H163" s="78" t="s">
        <v>909</v>
      </c>
      <c r="I163" s="78"/>
      <c r="J163" s="78" t="s">
        <v>312</v>
      </c>
      <c r="K163" s="78"/>
      <c r="L163" s="78"/>
      <c r="M163" s="78" t="s">
        <v>302</v>
      </c>
      <c r="N163" s="78"/>
      <c r="O163" s="100"/>
    </row>
    <row r="164" spans="1:15" hidden="1" x14ac:dyDescent="0.25">
      <c r="A164" s="80">
        <f t="shared" si="2"/>
        <v>163</v>
      </c>
      <c r="B164" s="80">
        <f>IF(Table1[[#This Row],[Active2]]="No",0,1)</f>
        <v>0</v>
      </c>
      <c r="C164" s="102" t="s">
        <v>910</v>
      </c>
      <c r="D164" s="77" t="s">
        <v>598</v>
      </c>
      <c r="E164" s="77" t="s">
        <v>202</v>
      </c>
      <c r="F164" s="77" t="s">
        <v>45</v>
      </c>
      <c r="G164" s="77" t="s">
        <v>85</v>
      </c>
      <c r="H164" s="77" t="s">
        <v>911</v>
      </c>
      <c r="I164" s="93" t="s">
        <v>696</v>
      </c>
      <c r="J164" s="77" t="s">
        <v>312</v>
      </c>
      <c r="K164" s="77"/>
      <c r="L164" s="77"/>
      <c r="M164" s="78" t="s">
        <v>302</v>
      </c>
      <c r="N164" s="75" t="s">
        <v>1220</v>
      </c>
      <c r="O164" s="100"/>
    </row>
    <row r="165" spans="1:15" hidden="1" x14ac:dyDescent="0.25">
      <c r="A165" s="81">
        <f t="shared" si="2"/>
        <v>164</v>
      </c>
      <c r="B165" s="81">
        <f>IF(Table1[[#This Row],[Active2]]="No",0,1)</f>
        <v>0</v>
      </c>
      <c r="C165" s="75" t="s">
        <v>597</v>
      </c>
      <c r="D165" s="75" t="s">
        <v>598</v>
      </c>
      <c r="E165" s="75" t="s">
        <v>202</v>
      </c>
      <c r="F165" s="75" t="s">
        <v>45</v>
      </c>
      <c r="G165" s="75" t="s">
        <v>85</v>
      </c>
      <c r="H165" s="75" t="s">
        <v>912</v>
      </c>
      <c r="I165" s="75" t="s">
        <v>692</v>
      </c>
      <c r="J165" s="75" t="s">
        <v>486</v>
      </c>
      <c r="K165" s="75"/>
      <c r="L165" s="75"/>
      <c r="M165" s="78" t="s">
        <v>302</v>
      </c>
      <c r="N165" s="75" t="s">
        <v>1220</v>
      </c>
      <c r="O165" s="98"/>
    </row>
    <row r="166" spans="1:15" hidden="1" x14ac:dyDescent="0.25">
      <c r="A166" s="81">
        <f t="shared" si="2"/>
        <v>165</v>
      </c>
      <c r="B166" s="81">
        <f>IF(Table1[[#This Row],[Active2]]="No",0,1)</f>
        <v>0</v>
      </c>
      <c r="C166" s="75" t="s">
        <v>913</v>
      </c>
      <c r="D166" s="75" t="s">
        <v>732</v>
      </c>
      <c r="E166" s="75" t="s">
        <v>196</v>
      </c>
      <c r="F166" s="75" t="s">
        <v>914</v>
      </c>
      <c r="G166" s="75" t="s">
        <v>85</v>
      </c>
      <c r="H166" s="75" t="s">
        <v>915</v>
      </c>
      <c r="I166" s="75" t="s">
        <v>692</v>
      </c>
      <c r="J166" s="75" t="s">
        <v>486</v>
      </c>
      <c r="K166" s="75"/>
      <c r="L166" s="75"/>
      <c r="M166" s="78" t="s">
        <v>302</v>
      </c>
      <c r="N166" s="75" t="s">
        <v>1220</v>
      </c>
      <c r="O166" s="98"/>
    </row>
    <row r="167" spans="1:15" x14ac:dyDescent="0.25">
      <c r="A167" s="81">
        <f t="shared" si="2"/>
        <v>166</v>
      </c>
      <c r="B167" s="81">
        <f>IF(Table1[[#This Row],[Active2]]="No",0,1)</f>
        <v>1</v>
      </c>
      <c r="C167" s="75" t="s">
        <v>916</v>
      </c>
      <c r="D167" s="74" t="s">
        <v>601</v>
      </c>
      <c r="E167" s="75" t="s">
        <v>565</v>
      </c>
      <c r="F167" s="75" t="s">
        <v>321</v>
      </c>
      <c r="G167" s="75" t="s">
        <v>85</v>
      </c>
      <c r="H167" s="75" t="s">
        <v>611</v>
      </c>
      <c r="I167" s="74" t="s">
        <v>583</v>
      </c>
      <c r="J167" s="75" t="s">
        <v>486</v>
      </c>
      <c r="K167" s="75"/>
      <c r="L167" s="75"/>
      <c r="M167" s="75" t="s">
        <v>95</v>
      </c>
      <c r="N167" s="75"/>
      <c r="O167" s="98"/>
    </row>
    <row r="168" spans="1:15" hidden="1" x14ac:dyDescent="0.25">
      <c r="A168" s="80">
        <f t="shared" si="2"/>
        <v>167</v>
      </c>
      <c r="B168" s="80">
        <f>IF(Table1[[#This Row],[Active2]]="No",0,1)</f>
        <v>0</v>
      </c>
      <c r="C168" s="77" t="s">
        <v>917</v>
      </c>
      <c r="D168" s="93" t="s">
        <v>887</v>
      </c>
      <c r="E168" s="77" t="s">
        <v>565</v>
      </c>
      <c r="F168" s="77" t="s">
        <v>113</v>
      </c>
      <c r="G168" s="77" t="s">
        <v>85</v>
      </c>
      <c r="H168" s="77" t="s">
        <v>918</v>
      </c>
      <c r="I168" s="78" t="s">
        <v>568</v>
      </c>
      <c r="J168" s="77" t="s">
        <v>11</v>
      </c>
      <c r="K168" s="77"/>
      <c r="L168" s="77"/>
      <c r="M168" s="77" t="s">
        <v>302</v>
      </c>
      <c r="N168" s="77" t="s">
        <v>919</v>
      </c>
      <c r="O168" s="98"/>
    </row>
    <row r="169" spans="1:15" hidden="1" x14ac:dyDescent="0.25">
      <c r="A169" s="81">
        <f t="shared" si="2"/>
        <v>168</v>
      </c>
      <c r="B169" s="81">
        <f>IF(Table1[[#This Row],[Active2]]="No",0,1)</f>
        <v>0</v>
      </c>
      <c r="C169" s="75" t="s">
        <v>920</v>
      </c>
      <c r="D169" s="74" t="s">
        <v>732</v>
      </c>
      <c r="E169" s="75" t="s">
        <v>565</v>
      </c>
      <c r="F169" s="75" t="s">
        <v>43</v>
      </c>
      <c r="G169" s="75" t="s">
        <v>85</v>
      </c>
      <c r="H169" s="82" t="s">
        <v>921</v>
      </c>
      <c r="I169" s="75"/>
      <c r="J169" s="75" t="s">
        <v>486</v>
      </c>
      <c r="K169" s="75"/>
      <c r="L169" s="75"/>
      <c r="M169" s="75" t="s">
        <v>302</v>
      </c>
      <c r="N169" s="75" t="s">
        <v>756</v>
      </c>
      <c r="O169" s="98"/>
    </row>
    <row r="170" spans="1:15" hidden="1" x14ac:dyDescent="0.25">
      <c r="A170" s="76">
        <f t="shared" si="2"/>
        <v>169</v>
      </c>
      <c r="B170" s="76">
        <f>IF(Table1[[#This Row],[Active2]]="No",0,1)</f>
        <v>0</v>
      </c>
      <c r="C170" s="78" t="s">
        <v>922</v>
      </c>
      <c r="D170" s="78" t="s">
        <v>881</v>
      </c>
      <c r="E170" s="78" t="s">
        <v>347</v>
      </c>
      <c r="F170" s="78" t="s">
        <v>45</v>
      </c>
      <c r="G170" s="78" t="s">
        <v>85</v>
      </c>
      <c r="H170" s="78" t="s">
        <v>909</v>
      </c>
      <c r="I170" s="78"/>
      <c r="J170" s="78" t="s">
        <v>312</v>
      </c>
      <c r="K170" s="78"/>
      <c r="L170" s="78"/>
      <c r="M170" s="78" t="s">
        <v>302</v>
      </c>
      <c r="N170" s="78"/>
      <c r="O170" s="100"/>
    </row>
    <row r="171" spans="1:15" hidden="1" x14ac:dyDescent="0.25">
      <c r="A171" s="76">
        <f t="shared" si="2"/>
        <v>170</v>
      </c>
      <c r="B171" s="76">
        <f>IF(Table1[[#This Row],[Active2]]="No",0,1)</f>
        <v>0</v>
      </c>
      <c r="C171" s="78" t="s">
        <v>923</v>
      </c>
      <c r="D171" s="78" t="s">
        <v>924</v>
      </c>
      <c r="E171" s="78" t="s">
        <v>347</v>
      </c>
      <c r="F171" s="78" t="s">
        <v>407</v>
      </c>
      <c r="G171" s="78" t="s">
        <v>87</v>
      </c>
      <c r="H171" s="78" t="s">
        <v>925</v>
      </c>
      <c r="I171" s="83" t="s">
        <v>926</v>
      </c>
      <c r="J171" s="78" t="s">
        <v>312</v>
      </c>
      <c r="K171" s="78"/>
      <c r="L171" s="78"/>
      <c r="M171" s="78" t="s">
        <v>302</v>
      </c>
      <c r="N171" s="78"/>
      <c r="O171" s="100"/>
    </row>
    <row r="172" spans="1:15" hidden="1" x14ac:dyDescent="0.25">
      <c r="A172" s="80">
        <f t="shared" si="2"/>
        <v>171</v>
      </c>
      <c r="B172" s="80">
        <f>IF(Table1[[#This Row],[Active2]]="No",0,1)</f>
        <v>0</v>
      </c>
      <c r="C172" s="77" t="s">
        <v>927</v>
      </c>
      <c r="D172" s="77" t="s">
        <v>732</v>
      </c>
      <c r="E172" s="77" t="s">
        <v>565</v>
      </c>
      <c r="F172" s="77" t="s">
        <v>43</v>
      </c>
      <c r="G172" s="77" t="s">
        <v>644</v>
      </c>
      <c r="H172" s="77"/>
      <c r="I172" s="78" t="s">
        <v>583</v>
      </c>
      <c r="J172" s="77" t="s">
        <v>486</v>
      </c>
      <c r="K172" s="77"/>
      <c r="L172" s="77"/>
      <c r="M172" s="78" t="s">
        <v>302</v>
      </c>
      <c r="N172" s="77" t="s">
        <v>874</v>
      </c>
      <c r="O172" s="98"/>
    </row>
    <row r="173" spans="1:15" hidden="1" x14ac:dyDescent="0.25">
      <c r="A173" s="80">
        <f t="shared" si="2"/>
        <v>172</v>
      </c>
      <c r="B173" s="80">
        <f>IF(Table1[[#This Row],[Active2]]="No",0,1)</f>
        <v>0</v>
      </c>
      <c r="C173" s="77" t="s">
        <v>928</v>
      </c>
      <c r="D173" s="77" t="s">
        <v>929</v>
      </c>
      <c r="E173" s="77" t="s">
        <v>565</v>
      </c>
      <c r="F173" s="77" t="s">
        <v>45</v>
      </c>
      <c r="G173" s="77" t="s">
        <v>85</v>
      </c>
      <c r="H173" s="79" t="s">
        <v>930</v>
      </c>
      <c r="I173" s="78" t="s">
        <v>568</v>
      </c>
      <c r="J173" s="77" t="s">
        <v>11</v>
      </c>
      <c r="K173" s="94" t="s">
        <v>763</v>
      </c>
      <c r="L173" s="77"/>
      <c r="M173" s="77" t="s">
        <v>302</v>
      </c>
      <c r="N173" s="77"/>
      <c r="O173" s="98"/>
    </row>
    <row r="174" spans="1:15" hidden="1" x14ac:dyDescent="0.25">
      <c r="A174" s="80">
        <f t="shared" si="2"/>
        <v>173</v>
      </c>
      <c r="B174" s="80">
        <f>IF(Table1[[#This Row],[Active2]]="No",0,1)</f>
        <v>0</v>
      </c>
      <c r="C174" s="77" t="s">
        <v>931</v>
      </c>
      <c r="D174" s="78" t="s">
        <v>924</v>
      </c>
      <c r="E174" s="78" t="s">
        <v>347</v>
      </c>
      <c r="F174" s="78" t="s">
        <v>407</v>
      </c>
      <c r="G174" s="77" t="s">
        <v>85</v>
      </c>
      <c r="H174" s="79" t="s">
        <v>930</v>
      </c>
      <c r="I174" s="77" t="s">
        <v>568</v>
      </c>
      <c r="J174" s="77" t="s">
        <v>11</v>
      </c>
      <c r="K174" s="94" t="s">
        <v>763</v>
      </c>
      <c r="L174" s="77"/>
      <c r="M174" s="77" t="s">
        <v>302</v>
      </c>
      <c r="N174" s="77"/>
      <c r="O174" s="98"/>
    </row>
    <row r="175" spans="1:15" hidden="1" x14ac:dyDescent="0.25">
      <c r="A175" s="80">
        <f t="shared" si="2"/>
        <v>174</v>
      </c>
      <c r="B175" s="80">
        <f>IF(Table1[[#This Row],[Active2]]="No",0,1)</f>
        <v>0</v>
      </c>
      <c r="C175" s="77" t="s">
        <v>932</v>
      </c>
      <c r="D175" s="77" t="s">
        <v>732</v>
      </c>
      <c r="E175" s="77" t="s">
        <v>565</v>
      </c>
      <c r="F175" s="77" t="s">
        <v>914</v>
      </c>
      <c r="G175" s="77" t="s">
        <v>85</v>
      </c>
      <c r="H175" s="79" t="s">
        <v>930</v>
      </c>
      <c r="I175" s="77" t="s">
        <v>568</v>
      </c>
      <c r="J175" s="77" t="s">
        <v>11</v>
      </c>
      <c r="K175" s="94" t="s">
        <v>763</v>
      </c>
      <c r="L175" s="77"/>
      <c r="M175" s="77" t="s">
        <v>302</v>
      </c>
      <c r="N175" s="77"/>
      <c r="O175" s="98"/>
    </row>
    <row r="176" spans="1:15" hidden="1" x14ac:dyDescent="0.25">
      <c r="A176" s="76">
        <f t="shared" si="2"/>
        <v>175</v>
      </c>
      <c r="B176" s="76">
        <f>IF(Table1[[#This Row],[Active2]]="No",0,1)</f>
        <v>0</v>
      </c>
      <c r="C176" s="78" t="s">
        <v>933</v>
      </c>
      <c r="D176" s="78" t="s">
        <v>934</v>
      </c>
      <c r="E176" s="78" t="s">
        <v>347</v>
      </c>
      <c r="F176" s="78" t="s">
        <v>45</v>
      </c>
      <c r="G176" s="78" t="s">
        <v>85</v>
      </c>
      <c r="H176" s="78" t="s">
        <v>935</v>
      </c>
      <c r="I176" s="78" t="s">
        <v>936</v>
      </c>
      <c r="J176" s="78" t="s">
        <v>312</v>
      </c>
      <c r="K176" s="78"/>
      <c r="L176" s="78"/>
      <c r="M176" s="78" t="s">
        <v>302</v>
      </c>
      <c r="N176" s="78"/>
      <c r="O176" s="100"/>
    </row>
    <row r="177" spans="1:15" hidden="1" x14ac:dyDescent="0.25">
      <c r="A177" s="81">
        <f t="shared" si="2"/>
        <v>176</v>
      </c>
      <c r="B177" s="81">
        <f>IF(Table1[[#This Row],[Active2]]="No",0,1)</f>
        <v>0</v>
      </c>
      <c r="C177" s="75" t="s">
        <v>937</v>
      </c>
      <c r="D177" s="74" t="s">
        <v>658</v>
      </c>
      <c r="E177" s="75" t="s">
        <v>565</v>
      </c>
      <c r="F177" s="75" t="s">
        <v>659</v>
      </c>
      <c r="G177" s="75" t="s">
        <v>85</v>
      </c>
      <c r="H177" s="75" t="s">
        <v>938</v>
      </c>
      <c r="I177" s="75"/>
      <c r="J177" s="75" t="s">
        <v>486</v>
      </c>
      <c r="K177" s="75"/>
      <c r="L177" s="75"/>
      <c r="M177" s="75" t="s">
        <v>302</v>
      </c>
      <c r="N177" s="75"/>
      <c r="O177" s="98"/>
    </row>
    <row r="178" spans="1:15" hidden="1" x14ac:dyDescent="0.25">
      <c r="A178" s="81">
        <f t="shared" si="2"/>
        <v>177</v>
      </c>
      <c r="B178" s="81">
        <f>IF(Table1[[#This Row],[Active2]]="No",0,1)</f>
        <v>0</v>
      </c>
      <c r="C178" s="75" t="s">
        <v>939</v>
      </c>
      <c r="D178" s="75" t="s">
        <v>929</v>
      </c>
      <c r="E178" s="75" t="s">
        <v>565</v>
      </c>
      <c r="F178" s="75" t="s">
        <v>45</v>
      </c>
      <c r="G178" s="75" t="s">
        <v>85</v>
      </c>
      <c r="H178" s="75" t="s">
        <v>940</v>
      </c>
      <c r="I178" s="75"/>
      <c r="J178" s="75" t="s">
        <v>486</v>
      </c>
      <c r="K178" s="75"/>
      <c r="L178" s="75"/>
      <c r="M178" s="75" t="s">
        <v>302</v>
      </c>
      <c r="N178" s="75" t="s">
        <v>756</v>
      </c>
      <c r="O178" s="98"/>
    </row>
    <row r="179" spans="1:15" x14ac:dyDescent="0.25">
      <c r="A179" s="81">
        <f t="shared" si="2"/>
        <v>178</v>
      </c>
      <c r="B179" s="81">
        <f>IF(Table1[[#This Row],[Active2]]="No",0,1)</f>
        <v>1</v>
      </c>
      <c r="C179" s="75" t="s">
        <v>941</v>
      </c>
      <c r="D179" s="75" t="s">
        <v>942</v>
      </c>
      <c r="E179" s="75" t="s">
        <v>565</v>
      </c>
      <c r="F179" s="75" t="s">
        <v>565</v>
      </c>
      <c r="G179" s="75" t="s">
        <v>85</v>
      </c>
      <c r="H179" s="75" t="s">
        <v>943</v>
      </c>
      <c r="I179" s="75" t="s">
        <v>583</v>
      </c>
      <c r="J179" s="75" t="s">
        <v>502</v>
      </c>
      <c r="K179" s="75" t="s">
        <v>944</v>
      </c>
      <c r="L179" s="75"/>
      <c r="M179" s="75" t="s">
        <v>95</v>
      </c>
      <c r="N179" s="75"/>
      <c r="O179" s="98"/>
    </row>
    <row r="180" spans="1:15" hidden="1" x14ac:dyDescent="0.25">
      <c r="A180" s="81">
        <f t="shared" si="2"/>
        <v>179</v>
      </c>
      <c r="B180" s="81">
        <f>IF(Table1[[#This Row],[Active2]]="No",0,1)</f>
        <v>0</v>
      </c>
      <c r="C180" s="75" t="s">
        <v>945</v>
      </c>
      <c r="D180" s="89" t="s">
        <v>942</v>
      </c>
      <c r="E180" s="89" t="s">
        <v>565</v>
      </c>
      <c r="F180" s="89" t="s">
        <v>565</v>
      </c>
      <c r="G180" s="89" t="s">
        <v>85</v>
      </c>
      <c r="H180" s="75" t="s">
        <v>946</v>
      </c>
      <c r="I180" s="89"/>
      <c r="J180" s="89" t="s">
        <v>486</v>
      </c>
      <c r="K180" s="89"/>
      <c r="L180" s="75"/>
      <c r="M180" s="75" t="s">
        <v>302</v>
      </c>
      <c r="N180" s="75" t="s">
        <v>756</v>
      </c>
      <c r="O180" s="98"/>
    </row>
    <row r="181" spans="1:15" hidden="1" x14ac:dyDescent="0.25">
      <c r="A181" s="80">
        <f t="shared" si="2"/>
        <v>180</v>
      </c>
      <c r="B181" s="80">
        <f>IF(Table1[[#This Row],[Active2]]="No",0,1)</f>
        <v>0</v>
      </c>
      <c r="C181" s="77" t="s">
        <v>947</v>
      </c>
      <c r="D181" s="101" t="s">
        <v>929</v>
      </c>
      <c r="E181" s="101" t="s">
        <v>565</v>
      </c>
      <c r="F181" s="101" t="s">
        <v>45</v>
      </c>
      <c r="G181" s="101" t="s">
        <v>85</v>
      </c>
      <c r="H181" s="79" t="s">
        <v>948</v>
      </c>
      <c r="I181" s="77" t="s">
        <v>926</v>
      </c>
      <c r="J181" s="101" t="s">
        <v>312</v>
      </c>
      <c r="K181" s="101"/>
      <c r="L181" s="77"/>
      <c r="M181" s="78" t="s">
        <v>302</v>
      </c>
      <c r="N181" s="77"/>
      <c r="O181" s="100"/>
    </row>
    <row r="182" spans="1:15" hidden="1" x14ac:dyDescent="0.25">
      <c r="A182" s="81">
        <f t="shared" si="2"/>
        <v>181</v>
      </c>
      <c r="B182" s="81">
        <f>IF(Table1[[#This Row],[Active2]]="No",0,1)</f>
        <v>0</v>
      </c>
      <c r="C182" s="75" t="s">
        <v>949</v>
      </c>
      <c r="D182" s="75" t="s">
        <v>929</v>
      </c>
      <c r="E182" s="75" t="s">
        <v>565</v>
      </c>
      <c r="F182" s="75" t="s">
        <v>45</v>
      </c>
      <c r="G182" s="75" t="s">
        <v>87</v>
      </c>
      <c r="H182" s="75" t="s">
        <v>680</v>
      </c>
      <c r="I182" s="75" t="s">
        <v>583</v>
      </c>
      <c r="J182" s="75" t="s">
        <v>486</v>
      </c>
      <c r="K182" s="75"/>
      <c r="L182" s="75"/>
      <c r="M182" s="75" t="s">
        <v>302</v>
      </c>
      <c r="N182" s="75" t="s">
        <v>756</v>
      </c>
      <c r="O182" s="98"/>
    </row>
    <row r="183" spans="1:15" hidden="1" x14ac:dyDescent="0.25">
      <c r="A183" s="76">
        <f t="shared" si="2"/>
        <v>182</v>
      </c>
      <c r="B183" s="76">
        <f>IF(Table1[[#This Row],[Active2]]="No",0,1)</f>
        <v>0</v>
      </c>
      <c r="C183" s="78" t="s">
        <v>950</v>
      </c>
      <c r="D183" s="78" t="s">
        <v>951</v>
      </c>
      <c r="E183" s="78" t="s">
        <v>347</v>
      </c>
      <c r="F183" s="78" t="s">
        <v>45</v>
      </c>
      <c r="G183" s="78" t="s">
        <v>87</v>
      </c>
      <c r="H183" s="78"/>
      <c r="I183" s="78"/>
      <c r="J183" s="78" t="s">
        <v>312</v>
      </c>
      <c r="K183" s="78" t="s">
        <v>590</v>
      </c>
      <c r="L183" s="78"/>
      <c r="M183" s="78" t="s">
        <v>302</v>
      </c>
      <c r="N183" s="78" t="s">
        <v>952</v>
      </c>
      <c r="O183" s="98"/>
    </row>
    <row r="184" spans="1:15" hidden="1" x14ac:dyDescent="0.25">
      <c r="A184" s="76">
        <f t="shared" si="2"/>
        <v>183</v>
      </c>
      <c r="B184" s="76">
        <f>IF(Table1[[#This Row],[Active2]]="No",0,1)</f>
        <v>0</v>
      </c>
      <c r="C184" s="78" t="s">
        <v>953</v>
      </c>
      <c r="D184" s="78" t="s">
        <v>951</v>
      </c>
      <c r="E184" s="78" t="s">
        <v>347</v>
      </c>
      <c r="F184" s="78" t="s">
        <v>45</v>
      </c>
      <c r="G184" s="78" t="s">
        <v>87</v>
      </c>
      <c r="H184" s="78"/>
      <c r="I184" s="78"/>
      <c r="J184" s="78" t="s">
        <v>312</v>
      </c>
      <c r="K184" s="78" t="s">
        <v>590</v>
      </c>
      <c r="L184" s="78"/>
      <c r="M184" s="78" t="s">
        <v>302</v>
      </c>
      <c r="N184" s="78" t="s">
        <v>952</v>
      </c>
      <c r="O184" s="98"/>
    </row>
    <row r="185" spans="1:15" hidden="1" x14ac:dyDescent="0.25">
      <c r="A185" s="76">
        <f t="shared" si="2"/>
        <v>184</v>
      </c>
      <c r="B185" s="76">
        <f>IF(Table1[[#This Row],[Active2]]="No",0,1)</f>
        <v>0</v>
      </c>
      <c r="C185" s="78" t="s">
        <v>954</v>
      </c>
      <c r="D185" s="78" t="s">
        <v>951</v>
      </c>
      <c r="E185" s="78" t="s">
        <v>347</v>
      </c>
      <c r="F185" s="78" t="s">
        <v>45</v>
      </c>
      <c r="G185" s="78" t="s">
        <v>87</v>
      </c>
      <c r="H185" s="78"/>
      <c r="I185" s="78"/>
      <c r="J185" s="78" t="s">
        <v>312</v>
      </c>
      <c r="K185" s="78" t="s">
        <v>590</v>
      </c>
      <c r="L185" s="78"/>
      <c r="M185" s="78" t="s">
        <v>302</v>
      </c>
      <c r="N185" s="78" t="s">
        <v>952</v>
      </c>
      <c r="O185" s="98"/>
    </row>
    <row r="186" spans="1:15" x14ac:dyDescent="0.25">
      <c r="A186" s="81">
        <f t="shared" si="2"/>
        <v>185</v>
      </c>
      <c r="B186" s="81">
        <f>IF(Table1[[#This Row],[Active2]]="No",0,1)</f>
        <v>1</v>
      </c>
      <c r="C186" s="75" t="s">
        <v>955</v>
      </c>
      <c r="D186" s="75" t="s">
        <v>956</v>
      </c>
      <c r="E186" s="75" t="s">
        <v>957</v>
      </c>
      <c r="F186" s="75" t="s">
        <v>274</v>
      </c>
      <c r="G186" s="75" t="s">
        <v>85</v>
      </c>
      <c r="H186" s="75" t="s">
        <v>958</v>
      </c>
      <c r="I186" s="82" t="s">
        <v>959</v>
      </c>
      <c r="J186" s="75" t="s">
        <v>330</v>
      </c>
      <c r="K186" s="75"/>
      <c r="L186" s="75"/>
      <c r="M186" s="75" t="s">
        <v>95</v>
      </c>
      <c r="N186" s="75"/>
      <c r="O186" s="98"/>
    </row>
    <row r="187" spans="1:15" hidden="1" x14ac:dyDescent="0.25">
      <c r="A187" s="81">
        <f t="shared" si="2"/>
        <v>186</v>
      </c>
      <c r="B187" s="81">
        <f>IF(Table1[[#This Row],[Active2]]="No",0,1)</f>
        <v>0</v>
      </c>
      <c r="C187" s="75" t="s">
        <v>960</v>
      </c>
      <c r="D187" s="75" t="s">
        <v>601</v>
      </c>
      <c r="E187" s="75" t="s">
        <v>565</v>
      </c>
      <c r="F187" s="75" t="s">
        <v>321</v>
      </c>
      <c r="G187" s="75" t="s">
        <v>85</v>
      </c>
      <c r="H187" s="75" t="s">
        <v>961</v>
      </c>
      <c r="I187" s="75" t="s">
        <v>583</v>
      </c>
      <c r="J187" s="75" t="s">
        <v>486</v>
      </c>
      <c r="K187" s="75"/>
      <c r="L187" s="75"/>
      <c r="M187" s="75" t="s">
        <v>302</v>
      </c>
      <c r="N187" s="75" t="s">
        <v>1228</v>
      </c>
      <c r="O187" s="98"/>
    </row>
    <row r="188" spans="1:15" x14ac:dyDescent="0.25">
      <c r="A188" s="81">
        <f t="shared" si="2"/>
        <v>187</v>
      </c>
      <c r="B188" s="81">
        <f>IF(Table1[[#This Row],[Active2]]="No",0,1)</f>
        <v>1</v>
      </c>
      <c r="C188" s="75" t="s">
        <v>962</v>
      </c>
      <c r="D188" s="75" t="s">
        <v>682</v>
      </c>
      <c r="E188" s="75" t="s">
        <v>595</v>
      </c>
      <c r="F188" s="75" t="s">
        <v>109</v>
      </c>
      <c r="G188" s="75" t="s">
        <v>85</v>
      </c>
      <c r="H188" s="75" t="s">
        <v>963</v>
      </c>
      <c r="I188" s="75"/>
      <c r="J188" s="75" t="s">
        <v>408</v>
      </c>
      <c r="K188" s="75"/>
      <c r="L188" s="75"/>
      <c r="M188" s="75" t="s">
        <v>964</v>
      </c>
      <c r="N188" s="75"/>
      <c r="O188" s="98"/>
    </row>
    <row r="189" spans="1:15" hidden="1" x14ac:dyDescent="0.25">
      <c r="A189" s="76">
        <f t="shared" si="2"/>
        <v>188</v>
      </c>
      <c r="B189" s="76">
        <f>IF(Table1[[#This Row],[Active2]]="No",0,1)</f>
        <v>0</v>
      </c>
      <c r="C189" s="78" t="s">
        <v>965</v>
      </c>
      <c r="D189" s="78" t="s">
        <v>934</v>
      </c>
      <c r="E189" s="78" t="s">
        <v>347</v>
      </c>
      <c r="F189" s="78" t="s">
        <v>45</v>
      </c>
      <c r="G189" s="78" t="s">
        <v>85</v>
      </c>
      <c r="H189" s="78" t="s">
        <v>909</v>
      </c>
      <c r="I189" s="78"/>
      <c r="J189" s="78" t="s">
        <v>312</v>
      </c>
      <c r="K189" s="78"/>
      <c r="L189" s="78"/>
      <c r="M189" s="78" t="s">
        <v>302</v>
      </c>
      <c r="N189" s="78"/>
      <c r="O189" s="100"/>
    </row>
    <row r="190" spans="1:15" hidden="1" x14ac:dyDescent="0.25">
      <c r="A190" s="80">
        <f t="shared" si="2"/>
        <v>189</v>
      </c>
      <c r="B190" s="80">
        <f>IF(Table1[[#This Row],[Active2]]="No",0,1)</f>
        <v>0</v>
      </c>
      <c r="C190" s="78" t="s">
        <v>966</v>
      </c>
      <c r="D190" s="77" t="s">
        <v>810</v>
      </c>
      <c r="E190" s="77" t="s">
        <v>52</v>
      </c>
      <c r="F190" s="77" t="s">
        <v>166</v>
      </c>
      <c r="G190" s="77" t="s">
        <v>967</v>
      </c>
      <c r="H190" s="77" t="s">
        <v>968</v>
      </c>
      <c r="I190" s="77" t="s">
        <v>969</v>
      </c>
      <c r="J190" s="77" t="s">
        <v>312</v>
      </c>
      <c r="K190" s="77"/>
      <c r="L190" s="77"/>
      <c r="M190" s="78" t="s">
        <v>302</v>
      </c>
      <c r="N190" s="77"/>
      <c r="O190" s="100"/>
    </row>
    <row r="191" spans="1:15" hidden="1" x14ac:dyDescent="0.25">
      <c r="A191" s="80">
        <f t="shared" si="2"/>
        <v>190</v>
      </c>
      <c r="B191" s="80">
        <f>IF(Table1[[#This Row],[Active2]]="No",0,1)</f>
        <v>0</v>
      </c>
      <c r="C191" s="78" t="s">
        <v>970</v>
      </c>
      <c r="D191" s="77" t="s">
        <v>971</v>
      </c>
      <c r="E191" s="77" t="s">
        <v>347</v>
      </c>
      <c r="F191" s="77" t="s">
        <v>407</v>
      </c>
      <c r="G191" s="77" t="s">
        <v>85</v>
      </c>
      <c r="H191" s="77" t="s">
        <v>972</v>
      </c>
      <c r="I191" s="79" t="s">
        <v>973</v>
      </c>
      <c r="J191" s="77" t="s">
        <v>312</v>
      </c>
      <c r="K191" s="77"/>
      <c r="L191" s="77"/>
      <c r="M191" s="78" t="s">
        <v>302</v>
      </c>
      <c r="N191" s="77"/>
      <c r="O191" s="100"/>
    </row>
    <row r="192" spans="1:15" hidden="1" x14ac:dyDescent="0.25">
      <c r="A192" s="81">
        <f t="shared" si="2"/>
        <v>191</v>
      </c>
      <c r="B192" s="81">
        <f>IF(Table1[[#This Row],[Active2]]="No",0,1)</f>
        <v>0</v>
      </c>
      <c r="C192" s="75" t="s">
        <v>974</v>
      </c>
      <c r="D192" s="75" t="s">
        <v>975</v>
      </c>
      <c r="E192" s="75" t="s">
        <v>196</v>
      </c>
      <c r="F192" s="75"/>
      <c r="G192" s="75" t="s">
        <v>85</v>
      </c>
      <c r="H192" s="75" t="s">
        <v>976</v>
      </c>
      <c r="I192" s="75" t="s">
        <v>977</v>
      </c>
      <c r="J192" s="75" t="s">
        <v>486</v>
      </c>
      <c r="K192" s="75"/>
      <c r="L192" s="75"/>
      <c r="M192" s="78" t="s">
        <v>302</v>
      </c>
      <c r="N192" s="75" t="s">
        <v>1220</v>
      </c>
      <c r="O192" s="98"/>
    </row>
    <row r="193" spans="1:15" hidden="1" x14ac:dyDescent="0.25">
      <c r="A193" s="81">
        <f t="shared" si="2"/>
        <v>192</v>
      </c>
      <c r="B193" s="81">
        <f>IF(Table1[[#This Row],[Active2]]="No",0,1)</f>
        <v>0</v>
      </c>
      <c r="C193" s="75" t="s">
        <v>978</v>
      </c>
      <c r="D193" s="75" t="s">
        <v>979</v>
      </c>
      <c r="E193" s="75" t="s">
        <v>30</v>
      </c>
      <c r="F193" s="75" t="s">
        <v>43</v>
      </c>
      <c r="G193" s="75" t="s">
        <v>85</v>
      </c>
      <c r="H193" s="75" t="s">
        <v>980</v>
      </c>
      <c r="I193" s="82" t="s">
        <v>583</v>
      </c>
      <c r="J193" s="75" t="s">
        <v>486</v>
      </c>
      <c r="K193" s="75"/>
      <c r="L193" s="75"/>
      <c r="M193" s="78" t="s">
        <v>302</v>
      </c>
      <c r="N193" s="75" t="s">
        <v>1220</v>
      </c>
      <c r="O193" s="98"/>
    </row>
    <row r="194" spans="1:15" hidden="1" x14ac:dyDescent="0.25">
      <c r="A194" s="81">
        <f t="shared" si="2"/>
        <v>193</v>
      </c>
      <c r="B194" s="81">
        <f>IF(Table1[[#This Row],[Active2]]="No",0,1)</f>
        <v>0</v>
      </c>
      <c r="C194" s="75" t="s">
        <v>981</v>
      </c>
      <c r="D194" s="89" t="s">
        <v>942</v>
      </c>
      <c r="E194" s="75" t="s">
        <v>565</v>
      </c>
      <c r="F194" s="75"/>
      <c r="G194" s="75" t="s">
        <v>87</v>
      </c>
      <c r="H194" s="75" t="s">
        <v>982</v>
      </c>
      <c r="I194" s="82" t="s">
        <v>583</v>
      </c>
      <c r="J194" s="75" t="s">
        <v>486</v>
      </c>
      <c r="K194" s="75"/>
      <c r="L194" s="75"/>
      <c r="M194" s="75" t="s">
        <v>302</v>
      </c>
      <c r="N194" s="75" t="s">
        <v>756</v>
      </c>
      <c r="O194" s="98"/>
    </row>
    <row r="195" spans="1:15" hidden="1" x14ac:dyDescent="0.25">
      <c r="A195" s="80">
        <f t="shared" ref="A195:A247" si="3">IF(C195&lt;&gt;"",A194+1,"")</f>
        <v>194</v>
      </c>
      <c r="B195" s="80">
        <f>IF(Table1[[#This Row],[Active2]]="No",0,1)</f>
        <v>0</v>
      </c>
      <c r="C195" s="78" t="s">
        <v>983</v>
      </c>
      <c r="D195" s="77" t="s">
        <v>984</v>
      </c>
      <c r="E195" s="77" t="s">
        <v>52</v>
      </c>
      <c r="F195" s="77" t="s">
        <v>284</v>
      </c>
      <c r="G195" s="103" t="s">
        <v>87</v>
      </c>
      <c r="H195" s="104" t="s">
        <v>985</v>
      </c>
      <c r="I195" s="102" t="s">
        <v>926</v>
      </c>
      <c r="J195" s="77" t="s">
        <v>312</v>
      </c>
      <c r="K195" s="77"/>
      <c r="L195" s="77"/>
      <c r="M195" s="78" t="s">
        <v>302</v>
      </c>
      <c r="N195" s="77"/>
      <c r="O195" s="100"/>
    </row>
    <row r="196" spans="1:15" hidden="1" x14ac:dyDescent="0.25">
      <c r="A196" s="80">
        <f t="shared" si="3"/>
        <v>195</v>
      </c>
      <c r="B196" s="80">
        <f>IF(Table1[[#This Row],[Active2]]="No",0,1)</f>
        <v>0</v>
      </c>
      <c r="C196" s="77" t="s">
        <v>986</v>
      </c>
      <c r="D196" s="77" t="s">
        <v>942</v>
      </c>
      <c r="E196" s="77" t="s">
        <v>565</v>
      </c>
      <c r="F196" s="77" t="s">
        <v>498</v>
      </c>
      <c r="G196" s="77" t="s">
        <v>85</v>
      </c>
      <c r="H196" s="77" t="s">
        <v>921</v>
      </c>
      <c r="I196" s="77"/>
      <c r="J196" s="77" t="s">
        <v>312</v>
      </c>
      <c r="K196" s="77"/>
      <c r="L196" s="77"/>
      <c r="M196" s="78" t="s">
        <v>302</v>
      </c>
      <c r="N196" s="77"/>
      <c r="O196" s="100"/>
    </row>
    <row r="197" spans="1:15" hidden="1" x14ac:dyDescent="0.25">
      <c r="A197" s="76">
        <f t="shared" si="3"/>
        <v>196</v>
      </c>
      <c r="B197" s="76">
        <f>IF(Table1[[#This Row],[Active2]]="No",0,1)</f>
        <v>0</v>
      </c>
      <c r="C197" s="78" t="s">
        <v>987</v>
      </c>
      <c r="D197" s="78" t="s">
        <v>810</v>
      </c>
      <c r="E197" s="78" t="s">
        <v>52</v>
      </c>
      <c r="F197" s="78" t="s">
        <v>166</v>
      </c>
      <c r="G197" s="78" t="s">
        <v>85</v>
      </c>
      <c r="H197" s="78" t="s">
        <v>988</v>
      </c>
      <c r="I197" s="78" t="s">
        <v>969</v>
      </c>
      <c r="J197" s="78" t="s">
        <v>312</v>
      </c>
      <c r="K197" s="78"/>
      <c r="L197" s="78"/>
      <c r="M197" s="78" t="s">
        <v>302</v>
      </c>
      <c r="N197" s="78" t="s">
        <v>989</v>
      </c>
      <c r="O197" s="98"/>
    </row>
    <row r="198" spans="1:15" hidden="1" x14ac:dyDescent="0.25">
      <c r="A198" s="81">
        <f t="shared" si="3"/>
        <v>197</v>
      </c>
      <c r="B198" s="81">
        <f>IF(Table1[[#This Row],[Active2]]="No",0,1)</f>
        <v>0</v>
      </c>
      <c r="C198" s="75" t="s">
        <v>990</v>
      </c>
      <c r="D198" s="75" t="s">
        <v>732</v>
      </c>
      <c r="E198" s="75" t="s">
        <v>565</v>
      </c>
      <c r="F198" s="75" t="s">
        <v>991</v>
      </c>
      <c r="G198" s="75" t="s">
        <v>644</v>
      </c>
      <c r="H198" s="75" t="s">
        <v>876</v>
      </c>
      <c r="I198" s="75" t="s">
        <v>583</v>
      </c>
      <c r="J198" s="75" t="s">
        <v>486</v>
      </c>
      <c r="K198" s="75"/>
      <c r="L198" s="75"/>
      <c r="M198" s="75" t="s">
        <v>302</v>
      </c>
      <c r="N198" s="75" t="s">
        <v>756</v>
      </c>
      <c r="O198" s="98"/>
    </row>
    <row r="199" spans="1:15" x14ac:dyDescent="0.25">
      <c r="A199" s="81">
        <f t="shared" si="3"/>
        <v>198</v>
      </c>
      <c r="B199" s="81">
        <f>IF(Table1[[#This Row],[Active2]]="No",0,1)</f>
        <v>1</v>
      </c>
      <c r="C199" s="75" t="s">
        <v>992</v>
      </c>
      <c r="D199" s="75" t="s">
        <v>942</v>
      </c>
      <c r="E199" s="75" t="s">
        <v>565</v>
      </c>
      <c r="F199" s="75" t="s">
        <v>565</v>
      </c>
      <c r="G199" s="75" t="s">
        <v>87</v>
      </c>
      <c r="H199" s="75" t="s">
        <v>943</v>
      </c>
      <c r="I199" s="75" t="s">
        <v>993</v>
      </c>
      <c r="J199" s="75" t="s">
        <v>502</v>
      </c>
      <c r="K199" s="75" t="s">
        <v>994</v>
      </c>
      <c r="L199" s="75"/>
      <c r="M199" s="75" t="s">
        <v>95</v>
      </c>
      <c r="N199" s="75"/>
      <c r="O199" s="98"/>
    </row>
    <row r="200" spans="1:15" hidden="1" x14ac:dyDescent="0.25">
      <c r="A200" s="81">
        <f t="shared" si="3"/>
        <v>199</v>
      </c>
      <c r="B200" s="81">
        <f>IF(Table1[[#This Row],[Active2]]="No",0,1)</f>
        <v>0</v>
      </c>
      <c r="C200" s="75" t="s">
        <v>995</v>
      </c>
      <c r="D200" s="75" t="s">
        <v>841</v>
      </c>
      <c r="E200" s="75" t="s">
        <v>30</v>
      </c>
      <c r="F200" s="75" t="s">
        <v>71</v>
      </c>
      <c r="G200" s="75" t="s">
        <v>85</v>
      </c>
      <c r="H200" s="82" t="s">
        <v>842</v>
      </c>
      <c r="I200" s="75" t="s">
        <v>993</v>
      </c>
      <c r="J200" s="75" t="s">
        <v>486</v>
      </c>
      <c r="K200" s="75"/>
      <c r="L200" s="75"/>
      <c r="M200" s="78" t="s">
        <v>302</v>
      </c>
      <c r="N200" s="75" t="s">
        <v>1220</v>
      </c>
      <c r="O200" s="98"/>
    </row>
    <row r="201" spans="1:15" hidden="1" x14ac:dyDescent="0.25">
      <c r="A201" s="80">
        <f t="shared" si="3"/>
        <v>200</v>
      </c>
      <c r="B201" s="80">
        <f>IF(Table1[[#This Row],[Active2]]="No",0,1)</f>
        <v>0</v>
      </c>
      <c r="C201" s="77" t="s">
        <v>996</v>
      </c>
      <c r="D201" s="77" t="s">
        <v>929</v>
      </c>
      <c r="E201" s="77" t="s">
        <v>565</v>
      </c>
      <c r="F201" s="77" t="s">
        <v>45</v>
      </c>
      <c r="G201" s="77" t="s">
        <v>85</v>
      </c>
      <c r="H201" s="87" t="s">
        <v>997</v>
      </c>
      <c r="I201" s="77" t="s">
        <v>926</v>
      </c>
      <c r="J201" s="77" t="s">
        <v>312</v>
      </c>
      <c r="K201" s="77"/>
      <c r="L201" s="77"/>
      <c r="M201" s="78" t="s">
        <v>302</v>
      </c>
      <c r="N201" s="77"/>
      <c r="O201" s="100"/>
    </row>
    <row r="202" spans="1:15" hidden="1" x14ac:dyDescent="0.25">
      <c r="A202" s="80">
        <f t="shared" si="3"/>
        <v>201</v>
      </c>
      <c r="B202" s="80">
        <f>IF(Table1[[#This Row],[Active2]]="No",0,1)</f>
        <v>0</v>
      </c>
      <c r="C202" s="77" t="s">
        <v>998</v>
      </c>
      <c r="D202" s="77" t="s">
        <v>934</v>
      </c>
      <c r="E202" s="77" t="s">
        <v>347</v>
      </c>
      <c r="F202" s="77" t="s">
        <v>45</v>
      </c>
      <c r="G202" s="77" t="s">
        <v>87</v>
      </c>
      <c r="H202" s="87" t="s">
        <v>999</v>
      </c>
      <c r="I202" s="77" t="s">
        <v>926</v>
      </c>
      <c r="J202" s="77" t="s">
        <v>312</v>
      </c>
      <c r="K202" s="77"/>
      <c r="L202" s="77"/>
      <c r="M202" s="78" t="s">
        <v>302</v>
      </c>
      <c r="N202" s="77"/>
      <c r="O202" s="100"/>
    </row>
    <row r="203" spans="1:15" x14ac:dyDescent="0.25">
      <c r="A203" s="81">
        <f t="shared" si="3"/>
        <v>202</v>
      </c>
      <c r="B203" s="81">
        <f>IF(Table1[[#This Row],[Active2]]="No",0,1)</f>
        <v>1</v>
      </c>
      <c r="C203" s="75" t="s">
        <v>1000</v>
      </c>
      <c r="D203" s="75" t="s">
        <v>1001</v>
      </c>
      <c r="E203" s="75" t="s">
        <v>565</v>
      </c>
      <c r="F203" s="75" t="s">
        <v>380</v>
      </c>
      <c r="G203" s="75" t="s">
        <v>87</v>
      </c>
      <c r="H203" s="82" t="s">
        <v>1002</v>
      </c>
      <c r="I203" s="75"/>
      <c r="J203" s="75" t="s">
        <v>1003</v>
      </c>
      <c r="K203" s="75"/>
      <c r="L203" s="75"/>
      <c r="M203" s="75" t="s">
        <v>95</v>
      </c>
      <c r="N203" s="75"/>
      <c r="O203" s="98"/>
    </row>
    <row r="204" spans="1:15" hidden="1" x14ac:dyDescent="0.25">
      <c r="A204" s="80">
        <f t="shared" si="3"/>
        <v>203</v>
      </c>
      <c r="B204" s="80">
        <f>IF(Table1[[#This Row],[Active2]]="No",0,1)</f>
        <v>0</v>
      </c>
      <c r="C204" s="77" t="s">
        <v>1004</v>
      </c>
      <c r="D204" s="77" t="s">
        <v>810</v>
      </c>
      <c r="E204" s="77" t="s">
        <v>52</v>
      </c>
      <c r="F204" s="77" t="s">
        <v>166</v>
      </c>
      <c r="G204" s="77" t="s">
        <v>87</v>
      </c>
      <c r="H204" s="77" t="s">
        <v>1005</v>
      </c>
      <c r="I204" s="77" t="s">
        <v>969</v>
      </c>
      <c r="J204" s="77" t="s">
        <v>312</v>
      </c>
      <c r="K204" s="77"/>
      <c r="L204" s="77"/>
      <c r="M204" s="78" t="s">
        <v>302</v>
      </c>
      <c r="N204" s="77"/>
      <c r="O204" s="100"/>
    </row>
    <row r="205" spans="1:15" hidden="1" x14ac:dyDescent="0.25">
      <c r="A205" s="80">
        <f t="shared" si="3"/>
        <v>204</v>
      </c>
      <c r="B205" s="80">
        <f>IF(Table1[[#This Row],[Active2]]="No",0,1)</f>
        <v>0</v>
      </c>
      <c r="C205" s="77" t="s">
        <v>1006</v>
      </c>
      <c r="D205" s="77" t="s">
        <v>951</v>
      </c>
      <c r="E205" s="77" t="s">
        <v>347</v>
      </c>
      <c r="F205" s="77" t="s">
        <v>45</v>
      </c>
      <c r="G205" s="77" t="s">
        <v>87</v>
      </c>
      <c r="H205" s="77"/>
      <c r="I205" s="77"/>
      <c r="J205" s="77" t="s">
        <v>312</v>
      </c>
      <c r="K205" s="77" t="s">
        <v>590</v>
      </c>
      <c r="L205" s="77"/>
      <c r="M205" s="77" t="s">
        <v>302</v>
      </c>
      <c r="N205" s="78" t="s">
        <v>952</v>
      </c>
      <c r="O205" s="98"/>
    </row>
    <row r="206" spans="1:15" hidden="1" x14ac:dyDescent="0.25">
      <c r="A206" s="80">
        <f t="shared" si="3"/>
        <v>205</v>
      </c>
      <c r="B206" s="80">
        <f>IF(Table1[[#This Row],[Active2]]="No",0,1)</f>
        <v>0</v>
      </c>
      <c r="C206" s="77" t="s">
        <v>1007</v>
      </c>
      <c r="D206" s="77" t="s">
        <v>810</v>
      </c>
      <c r="E206" s="77" t="s">
        <v>52</v>
      </c>
      <c r="F206" s="77" t="s">
        <v>166</v>
      </c>
      <c r="G206" s="77" t="s">
        <v>86</v>
      </c>
      <c r="H206" s="79" t="s">
        <v>1008</v>
      </c>
      <c r="I206" s="77" t="s">
        <v>969</v>
      </c>
      <c r="J206" s="77" t="s">
        <v>312</v>
      </c>
      <c r="K206" s="77"/>
      <c r="L206" s="77"/>
      <c r="M206" s="78" t="s">
        <v>302</v>
      </c>
      <c r="N206" s="77"/>
      <c r="O206" s="100"/>
    </row>
    <row r="207" spans="1:15" x14ac:dyDescent="0.25">
      <c r="A207" s="81">
        <f t="shared" si="3"/>
        <v>206</v>
      </c>
      <c r="B207" s="81">
        <f>IF(Table1[[#This Row],[Active2]]="No",0,1)</f>
        <v>1</v>
      </c>
      <c r="C207" s="75" t="s">
        <v>1009</v>
      </c>
      <c r="D207" s="75" t="s">
        <v>732</v>
      </c>
      <c r="E207" s="75" t="s">
        <v>565</v>
      </c>
      <c r="F207" s="75" t="s">
        <v>43</v>
      </c>
      <c r="G207" s="75" t="s">
        <v>644</v>
      </c>
      <c r="H207" s="75" t="s">
        <v>1010</v>
      </c>
      <c r="I207" s="75" t="s">
        <v>993</v>
      </c>
      <c r="J207" s="75" t="s">
        <v>502</v>
      </c>
      <c r="K207" s="75"/>
      <c r="L207" s="75"/>
      <c r="M207" s="75" t="s">
        <v>95</v>
      </c>
      <c r="N207" s="75"/>
      <c r="O207" s="98"/>
    </row>
    <row r="208" spans="1:15" hidden="1" x14ac:dyDescent="0.25">
      <c r="A208" s="81">
        <f t="shared" si="3"/>
        <v>207</v>
      </c>
      <c r="B208" s="81">
        <f>IF(Table1[[#This Row],[Active2]]="No",0,1)</f>
        <v>0</v>
      </c>
      <c r="C208" s="75" t="s">
        <v>1011</v>
      </c>
      <c r="D208" s="75" t="s">
        <v>1012</v>
      </c>
      <c r="E208" s="75" t="s">
        <v>30</v>
      </c>
      <c r="F208" s="75" t="s">
        <v>71</v>
      </c>
      <c r="G208" s="75" t="s">
        <v>85</v>
      </c>
      <c r="H208" t="s">
        <v>842</v>
      </c>
      <c r="I208" t="s">
        <v>1013</v>
      </c>
      <c r="J208" s="75" t="s">
        <v>502</v>
      </c>
      <c r="K208" s="75"/>
      <c r="L208" s="75"/>
      <c r="M208" s="78" t="s">
        <v>302</v>
      </c>
      <c r="N208" s="75" t="s">
        <v>1220</v>
      </c>
      <c r="O208" s="98"/>
    </row>
    <row r="209" spans="1:15" hidden="1" x14ac:dyDescent="0.25">
      <c r="A209" s="80">
        <f t="shared" si="3"/>
        <v>208</v>
      </c>
      <c r="B209" s="80">
        <f>IF(Table1[[#This Row],[Active2]]="No",0,1)</f>
        <v>0</v>
      </c>
      <c r="C209" s="77" t="s">
        <v>1014</v>
      </c>
      <c r="D209" s="101" t="s">
        <v>929</v>
      </c>
      <c r="E209" s="101" t="s">
        <v>565</v>
      </c>
      <c r="F209" s="101" t="s">
        <v>45</v>
      </c>
      <c r="G209" s="101" t="s">
        <v>85</v>
      </c>
      <c r="H209" s="87" t="s">
        <v>1015</v>
      </c>
      <c r="I209" s="77" t="s">
        <v>926</v>
      </c>
      <c r="J209" s="101" t="s">
        <v>312</v>
      </c>
      <c r="K209" s="101"/>
      <c r="L209" s="77"/>
      <c r="M209" s="78" t="s">
        <v>302</v>
      </c>
      <c r="N209" s="77"/>
      <c r="O209" s="100"/>
    </row>
    <row r="210" spans="1:15" x14ac:dyDescent="0.25">
      <c r="A210" s="81">
        <f t="shared" si="3"/>
        <v>209</v>
      </c>
      <c r="B210" s="81">
        <f>IF(Table1[[#This Row],[Active2]]="No",0,1)</f>
        <v>1</v>
      </c>
      <c r="C210" s="75" t="s">
        <v>1016</v>
      </c>
      <c r="D210" s="75" t="s">
        <v>830</v>
      </c>
      <c r="E210" s="75" t="s">
        <v>595</v>
      </c>
      <c r="F210" s="75" t="s">
        <v>19</v>
      </c>
      <c r="G210" s="75" t="s">
        <v>85</v>
      </c>
      <c r="H210" s="75" t="s">
        <v>1017</v>
      </c>
      <c r="I210" s="75"/>
      <c r="J210" s="75" t="s">
        <v>340</v>
      </c>
      <c r="K210" s="75"/>
      <c r="L210" s="75"/>
      <c r="M210" s="75" t="s">
        <v>95</v>
      </c>
      <c r="N210" s="75"/>
      <c r="O210" s="98"/>
    </row>
    <row r="211" spans="1:15" hidden="1" x14ac:dyDescent="0.25">
      <c r="A211" s="80">
        <f t="shared" si="3"/>
        <v>210</v>
      </c>
      <c r="B211" s="80">
        <f>IF(Table1[[#This Row],[Active2]]="No",0,1)</f>
        <v>0</v>
      </c>
      <c r="C211" s="77" t="s">
        <v>1018</v>
      </c>
      <c r="D211" s="77" t="s">
        <v>810</v>
      </c>
      <c r="E211" s="77" t="s">
        <v>52</v>
      </c>
      <c r="F211" s="77" t="s">
        <v>166</v>
      </c>
      <c r="G211" s="77" t="s">
        <v>86</v>
      </c>
      <c r="H211" s="77" t="s">
        <v>1005</v>
      </c>
      <c r="I211" s="77" t="s">
        <v>969</v>
      </c>
      <c r="J211" s="77" t="s">
        <v>312</v>
      </c>
      <c r="K211" s="77"/>
      <c r="L211" s="77"/>
      <c r="M211" s="78" t="s">
        <v>302</v>
      </c>
      <c r="N211" s="77"/>
      <c r="O211" s="100"/>
    </row>
    <row r="212" spans="1:15" hidden="1" x14ac:dyDescent="0.25">
      <c r="A212" s="80">
        <f t="shared" si="3"/>
        <v>211</v>
      </c>
      <c r="B212" s="80">
        <f>IF(Table1[[#This Row],[Active2]]="No",0,1)</f>
        <v>0</v>
      </c>
      <c r="C212" s="77" t="s">
        <v>684</v>
      </c>
      <c r="D212" s="77" t="s">
        <v>685</v>
      </c>
      <c r="E212" s="77" t="s">
        <v>30</v>
      </c>
      <c r="F212" s="77" t="s">
        <v>202</v>
      </c>
      <c r="G212" s="77" t="s">
        <v>85</v>
      </c>
      <c r="H212" s="77" t="s">
        <v>686</v>
      </c>
      <c r="I212" s="79" t="s">
        <v>583</v>
      </c>
      <c r="J212" s="77" t="s">
        <v>486</v>
      </c>
      <c r="K212" s="77"/>
      <c r="L212" s="77"/>
      <c r="M212" s="77" t="s">
        <v>302</v>
      </c>
      <c r="N212" s="77" t="s">
        <v>1019</v>
      </c>
      <c r="O212" s="98"/>
    </row>
    <row r="213" spans="1:15" x14ac:dyDescent="0.25">
      <c r="A213" s="81">
        <f t="shared" si="3"/>
        <v>212</v>
      </c>
      <c r="B213" s="81">
        <f>IF(Table1[[#This Row],[Active2]]="No",0,1)</f>
        <v>1</v>
      </c>
      <c r="C213" s="75" t="s">
        <v>1020</v>
      </c>
      <c r="D213" s="75" t="s">
        <v>1021</v>
      </c>
      <c r="E213" s="75" t="s">
        <v>1022</v>
      </c>
      <c r="F213" s="75" t="s">
        <v>321</v>
      </c>
      <c r="G213" s="75" t="s">
        <v>87</v>
      </c>
      <c r="H213" s="75"/>
      <c r="I213" s="75"/>
      <c r="J213" s="75" t="s">
        <v>11</v>
      </c>
      <c r="K213" s="75" t="s">
        <v>1023</v>
      </c>
      <c r="L213" s="75"/>
      <c r="M213" s="75" t="s">
        <v>95</v>
      </c>
      <c r="N213" s="75"/>
      <c r="O213" s="98"/>
    </row>
    <row r="214" spans="1:15" x14ac:dyDescent="0.25">
      <c r="A214" s="81">
        <f t="shared" si="3"/>
        <v>213</v>
      </c>
      <c r="B214" s="81">
        <f>IF(Table1[[#This Row],[Active2]]="No",0,1)</f>
        <v>1</v>
      </c>
      <c r="C214" s="75" t="s">
        <v>1024</v>
      </c>
      <c r="D214" s="75" t="s">
        <v>1021</v>
      </c>
      <c r="E214" s="75" t="s">
        <v>1025</v>
      </c>
      <c r="F214" s="75" t="s">
        <v>321</v>
      </c>
      <c r="G214" s="75" t="s">
        <v>87</v>
      </c>
      <c r="H214" s="75"/>
      <c r="I214" s="75"/>
      <c r="J214" s="75" t="s">
        <v>11</v>
      </c>
      <c r="K214" s="75" t="s">
        <v>1023</v>
      </c>
      <c r="L214" s="75"/>
      <c r="M214" s="75" t="s">
        <v>95</v>
      </c>
      <c r="N214" s="75"/>
      <c r="O214" s="98"/>
    </row>
    <row r="215" spans="1:15" x14ac:dyDescent="0.25">
      <c r="A215" s="81">
        <f t="shared" si="3"/>
        <v>214</v>
      </c>
      <c r="B215" s="81">
        <f>IF(Table1[[#This Row],[Active2]]="No",0,1)</f>
        <v>1</v>
      </c>
      <c r="C215" s="75" t="s">
        <v>1026</v>
      </c>
      <c r="D215" s="75" t="s">
        <v>1021</v>
      </c>
      <c r="E215" s="75" t="s">
        <v>52</v>
      </c>
      <c r="F215" s="75" t="s">
        <v>321</v>
      </c>
      <c r="G215" s="75" t="s">
        <v>87</v>
      </c>
      <c r="H215" s="75"/>
      <c r="I215" s="75"/>
      <c r="J215" s="75" t="s">
        <v>11</v>
      </c>
      <c r="K215" s="75" t="s">
        <v>1023</v>
      </c>
      <c r="L215" s="75"/>
      <c r="M215" s="75" t="s">
        <v>95</v>
      </c>
      <c r="N215" s="75"/>
      <c r="O215" s="98"/>
    </row>
    <row r="216" spans="1:15" x14ac:dyDescent="0.25">
      <c r="A216" s="81">
        <f t="shared" si="3"/>
        <v>215</v>
      </c>
      <c r="B216" s="81">
        <f>IF(Table1[[#This Row],[Active2]]="No",0,1)</f>
        <v>1</v>
      </c>
      <c r="C216" s="75" t="s">
        <v>1027</v>
      </c>
      <c r="D216" s="75" t="s">
        <v>1021</v>
      </c>
      <c r="E216" s="75" t="s">
        <v>1028</v>
      </c>
      <c r="F216" s="75" t="s">
        <v>321</v>
      </c>
      <c r="G216" s="75" t="s">
        <v>87</v>
      </c>
      <c r="H216" s="75"/>
      <c r="I216" s="75"/>
      <c r="J216" s="75" t="s">
        <v>11</v>
      </c>
      <c r="K216" s="75" t="s">
        <v>1023</v>
      </c>
      <c r="L216" s="75"/>
      <c r="M216" s="75" t="s">
        <v>95</v>
      </c>
      <c r="N216" s="75"/>
      <c r="O216" s="98"/>
    </row>
    <row r="217" spans="1:15" hidden="1" x14ac:dyDescent="0.25">
      <c r="A217" s="81">
        <f t="shared" si="3"/>
        <v>216</v>
      </c>
      <c r="B217" s="81">
        <f>IF(Table1[[#This Row],[Active2]]="No",0,1)</f>
        <v>0</v>
      </c>
      <c r="C217" s="75" t="s">
        <v>1029</v>
      </c>
      <c r="D217" s="75" t="s">
        <v>1030</v>
      </c>
      <c r="E217" s="75" t="s">
        <v>520</v>
      </c>
      <c r="F217" s="75" t="s">
        <v>43</v>
      </c>
      <c r="G217" s="75" t="s">
        <v>87</v>
      </c>
      <c r="H217" s="75"/>
      <c r="I217" s="75"/>
      <c r="J217" s="75" t="s">
        <v>11</v>
      </c>
      <c r="K217" s="75" t="s">
        <v>1023</v>
      </c>
      <c r="L217" s="75"/>
      <c r="M217" s="77" t="s">
        <v>302</v>
      </c>
      <c r="N217" s="75" t="s">
        <v>1220</v>
      </c>
      <c r="O217" s="98"/>
    </row>
    <row r="218" spans="1:15" hidden="1" x14ac:dyDescent="0.25">
      <c r="A218" s="81">
        <f t="shared" si="3"/>
        <v>217</v>
      </c>
      <c r="B218" s="81">
        <f>IF(Table1[[#This Row],[Active2]]="No",0,1)</f>
        <v>0</v>
      </c>
      <c r="C218" s="75" t="s">
        <v>1031</v>
      </c>
      <c r="D218" s="75" t="s">
        <v>860</v>
      </c>
      <c r="E218" s="75" t="s">
        <v>30</v>
      </c>
      <c r="F218" s="75" t="s">
        <v>43</v>
      </c>
      <c r="G218" s="75" t="s">
        <v>87</v>
      </c>
      <c r="H218" s="75"/>
      <c r="I218" s="75"/>
      <c r="J218" s="75" t="s">
        <v>11</v>
      </c>
      <c r="K218" s="75" t="s">
        <v>1023</v>
      </c>
      <c r="L218" s="75"/>
      <c r="M218" s="77" t="s">
        <v>302</v>
      </c>
      <c r="N218" s="75" t="s">
        <v>1220</v>
      </c>
      <c r="O218" s="98"/>
    </row>
    <row r="219" spans="1:15" hidden="1" x14ac:dyDescent="0.25">
      <c r="A219" s="81">
        <f t="shared" si="3"/>
        <v>218</v>
      </c>
      <c r="B219" s="81">
        <f>IF(Table1[[#This Row],[Active2]]="No",0,1)</f>
        <v>0</v>
      </c>
      <c r="C219" s="75" t="s">
        <v>1032</v>
      </c>
      <c r="D219" s="75" t="s">
        <v>860</v>
      </c>
      <c r="E219" s="75" t="s">
        <v>30</v>
      </c>
      <c r="F219" s="75" t="s">
        <v>43</v>
      </c>
      <c r="G219" s="75" t="s">
        <v>87</v>
      </c>
      <c r="H219" s="75"/>
      <c r="I219" s="75"/>
      <c r="J219" s="75" t="s">
        <v>11</v>
      </c>
      <c r="K219" s="75" t="s">
        <v>1023</v>
      </c>
      <c r="L219" s="75"/>
      <c r="M219" s="77" t="s">
        <v>302</v>
      </c>
      <c r="N219" s="75" t="s">
        <v>1220</v>
      </c>
      <c r="O219" s="98"/>
    </row>
    <row r="220" spans="1:15" hidden="1" x14ac:dyDescent="0.25">
      <c r="A220" s="81">
        <f t="shared" si="3"/>
        <v>219</v>
      </c>
      <c r="B220" s="81">
        <f>IF(Table1[[#This Row],[Active2]]="No",0,1)</f>
        <v>0</v>
      </c>
      <c r="C220" s="75" t="s">
        <v>1033</v>
      </c>
      <c r="D220" s="75" t="s">
        <v>860</v>
      </c>
      <c r="E220" s="75" t="s">
        <v>30</v>
      </c>
      <c r="F220" s="75" t="s">
        <v>43</v>
      </c>
      <c r="G220" s="75" t="s">
        <v>87</v>
      </c>
      <c r="H220" s="75"/>
      <c r="I220" s="75"/>
      <c r="J220" s="75" t="s">
        <v>11</v>
      </c>
      <c r="K220" s="75" t="s">
        <v>1023</v>
      </c>
      <c r="L220" s="75"/>
      <c r="M220" s="77" t="s">
        <v>302</v>
      </c>
      <c r="N220" s="75" t="s">
        <v>1220</v>
      </c>
      <c r="O220" s="98"/>
    </row>
    <row r="221" spans="1:15" hidden="1" x14ac:dyDescent="0.25">
      <c r="A221" s="81">
        <f t="shared" si="3"/>
        <v>220</v>
      </c>
      <c r="B221" s="81">
        <f>IF(Table1[[#This Row],[Active2]]="No",0,1)</f>
        <v>0</v>
      </c>
      <c r="C221" s="75" t="s">
        <v>1034</v>
      </c>
      <c r="D221" s="75" t="s">
        <v>860</v>
      </c>
      <c r="E221" s="75" t="s">
        <v>30</v>
      </c>
      <c r="F221" s="75" t="s">
        <v>43</v>
      </c>
      <c r="G221" s="75" t="s">
        <v>87</v>
      </c>
      <c r="H221" s="75"/>
      <c r="I221" s="75"/>
      <c r="J221" s="75" t="s">
        <v>11</v>
      </c>
      <c r="K221" s="75" t="s">
        <v>1023</v>
      </c>
      <c r="L221" s="75"/>
      <c r="M221" s="77" t="s">
        <v>302</v>
      </c>
      <c r="N221" s="75" t="s">
        <v>1220</v>
      </c>
      <c r="O221" s="98"/>
    </row>
    <row r="222" spans="1:15" hidden="1" x14ac:dyDescent="0.25">
      <c r="A222" s="81">
        <f t="shared" si="3"/>
        <v>221</v>
      </c>
      <c r="B222" s="81">
        <f>IF(Table1[[#This Row],[Active2]]="No",0,1)</f>
        <v>0</v>
      </c>
      <c r="C222" s="75" t="s">
        <v>1035</v>
      </c>
      <c r="D222" s="75" t="s">
        <v>860</v>
      </c>
      <c r="E222" s="75" t="s">
        <v>30</v>
      </c>
      <c r="F222" s="75" t="s">
        <v>43</v>
      </c>
      <c r="G222" s="75" t="s">
        <v>87</v>
      </c>
      <c r="H222" s="75"/>
      <c r="I222" s="75"/>
      <c r="J222" s="75" t="s">
        <v>11</v>
      </c>
      <c r="K222" s="75" t="s">
        <v>1023</v>
      </c>
      <c r="L222" s="75"/>
      <c r="M222" s="77" t="s">
        <v>302</v>
      </c>
      <c r="N222" s="75" t="s">
        <v>1220</v>
      </c>
      <c r="O222" s="98"/>
    </row>
    <row r="223" spans="1:15" hidden="1" x14ac:dyDescent="0.25">
      <c r="A223" s="81">
        <f t="shared" si="3"/>
        <v>222</v>
      </c>
      <c r="B223" s="81">
        <f>IF(Table1[[#This Row],[Active2]]="No",0,1)</f>
        <v>0</v>
      </c>
      <c r="C223" s="75" t="s">
        <v>1036</v>
      </c>
      <c r="D223" s="75" t="s">
        <v>860</v>
      </c>
      <c r="E223" s="75" t="s">
        <v>30</v>
      </c>
      <c r="F223" s="75" t="s">
        <v>43</v>
      </c>
      <c r="G223" s="75" t="s">
        <v>87</v>
      </c>
      <c r="H223" s="75"/>
      <c r="I223" s="75"/>
      <c r="J223" s="75" t="s">
        <v>11</v>
      </c>
      <c r="K223" s="75" t="s">
        <v>1023</v>
      </c>
      <c r="L223" s="75"/>
      <c r="M223" s="77" t="s">
        <v>302</v>
      </c>
      <c r="N223" s="75" t="s">
        <v>1220</v>
      </c>
      <c r="O223" s="98"/>
    </row>
    <row r="224" spans="1:15" hidden="1" x14ac:dyDescent="0.25">
      <c r="A224" s="80">
        <f t="shared" si="3"/>
        <v>223</v>
      </c>
      <c r="B224" s="80">
        <f>IF(Table1[[#This Row],[Active2]]="No",0,1)</f>
        <v>0</v>
      </c>
      <c r="C224" s="77" t="s">
        <v>1037</v>
      </c>
      <c r="D224" s="77" t="s">
        <v>860</v>
      </c>
      <c r="E224" s="77" t="s">
        <v>30</v>
      </c>
      <c r="F224" s="77" t="s">
        <v>43</v>
      </c>
      <c r="G224" s="77" t="s">
        <v>87</v>
      </c>
      <c r="H224" s="77"/>
      <c r="I224" s="77"/>
      <c r="J224" s="77" t="s">
        <v>11</v>
      </c>
      <c r="K224" s="77" t="s">
        <v>1023</v>
      </c>
      <c r="L224" s="77"/>
      <c r="M224" s="77" t="s">
        <v>302</v>
      </c>
      <c r="N224" s="77" t="s">
        <v>1038</v>
      </c>
      <c r="O224" s="98"/>
    </row>
    <row r="225" spans="1:15" hidden="1" x14ac:dyDescent="0.25">
      <c r="A225" s="81">
        <f t="shared" si="3"/>
        <v>224</v>
      </c>
      <c r="B225" s="81">
        <f>IF(Table1[[#This Row],[Active2]]="No",0,1)</f>
        <v>0</v>
      </c>
      <c r="C225" s="75" t="s">
        <v>1039</v>
      </c>
      <c r="D225" s="75" t="s">
        <v>860</v>
      </c>
      <c r="E225" s="75" t="s">
        <v>30</v>
      </c>
      <c r="F225" s="75" t="s">
        <v>43</v>
      </c>
      <c r="G225" s="75" t="s">
        <v>87</v>
      </c>
      <c r="H225" s="75"/>
      <c r="I225" s="75"/>
      <c r="J225" s="75" t="s">
        <v>11</v>
      </c>
      <c r="K225" s="75" t="s">
        <v>1023</v>
      </c>
      <c r="L225" s="75"/>
      <c r="M225" s="77" t="s">
        <v>302</v>
      </c>
      <c r="N225" s="75" t="s">
        <v>1220</v>
      </c>
      <c r="O225" s="98"/>
    </row>
    <row r="226" spans="1:15" hidden="1" x14ac:dyDescent="0.25">
      <c r="A226" s="80">
        <f t="shared" si="3"/>
        <v>225</v>
      </c>
      <c r="B226" s="80">
        <f>IF(Table1[[#This Row],[Active2]]="No",0,1)</f>
        <v>0</v>
      </c>
      <c r="C226" s="77" t="s">
        <v>1040</v>
      </c>
      <c r="D226" s="77" t="s">
        <v>860</v>
      </c>
      <c r="E226" s="77" t="s">
        <v>30</v>
      </c>
      <c r="F226" s="77" t="s">
        <v>43</v>
      </c>
      <c r="G226" s="77" t="s">
        <v>87</v>
      </c>
      <c r="H226" s="77"/>
      <c r="I226" s="77"/>
      <c r="J226" s="77" t="s">
        <v>11</v>
      </c>
      <c r="K226" s="77" t="s">
        <v>1023</v>
      </c>
      <c r="L226" s="77"/>
      <c r="M226" s="77" t="s">
        <v>302</v>
      </c>
      <c r="N226" s="77" t="s">
        <v>1038</v>
      </c>
      <c r="O226" s="98"/>
    </row>
    <row r="227" spans="1:15" hidden="1" x14ac:dyDescent="0.25">
      <c r="A227" s="81">
        <f t="shared" si="3"/>
        <v>226</v>
      </c>
      <c r="B227" s="81">
        <f>IF(Table1[[#This Row],[Active2]]="No",0,1)</f>
        <v>0</v>
      </c>
      <c r="C227" s="75" t="s">
        <v>1041</v>
      </c>
      <c r="D227" s="75" t="s">
        <v>1042</v>
      </c>
      <c r="E227" s="75" t="s">
        <v>196</v>
      </c>
      <c r="F227" s="75" t="s">
        <v>43</v>
      </c>
      <c r="G227" s="75" t="s">
        <v>87</v>
      </c>
      <c r="H227" s="75"/>
      <c r="I227" s="75"/>
      <c r="J227" s="75" t="s">
        <v>11</v>
      </c>
      <c r="K227" s="75" t="s">
        <v>1023</v>
      </c>
      <c r="L227" s="75"/>
      <c r="M227" s="77" t="s">
        <v>302</v>
      </c>
      <c r="N227" s="75" t="s">
        <v>1220</v>
      </c>
      <c r="O227" s="98"/>
    </row>
    <row r="228" spans="1:15" hidden="1" x14ac:dyDescent="0.25">
      <c r="A228" s="81">
        <f t="shared" si="3"/>
        <v>227</v>
      </c>
      <c r="B228" s="81">
        <f>IF(Table1[[#This Row],[Active2]]="No",0,1)</f>
        <v>0</v>
      </c>
      <c r="C228" s="75" t="s">
        <v>1043</v>
      </c>
      <c r="D228" s="75" t="s">
        <v>1044</v>
      </c>
      <c r="E228" s="75" t="s">
        <v>202</v>
      </c>
      <c r="F228" s="75" t="s">
        <v>43</v>
      </c>
      <c r="G228" s="75" t="s">
        <v>87</v>
      </c>
      <c r="H228" s="75"/>
      <c r="I228" s="75"/>
      <c r="J228" s="75" t="s">
        <v>11</v>
      </c>
      <c r="K228" s="75" t="s">
        <v>1023</v>
      </c>
      <c r="L228" s="75"/>
      <c r="M228" s="77" t="s">
        <v>302</v>
      </c>
      <c r="N228" s="75" t="s">
        <v>1220</v>
      </c>
      <c r="O228" s="98"/>
    </row>
    <row r="229" spans="1:15" x14ac:dyDescent="0.25">
      <c r="A229" s="81">
        <f t="shared" si="3"/>
        <v>228</v>
      </c>
      <c r="B229" s="81">
        <f>IF(Table1[[#This Row],[Active2]]="No",0,1)</f>
        <v>1</v>
      </c>
      <c r="C229" s="75" t="s">
        <v>1016</v>
      </c>
      <c r="D229" s="75" t="s">
        <v>830</v>
      </c>
      <c r="E229" s="75" t="s">
        <v>595</v>
      </c>
      <c r="F229" s="75" t="s">
        <v>19</v>
      </c>
      <c r="G229" s="75" t="s">
        <v>85</v>
      </c>
      <c r="H229" s="75"/>
      <c r="I229" s="75"/>
      <c r="J229" s="75" t="s">
        <v>340</v>
      </c>
      <c r="K229" s="75"/>
      <c r="L229" s="75"/>
      <c r="M229" s="75" t="s">
        <v>95</v>
      </c>
      <c r="N229" s="75"/>
      <c r="O229" s="98"/>
    </row>
    <row r="230" spans="1:15" x14ac:dyDescent="0.25">
      <c r="A230" s="81">
        <f t="shared" si="3"/>
        <v>229</v>
      </c>
      <c r="B230" s="81">
        <f>IF(Table1[[#This Row],[Active2]]="No",0,1)</f>
        <v>1</v>
      </c>
      <c r="C230" s="75" t="s">
        <v>1045</v>
      </c>
      <c r="D230" s="75" t="s">
        <v>709</v>
      </c>
      <c r="E230" s="75" t="s">
        <v>595</v>
      </c>
      <c r="F230" s="75" t="s">
        <v>113</v>
      </c>
      <c r="G230" s="75" t="s">
        <v>85</v>
      </c>
      <c r="H230" s="75" t="s">
        <v>1046</v>
      </c>
      <c r="I230" s="75" t="s">
        <v>1047</v>
      </c>
      <c r="J230" s="75" t="s">
        <v>340</v>
      </c>
      <c r="K230" s="75"/>
      <c r="L230" s="75"/>
      <c r="M230" s="75" t="s">
        <v>95</v>
      </c>
      <c r="N230" s="75"/>
      <c r="O230" s="98"/>
    </row>
    <row r="231" spans="1:15" hidden="1" x14ac:dyDescent="0.25">
      <c r="A231" s="81">
        <f t="shared" si="3"/>
        <v>230</v>
      </c>
      <c r="B231" s="81">
        <f>IF(Table1[[#This Row],[Active2]]="No",0,1)</f>
        <v>0</v>
      </c>
      <c r="C231" s="75" t="s">
        <v>1048</v>
      </c>
      <c r="D231" s="75" t="s">
        <v>1030</v>
      </c>
      <c r="E231" s="75" t="s">
        <v>520</v>
      </c>
      <c r="F231" s="75" t="s">
        <v>43</v>
      </c>
      <c r="G231" s="75" t="s">
        <v>87</v>
      </c>
      <c r="H231" s="75"/>
      <c r="I231" s="75"/>
      <c r="J231" s="75" t="s">
        <v>11</v>
      </c>
      <c r="K231" s="75" t="s">
        <v>1023</v>
      </c>
      <c r="L231" s="75"/>
      <c r="M231" s="77" t="s">
        <v>302</v>
      </c>
      <c r="N231" s="75" t="s">
        <v>1220</v>
      </c>
      <c r="O231" s="98"/>
    </row>
    <row r="232" spans="1:15" x14ac:dyDescent="0.25">
      <c r="A232" s="81">
        <f t="shared" si="3"/>
        <v>231</v>
      </c>
      <c r="B232" s="99">
        <f>IF(Table1[[#This Row],[Active2]]="No",0,1)</f>
        <v>1</v>
      </c>
      <c r="C232" s="98" t="s">
        <v>1194</v>
      </c>
      <c r="D232" s="75" t="s">
        <v>797</v>
      </c>
      <c r="E232" s="98" t="s">
        <v>565</v>
      </c>
      <c r="F232" s="98" t="s">
        <v>1173</v>
      </c>
      <c r="G232" s="98" t="s">
        <v>85</v>
      </c>
      <c r="H232" s="98" t="s">
        <v>1195</v>
      </c>
      <c r="I232" s="98"/>
      <c r="J232" s="98" t="s">
        <v>502</v>
      </c>
      <c r="K232" s="98"/>
      <c r="L232" s="98"/>
      <c r="M232" s="98" t="s">
        <v>95</v>
      </c>
      <c r="N232" s="98"/>
      <c r="O232" s="98"/>
    </row>
    <row r="233" spans="1:15" x14ac:dyDescent="0.25">
      <c r="A233" s="81">
        <f t="shared" si="3"/>
        <v>232</v>
      </c>
      <c r="B233" s="99">
        <f>IF(Table1[[#This Row],[Active2]]="No",0,1)</f>
        <v>1</v>
      </c>
      <c r="C233" s="98" t="s">
        <v>1211</v>
      </c>
      <c r="D233" s="98" t="s">
        <v>797</v>
      </c>
      <c r="E233" s="98" t="s">
        <v>91</v>
      </c>
      <c r="F233" s="98" t="s">
        <v>1212</v>
      </c>
      <c r="G233" s="98" t="s">
        <v>85</v>
      </c>
      <c r="H233" s="98" t="s">
        <v>666</v>
      </c>
      <c r="I233" s="98"/>
      <c r="J233" s="98" t="s">
        <v>170</v>
      </c>
      <c r="K233" s="98"/>
      <c r="L233" s="98"/>
      <c r="M233" s="98" t="s">
        <v>95</v>
      </c>
      <c r="N233" s="98"/>
      <c r="O233" s="98"/>
    </row>
    <row r="234" spans="1:15" x14ac:dyDescent="0.25">
      <c r="A234" s="81">
        <f t="shared" si="3"/>
        <v>233</v>
      </c>
      <c r="B234" s="99">
        <f>IF(Table1[[#This Row],[Active2]]="No",0,1)</f>
        <v>1</v>
      </c>
      <c r="C234" s="98" t="s">
        <v>1213</v>
      </c>
      <c r="D234" s="98" t="s">
        <v>797</v>
      </c>
      <c r="E234" s="98" t="s">
        <v>91</v>
      </c>
      <c r="F234" s="98" t="s">
        <v>1087</v>
      </c>
      <c r="G234" s="98" t="s">
        <v>85</v>
      </c>
      <c r="H234" s="98" t="s">
        <v>666</v>
      </c>
      <c r="I234" s="98"/>
      <c r="J234" s="98" t="s">
        <v>452</v>
      </c>
      <c r="K234" s="98"/>
      <c r="L234" s="98"/>
      <c r="M234" s="98" t="s">
        <v>95</v>
      </c>
      <c r="N234" s="98"/>
      <c r="O234" s="98"/>
    </row>
    <row r="235" spans="1:15" x14ac:dyDescent="0.25">
      <c r="A235" s="81">
        <f t="shared" si="3"/>
        <v>234</v>
      </c>
      <c r="B235" s="99">
        <f>IF(Table1[[#This Row],[Active2]]="No",0,1)</f>
        <v>1</v>
      </c>
      <c r="C235" s="98" t="s">
        <v>1214</v>
      </c>
      <c r="D235" s="98" t="s">
        <v>797</v>
      </c>
      <c r="E235" s="98" t="s">
        <v>91</v>
      </c>
      <c r="F235" s="98" t="s">
        <v>1087</v>
      </c>
      <c r="G235" s="98" t="s">
        <v>85</v>
      </c>
      <c r="H235" s="98" t="s">
        <v>666</v>
      </c>
      <c r="I235" s="98"/>
      <c r="J235" s="98" t="s">
        <v>452</v>
      </c>
      <c r="K235" s="98"/>
      <c r="L235" s="98"/>
      <c r="M235" s="98" t="s">
        <v>95</v>
      </c>
      <c r="N235" s="98"/>
      <c r="O235" s="98"/>
    </row>
    <row r="236" spans="1:15" x14ac:dyDescent="0.25">
      <c r="A236" s="81">
        <f t="shared" si="3"/>
        <v>235</v>
      </c>
      <c r="B236" s="99">
        <f>IF(Table1[[#This Row],[Active2]]="No",0,1)</f>
        <v>1</v>
      </c>
      <c r="C236" s="98" t="s">
        <v>1215</v>
      </c>
      <c r="D236" s="98" t="s">
        <v>797</v>
      </c>
      <c r="E236" s="98" t="s">
        <v>91</v>
      </c>
      <c r="F236" s="98" t="s">
        <v>1087</v>
      </c>
      <c r="G236" s="98" t="s">
        <v>85</v>
      </c>
      <c r="H236" s="98" t="s">
        <v>666</v>
      </c>
      <c r="I236" s="98"/>
      <c r="J236" s="98" t="s">
        <v>452</v>
      </c>
      <c r="K236" s="98"/>
      <c r="L236" s="98"/>
      <c r="M236" s="98" t="s">
        <v>95</v>
      </c>
      <c r="N236" s="98"/>
      <c r="O236" s="98"/>
    </row>
    <row r="237" spans="1:15" x14ac:dyDescent="0.25">
      <c r="A237" s="81">
        <f t="shared" si="3"/>
        <v>236</v>
      </c>
      <c r="B237" s="99">
        <f>IF(Table1[[#This Row],[Active2]]="No",0,1)</f>
        <v>1</v>
      </c>
      <c r="C237" s="98" t="s">
        <v>1216</v>
      </c>
      <c r="D237" s="98" t="s">
        <v>797</v>
      </c>
      <c r="E237" s="98" t="s">
        <v>91</v>
      </c>
      <c r="F237" s="98" t="s">
        <v>1087</v>
      </c>
      <c r="G237" s="98" t="s">
        <v>85</v>
      </c>
      <c r="H237" s="98" t="s">
        <v>666</v>
      </c>
      <c r="I237" s="98"/>
      <c r="J237" s="98" t="s">
        <v>452</v>
      </c>
      <c r="K237" s="98"/>
      <c r="L237" s="98"/>
      <c r="M237" s="98" t="s">
        <v>95</v>
      </c>
      <c r="N237" s="98"/>
      <c r="O237" s="98"/>
    </row>
    <row r="238" spans="1:15" x14ac:dyDescent="0.25">
      <c r="A238" s="81">
        <f t="shared" si="3"/>
        <v>237</v>
      </c>
      <c r="B238" s="99">
        <f>IF(Table1[[#This Row],[Active2]]="No",0,1)</f>
        <v>1</v>
      </c>
      <c r="C238" s="98" t="s">
        <v>1217</v>
      </c>
      <c r="D238" s="98" t="s">
        <v>797</v>
      </c>
      <c r="E238" s="98" t="s">
        <v>91</v>
      </c>
      <c r="F238" s="98" t="s">
        <v>1087</v>
      </c>
      <c r="G238" s="98" t="s">
        <v>85</v>
      </c>
      <c r="H238" s="98" t="s">
        <v>666</v>
      </c>
      <c r="I238" s="98"/>
      <c r="J238" s="98" t="s">
        <v>452</v>
      </c>
      <c r="K238" s="98"/>
      <c r="L238" s="98"/>
      <c r="M238" s="98" t="s">
        <v>95</v>
      </c>
      <c r="N238" s="98"/>
      <c r="O238" s="98"/>
    </row>
    <row r="239" spans="1:15" x14ac:dyDescent="0.25">
      <c r="A239" s="81">
        <f t="shared" si="3"/>
        <v>238</v>
      </c>
      <c r="B239" s="99">
        <f>IF(Table1[[#This Row],[Active2]]="No",0,1)</f>
        <v>1</v>
      </c>
      <c r="C239" s="98" t="s">
        <v>1218</v>
      </c>
      <c r="D239" s="98" t="s">
        <v>797</v>
      </c>
      <c r="E239" s="98" t="s">
        <v>91</v>
      </c>
      <c r="F239" s="98" t="s">
        <v>1087</v>
      </c>
      <c r="G239" s="98" t="s">
        <v>85</v>
      </c>
      <c r="H239" s="98" t="s">
        <v>666</v>
      </c>
      <c r="I239" s="98"/>
      <c r="J239" s="98" t="s">
        <v>452</v>
      </c>
      <c r="K239" s="98"/>
      <c r="L239" s="98"/>
      <c r="M239" s="98" t="s">
        <v>95</v>
      </c>
      <c r="N239" s="98"/>
      <c r="O239" s="98"/>
    </row>
    <row r="240" spans="1:15" x14ac:dyDescent="0.25">
      <c r="A240" s="81">
        <f t="shared" si="3"/>
        <v>239</v>
      </c>
      <c r="B240" s="116">
        <v>1</v>
      </c>
      <c r="C240" s="98" t="s">
        <v>1282</v>
      </c>
      <c r="D240" s="117" t="s">
        <v>1290</v>
      </c>
      <c r="E240" s="117" t="s">
        <v>565</v>
      </c>
      <c r="F240" s="117" t="s">
        <v>1234</v>
      </c>
      <c r="G240" s="98" t="s">
        <v>85</v>
      </c>
      <c r="H240" s="82" t="s">
        <v>1291</v>
      </c>
      <c r="I240" s="117"/>
      <c r="J240" s="117" t="s">
        <v>491</v>
      </c>
      <c r="K240" s="117"/>
      <c r="L240" s="117"/>
      <c r="M240" s="98" t="s">
        <v>95</v>
      </c>
      <c r="N240" s="117"/>
      <c r="O240" s="117"/>
    </row>
    <row r="241" spans="1:15" x14ac:dyDescent="0.25">
      <c r="A241" s="81">
        <f t="shared" si="3"/>
        <v>240</v>
      </c>
      <c r="B241" s="116">
        <f>IF(Table1[[#This Row],[Active2]]="No",0,1)</f>
        <v>1</v>
      </c>
      <c r="C241" s="98" t="s">
        <v>1283</v>
      </c>
      <c r="D241" s="117" t="s">
        <v>1290</v>
      </c>
      <c r="E241" s="117" t="s">
        <v>565</v>
      </c>
      <c r="F241" s="117" t="s">
        <v>1234</v>
      </c>
      <c r="G241" s="98" t="s">
        <v>85</v>
      </c>
      <c r="H241" s="82" t="s">
        <v>1291</v>
      </c>
      <c r="I241" s="117"/>
      <c r="J241" s="117" t="s">
        <v>491</v>
      </c>
      <c r="K241" s="117"/>
      <c r="L241" s="117"/>
      <c r="M241" s="98" t="s">
        <v>95</v>
      </c>
      <c r="N241" s="117"/>
      <c r="O241" s="117"/>
    </row>
    <row r="242" spans="1:15" x14ac:dyDescent="0.25">
      <c r="A242" s="81">
        <f t="shared" si="3"/>
        <v>241</v>
      </c>
      <c r="B242" s="116">
        <f>IF(Table1[[#This Row],[Active2]]="No",0,1)</f>
        <v>1</v>
      </c>
      <c r="C242" s="98" t="s">
        <v>1284</v>
      </c>
      <c r="D242" s="117" t="s">
        <v>1290</v>
      </c>
      <c r="E242" s="117" t="s">
        <v>565</v>
      </c>
      <c r="F242" s="117" t="s">
        <v>1234</v>
      </c>
      <c r="G242" s="98" t="s">
        <v>85</v>
      </c>
      <c r="H242" s="82" t="s">
        <v>1291</v>
      </c>
      <c r="I242" s="117"/>
      <c r="J242" s="117" t="s">
        <v>491</v>
      </c>
      <c r="K242" s="117"/>
      <c r="L242" s="117"/>
      <c r="M242" s="98" t="s">
        <v>95</v>
      </c>
      <c r="N242" s="117"/>
      <c r="O242" s="117"/>
    </row>
    <row r="243" spans="1:15" x14ac:dyDescent="0.25">
      <c r="A243" s="81">
        <f t="shared" si="3"/>
        <v>242</v>
      </c>
      <c r="B243" s="116">
        <f>IF(Table1[[#This Row],[Active2]]="No",0,1)</f>
        <v>1</v>
      </c>
      <c r="C243" s="98" t="s">
        <v>1285</v>
      </c>
      <c r="D243" s="117" t="s">
        <v>1290</v>
      </c>
      <c r="E243" s="117" t="s">
        <v>565</v>
      </c>
      <c r="F243" s="117" t="s">
        <v>1234</v>
      </c>
      <c r="G243" s="98" t="s">
        <v>85</v>
      </c>
      <c r="H243" s="82" t="s">
        <v>1291</v>
      </c>
      <c r="I243" s="117"/>
      <c r="J243" s="117" t="s">
        <v>491</v>
      </c>
      <c r="K243" s="117"/>
      <c r="L243" s="117"/>
      <c r="M243" s="98" t="s">
        <v>95</v>
      </c>
      <c r="N243" s="117"/>
      <c r="O243" s="117"/>
    </row>
    <row r="244" spans="1:15" x14ac:dyDescent="0.25">
      <c r="A244" s="81">
        <f t="shared" si="3"/>
        <v>243</v>
      </c>
      <c r="B244" s="116">
        <f>IF(Table1[[#This Row],[Active2]]="No",0,1)</f>
        <v>1</v>
      </c>
      <c r="C244" s="98" t="s">
        <v>1286</v>
      </c>
      <c r="D244" s="117" t="s">
        <v>1290</v>
      </c>
      <c r="E244" s="117" t="s">
        <v>565</v>
      </c>
      <c r="F244" s="117" t="s">
        <v>1234</v>
      </c>
      <c r="G244" s="98" t="s">
        <v>85</v>
      </c>
      <c r="H244" s="82" t="s">
        <v>1291</v>
      </c>
      <c r="I244" s="117"/>
      <c r="J244" s="117" t="s">
        <v>491</v>
      </c>
      <c r="K244" s="117"/>
      <c r="L244" s="117"/>
      <c r="M244" s="98" t="s">
        <v>95</v>
      </c>
      <c r="N244" s="117"/>
      <c r="O244" s="117"/>
    </row>
    <row r="245" spans="1:15" x14ac:dyDescent="0.25">
      <c r="A245" s="81">
        <f t="shared" si="3"/>
        <v>244</v>
      </c>
      <c r="B245" s="116">
        <f>IF(Table1[[#This Row],[Active2]]="No",0,1)</f>
        <v>1</v>
      </c>
      <c r="C245" s="98" t="s">
        <v>1287</v>
      </c>
      <c r="D245" s="117" t="s">
        <v>1290</v>
      </c>
      <c r="E245" s="117" t="s">
        <v>565</v>
      </c>
      <c r="F245" s="117" t="s">
        <v>1234</v>
      </c>
      <c r="G245" s="98" t="s">
        <v>85</v>
      </c>
      <c r="H245" s="82" t="s">
        <v>1291</v>
      </c>
      <c r="I245" s="117"/>
      <c r="J245" s="117" t="s">
        <v>491</v>
      </c>
      <c r="K245" s="117"/>
      <c r="L245" s="117"/>
      <c r="M245" s="98" t="s">
        <v>95</v>
      </c>
      <c r="N245" s="117"/>
      <c r="O245" s="117"/>
    </row>
    <row r="246" spans="1:15" x14ac:dyDescent="0.25">
      <c r="A246" s="81">
        <f t="shared" si="3"/>
        <v>245</v>
      </c>
      <c r="B246" s="116">
        <f>IF(Table1[[#This Row],[Active2]]="No",0,1)</f>
        <v>1</v>
      </c>
      <c r="C246" s="98" t="s">
        <v>1288</v>
      </c>
      <c r="D246" s="117" t="s">
        <v>1290</v>
      </c>
      <c r="E246" s="117" t="s">
        <v>565</v>
      </c>
      <c r="F246" s="117" t="s">
        <v>1234</v>
      </c>
      <c r="G246" s="98" t="s">
        <v>85</v>
      </c>
      <c r="H246" s="82" t="s">
        <v>1291</v>
      </c>
      <c r="I246" s="117"/>
      <c r="J246" s="117" t="s">
        <v>491</v>
      </c>
      <c r="K246" s="117"/>
      <c r="L246" s="117"/>
      <c r="M246" s="98" t="s">
        <v>95</v>
      </c>
      <c r="N246" s="117"/>
      <c r="O246" s="117"/>
    </row>
    <row r="247" spans="1:15" x14ac:dyDescent="0.25">
      <c r="A247" s="81">
        <f t="shared" si="3"/>
        <v>246</v>
      </c>
      <c r="B247" s="116">
        <f>IF(Table1[[#This Row],[Active2]]="No",0,1)</f>
        <v>1</v>
      </c>
      <c r="C247" s="98" t="s">
        <v>1289</v>
      </c>
      <c r="D247" s="117" t="s">
        <v>1290</v>
      </c>
      <c r="E247" s="117" t="s">
        <v>565</v>
      </c>
      <c r="F247" s="117" t="s">
        <v>1234</v>
      </c>
      <c r="G247" s="117" t="s">
        <v>644</v>
      </c>
      <c r="H247" s="82" t="s">
        <v>1291</v>
      </c>
      <c r="I247" s="117"/>
      <c r="J247" s="117" t="s">
        <v>491</v>
      </c>
      <c r="K247" s="117"/>
      <c r="L247" s="117"/>
      <c r="M247" s="98" t="s">
        <v>95</v>
      </c>
      <c r="N247" s="117"/>
      <c r="O247" s="117"/>
    </row>
  </sheetData>
  <conditionalFormatting sqref="A1:O247">
    <cfRule type="expression" dxfId="363" priority="4820">
      <formula>$M1="No"</formula>
    </cfRule>
  </conditionalFormatting>
  <hyperlinks>
    <hyperlink ref="H68" r:id="rId1" xr:uid="{00000000-0004-0000-0300-000000000000}"/>
    <hyperlink ref="H67" r:id="rId2" xr:uid="{00000000-0004-0000-0300-000001000000}"/>
    <hyperlink ref="H66" r:id="rId3" xr:uid="{00000000-0004-0000-0300-000002000000}"/>
    <hyperlink ref="H65" r:id="rId4" xr:uid="{00000000-0004-0000-0300-000003000000}"/>
    <hyperlink ref="H62" r:id="rId5" xr:uid="{00000000-0004-0000-0300-000004000000}"/>
    <hyperlink ref="H55" r:id="rId6" xr:uid="{00000000-0004-0000-0300-000005000000}"/>
    <hyperlink ref="H60" r:id="rId7" xr:uid="{00000000-0004-0000-0300-000006000000}"/>
    <hyperlink ref="H61" r:id="rId8" xr:uid="{00000000-0004-0000-0300-000007000000}"/>
    <hyperlink ref="H96" r:id="rId9" xr:uid="{00000000-0004-0000-0300-000008000000}"/>
    <hyperlink ref="H15" r:id="rId10" xr:uid="{00000000-0004-0000-0300-000009000000}"/>
    <hyperlink ref="H102" r:id="rId11" xr:uid="{00000000-0004-0000-0300-00000A000000}"/>
    <hyperlink ref="H32" r:id="rId12" xr:uid="{00000000-0004-0000-0300-00000B000000}"/>
    <hyperlink ref="H111" r:id="rId13" xr:uid="{00000000-0004-0000-0300-00000C000000}"/>
    <hyperlink ref="H49" r:id="rId14" xr:uid="{00000000-0004-0000-0300-00000D000000}"/>
    <hyperlink ref="H47" r:id="rId15" xr:uid="{00000000-0004-0000-0300-00000E000000}"/>
    <hyperlink ref="H3" r:id="rId16" xr:uid="{00000000-0004-0000-0300-00000F000000}"/>
    <hyperlink ref="I111" r:id="rId17" xr:uid="{00000000-0004-0000-0300-000010000000}"/>
    <hyperlink ref="I49" r:id="rId18" xr:uid="{00000000-0004-0000-0300-000011000000}"/>
    <hyperlink ref="I47" r:id="rId19" xr:uid="{00000000-0004-0000-0300-000012000000}"/>
    <hyperlink ref="H5" r:id="rId20" xr:uid="{00000000-0004-0000-0300-000013000000}"/>
    <hyperlink ref="H4" r:id="rId21" xr:uid="{00000000-0004-0000-0300-000014000000}"/>
    <hyperlink ref="H57" r:id="rId22" xr:uid="{00000000-0004-0000-0300-000015000000}"/>
    <hyperlink ref="H76" r:id="rId23" xr:uid="{00000000-0004-0000-0300-000016000000}"/>
    <hyperlink ref="H149" r:id="rId24" xr:uid="{00000000-0004-0000-0300-000017000000}"/>
    <hyperlink ref="H150" r:id="rId25" xr:uid="{00000000-0004-0000-0300-000018000000}"/>
    <hyperlink ref="H155" r:id="rId26" xr:uid="{00000000-0004-0000-0300-000019000000}"/>
    <hyperlink ref="I156" r:id="rId27" xr:uid="{00000000-0004-0000-0300-00001A000000}"/>
    <hyperlink ref="H156" r:id="rId28" xr:uid="{00000000-0004-0000-0300-00001B000000}"/>
    <hyperlink ref="H157" r:id="rId29" xr:uid="{00000000-0004-0000-0300-00001C000000}"/>
    <hyperlink ref="H159" r:id="rId30" xr:uid="{00000000-0004-0000-0300-00001D000000}"/>
    <hyperlink ref="H161" r:id="rId31" xr:uid="{00000000-0004-0000-0300-00001E000000}"/>
    <hyperlink ref="H16" r:id="rId32" xr:uid="{00000000-0004-0000-0300-00001F000000}"/>
    <hyperlink ref="H20" r:id="rId33" xr:uid="{00000000-0004-0000-0300-000020000000}"/>
    <hyperlink ref="I157" r:id="rId34" xr:uid="{00000000-0004-0000-0300-000021000000}"/>
    <hyperlink ref="H169" r:id="rId35" xr:uid="{00000000-0004-0000-0300-000022000000}"/>
    <hyperlink ref="I171" r:id="rId36" display="Emil.Atanassov@sitel.com;Diana.Dimitrova@sitel.com;Silviya.Todorova@sitel.com" xr:uid="{00000000-0004-0000-0300-000023000000}"/>
    <hyperlink ref="H173" r:id="rId37" xr:uid="{00000000-0004-0000-0300-000024000000}"/>
    <hyperlink ref="H181" r:id="rId38" display="Daniel.Piper@sitel.com" xr:uid="{00000000-0004-0000-0300-000025000000}"/>
    <hyperlink ref="I186" r:id="rId39" xr:uid="{00000000-0004-0000-0300-000026000000}"/>
    <hyperlink ref="H175" r:id="rId40" xr:uid="{00000000-0004-0000-0300-000027000000}"/>
    <hyperlink ref="H174" r:id="rId41" xr:uid="{00000000-0004-0000-0300-000028000000}"/>
    <hyperlink ref="H115" r:id="rId42" xr:uid="{00000000-0004-0000-0300-000029000000}"/>
    <hyperlink ref="I191" r:id="rId43" xr:uid="{00000000-0004-0000-0300-00002A000000}"/>
    <hyperlink ref="I193" r:id="rId44" xr:uid="{00000000-0004-0000-0300-00002B000000}"/>
    <hyperlink ref="I194" r:id="rId45" xr:uid="{00000000-0004-0000-0300-00002C000000}"/>
    <hyperlink ref="H195" r:id="rId46" xr:uid="{00000000-0004-0000-0300-00002D000000}"/>
    <hyperlink ref="H200" r:id="rId47" xr:uid="{00000000-0004-0000-0300-00002E000000}"/>
    <hyperlink ref="H203" r:id="rId48" xr:uid="{00000000-0004-0000-0300-00002F000000}"/>
    <hyperlink ref="H206" r:id="rId49" display="Tarrin.Reynolds@sitel.com" xr:uid="{00000000-0004-0000-0300-000030000000}"/>
    <hyperlink ref="I212" r:id="rId50" xr:uid="{00000000-0004-0000-0300-000031000000}"/>
    <hyperlink ref="H240" r:id="rId51" xr:uid="{00000000-0004-0000-0300-000032000000}"/>
    <hyperlink ref="H241:H246" r:id="rId52" display="\\10.7.16.12\ssis\Data Sources\BO_COR\WFM GA" xr:uid="{00000000-0004-0000-0300-000033000000}"/>
    <hyperlink ref="H247" r:id="rId53" xr:uid="{00000000-0004-0000-0300-000034000000}"/>
  </hyperlinks>
  <pageMargins left="0.7" right="0.7" top="0.75" bottom="0.75" header="0.3" footer="0.3"/>
  <pageSetup paperSize="9" orientation="portrait" r:id="rId54"/>
  <legacyDrawing r:id="rId55"/>
  <tableParts count="1">
    <tablePart r:id="rId5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0" tint="-0.14999847407452621"/>
  </sheetPr>
  <dimension ref="A1:AO319"/>
  <sheetViews>
    <sheetView showGridLines="0" zoomScale="70" zoomScaleNormal="70" workbookViewId="0">
      <pane xSplit="9" ySplit="10" topLeftCell="J297" activePane="bottomRight" state="frozen"/>
      <selection pane="topRight" activeCell="J1" sqref="J1"/>
      <selection pane="bottomLeft" activeCell="A11" sqref="A11"/>
      <selection pane="bottomRight" activeCell="D319" sqref="D319"/>
    </sheetView>
  </sheetViews>
  <sheetFormatPr defaultRowHeight="15" x14ac:dyDescent="0.25"/>
  <cols>
    <col min="1" max="1" width="4.42578125" customWidth="1"/>
    <col min="2" max="2" width="11.42578125" bestFit="1" customWidth="1"/>
    <col min="4" max="4" width="26.42578125" customWidth="1"/>
    <col min="5" max="5" width="21.42578125" bestFit="1" customWidth="1"/>
    <col min="6" max="6" width="32.42578125" customWidth="1"/>
    <col min="7" max="7" width="19.140625" customWidth="1"/>
    <col min="8" max="8" width="63" customWidth="1"/>
    <col min="9" max="9" width="14.28515625" customWidth="1"/>
    <col min="10" max="10" width="12.42578125" customWidth="1"/>
    <col min="11" max="11" width="18.42578125" bestFit="1" customWidth="1"/>
    <col min="12" max="14" width="4.42578125" customWidth="1"/>
    <col min="15" max="15" width="5.42578125" customWidth="1"/>
    <col min="16" max="16" width="4.42578125" customWidth="1"/>
    <col min="17" max="17" width="5.85546875" customWidth="1"/>
    <col min="18" max="28" width="4.42578125" customWidth="1"/>
    <col min="29" max="29" width="4.85546875" customWidth="1"/>
    <col min="30" max="35" width="4.42578125" customWidth="1"/>
    <col min="36" max="36" width="10.85546875" customWidth="1"/>
    <col min="37" max="37" width="12.140625" customWidth="1"/>
    <col min="38" max="39" width="18.42578125" customWidth="1"/>
    <col min="40" max="40" width="82.42578125" bestFit="1" customWidth="1"/>
    <col min="41" max="41" width="72.42578125" style="10" bestFit="1" customWidth="1"/>
  </cols>
  <sheetData>
    <row r="1" spans="2:41" ht="15.75" customHeight="1" thickBot="1" x14ac:dyDescent="0.3">
      <c r="O1" s="4" t="s">
        <v>0</v>
      </c>
      <c r="P1" s="142" t="s">
        <v>2</v>
      </c>
      <c r="Q1" s="135"/>
      <c r="R1" s="135"/>
      <c r="S1" s="135"/>
      <c r="T1" s="19" t="s">
        <v>3</v>
      </c>
      <c r="U1" s="20"/>
      <c r="V1" s="20"/>
      <c r="W1" s="14"/>
      <c r="X1" s="14"/>
      <c r="Y1" s="14"/>
      <c r="Z1" s="14"/>
      <c r="AA1" s="14"/>
      <c r="AB1" s="14"/>
      <c r="AC1" s="14"/>
      <c r="AD1" s="14"/>
      <c r="AE1" s="14"/>
      <c r="AF1" s="14"/>
      <c r="AG1" s="14"/>
      <c r="AH1" s="14"/>
      <c r="AI1" s="14"/>
      <c r="AJ1" s="20"/>
      <c r="AK1" s="20"/>
      <c r="AL1" s="14"/>
      <c r="AO1"/>
    </row>
    <row r="2" spans="2:41" ht="15.75" customHeight="1" thickBot="1" x14ac:dyDescent="0.3">
      <c r="O2" s="5">
        <v>0</v>
      </c>
      <c r="P2" s="143" t="s">
        <v>5</v>
      </c>
      <c r="Q2" s="144"/>
      <c r="R2" s="144"/>
      <c r="S2" s="144"/>
      <c r="T2" s="21" t="s">
        <v>6</v>
      </c>
      <c r="U2" s="22"/>
      <c r="V2" s="22"/>
      <c r="W2" s="15"/>
      <c r="X2" s="15"/>
      <c r="Y2" s="15"/>
      <c r="Z2" s="15"/>
      <c r="AA2" s="15"/>
      <c r="AB2" s="15"/>
      <c r="AC2" s="15"/>
      <c r="AD2" s="15"/>
      <c r="AE2" s="15"/>
      <c r="AF2" s="15"/>
      <c r="AG2" s="15"/>
      <c r="AH2" s="15"/>
      <c r="AI2" s="15"/>
      <c r="AJ2" s="22"/>
      <c r="AK2" s="22"/>
      <c r="AL2" s="15"/>
      <c r="AO2"/>
    </row>
    <row r="3" spans="2:41" ht="15.75" customHeight="1" thickBot="1" x14ac:dyDescent="0.3">
      <c r="O3" s="6">
        <v>1</v>
      </c>
      <c r="P3" s="145" t="s">
        <v>4</v>
      </c>
      <c r="Q3" s="146"/>
      <c r="R3" s="146"/>
      <c r="S3" s="146"/>
      <c r="T3" s="23" t="s">
        <v>7</v>
      </c>
      <c r="U3" s="24"/>
      <c r="V3" s="24"/>
      <c r="W3" s="16"/>
      <c r="X3" s="16"/>
      <c r="Y3" s="16"/>
      <c r="Z3" s="16"/>
      <c r="AA3" s="16"/>
      <c r="AB3" s="16"/>
      <c r="AC3" s="16"/>
      <c r="AD3" s="16"/>
      <c r="AE3" s="16"/>
      <c r="AF3" s="16"/>
      <c r="AG3" s="16"/>
      <c r="AH3" s="16"/>
      <c r="AI3" s="16"/>
      <c r="AJ3" s="24"/>
      <c r="AK3" s="24"/>
      <c r="AL3" s="16"/>
      <c r="AO3"/>
    </row>
    <row r="4" spans="2:41" ht="15.75" customHeight="1" thickBot="1" x14ac:dyDescent="0.3">
      <c r="E4" s="136" t="s">
        <v>232</v>
      </c>
      <c r="F4" s="136"/>
      <c r="G4" s="136"/>
      <c r="H4" s="136"/>
      <c r="O4" s="7">
        <v>2</v>
      </c>
      <c r="P4" s="147" t="s">
        <v>1</v>
      </c>
      <c r="Q4" s="148"/>
      <c r="R4" s="148"/>
      <c r="S4" s="148"/>
      <c r="T4" s="25" t="s">
        <v>26</v>
      </c>
      <c r="U4" s="26"/>
      <c r="V4" s="26"/>
      <c r="W4" s="11"/>
      <c r="X4" s="11"/>
      <c r="Y4" s="11"/>
      <c r="Z4" s="11"/>
      <c r="AA4" s="11"/>
      <c r="AB4" s="11"/>
      <c r="AC4" s="11"/>
      <c r="AD4" s="11"/>
      <c r="AE4" s="11"/>
      <c r="AF4" s="11"/>
      <c r="AG4" s="11"/>
      <c r="AH4" s="11"/>
      <c r="AI4" s="11"/>
      <c r="AJ4" s="26"/>
      <c r="AK4" s="26"/>
      <c r="AL4" s="11"/>
      <c r="AO4"/>
    </row>
    <row r="5" spans="2:41" ht="15.75" customHeight="1" thickBot="1" x14ac:dyDescent="0.3">
      <c r="E5" s="136"/>
      <c r="F5" s="136"/>
      <c r="G5" s="136"/>
      <c r="H5" s="136"/>
      <c r="O5" s="8">
        <v>3</v>
      </c>
      <c r="P5" s="149" t="s">
        <v>8</v>
      </c>
      <c r="Q5" s="150"/>
      <c r="R5" s="150"/>
      <c r="S5" s="150"/>
      <c r="T5" s="27" t="s">
        <v>24</v>
      </c>
      <c r="U5" s="28"/>
      <c r="V5" s="28"/>
      <c r="W5" s="12"/>
      <c r="X5" s="12"/>
      <c r="Y5" s="12"/>
      <c r="Z5" s="12"/>
      <c r="AA5" s="12"/>
      <c r="AB5" s="12"/>
      <c r="AC5" s="12"/>
      <c r="AD5" s="12"/>
      <c r="AE5" s="12"/>
      <c r="AF5" s="12"/>
      <c r="AG5" s="12"/>
      <c r="AH5" s="12"/>
      <c r="AI5" s="12"/>
      <c r="AJ5" s="28"/>
      <c r="AK5" s="28"/>
      <c r="AL5" s="12"/>
      <c r="AO5"/>
    </row>
    <row r="6" spans="2:41" ht="15.75" customHeight="1" thickBot="1" x14ac:dyDescent="0.3">
      <c r="E6" s="136"/>
      <c r="F6" s="136"/>
      <c r="G6" s="136"/>
      <c r="H6" s="136"/>
      <c r="O6" s="9">
        <v>4</v>
      </c>
      <c r="P6" s="151" t="s">
        <v>9</v>
      </c>
      <c r="Q6" s="152"/>
      <c r="R6" s="152"/>
      <c r="S6" s="152"/>
      <c r="T6" s="29" t="s">
        <v>25</v>
      </c>
      <c r="U6" s="30"/>
      <c r="V6" s="30"/>
      <c r="W6" s="13"/>
      <c r="X6" s="13"/>
      <c r="Y6" s="13"/>
      <c r="Z6" s="13"/>
      <c r="AA6" s="13"/>
      <c r="AB6" s="13"/>
      <c r="AC6" s="13"/>
      <c r="AD6" s="13"/>
      <c r="AE6" s="13"/>
      <c r="AF6" s="13"/>
      <c r="AG6" s="13"/>
      <c r="AH6" s="13"/>
      <c r="AI6" s="13"/>
      <c r="AJ6" s="30"/>
      <c r="AK6" s="30"/>
      <c r="AL6" s="13"/>
      <c r="AO6"/>
    </row>
    <row r="7" spans="2:41" x14ac:dyDescent="0.25">
      <c r="E7" s="136"/>
      <c r="F7" s="136"/>
      <c r="G7" s="136"/>
      <c r="H7" s="136"/>
      <c r="AM7" s="10"/>
      <c r="AO7"/>
    </row>
    <row r="8" spans="2:41" x14ac:dyDescent="0.25">
      <c r="AM8" s="10"/>
      <c r="AO8"/>
    </row>
    <row r="9" spans="2:41" x14ac:dyDescent="0.25">
      <c r="AM9" s="10"/>
      <c r="AO9"/>
    </row>
    <row r="10" spans="2:41" ht="45" x14ac:dyDescent="0.25">
      <c r="B10" s="2" t="s">
        <v>18</v>
      </c>
      <c r="C10" s="2" t="s">
        <v>188</v>
      </c>
      <c r="D10" s="2" t="s">
        <v>183</v>
      </c>
      <c r="E10" s="2" t="s">
        <v>14</v>
      </c>
      <c r="F10" s="2" t="s">
        <v>15</v>
      </c>
      <c r="G10" s="2" t="s">
        <v>23</v>
      </c>
      <c r="H10" s="2" t="s">
        <v>16</v>
      </c>
      <c r="I10" s="2" t="s">
        <v>84</v>
      </c>
      <c r="J10" s="2" t="s">
        <v>22</v>
      </c>
      <c r="K10" s="2" t="s">
        <v>20</v>
      </c>
      <c r="L10" s="2" t="s">
        <v>10</v>
      </c>
      <c r="M10" s="2" t="s">
        <v>11</v>
      </c>
      <c r="N10" s="2" t="s">
        <v>12</v>
      </c>
      <c r="O10" s="2" t="s">
        <v>13</v>
      </c>
      <c r="P10" s="2" t="s">
        <v>94</v>
      </c>
      <c r="Q10" s="2" t="s">
        <v>55</v>
      </c>
      <c r="R10" s="2" t="s">
        <v>331</v>
      </c>
      <c r="S10" s="2" t="s">
        <v>61</v>
      </c>
      <c r="T10" s="2" t="s">
        <v>62</v>
      </c>
      <c r="U10" s="2" t="s">
        <v>143</v>
      </c>
      <c r="V10" s="2" t="s">
        <v>165</v>
      </c>
      <c r="W10" s="2" t="s">
        <v>170</v>
      </c>
      <c r="X10" s="2" t="s">
        <v>340</v>
      </c>
      <c r="Y10" s="2" t="s">
        <v>312</v>
      </c>
      <c r="Z10" s="2" t="s">
        <v>330</v>
      </c>
      <c r="AA10" s="2" t="s">
        <v>387</v>
      </c>
      <c r="AB10" s="2" t="s">
        <v>453</v>
      </c>
      <c r="AC10" s="2" t="s">
        <v>454</v>
      </c>
      <c r="AD10" s="2" t="s">
        <v>491</v>
      </c>
      <c r="AE10" s="2" t="s">
        <v>408</v>
      </c>
      <c r="AF10" s="2" t="s">
        <v>417</v>
      </c>
      <c r="AG10" s="2" t="s">
        <v>452</v>
      </c>
      <c r="AH10" s="2" t="s">
        <v>486</v>
      </c>
      <c r="AI10" s="2" t="s">
        <v>502</v>
      </c>
      <c r="AJ10" s="39" t="s">
        <v>17</v>
      </c>
      <c r="AK10" s="2" t="s">
        <v>152</v>
      </c>
      <c r="AL10" s="2" t="s">
        <v>154</v>
      </c>
      <c r="AM10" s="2" t="s">
        <v>155</v>
      </c>
      <c r="AN10" s="3" t="s">
        <v>27</v>
      </c>
      <c r="AO10"/>
    </row>
    <row r="11" spans="2:41" ht="15" customHeight="1" x14ac:dyDescent="0.25">
      <c r="B11" s="1">
        <v>1</v>
      </c>
      <c r="C11" s="1">
        <v>0</v>
      </c>
      <c r="D11" s="1"/>
      <c r="E11" s="1" t="s">
        <v>52</v>
      </c>
      <c r="F11" s="1" t="s">
        <v>54</v>
      </c>
      <c r="G11" s="1" t="s">
        <v>54</v>
      </c>
      <c r="H11" s="1" t="s">
        <v>53</v>
      </c>
      <c r="I11" s="1" t="s">
        <v>87</v>
      </c>
      <c r="J11" s="1" t="s">
        <v>143</v>
      </c>
      <c r="K11" s="1" t="s">
        <v>62</v>
      </c>
      <c r="L11" s="1"/>
      <c r="M11" s="1">
        <v>4</v>
      </c>
      <c r="N11" s="1"/>
      <c r="O11" s="1">
        <v>4</v>
      </c>
      <c r="P11" s="1">
        <v>1</v>
      </c>
      <c r="Q11" s="1"/>
      <c r="R11" s="1"/>
      <c r="S11" s="1"/>
      <c r="T11" s="1"/>
      <c r="U11" s="1">
        <v>3</v>
      </c>
      <c r="V11" s="1">
        <v>0</v>
      </c>
      <c r="W11" s="1">
        <v>0</v>
      </c>
      <c r="X11" s="1">
        <v>0</v>
      </c>
      <c r="Y11" s="1">
        <v>0</v>
      </c>
      <c r="Z11" s="1"/>
      <c r="AA11" s="1">
        <v>0</v>
      </c>
      <c r="AB11" s="1"/>
      <c r="AC11" s="1" t="s">
        <v>454</v>
      </c>
      <c r="AD11" s="1"/>
      <c r="AE11" s="1"/>
      <c r="AF11" s="1"/>
      <c r="AG11" s="1">
        <v>0</v>
      </c>
      <c r="AH11" s="1">
        <v>0</v>
      </c>
      <c r="AI11" s="1"/>
      <c r="AJ11" s="1" t="s">
        <v>21</v>
      </c>
      <c r="AK11" s="1"/>
      <c r="AL11" s="17">
        <v>43467</v>
      </c>
      <c r="AM11" s="18" t="s">
        <v>62</v>
      </c>
      <c r="AN11" s="10" t="s">
        <v>163</v>
      </c>
      <c r="AO11"/>
    </row>
    <row r="12" spans="2:41" ht="15" customHeight="1" x14ac:dyDescent="0.25">
      <c r="B12" s="1">
        <f t="shared" ref="B12:B75" si="0">B11+1</f>
        <v>2</v>
      </c>
      <c r="C12" s="1">
        <v>0</v>
      </c>
      <c r="D12" s="1" t="s">
        <v>184</v>
      </c>
      <c r="E12" s="1" t="s">
        <v>52</v>
      </c>
      <c r="F12" s="1" t="s">
        <v>46</v>
      </c>
      <c r="G12" s="1" t="s">
        <v>66</v>
      </c>
      <c r="H12" s="1" t="s">
        <v>67</v>
      </c>
      <c r="I12" s="1" t="s">
        <v>85</v>
      </c>
      <c r="J12" s="1" t="s">
        <v>143</v>
      </c>
      <c r="K12" s="1" t="s">
        <v>62</v>
      </c>
      <c r="L12" s="1">
        <v>4</v>
      </c>
      <c r="M12" s="1">
        <v>4</v>
      </c>
      <c r="N12" s="1">
        <v>3</v>
      </c>
      <c r="O12" s="1"/>
      <c r="P12" s="1">
        <v>4</v>
      </c>
      <c r="Q12" s="1"/>
      <c r="R12" s="1"/>
      <c r="S12" s="1"/>
      <c r="T12" s="1">
        <v>4</v>
      </c>
      <c r="U12" s="1">
        <v>3</v>
      </c>
      <c r="V12" s="1">
        <v>0</v>
      </c>
      <c r="W12" s="1">
        <v>0</v>
      </c>
      <c r="X12" s="1">
        <v>0</v>
      </c>
      <c r="Y12" s="1">
        <v>0</v>
      </c>
      <c r="Z12" s="1"/>
      <c r="AA12" s="1">
        <v>0</v>
      </c>
      <c r="AB12" s="1"/>
      <c r="AC12" s="1"/>
      <c r="AD12" s="1"/>
      <c r="AE12" s="1"/>
      <c r="AF12" s="1"/>
      <c r="AG12" s="1">
        <v>0</v>
      </c>
      <c r="AH12" s="1">
        <v>0</v>
      </c>
      <c r="AI12" s="1"/>
      <c r="AJ12" s="1" t="s">
        <v>21</v>
      </c>
      <c r="AK12" s="1" t="s">
        <v>21</v>
      </c>
      <c r="AL12" s="17">
        <v>43467</v>
      </c>
      <c r="AM12" s="18" t="s">
        <v>62</v>
      </c>
      <c r="AN12" s="10"/>
      <c r="AO12"/>
    </row>
    <row r="13" spans="2:41" ht="15" customHeight="1" x14ac:dyDescent="0.25">
      <c r="B13" s="1">
        <f t="shared" si="0"/>
        <v>3</v>
      </c>
      <c r="C13" s="1">
        <v>0</v>
      </c>
      <c r="D13" s="1" t="s">
        <v>184</v>
      </c>
      <c r="E13" s="1" t="s">
        <v>52</v>
      </c>
      <c r="F13" s="1" t="s">
        <v>46</v>
      </c>
      <c r="G13" s="1" t="s">
        <v>66</v>
      </c>
      <c r="H13" s="1" t="s">
        <v>68</v>
      </c>
      <c r="I13" s="1" t="s">
        <v>85</v>
      </c>
      <c r="J13" s="1" t="s">
        <v>143</v>
      </c>
      <c r="K13" s="1" t="s">
        <v>62</v>
      </c>
      <c r="L13" s="1">
        <v>4</v>
      </c>
      <c r="M13" s="1">
        <v>4</v>
      </c>
      <c r="N13" s="1">
        <v>3</v>
      </c>
      <c r="O13" s="1"/>
      <c r="P13" s="1">
        <v>4</v>
      </c>
      <c r="Q13" s="1"/>
      <c r="R13" s="1"/>
      <c r="S13" s="1"/>
      <c r="T13" s="1">
        <v>4</v>
      </c>
      <c r="U13" s="1">
        <v>3</v>
      </c>
      <c r="V13" s="1">
        <v>0</v>
      </c>
      <c r="W13" s="1">
        <v>0</v>
      </c>
      <c r="X13" s="1">
        <v>0</v>
      </c>
      <c r="Y13" s="1">
        <v>0</v>
      </c>
      <c r="Z13" s="1"/>
      <c r="AA13" s="1">
        <v>0</v>
      </c>
      <c r="AB13" s="1"/>
      <c r="AC13" s="1"/>
      <c r="AD13" s="1"/>
      <c r="AE13" s="1"/>
      <c r="AF13" s="1"/>
      <c r="AG13" s="1">
        <v>0</v>
      </c>
      <c r="AH13" s="1">
        <v>0</v>
      </c>
      <c r="AI13" s="1"/>
      <c r="AJ13" s="1" t="s">
        <v>21</v>
      </c>
      <c r="AK13" s="1" t="s">
        <v>21</v>
      </c>
      <c r="AL13" s="17">
        <v>43467</v>
      </c>
      <c r="AM13" s="18" t="s">
        <v>62</v>
      </c>
      <c r="AN13" s="10"/>
      <c r="AO13"/>
    </row>
    <row r="14" spans="2:41" ht="15" customHeight="1" x14ac:dyDescent="0.25">
      <c r="B14" s="1">
        <f t="shared" si="0"/>
        <v>4</v>
      </c>
      <c r="C14" s="1">
        <v>0</v>
      </c>
      <c r="D14" s="1" t="s">
        <v>184</v>
      </c>
      <c r="E14" s="1" t="s">
        <v>52</v>
      </c>
      <c r="F14" s="1" t="s">
        <v>52</v>
      </c>
      <c r="G14" s="1" t="s">
        <v>52</v>
      </c>
      <c r="H14" s="1" t="s">
        <v>138</v>
      </c>
      <c r="I14" s="1" t="s">
        <v>85</v>
      </c>
      <c r="J14" s="1" t="s">
        <v>143</v>
      </c>
      <c r="K14" s="1" t="s">
        <v>62</v>
      </c>
      <c r="L14" s="1">
        <v>4</v>
      </c>
      <c r="M14" s="1">
        <v>4</v>
      </c>
      <c r="N14" s="1">
        <v>3</v>
      </c>
      <c r="O14" s="1"/>
      <c r="P14" s="1">
        <v>4</v>
      </c>
      <c r="Q14" s="1"/>
      <c r="R14" s="1"/>
      <c r="S14" s="1"/>
      <c r="T14" s="1">
        <v>4</v>
      </c>
      <c r="U14" s="1">
        <v>3</v>
      </c>
      <c r="V14" s="1">
        <v>0</v>
      </c>
      <c r="W14" s="1">
        <v>0</v>
      </c>
      <c r="X14" s="1">
        <v>0</v>
      </c>
      <c r="Y14" s="1">
        <v>0</v>
      </c>
      <c r="Z14" s="1"/>
      <c r="AA14" s="1">
        <v>0</v>
      </c>
      <c r="AB14" s="1"/>
      <c r="AC14" s="1"/>
      <c r="AD14" s="1"/>
      <c r="AE14" s="1"/>
      <c r="AF14" s="1"/>
      <c r="AG14" s="1">
        <v>0</v>
      </c>
      <c r="AH14" s="1">
        <v>0</v>
      </c>
      <c r="AI14" s="1"/>
      <c r="AJ14" s="1" t="s">
        <v>21</v>
      </c>
      <c r="AK14" s="1" t="s">
        <v>21</v>
      </c>
      <c r="AL14" s="17">
        <v>43467</v>
      </c>
      <c r="AM14" s="18" t="s">
        <v>62</v>
      </c>
      <c r="AN14" s="10"/>
      <c r="AO14"/>
    </row>
    <row r="15" spans="2:41" ht="15" customHeight="1" x14ac:dyDescent="0.25">
      <c r="B15" s="1">
        <f t="shared" si="0"/>
        <v>5</v>
      </c>
      <c r="C15" s="1">
        <v>0</v>
      </c>
      <c r="D15" s="1" t="s">
        <v>219</v>
      </c>
      <c r="E15" s="1" t="s">
        <v>191</v>
      </c>
      <c r="F15" s="1" t="s">
        <v>43</v>
      </c>
      <c r="G15" s="1"/>
      <c r="H15" s="1" t="s">
        <v>31</v>
      </c>
      <c r="I15" s="1" t="s">
        <v>85</v>
      </c>
      <c r="J15" s="1" t="s">
        <v>486</v>
      </c>
      <c r="K15" s="1" t="s">
        <v>62</v>
      </c>
      <c r="L15" s="1">
        <v>4</v>
      </c>
      <c r="M15" s="1">
        <v>3</v>
      </c>
      <c r="N15" s="1">
        <v>0</v>
      </c>
      <c r="O15" s="1">
        <v>0</v>
      </c>
      <c r="P15" s="1">
        <v>0</v>
      </c>
      <c r="Q15" s="1">
        <v>0</v>
      </c>
      <c r="R15" s="1"/>
      <c r="S15" s="1">
        <v>0</v>
      </c>
      <c r="T15" s="1">
        <v>4</v>
      </c>
      <c r="U15" s="1">
        <v>0</v>
      </c>
      <c r="V15" s="1">
        <v>0</v>
      </c>
      <c r="W15" s="1">
        <v>0</v>
      </c>
      <c r="X15" s="1">
        <v>0</v>
      </c>
      <c r="Y15" s="1"/>
      <c r="Z15" s="1"/>
      <c r="AA15" s="1">
        <v>0</v>
      </c>
      <c r="AB15" s="1"/>
      <c r="AC15" s="1"/>
      <c r="AD15" s="1"/>
      <c r="AE15" s="1"/>
      <c r="AF15" s="1"/>
      <c r="AG15" s="1">
        <v>0</v>
      </c>
      <c r="AH15" s="1">
        <v>3</v>
      </c>
      <c r="AI15" s="1">
        <v>2</v>
      </c>
      <c r="AJ15" s="1" t="s">
        <v>32</v>
      </c>
      <c r="AK15" s="1" t="s">
        <v>32</v>
      </c>
      <c r="AL15" s="17"/>
      <c r="AM15" s="18"/>
      <c r="AN15" s="10"/>
      <c r="AO15"/>
    </row>
    <row r="16" spans="2:41" ht="15" customHeight="1" x14ac:dyDescent="0.25">
      <c r="B16" s="1">
        <f t="shared" si="0"/>
        <v>6</v>
      </c>
      <c r="C16" s="1">
        <v>0</v>
      </c>
      <c r="D16" s="1" t="s">
        <v>220</v>
      </c>
      <c r="E16" s="1" t="s">
        <v>30</v>
      </c>
      <c r="F16" s="1" t="s">
        <v>34</v>
      </c>
      <c r="G16" s="1"/>
      <c r="H16" s="1" t="s">
        <v>33</v>
      </c>
      <c r="I16" s="1" t="s">
        <v>87</v>
      </c>
      <c r="J16" s="1" t="s">
        <v>11</v>
      </c>
      <c r="K16" s="1" t="s">
        <v>62</v>
      </c>
      <c r="L16" s="1">
        <v>4</v>
      </c>
      <c r="M16" s="1">
        <v>4</v>
      </c>
      <c r="N16" s="1">
        <v>0</v>
      </c>
      <c r="O16" s="1">
        <v>0</v>
      </c>
      <c r="P16" s="1">
        <v>0</v>
      </c>
      <c r="Q16" s="1">
        <v>0</v>
      </c>
      <c r="R16" s="1"/>
      <c r="S16" s="1">
        <v>0</v>
      </c>
      <c r="T16" s="1">
        <v>4</v>
      </c>
      <c r="U16" s="1">
        <v>0</v>
      </c>
      <c r="V16" s="1">
        <v>0</v>
      </c>
      <c r="W16" s="1">
        <v>0</v>
      </c>
      <c r="X16" s="1">
        <v>0</v>
      </c>
      <c r="Y16" s="1"/>
      <c r="Z16" s="1"/>
      <c r="AA16" s="1">
        <v>0</v>
      </c>
      <c r="AB16" s="1"/>
      <c r="AC16" s="1"/>
      <c r="AD16" s="1"/>
      <c r="AE16" s="1"/>
      <c r="AF16" s="1"/>
      <c r="AG16" s="1">
        <v>0</v>
      </c>
      <c r="AH16" s="1">
        <v>0</v>
      </c>
      <c r="AI16" s="1"/>
      <c r="AJ16" s="1" t="s">
        <v>21</v>
      </c>
      <c r="AK16" s="1" t="s">
        <v>21</v>
      </c>
      <c r="AL16" s="17"/>
      <c r="AM16" s="18"/>
      <c r="AN16" s="10"/>
      <c r="AO16"/>
    </row>
    <row r="17" spans="2:40" customFormat="1" ht="15" customHeight="1" x14ac:dyDescent="0.25">
      <c r="B17" s="1">
        <f t="shared" si="0"/>
        <v>7</v>
      </c>
      <c r="C17" s="1">
        <v>0</v>
      </c>
      <c r="D17" s="1" t="s">
        <v>185</v>
      </c>
      <c r="E17" s="1" t="s">
        <v>30</v>
      </c>
      <c r="F17" s="1" t="s">
        <v>36</v>
      </c>
      <c r="G17" s="1"/>
      <c r="H17" s="1" t="s">
        <v>35</v>
      </c>
      <c r="I17" s="1" t="s">
        <v>85</v>
      </c>
      <c r="J17" s="1" t="s">
        <v>11</v>
      </c>
      <c r="K17" s="1" t="s">
        <v>62</v>
      </c>
      <c r="L17" s="1">
        <v>4</v>
      </c>
      <c r="M17" s="1">
        <v>4</v>
      </c>
      <c r="N17" s="1">
        <v>0</v>
      </c>
      <c r="O17" s="1">
        <v>0</v>
      </c>
      <c r="P17" s="1">
        <v>0</v>
      </c>
      <c r="Q17" s="1">
        <v>0</v>
      </c>
      <c r="R17" s="1"/>
      <c r="S17" s="1">
        <v>0</v>
      </c>
      <c r="T17" s="1">
        <v>1</v>
      </c>
      <c r="U17" s="1">
        <v>0</v>
      </c>
      <c r="V17" s="1">
        <v>0</v>
      </c>
      <c r="W17" s="1">
        <v>0</v>
      </c>
      <c r="X17" s="1">
        <v>0</v>
      </c>
      <c r="Y17" s="1"/>
      <c r="Z17" s="1"/>
      <c r="AA17" s="1">
        <v>0</v>
      </c>
      <c r="AB17" s="1"/>
      <c r="AC17" s="1"/>
      <c r="AD17" s="1"/>
      <c r="AE17" s="1"/>
      <c r="AF17" s="1"/>
      <c r="AG17" s="1">
        <v>0</v>
      </c>
      <c r="AH17" s="1">
        <v>0</v>
      </c>
      <c r="AI17" s="1"/>
      <c r="AJ17" s="1" t="s">
        <v>32</v>
      </c>
      <c r="AK17" s="1"/>
      <c r="AL17" s="17"/>
      <c r="AM17" s="18"/>
      <c r="AN17" s="10"/>
    </row>
    <row r="18" spans="2:40" customFormat="1" ht="15" customHeight="1" x14ac:dyDescent="0.25">
      <c r="B18" s="1">
        <f t="shared" si="0"/>
        <v>8</v>
      </c>
      <c r="C18" s="1">
        <v>0</v>
      </c>
      <c r="D18" s="1" t="s">
        <v>220</v>
      </c>
      <c r="E18" s="1" t="s">
        <v>30</v>
      </c>
      <c r="F18" s="1" t="s">
        <v>113</v>
      </c>
      <c r="G18" s="1"/>
      <c r="H18" s="1" t="s">
        <v>192</v>
      </c>
      <c r="I18" s="1" t="s">
        <v>85</v>
      </c>
      <c r="J18" s="1" t="s">
        <v>486</v>
      </c>
      <c r="K18" s="1" t="s">
        <v>62</v>
      </c>
      <c r="L18" s="1">
        <v>4</v>
      </c>
      <c r="M18" s="1">
        <v>4</v>
      </c>
      <c r="N18" s="1">
        <v>0</v>
      </c>
      <c r="O18" s="1">
        <v>0</v>
      </c>
      <c r="P18" s="1">
        <v>0</v>
      </c>
      <c r="Q18" s="1">
        <v>0</v>
      </c>
      <c r="R18" s="1"/>
      <c r="S18" s="1">
        <v>0</v>
      </c>
      <c r="T18" s="1">
        <v>4</v>
      </c>
      <c r="U18" s="1">
        <v>0</v>
      </c>
      <c r="V18" s="1">
        <v>0</v>
      </c>
      <c r="W18" s="1">
        <v>0</v>
      </c>
      <c r="X18" s="1">
        <v>0</v>
      </c>
      <c r="Y18" s="1"/>
      <c r="Z18" s="1"/>
      <c r="AA18" s="1">
        <v>0</v>
      </c>
      <c r="AB18" s="1"/>
      <c r="AC18" s="1"/>
      <c r="AD18" s="1"/>
      <c r="AE18" s="1"/>
      <c r="AF18" s="1"/>
      <c r="AG18" s="1">
        <v>0</v>
      </c>
      <c r="AH18" s="1">
        <v>4</v>
      </c>
      <c r="AI18" s="1">
        <v>3</v>
      </c>
      <c r="AJ18" s="1" t="s">
        <v>21</v>
      </c>
      <c r="AK18" s="1" t="s">
        <v>21</v>
      </c>
      <c r="AL18" s="17"/>
      <c r="AM18" s="18"/>
      <c r="AN18" s="10"/>
    </row>
    <row r="19" spans="2:40" customFormat="1" ht="15" customHeight="1" x14ac:dyDescent="0.25">
      <c r="B19" s="1">
        <f t="shared" si="0"/>
        <v>9</v>
      </c>
      <c r="C19" s="1">
        <v>0</v>
      </c>
      <c r="D19" s="1" t="s">
        <v>220</v>
      </c>
      <c r="E19" s="1" t="s">
        <v>30</v>
      </c>
      <c r="F19" s="1" t="s">
        <v>38</v>
      </c>
      <c r="G19" s="1"/>
      <c r="H19" s="1" t="s">
        <v>37</v>
      </c>
      <c r="I19" s="1" t="s">
        <v>85</v>
      </c>
      <c r="J19" s="1" t="s">
        <v>502</v>
      </c>
      <c r="K19" s="1" t="s">
        <v>486</v>
      </c>
      <c r="L19" s="1">
        <v>4</v>
      </c>
      <c r="M19" s="1">
        <v>4</v>
      </c>
      <c r="N19" s="1">
        <v>0</v>
      </c>
      <c r="O19" s="1">
        <v>0</v>
      </c>
      <c r="P19" s="1">
        <v>0</v>
      </c>
      <c r="Q19" s="1">
        <v>0</v>
      </c>
      <c r="R19" s="1"/>
      <c r="S19" s="1">
        <v>0</v>
      </c>
      <c r="T19" s="1">
        <v>4</v>
      </c>
      <c r="U19" s="1">
        <v>0</v>
      </c>
      <c r="V19" s="1">
        <v>0</v>
      </c>
      <c r="W19" s="1">
        <v>0</v>
      </c>
      <c r="X19" s="1">
        <v>0</v>
      </c>
      <c r="Y19" s="1"/>
      <c r="Z19" s="1"/>
      <c r="AA19" s="1">
        <v>0</v>
      </c>
      <c r="AB19" s="1"/>
      <c r="AC19" s="1"/>
      <c r="AD19" s="1"/>
      <c r="AE19" s="1"/>
      <c r="AF19" s="1"/>
      <c r="AG19" s="1">
        <v>0</v>
      </c>
      <c r="AH19" s="1">
        <v>4</v>
      </c>
      <c r="AI19" s="1">
        <v>2</v>
      </c>
      <c r="AJ19" s="1" t="s">
        <v>21</v>
      </c>
      <c r="AK19" s="1" t="s">
        <v>21</v>
      </c>
      <c r="AL19" s="17"/>
      <c r="AM19" s="18"/>
      <c r="AN19" s="10"/>
    </row>
    <row r="20" spans="2:40" customFormat="1" ht="15" customHeight="1" x14ac:dyDescent="0.25">
      <c r="B20" s="1">
        <f t="shared" si="0"/>
        <v>10</v>
      </c>
      <c r="C20" s="1">
        <v>0</v>
      </c>
      <c r="D20" s="1" t="s">
        <v>220</v>
      </c>
      <c r="E20" s="1" t="s">
        <v>191</v>
      </c>
      <c r="F20" s="1" t="s">
        <v>113</v>
      </c>
      <c r="G20" s="1"/>
      <c r="H20" s="1" t="s">
        <v>193</v>
      </c>
      <c r="I20" s="1" t="s">
        <v>85</v>
      </c>
      <c r="J20" s="1" t="s">
        <v>502</v>
      </c>
      <c r="K20" s="1" t="s">
        <v>486</v>
      </c>
      <c r="L20" s="1">
        <v>4</v>
      </c>
      <c r="M20" s="1">
        <v>4</v>
      </c>
      <c r="N20" s="1">
        <v>0</v>
      </c>
      <c r="O20" s="1">
        <v>0</v>
      </c>
      <c r="P20" s="1">
        <v>0</v>
      </c>
      <c r="Q20" s="1">
        <v>0</v>
      </c>
      <c r="R20" s="1"/>
      <c r="S20" s="1">
        <v>0</v>
      </c>
      <c r="T20" s="1">
        <v>4</v>
      </c>
      <c r="U20" s="1">
        <v>0</v>
      </c>
      <c r="V20" s="1">
        <v>0</v>
      </c>
      <c r="W20" s="1">
        <v>0</v>
      </c>
      <c r="X20" s="1">
        <v>0</v>
      </c>
      <c r="Y20" s="1"/>
      <c r="Z20" s="1"/>
      <c r="AA20" s="1">
        <v>0</v>
      </c>
      <c r="AB20" s="1"/>
      <c r="AC20" s="1"/>
      <c r="AD20" s="1"/>
      <c r="AE20" s="1"/>
      <c r="AF20" s="1"/>
      <c r="AG20" s="1">
        <v>0</v>
      </c>
      <c r="AH20" s="1">
        <v>4</v>
      </c>
      <c r="AI20" s="1">
        <v>2</v>
      </c>
      <c r="AJ20" s="1" t="s">
        <v>21</v>
      </c>
      <c r="AK20" s="1" t="s">
        <v>21</v>
      </c>
      <c r="AL20" s="17"/>
      <c r="AM20" s="18"/>
      <c r="AN20" s="10"/>
    </row>
    <row r="21" spans="2:40" customFormat="1" ht="15" customHeight="1" x14ac:dyDescent="0.25">
      <c r="B21" s="1">
        <f t="shared" si="0"/>
        <v>11</v>
      </c>
      <c r="C21" s="1">
        <v>0</v>
      </c>
      <c r="D21" s="1" t="s">
        <v>185</v>
      </c>
      <c r="E21" s="1" t="s">
        <v>30</v>
      </c>
      <c r="F21" s="1" t="s">
        <v>44</v>
      </c>
      <c r="G21" s="1"/>
      <c r="H21" s="1" t="s">
        <v>39</v>
      </c>
      <c r="I21" s="1" t="s">
        <v>85</v>
      </c>
      <c r="J21" s="1" t="s">
        <v>11</v>
      </c>
      <c r="K21" s="1" t="s">
        <v>62</v>
      </c>
      <c r="L21" s="1">
        <v>4</v>
      </c>
      <c r="M21" s="1">
        <v>4</v>
      </c>
      <c r="N21" s="1">
        <v>0</v>
      </c>
      <c r="O21" s="1">
        <v>0</v>
      </c>
      <c r="P21" s="1">
        <v>0</v>
      </c>
      <c r="Q21" s="1">
        <v>0</v>
      </c>
      <c r="R21" s="1"/>
      <c r="S21" s="1">
        <v>0</v>
      </c>
      <c r="T21" s="1">
        <v>1</v>
      </c>
      <c r="U21" s="1">
        <v>0</v>
      </c>
      <c r="V21" s="1">
        <v>0</v>
      </c>
      <c r="W21" s="1">
        <v>0</v>
      </c>
      <c r="X21" s="1">
        <v>0</v>
      </c>
      <c r="Y21" s="1"/>
      <c r="Z21" s="1"/>
      <c r="AA21" s="1">
        <v>0</v>
      </c>
      <c r="AB21" s="1"/>
      <c r="AC21" s="1"/>
      <c r="AD21" s="1"/>
      <c r="AE21" s="1"/>
      <c r="AF21" s="1"/>
      <c r="AG21" s="1">
        <v>0</v>
      </c>
      <c r="AH21" s="1">
        <v>0</v>
      </c>
      <c r="AI21" s="1"/>
      <c r="AJ21" s="1" t="s">
        <v>32</v>
      </c>
      <c r="AK21" s="1" t="s">
        <v>32</v>
      </c>
      <c r="AL21" s="17"/>
      <c r="AM21" s="18"/>
      <c r="AN21" s="10"/>
    </row>
    <row r="22" spans="2:40" customFormat="1" ht="15" customHeight="1" x14ac:dyDescent="0.25">
      <c r="B22" s="1">
        <f t="shared" si="0"/>
        <v>12</v>
      </c>
      <c r="C22" s="1">
        <v>0</v>
      </c>
      <c r="D22" s="1" t="s">
        <v>220</v>
      </c>
      <c r="E22" s="1" t="s">
        <v>30</v>
      </c>
      <c r="F22" s="1" t="s">
        <v>43</v>
      </c>
      <c r="G22" s="1"/>
      <c r="H22" s="1" t="s">
        <v>194</v>
      </c>
      <c r="I22" s="1" t="s">
        <v>85</v>
      </c>
      <c r="J22" s="1" t="s">
        <v>502</v>
      </c>
      <c r="K22" s="1" t="s">
        <v>486</v>
      </c>
      <c r="L22" s="1">
        <v>4</v>
      </c>
      <c r="M22" s="1">
        <v>4</v>
      </c>
      <c r="N22" s="1">
        <v>0</v>
      </c>
      <c r="O22" s="1">
        <v>0</v>
      </c>
      <c r="P22" s="1">
        <v>0</v>
      </c>
      <c r="Q22" s="1">
        <v>0</v>
      </c>
      <c r="R22" s="1"/>
      <c r="S22" s="1">
        <v>0</v>
      </c>
      <c r="T22" s="1">
        <v>4</v>
      </c>
      <c r="U22" s="1">
        <v>0</v>
      </c>
      <c r="V22" s="1">
        <v>0</v>
      </c>
      <c r="W22" s="1">
        <v>0</v>
      </c>
      <c r="X22" s="1">
        <v>0</v>
      </c>
      <c r="Y22" s="1"/>
      <c r="Z22" s="1"/>
      <c r="AA22" s="1">
        <v>0</v>
      </c>
      <c r="AB22" s="1"/>
      <c r="AC22" s="1"/>
      <c r="AD22" s="1"/>
      <c r="AE22" s="1"/>
      <c r="AF22" s="1"/>
      <c r="AG22" s="1">
        <v>0</v>
      </c>
      <c r="AH22" s="1">
        <v>4</v>
      </c>
      <c r="AI22" s="1">
        <v>2</v>
      </c>
      <c r="AJ22" s="1" t="s">
        <v>21</v>
      </c>
      <c r="AK22" s="1" t="s">
        <v>21</v>
      </c>
      <c r="AL22" s="17">
        <v>44594</v>
      </c>
      <c r="AM22" s="18" t="s">
        <v>486</v>
      </c>
      <c r="AN22" s="10"/>
    </row>
    <row r="23" spans="2:40" customFormat="1" ht="15" customHeight="1" x14ac:dyDescent="0.25">
      <c r="B23" s="1">
        <f t="shared" si="0"/>
        <v>13</v>
      </c>
      <c r="C23" s="1">
        <v>0</v>
      </c>
      <c r="D23" s="1" t="s">
        <v>185</v>
      </c>
      <c r="E23" s="1" t="s">
        <v>30</v>
      </c>
      <c r="F23" s="1" t="s">
        <v>195</v>
      </c>
      <c r="G23" s="1"/>
      <c r="H23" s="1" t="s">
        <v>41</v>
      </c>
      <c r="I23" s="1" t="s">
        <v>85</v>
      </c>
      <c r="J23" s="1" t="s">
        <v>11</v>
      </c>
      <c r="K23" s="1" t="s">
        <v>62</v>
      </c>
      <c r="L23" s="1">
        <v>4</v>
      </c>
      <c r="M23" s="1">
        <v>4</v>
      </c>
      <c r="N23" s="1">
        <v>0</v>
      </c>
      <c r="O23" s="1">
        <v>0</v>
      </c>
      <c r="P23" s="1">
        <v>0</v>
      </c>
      <c r="Q23" s="1">
        <v>0</v>
      </c>
      <c r="R23" s="1"/>
      <c r="S23" s="1">
        <v>0</v>
      </c>
      <c r="T23" s="1">
        <v>2</v>
      </c>
      <c r="U23" s="1">
        <v>0</v>
      </c>
      <c r="V23" s="1">
        <v>0</v>
      </c>
      <c r="W23" s="1">
        <v>0</v>
      </c>
      <c r="X23" s="1">
        <v>0</v>
      </c>
      <c r="Y23" s="1"/>
      <c r="Z23" s="1"/>
      <c r="AA23" s="1">
        <v>0</v>
      </c>
      <c r="AB23" s="1"/>
      <c r="AC23" s="1"/>
      <c r="AD23" s="1"/>
      <c r="AE23" s="1"/>
      <c r="AF23" s="1"/>
      <c r="AG23" s="1">
        <v>0</v>
      </c>
      <c r="AH23" s="1">
        <v>3</v>
      </c>
      <c r="AI23" s="1"/>
      <c r="AJ23" s="1" t="s">
        <v>21</v>
      </c>
      <c r="AK23" s="1" t="s">
        <v>21</v>
      </c>
      <c r="AL23" s="17"/>
      <c r="AM23" s="18"/>
      <c r="AN23" s="10"/>
    </row>
    <row r="24" spans="2:40" customFormat="1" ht="15" customHeight="1" x14ac:dyDescent="0.25">
      <c r="B24" s="1">
        <f t="shared" si="0"/>
        <v>14</v>
      </c>
      <c r="C24" s="1">
        <v>0</v>
      </c>
      <c r="D24" s="1" t="s">
        <v>185</v>
      </c>
      <c r="E24" s="1" t="s">
        <v>30</v>
      </c>
      <c r="F24" s="1" t="s">
        <v>36</v>
      </c>
      <c r="G24" s="1"/>
      <c r="H24" s="1" t="s">
        <v>42</v>
      </c>
      <c r="I24" s="1" t="s">
        <v>87</v>
      </c>
      <c r="J24" s="1" t="s">
        <v>11</v>
      </c>
      <c r="K24" s="1" t="s">
        <v>62</v>
      </c>
      <c r="L24" s="1">
        <v>4</v>
      </c>
      <c r="M24" s="1">
        <v>2</v>
      </c>
      <c r="N24" s="1">
        <v>0</v>
      </c>
      <c r="O24" s="1">
        <v>0</v>
      </c>
      <c r="P24" s="1">
        <v>0</v>
      </c>
      <c r="Q24" s="1">
        <v>0</v>
      </c>
      <c r="R24" s="1"/>
      <c r="S24" s="1">
        <v>0</v>
      </c>
      <c r="T24" s="1">
        <v>1</v>
      </c>
      <c r="U24" s="1">
        <v>0</v>
      </c>
      <c r="V24" s="1">
        <v>0</v>
      </c>
      <c r="W24" s="1">
        <v>0</v>
      </c>
      <c r="X24" s="1">
        <v>0</v>
      </c>
      <c r="Y24" s="1"/>
      <c r="Z24" s="1"/>
      <c r="AA24" s="1">
        <v>0</v>
      </c>
      <c r="AB24" s="1"/>
      <c r="AC24" s="1"/>
      <c r="AD24" s="1"/>
      <c r="AE24" s="1"/>
      <c r="AF24" s="1"/>
      <c r="AG24" s="1">
        <v>0</v>
      </c>
      <c r="AH24" s="1">
        <v>0</v>
      </c>
      <c r="AI24" s="1"/>
      <c r="AJ24" s="1" t="s">
        <v>32</v>
      </c>
      <c r="AK24" s="1"/>
      <c r="AL24" s="17"/>
      <c r="AM24" s="18"/>
      <c r="AN24" s="10"/>
    </row>
    <row r="25" spans="2:40" customFormat="1" ht="15" customHeight="1" x14ac:dyDescent="0.25">
      <c r="B25" s="1">
        <f t="shared" si="0"/>
        <v>15</v>
      </c>
      <c r="C25" s="1">
        <v>0</v>
      </c>
      <c r="D25" s="1" t="s">
        <v>220</v>
      </c>
      <c r="E25" s="1" t="s">
        <v>196</v>
      </c>
      <c r="F25" s="1" t="s">
        <v>43</v>
      </c>
      <c r="G25" s="1"/>
      <c r="H25" s="1" t="s">
        <v>197</v>
      </c>
      <c r="I25" s="1" t="s">
        <v>85</v>
      </c>
      <c r="J25" s="1" t="s">
        <v>502</v>
      </c>
      <c r="K25" s="1" t="s">
        <v>486</v>
      </c>
      <c r="L25" s="1">
        <v>4</v>
      </c>
      <c r="M25" s="1">
        <v>4</v>
      </c>
      <c r="N25" s="1">
        <v>0</v>
      </c>
      <c r="O25" s="1">
        <v>0</v>
      </c>
      <c r="P25" s="1">
        <v>0</v>
      </c>
      <c r="Q25" s="1">
        <v>0</v>
      </c>
      <c r="R25" s="1"/>
      <c r="S25" s="1">
        <v>0</v>
      </c>
      <c r="T25" s="1">
        <v>4</v>
      </c>
      <c r="U25" s="1">
        <v>0</v>
      </c>
      <c r="V25" s="1">
        <v>0</v>
      </c>
      <c r="W25" s="1">
        <v>0</v>
      </c>
      <c r="X25" s="1">
        <v>0</v>
      </c>
      <c r="Y25" s="1"/>
      <c r="Z25" s="1"/>
      <c r="AA25" s="1">
        <v>0</v>
      </c>
      <c r="AB25" s="1"/>
      <c r="AC25" s="1"/>
      <c r="AD25" s="1"/>
      <c r="AE25" s="1"/>
      <c r="AF25" s="1"/>
      <c r="AG25" s="1">
        <v>0</v>
      </c>
      <c r="AH25" s="1">
        <v>4</v>
      </c>
      <c r="AI25" s="1">
        <v>3</v>
      </c>
      <c r="AJ25" s="1" t="s">
        <v>21</v>
      </c>
      <c r="AK25" s="1" t="s">
        <v>21</v>
      </c>
      <c r="AL25" s="17"/>
      <c r="AM25" s="18"/>
      <c r="AN25" s="10"/>
    </row>
    <row r="26" spans="2:40" customFormat="1" ht="15" customHeight="1" x14ac:dyDescent="0.25">
      <c r="B26" s="1">
        <f t="shared" si="0"/>
        <v>16</v>
      </c>
      <c r="C26" s="1">
        <v>0</v>
      </c>
      <c r="D26" s="1" t="s">
        <v>185</v>
      </c>
      <c r="E26" s="1" t="s">
        <v>30</v>
      </c>
      <c r="F26" s="1" t="s">
        <v>36</v>
      </c>
      <c r="G26" s="1"/>
      <c r="H26" s="1" t="s">
        <v>47</v>
      </c>
      <c r="I26" s="1" t="s">
        <v>85</v>
      </c>
      <c r="J26" s="1" t="s">
        <v>11</v>
      </c>
      <c r="K26" s="1" t="s">
        <v>62</v>
      </c>
      <c r="L26" s="1">
        <v>4</v>
      </c>
      <c r="M26" s="1">
        <v>4</v>
      </c>
      <c r="N26" s="1">
        <v>0</v>
      </c>
      <c r="O26" s="1">
        <v>0</v>
      </c>
      <c r="P26" s="1">
        <v>0</v>
      </c>
      <c r="Q26" s="1">
        <v>0</v>
      </c>
      <c r="R26" s="1"/>
      <c r="S26" s="1">
        <v>0</v>
      </c>
      <c r="T26" s="1">
        <v>1</v>
      </c>
      <c r="U26" s="1">
        <v>0</v>
      </c>
      <c r="V26" s="1">
        <v>0</v>
      </c>
      <c r="W26" s="1">
        <v>0</v>
      </c>
      <c r="X26" s="1">
        <v>0</v>
      </c>
      <c r="Y26" s="1"/>
      <c r="Z26" s="1"/>
      <c r="AA26" s="1">
        <v>0</v>
      </c>
      <c r="AB26" s="1"/>
      <c r="AC26" s="1"/>
      <c r="AD26" s="1"/>
      <c r="AE26" s="1"/>
      <c r="AF26" s="1"/>
      <c r="AG26" s="1">
        <v>0</v>
      </c>
      <c r="AH26" s="1">
        <v>0</v>
      </c>
      <c r="AI26" s="1"/>
      <c r="AJ26" s="1" t="s">
        <v>32</v>
      </c>
      <c r="AK26" s="1"/>
      <c r="AL26" s="17"/>
      <c r="AM26" s="18"/>
      <c r="AN26" s="10"/>
    </row>
    <row r="27" spans="2:40" customFormat="1" ht="15" customHeight="1" x14ac:dyDescent="0.25">
      <c r="B27" s="1">
        <f t="shared" si="0"/>
        <v>17</v>
      </c>
      <c r="C27" s="1">
        <v>0</v>
      </c>
      <c r="D27" s="1" t="s">
        <v>185</v>
      </c>
      <c r="E27" s="1" t="s">
        <v>30</v>
      </c>
      <c r="F27" s="1" t="s">
        <v>50</v>
      </c>
      <c r="G27" s="1"/>
      <c r="H27" s="1" t="s">
        <v>48</v>
      </c>
      <c r="I27" s="1" t="s">
        <v>54</v>
      </c>
      <c r="J27" s="1" t="s">
        <v>11</v>
      </c>
      <c r="K27" s="1" t="s">
        <v>62</v>
      </c>
      <c r="L27" s="1">
        <v>4</v>
      </c>
      <c r="M27" s="1">
        <v>2</v>
      </c>
      <c r="N27" s="1">
        <v>0</v>
      </c>
      <c r="O27" s="1">
        <v>0</v>
      </c>
      <c r="P27" s="1">
        <v>0</v>
      </c>
      <c r="Q27" s="1">
        <v>0</v>
      </c>
      <c r="R27" s="1"/>
      <c r="S27" s="1">
        <v>0</v>
      </c>
      <c r="T27" s="1">
        <v>1</v>
      </c>
      <c r="U27" s="1">
        <v>0</v>
      </c>
      <c r="V27" s="1">
        <v>0</v>
      </c>
      <c r="W27" s="1">
        <v>0</v>
      </c>
      <c r="X27" s="1">
        <v>0</v>
      </c>
      <c r="Y27" s="1"/>
      <c r="Z27" s="1"/>
      <c r="AA27" s="1">
        <v>0</v>
      </c>
      <c r="AB27" s="1"/>
      <c r="AC27" s="1"/>
      <c r="AD27" s="1"/>
      <c r="AE27" s="1"/>
      <c r="AF27" s="1"/>
      <c r="AG27" s="1">
        <v>0</v>
      </c>
      <c r="AH27" s="1">
        <v>0</v>
      </c>
      <c r="AI27" s="1"/>
      <c r="AJ27" s="1" t="s">
        <v>32</v>
      </c>
      <c r="AK27" s="1"/>
      <c r="AL27" s="17"/>
      <c r="AM27" s="18"/>
      <c r="AN27" s="10"/>
    </row>
    <row r="28" spans="2:40" customFormat="1" ht="15" customHeight="1" x14ac:dyDescent="0.25">
      <c r="B28" s="1">
        <f t="shared" si="0"/>
        <v>18</v>
      </c>
      <c r="C28" s="1">
        <v>0</v>
      </c>
      <c r="D28" s="1" t="s">
        <v>185</v>
      </c>
      <c r="E28" s="1" t="s">
        <v>30</v>
      </c>
      <c r="F28" s="1" t="s">
        <v>36</v>
      </c>
      <c r="G28" s="1"/>
      <c r="H28" s="1" t="s">
        <v>51</v>
      </c>
      <c r="I28" s="1" t="s">
        <v>90</v>
      </c>
      <c r="J28" s="1" t="s">
        <v>11</v>
      </c>
      <c r="K28" s="1" t="s">
        <v>62</v>
      </c>
      <c r="L28" s="1">
        <v>4</v>
      </c>
      <c r="M28" s="1">
        <v>4</v>
      </c>
      <c r="N28" s="1">
        <v>0</v>
      </c>
      <c r="O28" s="1">
        <v>0</v>
      </c>
      <c r="P28" s="1">
        <v>0</v>
      </c>
      <c r="Q28" s="1">
        <v>0</v>
      </c>
      <c r="R28" s="1"/>
      <c r="S28" s="1">
        <v>0</v>
      </c>
      <c r="T28" s="1">
        <v>1</v>
      </c>
      <c r="U28" s="1">
        <v>0</v>
      </c>
      <c r="V28" s="1">
        <v>0</v>
      </c>
      <c r="W28" s="1">
        <v>0</v>
      </c>
      <c r="X28" s="1">
        <v>0</v>
      </c>
      <c r="Y28" s="1"/>
      <c r="Z28" s="1"/>
      <c r="AA28" s="1">
        <v>0</v>
      </c>
      <c r="AB28" s="1"/>
      <c r="AC28" s="1"/>
      <c r="AD28" s="1"/>
      <c r="AE28" s="1"/>
      <c r="AF28" s="1"/>
      <c r="AG28" s="1">
        <v>0</v>
      </c>
      <c r="AH28" s="1">
        <v>0</v>
      </c>
      <c r="AI28" s="1"/>
      <c r="AJ28" s="1" t="s">
        <v>32</v>
      </c>
      <c r="AK28" s="1"/>
      <c r="AL28" s="17"/>
      <c r="AM28" s="18"/>
      <c r="AN28" s="10"/>
    </row>
    <row r="29" spans="2:40" customFormat="1" ht="15" customHeight="1" x14ac:dyDescent="0.25">
      <c r="B29" s="1">
        <f t="shared" si="0"/>
        <v>19</v>
      </c>
      <c r="C29" s="1">
        <v>0</v>
      </c>
      <c r="D29" s="1" t="s">
        <v>185</v>
      </c>
      <c r="E29" s="1" t="s">
        <v>30</v>
      </c>
      <c r="F29" s="1" t="s">
        <v>113</v>
      </c>
      <c r="G29" s="1"/>
      <c r="H29" s="1" t="s">
        <v>200</v>
      </c>
      <c r="I29" s="1" t="s">
        <v>86</v>
      </c>
      <c r="J29" s="1" t="s">
        <v>62</v>
      </c>
      <c r="K29" s="1" t="s">
        <v>11</v>
      </c>
      <c r="L29" s="1">
        <v>4</v>
      </c>
      <c r="M29" s="1">
        <v>4</v>
      </c>
      <c r="N29" s="1">
        <v>0</v>
      </c>
      <c r="O29" s="1">
        <v>0</v>
      </c>
      <c r="P29" s="1">
        <v>0</v>
      </c>
      <c r="Q29" s="1">
        <v>0</v>
      </c>
      <c r="R29" s="1"/>
      <c r="S29" s="1">
        <v>0</v>
      </c>
      <c r="T29" s="1">
        <v>4</v>
      </c>
      <c r="U29" s="1">
        <v>0</v>
      </c>
      <c r="V29" s="1">
        <v>0</v>
      </c>
      <c r="W29" s="1">
        <v>0</v>
      </c>
      <c r="X29" s="1">
        <v>0</v>
      </c>
      <c r="Y29" s="1"/>
      <c r="Z29" s="1"/>
      <c r="AA29" s="1">
        <v>0</v>
      </c>
      <c r="AB29" s="1"/>
      <c r="AC29" s="1"/>
      <c r="AD29" s="1"/>
      <c r="AE29" s="1"/>
      <c r="AF29" s="1"/>
      <c r="AG29" s="1">
        <v>0</v>
      </c>
      <c r="AH29" s="1"/>
      <c r="AI29" s="1"/>
      <c r="AJ29" s="1" t="s">
        <v>21</v>
      </c>
      <c r="AK29" s="1" t="s">
        <v>21</v>
      </c>
      <c r="AL29" s="17">
        <v>43472</v>
      </c>
      <c r="AM29" s="18" t="s">
        <v>11</v>
      </c>
      <c r="AN29" s="10"/>
    </row>
    <row r="30" spans="2:40" customFormat="1" ht="15" customHeight="1" x14ac:dyDescent="0.25">
      <c r="B30" s="1">
        <f t="shared" si="0"/>
        <v>20</v>
      </c>
      <c r="C30" s="1">
        <v>0</v>
      </c>
      <c r="D30" s="1" t="s">
        <v>220</v>
      </c>
      <c r="E30" s="1" t="s">
        <v>30</v>
      </c>
      <c r="F30" s="1" t="s">
        <v>43</v>
      </c>
      <c r="G30" s="1"/>
      <c r="H30" s="1" t="s">
        <v>70</v>
      </c>
      <c r="I30" s="1" t="s">
        <v>85</v>
      </c>
      <c r="J30" s="1" t="s">
        <v>11</v>
      </c>
      <c r="K30" s="1" t="s">
        <v>62</v>
      </c>
      <c r="L30" s="1">
        <v>4</v>
      </c>
      <c r="M30" s="1">
        <v>4</v>
      </c>
      <c r="N30" s="1">
        <v>0</v>
      </c>
      <c r="O30" s="1">
        <v>0</v>
      </c>
      <c r="P30" s="1">
        <v>0</v>
      </c>
      <c r="Q30" s="1">
        <v>0</v>
      </c>
      <c r="R30" s="1"/>
      <c r="S30" s="1">
        <v>0</v>
      </c>
      <c r="T30" s="1">
        <v>4</v>
      </c>
      <c r="U30" s="1">
        <v>0</v>
      </c>
      <c r="V30" s="1">
        <v>0</v>
      </c>
      <c r="W30" s="1">
        <v>0</v>
      </c>
      <c r="X30" s="1">
        <v>0</v>
      </c>
      <c r="Y30" s="1"/>
      <c r="Z30" s="1"/>
      <c r="AA30" s="1">
        <v>0</v>
      </c>
      <c r="AB30" s="1"/>
      <c r="AC30" s="1"/>
      <c r="AD30" s="1"/>
      <c r="AE30" s="1"/>
      <c r="AF30" s="1"/>
      <c r="AG30" s="1">
        <v>0</v>
      </c>
      <c r="AH30" s="1">
        <v>2</v>
      </c>
      <c r="AI30" s="1"/>
      <c r="AJ30" s="1" t="s">
        <v>21</v>
      </c>
      <c r="AK30" s="1" t="s">
        <v>21</v>
      </c>
      <c r="AL30" s="17"/>
      <c r="AM30" s="18"/>
      <c r="AN30" s="10"/>
    </row>
    <row r="31" spans="2:40" customFormat="1" ht="15" customHeight="1" x14ac:dyDescent="0.25">
      <c r="B31" s="1">
        <f t="shared" si="0"/>
        <v>21</v>
      </c>
      <c r="C31" s="1">
        <v>0</v>
      </c>
      <c r="D31" s="1" t="s">
        <v>220</v>
      </c>
      <c r="E31" s="1" t="s">
        <v>30</v>
      </c>
      <c r="F31" s="1" t="s">
        <v>71</v>
      </c>
      <c r="G31" s="1"/>
      <c r="H31" s="1" t="s">
        <v>72</v>
      </c>
      <c r="I31" s="1" t="s">
        <v>85</v>
      </c>
      <c r="J31" s="1" t="s">
        <v>502</v>
      </c>
      <c r="K31" s="1" t="s">
        <v>486</v>
      </c>
      <c r="L31" s="1">
        <v>4</v>
      </c>
      <c r="M31" s="1">
        <v>4</v>
      </c>
      <c r="N31" s="1">
        <v>0</v>
      </c>
      <c r="O31" s="1">
        <v>0</v>
      </c>
      <c r="P31" s="1">
        <v>0</v>
      </c>
      <c r="Q31" s="1">
        <v>0</v>
      </c>
      <c r="R31" s="1"/>
      <c r="S31" s="1">
        <v>0</v>
      </c>
      <c r="T31" s="1">
        <v>4</v>
      </c>
      <c r="U31" s="1">
        <v>0</v>
      </c>
      <c r="V31" s="1">
        <v>0</v>
      </c>
      <c r="W31" s="1">
        <v>0</v>
      </c>
      <c r="X31" s="1">
        <v>0</v>
      </c>
      <c r="Y31" s="1"/>
      <c r="Z31" s="1"/>
      <c r="AA31" s="1">
        <v>0</v>
      </c>
      <c r="AB31" s="1"/>
      <c r="AC31" s="1"/>
      <c r="AD31" s="1"/>
      <c r="AE31" s="1"/>
      <c r="AF31" s="1"/>
      <c r="AG31" s="1">
        <v>0</v>
      </c>
      <c r="AH31" s="1">
        <v>4</v>
      </c>
      <c r="AI31" s="1">
        <v>2</v>
      </c>
      <c r="AJ31" s="1" t="s">
        <v>21</v>
      </c>
      <c r="AK31" s="1" t="s">
        <v>21</v>
      </c>
      <c r="AL31" s="17"/>
      <c r="AM31" s="18"/>
      <c r="AN31" s="10"/>
    </row>
    <row r="32" spans="2:40" customFormat="1" ht="15" customHeight="1" x14ac:dyDescent="0.25">
      <c r="B32" s="1">
        <f t="shared" si="0"/>
        <v>22</v>
      </c>
      <c r="C32" s="1">
        <v>0</v>
      </c>
      <c r="D32" s="1" t="s">
        <v>185</v>
      </c>
      <c r="E32" s="1" t="s">
        <v>30</v>
      </c>
      <c r="F32" s="1" t="s">
        <v>73</v>
      </c>
      <c r="G32" s="1"/>
      <c r="H32" s="1" t="s">
        <v>74</v>
      </c>
      <c r="I32" s="1" t="s">
        <v>87</v>
      </c>
      <c r="J32" s="1" t="s">
        <v>11</v>
      </c>
      <c r="K32" s="1" t="s">
        <v>62</v>
      </c>
      <c r="L32" s="1">
        <v>4</v>
      </c>
      <c r="M32" s="1">
        <v>4</v>
      </c>
      <c r="N32" s="1">
        <v>0</v>
      </c>
      <c r="O32" s="1">
        <v>0</v>
      </c>
      <c r="P32" s="1">
        <v>0</v>
      </c>
      <c r="Q32" s="1">
        <v>0</v>
      </c>
      <c r="R32" s="1"/>
      <c r="S32" s="1">
        <v>0</v>
      </c>
      <c r="T32" s="1">
        <v>1</v>
      </c>
      <c r="U32" s="1">
        <v>0</v>
      </c>
      <c r="V32" s="1">
        <v>0</v>
      </c>
      <c r="W32" s="1">
        <v>0</v>
      </c>
      <c r="X32" s="1">
        <v>0</v>
      </c>
      <c r="Y32" s="1"/>
      <c r="Z32" s="1"/>
      <c r="AA32" s="1">
        <v>0</v>
      </c>
      <c r="AB32" s="1"/>
      <c r="AC32" s="1"/>
      <c r="AD32" s="1"/>
      <c r="AE32" s="1"/>
      <c r="AF32" s="1"/>
      <c r="AG32" s="1">
        <v>0</v>
      </c>
      <c r="AH32" s="1">
        <v>0</v>
      </c>
      <c r="AI32" s="1"/>
      <c r="AJ32" s="1" t="s">
        <v>32</v>
      </c>
      <c r="AK32" s="1"/>
      <c r="AL32" s="17"/>
      <c r="AM32" s="18"/>
      <c r="AN32" s="10"/>
    </row>
    <row r="33" spans="2:40" customFormat="1" ht="15" customHeight="1" x14ac:dyDescent="0.25">
      <c r="B33" s="1">
        <f t="shared" si="0"/>
        <v>23</v>
      </c>
      <c r="C33" s="1">
        <v>0</v>
      </c>
      <c r="D33" s="1" t="s">
        <v>185</v>
      </c>
      <c r="E33" s="1" t="s">
        <v>30</v>
      </c>
      <c r="F33" s="1" t="s">
        <v>73</v>
      </c>
      <c r="G33" s="1"/>
      <c r="H33" s="1" t="s">
        <v>75</v>
      </c>
      <c r="I33" s="1" t="s">
        <v>87</v>
      </c>
      <c r="J33" s="1" t="s">
        <v>11</v>
      </c>
      <c r="K33" s="1" t="s">
        <v>62</v>
      </c>
      <c r="L33" s="1">
        <v>4</v>
      </c>
      <c r="M33" s="1">
        <v>4</v>
      </c>
      <c r="N33" s="1">
        <v>0</v>
      </c>
      <c r="O33" s="1">
        <v>0</v>
      </c>
      <c r="P33" s="1">
        <v>0</v>
      </c>
      <c r="Q33" s="1">
        <v>0</v>
      </c>
      <c r="R33" s="1"/>
      <c r="S33" s="1">
        <v>0</v>
      </c>
      <c r="T33" s="1">
        <v>1</v>
      </c>
      <c r="U33" s="1">
        <v>0</v>
      </c>
      <c r="V33" s="1">
        <v>0</v>
      </c>
      <c r="W33" s="1">
        <v>0</v>
      </c>
      <c r="X33" s="1">
        <v>0</v>
      </c>
      <c r="Y33" s="1"/>
      <c r="Z33" s="1"/>
      <c r="AA33" s="1">
        <v>0</v>
      </c>
      <c r="AB33" s="1"/>
      <c r="AC33" s="1"/>
      <c r="AD33" s="1"/>
      <c r="AE33" s="1"/>
      <c r="AF33" s="1"/>
      <c r="AG33" s="1">
        <v>0</v>
      </c>
      <c r="AH33" s="1">
        <v>0</v>
      </c>
      <c r="AI33" s="1"/>
      <c r="AJ33" s="1" t="s">
        <v>32</v>
      </c>
      <c r="AK33" s="1"/>
      <c r="AL33" s="17"/>
      <c r="AM33" s="18"/>
      <c r="AN33" s="10"/>
    </row>
    <row r="34" spans="2:40" customFormat="1" ht="15" customHeight="1" x14ac:dyDescent="0.25">
      <c r="B34" s="1">
        <f t="shared" si="0"/>
        <v>24</v>
      </c>
      <c r="C34" s="1">
        <v>0</v>
      </c>
      <c r="D34" s="1" t="s">
        <v>185</v>
      </c>
      <c r="E34" s="1" t="s">
        <v>30</v>
      </c>
      <c r="F34" s="1" t="s">
        <v>226</v>
      </c>
      <c r="G34" s="1" t="s">
        <v>54</v>
      </c>
      <c r="H34" s="1">
        <v>2020</v>
      </c>
      <c r="I34" s="1" t="s">
        <v>87</v>
      </c>
      <c r="J34" s="1" t="s">
        <v>11</v>
      </c>
      <c r="K34" s="1" t="s">
        <v>11</v>
      </c>
      <c r="L34" s="1">
        <v>4</v>
      </c>
      <c r="M34" s="1">
        <v>4</v>
      </c>
      <c r="N34" s="1">
        <v>4</v>
      </c>
      <c r="O34" s="1">
        <v>4</v>
      </c>
      <c r="P34" s="1">
        <v>1</v>
      </c>
      <c r="Q34" s="1">
        <v>1</v>
      </c>
      <c r="R34" s="1"/>
      <c r="S34" s="1">
        <v>1</v>
      </c>
      <c r="T34" s="1">
        <v>1</v>
      </c>
      <c r="U34" s="1">
        <v>1</v>
      </c>
      <c r="V34" s="1">
        <v>0</v>
      </c>
      <c r="W34" s="1">
        <v>0</v>
      </c>
      <c r="X34" s="1">
        <v>0</v>
      </c>
      <c r="Y34" s="1"/>
      <c r="Z34" s="1"/>
      <c r="AA34" s="1">
        <v>0</v>
      </c>
      <c r="AB34" s="1"/>
      <c r="AC34" s="1"/>
      <c r="AD34" s="1"/>
      <c r="AE34" s="1"/>
      <c r="AF34" s="1"/>
      <c r="AG34" s="1">
        <v>0</v>
      </c>
      <c r="AH34" s="1">
        <v>0</v>
      </c>
      <c r="AI34" s="1"/>
      <c r="AJ34" s="1" t="s">
        <v>32</v>
      </c>
      <c r="AK34" s="1"/>
      <c r="AL34" s="17"/>
      <c r="AM34" s="18"/>
      <c r="AN34" s="10" t="s">
        <v>76</v>
      </c>
    </row>
    <row r="35" spans="2:40" customFormat="1" ht="15" customHeight="1" x14ac:dyDescent="0.25">
      <c r="B35" s="1">
        <f t="shared" si="0"/>
        <v>25</v>
      </c>
      <c r="C35" s="1">
        <v>1</v>
      </c>
      <c r="D35" s="1" t="s">
        <v>186</v>
      </c>
      <c r="E35" s="1" t="s">
        <v>186</v>
      </c>
      <c r="F35" s="1" t="s">
        <v>19</v>
      </c>
      <c r="G35" s="1"/>
      <c r="H35" s="1" t="s">
        <v>130</v>
      </c>
      <c r="I35" s="1" t="s">
        <v>85</v>
      </c>
      <c r="J35" s="1" t="s">
        <v>408</v>
      </c>
      <c r="K35" s="1" t="s">
        <v>340</v>
      </c>
      <c r="L35" s="1">
        <v>0</v>
      </c>
      <c r="M35" s="1">
        <v>4</v>
      </c>
      <c r="N35" s="1">
        <v>0</v>
      </c>
      <c r="O35" s="1">
        <v>3</v>
      </c>
      <c r="P35" s="1">
        <v>0</v>
      </c>
      <c r="Q35" s="1">
        <v>0</v>
      </c>
      <c r="R35" s="1"/>
      <c r="S35" s="1">
        <v>0</v>
      </c>
      <c r="T35" s="1">
        <v>3</v>
      </c>
      <c r="U35" s="1">
        <v>0</v>
      </c>
      <c r="V35" s="1">
        <v>0</v>
      </c>
      <c r="W35" s="1">
        <v>0</v>
      </c>
      <c r="X35" s="1">
        <v>4</v>
      </c>
      <c r="Y35" s="1">
        <v>0</v>
      </c>
      <c r="Z35" s="1">
        <v>4</v>
      </c>
      <c r="AA35" s="1">
        <v>0</v>
      </c>
      <c r="AB35" s="1"/>
      <c r="AC35" s="1"/>
      <c r="AD35" s="1"/>
      <c r="AE35" s="1">
        <v>4</v>
      </c>
      <c r="AF35" s="1">
        <v>0</v>
      </c>
      <c r="AG35" s="1">
        <v>0</v>
      </c>
      <c r="AH35" s="1">
        <v>0</v>
      </c>
      <c r="AI35" s="1"/>
      <c r="AJ35" s="1" t="s">
        <v>21</v>
      </c>
      <c r="AK35" s="1" t="s">
        <v>21</v>
      </c>
      <c r="AL35" s="17">
        <v>44167</v>
      </c>
      <c r="AM35" s="18" t="s">
        <v>330</v>
      </c>
      <c r="AN35" s="10"/>
    </row>
    <row r="36" spans="2:40" customFormat="1" ht="15" customHeight="1" x14ac:dyDescent="0.25">
      <c r="B36" s="1">
        <f t="shared" si="0"/>
        <v>26</v>
      </c>
      <c r="C36" s="1">
        <v>1</v>
      </c>
      <c r="D36" s="1" t="s">
        <v>186</v>
      </c>
      <c r="E36" s="1" t="s">
        <v>186</v>
      </c>
      <c r="F36" s="1" t="s">
        <v>19</v>
      </c>
      <c r="G36" s="1"/>
      <c r="H36" s="1" t="s">
        <v>401</v>
      </c>
      <c r="I36" s="1" t="s">
        <v>86</v>
      </c>
      <c r="J36" s="1" t="s">
        <v>340</v>
      </c>
      <c r="K36" s="1" t="s">
        <v>408</v>
      </c>
      <c r="L36" s="1">
        <v>0</v>
      </c>
      <c r="M36" s="1">
        <v>4</v>
      </c>
      <c r="N36" s="1">
        <v>0</v>
      </c>
      <c r="O36" s="1">
        <v>3</v>
      </c>
      <c r="P36" s="1">
        <v>0</v>
      </c>
      <c r="Q36" s="1">
        <v>0</v>
      </c>
      <c r="R36" s="1"/>
      <c r="S36" s="1">
        <v>0</v>
      </c>
      <c r="T36" s="1">
        <v>3</v>
      </c>
      <c r="U36" s="1">
        <v>0</v>
      </c>
      <c r="V36" s="1">
        <v>0</v>
      </c>
      <c r="W36" s="1">
        <v>0</v>
      </c>
      <c r="X36" s="1">
        <v>4</v>
      </c>
      <c r="Y36" s="1">
        <v>0</v>
      </c>
      <c r="Z36" s="1">
        <v>0</v>
      </c>
      <c r="AA36" s="1">
        <v>0</v>
      </c>
      <c r="AB36" s="1"/>
      <c r="AC36" s="1"/>
      <c r="AD36" s="1"/>
      <c r="AE36" s="1">
        <v>3</v>
      </c>
      <c r="AF36" s="1">
        <v>0</v>
      </c>
      <c r="AG36" s="1">
        <v>0</v>
      </c>
      <c r="AH36" s="1">
        <v>0</v>
      </c>
      <c r="AI36" s="1"/>
      <c r="AJ36" s="1" t="s">
        <v>21</v>
      </c>
      <c r="AK36" s="1" t="s">
        <v>21</v>
      </c>
      <c r="AL36" s="17">
        <v>43467</v>
      </c>
      <c r="AM36" s="18" t="s">
        <v>62</v>
      </c>
      <c r="AN36" s="10"/>
    </row>
    <row r="37" spans="2:40" customFormat="1" ht="15" customHeight="1" x14ac:dyDescent="0.25">
      <c r="B37" s="1">
        <f t="shared" si="0"/>
        <v>27</v>
      </c>
      <c r="C37" s="1">
        <v>0</v>
      </c>
      <c r="D37" s="1" t="s">
        <v>186</v>
      </c>
      <c r="E37" s="1" t="s">
        <v>186</v>
      </c>
      <c r="F37" s="1" t="s">
        <v>29</v>
      </c>
      <c r="G37" s="1"/>
      <c r="H37" s="1" t="s">
        <v>129</v>
      </c>
      <c r="I37" s="1" t="s">
        <v>85</v>
      </c>
      <c r="J37" s="1" t="s">
        <v>13</v>
      </c>
      <c r="K37" s="1" t="s">
        <v>62</v>
      </c>
      <c r="L37" s="1">
        <v>4</v>
      </c>
      <c r="M37" s="1">
        <v>4</v>
      </c>
      <c r="N37" s="1">
        <v>1</v>
      </c>
      <c r="O37" s="1">
        <v>4</v>
      </c>
      <c r="P37" s="1">
        <v>1</v>
      </c>
      <c r="Q37" s="1">
        <v>0</v>
      </c>
      <c r="R37" s="1"/>
      <c r="S37" s="1">
        <v>4</v>
      </c>
      <c r="T37" s="1">
        <v>4</v>
      </c>
      <c r="U37" s="1">
        <v>0</v>
      </c>
      <c r="V37" s="1">
        <v>0</v>
      </c>
      <c r="W37" s="1">
        <v>0</v>
      </c>
      <c r="X37" s="1">
        <v>0</v>
      </c>
      <c r="Y37" s="1"/>
      <c r="Z37" s="1"/>
      <c r="AA37" s="1">
        <v>0</v>
      </c>
      <c r="AB37" s="1"/>
      <c r="AC37" s="1"/>
      <c r="AD37" s="1"/>
      <c r="AE37" s="1"/>
      <c r="AF37" s="1"/>
      <c r="AG37" s="1">
        <v>0</v>
      </c>
      <c r="AH37" s="1">
        <v>0</v>
      </c>
      <c r="AI37" s="1"/>
      <c r="AJ37" s="1" t="s">
        <v>21</v>
      </c>
      <c r="AK37" s="1"/>
      <c r="AL37" s="17">
        <v>43467</v>
      </c>
      <c r="AM37" s="18" t="s">
        <v>62</v>
      </c>
      <c r="AN37" s="10" t="s">
        <v>163</v>
      </c>
    </row>
    <row r="38" spans="2:40" customFormat="1" ht="15" customHeight="1" x14ac:dyDescent="0.25">
      <c r="B38" s="1">
        <f t="shared" si="0"/>
        <v>28</v>
      </c>
      <c r="C38" s="1">
        <v>0</v>
      </c>
      <c r="D38" s="1" t="s">
        <v>186</v>
      </c>
      <c r="E38" s="1" t="s">
        <v>186</v>
      </c>
      <c r="F38" s="1" t="s">
        <v>29</v>
      </c>
      <c r="G38" s="1"/>
      <c r="H38" s="1" t="s">
        <v>128</v>
      </c>
      <c r="I38" s="1" t="s">
        <v>89</v>
      </c>
      <c r="J38" s="1" t="s">
        <v>13</v>
      </c>
      <c r="K38" s="1" t="s">
        <v>62</v>
      </c>
      <c r="L38" s="1">
        <v>4</v>
      </c>
      <c r="M38" s="1">
        <v>4</v>
      </c>
      <c r="N38" s="1">
        <v>1</v>
      </c>
      <c r="O38" s="1">
        <v>4</v>
      </c>
      <c r="P38" s="1">
        <v>1</v>
      </c>
      <c r="Q38" s="1">
        <v>0</v>
      </c>
      <c r="R38" s="1"/>
      <c r="S38" s="1">
        <v>4</v>
      </c>
      <c r="T38" s="1">
        <v>4</v>
      </c>
      <c r="U38" s="1">
        <v>0</v>
      </c>
      <c r="V38" s="1">
        <v>0</v>
      </c>
      <c r="W38" s="1">
        <v>0</v>
      </c>
      <c r="X38" s="1">
        <v>0</v>
      </c>
      <c r="Y38" s="1"/>
      <c r="Z38" s="1"/>
      <c r="AA38" s="1">
        <v>0</v>
      </c>
      <c r="AB38" s="1"/>
      <c r="AC38" s="1"/>
      <c r="AD38" s="1"/>
      <c r="AE38" s="1"/>
      <c r="AF38" s="1"/>
      <c r="AG38" s="1">
        <v>0</v>
      </c>
      <c r="AH38" s="1">
        <v>0</v>
      </c>
      <c r="AI38" s="1"/>
      <c r="AJ38" s="1" t="s">
        <v>21</v>
      </c>
      <c r="AK38" s="1"/>
      <c r="AL38" s="17">
        <v>43467</v>
      </c>
      <c r="AM38" s="18" t="s">
        <v>62</v>
      </c>
      <c r="AN38" s="10" t="s">
        <v>163</v>
      </c>
    </row>
    <row r="39" spans="2:40" customFormat="1" ht="15" customHeight="1" x14ac:dyDescent="0.25">
      <c r="B39" s="1">
        <f t="shared" si="0"/>
        <v>29</v>
      </c>
      <c r="C39" s="1">
        <v>0</v>
      </c>
      <c r="D39" s="1" t="s">
        <v>186</v>
      </c>
      <c r="E39" s="1" t="s">
        <v>186</v>
      </c>
      <c r="F39" s="1" t="s">
        <v>29</v>
      </c>
      <c r="G39" s="1"/>
      <c r="H39" s="1" t="s">
        <v>124</v>
      </c>
      <c r="I39" s="1" t="s">
        <v>85</v>
      </c>
      <c r="J39" s="1" t="s">
        <v>13</v>
      </c>
      <c r="K39" s="1" t="s">
        <v>62</v>
      </c>
      <c r="L39" s="1">
        <v>4</v>
      </c>
      <c r="M39" s="1">
        <v>4</v>
      </c>
      <c r="N39" s="1">
        <v>1</v>
      </c>
      <c r="O39" s="1">
        <v>4</v>
      </c>
      <c r="P39" s="1">
        <v>1</v>
      </c>
      <c r="Q39" s="1">
        <v>0</v>
      </c>
      <c r="R39" s="1"/>
      <c r="S39" s="1">
        <v>4</v>
      </c>
      <c r="T39" s="1">
        <v>4</v>
      </c>
      <c r="U39" s="1">
        <v>0</v>
      </c>
      <c r="V39" s="1">
        <v>0</v>
      </c>
      <c r="W39" s="1">
        <v>0</v>
      </c>
      <c r="X39" s="1">
        <v>0</v>
      </c>
      <c r="Y39" s="1"/>
      <c r="Z39" s="1"/>
      <c r="AA39" s="1">
        <v>0</v>
      </c>
      <c r="AB39" s="1"/>
      <c r="AC39" s="1"/>
      <c r="AD39" s="1"/>
      <c r="AE39" s="1"/>
      <c r="AF39" s="1"/>
      <c r="AG39" s="1">
        <v>0</v>
      </c>
      <c r="AH39" s="1">
        <v>0</v>
      </c>
      <c r="AI39" s="1"/>
      <c r="AJ39" s="1" t="s">
        <v>95</v>
      </c>
      <c r="AK39" s="1"/>
      <c r="AL39" s="17">
        <v>43467</v>
      </c>
      <c r="AM39" s="18" t="s">
        <v>62</v>
      </c>
      <c r="AN39" s="10" t="s">
        <v>163</v>
      </c>
    </row>
    <row r="40" spans="2:40" customFormat="1" ht="15" customHeight="1" x14ac:dyDescent="0.25">
      <c r="B40" s="1">
        <f t="shared" si="0"/>
        <v>30</v>
      </c>
      <c r="C40" s="1">
        <v>0</v>
      </c>
      <c r="D40" s="1" t="s">
        <v>186</v>
      </c>
      <c r="E40" s="1" t="s">
        <v>186</v>
      </c>
      <c r="F40" s="1" t="s">
        <v>29</v>
      </c>
      <c r="G40" s="1"/>
      <c r="H40" s="1" t="s">
        <v>28</v>
      </c>
      <c r="I40" s="1" t="s">
        <v>86</v>
      </c>
      <c r="J40" s="1" t="s">
        <v>13</v>
      </c>
      <c r="K40" s="1" t="s">
        <v>62</v>
      </c>
      <c r="L40" s="1">
        <v>4</v>
      </c>
      <c r="M40" s="1">
        <v>4</v>
      </c>
      <c r="N40" s="1">
        <v>1</v>
      </c>
      <c r="O40" s="1">
        <v>4</v>
      </c>
      <c r="P40" s="1">
        <v>1</v>
      </c>
      <c r="Q40" s="1">
        <v>0</v>
      </c>
      <c r="R40" s="1"/>
      <c r="S40" s="1">
        <v>0</v>
      </c>
      <c r="T40" s="1">
        <v>2</v>
      </c>
      <c r="U40" s="1">
        <v>0</v>
      </c>
      <c r="V40" s="1">
        <v>0</v>
      </c>
      <c r="W40" s="1">
        <v>0</v>
      </c>
      <c r="X40" s="1">
        <v>0</v>
      </c>
      <c r="Y40" s="1"/>
      <c r="Z40" s="1"/>
      <c r="AA40" s="1">
        <v>0</v>
      </c>
      <c r="AB40" s="1"/>
      <c r="AC40" s="1"/>
      <c r="AD40" s="1"/>
      <c r="AE40" s="1"/>
      <c r="AF40" s="1"/>
      <c r="AG40" s="1">
        <v>0</v>
      </c>
      <c r="AH40" s="1">
        <v>0</v>
      </c>
      <c r="AI40" s="1"/>
      <c r="AJ40" s="1" t="s">
        <v>54</v>
      </c>
      <c r="AK40" s="1"/>
      <c r="AL40" s="17">
        <v>43467</v>
      </c>
      <c r="AM40" s="18" t="s">
        <v>62</v>
      </c>
      <c r="AN40" s="10" t="s">
        <v>146</v>
      </c>
    </row>
    <row r="41" spans="2:40" customFormat="1" ht="15" customHeight="1" x14ac:dyDescent="0.25">
      <c r="B41" s="1">
        <f t="shared" si="0"/>
        <v>31</v>
      </c>
      <c r="C41" s="1">
        <v>1</v>
      </c>
      <c r="D41" s="1" t="s">
        <v>186</v>
      </c>
      <c r="E41" s="1" t="s">
        <v>186</v>
      </c>
      <c r="F41" s="1" t="s">
        <v>19</v>
      </c>
      <c r="G41" s="1"/>
      <c r="H41" s="1" t="s">
        <v>131</v>
      </c>
      <c r="I41" s="1" t="s">
        <v>87</v>
      </c>
      <c r="J41" s="1" t="s">
        <v>408</v>
      </c>
      <c r="K41" s="1" t="s">
        <v>340</v>
      </c>
      <c r="L41" s="1">
        <v>0</v>
      </c>
      <c r="M41" s="1">
        <v>4</v>
      </c>
      <c r="N41" s="1">
        <v>0</v>
      </c>
      <c r="O41" s="1">
        <v>3</v>
      </c>
      <c r="P41" s="1">
        <v>0</v>
      </c>
      <c r="Q41" s="1">
        <v>0</v>
      </c>
      <c r="R41" s="1"/>
      <c r="S41" s="1">
        <v>0</v>
      </c>
      <c r="T41" s="1">
        <v>3</v>
      </c>
      <c r="U41" s="1">
        <v>0</v>
      </c>
      <c r="V41" s="1">
        <v>0</v>
      </c>
      <c r="W41" s="1">
        <v>0</v>
      </c>
      <c r="X41" s="1">
        <v>4</v>
      </c>
      <c r="Y41" s="1">
        <v>0</v>
      </c>
      <c r="Z41" s="1">
        <v>3</v>
      </c>
      <c r="AA41" s="1">
        <v>0</v>
      </c>
      <c r="AB41" s="1"/>
      <c r="AC41" s="1"/>
      <c r="AD41" s="1"/>
      <c r="AE41" s="1">
        <v>4</v>
      </c>
      <c r="AF41" s="1">
        <v>0</v>
      </c>
      <c r="AG41" s="1">
        <v>0</v>
      </c>
      <c r="AH41" s="1">
        <v>0</v>
      </c>
      <c r="AI41" s="1">
        <v>0</v>
      </c>
      <c r="AJ41" s="1" t="s">
        <v>21</v>
      </c>
      <c r="AK41" s="1" t="s">
        <v>21</v>
      </c>
      <c r="AL41" s="17">
        <v>44167</v>
      </c>
      <c r="AM41" s="18" t="s">
        <v>330</v>
      </c>
      <c r="AN41" s="10"/>
    </row>
    <row r="42" spans="2:40" customFormat="1" ht="15" customHeight="1" x14ac:dyDescent="0.25">
      <c r="B42" s="1">
        <f t="shared" si="0"/>
        <v>32</v>
      </c>
      <c r="C42" s="1">
        <v>0</v>
      </c>
      <c r="D42" s="1" t="s">
        <v>186</v>
      </c>
      <c r="E42" s="1" t="s">
        <v>186</v>
      </c>
      <c r="F42" s="1" t="s">
        <v>134</v>
      </c>
      <c r="G42" s="1"/>
      <c r="H42" s="1" t="s">
        <v>133</v>
      </c>
      <c r="I42" s="1" t="s">
        <v>86</v>
      </c>
      <c r="J42" s="1" t="s">
        <v>13</v>
      </c>
      <c r="K42" s="1" t="s">
        <v>62</v>
      </c>
      <c r="L42" s="1">
        <v>4</v>
      </c>
      <c r="M42" s="1">
        <v>4</v>
      </c>
      <c r="N42" s="1">
        <v>1</v>
      </c>
      <c r="O42" s="1">
        <v>4</v>
      </c>
      <c r="P42" s="1">
        <v>2</v>
      </c>
      <c r="Q42" s="1">
        <v>0</v>
      </c>
      <c r="R42" s="1"/>
      <c r="S42" s="1">
        <v>0</v>
      </c>
      <c r="T42" s="1">
        <v>4</v>
      </c>
      <c r="U42" s="1">
        <v>0</v>
      </c>
      <c r="V42" s="1">
        <v>0</v>
      </c>
      <c r="W42" s="1">
        <v>0</v>
      </c>
      <c r="X42" s="1">
        <v>0</v>
      </c>
      <c r="Y42" s="1"/>
      <c r="Z42" s="1"/>
      <c r="AA42" s="1">
        <v>0</v>
      </c>
      <c r="AB42" s="1"/>
      <c r="AC42" s="1"/>
      <c r="AD42" s="1"/>
      <c r="AE42" s="1"/>
      <c r="AF42" s="1"/>
      <c r="AG42" s="1">
        <v>0</v>
      </c>
      <c r="AH42" s="1">
        <v>0</v>
      </c>
      <c r="AI42" s="1"/>
      <c r="AJ42" s="1" t="s">
        <v>95</v>
      </c>
      <c r="AK42" s="1"/>
      <c r="AL42" s="17">
        <v>43467</v>
      </c>
      <c r="AM42" s="18" t="s">
        <v>62</v>
      </c>
      <c r="AN42" s="10" t="s">
        <v>146</v>
      </c>
    </row>
    <row r="43" spans="2:40" customFormat="1" ht="15" customHeight="1" x14ac:dyDescent="0.25">
      <c r="B43" s="1">
        <f t="shared" si="0"/>
        <v>33</v>
      </c>
      <c r="C43" s="1">
        <v>0</v>
      </c>
      <c r="D43" s="1" t="s">
        <v>186</v>
      </c>
      <c r="E43" s="1" t="s">
        <v>186</v>
      </c>
      <c r="F43" s="1" t="s">
        <v>19</v>
      </c>
      <c r="G43" s="1"/>
      <c r="H43" s="1" t="s">
        <v>132</v>
      </c>
      <c r="I43" s="1" t="s">
        <v>87</v>
      </c>
      <c r="J43" s="38" t="s">
        <v>13</v>
      </c>
      <c r="K43" s="1" t="s">
        <v>62</v>
      </c>
      <c r="L43" s="1">
        <v>0</v>
      </c>
      <c r="M43" s="1">
        <v>4</v>
      </c>
      <c r="N43" s="1">
        <v>0</v>
      </c>
      <c r="O43" s="1">
        <v>4</v>
      </c>
      <c r="P43" s="1">
        <v>0</v>
      </c>
      <c r="Q43" s="1">
        <v>0</v>
      </c>
      <c r="R43" s="1"/>
      <c r="S43" s="1">
        <v>0</v>
      </c>
      <c r="T43" s="1">
        <v>4</v>
      </c>
      <c r="U43" s="1">
        <v>0</v>
      </c>
      <c r="V43" s="1">
        <v>0</v>
      </c>
      <c r="W43" s="1">
        <v>0</v>
      </c>
      <c r="X43" s="1">
        <v>0</v>
      </c>
      <c r="Y43" s="1"/>
      <c r="Z43" s="1"/>
      <c r="AA43" s="1">
        <v>0</v>
      </c>
      <c r="AB43" s="1"/>
      <c r="AC43" s="1"/>
      <c r="AD43" s="1"/>
      <c r="AE43" s="1"/>
      <c r="AF43" s="1"/>
      <c r="AG43" s="1">
        <v>0</v>
      </c>
      <c r="AH43" s="1">
        <v>0</v>
      </c>
      <c r="AI43" s="1">
        <v>0</v>
      </c>
      <c r="AJ43" s="1" t="s">
        <v>54</v>
      </c>
      <c r="AK43" s="1"/>
      <c r="AL43" s="17">
        <v>43467</v>
      </c>
      <c r="AM43" s="18" t="s">
        <v>62</v>
      </c>
      <c r="AN43" s="10" t="s">
        <v>145</v>
      </c>
    </row>
    <row r="44" spans="2:40" customFormat="1" ht="15" customHeight="1" x14ac:dyDescent="0.25">
      <c r="B44" s="1">
        <f t="shared" si="0"/>
        <v>34</v>
      </c>
      <c r="C44" s="1">
        <v>1</v>
      </c>
      <c r="D44" s="1" t="s">
        <v>386</v>
      </c>
      <c r="E44" s="1" t="s">
        <v>294</v>
      </c>
      <c r="F44" s="1" t="s">
        <v>57</v>
      </c>
      <c r="G44" s="1"/>
      <c r="H44" s="1" t="s">
        <v>56</v>
      </c>
      <c r="I44" s="1" t="s">
        <v>85</v>
      </c>
      <c r="J44" s="1" t="s">
        <v>12</v>
      </c>
      <c r="K44" s="1" t="s">
        <v>331</v>
      </c>
      <c r="L44" s="1">
        <v>0</v>
      </c>
      <c r="M44" s="1">
        <v>0</v>
      </c>
      <c r="N44" s="1">
        <v>4</v>
      </c>
      <c r="O44" s="1">
        <v>0</v>
      </c>
      <c r="P44" s="1">
        <v>0</v>
      </c>
      <c r="Q44" s="1">
        <v>4</v>
      </c>
      <c r="R44" s="1">
        <v>3</v>
      </c>
      <c r="S44" s="1">
        <v>0</v>
      </c>
      <c r="T44" s="1">
        <v>0</v>
      </c>
      <c r="U44" s="1">
        <v>0</v>
      </c>
      <c r="V44" s="1">
        <v>0</v>
      </c>
      <c r="W44" s="1">
        <v>0</v>
      </c>
      <c r="X44" s="1">
        <v>0</v>
      </c>
      <c r="Y44" s="1">
        <v>0</v>
      </c>
      <c r="Z44" s="1">
        <v>0</v>
      </c>
      <c r="AA44" s="1">
        <v>0</v>
      </c>
      <c r="AB44" s="1"/>
      <c r="AC44" s="1"/>
      <c r="AD44" s="1"/>
      <c r="AE44" s="1"/>
      <c r="AF44" s="1"/>
      <c r="AG44" s="1">
        <v>0</v>
      </c>
      <c r="AH44" s="1">
        <v>0</v>
      </c>
      <c r="AI44" s="1">
        <v>0</v>
      </c>
      <c r="AJ44" s="1" t="s">
        <v>21</v>
      </c>
      <c r="AK44" s="1" t="s">
        <v>21</v>
      </c>
      <c r="AL44" s="17">
        <v>43369</v>
      </c>
      <c r="AM44" s="18" t="s">
        <v>12</v>
      </c>
      <c r="AN44" s="10" t="s">
        <v>77</v>
      </c>
    </row>
    <row r="45" spans="2:40" customFormat="1" ht="15" customHeight="1" x14ac:dyDescent="0.25">
      <c r="B45" s="1">
        <f t="shared" si="0"/>
        <v>35</v>
      </c>
      <c r="C45" s="1">
        <v>1</v>
      </c>
      <c r="D45" s="1" t="s">
        <v>386</v>
      </c>
      <c r="E45" s="1" t="s">
        <v>294</v>
      </c>
      <c r="F45" s="1" t="s">
        <v>57</v>
      </c>
      <c r="G45" s="1"/>
      <c r="H45" s="1" t="s">
        <v>108</v>
      </c>
      <c r="I45" s="1" t="s">
        <v>87</v>
      </c>
      <c r="J45" s="1" t="s">
        <v>12</v>
      </c>
      <c r="K45" s="1" t="s">
        <v>331</v>
      </c>
      <c r="L45" s="1">
        <v>0</v>
      </c>
      <c r="M45" s="1">
        <v>0</v>
      </c>
      <c r="N45" s="1">
        <v>4</v>
      </c>
      <c r="O45" s="1">
        <v>0</v>
      </c>
      <c r="P45" s="1">
        <v>0</v>
      </c>
      <c r="Q45" s="1">
        <v>4</v>
      </c>
      <c r="R45" s="1">
        <v>3</v>
      </c>
      <c r="S45" s="1">
        <v>0</v>
      </c>
      <c r="T45" s="1">
        <v>0</v>
      </c>
      <c r="U45" s="1">
        <v>0</v>
      </c>
      <c r="V45" s="1">
        <v>0</v>
      </c>
      <c r="W45" s="1">
        <v>0</v>
      </c>
      <c r="X45" s="1">
        <v>0</v>
      </c>
      <c r="Y45" s="1">
        <v>0</v>
      </c>
      <c r="Z45" s="1">
        <v>0</v>
      </c>
      <c r="AA45" s="1">
        <v>0</v>
      </c>
      <c r="AB45" s="1"/>
      <c r="AC45" s="1"/>
      <c r="AD45" s="1"/>
      <c r="AE45" s="1"/>
      <c r="AF45" s="1"/>
      <c r="AG45" s="1">
        <v>0</v>
      </c>
      <c r="AH45" s="1">
        <v>0</v>
      </c>
      <c r="AI45" s="1">
        <v>0</v>
      </c>
      <c r="AJ45" s="1" t="s">
        <v>21</v>
      </c>
      <c r="AK45" s="1" t="s">
        <v>21</v>
      </c>
      <c r="AL45" s="17">
        <v>43369</v>
      </c>
      <c r="AM45" s="18" t="s">
        <v>12</v>
      </c>
      <c r="AN45" s="10" t="s">
        <v>78</v>
      </c>
    </row>
    <row r="46" spans="2:40" customFormat="1" ht="15" customHeight="1" x14ac:dyDescent="0.25">
      <c r="B46" s="1">
        <f t="shared" si="0"/>
        <v>36</v>
      </c>
      <c r="C46" s="1">
        <v>1</v>
      </c>
      <c r="D46" s="1" t="s">
        <v>386</v>
      </c>
      <c r="E46" s="1" t="s">
        <v>294</v>
      </c>
      <c r="F46" s="1" t="s">
        <v>57</v>
      </c>
      <c r="G46" s="1"/>
      <c r="H46" s="1" t="s">
        <v>58</v>
      </c>
      <c r="I46" s="1" t="s">
        <v>87</v>
      </c>
      <c r="J46" s="1" t="s">
        <v>12</v>
      </c>
      <c r="K46" s="1" t="s">
        <v>331</v>
      </c>
      <c r="L46" s="1">
        <v>0</v>
      </c>
      <c r="M46" s="1">
        <v>0</v>
      </c>
      <c r="N46" s="1">
        <v>4</v>
      </c>
      <c r="O46" s="1">
        <v>0</v>
      </c>
      <c r="P46" s="1">
        <v>0</v>
      </c>
      <c r="Q46" s="1">
        <v>4</v>
      </c>
      <c r="R46" s="1">
        <v>3</v>
      </c>
      <c r="S46" s="1">
        <v>0</v>
      </c>
      <c r="T46" s="1">
        <v>0</v>
      </c>
      <c r="U46" s="1">
        <v>0</v>
      </c>
      <c r="V46" s="1">
        <v>0</v>
      </c>
      <c r="W46" s="1">
        <v>0</v>
      </c>
      <c r="X46" s="1">
        <v>0</v>
      </c>
      <c r="Y46" s="1">
        <v>0</v>
      </c>
      <c r="Z46" s="1">
        <v>0</v>
      </c>
      <c r="AA46" s="1">
        <v>0</v>
      </c>
      <c r="AB46" s="1"/>
      <c r="AC46" s="1"/>
      <c r="AD46" s="1"/>
      <c r="AE46" s="1"/>
      <c r="AF46" s="1"/>
      <c r="AG46" s="1">
        <v>0</v>
      </c>
      <c r="AH46" s="1">
        <v>0</v>
      </c>
      <c r="AI46" s="1">
        <v>0</v>
      </c>
      <c r="AJ46" s="1" t="s">
        <v>21</v>
      </c>
      <c r="AK46" s="1"/>
      <c r="AL46" s="17"/>
      <c r="AM46" s="18"/>
      <c r="AN46" s="10" t="s">
        <v>79</v>
      </c>
    </row>
    <row r="47" spans="2:40" customFormat="1" ht="15" customHeight="1" x14ac:dyDescent="0.25">
      <c r="B47" s="1">
        <f t="shared" si="0"/>
        <v>37</v>
      </c>
      <c r="C47" s="1">
        <v>1</v>
      </c>
      <c r="D47" s="1" t="s">
        <v>386</v>
      </c>
      <c r="E47" s="1" t="s">
        <v>294</v>
      </c>
      <c r="F47" s="1" t="s">
        <v>57</v>
      </c>
      <c r="G47" s="1"/>
      <c r="H47" s="1" t="s">
        <v>59</v>
      </c>
      <c r="I47" s="1" t="s">
        <v>86</v>
      </c>
      <c r="J47" s="1" t="s">
        <v>12</v>
      </c>
      <c r="K47" s="1" t="s">
        <v>331</v>
      </c>
      <c r="L47" s="1">
        <v>0</v>
      </c>
      <c r="M47" s="1">
        <v>0</v>
      </c>
      <c r="N47" s="1">
        <v>4</v>
      </c>
      <c r="O47" s="1">
        <v>0</v>
      </c>
      <c r="P47" s="1">
        <v>0</v>
      </c>
      <c r="Q47" s="1">
        <v>4</v>
      </c>
      <c r="R47" s="1">
        <v>3</v>
      </c>
      <c r="S47" s="1">
        <v>0</v>
      </c>
      <c r="T47" s="1">
        <v>0</v>
      </c>
      <c r="U47" s="1">
        <v>0</v>
      </c>
      <c r="V47" s="1">
        <v>0</v>
      </c>
      <c r="W47" s="1">
        <v>0</v>
      </c>
      <c r="X47" s="1">
        <v>0</v>
      </c>
      <c r="Y47" s="1">
        <v>0</v>
      </c>
      <c r="Z47" s="1">
        <v>0</v>
      </c>
      <c r="AA47" s="1">
        <v>0</v>
      </c>
      <c r="AB47" s="1"/>
      <c r="AC47" s="1"/>
      <c r="AD47" s="1"/>
      <c r="AE47" s="1"/>
      <c r="AF47" s="1"/>
      <c r="AG47" s="1">
        <v>0</v>
      </c>
      <c r="AH47" s="1">
        <v>0</v>
      </c>
      <c r="AI47" s="1">
        <v>0</v>
      </c>
      <c r="AJ47" s="1" t="s">
        <v>21</v>
      </c>
      <c r="AK47" s="1"/>
      <c r="AL47" s="17"/>
      <c r="AM47" s="18"/>
      <c r="AN47" s="10" t="s">
        <v>83</v>
      </c>
    </row>
    <row r="48" spans="2:40" customFormat="1" ht="15" customHeight="1" x14ac:dyDescent="0.25">
      <c r="B48" s="1">
        <f t="shared" si="0"/>
        <v>38</v>
      </c>
      <c r="C48" s="1">
        <v>1</v>
      </c>
      <c r="D48" s="1" t="s">
        <v>386</v>
      </c>
      <c r="E48" s="1" t="s">
        <v>294</v>
      </c>
      <c r="F48" s="1" t="s">
        <v>57</v>
      </c>
      <c r="G48" s="1"/>
      <c r="H48" s="1" t="s">
        <v>60</v>
      </c>
      <c r="I48" s="1" t="s">
        <v>86</v>
      </c>
      <c r="J48" s="1" t="s">
        <v>12</v>
      </c>
      <c r="K48" s="1" t="s">
        <v>331</v>
      </c>
      <c r="L48" s="1">
        <v>0</v>
      </c>
      <c r="M48" s="1">
        <v>0</v>
      </c>
      <c r="N48" s="1">
        <v>4</v>
      </c>
      <c r="O48" s="1">
        <v>0</v>
      </c>
      <c r="P48" s="1">
        <v>0</v>
      </c>
      <c r="Q48" s="1">
        <v>4</v>
      </c>
      <c r="R48" s="1">
        <v>2</v>
      </c>
      <c r="S48" s="1">
        <v>0</v>
      </c>
      <c r="T48" s="1">
        <v>0</v>
      </c>
      <c r="U48" s="1">
        <v>0</v>
      </c>
      <c r="V48" s="1">
        <v>0</v>
      </c>
      <c r="W48" s="1">
        <v>0</v>
      </c>
      <c r="X48" s="1">
        <v>0</v>
      </c>
      <c r="Y48" s="1">
        <v>0</v>
      </c>
      <c r="Z48" s="1">
        <v>0</v>
      </c>
      <c r="AA48" s="1">
        <v>0</v>
      </c>
      <c r="AB48" s="1"/>
      <c r="AC48" s="1"/>
      <c r="AD48" s="1"/>
      <c r="AE48" s="1"/>
      <c r="AF48" s="1"/>
      <c r="AG48" s="1">
        <v>0</v>
      </c>
      <c r="AH48" s="1">
        <v>0</v>
      </c>
      <c r="AI48" s="1">
        <v>0</v>
      </c>
      <c r="AJ48" s="1" t="s">
        <v>32</v>
      </c>
      <c r="AK48" s="1"/>
      <c r="AL48" s="17"/>
      <c r="AM48" s="18"/>
      <c r="AN48" s="10" t="s">
        <v>80</v>
      </c>
    </row>
    <row r="49" spans="2:40" customFormat="1" ht="15" customHeight="1" x14ac:dyDescent="0.25">
      <c r="B49" s="1">
        <f t="shared" si="0"/>
        <v>39</v>
      </c>
      <c r="C49" s="1">
        <v>1</v>
      </c>
      <c r="D49" s="1" t="s">
        <v>386</v>
      </c>
      <c r="E49" s="1" t="s">
        <v>294</v>
      </c>
      <c r="F49" s="1" t="s">
        <v>57</v>
      </c>
      <c r="G49" s="1"/>
      <c r="H49" s="1" t="s">
        <v>69</v>
      </c>
      <c r="I49" s="1" t="s">
        <v>86</v>
      </c>
      <c r="J49" s="1" t="s">
        <v>12</v>
      </c>
      <c r="K49" s="1" t="s">
        <v>331</v>
      </c>
      <c r="L49" s="1">
        <v>0</v>
      </c>
      <c r="M49" s="1">
        <v>0</v>
      </c>
      <c r="N49" s="1">
        <v>4</v>
      </c>
      <c r="O49" s="1">
        <v>0</v>
      </c>
      <c r="P49" s="1">
        <v>0</v>
      </c>
      <c r="Q49" s="1">
        <v>4</v>
      </c>
      <c r="R49" s="1">
        <v>3</v>
      </c>
      <c r="S49" s="1">
        <v>0</v>
      </c>
      <c r="T49" s="1">
        <v>0</v>
      </c>
      <c r="U49" s="1">
        <v>0</v>
      </c>
      <c r="V49" s="1">
        <v>0</v>
      </c>
      <c r="W49" s="1">
        <v>0</v>
      </c>
      <c r="X49" s="1">
        <v>0</v>
      </c>
      <c r="Y49" s="1">
        <v>0</v>
      </c>
      <c r="Z49" s="1">
        <v>0</v>
      </c>
      <c r="AA49" s="1">
        <v>0</v>
      </c>
      <c r="AB49" s="1"/>
      <c r="AC49" s="1"/>
      <c r="AD49" s="1"/>
      <c r="AE49" s="1"/>
      <c r="AF49" s="1"/>
      <c r="AG49" s="1">
        <v>0</v>
      </c>
      <c r="AH49" s="1">
        <v>0</v>
      </c>
      <c r="AI49" s="1">
        <v>0</v>
      </c>
      <c r="AJ49" s="1" t="s">
        <v>21</v>
      </c>
      <c r="AK49" s="1"/>
      <c r="AL49" s="17"/>
      <c r="AM49" s="18"/>
      <c r="AN49" s="10" t="s">
        <v>80</v>
      </c>
    </row>
    <row r="50" spans="2:40" customFormat="1" ht="15" customHeight="1" x14ac:dyDescent="0.25">
      <c r="B50" s="1">
        <f t="shared" si="0"/>
        <v>40</v>
      </c>
      <c r="C50" s="1">
        <v>1</v>
      </c>
      <c r="D50" s="1" t="s">
        <v>386</v>
      </c>
      <c r="E50" s="1" t="s">
        <v>294</v>
      </c>
      <c r="F50" s="1" t="s">
        <v>57</v>
      </c>
      <c r="G50" s="1"/>
      <c r="H50" s="1" t="s">
        <v>63</v>
      </c>
      <c r="I50" s="1" t="s">
        <v>88</v>
      </c>
      <c r="J50" s="1" t="s">
        <v>12</v>
      </c>
      <c r="K50" s="1" t="s">
        <v>331</v>
      </c>
      <c r="L50" s="1">
        <v>0</v>
      </c>
      <c r="M50" s="1">
        <v>0</v>
      </c>
      <c r="N50" s="1">
        <v>4</v>
      </c>
      <c r="O50" s="1">
        <v>0</v>
      </c>
      <c r="P50" s="1">
        <v>0</v>
      </c>
      <c r="Q50" s="1">
        <v>4</v>
      </c>
      <c r="R50" s="1">
        <v>3</v>
      </c>
      <c r="S50" s="1">
        <v>0</v>
      </c>
      <c r="T50" s="1">
        <v>0</v>
      </c>
      <c r="U50" s="1">
        <v>0</v>
      </c>
      <c r="V50" s="1">
        <v>0</v>
      </c>
      <c r="W50" s="1">
        <v>0</v>
      </c>
      <c r="X50" s="1">
        <v>0</v>
      </c>
      <c r="Y50" s="1">
        <v>0</v>
      </c>
      <c r="Z50" s="1">
        <v>0</v>
      </c>
      <c r="AA50" s="1">
        <v>0</v>
      </c>
      <c r="AB50" s="1"/>
      <c r="AC50" s="1"/>
      <c r="AD50" s="1"/>
      <c r="AE50" s="1"/>
      <c r="AF50" s="1"/>
      <c r="AG50" s="1">
        <v>0</v>
      </c>
      <c r="AH50" s="1">
        <v>0</v>
      </c>
      <c r="AI50" s="1">
        <v>0</v>
      </c>
      <c r="AJ50" s="1" t="s">
        <v>21</v>
      </c>
      <c r="AK50" s="1"/>
      <c r="AL50" s="17"/>
      <c r="AM50" s="18"/>
      <c r="AN50" s="10"/>
    </row>
    <row r="51" spans="2:40" customFormat="1" ht="15" customHeight="1" x14ac:dyDescent="0.25">
      <c r="B51" s="1">
        <f t="shared" si="0"/>
        <v>41</v>
      </c>
      <c r="C51" s="1">
        <v>1</v>
      </c>
      <c r="D51" s="1" t="s">
        <v>386</v>
      </c>
      <c r="E51" s="1" t="s">
        <v>294</v>
      </c>
      <c r="F51" s="1" t="s">
        <v>57</v>
      </c>
      <c r="G51" s="1"/>
      <c r="H51" s="1" t="s">
        <v>64</v>
      </c>
      <c r="I51" s="1" t="s">
        <v>86</v>
      </c>
      <c r="J51" s="1" t="s">
        <v>12</v>
      </c>
      <c r="K51" s="1" t="s">
        <v>331</v>
      </c>
      <c r="L51" s="1">
        <v>0</v>
      </c>
      <c r="M51" s="1">
        <v>0</v>
      </c>
      <c r="N51" s="1">
        <v>4</v>
      </c>
      <c r="O51" s="1">
        <v>0</v>
      </c>
      <c r="P51" s="1">
        <v>0</v>
      </c>
      <c r="Q51" s="1">
        <v>4</v>
      </c>
      <c r="R51" s="1">
        <v>3</v>
      </c>
      <c r="S51" s="1">
        <v>0</v>
      </c>
      <c r="T51" s="1">
        <v>0</v>
      </c>
      <c r="U51" s="1">
        <v>0</v>
      </c>
      <c r="V51" s="1">
        <v>0</v>
      </c>
      <c r="W51" s="1">
        <v>0</v>
      </c>
      <c r="X51" s="1">
        <v>0</v>
      </c>
      <c r="Y51" s="1">
        <v>0</v>
      </c>
      <c r="Z51" s="1">
        <v>0</v>
      </c>
      <c r="AA51" s="1">
        <v>0</v>
      </c>
      <c r="AB51" s="1"/>
      <c r="AC51" s="1"/>
      <c r="AD51" s="1"/>
      <c r="AE51" s="1"/>
      <c r="AF51" s="1"/>
      <c r="AG51" s="1">
        <v>0</v>
      </c>
      <c r="AH51" s="1">
        <v>0</v>
      </c>
      <c r="AI51" s="1">
        <v>0</v>
      </c>
      <c r="AJ51" s="1" t="s">
        <v>21</v>
      </c>
      <c r="AK51" s="1"/>
      <c r="AL51" s="17"/>
      <c r="AM51" s="18"/>
      <c r="AN51" s="10"/>
    </row>
    <row r="52" spans="2:40" customFormat="1" ht="15" customHeight="1" x14ac:dyDescent="0.25">
      <c r="B52" s="1">
        <f t="shared" si="0"/>
        <v>42</v>
      </c>
      <c r="C52" s="1">
        <v>1</v>
      </c>
      <c r="D52" s="1" t="s">
        <v>386</v>
      </c>
      <c r="E52" s="1" t="s">
        <v>294</v>
      </c>
      <c r="F52" s="1" t="s">
        <v>57</v>
      </c>
      <c r="G52" s="1"/>
      <c r="H52" s="1" t="s">
        <v>332</v>
      </c>
      <c r="I52" s="1" t="s">
        <v>86</v>
      </c>
      <c r="J52" s="1" t="s">
        <v>12</v>
      </c>
      <c r="K52" s="1" t="s">
        <v>331</v>
      </c>
      <c r="L52" s="1">
        <v>0</v>
      </c>
      <c r="M52" s="1">
        <v>0</v>
      </c>
      <c r="N52" s="1">
        <v>4</v>
      </c>
      <c r="O52" s="1">
        <v>0</v>
      </c>
      <c r="P52" s="1">
        <v>0</v>
      </c>
      <c r="Q52" s="1">
        <v>4</v>
      </c>
      <c r="R52" s="1">
        <v>2</v>
      </c>
      <c r="S52" s="1">
        <v>0</v>
      </c>
      <c r="T52" s="1">
        <v>0</v>
      </c>
      <c r="U52" s="1">
        <v>0</v>
      </c>
      <c r="V52" s="1">
        <v>0</v>
      </c>
      <c r="W52" s="1">
        <v>0</v>
      </c>
      <c r="X52" s="1">
        <v>0</v>
      </c>
      <c r="Y52" s="1">
        <v>0</v>
      </c>
      <c r="Z52" s="1">
        <v>0</v>
      </c>
      <c r="AA52" s="1">
        <v>0</v>
      </c>
      <c r="AB52" s="1"/>
      <c r="AC52" s="1"/>
      <c r="AD52" s="1"/>
      <c r="AE52" s="1"/>
      <c r="AF52" s="1"/>
      <c r="AG52" s="1">
        <v>0</v>
      </c>
      <c r="AH52" s="1">
        <v>0</v>
      </c>
      <c r="AI52" s="1">
        <v>0</v>
      </c>
      <c r="AJ52" s="1" t="s">
        <v>21</v>
      </c>
      <c r="AK52" s="1"/>
      <c r="AL52" s="17"/>
      <c r="AM52" s="18"/>
      <c r="AN52" s="10" t="s">
        <v>81</v>
      </c>
    </row>
    <row r="53" spans="2:40" customFormat="1" ht="15" customHeight="1" x14ac:dyDescent="0.25">
      <c r="B53" s="1">
        <f t="shared" si="0"/>
        <v>43</v>
      </c>
      <c r="C53" s="1">
        <v>1</v>
      </c>
      <c r="D53" s="1" t="s">
        <v>386</v>
      </c>
      <c r="E53" s="1" t="s">
        <v>294</v>
      </c>
      <c r="F53" s="1" t="s">
        <v>57</v>
      </c>
      <c r="G53" s="1"/>
      <c r="H53" s="1" t="s">
        <v>65</v>
      </c>
      <c r="I53" s="1" t="s">
        <v>86</v>
      </c>
      <c r="J53" s="1" t="s">
        <v>12</v>
      </c>
      <c r="K53" s="1" t="s">
        <v>331</v>
      </c>
      <c r="L53" s="1">
        <v>0</v>
      </c>
      <c r="M53" s="1">
        <v>0</v>
      </c>
      <c r="N53" s="1">
        <v>4</v>
      </c>
      <c r="O53" s="1">
        <v>0</v>
      </c>
      <c r="P53" s="1">
        <v>0</v>
      </c>
      <c r="Q53" s="1">
        <v>4</v>
      </c>
      <c r="R53" s="1">
        <v>3</v>
      </c>
      <c r="S53" s="1">
        <v>0</v>
      </c>
      <c r="T53" s="1">
        <v>0</v>
      </c>
      <c r="U53" s="1">
        <v>0</v>
      </c>
      <c r="V53" s="1">
        <v>0</v>
      </c>
      <c r="W53" s="1">
        <v>0</v>
      </c>
      <c r="X53" s="1">
        <v>0</v>
      </c>
      <c r="Y53" s="1">
        <v>0</v>
      </c>
      <c r="Z53" s="1">
        <v>0</v>
      </c>
      <c r="AA53" s="1">
        <v>0</v>
      </c>
      <c r="AB53" s="1"/>
      <c r="AC53" s="1"/>
      <c r="AD53" s="1"/>
      <c r="AE53" s="1"/>
      <c r="AF53" s="1"/>
      <c r="AG53" s="1">
        <v>0</v>
      </c>
      <c r="AH53" s="1">
        <v>0</v>
      </c>
      <c r="AI53" s="1">
        <v>0</v>
      </c>
      <c r="AJ53" s="1" t="s">
        <v>21</v>
      </c>
      <c r="AK53" s="1"/>
      <c r="AL53" s="17"/>
      <c r="AM53" s="18"/>
      <c r="AN53" s="10" t="s">
        <v>82</v>
      </c>
    </row>
    <row r="54" spans="2:40" customFormat="1" ht="15" customHeight="1" x14ac:dyDescent="0.25">
      <c r="B54" s="1">
        <f t="shared" si="0"/>
        <v>44</v>
      </c>
      <c r="C54" s="1">
        <v>0</v>
      </c>
      <c r="D54" s="1" t="s">
        <v>186</v>
      </c>
      <c r="E54" s="1" t="s">
        <v>186</v>
      </c>
      <c r="F54" s="1" t="s">
        <v>29</v>
      </c>
      <c r="G54" s="1"/>
      <c r="H54" s="1" t="s">
        <v>127</v>
      </c>
      <c r="I54" s="1" t="s">
        <v>87</v>
      </c>
      <c r="J54" s="1" t="s">
        <v>13</v>
      </c>
      <c r="K54" s="1" t="s">
        <v>62</v>
      </c>
      <c r="L54" s="1">
        <v>1</v>
      </c>
      <c r="M54" s="1">
        <v>4</v>
      </c>
      <c r="N54" s="1">
        <v>1</v>
      </c>
      <c r="O54" s="1">
        <v>4</v>
      </c>
      <c r="P54" s="1">
        <v>1</v>
      </c>
      <c r="Q54" s="1">
        <v>0</v>
      </c>
      <c r="R54" s="1"/>
      <c r="S54" s="1">
        <v>0</v>
      </c>
      <c r="T54" s="1">
        <v>4</v>
      </c>
      <c r="U54" s="1">
        <v>0</v>
      </c>
      <c r="V54" s="1">
        <v>0</v>
      </c>
      <c r="W54" s="1">
        <v>0</v>
      </c>
      <c r="X54" s="1">
        <v>0</v>
      </c>
      <c r="Y54" s="1"/>
      <c r="Z54" s="1"/>
      <c r="AA54" s="1">
        <v>0</v>
      </c>
      <c r="AB54" s="1"/>
      <c r="AC54" s="1"/>
      <c r="AD54" s="1"/>
      <c r="AE54" s="1"/>
      <c r="AF54" s="1"/>
      <c r="AG54" s="1">
        <v>0</v>
      </c>
      <c r="AH54" s="1">
        <v>0</v>
      </c>
      <c r="AI54" s="1"/>
      <c r="AJ54" s="1" t="s">
        <v>21</v>
      </c>
      <c r="AK54" s="1"/>
      <c r="AL54" s="17">
        <v>43467</v>
      </c>
      <c r="AM54" s="18" t="s">
        <v>62</v>
      </c>
      <c r="AN54" s="10" t="s">
        <v>163</v>
      </c>
    </row>
    <row r="55" spans="2:40" customFormat="1" ht="15" customHeight="1" x14ac:dyDescent="0.25">
      <c r="B55" s="1">
        <f t="shared" si="0"/>
        <v>45</v>
      </c>
      <c r="C55" s="1">
        <v>1</v>
      </c>
      <c r="D55" s="1" t="s">
        <v>187</v>
      </c>
      <c r="E55" s="1" t="s">
        <v>347</v>
      </c>
      <c r="F55" s="1" t="s">
        <v>45</v>
      </c>
      <c r="G55" s="1" t="s">
        <v>488</v>
      </c>
      <c r="H55" s="1" t="s">
        <v>500</v>
      </c>
      <c r="I55" s="1" t="s">
        <v>85</v>
      </c>
      <c r="J55" s="1" t="s">
        <v>312</v>
      </c>
      <c r="K55" s="1" t="s">
        <v>408</v>
      </c>
      <c r="L55" s="1">
        <v>3</v>
      </c>
      <c r="M55" s="1">
        <v>2</v>
      </c>
      <c r="N55" s="1">
        <v>4</v>
      </c>
      <c r="O55" s="1">
        <v>2</v>
      </c>
      <c r="P55" s="1">
        <v>1</v>
      </c>
      <c r="Q55" s="1">
        <v>3</v>
      </c>
      <c r="R55" s="1"/>
      <c r="S55" s="1">
        <v>2</v>
      </c>
      <c r="T55" s="1">
        <v>1</v>
      </c>
      <c r="U55" s="1">
        <v>3</v>
      </c>
      <c r="V55" s="1">
        <v>3</v>
      </c>
      <c r="W55" s="1"/>
      <c r="X55" s="1"/>
      <c r="Y55" s="1">
        <v>4</v>
      </c>
      <c r="Z55" s="1">
        <v>3</v>
      </c>
      <c r="AA55" s="1"/>
      <c r="AB55" s="1"/>
      <c r="AC55" s="1"/>
      <c r="AD55" s="1"/>
      <c r="AE55" s="1">
        <v>3</v>
      </c>
      <c r="AF55" s="1"/>
      <c r="AG55" s="1"/>
      <c r="AH55" s="1">
        <v>0</v>
      </c>
      <c r="AI55" s="1">
        <v>0</v>
      </c>
      <c r="AJ55" s="1" t="s">
        <v>21</v>
      </c>
      <c r="AK55" s="1" t="s">
        <v>21</v>
      </c>
      <c r="AL55" s="17" t="s">
        <v>531</v>
      </c>
      <c r="AM55" s="18" t="s">
        <v>410</v>
      </c>
      <c r="AN55" s="41" t="s">
        <v>495</v>
      </c>
    </row>
    <row r="56" spans="2:40" customFormat="1" ht="15" customHeight="1" x14ac:dyDescent="0.25">
      <c r="B56" s="49">
        <f t="shared" si="0"/>
        <v>46</v>
      </c>
      <c r="C56" s="49">
        <v>0</v>
      </c>
      <c r="D56" s="49" t="s">
        <v>187</v>
      </c>
      <c r="E56" s="49" t="s">
        <v>347</v>
      </c>
      <c r="F56" s="49" t="s">
        <v>45</v>
      </c>
      <c r="G56" s="49" t="s">
        <v>140</v>
      </c>
      <c r="H56" s="49" t="s">
        <v>444</v>
      </c>
      <c r="I56" s="49" t="s">
        <v>85</v>
      </c>
      <c r="J56" s="49" t="s">
        <v>312</v>
      </c>
      <c r="K56" s="49" t="s">
        <v>408</v>
      </c>
      <c r="L56" s="1">
        <v>3</v>
      </c>
      <c r="M56" s="1">
        <v>2</v>
      </c>
      <c r="N56" s="1">
        <v>4</v>
      </c>
      <c r="O56" s="1">
        <v>2</v>
      </c>
      <c r="P56" s="1">
        <v>1</v>
      </c>
      <c r="Q56" s="1">
        <v>3</v>
      </c>
      <c r="R56" s="1"/>
      <c r="S56" s="1">
        <v>2</v>
      </c>
      <c r="T56" s="1">
        <v>1</v>
      </c>
      <c r="U56" s="1">
        <v>3</v>
      </c>
      <c r="V56" s="1">
        <v>3</v>
      </c>
      <c r="W56" s="1"/>
      <c r="X56" s="1"/>
      <c r="Y56" s="1">
        <v>4</v>
      </c>
      <c r="Z56" s="1">
        <v>3</v>
      </c>
      <c r="AA56" s="1"/>
      <c r="AB56" s="1"/>
      <c r="AC56" s="1"/>
      <c r="AD56" s="1"/>
      <c r="AE56" s="1">
        <v>3</v>
      </c>
      <c r="AF56" s="1"/>
      <c r="AG56" s="1"/>
      <c r="AH56" s="1">
        <v>0</v>
      </c>
      <c r="AI56" s="1"/>
      <c r="AJ56" s="1" t="s">
        <v>21</v>
      </c>
      <c r="AK56" s="1" t="s">
        <v>21</v>
      </c>
      <c r="AL56" s="17" t="s">
        <v>411</v>
      </c>
      <c r="AM56" s="18" t="s">
        <v>410</v>
      </c>
      <c r="AN56" s="10" t="s">
        <v>413</v>
      </c>
    </row>
    <row r="57" spans="2:40" customFormat="1" ht="15" customHeight="1" x14ac:dyDescent="0.25">
      <c r="B57" s="1">
        <f t="shared" si="0"/>
        <v>47</v>
      </c>
      <c r="C57" s="32">
        <v>0</v>
      </c>
      <c r="D57" s="32" t="s">
        <v>402</v>
      </c>
      <c r="E57" s="32" t="s">
        <v>403</v>
      </c>
      <c r="F57" s="32" t="s">
        <v>404</v>
      </c>
      <c r="G57" s="32" t="s">
        <v>303</v>
      </c>
      <c r="H57" s="32" t="s">
        <v>313</v>
      </c>
      <c r="I57" s="32" t="s">
        <v>85</v>
      </c>
      <c r="J57" s="32" t="s">
        <v>312</v>
      </c>
      <c r="K57" s="32" t="s">
        <v>408</v>
      </c>
      <c r="L57" s="32">
        <v>3</v>
      </c>
      <c r="M57" s="32">
        <v>2</v>
      </c>
      <c r="N57" s="32">
        <v>4</v>
      </c>
      <c r="O57" s="32">
        <v>2</v>
      </c>
      <c r="P57" s="32">
        <v>1</v>
      </c>
      <c r="Q57" s="32">
        <v>3</v>
      </c>
      <c r="R57" s="32"/>
      <c r="S57" s="32">
        <v>2</v>
      </c>
      <c r="T57" s="32">
        <v>1</v>
      </c>
      <c r="U57" s="32">
        <v>3</v>
      </c>
      <c r="V57" s="32">
        <v>3</v>
      </c>
      <c r="W57" s="32"/>
      <c r="X57" s="32"/>
      <c r="Y57" s="32">
        <v>4</v>
      </c>
      <c r="Z57" s="32">
        <v>3</v>
      </c>
      <c r="AA57" s="32"/>
      <c r="AB57" s="32"/>
      <c r="AC57" s="32"/>
      <c r="AD57" s="32"/>
      <c r="AE57" s="32">
        <v>0</v>
      </c>
      <c r="AF57" s="32"/>
      <c r="AG57" s="1"/>
      <c r="AH57" s="1">
        <v>0</v>
      </c>
      <c r="AI57" s="1"/>
      <c r="AJ57" s="32" t="s">
        <v>21</v>
      </c>
      <c r="AK57" s="32" t="s">
        <v>21</v>
      </c>
      <c r="AL57" s="33">
        <v>44133</v>
      </c>
      <c r="AM57" s="32" t="s">
        <v>330</v>
      </c>
      <c r="AN57" s="34" t="s">
        <v>529</v>
      </c>
    </row>
    <row r="58" spans="2:40" customFormat="1" ht="15" customHeight="1" x14ac:dyDescent="0.25">
      <c r="B58" s="1">
        <f t="shared" si="0"/>
        <v>48</v>
      </c>
      <c r="C58" s="1">
        <v>1</v>
      </c>
      <c r="D58" s="1" t="s">
        <v>187</v>
      </c>
      <c r="E58" s="1" t="s">
        <v>347</v>
      </c>
      <c r="F58" s="1" t="s">
        <v>504</v>
      </c>
      <c r="G58" s="1"/>
      <c r="H58" s="1" t="s">
        <v>139</v>
      </c>
      <c r="I58" s="1" t="s">
        <v>87</v>
      </c>
      <c r="J58" s="1" t="s">
        <v>312</v>
      </c>
      <c r="K58" s="1" t="s">
        <v>408</v>
      </c>
      <c r="L58" s="1">
        <v>2</v>
      </c>
      <c r="M58" s="1">
        <v>1</v>
      </c>
      <c r="N58" s="1">
        <v>4</v>
      </c>
      <c r="O58" s="1">
        <v>2</v>
      </c>
      <c r="P58" s="1">
        <v>1</v>
      </c>
      <c r="Q58" s="1">
        <v>3</v>
      </c>
      <c r="R58" s="1"/>
      <c r="S58" s="1">
        <v>1</v>
      </c>
      <c r="T58" s="1">
        <v>1</v>
      </c>
      <c r="U58" s="1">
        <v>4</v>
      </c>
      <c r="V58" s="1">
        <v>2</v>
      </c>
      <c r="W58" s="1"/>
      <c r="X58" s="1"/>
      <c r="Y58" s="1">
        <v>4</v>
      </c>
      <c r="Z58" s="1">
        <v>3</v>
      </c>
      <c r="AA58" s="1"/>
      <c r="AB58" s="1"/>
      <c r="AC58" s="1"/>
      <c r="AD58" s="1"/>
      <c r="AE58" s="1">
        <v>3</v>
      </c>
      <c r="AF58" s="1"/>
      <c r="AG58" s="1"/>
      <c r="AH58" s="1">
        <v>0</v>
      </c>
      <c r="AI58" s="1">
        <v>0</v>
      </c>
      <c r="AJ58" s="1" t="s">
        <v>21</v>
      </c>
      <c r="AK58" s="1" t="s">
        <v>21</v>
      </c>
      <c r="AL58" s="17" t="s">
        <v>505</v>
      </c>
      <c r="AM58" s="18" t="s">
        <v>410</v>
      </c>
      <c r="AN58" s="41" t="s">
        <v>503</v>
      </c>
    </row>
    <row r="59" spans="2:40" customFormat="1" ht="15" customHeight="1" x14ac:dyDescent="0.25">
      <c r="B59" s="1">
        <f t="shared" si="0"/>
        <v>49</v>
      </c>
      <c r="C59" s="1">
        <v>0</v>
      </c>
      <c r="D59" s="1" t="s">
        <v>185</v>
      </c>
      <c r="E59" s="1" t="s">
        <v>196</v>
      </c>
      <c r="F59" s="1" t="s">
        <v>43</v>
      </c>
      <c r="G59" s="1"/>
      <c r="H59" s="1" t="s">
        <v>198</v>
      </c>
      <c r="I59" s="1" t="s">
        <v>86</v>
      </c>
      <c r="J59" s="1" t="s">
        <v>11</v>
      </c>
      <c r="K59" s="1" t="s">
        <v>62</v>
      </c>
      <c r="L59" s="1">
        <v>4</v>
      </c>
      <c r="M59" s="1">
        <v>4</v>
      </c>
      <c r="N59" s="1">
        <v>0</v>
      </c>
      <c r="O59" s="1">
        <v>0</v>
      </c>
      <c r="P59" s="1">
        <v>0</v>
      </c>
      <c r="Q59" s="1">
        <v>0</v>
      </c>
      <c r="R59" s="1"/>
      <c r="S59" s="1">
        <v>0</v>
      </c>
      <c r="T59" s="1">
        <v>4</v>
      </c>
      <c r="U59" s="1">
        <v>0</v>
      </c>
      <c r="V59" s="1">
        <v>0</v>
      </c>
      <c r="W59" s="1">
        <v>0</v>
      </c>
      <c r="X59" s="1">
        <v>0</v>
      </c>
      <c r="Y59" s="1"/>
      <c r="Z59" s="1"/>
      <c r="AA59" s="1">
        <v>0</v>
      </c>
      <c r="AB59" s="1"/>
      <c r="AC59" s="1"/>
      <c r="AD59" s="1"/>
      <c r="AE59" s="1"/>
      <c r="AF59" s="1"/>
      <c r="AG59" s="1">
        <v>0</v>
      </c>
      <c r="AH59" s="1">
        <v>0</v>
      </c>
      <c r="AI59" s="1"/>
      <c r="AJ59" s="1" t="s">
        <v>32</v>
      </c>
      <c r="AK59" s="1"/>
      <c r="AL59" s="17"/>
      <c r="AM59" s="18"/>
      <c r="AN59" s="10"/>
    </row>
    <row r="60" spans="2:40" customFormat="1" ht="15" customHeight="1" x14ac:dyDescent="0.25">
      <c r="B60" s="1">
        <f t="shared" si="0"/>
        <v>50</v>
      </c>
      <c r="C60" s="1">
        <v>0</v>
      </c>
      <c r="D60" s="1" t="s">
        <v>185</v>
      </c>
      <c r="E60" s="1" t="s">
        <v>196</v>
      </c>
      <c r="F60" s="1" t="s">
        <v>43</v>
      </c>
      <c r="G60" s="1"/>
      <c r="H60" s="1" t="s">
        <v>35</v>
      </c>
      <c r="I60" s="1" t="s">
        <v>85</v>
      </c>
      <c r="J60" s="1" t="s">
        <v>11</v>
      </c>
      <c r="K60" s="1" t="s">
        <v>62</v>
      </c>
      <c r="L60" s="1">
        <v>4</v>
      </c>
      <c r="M60" s="1">
        <v>4</v>
      </c>
      <c r="N60" s="1">
        <v>0</v>
      </c>
      <c r="O60" s="1">
        <v>0</v>
      </c>
      <c r="P60" s="1">
        <v>0</v>
      </c>
      <c r="Q60" s="1">
        <v>0</v>
      </c>
      <c r="R60" s="1"/>
      <c r="S60" s="1">
        <v>0</v>
      </c>
      <c r="T60" s="1">
        <v>1</v>
      </c>
      <c r="U60" s="1">
        <v>0</v>
      </c>
      <c r="V60" s="1">
        <v>0</v>
      </c>
      <c r="W60" s="1">
        <v>0</v>
      </c>
      <c r="X60" s="1">
        <v>0</v>
      </c>
      <c r="Y60" s="1"/>
      <c r="Z60" s="1"/>
      <c r="AA60" s="1">
        <v>0</v>
      </c>
      <c r="AB60" s="1"/>
      <c r="AC60" s="1"/>
      <c r="AD60" s="1"/>
      <c r="AE60" s="1"/>
      <c r="AF60" s="1"/>
      <c r="AG60" s="1">
        <v>0</v>
      </c>
      <c r="AH60" s="1">
        <v>1</v>
      </c>
      <c r="AI60" s="1"/>
      <c r="AJ60" s="1" t="s">
        <v>32</v>
      </c>
      <c r="AK60" s="1"/>
      <c r="AL60" s="17"/>
      <c r="AM60" s="18"/>
      <c r="AN60" s="10"/>
    </row>
    <row r="61" spans="2:40" customFormat="1" ht="15" customHeight="1" x14ac:dyDescent="0.25">
      <c r="B61" s="1">
        <f t="shared" si="0"/>
        <v>51</v>
      </c>
      <c r="C61" s="1">
        <v>0</v>
      </c>
      <c r="D61" s="1" t="s">
        <v>220</v>
      </c>
      <c r="E61" s="1" t="s">
        <v>196</v>
      </c>
      <c r="F61" s="1" t="s">
        <v>113</v>
      </c>
      <c r="G61" s="1"/>
      <c r="H61" s="1" t="s">
        <v>192</v>
      </c>
      <c r="I61" s="1" t="s">
        <v>85</v>
      </c>
      <c r="J61" s="1" t="s">
        <v>486</v>
      </c>
      <c r="K61" s="1" t="s">
        <v>62</v>
      </c>
      <c r="L61" s="1">
        <v>4</v>
      </c>
      <c r="M61" s="1">
        <v>4</v>
      </c>
      <c r="N61" s="1">
        <v>0</v>
      </c>
      <c r="O61" s="1">
        <v>0</v>
      </c>
      <c r="P61" s="1">
        <v>0</v>
      </c>
      <c r="Q61" s="1">
        <v>0</v>
      </c>
      <c r="R61" s="1"/>
      <c r="S61" s="1">
        <v>0</v>
      </c>
      <c r="T61" s="1">
        <v>4</v>
      </c>
      <c r="U61" s="1">
        <v>0</v>
      </c>
      <c r="V61" s="1">
        <v>0</v>
      </c>
      <c r="W61" s="1">
        <v>0</v>
      </c>
      <c r="X61" s="1">
        <v>0</v>
      </c>
      <c r="Y61" s="1"/>
      <c r="Z61" s="1"/>
      <c r="AA61" s="1">
        <v>0</v>
      </c>
      <c r="AB61" s="1"/>
      <c r="AC61" s="1"/>
      <c r="AD61" s="1"/>
      <c r="AE61" s="1"/>
      <c r="AF61" s="1"/>
      <c r="AG61" s="1">
        <v>0</v>
      </c>
      <c r="AH61" s="1">
        <v>4</v>
      </c>
      <c r="AI61" s="1">
        <v>3</v>
      </c>
      <c r="AJ61" s="1" t="s">
        <v>21</v>
      </c>
      <c r="AK61" s="1" t="s">
        <v>21</v>
      </c>
      <c r="AL61" s="17"/>
      <c r="AM61" s="18"/>
      <c r="AN61" s="10"/>
    </row>
    <row r="62" spans="2:40" customFormat="1" ht="15" customHeight="1" x14ac:dyDescent="0.25">
      <c r="B62" s="1">
        <f t="shared" si="0"/>
        <v>52</v>
      </c>
      <c r="C62" s="1">
        <v>0</v>
      </c>
      <c r="D62" s="1" t="s">
        <v>185</v>
      </c>
      <c r="E62" s="1" t="s">
        <v>196</v>
      </c>
      <c r="F62" s="1" t="s">
        <v>43</v>
      </c>
      <c r="G62" s="1"/>
      <c r="H62" s="1" t="s">
        <v>40</v>
      </c>
      <c r="I62" s="1" t="s">
        <v>85</v>
      </c>
      <c r="J62" s="1" t="s">
        <v>11</v>
      </c>
      <c r="K62" s="1" t="s">
        <v>62</v>
      </c>
      <c r="L62" s="1">
        <v>4</v>
      </c>
      <c r="M62" s="1">
        <v>4</v>
      </c>
      <c r="N62" s="1">
        <v>0</v>
      </c>
      <c r="O62" s="1">
        <v>0</v>
      </c>
      <c r="P62" s="1">
        <v>0</v>
      </c>
      <c r="Q62" s="1">
        <v>0</v>
      </c>
      <c r="R62" s="1"/>
      <c r="S62" s="1">
        <v>0</v>
      </c>
      <c r="T62" s="1">
        <v>1</v>
      </c>
      <c r="U62" s="1">
        <v>0</v>
      </c>
      <c r="V62" s="1">
        <v>0</v>
      </c>
      <c r="W62" s="1">
        <v>0</v>
      </c>
      <c r="X62" s="1">
        <v>0</v>
      </c>
      <c r="Y62" s="1"/>
      <c r="Z62" s="1"/>
      <c r="AA62" s="1">
        <v>0</v>
      </c>
      <c r="AB62" s="1"/>
      <c r="AC62" s="1"/>
      <c r="AD62" s="1"/>
      <c r="AE62" s="1"/>
      <c r="AF62" s="1"/>
      <c r="AG62" s="1">
        <v>0</v>
      </c>
      <c r="AH62" s="1">
        <v>2</v>
      </c>
      <c r="AI62" s="1"/>
      <c r="AJ62" s="1" t="s">
        <v>32</v>
      </c>
      <c r="AK62" s="1"/>
      <c r="AL62" s="17"/>
      <c r="AM62" s="18"/>
      <c r="AN62" s="10"/>
    </row>
    <row r="63" spans="2:40" customFormat="1" ht="15" customHeight="1" x14ac:dyDescent="0.25">
      <c r="B63" s="1">
        <f t="shared" si="0"/>
        <v>53</v>
      </c>
      <c r="C63" s="1">
        <v>1</v>
      </c>
      <c r="D63" s="1" t="s">
        <v>212</v>
      </c>
      <c r="E63" s="1" t="s">
        <v>91</v>
      </c>
      <c r="F63" s="1" t="s">
        <v>92</v>
      </c>
      <c r="G63" s="1" t="s">
        <v>92</v>
      </c>
      <c r="H63" s="1" t="s">
        <v>93</v>
      </c>
      <c r="I63" s="1" t="s">
        <v>85</v>
      </c>
      <c r="J63" s="1" t="s">
        <v>170</v>
      </c>
      <c r="K63" s="1" t="s">
        <v>452</v>
      </c>
      <c r="L63" s="1">
        <v>0</v>
      </c>
      <c r="M63" s="1">
        <v>0</v>
      </c>
      <c r="N63" s="1">
        <v>0</v>
      </c>
      <c r="O63" s="1">
        <v>0</v>
      </c>
      <c r="P63" s="1">
        <v>0</v>
      </c>
      <c r="Q63" s="1">
        <v>0</v>
      </c>
      <c r="R63" s="1"/>
      <c r="S63" s="1">
        <v>4</v>
      </c>
      <c r="T63" s="1">
        <v>0</v>
      </c>
      <c r="U63" s="1">
        <v>0</v>
      </c>
      <c r="V63" s="1">
        <v>2</v>
      </c>
      <c r="W63" s="1">
        <v>4</v>
      </c>
      <c r="X63" s="1">
        <v>0</v>
      </c>
      <c r="Y63" s="1"/>
      <c r="Z63" s="1"/>
      <c r="AA63" s="1">
        <v>0</v>
      </c>
      <c r="AB63" s="1"/>
      <c r="AC63" s="1"/>
      <c r="AD63" s="1"/>
      <c r="AE63" s="1"/>
      <c r="AF63" s="1">
        <v>4</v>
      </c>
      <c r="AG63" s="1">
        <v>3</v>
      </c>
      <c r="AH63" s="1">
        <v>0</v>
      </c>
      <c r="AI63" s="1">
        <v>0</v>
      </c>
      <c r="AJ63" s="1" t="s">
        <v>21</v>
      </c>
      <c r="AK63" s="1" t="s">
        <v>21</v>
      </c>
      <c r="AL63" s="17">
        <v>43369</v>
      </c>
      <c r="AM63" s="18" t="s">
        <v>12</v>
      </c>
      <c r="AN63" s="10"/>
    </row>
    <row r="64" spans="2:40" customFormat="1" ht="15" customHeight="1" x14ac:dyDescent="0.25">
      <c r="B64" s="1">
        <f t="shared" si="0"/>
        <v>54</v>
      </c>
      <c r="C64" s="1">
        <v>0</v>
      </c>
      <c r="D64" s="1" t="s">
        <v>186</v>
      </c>
      <c r="E64" s="1" t="s">
        <v>186</v>
      </c>
      <c r="F64" s="1" t="s">
        <v>29</v>
      </c>
      <c r="G64" s="1"/>
      <c r="H64" s="1" t="s">
        <v>123</v>
      </c>
      <c r="I64" s="1" t="s">
        <v>85</v>
      </c>
      <c r="J64" s="1" t="s">
        <v>13</v>
      </c>
      <c r="K64" s="1" t="s">
        <v>62</v>
      </c>
      <c r="L64" s="1">
        <v>1</v>
      </c>
      <c r="M64" s="1">
        <v>3</v>
      </c>
      <c r="N64" s="1">
        <v>1</v>
      </c>
      <c r="O64" s="1">
        <v>4</v>
      </c>
      <c r="P64" s="1">
        <v>1</v>
      </c>
      <c r="Q64" s="1">
        <v>0</v>
      </c>
      <c r="R64" s="1"/>
      <c r="S64" s="1">
        <v>0</v>
      </c>
      <c r="T64" s="1">
        <v>4</v>
      </c>
      <c r="U64" s="1">
        <v>0</v>
      </c>
      <c r="V64" s="1">
        <v>0</v>
      </c>
      <c r="W64" s="1">
        <v>0</v>
      </c>
      <c r="X64" s="1">
        <v>0</v>
      </c>
      <c r="Y64" s="1"/>
      <c r="Z64" s="1"/>
      <c r="AA64" s="1">
        <v>0</v>
      </c>
      <c r="AB64" s="1"/>
      <c r="AC64" s="1"/>
      <c r="AD64" s="1"/>
      <c r="AE64" s="1"/>
      <c r="AF64" s="1"/>
      <c r="AG64" s="1">
        <v>0</v>
      </c>
      <c r="AH64" s="1">
        <v>1</v>
      </c>
      <c r="AI64" s="1"/>
      <c r="AJ64" s="1" t="s">
        <v>21</v>
      </c>
      <c r="AK64" s="1"/>
      <c r="AL64" s="17">
        <v>43467</v>
      </c>
      <c r="AM64" s="18" t="s">
        <v>62</v>
      </c>
      <c r="AN64" s="10" t="s">
        <v>163</v>
      </c>
    </row>
    <row r="65" spans="2:40" customFormat="1" ht="15" customHeight="1" x14ac:dyDescent="0.25">
      <c r="B65" s="1">
        <f t="shared" si="0"/>
        <v>55</v>
      </c>
      <c r="C65" s="1">
        <v>0</v>
      </c>
      <c r="D65" s="1" t="s">
        <v>186</v>
      </c>
      <c r="E65" s="1" t="s">
        <v>186</v>
      </c>
      <c r="F65" s="1" t="s">
        <v>29</v>
      </c>
      <c r="G65" s="1"/>
      <c r="H65" s="1" t="s">
        <v>126</v>
      </c>
      <c r="I65" s="1" t="s">
        <v>85</v>
      </c>
      <c r="J65" s="1" t="s">
        <v>13</v>
      </c>
      <c r="K65" s="1" t="s">
        <v>62</v>
      </c>
      <c r="L65" s="1">
        <v>1</v>
      </c>
      <c r="M65" s="1">
        <v>3</v>
      </c>
      <c r="N65" s="1">
        <v>1</v>
      </c>
      <c r="O65" s="1">
        <v>4</v>
      </c>
      <c r="P65" s="1">
        <v>1</v>
      </c>
      <c r="Q65" s="1">
        <v>0</v>
      </c>
      <c r="R65" s="1"/>
      <c r="S65" s="1">
        <v>0</v>
      </c>
      <c r="T65" s="1">
        <v>4</v>
      </c>
      <c r="U65" s="1">
        <v>0</v>
      </c>
      <c r="V65" s="1">
        <v>0</v>
      </c>
      <c r="W65" s="1">
        <v>0</v>
      </c>
      <c r="X65" s="1">
        <v>0</v>
      </c>
      <c r="Y65" s="1"/>
      <c r="Z65" s="1"/>
      <c r="AA65" s="1">
        <v>0</v>
      </c>
      <c r="AB65" s="1"/>
      <c r="AC65" s="1"/>
      <c r="AD65" s="1"/>
      <c r="AE65" s="1"/>
      <c r="AF65" s="1"/>
      <c r="AG65" s="1">
        <v>0</v>
      </c>
      <c r="AH65" s="1">
        <v>1</v>
      </c>
      <c r="AI65" s="1"/>
      <c r="AJ65" s="1" t="s">
        <v>21</v>
      </c>
      <c r="AK65" s="1"/>
      <c r="AL65" s="17">
        <v>43467</v>
      </c>
      <c r="AM65" s="18" t="s">
        <v>62</v>
      </c>
      <c r="AN65" s="10" t="s">
        <v>163</v>
      </c>
    </row>
    <row r="66" spans="2:40" customFormat="1" ht="15" customHeight="1" x14ac:dyDescent="0.25">
      <c r="B66" s="1">
        <f t="shared" si="0"/>
        <v>56</v>
      </c>
      <c r="C66" s="1">
        <v>0</v>
      </c>
      <c r="D66" s="1" t="s">
        <v>186</v>
      </c>
      <c r="E66" s="1" t="s">
        <v>186</v>
      </c>
      <c r="F66" s="1" t="s">
        <v>29</v>
      </c>
      <c r="G66" s="1"/>
      <c r="H66" s="1" t="s">
        <v>125</v>
      </c>
      <c r="I66" s="1" t="s">
        <v>85</v>
      </c>
      <c r="J66" s="1" t="s">
        <v>13</v>
      </c>
      <c r="K66" s="1" t="s">
        <v>62</v>
      </c>
      <c r="L66" s="1">
        <v>1</v>
      </c>
      <c r="M66" s="1">
        <v>3</v>
      </c>
      <c r="N66" s="1">
        <v>1</v>
      </c>
      <c r="O66" s="1">
        <v>4</v>
      </c>
      <c r="P66" s="1">
        <v>1</v>
      </c>
      <c r="Q66" s="1">
        <v>0</v>
      </c>
      <c r="R66" s="1"/>
      <c r="S66" s="1">
        <v>0</v>
      </c>
      <c r="T66" s="1">
        <v>4</v>
      </c>
      <c r="U66" s="1">
        <v>0</v>
      </c>
      <c r="V66" s="1">
        <v>0</v>
      </c>
      <c r="W66" s="1">
        <v>0</v>
      </c>
      <c r="X66" s="1">
        <v>0</v>
      </c>
      <c r="Y66" s="1"/>
      <c r="Z66" s="1"/>
      <c r="AA66" s="1">
        <v>0</v>
      </c>
      <c r="AB66" s="1"/>
      <c r="AC66" s="1"/>
      <c r="AD66" s="1"/>
      <c r="AE66" s="1"/>
      <c r="AF66" s="1"/>
      <c r="AG66" s="1">
        <v>0</v>
      </c>
      <c r="AH66" s="1">
        <v>1</v>
      </c>
      <c r="AI66" s="1"/>
      <c r="AJ66" s="1" t="s">
        <v>21</v>
      </c>
      <c r="AK66" s="1"/>
      <c r="AL66" s="17">
        <v>43467</v>
      </c>
      <c r="AM66" s="18" t="s">
        <v>62</v>
      </c>
      <c r="AN66" s="10" t="s">
        <v>163</v>
      </c>
    </row>
    <row r="67" spans="2:40" customFormat="1" ht="15" customHeight="1" x14ac:dyDescent="0.25">
      <c r="B67" s="1">
        <f t="shared" si="0"/>
        <v>57</v>
      </c>
      <c r="C67" s="1">
        <v>0</v>
      </c>
      <c r="D67" s="1" t="s">
        <v>186</v>
      </c>
      <c r="E67" s="1" t="s">
        <v>186</v>
      </c>
      <c r="F67" s="1" t="s">
        <v>29</v>
      </c>
      <c r="G67" s="1"/>
      <c r="H67" s="1" t="s">
        <v>153</v>
      </c>
      <c r="I67" s="1" t="s">
        <v>87</v>
      </c>
      <c r="J67" s="1" t="s">
        <v>13</v>
      </c>
      <c r="K67" s="1" t="s">
        <v>62</v>
      </c>
      <c r="L67" s="1">
        <v>1</v>
      </c>
      <c r="M67" s="1">
        <v>1</v>
      </c>
      <c r="N67" s="1">
        <v>1</v>
      </c>
      <c r="O67" s="1">
        <v>4</v>
      </c>
      <c r="P67" s="1">
        <v>1</v>
      </c>
      <c r="Q67" s="1">
        <v>0</v>
      </c>
      <c r="R67" s="1"/>
      <c r="S67" s="1">
        <v>0</v>
      </c>
      <c r="T67" s="1">
        <v>3</v>
      </c>
      <c r="U67" s="1">
        <v>0</v>
      </c>
      <c r="V67" s="1">
        <v>0</v>
      </c>
      <c r="W67" s="1">
        <v>0</v>
      </c>
      <c r="X67" s="1">
        <v>0</v>
      </c>
      <c r="Y67" s="1"/>
      <c r="Z67" s="1"/>
      <c r="AA67" s="1">
        <v>0</v>
      </c>
      <c r="AB67" s="1"/>
      <c r="AC67" s="1"/>
      <c r="AD67" s="1"/>
      <c r="AE67" s="1"/>
      <c r="AF67" s="1"/>
      <c r="AG67" s="1">
        <v>0</v>
      </c>
      <c r="AH67" s="1">
        <v>1</v>
      </c>
      <c r="AI67" s="1"/>
      <c r="AJ67" s="1" t="s">
        <v>21</v>
      </c>
      <c r="AK67" s="1"/>
      <c r="AL67" s="17"/>
      <c r="AM67" s="18"/>
      <c r="AN67" s="10" t="s">
        <v>163</v>
      </c>
    </row>
    <row r="68" spans="2:40" customFormat="1" ht="15" customHeight="1" x14ac:dyDescent="0.25">
      <c r="B68" s="1">
        <f t="shared" si="0"/>
        <v>58</v>
      </c>
      <c r="C68" s="1">
        <v>1</v>
      </c>
      <c r="D68" s="1" t="s">
        <v>212</v>
      </c>
      <c r="E68" s="1" t="s">
        <v>91</v>
      </c>
      <c r="F68" s="1" t="s">
        <v>98</v>
      </c>
      <c r="G68" s="1" t="s">
        <v>98</v>
      </c>
      <c r="H68" s="1" t="s">
        <v>100</v>
      </c>
      <c r="I68" s="1" t="s">
        <v>85</v>
      </c>
      <c r="J68" s="1" t="s">
        <v>170</v>
      </c>
      <c r="K68" s="1" t="s">
        <v>452</v>
      </c>
      <c r="L68" s="1">
        <v>0</v>
      </c>
      <c r="M68" s="1">
        <v>0</v>
      </c>
      <c r="N68" s="1">
        <v>0</v>
      </c>
      <c r="O68" s="1">
        <v>0</v>
      </c>
      <c r="P68" s="1">
        <v>0</v>
      </c>
      <c r="Q68" s="1">
        <v>0</v>
      </c>
      <c r="R68" s="1"/>
      <c r="S68" s="1">
        <v>4</v>
      </c>
      <c r="T68" s="1">
        <v>0</v>
      </c>
      <c r="U68" s="1">
        <v>0</v>
      </c>
      <c r="V68" s="1">
        <v>2</v>
      </c>
      <c r="W68" s="1">
        <v>4</v>
      </c>
      <c r="X68" s="1">
        <v>0</v>
      </c>
      <c r="Y68" s="1"/>
      <c r="Z68" s="1"/>
      <c r="AA68" s="1">
        <v>0</v>
      </c>
      <c r="AB68" s="1"/>
      <c r="AC68" s="1"/>
      <c r="AD68" s="1"/>
      <c r="AE68" s="1"/>
      <c r="AF68" s="1">
        <v>4</v>
      </c>
      <c r="AG68" s="1">
        <v>3</v>
      </c>
      <c r="AH68" s="1">
        <v>0</v>
      </c>
      <c r="AI68" s="1">
        <v>0</v>
      </c>
      <c r="AJ68" s="1" t="s">
        <v>21</v>
      </c>
      <c r="AK68" s="1" t="s">
        <v>21</v>
      </c>
      <c r="AL68" s="17">
        <v>43369</v>
      </c>
      <c r="AM68" s="18" t="s">
        <v>12</v>
      </c>
      <c r="AN68" s="10"/>
    </row>
    <row r="69" spans="2:40" customFormat="1" ht="15" customHeight="1" x14ac:dyDescent="0.25">
      <c r="B69" s="1">
        <f t="shared" si="0"/>
        <v>59</v>
      </c>
      <c r="C69" s="1">
        <v>1</v>
      </c>
      <c r="D69" s="1" t="s">
        <v>212</v>
      </c>
      <c r="E69" s="1" t="s">
        <v>91</v>
      </c>
      <c r="F69" s="1" t="s">
        <v>98</v>
      </c>
      <c r="G69" s="1" t="s">
        <v>98</v>
      </c>
      <c r="H69" s="1" t="s">
        <v>99</v>
      </c>
      <c r="I69" s="1" t="s">
        <v>85</v>
      </c>
      <c r="J69" s="1" t="s">
        <v>170</v>
      </c>
      <c r="K69" s="1" t="s">
        <v>452</v>
      </c>
      <c r="L69" s="1">
        <v>0</v>
      </c>
      <c r="M69" s="1">
        <v>0</v>
      </c>
      <c r="N69" s="1">
        <v>0</v>
      </c>
      <c r="O69" s="1">
        <v>0</v>
      </c>
      <c r="P69" s="1">
        <v>0</v>
      </c>
      <c r="Q69" s="1">
        <v>0</v>
      </c>
      <c r="R69" s="1"/>
      <c r="S69" s="1">
        <v>4</v>
      </c>
      <c r="T69" s="1">
        <v>0</v>
      </c>
      <c r="U69" s="1">
        <v>0</v>
      </c>
      <c r="V69" s="1">
        <v>2</v>
      </c>
      <c r="W69" s="1">
        <v>4</v>
      </c>
      <c r="X69" s="1">
        <v>0</v>
      </c>
      <c r="Y69" s="1"/>
      <c r="Z69" s="1"/>
      <c r="AA69" s="1">
        <v>0</v>
      </c>
      <c r="AB69" s="1"/>
      <c r="AC69" s="1"/>
      <c r="AD69" s="1"/>
      <c r="AE69" s="1"/>
      <c r="AF69" s="1">
        <v>4</v>
      </c>
      <c r="AG69" s="1">
        <v>3</v>
      </c>
      <c r="AH69" s="1">
        <v>0</v>
      </c>
      <c r="AI69" s="1">
        <v>0</v>
      </c>
      <c r="AJ69" s="1" t="s">
        <v>21</v>
      </c>
      <c r="AK69" s="1" t="s">
        <v>21</v>
      </c>
      <c r="AL69" s="17">
        <v>43369</v>
      </c>
      <c r="AM69" s="18" t="s">
        <v>12</v>
      </c>
      <c r="AN69" s="10"/>
    </row>
    <row r="70" spans="2:40" customFormat="1" ht="15" customHeight="1" x14ac:dyDescent="0.25">
      <c r="B70" s="1">
        <f t="shared" si="0"/>
        <v>60</v>
      </c>
      <c r="C70" s="1">
        <v>1</v>
      </c>
      <c r="D70" s="1" t="s">
        <v>212</v>
      </c>
      <c r="E70" s="1" t="s">
        <v>91</v>
      </c>
      <c r="F70" s="1" t="s">
        <v>96</v>
      </c>
      <c r="G70" s="1" t="s">
        <v>96</v>
      </c>
      <c r="H70" s="1" t="s">
        <v>97</v>
      </c>
      <c r="I70" s="1" t="s">
        <v>85</v>
      </c>
      <c r="J70" s="1" t="s">
        <v>170</v>
      </c>
      <c r="K70" s="1" t="s">
        <v>452</v>
      </c>
      <c r="L70" s="1">
        <v>0</v>
      </c>
      <c r="M70" s="1">
        <v>0</v>
      </c>
      <c r="N70" s="1">
        <v>0</v>
      </c>
      <c r="O70" s="1">
        <v>0</v>
      </c>
      <c r="P70" s="1">
        <v>0</v>
      </c>
      <c r="Q70" s="1">
        <v>0</v>
      </c>
      <c r="R70" s="1"/>
      <c r="S70" s="1">
        <v>4</v>
      </c>
      <c r="T70" s="1">
        <v>0</v>
      </c>
      <c r="U70" s="1">
        <v>0</v>
      </c>
      <c r="V70" s="1">
        <v>2</v>
      </c>
      <c r="W70" s="1">
        <v>4</v>
      </c>
      <c r="X70" s="1">
        <v>0</v>
      </c>
      <c r="Y70" s="1"/>
      <c r="Z70" s="1"/>
      <c r="AA70" s="1">
        <v>0</v>
      </c>
      <c r="AB70" s="1"/>
      <c r="AC70" s="1"/>
      <c r="AD70" s="1"/>
      <c r="AE70" s="1"/>
      <c r="AF70" s="1">
        <v>4</v>
      </c>
      <c r="AG70" s="1">
        <v>1</v>
      </c>
      <c r="AH70" s="1">
        <v>0</v>
      </c>
      <c r="AI70" s="1">
        <v>0</v>
      </c>
      <c r="AJ70" s="1" t="s">
        <v>21</v>
      </c>
      <c r="AK70" s="1" t="s">
        <v>21</v>
      </c>
      <c r="AL70" s="17">
        <v>43369</v>
      </c>
      <c r="AM70" s="18" t="s">
        <v>12</v>
      </c>
      <c r="AN70" s="10"/>
    </row>
    <row r="71" spans="2:40" customFormat="1" ht="15" customHeight="1" x14ac:dyDescent="0.25">
      <c r="B71" s="1">
        <f t="shared" si="0"/>
        <v>61</v>
      </c>
      <c r="C71" s="1">
        <v>1</v>
      </c>
      <c r="D71" s="1" t="s">
        <v>212</v>
      </c>
      <c r="E71" s="1" t="s">
        <v>101</v>
      </c>
      <c r="F71" s="1" t="s">
        <v>105</v>
      </c>
      <c r="G71" s="1" t="s">
        <v>102</v>
      </c>
      <c r="H71" s="1" t="s">
        <v>103</v>
      </c>
      <c r="I71" s="1" t="s">
        <v>85</v>
      </c>
      <c r="J71" s="1" t="s">
        <v>170</v>
      </c>
      <c r="K71" s="1" t="s">
        <v>452</v>
      </c>
      <c r="L71" s="1">
        <v>0</v>
      </c>
      <c r="M71" s="1">
        <v>0</v>
      </c>
      <c r="N71" s="1">
        <v>0</v>
      </c>
      <c r="O71" s="1">
        <v>0</v>
      </c>
      <c r="P71" s="1">
        <v>0</v>
      </c>
      <c r="Q71" s="1">
        <v>0</v>
      </c>
      <c r="R71" s="1">
        <v>0</v>
      </c>
      <c r="S71" s="1">
        <v>4</v>
      </c>
      <c r="T71" s="1">
        <v>0</v>
      </c>
      <c r="U71" s="1">
        <v>0</v>
      </c>
      <c r="V71" s="1">
        <v>2</v>
      </c>
      <c r="W71" s="1">
        <v>4</v>
      </c>
      <c r="X71" s="1">
        <v>0</v>
      </c>
      <c r="Y71" s="1">
        <v>0</v>
      </c>
      <c r="Z71" s="1">
        <v>0</v>
      </c>
      <c r="AA71" s="1">
        <v>0</v>
      </c>
      <c r="AB71" s="1"/>
      <c r="AC71" s="1"/>
      <c r="AD71" s="1"/>
      <c r="AE71" s="1"/>
      <c r="AF71" s="1">
        <v>4</v>
      </c>
      <c r="AG71" s="1">
        <v>3</v>
      </c>
      <c r="AH71" s="1">
        <v>0</v>
      </c>
      <c r="AI71" s="1">
        <v>0</v>
      </c>
      <c r="AJ71" s="1" t="s">
        <v>21</v>
      </c>
      <c r="AK71" s="1" t="s">
        <v>21</v>
      </c>
      <c r="AL71" s="17"/>
      <c r="AM71" s="18"/>
      <c r="AN71" s="10"/>
    </row>
    <row r="72" spans="2:40" customFormat="1" ht="15" customHeight="1" x14ac:dyDescent="0.25">
      <c r="B72" s="1">
        <f t="shared" si="0"/>
        <v>62</v>
      </c>
      <c r="C72" s="1">
        <v>1</v>
      </c>
      <c r="D72" s="1" t="s">
        <v>212</v>
      </c>
      <c r="E72" s="1" t="s">
        <v>101</v>
      </c>
      <c r="F72" s="1" t="s">
        <v>105</v>
      </c>
      <c r="G72" s="1" t="s">
        <v>104</v>
      </c>
      <c r="H72" s="1" t="s">
        <v>106</v>
      </c>
      <c r="I72" s="1" t="s">
        <v>85</v>
      </c>
      <c r="J72" s="1" t="s">
        <v>170</v>
      </c>
      <c r="K72" s="1" t="s">
        <v>452</v>
      </c>
      <c r="L72" s="1">
        <v>0</v>
      </c>
      <c r="M72" s="1">
        <v>0</v>
      </c>
      <c r="N72" s="1">
        <v>0</v>
      </c>
      <c r="O72" s="1">
        <v>0</v>
      </c>
      <c r="P72" s="1">
        <v>0</v>
      </c>
      <c r="Q72" s="1">
        <v>0</v>
      </c>
      <c r="R72" s="1">
        <v>0</v>
      </c>
      <c r="S72" s="1">
        <v>4</v>
      </c>
      <c r="T72" s="1">
        <v>0</v>
      </c>
      <c r="U72" s="1">
        <v>0</v>
      </c>
      <c r="V72" s="1">
        <v>2</v>
      </c>
      <c r="W72" s="1">
        <v>4</v>
      </c>
      <c r="X72" s="1">
        <v>0</v>
      </c>
      <c r="Y72" s="1">
        <v>0</v>
      </c>
      <c r="Z72" s="1">
        <v>0</v>
      </c>
      <c r="AA72" s="1">
        <v>0</v>
      </c>
      <c r="AB72" s="1"/>
      <c r="AC72" s="1"/>
      <c r="AD72" s="1"/>
      <c r="AE72" s="1"/>
      <c r="AF72" s="1">
        <v>4</v>
      </c>
      <c r="AG72" s="1">
        <v>3</v>
      </c>
      <c r="AH72" s="1">
        <v>0</v>
      </c>
      <c r="AI72" s="1">
        <v>0</v>
      </c>
      <c r="AJ72" s="1" t="s">
        <v>21</v>
      </c>
      <c r="AK72" s="1" t="s">
        <v>21</v>
      </c>
      <c r="AL72" s="17"/>
      <c r="AM72" s="18"/>
      <c r="AN72" s="10"/>
    </row>
    <row r="73" spans="2:40" customFormat="1" ht="15" customHeight="1" x14ac:dyDescent="0.25">
      <c r="B73" s="1">
        <f t="shared" si="0"/>
        <v>63</v>
      </c>
      <c r="C73" s="1">
        <v>1</v>
      </c>
      <c r="D73" s="1" t="s">
        <v>187</v>
      </c>
      <c r="E73" s="1" t="s">
        <v>347</v>
      </c>
      <c r="F73" s="1" t="s">
        <v>45</v>
      </c>
      <c r="G73" s="1" t="s">
        <v>295</v>
      </c>
      <c r="H73" s="1" t="s">
        <v>443</v>
      </c>
      <c r="I73" s="1" t="s">
        <v>85</v>
      </c>
      <c r="J73" s="1" t="s">
        <v>312</v>
      </c>
      <c r="K73" s="1" t="s">
        <v>408</v>
      </c>
      <c r="L73" s="1">
        <v>1</v>
      </c>
      <c r="M73" s="1">
        <v>1</v>
      </c>
      <c r="N73" s="1">
        <v>4</v>
      </c>
      <c r="O73" s="1">
        <v>0</v>
      </c>
      <c r="P73" s="1">
        <v>0</v>
      </c>
      <c r="Q73" s="1">
        <v>0</v>
      </c>
      <c r="R73" s="1"/>
      <c r="S73" s="1">
        <v>1</v>
      </c>
      <c r="T73" s="1">
        <v>0</v>
      </c>
      <c r="U73" s="1">
        <v>3</v>
      </c>
      <c r="V73" s="1">
        <v>3</v>
      </c>
      <c r="W73" s="1"/>
      <c r="X73" s="1"/>
      <c r="Y73" s="1">
        <v>4</v>
      </c>
      <c r="Z73" s="1">
        <v>3</v>
      </c>
      <c r="AA73" s="1"/>
      <c r="AB73" s="1"/>
      <c r="AC73" s="1"/>
      <c r="AD73" s="1"/>
      <c r="AE73" s="1">
        <v>3</v>
      </c>
      <c r="AF73" s="1"/>
      <c r="AG73" s="1"/>
      <c r="AH73" s="1">
        <v>0</v>
      </c>
      <c r="AI73" s="1">
        <v>0</v>
      </c>
      <c r="AJ73" s="1" t="s">
        <v>21</v>
      </c>
      <c r="AK73" s="1" t="s">
        <v>21</v>
      </c>
      <c r="AL73" s="17" t="s">
        <v>409</v>
      </c>
      <c r="AM73" s="18" t="s">
        <v>410</v>
      </c>
      <c r="AN73" s="10" t="s">
        <v>414</v>
      </c>
    </row>
    <row r="74" spans="2:40" customFormat="1" ht="15" customHeight="1" x14ac:dyDescent="0.25">
      <c r="B74" s="1">
        <f t="shared" si="0"/>
        <v>64</v>
      </c>
      <c r="C74" s="1">
        <v>1</v>
      </c>
      <c r="D74" s="1" t="s">
        <v>212</v>
      </c>
      <c r="E74" s="1" t="s">
        <v>91</v>
      </c>
      <c r="F74" s="1" t="s">
        <v>98</v>
      </c>
      <c r="G74" s="1" t="s">
        <v>98</v>
      </c>
      <c r="H74" s="1" t="s">
        <v>107</v>
      </c>
      <c r="I74" s="1" t="s">
        <v>87</v>
      </c>
      <c r="J74" s="1" t="s">
        <v>170</v>
      </c>
      <c r="K74" s="1" t="s">
        <v>452</v>
      </c>
      <c r="L74" s="1">
        <v>0</v>
      </c>
      <c r="M74" s="1">
        <v>0</v>
      </c>
      <c r="N74" s="1">
        <v>0</v>
      </c>
      <c r="O74" s="1">
        <v>0</v>
      </c>
      <c r="P74" s="1">
        <v>0</v>
      </c>
      <c r="Q74" s="1">
        <v>0</v>
      </c>
      <c r="R74" s="1"/>
      <c r="S74" s="1">
        <v>4</v>
      </c>
      <c r="T74" s="1">
        <v>0</v>
      </c>
      <c r="U74" s="1">
        <v>0</v>
      </c>
      <c r="V74" s="1">
        <v>2</v>
      </c>
      <c r="W74" s="1">
        <v>4</v>
      </c>
      <c r="X74" s="1">
        <v>0</v>
      </c>
      <c r="Y74" s="1"/>
      <c r="Z74" s="1"/>
      <c r="AA74" s="1">
        <v>0</v>
      </c>
      <c r="AB74" s="1"/>
      <c r="AC74" s="1"/>
      <c r="AD74" s="1"/>
      <c r="AE74" s="1"/>
      <c r="AF74" s="1">
        <v>4</v>
      </c>
      <c r="AG74" s="1">
        <v>3</v>
      </c>
      <c r="AH74" s="1">
        <v>0</v>
      </c>
      <c r="AI74" s="1">
        <v>0</v>
      </c>
      <c r="AJ74" s="1" t="s">
        <v>21</v>
      </c>
      <c r="AK74" s="1" t="s">
        <v>21</v>
      </c>
      <c r="AL74" s="17">
        <v>43369</v>
      </c>
      <c r="AM74" s="18" t="s">
        <v>12</v>
      </c>
      <c r="AN74" s="10"/>
    </row>
    <row r="75" spans="2:40" customFormat="1" ht="15" customHeight="1" x14ac:dyDescent="0.25">
      <c r="B75" s="1">
        <f t="shared" si="0"/>
        <v>65</v>
      </c>
      <c r="C75" s="1">
        <v>1</v>
      </c>
      <c r="D75" s="1" t="s">
        <v>186</v>
      </c>
      <c r="E75" s="1" t="s">
        <v>186</v>
      </c>
      <c r="F75" s="1" t="s">
        <v>109</v>
      </c>
      <c r="G75" s="1"/>
      <c r="H75" s="1" t="s">
        <v>136</v>
      </c>
      <c r="I75" s="1" t="s">
        <v>85</v>
      </c>
      <c r="J75" s="1" t="s">
        <v>408</v>
      </c>
      <c r="K75" s="1" t="s">
        <v>340</v>
      </c>
      <c r="L75" s="1">
        <v>0</v>
      </c>
      <c r="M75" s="1">
        <v>4</v>
      </c>
      <c r="N75" s="1">
        <v>0</v>
      </c>
      <c r="O75" s="1">
        <v>3</v>
      </c>
      <c r="P75" s="1">
        <v>0</v>
      </c>
      <c r="Q75" s="1">
        <v>0</v>
      </c>
      <c r="R75" s="1"/>
      <c r="S75" s="1">
        <v>0</v>
      </c>
      <c r="T75" s="1">
        <v>3</v>
      </c>
      <c r="U75" s="1">
        <v>0</v>
      </c>
      <c r="V75" s="1">
        <v>0</v>
      </c>
      <c r="W75" s="1">
        <v>0</v>
      </c>
      <c r="X75" s="1">
        <v>4</v>
      </c>
      <c r="Y75" s="1">
        <v>0</v>
      </c>
      <c r="Z75" s="1">
        <v>4</v>
      </c>
      <c r="AA75" s="1">
        <v>0</v>
      </c>
      <c r="AB75" s="1"/>
      <c r="AC75" s="1"/>
      <c r="AD75" s="1"/>
      <c r="AE75" s="1">
        <v>4</v>
      </c>
      <c r="AF75" s="1">
        <v>0</v>
      </c>
      <c r="AG75" s="1">
        <v>0</v>
      </c>
      <c r="AH75" s="1">
        <v>0</v>
      </c>
      <c r="AI75" s="1">
        <v>0</v>
      </c>
      <c r="AJ75" s="1" t="s">
        <v>21</v>
      </c>
      <c r="AK75" s="1" t="s">
        <v>21</v>
      </c>
      <c r="AL75" s="17">
        <v>44162</v>
      </c>
      <c r="AM75" s="18" t="s">
        <v>330</v>
      </c>
      <c r="AN75" s="10"/>
    </row>
    <row r="76" spans="2:40" customFormat="1" ht="15" customHeight="1" x14ac:dyDescent="0.25">
      <c r="B76" s="1">
        <f t="shared" ref="B76:B139" si="1">B75+1</f>
        <v>66</v>
      </c>
      <c r="C76" s="1">
        <v>0</v>
      </c>
      <c r="D76" s="1" t="s">
        <v>186</v>
      </c>
      <c r="E76" s="1" t="s">
        <v>186</v>
      </c>
      <c r="F76" s="1" t="s">
        <v>110</v>
      </c>
      <c r="G76" s="1"/>
      <c r="H76" s="1" t="s">
        <v>137</v>
      </c>
      <c r="I76" s="1" t="s">
        <v>85</v>
      </c>
      <c r="J76" s="1" t="s">
        <v>13</v>
      </c>
      <c r="K76" s="1" t="s">
        <v>62</v>
      </c>
      <c r="L76" s="1">
        <v>0</v>
      </c>
      <c r="M76" s="1">
        <v>4</v>
      </c>
      <c r="N76" s="1">
        <v>0</v>
      </c>
      <c r="O76" s="1">
        <v>4</v>
      </c>
      <c r="P76" s="1">
        <v>0</v>
      </c>
      <c r="Q76" s="1">
        <v>0</v>
      </c>
      <c r="R76" s="1"/>
      <c r="S76" s="1">
        <v>0</v>
      </c>
      <c r="T76" s="1">
        <v>4</v>
      </c>
      <c r="U76" s="1">
        <v>0</v>
      </c>
      <c r="V76" s="1">
        <v>0</v>
      </c>
      <c r="W76" s="1">
        <v>0</v>
      </c>
      <c r="X76" s="1">
        <v>0</v>
      </c>
      <c r="Y76" s="1"/>
      <c r="Z76" s="1"/>
      <c r="AA76" s="1">
        <v>0</v>
      </c>
      <c r="AB76" s="1"/>
      <c r="AC76" s="1"/>
      <c r="AD76" s="1"/>
      <c r="AE76" s="1"/>
      <c r="AF76" s="1"/>
      <c r="AG76" s="1">
        <v>0</v>
      </c>
      <c r="AH76" s="1">
        <v>1</v>
      </c>
      <c r="AI76" s="1"/>
      <c r="AJ76" s="1" t="s">
        <v>21</v>
      </c>
      <c r="AK76" s="1" t="s">
        <v>95</v>
      </c>
      <c r="AL76" s="17"/>
      <c r="AM76" s="18"/>
      <c r="AN76" s="10" t="s">
        <v>308</v>
      </c>
    </row>
    <row r="77" spans="2:40" customFormat="1" ht="15" customHeight="1" x14ac:dyDescent="0.25">
      <c r="B77" s="1">
        <f t="shared" si="1"/>
        <v>67</v>
      </c>
      <c r="C77" s="1">
        <v>0</v>
      </c>
      <c r="D77" s="1" t="s">
        <v>228</v>
      </c>
      <c r="E77" s="1" t="s">
        <v>187</v>
      </c>
      <c r="F77" s="1" t="s">
        <v>43</v>
      </c>
      <c r="G77" s="1"/>
      <c r="H77" s="1" t="s">
        <v>141</v>
      </c>
      <c r="I77" s="1" t="s">
        <v>85</v>
      </c>
      <c r="J77" s="1" t="s">
        <v>12</v>
      </c>
      <c r="K77" s="1" t="s">
        <v>11</v>
      </c>
      <c r="L77" s="1">
        <v>4</v>
      </c>
      <c r="M77" s="1">
        <v>4</v>
      </c>
      <c r="N77" s="1">
        <v>4</v>
      </c>
      <c r="O77" s="1">
        <v>0</v>
      </c>
      <c r="P77" s="1">
        <v>0</v>
      </c>
      <c r="Q77" s="1">
        <v>0</v>
      </c>
      <c r="R77" s="1"/>
      <c r="S77" s="1">
        <v>1</v>
      </c>
      <c r="T77" s="1">
        <v>0</v>
      </c>
      <c r="U77" s="1">
        <v>0</v>
      </c>
      <c r="V77" s="1">
        <v>0</v>
      </c>
      <c r="W77" s="1">
        <v>0</v>
      </c>
      <c r="X77" s="1">
        <v>0</v>
      </c>
      <c r="Y77" s="1"/>
      <c r="Z77" s="1"/>
      <c r="AA77" s="1">
        <v>0</v>
      </c>
      <c r="AB77" s="1"/>
      <c r="AC77" s="1"/>
      <c r="AD77" s="1"/>
      <c r="AE77" s="1"/>
      <c r="AF77" s="1"/>
      <c r="AG77" s="1">
        <v>0</v>
      </c>
      <c r="AH77" s="1">
        <v>0</v>
      </c>
      <c r="AI77" s="1"/>
      <c r="AJ77" s="1" t="s">
        <v>21</v>
      </c>
      <c r="AK77" s="1"/>
      <c r="AL77" s="17"/>
      <c r="AM77" s="18"/>
      <c r="AN77" s="10"/>
    </row>
    <row r="78" spans="2:40" customFormat="1" ht="15" customHeight="1" x14ac:dyDescent="0.25">
      <c r="B78" s="1">
        <f t="shared" si="1"/>
        <v>68</v>
      </c>
      <c r="C78" s="1">
        <v>0</v>
      </c>
      <c r="D78" s="1" t="s">
        <v>228</v>
      </c>
      <c r="E78" s="1" t="s">
        <v>187</v>
      </c>
      <c r="F78" s="1" t="s">
        <v>43</v>
      </c>
      <c r="G78" s="1"/>
      <c r="H78" s="1" t="s">
        <v>142</v>
      </c>
      <c r="I78" s="1" t="s">
        <v>85</v>
      </c>
      <c r="J78" s="1" t="s">
        <v>12</v>
      </c>
      <c r="K78" s="1" t="s">
        <v>11</v>
      </c>
      <c r="L78" s="1">
        <v>4</v>
      </c>
      <c r="M78" s="1">
        <v>4</v>
      </c>
      <c r="N78" s="1">
        <v>4</v>
      </c>
      <c r="O78" s="1">
        <v>0</v>
      </c>
      <c r="P78" s="1">
        <v>0</v>
      </c>
      <c r="Q78" s="1">
        <v>0</v>
      </c>
      <c r="R78" s="1"/>
      <c r="S78" s="1">
        <v>1</v>
      </c>
      <c r="T78" s="1">
        <v>0</v>
      </c>
      <c r="U78" s="1">
        <v>0</v>
      </c>
      <c r="V78" s="1">
        <v>0</v>
      </c>
      <c r="W78" s="1">
        <v>0</v>
      </c>
      <c r="X78" s="1">
        <v>0</v>
      </c>
      <c r="Y78" s="1"/>
      <c r="Z78" s="1"/>
      <c r="AA78" s="1">
        <v>0</v>
      </c>
      <c r="AB78" s="1"/>
      <c r="AC78" s="1"/>
      <c r="AD78" s="1"/>
      <c r="AE78" s="1"/>
      <c r="AF78" s="1"/>
      <c r="AG78" s="1">
        <v>0</v>
      </c>
      <c r="AH78" s="1">
        <v>0</v>
      </c>
      <c r="AI78" s="1"/>
      <c r="AJ78" s="1" t="s">
        <v>21</v>
      </c>
      <c r="AK78" s="1"/>
      <c r="AL78" s="17"/>
      <c r="AM78" s="18"/>
      <c r="AN78" s="10"/>
    </row>
    <row r="79" spans="2:40" customFormat="1" ht="15" customHeight="1" x14ac:dyDescent="0.25">
      <c r="B79" s="1">
        <f t="shared" si="1"/>
        <v>69</v>
      </c>
      <c r="C79" s="1">
        <v>0</v>
      </c>
      <c r="D79" s="1" t="s">
        <v>220</v>
      </c>
      <c r="E79" s="1" t="s">
        <v>30</v>
      </c>
      <c r="F79" s="1" t="s">
        <v>43</v>
      </c>
      <c r="G79" s="1"/>
      <c r="H79" s="1" t="s">
        <v>199</v>
      </c>
      <c r="I79" s="1" t="s">
        <v>85</v>
      </c>
      <c r="J79" s="1" t="s">
        <v>11</v>
      </c>
      <c r="K79" s="1" t="s">
        <v>62</v>
      </c>
      <c r="L79" s="1">
        <v>4</v>
      </c>
      <c r="M79" s="1">
        <v>4</v>
      </c>
      <c r="N79" s="1">
        <v>0</v>
      </c>
      <c r="O79" s="1">
        <v>0</v>
      </c>
      <c r="P79" s="1">
        <v>0</v>
      </c>
      <c r="Q79" s="1">
        <v>0</v>
      </c>
      <c r="R79" s="1"/>
      <c r="S79" s="1">
        <v>0</v>
      </c>
      <c r="T79" s="1">
        <v>2</v>
      </c>
      <c r="U79" s="1">
        <v>0</v>
      </c>
      <c r="V79" s="1">
        <v>0</v>
      </c>
      <c r="W79" s="1">
        <v>0</v>
      </c>
      <c r="X79" s="1">
        <v>0</v>
      </c>
      <c r="Y79" s="1"/>
      <c r="Z79" s="1"/>
      <c r="AA79" s="1">
        <v>0</v>
      </c>
      <c r="AB79" s="1"/>
      <c r="AC79" s="1"/>
      <c r="AD79" s="1"/>
      <c r="AE79" s="1"/>
      <c r="AF79" s="1"/>
      <c r="AG79" s="1">
        <v>0</v>
      </c>
      <c r="AH79" s="1">
        <v>0</v>
      </c>
      <c r="AI79" s="1"/>
      <c r="AJ79" s="1" t="s">
        <v>21</v>
      </c>
      <c r="AK79" s="1" t="s">
        <v>21</v>
      </c>
      <c r="AL79" s="17"/>
      <c r="AM79" s="18"/>
      <c r="AN79" s="10"/>
    </row>
    <row r="80" spans="2:40" customFormat="1" ht="15" customHeight="1" x14ac:dyDescent="0.25">
      <c r="B80" s="1">
        <f t="shared" si="1"/>
        <v>70</v>
      </c>
      <c r="C80" s="1">
        <v>0</v>
      </c>
      <c r="D80" s="1" t="s">
        <v>220</v>
      </c>
      <c r="E80" s="1" t="s">
        <v>30</v>
      </c>
      <c r="F80" s="1" t="s">
        <v>43</v>
      </c>
      <c r="G80" s="1"/>
      <c r="H80" s="1" t="s">
        <v>111</v>
      </c>
      <c r="I80" s="1" t="s">
        <v>85</v>
      </c>
      <c r="J80" s="1" t="s">
        <v>11</v>
      </c>
      <c r="K80" s="1" t="s">
        <v>62</v>
      </c>
      <c r="L80" s="1">
        <v>4</v>
      </c>
      <c r="M80" s="1">
        <v>4</v>
      </c>
      <c r="N80" s="1">
        <v>0</v>
      </c>
      <c r="O80" s="1">
        <v>0</v>
      </c>
      <c r="P80" s="1">
        <v>0</v>
      </c>
      <c r="Q80" s="1">
        <v>0</v>
      </c>
      <c r="R80" s="1"/>
      <c r="S80" s="1">
        <v>0</v>
      </c>
      <c r="T80" s="1">
        <v>0</v>
      </c>
      <c r="U80" s="1">
        <v>0</v>
      </c>
      <c r="V80" s="1">
        <v>0</v>
      </c>
      <c r="W80" s="1">
        <v>0</v>
      </c>
      <c r="X80" s="1">
        <v>0</v>
      </c>
      <c r="Y80" s="1"/>
      <c r="Z80" s="1"/>
      <c r="AA80" s="1">
        <v>0</v>
      </c>
      <c r="AB80" s="1"/>
      <c r="AC80" s="1"/>
      <c r="AD80" s="1"/>
      <c r="AE80" s="1"/>
      <c r="AF80" s="1"/>
      <c r="AG80" s="1">
        <v>0</v>
      </c>
      <c r="AH80" s="1">
        <v>0</v>
      </c>
      <c r="AI80" s="1"/>
      <c r="AJ80" s="1" t="s">
        <v>32</v>
      </c>
      <c r="AK80" s="1"/>
      <c r="AL80" s="17"/>
      <c r="AM80" s="18"/>
      <c r="AN80" s="10"/>
    </row>
    <row r="81" spans="1:40" customFormat="1" ht="15" customHeight="1" x14ac:dyDescent="0.25">
      <c r="B81" s="1">
        <f t="shared" si="1"/>
        <v>71</v>
      </c>
      <c r="C81" s="1">
        <v>0</v>
      </c>
      <c r="D81" s="1" t="s">
        <v>220</v>
      </c>
      <c r="E81" s="1" t="s">
        <v>196</v>
      </c>
      <c r="F81" s="1" t="s">
        <v>43</v>
      </c>
      <c r="G81" s="1"/>
      <c r="H81" s="1" t="s">
        <v>112</v>
      </c>
      <c r="I81" s="1" t="s">
        <v>85</v>
      </c>
      <c r="J81" s="1" t="s">
        <v>11</v>
      </c>
      <c r="K81" s="1" t="s">
        <v>62</v>
      </c>
      <c r="L81" s="1">
        <v>4</v>
      </c>
      <c r="M81" s="1">
        <v>4</v>
      </c>
      <c r="N81" s="1">
        <v>0</v>
      </c>
      <c r="O81" s="1">
        <v>0</v>
      </c>
      <c r="P81" s="1">
        <v>0</v>
      </c>
      <c r="Q81" s="1">
        <v>0</v>
      </c>
      <c r="R81" s="1"/>
      <c r="S81" s="1">
        <v>0</v>
      </c>
      <c r="T81" s="1">
        <v>0</v>
      </c>
      <c r="U81" s="1">
        <v>0</v>
      </c>
      <c r="V81" s="1">
        <v>0</v>
      </c>
      <c r="W81" s="1">
        <v>0</v>
      </c>
      <c r="X81" s="1">
        <v>0</v>
      </c>
      <c r="Y81" s="1"/>
      <c r="Z81" s="1"/>
      <c r="AA81" s="1">
        <v>0</v>
      </c>
      <c r="AB81" s="1"/>
      <c r="AC81" s="1"/>
      <c r="AD81" s="1"/>
      <c r="AE81" s="1"/>
      <c r="AF81" s="1"/>
      <c r="AG81" s="1">
        <v>0</v>
      </c>
      <c r="AH81" s="1">
        <v>0</v>
      </c>
      <c r="AI81" s="1"/>
      <c r="AJ81" s="1" t="s">
        <v>32</v>
      </c>
      <c r="AK81" s="1"/>
      <c r="AL81" s="17"/>
      <c r="AM81" s="18"/>
      <c r="AN81" s="10"/>
    </row>
    <row r="82" spans="1:40" customFormat="1" ht="15" customHeight="1" x14ac:dyDescent="0.25">
      <c r="B82" s="1">
        <f t="shared" si="1"/>
        <v>72</v>
      </c>
      <c r="C82" s="1">
        <v>0</v>
      </c>
      <c r="D82" s="1" t="s">
        <v>185</v>
      </c>
      <c r="E82" s="1" t="s">
        <v>196</v>
      </c>
      <c r="F82" s="1" t="s">
        <v>113</v>
      </c>
      <c r="G82" s="1"/>
      <c r="H82" s="1" t="s">
        <v>114</v>
      </c>
      <c r="I82" s="1" t="s">
        <v>86</v>
      </c>
      <c r="J82" s="1" t="s">
        <v>62</v>
      </c>
      <c r="K82" s="1" t="s">
        <v>11</v>
      </c>
      <c r="L82" s="1">
        <v>4</v>
      </c>
      <c r="M82" s="1">
        <v>4</v>
      </c>
      <c r="N82" s="1">
        <v>0</v>
      </c>
      <c r="O82" s="1">
        <v>0</v>
      </c>
      <c r="P82" s="1">
        <v>0</v>
      </c>
      <c r="Q82" s="1">
        <v>0</v>
      </c>
      <c r="R82" s="1"/>
      <c r="S82" s="1">
        <v>0</v>
      </c>
      <c r="T82" s="1">
        <v>3</v>
      </c>
      <c r="U82" s="1">
        <v>0</v>
      </c>
      <c r="V82" s="1">
        <v>0</v>
      </c>
      <c r="W82" s="1">
        <v>0</v>
      </c>
      <c r="X82" s="1">
        <v>0</v>
      </c>
      <c r="Y82" s="1"/>
      <c r="Z82" s="1"/>
      <c r="AA82" s="1">
        <v>0</v>
      </c>
      <c r="AB82" s="1"/>
      <c r="AC82" s="1"/>
      <c r="AD82" s="1"/>
      <c r="AE82" s="1"/>
      <c r="AF82" s="1"/>
      <c r="AG82" s="1">
        <v>0</v>
      </c>
      <c r="AH82" s="1"/>
      <c r="AI82" s="1"/>
      <c r="AJ82" s="1" t="s">
        <v>21</v>
      </c>
      <c r="AK82" s="1" t="s">
        <v>21</v>
      </c>
      <c r="AL82" s="17"/>
      <c r="AM82" s="18"/>
      <c r="AN82" s="10"/>
    </row>
    <row r="83" spans="1:40" customFormat="1" ht="15" customHeight="1" x14ac:dyDescent="0.25">
      <c r="B83" s="1">
        <f t="shared" si="1"/>
        <v>73</v>
      </c>
      <c r="C83" s="1">
        <v>0</v>
      </c>
      <c r="D83" s="1" t="s">
        <v>220</v>
      </c>
      <c r="E83" s="1" t="s">
        <v>191</v>
      </c>
      <c r="F83" s="1" t="s">
        <v>113</v>
      </c>
      <c r="G83" s="1"/>
      <c r="H83" s="1" t="s">
        <v>115</v>
      </c>
      <c r="I83" s="1" t="s">
        <v>85</v>
      </c>
      <c r="J83" s="1" t="s">
        <v>502</v>
      </c>
      <c r="K83" s="1" t="s">
        <v>486</v>
      </c>
      <c r="L83" s="1">
        <v>4</v>
      </c>
      <c r="M83" s="1">
        <v>4</v>
      </c>
      <c r="N83" s="1">
        <v>0</v>
      </c>
      <c r="O83" s="1">
        <v>0</v>
      </c>
      <c r="P83" s="1">
        <v>0</v>
      </c>
      <c r="Q83" s="1">
        <v>0</v>
      </c>
      <c r="R83" s="1"/>
      <c r="S83" s="1">
        <v>0</v>
      </c>
      <c r="T83" s="1">
        <v>4</v>
      </c>
      <c r="U83" s="1">
        <v>0</v>
      </c>
      <c r="V83" s="1">
        <v>0</v>
      </c>
      <c r="W83" s="1">
        <v>0</v>
      </c>
      <c r="X83" s="1">
        <v>0</v>
      </c>
      <c r="Y83" s="1"/>
      <c r="Z83" s="1"/>
      <c r="AA83" s="1">
        <v>0</v>
      </c>
      <c r="AB83" s="1"/>
      <c r="AC83" s="1"/>
      <c r="AD83" s="1"/>
      <c r="AE83" s="1"/>
      <c r="AF83" s="1"/>
      <c r="AG83" s="1">
        <v>0</v>
      </c>
      <c r="AH83" s="1">
        <v>4</v>
      </c>
      <c r="AI83" s="1">
        <v>3</v>
      </c>
      <c r="AJ83" s="1" t="s">
        <v>21</v>
      </c>
      <c r="AK83" s="1" t="s">
        <v>21</v>
      </c>
      <c r="AL83" s="17"/>
      <c r="AM83" s="18"/>
      <c r="AN83" s="10"/>
    </row>
    <row r="84" spans="1:40" customFormat="1" ht="15" customHeight="1" x14ac:dyDescent="0.25">
      <c r="B84" s="1">
        <f t="shared" si="1"/>
        <v>74</v>
      </c>
      <c r="C84" s="1">
        <v>0</v>
      </c>
      <c r="D84" s="1" t="s">
        <v>220</v>
      </c>
      <c r="E84" s="1" t="s">
        <v>191</v>
      </c>
      <c r="F84" s="1" t="s">
        <v>113</v>
      </c>
      <c r="G84" s="1"/>
      <c r="H84" s="1" t="s">
        <v>116</v>
      </c>
      <c r="I84" s="1" t="s">
        <v>85</v>
      </c>
      <c r="J84" s="1" t="s">
        <v>11</v>
      </c>
      <c r="K84" s="1" t="s">
        <v>62</v>
      </c>
      <c r="L84" s="1">
        <v>4</v>
      </c>
      <c r="M84" s="1">
        <v>4</v>
      </c>
      <c r="N84" s="1">
        <v>0</v>
      </c>
      <c r="O84" s="1">
        <v>0</v>
      </c>
      <c r="P84" s="1">
        <v>0</v>
      </c>
      <c r="Q84" s="1">
        <v>0</v>
      </c>
      <c r="R84" s="1"/>
      <c r="S84" s="1">
        <v>0</v>
      </c>
      <c r="T84" s="1">
        <v>0</v>
      </c>
      <c r="U84" s="1">
        <v>0</v>
      </c>
      <c r="V84" s="1">
        <v>0</v>
      </c>
      <c r="W84" s="1">
        <v>0</v>
      </c>
      <c r="X84" s="1">
        <v>0</v>
      </c>
      <c r="Y84" s="1"/>
      <c r="Z84" s="1"/>
      <c r="AA84" s="1">
        <v>0</v>
      </c>
      <c r="AB84" s="1"/>
      <c r="AC84" s="1"/>
      <c r="AD84" s="1"/>
      <c r="AE84" s="1"/>
      <c r="AF84" s="1"/>
      <c r="AG84" s="1">
        <v>0</v>
      </c>
      <c r="AH84" s="1">
        <v>1</v>
      </c>
      <c r="AI84" s="1"/>
      <c r="AJ84" s="1" t="s">
        <v>32</v>
      </c>
      <c r="AK84" s="1"/>
      <c r="AL84" s="17"/>
      <c r="AM84" s="18"/>
      <c r="AN84" s="10"/>
    </row>
    <row r="85" spans="1:40" customFormat="1" ht="15" customHeight="1" x14ac:dyDescent="0.25">
      <c r="B85" s="1">
        <f t="shared" si="1"/>
        <v>75</v>
      </c>
      <c r="C85" s="1">
        <v>1</v>
      </c>
      <c r="D85" s="1" t="s">
        <v>212</v>
      </c>
      <c r="E85" s="1" t="s">
        <v>91</v>
      </c>
      <c r="F85" s="1" t="s">
        <v>92</v>
      </c>
      <c r="G85" s="1" t="s">
        <v>92</v>
      </c>
      <c r="H85" s="1" t="s">
        <v>117</v>
      </c>
      <c r="I85" s="1" t="s">
        <v>86</v>
      </c>
      <c r="J85" s="1" t="s">
        <v>170</v>
      </c>
      <c r="K85" s="1" t="s">
        <v>452</v>
      </c>
      <c r="L85" s="1">
        <v>0</v>
      </c>
      <c r="M85" s="1">
        <v>0</v>
      </c>
      <c r="N85" s="1">
        <v>0</v>
      </c>
      <c r="O85" s="1">
        <v>0</v>
      </c>
      <c r="P85" s="1">
        <v>0</v>
      </c>
      <c r="Q85" s="1">
        <v>0</v>
      </c>
      <c r="R85" s="1"/>
      <c r="S85" s="1">
        <v>4</v>
      </c>
      <c r="T85" s="1">
        <v>0</v>
      </c>
      <c r="U85" s="1">
        <v>0</v>
      </c>
      <c r="V85" s="1">
        <v>0</v>
      </c>
      <c r="W85" s="1">
        <v>4</v>
      </c>
      <c r="X85" s="1">
        <v>0</v>
      </c>
      <c r="Y85" s="1"/>
      <c r="Z85" s="1"/>
      <c r="AA85" s="1">
        <v>0</v>
      </c>
      <c r="AB85" s="1"/>
      <c r="AC85" s="1"/>
      <c r="AD85" s="1"/>
      <c r="AE85" s="1"/>
      <c r="AF85" s="1">
        <v>3</v>
      </c>
      <c r="AG85" s="1">
        <v>1</v>
      </c>
      <c r="AH85" s="1">
        <v>0</v>
      </c>
      <c r="AI85" s="1">
        <v>0</v>
      </c>
      <c r="AJ85" s="1" t="s">
        <v>21</v>
      </c>
      <c r="AK85" s="1" t="s">
        <v>21</v>
      </c>
      <c r="AL85" s="17">
        <v>43369</v>
      </c>
      <c r="AM85" s="18" t="s">
        <v>12</v>
      </c>
      <c r="AN85" s="10"/>
    </row>
    <row r="86" spans="1:40" customFormat="1" x14ac:dyDescent="0.25">
      <c r="B86" s="1">
        <f t="shared" si="1"/>
        <v>76</v>
      </c>
      <c r="C86" s="1">
        <v>1</v>
      </c>
      <c r="D86" s="1" t="s">
        <v>212</v>
      </c>
      <c r="E86" s="1" t="s">
        <v>101</v>
      </c>
      <c r="F86" s="1" t="s">
        <v>118</v>
      </c>
      <c r="G86" s="1" t="s">
        <v>118</v>
      </c>
      <c r="H86" s="1" t="s">
        <v>119</v>
      </c>
      <c r="I86" s="1" t="s">
        <v>85</v>
      </c>
      <c r="J86" s="1" t="s">
        <v>170</v>
      </c>
      <c r="K86" s="1" t="s">
        <v>452</v>
      </c>
      <c r="L86" s="1">
        <v>0</v>
      </c>
      <c r="M86" s="1">
        <v>0</v>
      </c>
      <c r="N86" s="1">
        <v>0</v>
      </c>
      <c r="O86" s="1">
        <v>0</v>
      </c>
      <c r="P86" s="1">
        <v>0</v>
      </c>
      <c r="Q86" s="1">
        <v>0</v>
      </c>
      <c r="R86" s="1">
        <v>0</v>
      </c>
      <c r="S86" s="1">
        <v>4</v>
      </c>
      <c r="T86" s="1">
        <v>0</v>
      </c>
      <c r="U86" s="1">
        <v>0</v>
      </c>
      <c r="V86" s="1">
        <v>2</v>
      </c>
      <c r="W86" s="1">
        <v>4</v>
      </c>
      <c r="X86" s="1">
        <v>0</v>
      </c>
      <c r="Y86" s="1">
        <v>0</v>
      </c>
      <c r="Z86" s="1">
        <v>0</v>
      </c>
      <c r="AA86" s="1">
        <v>0</v>
      </c>
      <c r="AB86" s="1"/>
      <c r="AC86" s="1"/>
      <c r="AD86" s="1"/>
      <c r="AE86" s="1"/>
      <c r="AF86" s="1">
        <v>4</v>
      </c>
      <c r="AG86" s="1">
        <v>1</v>
      </c>
      <c r="AH86" s="1">
        <v>0</v>
      </c>
      <c r="AI86" s="1">
        <v>0</v>
      </c>
      <c r="AJ86" s="1" t="s">
        <v>21</v>
      </c>
      <c r="AK86" s="1" t="s">
        <v>21</v>
      </c>
      <c r="AL86" s="17"/>
      <c r="AM86" s="18"/>
      <c r="AN86" s="10"/>
    </row>
    <row r="87" spans="1:40" customFormat="1" x14ac:dyDescent="0.25">
      <c r="B87" s="1">
        <f t="shared" si="1"/>
        <v>77</v>
      </c>
      <c r="C87" s="1">
        <v>1</v>
      </c>
      <c r="D87" s="1" t="s">
        <v>212</v>
      </c>
      <c r="E87" s="1" t="s">
        <v>101</v>
      </c>
      <c r="F87" s="1" t="s">
        <v>118</v>
      </c>
      <c r="G87" s="1" t="s">
        <v>118</v>
      </c>
      <c r="H87" s="1" t="s">
        <v>120</v>
      </c>
      <c r="I87" s="1" t="s">
        <v>85</v>
      </c>
      <c r="J87" s="1" t="s">
        <v>170</v>
      </c>
      <c r="K87" s="1" t="s">
        <v>452</v>
      </c>
      <c r="L87" s="1">
        <v>0</v>
      </c>
      <c r="M87" s="1">
        <v>0</v>
      </c>
      <c r="N87" s="1">
        <v>0</v>
      </c>
      <c r="O87" s="1">
        <v>0</v>
      </c>
      <c r="P87" s="1">
        <v>0</v>
      </c>
      <c r="Q87" s="1">
        <v>0</v>
      </c>
      <c r="R87" s="1">
        <v>0</v>
      </c>
      <c r="S87" s="1">
        <v>4</v>
      </c>
      <c r="T87" s="1">
        <v>0</v>
      </c>
      <c r="U87" s="1">
        <v>0</v>
      </c>
      <c r="V87" s="1">
        <v>2</v>
      </c>
      <c r="W87" s="1">
        <v>4</v>
      </c>
      <c r="X87" s="1">
        <v>0</v>
      </c>
      <c r="Y87" s="1">
        <v>0</v>
      </c>
      <c r="Z87" s="1">
        <v>0</v>
      </c>
      <c r="AA87" s="1">
        <v>0</v>
      </c>
      <c r="AB87" s="1"/>
      <c r="AC87" s="1"/>
      <c r="AD87" s="1"/>
      <c r="AE87" s="1"/>
      <c r="AF87" s="1">
        <v>4</v>
      </c>
      <c r="AG87" s="1">
        <v>1</v>
      </c>
      <c r="AH87" s="1">
        <v>0</v>
      </c>
      <c r="AI87" s="1">
        <v>0</v>
      </c>
      <c r="AJ87" s="1" t="s">
        <v>21</v>
      </c>
      <c r="AK87" s="1" t="s">
        <v>21</v>
      </c>
      <c r="AL87" s="17"/>
      <c r="AM87" s="18"/>
      <c r="AN87" s="10"/>
    </row>
    <row r="88" spans="1:40" customFormat="1" x14ac:dyDescent="0.25">
      <c r="B88" s="1">
        <f t="shared" si="1"/>
        <v>78</v>
      </c>
      <c r="C88" s="1">
        <v>0</v>
      </c>
      <c r="D88" s="1" t="s">
        <v>212</v>
      </c>
      <c r="E88" s="1" t="s">
        <v>101</v>
      </c>
      <c r="F88" s="1" t="s">
        <v>118</v>
      </c>
      <c r="G88" s="1" t="s">
        <v>118</v>
      </c>
      <c r="H88" s="1" t="s">
        <v>121</v>
      </c>
      <c r="I88" s="1" t="s">
        <v>85</v>
      </c>
      <c r="J88" s="1" t="s">
        <v>61</v>
      </c>
      <c r="K88" s="1" t="s">
        <v>170</v>
      </c>
      <c r="L88" s="1">
        <v>0</v>
      </c>
      <c r="M88" s="1">
        <v>0</v>
      </c>
      <c r="N88" s="1">
        <v>0</v>
      </c>
      <c r="O88" s="1">
        <v>0</v>
      </c>
      <c r="P88" s="1">
        <v>0</v>
      </c>
      <c r="Q88" s="1">
        <v>0</v>
      </c>
      <c r="R88" s="1">
        <v>0</v>
      </c>
      <c r="S88" s="1">
        <v>4</v>
      </c>
      <c r="T88" s="1">
        <v>0</v>
      </c>
      <c r="U88" s="1">
        <v>0</v>
      </c>
      <c r="V88" s="1">
        <v>2</v>
      </c>
      <c r="W88" s="1">
        <v>3</v>
      </c>
      <c r="X88" s="1">
        <v>0</v>
      </c>
      <c r="Y88" s="1">
        <v>0</v>
      </c>
      <c r="Z88" s="1">
        <v>0</v>
      </c>
      <c r="AA88" s="1">
        <v>0</v>
      </c>
      <c r="AB88" s="1"/>
      <c r="AC88" s="1"/>
      <c r="AD88" s="1"/>
      <c r="AE88" s="1"/>
      <c r="AF88" s="1"/>
      <c r="AG88" s="1">
        <v>1</v>
      </c>
      <c r="AH88" s="1">
        <v>0</v>
      </c>
      <c r="AI88" s="1"/>
      <c r="AJ88" s="1" t="s">
        <v>21</v>
      </c>
      <c r="AK88" s="1" t="s">
        <v>21</v>
      </c>
      <c r="AL88" s="17"/>
      <c r="AM88" s="18"/>
      <c r="AN88" s="10"/>
    </row>
    <row r="89" spans="1:40" customFormat="1" x14ac:dyDescent="0.25">
      <c r="B89" s="1">
        <f t="shared" si="1"/>
        <v>79</v>
      </c>
      <c r="C89" s="1">
        <v>0</v>
      </c>
      <c r="D89" s="1" t="s">
        <v>212</v>
      </c>
      <c r="E89" s="1" t="s">
        <v>101</v>
      </c>
      <c r="F89" s="1" t="s">
        <v>118</v>
      </c>
      <c r="G89" s="1" t="s">
        <v>118</v>
      </c>
      <c r="H89" s="1" t="s">
        <v>122</v>
      </c>
      <c r="I89" s="1" t="s">
        <v>85</v>
      </c>
      <c r="J89" s="1" t="s">
        <v>61</v>
      </c>
      <c r="K89" s="1" t="s">
        <v>170</v>
      </c>
      <c r="L89" s="1">
        <v>0</v>
      </c>
      <c r="M89" s="1">
        <v>0</v>
      </c>
      <c r="N89" s="1">
        <v>0</v>
      </c>
      <c r="O89" s="1">
        <v>0</v>
      </c>
      <c r="P89" s="1">
        <v>0</v>
      </c>
      <c r="Q89" s="1">
        <v>0</v>
      </c>
      <c r="R89" s="1"/>
      <c r="S89" s="1">
        <v>4</v>
      </c>
      <c r="T89" s="1">
        <v>0</v>
      </c>
      <c r="U89" s="1">
        <v>0</v>
      </c>
      <c r="V89" s="1">
        <v>2</v>
      </c>
      <c r="W89" s="1">
        <v>3</v>
      </c>
      <c r="X89" s="1">
        <v>0</v>
      </c>
      <c r="Y89" s="1"/>
      <c r="Z89" s="1"/>
      <c r="AA89" s="1">
        <v>0</v>
      </c>
      <c r="AB89" s="1"/>
      <c r="AC89" s="1"/>
      <c r="AD89" s="1"/>
      <c r="AE89" s="1"/>
      <c r="AF89" s="1"/>
      <c r="AG89" s="1">
        <v>1</v>
      </c>
      <c r="AH89" s="1">
        <v>0</v>
      </c>
      <c r="AI89" s="1"/>
      <c r="AJ89" s="1" t="s">
        <v>21</v>
      </c>
      <c r="AK89" s="1" t="s">
        <v>21</v>
      </c>
      <c r="AL89" s="17"/>
      <c r="AM89" s="18"/>
      <c r="AN89" s="10"/>
    </row>
    <row r="90" spans="1:40" customFormat="1" x14ac:dyDescent="0.25">
      <c r="B90" s="1">
        <f t="shared" si="1"/>
        <v>80</v>
      </c>
      <c r="C90" s="1">
        <v>1</v>
      </c>
      <c r="D90" s="1" t="s">
        <v>212</v>
      </c>
      <c r="E90" s="1" t="s">
        <v>101</v>
      </c>
      <c r="F90" s="1" t="s">
        <v>118</v>
      </c>
      <c r="G90" s="1" t="s">
        <v>118</v>
      </c>
      <c r="H90" s="1" t="s">
        <v>135</v>
      </c>
      <c r="I90" s="1" t="s">
        <v>85</v>
      </c>
      <c r="J90" s="1" t="s">
        <v>170</v>
      </c>
      <c r="K90" s="1" t="s">
        <v>452</v>
      </c>
      <c r="L90" s="1">
        <v>0</v>
      </c>
      <c r="M90" s="1">
        <v>0</v>
      </c>
      <c r="N90" s="1">
        <v>0</v>
      </c>
      <c r="O90" s="1">
        <v>0</v>
      </c>
      <c r="P90" s="1">
        <v>0</v>
      </c>
      <c r="Q90" s="1">
        <v>0</v>
      </c>
      <c r="R90" s="1">
        <v>0</v>
      </c>
      <c r="S90" s="1">
        <v>4</v>
      </c>
      <c r="T90" s="1">
        <v>0</v>
      </c>
      <c r="U90" s="1">
        <v>0</v>
      </c>
      <c r="V90" s="1">
        <v>2</v>
      </c>
      <c r="W90" s="1">
        <v>4</v>
      </c>
      <c r="X90" s="1">
        <v>0</v>
      </c>
      <c r="Y90" s="1">
        <v>0</v>
      </c>
      <c r="Z90" s="1">
        <v>0</v>
      </c>
      <c r="AA90" s="1">
        <v>0</v>
      </c>
      <c r="AB90" s="1"/>
      <c r="AC90" s="1"/>
      <c r="AD90" s="1"/>
      <c r="AE90" s="1"/>
      <c r="AF90" s="1">
        <v>4</v>
      </c>
      <c r="AG90" s="1">
        <v>1</v>
      </c>
      <c r="AH90" s="1">
        <v>0</v>
      </c>
      <c r="AI90" s="1">
        <v>0</v>
      </c>
      <c r="AJ90" s="1" t="s">
        <v>21</v>
      </c>
      <c r="AK90" s="1" t="s">
        <v>21</v>
      </c>
      <c r="AL90" s="17"/>
      <c r="AM90" s="18"/>
      <c r="AN90" s="10"/>
    </row>
    <row r="91" spans="1:40" customFormat="1" ht="15" customHeight="1" x14ac:dyDescent="0.25">
      <c r="B91" s="1">
        <f t="shared" si="1"/>
        <v>81</v>
      </c>
      <c r="C91" s="1">
        <v>1</v>
      </c>
      <c r="D91" s="1" t="s">
        <v>212</v>
      </c>
      <c r="E91" s="1" t="s">
        <v>91</v>
      </c>
      <c r="F91" s="1" t="s">
        <v>96</v>
      </c>
      <c r="G91" s="1" t="s">
        <v>96</v>
      </c>
      <c r="H91" s="1" t="s">
        <v>144</v>
      </c>
      <c r="I91" s="1" t="s">
        <v>85</v>
      </c>
      <c r="J91" s="1" t="s">
        <v>170</v>
      </c>
      <c r="K91" s="1" t="s">
        <v>452</v>
      </c>
      <c r="L91" s="1">
        <v>0</v>
      </c>
      <c r="M91" s="1">
        <v>0</v>
      </c>
      <c r="N91" s="1">
        <v>0</v>
      </c>
      <c r="O91" s="1">
        <v>0</v>
      </c>
      <c r="P91" s="1">
        <v>0</v>
      </c>
      <c r="Q91" s="1">
        <v>0</v>
      </c>
      <c r="R91" s="1"/>
      <c r="S91" s="1">
        <v>4</v>
      </c>
      <c r="T91" s="1">
        <v>0</v>
      </c>
      <c r="U91" s="1">
        <v>0</v>
      </c>
      <c r="V91" s="1">
        <v>2</v>
      </c>
      <c r="W91" s="1">
        <v>4</v>
      </c>
      <c r="X91" s="1">
        <v>0</v>
      </c>
      <c r="Y91" s="1"/>
      <c r="Z91" s="1"/>
      <c r="AA91" s="1">
        <v>0</v>
      </c>
      <c r="AB91" s="1"/>
      <c r="AC91" s="1"/>
      <c r="AD91" s="1"/>
      <c r="AE91" s="1"/>
      <c r="AF91" s="1">
        <v>4</v>
      </c>
      <c r="AG91" s="1">
        <v>1</v>
      </c>
      <c r="AH91" s="1">
        <v>0</v>
      </c>
      <c r="AI91" s="1">
        <v>0</v>
      </c>
      <c r="AJ91" s="1" t="s">
        <v>21</v>
      </c>
      <c r="AK91" s="1" t="s">
        <v>21</v>
      </c>
      <c r="AL91" s="17">
        <v>43369</v>
      </c>
      <c r="AM91" s="18" t="s">
        <v>12</v>
      </c>
      <c r="AN91" s="10"/>
    </row>
    <row r="92" spans="1:40" customFormat="1" ht="15" customHeight="1" x14ac:dyDescent="0.25">
      <c r="B92" s="1">
        <f t="shared" si="1"/>
        <v>82</v>
      </c>
      <c r="C92" s="1">
        <v>1</v>
      </c>
      <c r="D92" s="1" t="s">
        <v>212</v>
      </c>
      <c r="E92" s="1" t="s">
        <v>91</v>
      </c>
      <c r="F92" s="1" t="s">
        <v>96</v>
      </c>
      <c r="G92" s="1" t="s">
        <v>96</v>
      </c>
      <c r="H92" s="1" t="s">
        <v>147</v>
      </c>
      <c r="I92" s="1" t="s">
        <v>85</v>
      </c>
      <c r="J92" s="1" t="s">
        <v>170</v>
      </c>
      <c r="K92" s="1" t="s">
        <v>452</v>
      </c>
      <c r="L92" s="1">
        <v>0</v>
      </c>
      <c r="M92" s="1">
        <v>0</v>
      </c>
      <c r="N92" s="1">
        <v>0</v>
      </c>
      <c r="O92" s="1">
        <v>0</v>
      </c>
      <c r="P92" s="1">
        <v>0</v>
      </c>
      <c r="Q92" s="1">
        <v>0</v>
      </c>
      <c r="R92" s="1"/>
      <c r="S92" s="1">
        <v>4</v>
      </c>
      <c r="T92" s="1">
        <v>0</v>
      </c>
      <c r="U92" s="1">
        <v>0</v>
      </c>
      <c r="V92" s="1">
        <v>2</v>
      </c>
      <c r="W92" s="1">
        <v>4</v>
      </c>
      <c r="X92" s="1">
        <v>0</v>
      </c>
      <c r="Y92" s="1"/>
      <c r="Z92" s="1"/>
      <c r="AA92" s="1">
        <v>0</v>
      </c>
      <c r="AB92" s="1"/>
      <c r="AC92" s="1"/>
      <c r="AD92" s="1"/>
      <c r="AE92" s="1"/>
      <c r="AF92" s="1">
        <v>4</v>
      </c>
      <c r="AG92" s="1">
        <v>1</v>
      </c>
      <c r="AH92" s="1">
        <v>0</v>
      </c>
      <c r="AI92" s="1">
        <v>0</v>
      </c>
      <c r="AJ92" s="1" t="s">
        <v>21</v>
      </c>
      <c r="AK92" s="1" t="s">
        <v>21</v>
      </c>
      <c r="AL92" s="17">
        <v>43369</v>
      </c>
      <c r="AM92" s="18" t="s">
        <v>12</v>
      </c>
      <c r="AN92" s="10"/>
    </row>
    <row r="93" spans="1:40" customFormat="1" ht="15" customHeight="1" x14ac:dyDescent="0.25">
      <c r="B93" s="1">
        <f t="shared" si="1"/>
        <v>83</v>
      </c>
      <c r="C93" s="32">
        <v>0</v>
      </c>
      <c r="D93" s="32" t="s">
        <v>228</v>
      </c>
      <c r="E93" s="32" t="s">
        <v>187</v>
      </c>
      <c r="F93" s="32" t="s">
        <v>148</v>
      </c>
      <c r="G93" s="32" t="s">
        <v>149</v>
      </c>
      <c r="H93" s="32" t="s">
        <v>150</v>
      </c>
      <c r="I93" s="32" t="s">
        <v>85</v>
      </c>
      <c r="J93" s="32" t="s">
        <v>143</v>
      </c>
      <c r="K93" s="32" t="s">
        <v>12</v>
      </c>
      <c r="L93" s="32">
        <v>0</v>
      </c>
      <c r="M93" s="32">
        <v>0</v>
      </c>
      <c r="N93" s="32">
        <v>4</v>
      </c>
      <c r="O93" s="32">
        <v>0</v>
      </c>
      <c r="P93" s="32">
        <v>0</v>
      </c>
      <c r="Q93" s="32">
        <v>4</v>
      </c>
      <c r="R93" s="32"/>
      <c r="S93" s="32">
        <v>0</v>
      </c>
      <c r="T93" s="32">
        <v>0</v>
      </c>
      <c r="U93" s="32">
        <v>3</v>
      </c>
      <c r="V93" s="32">
        <v>3</v>
      </c>
      <c r="W93" s="32">
        <v>0</v>
      </c>
      <c r="X93" s="1">
        <v>0</v>
      </c>
      <c r="Y93" s="32"/>
      <c r="Z93" s="32"/>
      <c r="AA93" s="1">
        <v>0</v>
      </c>
      <c r="AB93" s="1"/>
      <c r="AC93" s="1"/>
      <c r="AD93" s="1"/>
      <c r="AE93" s="1"/>
      <c r="AF93" s="1"/>
      <c r="AG93" s="1">
        <v>0</v>
      </c>
      <c r="AH93" s="1">
        <v>0</v>
      </c>
      <c r="AI93" s="1"/>
      <c r="AJ93" s="32" t="s">
        <v>21</v>
      </c>
      <c r="AK93" s="32" t="s">
        <v>21</v>
      </c>
      <c r="AL93" s="33">
        <v>43369</v>
      </c>
      <c r="AM93" s="32" t="s">
        <v>12</v>
      </c>
      <c r="AN93" s="34"/>
    </row>
    <row r="94" spans="1:40" s="44" customFormat="1" ht="15" customHeight="1" x14ac:dyDescent="0.25">
      <c r="A94"/>
      <c r="B94" s="35">
        <f t="shared" si="1"/>
        <v>84</v>
      </c>
      <c r="C94" s="35">
        <v>0</v>
      </c>
      <c r="D94" s="35" t="s">
        <v>187</v>
      </c>
      <c r="E94" s="35" t="s">
        <v>347</v>
      </c>
      <c r="F94" s="35" t="s">
        <v>148</v>
      </c>
      <c r="G94" s="35" t="s">
        <v>148</v>
      </c>
      <c r="H94" s="35" t="s">
        <v>151</v>
      </c>
      <c r="I94" s="35" t="s">
        <v>87</v>
      </c>
      <c r="J94" s="35" t="s">
        <v>312</v>
      </c>
      <c r="K94" s="35" t="s">
        <v>408</v>
      </c>
      <c r="L94" s="35">
        <v>0</v>
      </c>
      <c r="M94" s="35">
        <v>0</v>
      </c>
      <c r="N94" s="35">
        <v>4</v>
      </c>
      <c r="O94" s="35">
        <v>0</v>
      </c>
      <c r="P94" s="35">
        <v>0</v>
      </c>
      <c r="Q94" s="35">
        <v>4</v>
      </c>
      <c r="R94" s="35"/>
      <c r="S94" s="35">
        <v>0</v>
      </c>
      <c r="T94" s="35">
        <v>0</v>
      </c>
      <c r="U94" s="35">
        <v>3</v>
      </c>
      <c r="V94" s="35">
        <v>3</v>
      </c>
      <c r="W94" s="35"/>
      <c r="X94" s="35"/>
      <c r="Y94" s="35">
        <v>4</v>
      </c>
      <c r="Z94" s="35">
        <v>3</v>
      </c>
      <c r="AA94" s="35"/>
      <c r="AB94" s="35"/>
      <c r="AC94" s="35"/>
      <c r="AD94" s="35"/>
      <c r="AE94" s="35">
        <v>1</v>
      </c>
      <c r="AF94" s="35"/>
      <c r="AG94" s="1"/>
      <c r="AH94" s="1">
        <v>0</v>
      </c>
      <c r="AI94" s="1"/>
      <c r="AJ94" s="35" t="s">
        <v>21</v>
      </c>
      <c r="AK94" s="35" t="s">
        <v>21</v>
      </c>
      <c r="AL94" s="42">
        <v>44133</v>
      </c>
      <c r="AM94" s="35" t="s">
        <v>330</v>
      </c>
      <c r="AN94" s="43" t="s">
        <v>490</v>
      </c>
    </row>
    <row r="95" spans="1:40" customFormat="1" ht="15" customHeight="1" x14ac:dyDescent="0.25">
      <c r="B95" s="1">
        <f t="shared" si="1"/>
        <v>85</v>
      </c>
      <c r="C95" s="1">
        <v>0</v>
      </c>
      <c r="D95" s="1" t="s">
        <v>184</v>
      </c>
      <c r="E95" s="1" t="s">
        <v>184</v>
      </c>
      <c r="F95" s="1" t="s">
        <v>46</v>
      </c>
      <c r="G95" s="1" t="s">
        <v>46</v>
      </c>
      <c r="H95" s="1" t="s">
        <v>156</v>
      </c>
      <c r="I95" s="1" t="s">
        <v>157</v>
      </c>
      <c r="J95" s="1" t="s">
        <v>143</v>
      </c>
      <c r="K95" s="1" t="s">
        <v>62</v>
      </c>
      <c r="L95" s="1">
        <v>0</v>
      </c>
      <c r="M95" s="1">
        <v>0</v>
      </c>
      <c r="N95" s="1">
        <v>0</v>
      </c>
      <c r="O95" s="1">
        <v>0</v>
      </c>
      <c r="P95" s="1">
        <v>4</v>
      </c>
      <c r="Q95" s="1">
        <v>0</v>
      </c>
      <c r="R95" s="1"/>
      <c r="S95" s="1">
        <v>0</v>
      </c>
      <c r="T95" s="1">
        <v>4</v>
      </c>
      <c r="U95" s="1">
        <v>3</v>
      </c>
      <c r="V95" s="1">
        <v>0</v>
      </c>
      <c r="W95" s="1">
        <v>0</v>
      </c>
      <c r="X95" s="1">
        <v>0</v>
      </c>
      <c r="Y95" s="1"/>
      <c r="Z95" s="1"/>
      <c r="AA95" s="1">
        <v>0</v>
      </c>
      <c r="AB95" s="1"/>
      <c r="AC95" s="1"/>
      <c r="AD95" s="1"/>
      <c r="AE95" s="1"/>
      <c r="AF95" s="1"/>
      <c r="AG95" s="1">
        <v>0</v>
      </c>
      <c r="AH95" s="1">
        <v>0</v>
      </c>
      <c r="AI95" s="1"/>
      <c r="AJ95" s="1" t="s">
        <v>21</v>
      </c>
      <c r="AK95" s="1" t="s">
        <v>21</v>
      </c>
      <c r="AL95" s="17">
        <v>43417</v>
      </c>
      <c r="AM95" s="18" t="s">
        <v>62</v>
      </c>
      <c r="AN95" s="10"/>
    </row>
    <row r="96" spans="1:40" customFormat="1" ht="15" customHeight="1" x14ac:dyDescent="0.25">
      <c r="B96" s="1">
        <f t="shared" si="1"/>
        <v>86</v>
      </c>
      <c r="C96" s="1">
        <v>0</v>
      </c>
      <c r="D96" s="1" t="s">
        <v>184</v>
      </c>
      <c r="E96" s="1" t="s">
        <v>184</v>
      </c>
      <c r="F96" s="1" t="s">
        <v>46</v>
      </c>
      <c r="G96" s="1" t="s">
        <v>46</v>
      </c>
      <c r="H96" s="1" t="s">
        <v>158</v>
      </c>
      <c r="I96" s="1" t="s">
        <v>157</v>
      </c>
      <c r="J96" s="1" t="s">
        <v>143</v>
      </c>
      <c r="K96" s="1" t="s">
        <v>62</v>
      </c>
      <c r="L96" s="1">
        <v>0</v>
      </c>
      <c r="M96" s="1">
        <v>0</v>
      </c>
      <c r="N96" s="1">
        <v>0</v>
      </c>
      <c r="O96" s="1">
        <v>0</v>
      </c>
      <c r="P96" s="1">
        <v>4</v>
      </c>
      <c r="Q96" s="1">
        <v>0</v>
      </c>
      <c r="R96" s="1"/>
      <c r="S96" s="1">
        <v>0</v>
      </c>
      <c r="T96" s="1">
        <v>4</v>
      </c>
      <c r="U96" s="1">
        <v>3</v>
      </c>
      <c r="V96" s="1">
        <v>0</v>
      </c>
      <c r="W96" s="1">
        <v>0</v>
      </c>
      <c r="X96" s="1">
        <v>0</v>
      </c>
      <c r="Y96" s="1"/>
      <c r="Z96" s="1"/>
      <c r="AA96" s="1">
        <v>0</v>
      </c>
      <c r="AB96" s="1"/>
      <c r="AC96" s="1"/>
      <c r="AD96" s="1"/>
      <c r="AE96" s="1"/>
      <c r="AF96" s="1"/>
      <c r="AG96" s="1">
        <v>0</v>
      </c>
      <c r="AH96" s="1">
        <v>1</v>
      </c>
      <c r="AI96" s="1"/>
      <c r="AJ96" s="1" t="s">
        <v>21</v>
      </c>
      <c r="AK96" s="1" t="s">
        <v>21</v>
      </c>
      <c r="AL96" s="17">
        <v>43417</v>
      </c>
      <c r="AM96" s="18" t="s">
        <v>62</v>
      </c>
      <c r="AN96" s="10"/>
    </row>
    <row r="97" spans="2:40" customFormat="1" ht="15" customHeight="1" x14ac:dyDescent="0.25">
      <c r="B97" s="1">
        <f t="shared" si="1"/>
        <v>87</v>
      </c>
      <c r="C97" s="1">
        <v>0</v>
      </c>
      <c r="D97" s="1" t="s">
        <v>223</v>
      </c>
      <c r="E97" s="1" t="s">
        <v>30</v>
      </c>
      <c r="F97" s="1" t="s">
        <v>43</v>
      </c>
      <c r="G97" s="1" t="s">
        <v>43</v>
      </c>
      <c r="H97" s="1" t="s">
        <v>159</v>
      </c>
      <c r="I97" s="1" t="s">
        <v>160</v>
      </c>
      <c r="J97" s="1" t="s">
        <v>502</v>
      </c>
      <c r="K97" s="1" t="s">
        <v>486</v>
      </c>
      <c r="L97" s="1">
        <v>0</v>
      </c>
      <c r="M97" s="1">
        <v>4</v>
      </c>
      <c r="N97" s="1">
        <v>0</v>
      </c>
      <c r="O97" s="1">
        <v>2</v>
      </c>
      <c r="P97" s="1">
        <v>0</v>
      </c>
      <c r="Q97" s="1">
        <v>0</v>
      </c>
      <c r="R97" s="1"/>
      <c r="S97" s="1">
        <v>0</v>
      </c>
      <c r="T97" s="1">
        <v>4</v>
      </c>
      <c r="U97" s="1">
        <v>0</v>
      </c>
      <c r="V97" s="1">
        <v>0</v>
      </c>
      <c r="W97" s="1">
        <v>0</v>
      </c>
      <c r="X97" s="1">
        <v>0</v>
      </c>
      <c r="Y97" s="1"/>
      <c r="Z97" s="1"/>
      <c r="AA97" s="1">
        <v>0</v>
      </c>
      <c r="AB97" s="1"/>
      <c r="AC97" s="1"/>
      <c r="AD97" s="1"/>
      <c r="AE97" s="1"/>
      <c r="AF97" s="1"/>
      <c r="AG97" s="1">
        <v>0</v>
      </c>
      <c r="AH97" s="1">
        <v>3</v>
      </c>
      <c r="AI97" s="1">
        <v>3</v>
      </c>
      <c r="AJ97" s="1" t="s">
        <v>21</v>
      </c>
      <c r="AK97" s="1" t="s">
        <v>21</v>
      </c>
      <c r="AL97" s="17">
        <v>44594</v>
      </c>
      <c r="AM97" s="18" t="s">
        <v>486</v>
      </c>
      <c r="AN97" s="10"/>
    </row>
    <row r="98" spans="2:40" customFormat="1" ht="15" customHeight="1" x14ac:dyDescent="0.25">
      <c r="B98" s="1">
        <f t="shared" si="1"/>
        <v>88</v>
      </c>
      <c r="C98" s="1">
        <v>0</v>
      </c>
      <c r="D98" s="1" t="s">
        <v>223</v>
      </c>
      <c r="E98" s="1" t="s">
        <v>30</v>
      </c>
      <c r="F98" s="1" t="s">
        <v>43</v>
      </c>
      <c r="G98" s="1" t="s">
        <v>43</v>
      </c>
      <c r="H98" s="1" t="s">
        <v>161</v>
      </c>
      <c r="I98" s="1" t="s">
        <v>160</v>
      </c>
      <c r="J98" s="1" t="s">
        <v>502</v>
      </c>
      <c r="K98" s="1" t="s">
        <v>486</v>
      </c>
      <c r="L98" s="1">
        <v>0</v>
      </c>
      <c r="M98" s="1">
        <v>4</v>
      </c>
      <c r="N98" s="1">
        <v>0</v>
      </c>
      <c r="O98" s="1">
        <v>2</v>
      </c>
      <c r="P98" s="1">
        <v>0</v>
      </c>
      <c r="Q98" s="1">
        <v>0</v>
      </c>
      <c r="R98" s="1"/>
      <c r="S98" s="1">
        <v>0</v>
      </c>
      <c r="T98" s="1">
        <v>4</v>
      </c>
      <c r="U98" s="1">
        <v>0</v>
      </c>
      <c r="V98" s="1">
        <v>0</v>
      </c>
      <c r="W98" s="1">
        <v>0</v>
      </c>
      <c r="X98" s="1">
        <v>0</v>
      </c>
      <c r="Y98" s="1"/>
      <c r="Z98" s="1"/>
      <c r="AA98" s="1">
        <v>0</v>
      </c>
      <c r="AB98" s="1"/>
      <c r="AC98" s="1"/>
      <c r="AD98" s="1"/>
      <c r="AE98" s="1"/>
      <c r="AF98" s="1"/>
      <c r="AG98" s="1">
        <v>0</v>
      </c>
      <c r="AH98" s="1">
        <v>3</v>
      </c>
      <c r="AI98" s="1">
        <v>3</v>
      </c>
      <c r="AJ98" s="1" t="s">
        <v>21</v>
      </c>
      <c r="AK98" s="1" t="s">
        <v>21</v>
      </c>
      <c r="AL98" s="17">
        <v>44594</v>
      </c>
      <c r="AM98" s="18" t="s">
        <v>486</v>
      </c>
      <c r="AN98" s="10"/>
    </row>
    <row r="99" spans="2:40" customFormat="1" ht="15" customHeight="1" x14ac:dyDescent="0.25">
      <c r="B99" s="1">
        <f t="shared" si="1"/>
        <v>89</v>
      </c>
      <c r="C99" s="1">
        <v>0</v>
      </c>
      <c r="D99" s="1" t="s">
        <v>223</v>
      </c>
      <c r="E99" s="1" t="s">
        <v>30</v>
      </c>
      <c r="F99" s="1" t="s">
        <v>43</v>
      </c>
      <c r="G99" s="1" t="s">
        <v>43</v>
      </c>
      <c r="H99" s="1" t="s">
        <v>162</v>
      </c>
      <c r="I99" s="1" t="s">
        <v>160</v>
      </c>
      <c r="J99" s="1" t="s">
        <v>62</v>
      </c>
      <c r="K99" s="1" t="s">
        <v>11</v>
      </c>
      <c r="L99" s="1">
        <v>0</v>
      </c>
      <c r="M99" s="1">
        <v>4</v>
      </c>
      <c r="N99" s="1">
        <v>0</v>
      </c>
      <c r="O99" s="1">
        <v>2</v>
      </c>
      <c r="P99" s="1">
        <v>0</v>
      </c>
      <c r="Q99" s="1">
        <v>0</v>
      </c>
      <c r="R99" s="1"/>
      <c r="S99" s="1">
        <v>0</v>
      </c>
      <c r="T99" s="1">
        <v>4</v>
      </c>
      <c r="U99" s="1">
        <v>0</v>
      </c>
      <c r="V99" s="1">
        <v>0</v>
      </c>
      <c r="W99" s="1">
        <v>0</v>
      </c>
      <c r="X99" s="1">
        <v>0</v>
      </c>
      <c r="Y99" s="1"/>
      <c r="Z99" s="1"/>
      <c r="AA99" s="1">
        <v>0</v>
      </c>
      <c r="AB99" s="1"/>
      <c r="AC99" s="1"/>
      <c r="AD99" s="1"/>
      <c r="AE99" s="1"/>
      <c r="AF99" s="1"/>
      <c r="AG99" s="1">
        <v>0</v>
      </c>
      <c r="AH99" s="1">
        <v>3</v>
      </c>
      <c r="AI99" s="1">
        <v>0</v>
      </c>
      <c r="AJ99" s="1" t="s">
        <v>21</v>
      </c>
      <c r="AK99" s="1" t="s">
        <v>21</v>
      </c>
      <c r="AL99" s="17">
        <v>44112</v>
      </c>
      <c r="AM99" s="18" t="s">
        <v>11</v>
      </c>
      <c r="AN99" s="10"/>
    </row>
    <row r="100" spans="2:40" customFormat="1" ht="15" customHeight="1" x14ac:dyDescent="0.25">
      <c r="B100" s="1">
        <f t="shared" si="1"/>
        <v>90</v>
      </c>
      <c r="C100" s="1">
        <v>1</v>
      </c>
      <c r="D100" s="1" t="s">
        <v>186</v>
      </c>
      <c r="E100" s="1" t="s">
        <v>186</v>
      </c>
      <c r="F100" s="1" t="s">
        <v>19</v>
      </c>
      <c r="G100" s="1"/>
      <c r="H100" s="1" t="s">
        <v>164</v>
      </c>
      <c r="I100" s="1" t="s">
        <v>85</v>
      </c>
      <c r="J100" s="1" t="s">
        <v>408</v>
      </c>
      <c r="K100" s="1" t="s">
        <v>340</v>
      </c>
      <c r="L100" s="1">
        <v>0</v>
      </c>
      <c r="M100" s="1">
        <v>4</v>
      </c>
      <c r="N100" s="1">
        <v>0</v>
      </c>
      <c r="O100" s="1">
        <v>3</v>
      </c>
      <c r="P100" s="1">
        <v>0</v>
      </c>
      <c r="Q100" s="1">
        <v>0</v>
      </c>
      <c r="R100" s="1"/>
      <c r="S100" s="1">
        <v>0</v>
      </c>
      <c r="T100" s="1">
        <v>3</v>
      </c>
      <c r="U100" s="1">
        <v>0</v>
      </c>
      <c r="V100" s="1">
        <v>0</v>
      </c>
      <c r="W100" s="1">
        <v>0</v>
      </c>
      <c r="X100" s="1">
        <v>4</v>
      </c>
      <c r="Y100" s="1">
        <v>0</v>
      </c>
      <c r="Z100" s="1">
        <v>4</v>
      </c>
      <c r="AA100" s="1">
        <v>0</v>
      </c>
      <c r="AB100" s="1"/>
      <c r="AC100" s="1"/>
      <c r="AD100" s="1"/>
      <c r="AE100" s="1">
        <v>4</v>
      </c>
      <c r="AF100" s="1">
        <v>0</v>
      </c>
      <c r="AG100" s="1">
        <v>0</v>
      </c>
      <c r="AH100" s="1">
        <v>0</v>
      </c>
      <c r="AI100" s="1">
        <v>0</v>
      </c>
      <c r="AJ100" s="1" t="s">
        <v>21</v>
      </c>
      <c r="AK100" s="1" t="s">
        <v>21</v>
      </c>
      <c r="AL100" s="17">
        <v>44162</v>
      </c>
      <c r="AM100" s="18" t="s">
        <v>330</v>
      </c>
      <c r="AN100" s="10"/>
    </row>
    <row r="101" spans="2:40" customFormat="1" ht="15" customHeight="1" x14ac:dyDescent="0.25">
      <c r="B101" s="1">
        <f t="shared" si="1"/>
        <v>91</v>
      </c>
      <c r="C101" s="1">
        <v>0</v>
      </c>
      <c r="D101" s="1" t="s">
        <v>185</v>
      </c>
      <c r="E101" s="1" t="s">
        <v>196</v>
      </c>
      <c r="F101" s="1" t="s">
        <v>113</v>
      </c>
      <c r="G101" s="1"/>
      <c r="H101" s="1" t="s">
        <v>200</v>
      </c>
      <c r="I101" s="1" t="s">
        <v>86</v>
      </c>
      <c r="J101" s="1" t="s">
        <v>62</v>
      </c>
      <c r="K101" s="1" t="s">
        <v>11</v>
      </c>
      <c r="L101" s="1">
        <v>4</v>
      </c>
      <c r="M101" s="1">
        <v>4</v>
      </c>
      <c r="N101" s="1">
        <v>0</v>
      </c>
      <c r="O101" s="1">
        <v>0</v>
      </c>
      <c r="P101" s="1">
        <v>0</v>
      </c>
      <c r="Q101" s="1">
        <v>0</v>
      </c>
      <c r="R101" s="1"/>
      <c r="S101" s="1">
        <v>0</v>
      </c>
      <c r="T101" s="1">
        <v>4</v>
      </c>
      <c r="U101" s="1">
        <v>0</v>
      </c>
      <c r="V101" s="1">
        <v>0</v>
      </c>
      <c r="W101" s="1">
        <v>0</v>
      </c>
      <c r="X101" s="1">
        <v>0</v>
      </c>
      <c r="Y101" s="1"/>
      <c r="Z101" s="1"/>
      <c r="AA101" s="1">
        <v>0</v>
      </c>
      <c r="AB101" s="1"/>
      <c r="AC101" s="1"/>
      <c r="AD101" s="1"/>
      <c r="AE101" s="1"/>
      <c r="AF101" s="1"/>
      <c r="AG101" s="1">
        <v>0</v>
      </c>
      <c r="AH101" s="1"/>
      <c r="AI101" s="1"/>
      <c r="AJ101" s="1" t="s">
        <v>21</v>
      </c>
      <c r="AK101" s="1" t="s">
        <v>21</v>
      </c>
      <c r="AL101" s="17">
        <v>43472</v>
      </c>
      <c r="AM101" s="18" t="s">
        <v>11</v>
      </c>
      <c r="AN101" s="10"/>
    </row>
    <row r="102" spans="2:40" customFormat="1" ht="15" customHeight="1" x14ac:dyDescent="0.25">
      <c r="B102" s="1">
        <f t="shared" si="1"/>
        <v>92</v>
      </c>
      <c r="C102" s="1">
        <v>1</v>
      </c>
      <c r="D102" s="1" t="s">
        <v>283</v>
      </c>
      <c r="E102" s="1" t="s">
        <v>52</v>
      </c>
      <c r="F102" s="1" t="s">
        <v>166</v>
      </c>
      <c r="G102" s="1" t="s">
        <v>166</v>
      </c>
      <c r="H102" s="1" t="s">
        <v>492</v>
      </c>
      <c r="I102" s="1" t="s">
        <v>85</v>
      </c>
      <c r="J102" s="1" t="s">
        <v>312</v>
      </c>
      <c r="K102" s="1" t="s">
        <v>408</v>
      </c>
      <c r="L102" s="1">
        <v>0</v>
      </c>
      <c r="M102" s="1">
        <v>0</v>
      </c>
      <c r="N102" s="1">
        <v>4</v>
      </c>
      <c r="O102" s="1">
        <v>0</v>
      </c>
      <c r="P102" s="1">
        <v>0</v>
      </c>
      <c r="Q102" s="1">
        <v>3</v>
      </c>
      <c r="R102" s="1"/>
      <c r="S102" s="1">
        <v>0</v>
      </c>
      <c r="T102" s="1">
        <v>0</v>
      </c>
      <c r="U102" s="1">
        <v>3</v>
      </c>
      <c r="V102" s="1">
        <v>3</v>
      </c>
      <c r="W102" s="1"/>
      <c r="X102" s="1"/>
      <c r="Y102" s="1">
        <v>4</v>
      </c>
      <c r="Z102" s="1">
        <v>3</v>
      </c>
      <c r="AA102" s="1"/>
      <c r="AB102" s="1"/>
      <c r="AC102" s="1"/>
      <c r="AD102" s="1"/>
      <c r="AE102" s="1">
        <v>3</v>
      </c>
      <c r="AF102" s="1"/>
      <c r="AG102" s="1"/>
      <c r="AH102" s="1">
        <v>0</v>
      </c>
      <c r="AI102" s="1">
        <v>0</v>
      </c>
      <c r="AJ102" s="1" t="s">
        <v>21</v>
      </c>
      <c r="AK102" s="1" t="s">
        <v>21</v>
      </c>
      <c r="AL102" s="17" t="s">
        <v>532</v>
      </c>
      <c r="AM102" s="18" t="s">
        <v>410</v>
      </c>
      <c r="AN102" s="10" t="s">
        <v>496</v>
      </c>
    </row>
    <row r="103" spans="2:40" customFormat="1" ht="15" customHeight="1" x14ac:dyDescent="0.25">
      <c r="B103" s="1">
        <f t="shared" si="1"/>
        <v>93</v>
      </c>
      <c r="C103" s="1">
        <v>1</v>
      </c>
      <c r="D103" s="1" t="s">
        <v>386</v>
      </c>
      <c r="E103" s="1" t="s">
        <v>294</v>
      </c>
      <c r="F103" s="1" t="s">
        <v>57</v>
      </c>
      <c r="G103" s="1"/>
      <c r="H103" s="18" t="s">
        <v>385</v>
      </c>
      <c r="I103" s="1" t="s">
        <v>87</v>
      </c>
      <c r="J103" s="1" t="s">
        <v>12</v>
      </c>
      <c r="K103" s="1" t="s">
        <v>331</v>
      </c>
      <c r="L103" s="1">
        <v>0</v>
      </c>
      <c r="M103" s="1">
        <v>0</v>
      </c>
      <c r="N103" s="1">
        <v>4</v>
      </c>
      <c r="O103" s="1">
        <v>0</v>
      </c>
      <c r="P103" s="1">
        <v>0</v>
      </c>
      <c r="Q103" s="1">
        <v>4</v>
      </c>
      <c r="R103" s="1">
        <v>3</v>
      </c>
      <c r="S103" s="1">
        <v>0</v>
      </c>
      <c r="T103" s="1">
        <v>0</v>
      </c>
      <c r="U103" s="1">
        <v>0</v>
      </c>
      <c r="V103" s="1">
        <v>0</v>
      </c>
      <c r="W103" s="1">
        <v>0</v>
      </c>
      <c r="X103" s="1">
        <v>0</v>
      </c>
      <c r="Y103" s="1">
        <v>0</v>
      </c>
      <c r="Z103" s="1">
        <v>0</v>
      </c>
      <c r="AA103" s="1">
        <v>0</v>
      </c>
      <c r="AB103" s="1"/>
      <c r="AC103" s="1"/>
      <c r="AD103" s="1"/>
      <c r="AE103" s="1"/>
      <c r="AF103" s="1"/>
      <c r="AG103" s="1">
        <v>0</v>
      </c>
      <c r="AH103" s="1">
        <v>0</v>
      </c>
      <c r="AI103" s="1">
        <v>0</v>
      </c>
      <c r="AJ103" s="1" t="s">
        <v>32</v>
      </c>
      <c r="AK103" s="1" t="s">
        <v>21</v>
      </c>
      <c r="AL103" s="17">
        <v>43579</v>
      </c>
      <c r="AM103" s="18" t="s">
        <v>12</v>
      </c>
      <c r="AN103" s="10" t="s">
        <v>76</v>
      </c>
    </row>
    <row r="104" spans="2:40" customFormat="1" ht="15" customHeight="1" x14ac:dyDescent="0.25">
      <c r="B104" s="1">
        <f t="shared" si="1"/>
        <v>94</v>
      </c>
      <c r="C104" s="1">
        <v>1</v>
      </c>
      <c r="D104" s="1" t="s">
        <v>187</v>
      </c>
      <c r="E104" s="1" t="s">
        <v>347</v>
      </c>
      <c r="F104" s="1" t="s">
        <v>45</v>
      </c>
      <c r="G104" s="1" t="s">
        <v>45</v>
      </c>
      <c r="H104" s="1" t="s">
        <v>445</v>
      </c>
      <c r="I104" s="1" t="s">
        <v>85</v>
      </c>
      <c r="J104" s="1" t="s">
        <v>312</v>
      </c>
      <c r="K104" s="1" t="s">
        <v>408</v>
      </c>
      <c r="L104" s="1"/>
      <c r="M104" s="1"/>
      <c r="N104" s="1"/>
      <c r="O104" s="1"/>
      <c r="P104" s="1"/>
      <c r="Q104" s="1"/>
      <c r="R104" s="1"/>
      <c r="S104" s="1"/>
      <c r="T104" s="1"/>
      <c r="U104" s="1"/>
      <c r="V104" s="1"/>
      <c r="W104" s="1"/>
      <c r="X104" s="1"/>
      <c r="Y104" s="1">
        <v>4</v>
      </c>
      <c r="Z104" s="1">
        <v>3</v>
      </c>
      <c r="AA104" s="1"/>
      <c r="AB104" s="1"/>
      <c r="AC104" s="1"/>
      <c r="AD104" s="1"/>
      <c r="AE104" s="1">
        <v>3</v>
      </c>
      <c r="AF104" s="1"/>
      <c r="AG104" s="1"/>
      <c r="AH104" s="1"/>
      <c r="AI104" s="1">
        <v>0</v>
      </c>
      <c r="AJ104" s="1" t="s">
        <v>32</v>
      </c>
      <c r="AK104" s="1" t="s">
        <v>21</v>
      </c>
      <c r="AL104" s="17" t="s">
        <v>451</v>
      </c>
      <c r="AM104" s="18" t="s">
        <v>410</v>
      </c>
      <c r="AN104" s="10"/>
    </row>
    <row r="105" spans="2:40" customFormat="1" ht="15" customHeight="1" x14ac:dyDescent="0.25">
      <c r="B105" s="1">
        <f t="shared" si="1"/>
        <v>95</v>
      </c>
      <c r="C105" s="1">
        <v>1</v>
      </c>
      <c r="D105" s="1" t="s">
        <v>212</v>
      </c>
      <c r="E105" s="1" t="s">
        <v>91</v>
      </c>
      <c r="F105" s="1" t="s">
        <v>96</v>
      </c>
      <c r="G105" s="1" t="s">
        <v>96</v>
      </c>
      <c r="H105" s="1" t="s">
        <v>167</v>
      </c>
      <c r="I105" s="1" t="s">
        <v>85</v>
      </c>
      <c r="J105" s="1" t="s">
        <v>170</v>
      </c>
      <c r="K105" s="1" t="s">
        <v>452</v>
      </c>
      <c r="L105" s="1">
        <v>0</v>
      </c>
      <c r="M105" s="1">
        <v>0</v>
      </c>
      <c r="N105" s="1">
        <v>0</v>
      </c>
      <c r="O105" s="1">
        <v>0</v>
      </c>
      <c r="P105" s="1">
        <v>0</v>
      </c>
      <c r="Q105" s="1">
        <v>0</v>
      </c>
      <c r="R105" s="1"/>
      <c r="S105" s="1">
        <v>4</v>
      </c>
      <c r="T105" s="1">
        <v>0</v>
      </c>
      <c r="U105" s="1">
        <v>0</v>
      </c>
      <c r="V105" s="1">
        <v>2</v>
      </c>
      <c r="W105" s="1">
        <v>4</v>
      </c>
      <c r="X105" s="1">
        <v>0</v>
      </c>
      <c r="Y105" s="1"/>
      <c r="Z105" s="1"/>
      <c r="AA105" s="1">
        <v>0</v>
      </c>
      <c r="AB105" s="1"/>
      <c r="AC105" s="1"/>
      <c r="AD105" s="1"/>
      <c r="AE105" s="1"/>
      <c r="AF105" s="1">
        <v>4</v>
      </c>
      <c r="AG105" s="1">
        <v>1</v>
      </c>
      <c r="AH105" s="1">
        <v>0</v>
      </c>
      <c r="AI105" s="1">
        <v>0</v>
      </c>
      <c r="AJ105" s="1" t="s">
        <v>21</v>
      </c>
      <c r="AK105" s="1" t="s">
        <v>21</v>
      </c>
      <c r="AL105" s="17"/>
      <c r="AM105" s="18"/>
      <c r="AN105" s="10"/>
    </row>
    <row r="106" spans="2:40" customFormat="1" ht="15" customHeight="1" x14ac:dyDescent="0.25">
      <c r="B106" s="1">
        <f t="shared" si="1"/>
        <v>96</v>
      </c>
      <c r="C106" s="1">
        <v>1</v>
      </c>
      <c r="D106" s="1" t="s">
        <v>212</v>
      </c>
      <c r="E106" s="1" t="s">
        <v>91</v>
      </c>
      <c r="F106" s="1" t="s">
        <v>96</v>
      </c>
      <c r="G106" s="1" t="s">
        <v>96</v>
      </c>
      <c r="H106" s="1" t="s">
        <v>168</v>
      </c>
      <c r="I106" s="1" t="s">
        <v>85</v>
      </c>
      <c r="J106" s="1" t="s">
        <v>170</v>
      </c>
      <c r="K106" s="1" t="s">
        <v>452</v>
      </c>
      <c r="L106" s="1">
        <v>0</v>
      </c>
      <c r="M106" s="1">
        <v>0</v>
      </c>
      <c r="N106" s="1">
        <v>0</v>
      </c>
      <c r="O106" s="1">
        <v>0</v>
      </c>
      <c r="P106" s="1">
        <v>0</v>
      </c>
      <c r="Q106" s="1">
        <v>0</v>
      </c>
      <c r="R106" s="1"/>
      <c r="S106" s="1">
        <v>4</v>
      </c>
      <c r="T106" s="1">
        <v>0</v>
      </c>
      <c r="U106" s="1">
        <v>0</v>
      </c>
      <c r="V106" s="1">
        <v>2</v>
      </c>
      <c r="W106" s="1">
        <v>4</v>
      </c>
      <c r="X106" s="1">
        <v>0</v>
      </c>
      <c r="Y106" s="1"/>
      <c r="Z106" s="1"/>
      <c r="AA106" s="1">
        <v>0</v>
      </c>
      <c r="AB106" s="1"/>
      <c r="AC106" s="1"/>
      <c r="AD106" s="1"/>
      <c r="AE106" s="1"/>
      <c r="AF106" s="1">
        <v>4</v>
      </c>
      <c r="AG106" s="1">
        <v>1</v>
      </c>
      <c r="AH106" s="1">
        <v>0</v>
      </c>
      <c r="AI106" s="1">
        <v>0</v>
      </c>
      <c r="AJ106" s="1" t="s">
        <v>21</v>
      </c>
      <c r="AK106" s="1" t="s">
        <v>21</v>
      </c>
      <c r="AL106" s="17"/>
      <c r="AM106" s="18"/>
      <c r="AN106" s="10"/>
    </row>
    <row r="107" spans="2:40" customFormat="1" ht="15" customHeight="1" x14ac:dyDescent="0.25">
      <c r="B107" s="1">
        <f t="shared" si="1"/>
        <v>97</v>
      </c>
      <c r="C107" s="1">
        <v>1</v>
      </c>
      <c r="D107" s="1" t="s">
        <v>212</v>
      </c>
      <c r="E107" s="1" t="s">
        <v>91</v>
      </c>
      <c r="F107" s="1" t="s">
        <v>96</v>
      </c>
      <c r="G107" s="1" t="s">
        <v>96</v>
      </c>
      <c r="H107" s="1" t="s">
        <v>169</v>
      </c>
      <c r="I107" s="1" t="s">
        <v>85</v>
      </c>
      <c r="J107" s="1" t="s">
        <v>170</v>
      </c>
      <c r="K107" s="1" t="s">
        <v>452</v>
      </c>
      <c r="L107" s="1">
        <v>0</v>
      </c>
      <c r="M107" s="1">
        <v>0</v>
      </c>
      <c r="N107" s="1">
        <v>0</v>
      </c>
      <c r="O107" s="1">
        <v>0</v>
      </c>
      <c r="P107" s="1">
        <v>0</v>
      </c>
      <c r="Q107" s="1">
        <v>0</v>
      </c>
      <c r="R107" s="1"/>
      <c r="S107" s="1">
        <v>4</v>
      </c>
      <c r="T107" s="1">
        <v>0</v>
      </c>
      <c r="U107" s="1">
        <v>0</v>
      </c>
      <c r="V107" s="1">
        <v>2</v>
      </c>
      <c r="W107" s="1">
        <v>4</v>
      </c>
      <c r="X107" s="1">
        <v>0</v>
      </c>
      <c r="Y107" s="1"/>
      <c r="Z107" s="1"/>
      <c r="AA107" s="1">
        <v>0</v>
      </c>
      <c r="AB107" s="1"/>
      <c r="AC107" s="1"/>
      <c r="AD107" s="1"/>
      <c r="AE107" s="1"/>
      <c r="AF107" s="1">
        <v>4</v>
      </c>
      <c r="AG107" s="1">
        <v>1</v>
      </c>
      <c r="AH107" s="1">
        <v>0</v>
      </c>
      <c r="AI107" s="1">
        <v>0</v>
      </c>
      <c r="AJ107" s="1" t="s">
        <v>21</v>
      </c>
      <c r="AK107" s="1" t="s">
        <v>21</v>
      </c>
      <c r="AL107" s="17"/>
      <c r="AM107" s="18"/>
      <c r="AN107" s="10"/>
    </row>
    <row r="108" spans="2:40" customFormat="1" ht="15" customHeight="1" x14ac:dyDescent="0.25">
      <c r="B108" s="1">
        <f t="shared" si="1"/>
        <v>98</v>
      </c>
      <c r="C108" s="1">
        <v>1</v>
      </c>
      <c r="D108" s="1" t="s">
        <v>212</v>
      </c>
      <c r="E108" s="1" t="s">
        <v>91</v>
      </c>
      <c r="F108" s="1" t="s">
        <v>92</v>
      </c>
      <c r="G108" s="1" t="s">
        <v>92</v>
      </c>
      <c r="H108" s="1" t="s">
        <v>468</v>
      </c>
      <c r="I108" s="1" t="s">
        <v>85</v>
      </c>
      <c r="J108" s="1" t="s">
        <v>170</v>
      </c>
      <c r="K108" s="1" t="s">
        <v>452</v>
      </c>
      <c r="L108" s="1">
        <v>0</v>
      </c>
      <c r="M108" s="1">
        <v>0</v>
      </c>
      <c r="N108" s="1">
        <v>0</v>
      </c>
      <c r="O108" s="1">
        <v>0</v>
      </c>
      <c r="P108" s="1">
        <v>0</v>
      </c>
      <c r="Q108" s="1">
        <v>0</v>
      </c>
      <c r="R108" s="1"/>
      <c r="S108" s="1">
        <v>4</v>
      </c>
      <c r="T108" s="1">
        <v>0</v>
      </c>
      <c r="U108" s="1">
        <v>0</v>
      </c>
      <c r="V108" s="1">
        <v>0</v>
      </c>
      <c r="W108" s="1">
        <v>4</v>
      </c>
      <c r="X108" s="1">
        <v>0</v>
      </c>
      <c r="Y108" s="1"/>
      <c r="Z108" s="1"/>
      <c r="AA108" s="1">
        <v>0</v>
      </c>
      <c r="AB108" s="1"/>
      <c r="AC108" s="1"/>
      <c r="AD108" s="1"/>
      <c r="AE108" s="1"/>
      <c r="AF108" s="1">
        <v>4</v>
      </c>
      <c r="AG108" s="1">
        <v>3</v>
      </c>
      <c r="AH108" s="1">
        <v>0</v>
      </c>
      <c r="AI108" s="1">
        <v>0</v>
      </c>
      <c r="AJ108" s="1" t="s">
        <v>21</v>
      </c>
      <c r="AK108" s="1" t="s">
        <v>21</v>
      </c>
      <c r="AL108" s="17"/>
      <c r="AM108" s="18"/>
      <c r="AN108" s="10"/>
    </row>
    <row r="109" spans="2:40" customFormat="1" ht="15" customHeight="1" x14ac:dyDescent="0.25">
      <c r="B109" s="1">
        <f t="shared" si="1"/>
        <v>99</v>
      </c>
      <c r="C109" s="1">
        <v>1</v>
      </c>
      <c r="D109" s="1" t="s">
        <v>212</v>
      </c>
      <c r="E109" s="1" t="s">
        <v>91</v>
      </c>
      <c r="F109" s="1" t="s">
        <v>92</v>
      </c>
      <c r="G109" s="1" t="s">
        <v>92</v>
      </c>
      <c r="H109" s="1" t="s">
        <v>288</v>
      </c>
      <c r="I109" s="1" t="s">
        <v>87</v>
      </c>
      <c r="J109" s="1" t="s">
        <v>170</v>
      </c>
      <c r="K109" s="1" t="s">
        <v>452</v>
      </c>
      <c r="L109" s="1">
        <v>0</v>
      </c>
      <c r="M109" s="1">
        <v>0</v>
      </c>
      <c r="N109" s="1">
        <v>0</v>
      </c>
      <c r="O109" s="1">
        <v>0</v>
      </c>
      <c r="P109" s="1">
        <v>0</v>
      </c>
      <c r="Q109" s="1">
        <v>0</v>
      </c>
      <c r="R109" s="1"/>
      <c r="S109" s="1">
        <v>4</v>
      </c>
      <c r="T109" s="1">
        <v>0</v>
      </c>
      <c r="U109" s="1">
        <v>0</v>
      </c>
      <c r="V109" s="1">
        <v>0</v>
      </c>
      <c r="W109" s="1">
        <v>4</v>
      </c>
      <c r="X109" s="1">
        <v>0</v>
      </c>
      <c r="Y109" s="1"/>
      <c r="Z109" s="1"/>
      <c r="AA109" s="1">
        <v>0</v>
      </c>
      <c r="AB109" s="1"/>
      <c r="AC109" s="1"/>
      <c r="AD109" s="1"/>
      <c r="AE109" s="1"/>
      <c r="AF109" s="1">
        <v>4</v>
      </c>
      <c r="AG109" s="1">
        <v>3</v>
      </c>
      <c r="AH109" s="1">
        <v>0</v>
      </c>
      <c r="AI109" s="1">
        <v>0</v>
      </c>
      <c r="AJ109" s="1" t="s">
        <v>32</v>
      </c>
      <c r="AK109" s="1" t="s">
        <v>32</v>
      </c>
      <c r="AL109" s="17"/>
      <c r="AM109" s="18"/>
      <c r="AN109" s="10"/>
    </row>
    <row r="110" spans="2:40" customFormat="1" ht="15" customHeight="1" x14ac:dyDescent="0.25">
      <c r="B110" s="1">
        <f t="shared" si="1"/>
        <v>100</v>
      </c>
      <c r="C110" s="1">
        <v>1</v>
      </c>
      <c r="D110" s="1" t="s">
        <v>212</v>
      </c>
      <c r="E110" s="1" t="s">
        <v>91</v>
      </c>
      <c r="F110" s="1" t="s">
        <v>96</v>
      </c>
      <c r="G110" s="1" t="s">
        <v>96</v>
      </c>
      <c r="H110" s="1" t="s">
        <v>289</v>
      </c>
      <c r="I110" s="1" t="s">
        <v>87</v>
      </c>
      <c r="J110" s="1" t="s">
        <v>170</v>
      </c>
      <c r="K110" s="1" t="s">
        <v>452</v>
      </c>
      <c r="L110" s="1">
        <v>0</v>
      </c>
      <c r="M110" s="1">
        <v>0</v>
      </c>
      <c r="N110" s="1">
        <v>0</v>
      </c>
      <c r="O110" s="1">
        <v>0</v>
      </c>
      <c r="P110" s="1">
        <v>0</v>
      </c>
      <c r="Q110" s="1">
        <v>0</v>
      </c>
      <c r="R110" s="1"/>
      <c r="S110" s="1">
        <v>4</v>
      </c>
      <c r="T110" s="1">
        <v>0</v>
      </c>
      <c r="U110" s="1">
        <v>0</v>
      </c>
      <c r="V110" s="1">
        <v>1</v>
      </c>
      <c r="W110" s="1">
        <v>4</v>
      </c>
      <c r="X110" s="1">
        <v>0</v>
      </c>
      <c r="Y110" s="1"/>
      <c r="Z110" s="1"/>
      <c r="AA110" s="1">
        <v>0</v>
      </c>
      <c r="AB110" s="1"/>
      <c r="AC110" s="1"/>
      <c r="AD110" s="1"/>
      <c r="AE110" s="1"/>
      <c r="AF110" s="1">
        <v>4</v>
      </c>
      <c r="AG110" s="1">
        <v>3</v>
      </c>
      <c r="AH110" s="1">
        <v>0</v>
      </c>
      <c r="AI110" s="1">
        <v>0</v>
      </c>
      <c r="AJ110" s="1" t="s">
        <v>32</v>
      </c>
      <c r="AK110" s="1" t="s">
        <v>32</v>
      </c>
      <c r="AL110" s="17"/>
      <c r="AM110" s="18"/>
      <c r="AN110" s="10"/>
    </row>
    <row r="111" spans="2:40" customFormat="1" ht="15" customHeight="1" x14ac:dyDescent="0.25">
      <c r="B111" s="1">
        <f t="shared" si="1"/>
        <v>101</v>
      </c>
      <c r="C111" s="1">
        <v>1</v>
      </c>
      <c r="D111" s="1" t="s">
        <v>212</v>
      </c>
      <c r="E111" s="1" t="s">
        <v>91</v>
      </c>
      <c r="F111" s="1" t="s">
        <v>98</v>
      </c>
      <c r="G111" s="1" t="s">
        <v>98</v>
      </c>
      <c r="H111" s="1" t="s">
        <v>290</v>
      </c>
      <c r="I111" s="1" t="s">
        <v>87</v>
      </c>
      <c r="J111" s="1" t="s">
        <v>170</v>
      </c>
      <c r="K111" s="1" t="s">
        <v>452</v>
      </c>
      <c r="L111" s="1">
        <v>0</v>
      </c>
      <c r="M111" s="1">
        <v>0</v>
      </c>
      <c r="N111" s="1">
        <v>0</v>
      </c>
      <c r="O111" s="1">
        <v>0</v>
      </c>
      <c r="P111" s="1">
        <v>0</v>
      </c>
      <c r="Q111" s="1">
        <v>0</v>
      </c>
      <c r="R111" s="1"/>
      <c r="S111" s="1">
        <v>4</v>
      </c>
      <c r="T111" s="1">
        <v>0</v>
      </c>
      <c r="U111" s="1">
        <v>0</v>
      </c>
      <c r="V111" s="1">
        <v>0</v>
      </c>
      <c r="W111" s="1">
        <v>4</v>
      </c>
      <c r="X111" s="1">
        <v>0</v>
      </c>
      <c r="Y111" s="1"/>
      <c r="Z111" s="1"/>
      <c r="AA111" s="1">
        <v>0</v>
      </c>
      <c r="AB111" s="1"/>
      <c r="AC111" s="1"/>
      <c r="AD111" s="1"/>
      <c r="AE111" s="1"/>
      <c r="AF111" s="1">
        <v>4</v>
      </c>
      <c r="AG111" s="1">
        <v>3</v>
      </c>
      <c r="AH111" s="1">
        <v>0</v>
      </c>
      <c r="AI111" s="1">
        <v>0</v>
      </c>
      <c r="AJ111" s="1" t="s">
        <v>32</v>
      </c>
      <c r="AK111" s="1" t="s">
        <v>32</v>
      </c>
      <c r="AL111" s="17"/>
      <c r="AM111" s="18"/>
      <c r="AN111" s="10"/>
    </row>
    <row r="112" spans="2:40" customFormat="1" ht="15" customHeight="1" x14ac:dyDescent="0.25">
      <c r="B112" s="1">
        <f t="shared" si="1"/>
        <v>102</v>
      </c>
      <c r="C112" s="1">
        <v>1</v>
      </c>
      <c r="D112" s="1" t="s">
        <v>212</v>
      </c>
      <c r="E112" s="1" t="s">
        <v>101</v>
      </c>
      <c r="F112" s="1" t="s">
        <v>105</v>
      </c>
      <c r="G112" s="1" t="s">
        <v>102</v>
      </c>
      <c r="H112" s="1" t="s">
        <v>291</v>
      </c>
      <c r="I112" s="1" t="s">
        <v>87</v>
      </c>
      <c r="J112" s="1" t="s">
        <v>170</v>
      </c>
      <c r="K112" s="1" t="s">
        <v>452</v>
      </c>
      <c r="L112" s="1">
        <v>0</v>
      </c>
      <c r="M112" s="1">
        <v>0</v>
      </c>
      <c r="N112" s="1">
        <v>0</v>
      </c>
      <c r="O112" s="1">
        <v>0</v>
      </c>
      <c r="P112" s="1">
        <v>0</v>
      </c>
      <c r="Q112" s="1">
        <v>0</v>
      </c>
      <c r="R112" s="1">
        <v>0</v>
      </c>
      <c r="S112" s="1">
        <v>4</v>
      </c>
      <c r="T112" s="1">
        <v>0</v>
      </c>
      <c r="U112" s="1">
        <v>0</v>
      </c>
      <c r="V112" s="1">
        <v>1</v>
      </c>
      <c r="W112" s="1">
        <v>4</v>
      </c>
      <c r="X112" s="1">
        <v>0</v>
      </c>
      <c r="Y112" s="1">
        <v>0</v>
      </c>
      <c r="Z112" s="1">
        <v>0</v>
      </c>
      <c r="AA112" s="1">
        <v>0</v>
      </c>
      <c r="AB112" s="1"/>
      <c r="AC112" s="1"/>
      <c r="AD112" s="1"/>
      <c r="AE112" s="1"/>
      <c r="AF112" s="1">
        <v>4</v>
      </c>
      <c r="AG112" s="1">
        <v>3</v>
      </c>
      <c r="AH112" s="1">
        <v>0</v>
      </c>
      <c r="AI112" s="1">
        <v>0</v>
      </c>
      <c r="AJ112" s="1" t="s">
        <v>21</v>
      </c>
      <c r="AK112" s="1" t="s">
        <v>21</v>
      </c>
      <c r="AL112" s="17"/>
      <c r="AM112" s="18"/>
      <c r="AN112" s="10"/>
    </row>
    <row r="113" spans="2:41" ht="15" customHeight="1" x14ac:dyDescent="0.25">
      <c r="B113" s="1">
        <f t="shared" si="1"/>
        <v>103</v>
      </c>
      <c r="C113" s="1">
        <v>1</v>
      </c>
      <c r="D113" s="1" t="s">
        <v>212</v>
      </c>
      <c r="E113" s="1" t="s">
        <v>101</v>
      </c>
      <c r="F113" s="1" t="s">
        <v>105</v>
      </c>
      <c r="G113" s="1" t="s">
        <v>104</v>
      </c>
      <c r="H113" s="1" t="s">
        <v>292</v>
      </c>
      <c r="I113" s="1" t="s">
        <v>87</v>
      </c>
      <c r="J113" s="1" t="s">
        <v>170</v>
      </c>
      <c r="K113" s="1" t="s">
        <v>452</v>
      </c>
      <c r="L113" s="1">
        <v>0</v>
      </c>
      <c r="M113" s="1">
        <v>0</v>
      </c>
      <c r="N113" s="1">
        <v>0</v>
      </c>
      <c r="O113" s="1">
        <v>0</v>
      </c>
      <c r="P113" s="1">
        <v>0</v>
      </c>
      <c r="Q113" s="1">
        <v>0</v>
      </c>
      <c r="R113" s="1">
        <v>0</v>
      </c>
      <c r="S113" s="1">
        <v>4</v>
      </c>
      <c r="T113" s="1">
        <v>0</v>
      </c>
      <c r="U113" s="1">
        <v>0</v>
      </c>
      <c r="V113" s="1">
        <v>1</v>
      </c>
      <c r="W113" s="1">
        <v>4</v>
      </c>
      <c r="X113" s="1">
        <v>0</v>
      </c>
      <c r="Y113" s="1">
        <v>0</v>
      </c>
      <c r="Z113" s="1">
        <v>0</v>
      </c>
      <c r="AA113" s="1">
        <v>0</v>
      </c>
      <c r="AB113" s="1"/>
      <c r="AC113" s="1"/>
      <c r="AD113" s="1"/>
      <c r="AE113" s="1"/>
      <c r="AF113" s="1">
        <v>4</v>
      </c>
      <c r="AG113" s="1">
        <v>3</v>
      </c>
      <c r="AH113" s="1">
        <v>0</v>
      </c>
      <c r="AI113" s="1">
        <v>0</v>
      </c>
      <c r="AJ113" s="1" t="s">
        <v>21</v>
      </c>
      <c r="AK113" s="1" t="s">
        <v>21</v>
      </c>
      <c r="AL113" s="17"/>
      <c r="AM113" s="18"/>
      <c r="AN113" s="10"/>
      <c r="AO113"/>
    </row>
    <row r="114" spans="2:41" x14ac:dyDescent="0.25">
      <c r="B114" s="1">
        <f t="shared" si="1"/>
        <v>104</v>
      </c>
      <c r="C114" s="1">
        <v>1</v>
      </c>
      <c r="D114" s="1" t="s">
        <v>212</v>
      </c>
      <c r="E114" s="1" t="s">
        <v>101</v>
      </c>
      <c r="F114" s="1" t="s">
        <v>118</v>
      </c>
      <c r="G114" s="1" t="s">
        <v>118</v>
      </c>
      <c r="H114" s="1" t="s">
        <v>293</v>
      </c>
      <c r="I114" s="1" t="s">
        <v>87</v>
      </c>
      <c r="J114" s="1" t="s">
        <v>170</v>
      </c>
      <c r="K114" s="1" t="s">
        <v>452</v>
      </c>
      <c r="L114" s="1">
        <v>0</v>
      </c>
      <c r="M114" s="1">
        <v>0</v>
      </c>
      <c r="N114" s="1">
        <v>0</v>
      </c>
      <c r="O114" s="1">
        <v>0</v>
      </c>
      <c r="P114" s="1">
        <v>0</v>
      </c>
      <c r="Q114" s="1">
        <v>0</v>
      </c>
      <c r="R114" s="1">
        <v>0</v>
      </c>
      <c r="S114" s="1">
        <v>4</v>
      </c>
      <c r="T114" s="1">
        <v>0</v>
      </c>
      <c r="U114" s="1">
        <v>0</v>
      </c>
      <c r="V114" s="1">
        <v>1</v>
      </c>
      <c r="W114" s="1">
        <v>4</v>
      </c>
      <c r="X114" s="1">
        <v>0</v>
      </c>
      <c r="Y114" s="1">
        <v>0</v>
      </c>
      <c r="Z114" s="1">
        <v>0</v>
      </c>
      <c r="AA114" s="1">
        <v>0</v>
      </c>
      <c r="AB114" s="1"/>
      <c r="AC114" s="1"/>
      <c r="AD114" s="1"/>
      <c r="AE114" s="1"/>
      <c r="AF114" s="1">
        <v>4</v>
      </c>
      <c r="AG114" s="1">
        <v>3</v>
      </c>
      <c r="AH114" s="1">
        <v>0</v>
      </c>
      <c r="AI114" s="1">
        <v>0</v>
      </c>
      <c r="AJ114" s="1" t="s">
        <v>21</v>
      </c>
      <c r="AK114" s="1" t="s">
        <v>21</v>
      </c>
      <c r="AL114" s="17"/>
      <c r="AM114" s="18"/>
      <c r="AN114" s="10"/>
      <c r="AO114"/>
    </row>
    <row r="115" spans="2:41" ht="15" customHeight="1" x14ac:dyDescent="0.25">
      <c r="B115" s="1">
        <f t="shared" si="1"/>
        <v>105</v>
      </c>
      <c r="C115" s="1">
        <v>0</v>
      </c>
      <c r="D115" s="1" t="s">
        <v>186</v>
      </c>
      <c r="E115" s="1" t="s">
        <v>186</v>
      </c>
      <c r="F115" s="1" t="s">
        <v>46</v>
      </c>
      <c r="G115" s="1" t="s">
        <v>46</v>
      </c>
      <c r="H115" s="1" t="s">
        <v>171</v>
      </c>
      <c r="I115" s="1" t="s">
        <v>87</v>
      </c>
      <c r="J115" s="1" t="s">
        <v>13</v>
      </c>
      <c r="K115" s="1" t="s">
        <v>62</v>
      </c>
      <c r="L115" s="1">
        <v>0</v>
      </c>
      <c r="M115" s="1">
        <v>0</v>
      </c>
      <c r="N115" s="1">
        <v>0</v>
      </c>
      <c r="O115" s="1">
        <v>4</v>
      </c>
      <c r="P115" s="1">
        <v>0</v>
      </c>
      <c r="Q115" s="1">
        <v>0</v>
      </c>
      <c r="R115" s="1"/>
      <c r="S115" s="1">
        <v>0</v>
      </c>
      <c r="T115" s="1">
        <v>4</v>
      </c>
      <c r="U115" s="1">
        <v>0</v>
      </c>
      <c r="V115" s="1">
        <v>0</v>
      </c>
      <c r="W115" s="1">
        <v>0</v>
      </c>
      <c r="X115" s="1">
        <v>0</v>
      </c>
      <c r="Y115" s="1"/>
      <c r="Z115" s="1"/>
      <c r="AA115" s="1">
        <v>0</v>
      </c>
      <c r="AB115" s="1"/>
      <c r="AC115" s="1"/>
      <c r="AD115" s="1"/>
      <c r="AE115" s="1"/>
      <c r="AF115" s="1"/>
      <c r="AG115" s="1">
        <v>0</v>
      </c>
      <c r="AH115" s="1">
        <v>1</v>
      </c>
      <c r="AI115" s="1"/>
      <c r="AJ115" s="1" t="s">
        <v>21</v>
      </c>
      <c r="AK115" s="1" t="s">
        <v>21</v>
      </c>
      <c r="AL115" s="17">
        <v>43572</v>
      </c>
      <c r="AM115" s="18" t="s">
        <v>13</v>
      </c>
      <c r="AN115" s="10" t="s">
        <v>308</v>
      </c>
      <c r="AO115"/>
    </row>
    <row r="116" spans="2:41" ht="15" customHeight="1" x14ac:dyDescent="0.25">
      <c r="B116" s="1">
        <f t="shared" si="1"/>
        <v>106</v>
      </c>
      <c r="C116" s="1">
        <v>0</v>
      </c>
      <c r="D116" s="1" t="s">
        <v>186</v>
      </c>
      <c r="E116" s="1" t="s">
        <v>186</v>
      </c>
      <c r="F116" s="1" t="s">
        <v>46</v>
      </c>
      <c r="G116" s="1" t="s">
        <v>46</v>
      </c>
      <c r="H116" s="1" t="s">
        <v>172</v>
      </c>
      <c r="I116" s="1" t="s">
        <v>85</v>
      </c>
      <c r="J116" s="1" t="s">
        <v>13</v>
      </c>
      <c r="K116" s="1" t="s">
        <v>62</v>
      </c>
      <c r="L116" s="1">
        <v>0</v>
      </c>
      <c r="M116" s="1">
        <v>0</v>
      </c>
      <c r="N116" s="1">
        <v>0</v>
      </c>
      <c r="O116" s="1">
        <v>4</v>
      </c>
      <c r="P116" s="1">
        <v>0</v>
      </c>
      <c r="Q116" s="1">
        <v>0</v>
      </c>
      <c r="R116" s="1"/>
      <c r="S116" s="1">
        <v>0</v>
      </c>
      <c r="T116" s="1">
        <v>4</v>
      </c>
      <c r="U116" s="1">
        <v>0</v>
      </c>
      <c r="V116" s="1">
        <v>0</v>
      </c>
      <c r="W116" s="1">
        <v>0</v>
      </c>
      <c r="X116" s="1">
        <v>0</v>
      </c>
      <c r="Y116" s="1"/>
      <c r="Z116" s="1"/>
      <c r="AA116" s="1">
        <v>0</v>
      </c>
      <c r="AB116" s="1"/>
      <c r="AC116" s="1"/>
      <c r="AD116" s="1"/>
      <c r="AE116" s="1"/>
      <c r="AF116" s="1"/>
      <c r="AG116" s="1">
        <v>0</v>
      </c>
      <c r="AH116" s="1">
        <v>1</v>
      </c>
      <c r="AI116" s="1"/>
      <c r="AJ116" s="1" t="s">
        <v>21</v>
      </c>
      <c r="AK116" s="1" t="s">
        <v>21</v>
      </c>
      <c r="AL116" s="17">
        <v>43572</v>
      </c>
      <c r="AM116" s="18" t="s">
        <v>13</v>
      </c>
      <c r="AN116" s="10" t="s">
        <v>308</v>
      </c>
      <c r="AO116"/>
    </row>
    <row r="117" spans="2:41" ht="15" customHeight="1" x14ac:dyDescent="0.25">
      <c r="B117" s="1">
        <f t="shared" si="1"/>
        <v>107</v>
      </c>
      <c r="C117" s="1">
        <v>0</v>
      </c>
      <c r="D117" s="1" t="s">
        <v>10</v>
      </c>
      <c r="E117" s="1" t="s">
        <v>224</v>
      </c>
      <c r="F117" s="1" t="s">
        <v>173</v>
      </c>
      <c r="G117" s="1" t="s">
        <v>173</v>
      </c>
      <c r="H117" s="1" t="s">
        <v>174</v>
      </c>
      <c r="I117" s="1" t="s">
        <v>85</v>
      </c>
      <c r="J117" s="1" t="s">
        <v>94</v>
      </c>
      <c r="K117" s="1" t="s">
        <v>13</v>
      </c>
      <c r="L117" s="1">
        <v>4</v>
      </c>
      <c r="M117" s="1">
        <v>0</v>
      </c>
      <c r="N117" s="1">
        <v>0</v>
      </c>
      <c r="O117" s="1">
        <v>3</v>
      </c>
      <c r="P117" s="1">
        <v>4</v>
      </c>
      <c r="Q117" s="1">
        <v>0</v>
      </c>
      <c r="R117" s="1"/>
      <c r="S117" s="1">
        <v>0</v>
      </c>
      <c r="T117" s="1">
        <v>0</v>
      </c>
      <c r="U117" s="1">
        <v>0</v>
      </c>
      <c r="V117" s="1">
        <v>0</v>
      </c>
      <c r="W117" s="1">
        <v>0</v>
      </c>
      <c r="X117" s="1">
        <v>0</v>
      </c>
      <c r="Y117" s="1"/>
      <c r="Z117" s="1"/>
      <c r="AA117" s="1">
        <v>0</v>
      </c>
      <c r="AB117" s="1"/>
      <c r="AC117" s="1"/>
      <c r="AD117" s="1"/>
      <c r="AE117" s="1"/>
      <c r="AF117" s="1"/>
      <c r="AG117" s="1">
        <v>0</v>
      </c>
      <c r="AH117" s="1">
        <v>0</v>
      </c>
      <c r="AI117" s="1"/>
      <c r="AJ117" s="1" t="s">
        <v>21</v>
      </c>
      <c r="AK117" s="1" t="s">
        <v>21</v>
      </c>
      <c r="AL117" s="17">
        <v>43572</v>
      </c>
      <c r="AM117" s="18" t="s">
        <v>13</v>
      </c>
      <c r="AN117" s="10"/>
      <c r="AO117"/>
    </row>
    <row r="118" spans="2:41" ht="15" customHeight="1" x14ac:dyDescent="0.25">
      <c r="B118" s="1">
        <f t="shared" si="1"/>
        <v>108</v>
      </c>
      <c r="C118" s="1">
        <v>0</v>
      </c>
      <c r="D118" s="1" t="s">
        <v>10</v>
      </c>
      <c r="E118" s="1" t="s">
        <v>224</v>
      </c>
      <c r="F118" s="1" t="s">
        <v>173</v>
      </c>
      <c r="G118" s="1" t="s">
        <v>173</v>
      </c>
      <c r="H118" s="1" t="s">
        <v>175</v>
      </c>
      <c r="I118" s="1" t="s">
        <v>85</v>
      </c>
      <c r="J118" s="1" t="s">
        <v>94</v>
      </c>
      <c r="K118" s="1" t="s">
        <v>13</v>
      </c>
      <c r="L118" s="1">
        <v>4</v>
      </c>
      <c r="M118" s="1">
        <v>0</v>
      </c>
      <c r="N118" s="1">
        <v>0</v>
      </c>
      <c r="O118" s="1">
        <v>3</v>
      </c>
      <c r="P118" s="1">
        <v>4</v>
      </c>
      <c r="Q118" s="1">
        <v>0</v>
      </c>
      <c r="R118" s="1"/>
      <c r="S118" s="1">
        <v>0</v>
      </c>
      <c r="T118" s="1">
        <v>0</v>
      </c>
      <c r="U118" s="1">
        <v>0</v>
      </c>
      <c r="V118" s="1">
        <v>0</v>
      </c>
      <c r="W118" s="1">
        <v>0</v>
      </c>
      <c r="X118" s="1">
        <v>0</v>
      </c>
      <c r="Y118" s="1"/>
      <c r="Z118" s="1"/>
      <c r="AA118" s="1">
        <v>0</v>
      </c>
      <c r="AB118" s="1"/>
      <c r="AC118" s="1"/>
      <c r="AD118" s="1"/>
      <c r="AE118" s="1"/>
      <c r="AF118" s="1"/>
      <c r="AG118" s="1">
        <v>0</v>
      </c>
      <c r="AH118" s="1">
        <v>0</v>
      </c>
      <c r="AI118" s="1"/>
      <c r="AJ118" s="1" t="s">
        <v>21</v>
      </c>
      <c r="AK118" s="1" t="s">
        <v>21</v>
      </c>
      <c r="AL118" s="17">
        <v>43572</v>
      </c>
      <c r="AM118" s="18" t="s">
        <v>13</v>
      </c>
      <c r="AN118" s="10"/>
      <c r="AO118"/>
    </row>
    <row r="119" spans="2:41" ht="15" customHeight="1" x14ac:dyDescent="0.25">
      <c r="B119" s="1">
        <f t="shared" si="1"/>
        <v>109</v>
      </c>
      <c r="C119" s="1">
        <v>0</v>
      </c>
      <c r="D119" s="1" t="s">
        <v>10</v>
      </c>
      <c r="E119" s="1" t="s">
        <v>224</v>
      </c>
      <c r="F119" s="1" t="s">
        <v>173</v>
      </c>
      <c r="G119" s="1" t="s">
        <v>173</v>
      </c>
      <c r="H119" s="1" t="s">
        <v>372</v>
      </c>
      <c r="I119" s="1" t="s">
        <v>85</v>
      </c>
      <c r="J119" s="1" t="s">
        <v>94</v>
      </c>
      <c r="K119" s="1" t="s">
        <v>13</v>
      </c>
      <c r="L119" s="1">
        <v>4</v>
      </c>
      <c r="M119" s="1">
        <v>0</v>
      </c>
      <c r="N119" s="1">
        <v>0</v>
      </c>
      <c r="O119" s="1">
        <v>3</v>
      </c>
      <c r="P119" s="1">
        <v>4</v>
      </c>
      <c r="Q119" s="1">
        <v>0</v>
      </c>
      <c r="R119" s="1"/>
      <c r="S119" s="1">
        <v>0</v>
      </c>
      <c r="T119" s="1">
        <v>0</v>
      </c>
      <c r="U119" s="1">
        <v>0</v>
      </c>
      <c r="V119" s="1">
        <v>0</v>
      </c>
      <c r="W119" s="1">
        <v>0</v>
      </c>
      <c r="X119" s="1">
        <v>0</v>
      </c>
      <c r="Y119" s="1"/>
      <c r="Z119" s="1"/>
      <c r="AA119" s="1">
        <v>0</v>
      </c>
      <c r="AB119" s="1"/>
      <c r="AC119" s="1"/>
      <c r="AD119" s="1"/>
      <c r="AE119" s="1"/>
      <c r="AF119" s="1"/>
      <c r="AG119" s="1">
        <v>0</v>
      </c>
      <c r="AH119" s="1">
        <v>0</v>
      </c>
      <c r="AI119" s="1"/>
      <c r="AJ119" s="1" t="s">
        <v>21</v>
      </c>
      <c r="AK119" s="1" t="s">
        <v>21</v>
      </c>
      <c r="AL119" s="17">
        <v>43572</v>
      </c>
      <c r="AM119" s="18" t="s">
        <v>13</v>
      </c>
      <c r="AN119" s="10"/>
      <c r="AO119"/>
    </row>
    <row r="120" spans="2:41" ht="15" customHeight="1" x14ac:dyDescent="0.25">
      <c r="B120" s="1">
        <f t="shared" si="1"/>
        <v>110</v>
      </c>
      <c r="C120" s="1">
        <v>1</v>
      </c>
      <c r="D120" s="1" t="s">
        <v>177</v>
      </c>
      <c r="E120" s="1" t="s">
        <v>224</v>
      </c>
      <c r="F120" s="1" t="s">
        <v>176</v>
      </c>
      <c r="G120" s="1" t="s">
        <v>177</v>
      </c>
      <c r="H120" s="1" t="s">
        <v>363</v>
      </c>
      <c r="I120" s="1" t="s">
        <v>85</v>
      </c>
      <c r="J120" s="1" t="s">
        <v>330</v>
      </c>
      <c r="K120" s="1" t="s">
        <v>340</v>
      </c>
      <c r="L120" s="1">
        <v>4</v>
      </c>
      <c r="M120" s="1">
        <v>0</v>
      </c>
      <c r="N120" s="1">
        <v>0</v>
      </c>
      <c r="O120" s="1">
        <v>4</v>
      </c>
      <c r="P120" s="1">
        <v>4</v>
      </c>
      <c r="Q120" s="1">
        <v>0</v>
      </c>
      <c r="R120" s="1"/>
      <c r="S120" s="1">
        <v>0</v>
      </c>
      <c r="T120" s="1">
        <v>0</v>
      </c>
      <c r="U120" s="1">
        <v>0</v>
      </c>
      <c r="V120" s="1">
        <v>0</v>
      </c>
      <c r="W120" s="1">
        <v>0</v>
      </c>
      <c r="X120" s="1">
        <v>2</v>
      </c>
      <c r="Y120" s="1"/>
      <c r="Z120" s="1">
        <v>4</v>
      </c>
      <c r="AA120" s="1">
        <v>0</v>
      </c>
      <c r="AB120" s="1"/>
      <c r="AC120" s="1"/>
      <c r="AD120" s="1"/>
      <c r="AE120" s="1">
        <v>3</v>
      </c>
      <c r="AF120" s="1"/>
      <c r="AG120" s="1">
        <v>0</v>
      </c>
      <c r="AH120" s="1">
        <v>0</v>
      </c>
      <c r="AI120" s="1">
        <v>0</v>
      </c>
      <c r="AJ120" s="1" t="s">
        <v>21</v>
      </c>
      <c r="AK120" s="1" t="s">
        <v>21</v>
      </c>
      <c r="AL120" s="17">
        <v>44854</v>
      </c>
      <c r="AM120" s="18" t="s">
        <v>408</v>
      </c>
      <c r="AN120" s="10"/>
      <c r="AO120"/>
    </row>
    <row r="121" spans="2:41" ht="15" customHeight="1" x14ac:dyDescent="0.25">
      <c r="B121" s="1">
        <f t="shared" si="1"/>
        <v>111</v>
      </c>
      <c r="C121" s="1">
        <v>1</v>
      </c>
      <c r="D121" s="1" t="s">
        <v>177</v>
      </c>
      <c r="E121" s="1" t="s">
        <v>224</v>
      </c>
      <c r="F121" s="1" t="s">
        <v>176</v>
      </c>
      <c r="G121" s="1" t="s">
        <v>177</v>
      </c>
      <c r="H121" s="1" t="s">
        <v>182</v>
      </c>
      <c r="I121" s="1" t="s">
        <v>85</v>
      </c>
      <c r="J121" s="1" t="s">
        <v>330</v>
      </c>
      <c r="K121" s="1" t="s">
        <v>340</v>
      </c>
      <c r="L121" s="1">
        <v>4</v>
      </c>
      <c r="M121" s="1">
        <v>0</v>
      </c>
      <c r="N121" s="1">
        <v>0</v>
      </c>
      <c r="O121" s="1">
        <v>4</v>
      </c>
      <c r="P121" s="1">
        <v>4</v>
      </c>
      <c r="Q121" s="1">
        <v>0</v>
      </c>
      <c r="R121" s="1"/>
      <c r="S121" s="1">
        <v>0</v>
      </c>
      <c r="T121" s="1">
        <v>0</v>
      </c>
      <c r="U121" s="1">
        <v>0</v>
      </c>
      <c r="V121" s="1">
        <v>0</v>
      </c>
      <c r="W121" s="1">
        <v>0</v>
      </c>
      <c r="X121" s="1">
        <v>2</v>
      </c>
      <c r="Y121" s="1"/>
      <c r="Z121" s="1">
        <v>4</v>
      </c>
      <c r="AA121" s="1">
        <v>0</v>
      </c>
      <c r="AB121" s="1"/>
      <c r="AC121" s="1"/>
      <c r="AD121" s="1"/>
      <c r="AE121" s="1">
        <v>3</v>
      </c>
      <c r="AF121" s="1"/>
      <c r="AG121" s="1">
        <v>0</v>
      </c>
      <c r="AH121" s="1">
        <v>0</v>
      </c>
      <c r="AI121" s="1">
        <v>0</v>
      </c>
      <c r="AJ121" s="1" t="s">
        <v>21</v>
      </c>
      <c r="AK121" s="1" t="s">
        <v>21</v>
      </c>
      <c r="AL121" s="17">
        <v>44854</v>
      </c>
      <c r="AM121" s="18" t="s">
        <v>408</v>
      </c>
      <c r="AN121" s="10"/>
      <c r="AO121"/>
    </row>
    <row r="122" spans="2:41" ht="15" customHeight="1" x14ac:dyDescent="0.25">
      <c r="B122" s="1">
        <f t="shared" si="1"/>
        <v>112</v>
      </c>
      <c r="C122" s="1">
        <v>1</v>
      </c>
      <c r="D122" s="1" t="s">
        <v>10</v>
      </c>
      <c r="E122" s="1" t="s">
        <v>224</v>
      </c>
      <c r="F122" s="1" t="s">
        <v>533</v>
      </c>
      <c r="G122" s="1" t="s">
        <v>533</v>
      </c>
      <c r="H122" s="1" t="s">
        <v>179</v>
      </c>
      <c r="I122" s="1" t="s">
        <v>85</v>
      </c>
      <c r="J122" s="1" t="s">
        <v>330</v>
      </c>
      <c r="K122" s="1" t="s">
        <v>340</v>
      </c>
      <c r="L122" s="1">
        <v>4</v>
      </c>
      <c r="M122" s="1">
        <v>0</v>
      </c>
      <c r="N122" s="1">
        <v>0</v>
      </c>
      <c r="O122" s="1">
        <v>4</v>
      </c>
      <c r="P122" s="1">
        <v>4</v>
      </c>
      <c r="Q122" s="1">
        <v>0</v>
      </c>
      <c r="R122" s="1"/>
      <c r="S122" s="1">
        <v>0</v>
      </c>
      <c r="T122" s="1">
        <v>0</v>
      </c>
      <c r="U122" s="1">
        <v>0</v>
      </c>
      <c r="V122" s="1">
        <v>0</v>
      </c>
      <c r="W122" s="1">
        <v>0</v>
      </c>
      <c r="X122" s="1">
        <v>2</v>
      </c>
      <c r="Y122" s="1"/>
      <c r="Z122" s="1">
        <v>4</v>
      </c>
      <c r="AA122" s="1">
        <v>0</v>
      </c>
      <c r="AB122" s="1"/>
      <c r="AC122" s="1"/>
      <c r="AD122" s="1"/>
      <c r="AE122" s="1">
        <v>3</v>
      </c>
      <c r="AF122" s="1"/>
      <c r="AG122" s="1">
        <v>0</v>
      </c>
      <c r="AH122" s="1">
        <v>0</v>
      </c>
      <c r="AI122" s="1">
        <v>0</v>
      </c>
      <c r="AJ122" s="1" t="s">
        <v>21</v>
      </c>
      <c r="AK122" s="1" t="s">
        <v>21</v>
      </c>
      <c r="AL122" s="17">
        <v>44854</v>
      </c>
      <c r="AM122" s="18" t="s">
        <v>408</v>
      </c>
      <c r="AN122" s="10"/>
      <c r="AO122"/>
    </row>
    <row r="123" spans="2:41" ht="15" customHeight="1" x14ac:dyDescent="0.25">
      <c r="B123" s="1">
        <f t="shared" si="1"/>
        <v>113</v>
      </c>
      <c r="C123" s="1">
        <v>1</v>
      </c>
      <c r="D123" s="1" t="s">
        <v>10</v>
      </c>
      <c r="E123" s="1" t="s">
        <v>224</v>
      </c>
      <c r="F123" s="1" t="s">
        <v>533</v>
      </c>
      <c r="G123" s="1" t="s">
        <v>533</v>
      </c>
      <c r="H123" s="1" t="s">
        <v>178</v>
      </c>
      <c r="I123" s="1" t="s">
        <v>87</v>
      </c>
      <c r="J123" s="1" t="s">
        <v>330</v>
      </c>
      <c r="K123" s="1" t="s">
        <v>340</v>
      </c>
      <c r="L123" s="1">
        <v>4</v>
      </c>
      <c r="M123" s="1">
        <v>0</v>
      </c>
      <c r="N123" s="1">
        <v>0</v>
      </c>
      <c r="O123" s="1">
        <v>3</v>
      </c>
      <c r="P123" s="1">
        <v>4</v>
      </c>
      <c r="Q123" s="1">
        <v>0</v>
      </c>
      <c r="R123" s="1"/>
      <c r="S123" s="1">
        <v>0</v>
      </c>
      <c r="T123" s="1">
        <v>0</v>
      </c>
      <c r="U123" s="1">
        <v>0</v>
      </c>
      <c r="V123" s="1">
        <v>0</v>
      </c>
      <c r="W123" s="1">
        <v>0</v>
      </c>
      <c r="X123" s="1">
        <v>2</v>
      </c>
      <c r="Y123" s="1"/>
      <c r="Z123" s="1">
        <v>4</v>
      </c>
      <c r="AA123" s="1">
        <v>0</v>
      </c>
      <c r="AB123" s="1"/>
      <c r="AC123" s="1"/>
      <c r="AD123" s="1"/>
      <c r="AE123" s="1">
        <v>3</v>
      </c>
      <c r="AF123" s="1"/>
      <c r="AG123" s="1">
        <v>0</v>
      </c>
      <c r="AH123" s="1">
        <v>0</v>
      </c>
      <c r="AI123" s="1">
        <v>0</v>
      </c>
      <c r="AJ123" s="1" t="s">
        <v>21</v>
      </c>
      <c r="AK123" s="1" t="s">
        <v>21</v>
      </c>
      <c r="AL123" s="17">
        <v>44854</v>
      </c>
      <c r="AM123" s="18" t="s">
        <v>408</v>
      </c>
      <c r="AN123" s="10"/>
      <c r="AO123"/>
    </row>
    <row r="124" spans="2:41" ht="15" customHeight="1" x14ac:dyDescent="0.25">
      <c r="B124" s="1">
        <f t="shared" si="1"/>
        <v>114</v>
      </c>
      <c r="C124" s="1">
        <v>0</v>
      </c>
      <c r="D124" s="1" t="s">
        <v>10</v>
      </c>
      <c r="E124" s="1" t="s">
        <v>224</v>
      </c>
      <c r="F124" s="1" t="s">
        <v>180</v>
      </c>
      <c r="G124" s="1" t="s">
        <v>180</v>
      </c>
      <c r="H124" s="1" t="s">
        <v>180</v>
      </c>
      <c r="I124" s="1" t="s">
        <v>86</v>
      </c>
      <c r="J124" s="1" t="s">
        <v>94</v>
      </c>
      <c r="K124" s="1" t="s">
        <v>13</v>
      </c>
      <c r="L124" s="1">
        <v>4</v>
      </c>
      <c r="M124" s="1">
        <v>0</v>
      </c>
      <c r="N124" s="1">
        <v>0</v>
      </c>
      <c r="O124" s="1">
        <v>2</v>
      </c>
      <c r="P124" s="1">
        <v>4</v>
      </c>
      <c r="Q124" s="1">
        <v>0</v>
      </c>
      <c r="R124" s="1"/>
      <c r="S124" s="1">
        <v>0</v>
      </c>
      <c r="T124" s="1">
        <v>0</v>
      </c>
      <c r="U124" s="1">
        <v>0</v>
      </c>
      <c r="V124" s="1">
        <v>0</v>
      </c>
      <c r="W124" s="1">
        <v>0</v>
      </c>
      <c r="X124" s="1">
        <v>0</v>
      </c>
      <c r="Y124" s="1"/>
      <c r="Z124" s="1"/>
      <c r="AA124" s="1">
        <v>0</v>
      </c>
      <c r="AB124" s="1"/>
      <c r="AC124" s="1"/>
      <c r="AD124" s="1"/>
      <c r="AE124" s="1"/>
      <c r="AF124" s="1"/>
      <c r="AG124" s="1">
        <v>0</v>
      </c>
      <c r="AH124" s="1">
        <v>0</v>
      </c>
      <c r="AI124" s="1"/>
      <c r="AJ124" s="1" t="s">
        <v>21</v>
      </c>
      <c r="AK124" s="1" t="s">
        <v>21</v>
      </c>
      <c r="AL124" s="17"/>
      <c r="AM124" s="18"/>
      <c r="AN124" s="10"/>
      <c r="AO124"/>
    </row>
    <row r="125" spans="2:41" ht="15" customHeight="1" x14ac:dyDescent="0.25">
      <c r="B125" s="1">
        <f t="shared" si="1"/>
        <v>115</v>
      </c>
      <c r="C125" s="1">
        <v>0</v>
      </c>
      <c r="D125" s="1" t="s">
        <v>177</v>
      </c>
      <c r="E125" s="1" t="s">
        <v>224</v>
      </c>
      <c r="F125" s="1" t="s">
        <v>176</v>
      </c>
      <c r="G125" s="1" t="s">
        <v>176</v>
      </c>
      <c r="H125" s="1" t="s">
        <v>364</v>
      </c>
      <c r="I125" s="1" t="s">
        <v>87</v>
      </c>
      <c r="J125" s="1" t="s">
        <v>330</v>
      </c>
      <c r="K125" s="1" t="s">
        <v>340</v>
      </c>
      <c r="L125" s="1">
        <v>4</v>
      </c>
      <c r="M125" s="1">
        <v>0</v>
      </c>
      <c r="N125" s="1">
        <v>0</v>
      </c>
      <c r="O125" s="1">
        <v>4</v>
      </c>
      <c r="P125" s="1">
        <v>4</v>
      </c>
      <c r="Q125" s="1">
        <v>0</v>
      </c>
      <c r="R125" s="1"/>
      <c r="S125" s="1">
        <v>0</v>
      </c>
      <c r="T125" s="1">
        <v>0</v>
      </c>
      <c r="U125" s="1">
        <v>0</v>
      </c>
      <c r="V125" s="1">
        <v>0</v>
      </c>
      <c r="W125" s="1">
        <v>0</v>
      </c>
      <c r="X125" s="1">
        <v>2</v>
      </c>
      <c r="Y125" s="1"/>
      <c r="Z125" s="1">
        <v>3</v>
      </c>
      <c r="AA125" s="1">
        <v>0</v>
      </c>
      <c r="AB125" s="1"/>
      <c r="AC125" s="1"/>
      <c r="AD125" s="1"/>
      <c r="AE125" s="1"/>
      <c r="AF125" s="1"/>
      <c r="AG125" s="1">
        <v>0</v>
      </c>
      <c r="AH125" s="1">
        <v>0</v>
      </c>
      <c r="AI125" s="1">
        <v>0</v>
      </c>
      <c r="AJ125" s="1" t="s">
        <v>21</v>
      </c>
      <c r="AK125" s="1" t="s">
        <v>21</v>
      </c>
      <c r="AL125" s="17">
        <v>44105</v>
      </c>
      <c r="AM125" s="18" t="s">
        <v>330</v>
      </c>
      <c r="AN125" s="10"/>
      <c r="AO125"/>
    </row>
    <row r="126" spans="2:41" ht="15" customHeight="1" x14ac:dyDescent="0.25">
      <c r="B126" s="1">
        <f t="shared" si="1"/>
        <v>116</v>
      </c>
      <c r="C126" s="1">
        <v>0</v>
      </c>
      <c r="D126" s="1" t="s">
        <v>184</v>
      </c>
      <c r="E126" s="1" t="s">
        <v>52</v>
      </c>
      <c r="F126" s="1" t="s">
        <v>46</v>
      </c>
      <c r="G126" s="1" t="s">
        <v>46</v>
      </c>
      <c r="H126" s="1" t="s">
        <v>189</v>
      </c>
      <c r="I126" s="1"/>
      <c r="J126" s="1" t="s">
        <v>143</v>
      </c>
      <c r="K126" s="1" t="s">
        <v>62</v>
      </c>
      <c r="L126" s="1">
        <v>0</v>
      </c>
      <c r="M126" s="1">
        <v>0</v>
      </c>
      <c r="N126" s="1">
        <v>0</v>
      </c>
      <c r="O126" s="1">
        <v>0</v>
      </c>
      <c r="P126" s="1">
        <v>0</v>
      </c>
      <c r="Q126" s="1">
        <v>0</v>
      </c>
      <c r="R126" s="1"/>
      <c r="S126" s="1">
        <v>0</v>
      </c>
      <c r="T126" s="1">
        <v>4</v>
      </c>
      <c r="U126" s="1">
        <v>3</v>
      </c>
      <c r="V126" s="1">
        <v>0</v>
      </c>
      <c r="W126" s="1">
        <v>0</v>
      </c>
      <c r="X126" s="1">
        <v>0</v>
      </c>
      <c r="Y126" s="1"/>
      <c r="Z126" s="1"/>
      <c r="AA126" s="1">
        <v>0</v>
      </c>
      <c r="AB126" s="1"/>
      <c r="AC126" s="1"/>
      <c r="AD126" s="1"/>
      <c r="AE126" s="1"/>
      <c r="AF126" s="1"/>
      <c r="AG126" s="1">
        <v>0</v>
      </c>
      <c r="AH126" s="1">
        <v>1</v>
      </c>
      <c r="AI126" s="1"/>
      <c r="AJ126" s="1" t="s">
        <v>32</v>
      </c>
      <c r="AK126" s="1" t="s">
        <v>32</v>
      </c>
      <c r="AL126" s="17"/>
      <c r="AM126" s="18"/>
      <c r="AN126" s="10" t="s">
        <v>190</v>
      </c>
      <c r="AO126"/>
    </row>
    <row r="127" spans="2:41" ht="15" customHeight="1" x14ac:dyDescent="0.25">
      <c r="B127" s="1">
        <f t="shared" si="1"/>
        <v>117</v>
      </c>
      <c r="C127" s="1">
        <v>0</v>
      </c>
      <c r="D127" s="1" t="s">
        <v>220</v>
      </c>
      <c r="E127" s="1" t="s">
        <v>30</v>
      </c>
      <c r="F127" s="1" t="s">
        <v>113</v>
      </c>
      <c r="G127" s="1"/>
      <c r="H127" s="1" t="s">
        <v>201</v>
      </c>
      <c r="I127" s="1" t="s">
        <v>87</v>
      </c>
      <c r="J127" s="1" t="s">
        <v>486</v>
      </c>
      <c r="K127" s="1" t="s">
        <v>62</v>
      </c>
      <c r="L127" s="1">
        <v>4</v>
      </c>
      <c r="M127" s="1">
        <v>4</v>
      </c>
      <c r="N127" s="1">
        <v>0</v>
      </c>
      <c r="O127" s="1">
        <v>0</v>
      </c>
      <c r="P127" s="1">
        <v>0</v>
      </c>
      <c r="Q127" s="1">
        <v>0</v>
      </c>
      <c r="R127" s="1"/>
      <c r="S127" s="1">
        <v>0</v>
      </c>
      <c r="T127" s="1">
        <v>4</v>
      </c>
      <c r="U127" s="1">
        <v>0</v>
      </c>
      <c r="V127" s="1">
        <v>0</v>
      </c>
      <c r="W127" s="1">
        <v>0</v>
      </c>
      <c r="X127" s="1">
        <v>0</v>
      </c>
      <c r="Y127" s="1"/>
      <c r="Z127" s="1"/>
      <c r="AA127" s="1">
        <v>0</v>
      </c>
      <c r="AB127" s="1"/>
      <c r="AC127" s="1"/>
      <c r="AD127" s="1"/>
      <c r="AE127" s="1"/>
      <c r="AF127" s="1"/>
      <c r="AG127" s="1">
        <v>0</v>
      </c>
      <c r="AH127" s="1">
        <v>4</v>
      </c>
      <c r="AI127" s="1">
        <v>2</v>
      </c>
      <c r="AJ127" s="1" t="s">
        <v>21</v>
      </c>
      <c r="AK127" s="1" t="s">
        <v>21</v>
      </c>
      <c r="AL127" s="17"/>
      <c r="AM127" s="18"/>
      <c r="AN127" s="10"/>
      <c r="AO127"/>
    </row>
    <row r="128" spans="2:41" ht="15" customHeight="1" x14ac:dyDescent="0.25">
      <c r="B128" s="1">
        <f t="shared" si="1"/>
        <v>118</v>
      </c>
      <c r="C128" s="1">
        <v>0</v>
      </c>
      <c r="D128" s="1" t="s">
        <v>249</v>
      </c>
      <c r="E128" s="1" t="s">
        <v>30</v>
      </c>
      <c r="F128" s="1" t="s">
        <v>43</v>
      </c>
      <c r="G128" s="1"/>
      <c r="H128" s="1" t="s">
        <v>203</v>
      </c>
      <c r="I128" s="1" t="s">
        <v>85</v>
      </c>
      <c r="J128" s="1" t="s">
        <v>502</v>
      </c>
      <c r="K128" s="1" t="s">
        <v>486</v>
      </c>
      <c r="L128" s="1">
        <v>4</v>
      </c>
      <c r="M128" s="1">
        <v>4</v>
      </c>
      <c r="N128" s="1">
        <v>0</v>
      </c>
      <c r="O128" s="1">
        <v>0</v>
      </c>
      <c r="P128" s="1">
        <v>0</v>
      </c>
      <c r="Q128" s="1">
        <v>0</v>
      </c>
      <c r="R128" s="1"/>
      <c r="S128" s="1">
        <v>0</v>
      </c>
      <c r="T128" s="1">
        <v>3</v>
      </c>
      <c r="U128" s="1">
        <v>0</v>
      </c>
      <c r="V128" s="1">
        <v>0</v>
      </c>
      <c r="W128" s="1">
        <v>0</v>
      </c>
      <c r="X128" s="1">
        <v>0</v>
      </c>
      <c r="Y128" s="1"/>
      <c r="Z128" s="1"/>
      <c r="AA128" s="1">
        <v>0</v>
      </c>
      <c r="AB128" s="1"/>
      <c r="AC128" s="1"/>
      <c r="AD128" s="1"/>
      <c r="AE128" s="1"/>
      <c r="AF128" s="1"/>
      <c r="AG128" s="1">
        <v>0</v>
      </c>
      <c r="AH128" s="1">
        <v>4</v>
      </c>
      <c r="AI128" s="1">
        <v>2</v>
      </c>
      <c r="AJ128" s="1" t="s">
        <v>21</v>
      </c>
      <c r="AK128" s="1" t="s">
        <v>21</v>
      </c>
      <c r="AL128" s="17"/>
      <c r="AM128" s="18"/>
      <c r="AN128" s="10"/>
    </row>
    <row r="129" spans="2:40" ht="15" customHeight="1" x14ac:dyDescent="0.25">
      <c r="B129" s="1">
        <f t="shared" si="1"/>
        <v>119</v>
      </c>
      <c r="C129" s="1">
        <v>0</v>
      </c>
      <c r="D129" s="1" t="s">
        <v>221</v>
      </c>
      <c r="E129" s="1" t="s">
        <v>30</v>
      </c>
      <c r="F129" s="1" t="s">
        <v>43</v>
      </c>
      <c r="G129" s="1"/>
      <c r="H129" s="1" t="s">
        <v>204</v>
      </c>
      <c r="I129" s="1" t="s">
        <v>87</v>
      </c>
      <c r="J129" s="1" t="s">
        <v>502</v>
      </c>
      <c r="K129" s="1" t="s">
        <v>486</v>
      </c>
      <c r="L129" s="1">
        <v>4</v>
      </c>
      <c r="M129" s="1">
        <v>4</v>
      </c>
      <c r="N129" s="1">
        <v>0</v>
      </c>
      <c r="O129" s="1">
        <v>0</v>
      </c>
      <c r="P129" s="1">
        <v>0</v>
      </c>
      <c r="Q129" s="1">
        <v>0</v>
      </c>
      <c r="R129" s="1"/>
      <c r="S129" s="1">
        <v>0</v>
      </c>
      <c r="T129" s="1">
        <v>4</v>
      </c>
      <c r="U129" s="1">
        <v>0</v>
      </c>
      <c r="V129" s="1">
        <v>0</v>
      </c>
      <c r="W129" s="1">
        <v>0</v>
      </c>
      <c r="X129" s="1">
        <v>0</v>
      </c>
      <c r="Y129" s="1"/>
      <c r="Z129" s="1"/>
      <c r="AA129" s="1">
        <v>0</v>
      </c>
      <c r="AB129" s="1"/>
      <c r="AC129" s="1"/>
      <c r="AD129" s="1"/>
      <c r="AE129" s="1"/>
      <c r="AF129" s="1"/>
      <c r="AG129" s="1">
        <v>0</v>
      </c>
      <c r="AH129" s="1">
        <v>4</v>
      </c>
      <c r="AI129" s="1">
        <v>4</v>
      </c>
      <c r="AJ129" s="1" t="s">
        <v>21</v>
      </c>
      <c r="AK129" s="1" t="s">
        <v>21</v>
      </c>
      <c r="AL129" s="17">
        <v>44594</v>
      </c>
      <c r="AM129" s="18" t="s">
        <v>486</v>
      </c>
      <c r="AN129" s="10"/>
    </row>
    <row r="130" spans="2:40" ht="15" customHeight="1" x14ac:dyDescent="0.25">
      <c r="B130" s="1">
        <f t="shared" si="1"/>
        <v>120</v>
      </c>
      <c r="C130" s="1">
        <v>0</v>
      </c>
      <c r="D130" s="1" t="s">
        <v>218</v>
      </c>
      <c r="E130" s="1" t="s">
        <v>30</v>
      </c>
      <c r="F130" s="1" t="s">
        <v>43</v>
      </c>
      <c r="G130" s="1"/>
      <c r="H130" s="1" t="s">
        <v>205</v>
      </c>
      <c r="I130" s="1" t="s">
        <v>87</v>
      </c>
      <c r="J130" s="1" t="s">
        <v>11</v>
      </c>
      <c r="K130" s="1" t="s">
        <v>62</v>
      </c>
      <c r="L130" s="1">
        <v>4</v>
      </c>
      <c r="M130" s="1">
        <v>4</v>
      </c>
      <c r="N130" s="1">
        <v>0</v>
      </c>
      <c r="O130" s="1">
        <v>0</v>
      </c>
      <c r="P130" s="1">
        <v>0</v>
      </c>
      <c r="Q130" s="1">
        <v>0</v>
      </c>
      <c r="R130" s="1"/>
      <c r="S130" s="1">
        <v>0</v>
      </c>
      <c r="T130" s="1">
        <v>3</v>
      </c>
      <c r="U130" s="1">
        <v>0</v>
      </c>
      <c r="V130" s="1">
        <v>0</v>
      </c>
      <c r="W130" s="1">
        <v>0</v>
      </c>
      <c r="X130" s="1">
        <v>0</v>
      </c>
      <c r="Y130" s="1"/>
      <c r="Z130" s="1"/>
      <c r="AA130" s="1">
        <v>0</v>
      </c>
      <c r="AB130" s="1"/>
      <c r="AC130" s="1"/>
      <c r="AD130" s="1"/>
      <c r="AE130" s="1"/>
      <c r="AF130" s="1"/>
      <c r="AG130" s="1">
        <v>0</v>
      </c>
      <c r="AH130" s="1">
        <v>2</v>
      </c>
      <c r="AI130" s="1"/>
      <c r="AJ130" s="1" t="s">
        <v>21</v>
      </c>
      <c r="AK130" s="1" t="s">
        <v>21</v>
      </c>
      <c r="AL130" s="17"/>
      <c r="AM130" s="18"/>
      <c r="AN130" s="10"/>
    </row>
    <row r="131" spans="2:40" ht="15" customHeight="1" x14ac:dyDescent="0.25">
      <c r="B131" s="1">
        <f t="shared" si="1"/>
        <v>121</v>
      </c>
      <c r="C131" s="1">
        <v>0</v>
      </c>
      <c r="D131" s="1" t="s">
        <v>220</v>
      </c>
      <c r="E131" s="1" t="s">
        <v>191</v>
      </c>
      <c r="F131" s="1" t="s">
        <v>113</v>
      </c>
      <c r="G131" s="1"/>
      <c r="H131" s="1" t="s">
        <v>206</v>
      </c>
      <c r="I131" s="1" t="s">
        <v>85</v>
      </c>
      <c r="J131" s="1" t="s">
        <v>486</v>
      </c>
      <c r="K131" s="1" t="s">
        <v>62</v>
      </c>
      <c r="L131" s="1">
        <v>4</v>
      </c>
      <c r="M131" s="1">
        <v>4</v>
      </c>
      <c r="N131" s="1">
        <v>0</v>
      </c>
      <c r="O131" s="1">
        <v>0</v>
      </c>
      <c r="P131" s="1">
        <v>0</v>
      </c>
      <c r="Q131" s="1">
        <v>0</v>
      </c>
      <c r="R131" s="1"/>
      <c r="S131" s="1">
        <v>0</v>
      </c>
      <c r="T131" s="1">
        <v>4</v>
      </c>
      <c r="U131" s="1">
        <v>0</v>
      </c>
      <c r="V131" s="1">
        <v>0</v>
      </c>
      <c r="W131" s="1">
        <v>0</v>
      </c>
      <c r="X131" s="1">
        <v>0</v>
      </c>
      <c r="Y131" s="1"/>
      <c r="Z131" s="1"/>
      <c r="AA131" s="1">
        <v>0</v>
      </c>
      <c r="AB131" s="1"/>
      <c r="AC131" s="1"/>
      <c r="AD131" s="1"/>
      <c r="AE131" s="1"/>
      <c r="AF131" s="1"/>
      <c r="AG131" s="1">
        <v>0</v>
      </c>
      <c r="AH131" s="1">
        <v>0</v>
      </c>
      <c r="AI131" s="1">
        <v>0</v>
      </c>
      <c r="AJ131" s="1" t="s">
        <v>21</v>
      </c>
      <c r="AK131" s="1" t="s">
        <v>21</v>
      </c>
      <c r="AL131" s="17"/>
      <c r="AM131" s="18"/>
      <c r="AN131" s="10"/>
    </row>
    <row r="132" spans="2:40" ht="15" customHeight="1" x14ac:dyDescent="0.25">
      <c r="B132" s="1">
        <f t="shared" si="1"/>
        <v>122</v>
      </c>
      <c r="C132" s="1">
        <v>0</v>
      </c>
      <c r="D132" s="1" t="s">
        <v>222</v>
      </c>
      <c r="E132" s="1" t="s">
        <v>196</v>
      </c>
      <c r="F132" s="1" t="s">
        <v>207</v>
      </c>
      <c r="G132" s="1"/>
      <c r="H132" s="1" t="s">
        <v>208</v>
      </c>
      <c r="I132" s="1" t="s">
        <v>85</v>
      </c>
      <c r="J132" s="1" t="s">
        <v>11</v>
      </c>
      <c r="K132" s="1" t="s">
        <v>62</v>
      </c>
      <c r="L132" s="1">
        <v>4</v>
      </c>
      <c r="M132" s="1">
        <v>4</v>
      </c>
      <c r="N132" s="1">
        <v>0</v>
      </c>
      <c r="O132" s="1">
        <v>0</v>
      </c>
      <c r="P132" s="1">
        <v>4</v>
      </c>
      <c r="Q132" s="1">
        <v>0</v>
      </c>
      <c r="R132" s="1"/>
      <c r="S132" s="1">
        <v>0</v>
      </c>
      <c r="T132" s="1">
        <v>3</v>
      </c>
      <c r="U132" s="1">
        <v>3</v>
      </c>
      <c r="V132" s="1">
        <v>0</v>
      </c>
      <c r="W132" s="1">
        <v>0</v>
      </c>
      <c r="X132" s="1">
        <v>0</v>
      </c>
      <c r="Y132" s="1"/>
      <c r="Z132" s="1"/>
      <c r="AA132" s="1">
        <v>0</v>
      </c>
      <c r="AB132" s="1"/>
      <c r="AC132" s="1"/>
      <c r="AD132" s="1"/>
      <c r="AE132" s="1"/>
      <c r="AF132" s="1"/>
      <c r="AG132" s="1">
        <v>0</v>
      </c>
      <c r="AH132" s="1">
        <v>0</v>
      </c>
      <c r="AI132" s="1"/>
      <c r="AJ132" s="1" t="s">
        <v>21</v>
      </c>
      <c r="AK132" s="1" t="s">
        <v>21</v>
      </c>
      <c r="AL132" s="17"/>
      <c r="AM132" s="18"/>
      <c r="AN132" s="10"/>
    </row>
    <row r="133" spans="2:40" ht="15" customHeight="1" x14ac:dyDescent="0.25">
      <c r="B133" s="1">
        <f t="shared" si="1"/>
        <v>123</v>
      </c>
      <c r="C133" s="1">
        <v>0</v>
      </c>
      <c r="D133" s="1" t="s">
        <v>220</v>
      </c>
      <c r="E133" s="1" t="s">
        <v>196</v>
      </c>
      <c r="F133" s="1" t="s">
        <v>113</v>
      </c>
      <c r="G133" s="1"/>
      <c r="H133" s="1" t="s">
        <v>209</v>
      </c>
      <c r="I133" s="1" t="s">
        <v>87</v>
      </c>
      <c r="J133" s="1" t="s">
        <v>486</v>
      </c>
      <c r="K133" s="1" t="s">
        <v>62</v>
      </c>
      <c r="L133" s="1">
        <v>4</v>
      </c>
      <c r="M133" s="1">
        <v>4</v>
      </c>
      <c r="N133" s="1">
        <v>0</v>
      </c>
      <c r="O133" s="1">
        <v>0</v>
      </c>
      <c r="P133" s="1">
        <v>0</v>
      </c>
      <c r="Q133" s="1">
        <v>0</v>
      </c>
      <c r="R133" s="1"/>
      <c r="S133" s="1">
        <v>0</v>
      </c>
      <c r="T133" s="1">
        <v>3</v>
      </c>
      <c r="U133" s="1">
        <v>0</v>
      </c>
      <c r="V133" s="1">
        <v>0</v>
      </c>
      <c r="W133" s="1">
        <v>0</v>
      </c>
      <c r="X133" s="1">
        <v>0</v>
      </c>
      <c r="Y133" s="1"/>
      <c r="Z133" s="1"/>
      <c r="AA133" s="1">
        <v>0</v>
      </c>
      <c r="AB133" s="1"/>
      <c r="AC133" s="1"/>
      <c r="AD133" s="1"/>
      <c r="AE133" s="1"/>
      <c r="AF133" s="1"/>
      <c r="AG133" s="1">
        <v>0</v>
      </c>
      <c r="AH133" s="1">
        <v>0</v>
      </c>
      <c r="AI133" s="1"/>
      <c r="AJ133" s="1" t="s">
        <v>21</v>
      </c>
      <c r="AK133" s="1" t="s">
        <v>21</v>
      </c>
      <c r="AL133" s="17"/>
      <c r="AM133" s="18"/>
      <c r="AN133" s="10"/>
    </row>
    <row r="134" spans="2:40" ht="15" customHeight="1" x14ac:dyDescent="0.25">
      <c r="B134" s="1">
        <f t="shared" si="1"/>
        <v>124</v>
      </c>
      <c r="C134" s="1">
        <v>0</v>
      </c>
      <c r="D134" s="1" t="s">
        <v>220</v>
      </c>
      <c r="E134" s="1" t="s">
        <v>202</v>
      </c>
      <c r="F134" s="1" t="s">
        <v>113</v>
      </c>
      <c r="G134" s="1"/>
      <c r="H134" s="1" t="s">
        <v>210</v>
      </c>
      <c r="I134" s="1" t="s">
        <v>87</v>
      </c>
      <c r="J134" s="1" t="s">
        <v>486</v>
      </c>
      <c r="K134" s="1" t="s">
        <v>62</v>
      </c>
      <c r="L134" s="1">
        <v>4</v>
      </c>
      <c r="M134" s="1">
        <v>4</v>
      </c>
      <c r="N134" s="1">
        <v>0</v>
      </c>
      <c r="O134" s="1">
        <v>0</v>
      </c>
      <c r="P134" s="1">
        <v>0</v>
      </c>
      <c r="Q134" s="1">
        <v>0</v>
      </c>
      <c r="R134" s="1"/>
      <c r="S134" s="1">
        <v>0</v>
      </c>
      <c r="T134" s="1">
        <v>3</v>
      </c>
      <c r="U134" s="1">
        <v>0</v>
      </c>
      <c r="V134" s="1">
        <v>0</v>
      </c>
      <c r="W134" s="1">
        <v>0</v>
      </c>
      <c r="X134" s="1">
        <v>0</v>
      </c>
      <c r="Y134" s="1"/>
      <c r="Z134" s="1"/>
      <c r="AA134" s="1">
        <v>0</v>
      </c>
      <c r="AB134" s="1"/>
      <c r="AC134" s="1"/>
      <c r="AD134" s="1"/>
      <c r="AE134" s="1"/>
      <c r="AF134" s="1"/>
      <c r="AG134" s="1">
        <v>0</v>
      </c>
      <c r="AH134" s="1">
        <v>0</v>
      </c>
      <c r="AI134" s="1"/>
      <c r="AJ134" s="1" t="s">
        <v>21</v>
      </c>
      <c r="AK134" s="1" t="s">
        <v>21</v>
      </c>
      <c r="AL134" s="17"/>
      <c r="AM134" s="18"/>
      <c r="AN134" s="10"/>
    </row>
    <row r="135" spans="2:40" ht="15" customHeight="1" x14ac:dyDescent="0.25">
      <c r="B135" s="1">
        <f t="shared" si="1"/>
        <v>125</v>
      </c>
      <c r="C135" s="1">
        <v>0</v>
      </c>
      <c r="D135" s="1" t="s">
        <v>220</v>
      </c>
      <c r="E135" s="1" t="s">
        <v>30</v>
      </c>
      <c r="F135" s="1" t="s">
        <v>113</v>
      </c>
      <c r="G135" s="1"/>
      <c r="H135" s="1" t="s">
        <v>211</v>
      </c>
      <c r="I135" s="1" t="s">
        <v>87</v>
      </c>
      <c r="J135" s="1" t="s">
        <v>486</v>
      </c>
      <c r="K135" s="1" t="s">
        <v>62</v>
      </c>
      <c r="L135" s="1">
        <v>4</v>
      </c>
      <c r="M135" s="1">
        <v>4</v>
      </c>
      <c r="N135" s="1">
        <v>0</v>
      </c>
      <c r="O135" s="1">
        <v>0</v>
      </c>
      <c r="P135" s="1">
        <v>0</v>
      </c>
      <c r="Q135" s="1">
        <v>0</v>
      </c>
      <c r="R135" s="1"/>
      <c r="S135" s="1">
        <v>0</v>
      </c>
      <c r="T135" s="1">
        <v>3</v>
      </c>
      <c r="U135" s="1">
        <v>0</v>
      </c>
      <c r="V135" s="1">
        <v>0</v>
      </c>
      <c r="W135" s="1">
        <v>0</v>
      </c>
      <c r="X135" s="1">
        <v>0</v>
      </c>
      <c r="Y135" s="1"/>
      <c r="Z135" s="1"/>
      <c r="AA135" s="1">
        <v>0</v>
      </c>
      <c r="AB135" s="1"/>
      <c r="AC135" s="1"/>
      <c r="AD135" s="1"/>
      <c r="AE135" s="1"/>
      <c r="AF135" s="1"/>
      <c r="AG135" s="1">
        <v>0</v>
      </c>
      <c r="AH135" s="1">
        <v>0</v>
      </c>
      <c r="AI135" s="1"/>
      <c r="AJ135" s="1" t="s">
        <v>21</v>
      </c>
      <c r="AK135" s="1" t="s">
        <v>21</v>
      </c>
      <c r="AL135" s="17"/>
      <c r="AM135" s="18"/>
      <c r="AN135" s="10"/>
    </row>
    <row r="136" spans="2:40" ht="15" customHeight="1" x14ac:dyDescent="0.25">
      <c r="B136" s="1">
        <f t="shared" si="1"/>
        <v>126</v>
      </c>
      <c r="C136" s="1">
        <v>1</v>
      </c>
      <c r="D136" s="1" t="s">
        <v>212</v>
      </c>
      <c r="E136" s="1" t="s">
        <v>101</v>
      </c>
      <c r="F136" s="1" t="s">
        <v>105</v>
      </c>
      <c r="G136" s="1" t="s">
        <v>102</v>
      </c>
      <c r="H136" s="1" t="s">
        <v>213</v>
      </c>
      <c r="I136" s="1" t="s">
        <v>85</v>
      </c>
      <c r="J136" s="1" t="s">
        <v>170</v>
      </c>
      <c r="K136" s="1" t="s">
        <v>452</v>
      </c>
      <c r="L136" s="1">
        <v>0</v>
      </c>
      <c r="M136" s="1">
        <v>0</v>
      </c>
      <c r="N136" s="1">
        <v>0</v>
      </c>
      <c r="O136" s="1">
        <v>0</v>
      </c>
      <c r="P136" s="1">
        <v>0</v>
      </c>
      <c r="Q136" s="1">
        <v>0</v>
      </c>
      <c r="R136" s="1">
        <v>0</v>
      </c>
      <c r="S136" s="1">
        <v>4</v>
      </c>
      <c r="T136" s="1">
        <v>0</v>
      </c>
      <c r="U136" s="1">
        <v>0</v>
      </c>
      <c r="V136" s="1">
        <v>2</v>
      </c>
      <c r="W136" s="1">
        <v>4</v>
      </c>
      <c r="X136" s="1">
        <v>0</v>
      </c>
      <c r="Y136" s="1">
        <v>0</v>
      </c>
      <c r="Z136" s="1">
        <v>0</v>
      </c>
      <c r="AA136" s="1">
        <v>0</v>
      </c>
      <c r="AB136" s="1"/>
      <c r="AC136" s="1"/>
      <c r="AD136" s="1"/>
      <c r="AE136" s="1"/>
      <c r="AF136" s="1">
        <v>4</v>
      </c>
      <c r="AG136" s="1">
        <v>3</v>
      </c>
      <c r="AH136" s="1">
        <v>0</v>
      </c>
      <c r="AI136" s="1">
        <v>0</v>
      </c>
      <c r="AJ136" s="1" t="s">
        <v>21</v>
      </c>
      <c r="AK136" s="1" t="s">
        <v>21</v>
      </c>
      <c r="AL136" s="17"/>
      <c r="AM136" s="18"/>
      <c r="AN136" s="10"/>
    </row>
    <row r="137" spans="2:40" x14ac:dyDescent="0.25">
      <c r="B137" s="1">
        <f t="shared" si="1"/>
        <v>127</v>
      </c>
      <c r="C137" s="1">
        <v>0</v>
      </c>
      <c r="D137" s="1" t="s">
        <v>212</v>
      </c>
      <c r="E137" s="1" t="s">
        <v>101</v>
      </c>
      <c r="F137" s="1" t="s">
        <v>118</v>
      </c>
      <c r="G137" s="1" t="s">
        <v>118</v>
      </c>
      <c r="H137" s="1" t="s">
        <v>214</v>
      </c>
      <c r="I137" s="1" t="s">
        <v>85</v>
      </c>
      <c r="J137" s="1" t="s">
        <v>61</v>
      </c>
      <c r="K137" s="1" t="s">
        <v>170</v>
      </c>
      <c r="L137" s="1">
        <v>0</v>
      </c>
      <c r="M137" s="1">
        <v>0</v>
      </c>
      <c r="N137" s="1">
        <v>0</v>
      </c>
      <c r="O137" s="1">
        <v>0</v>
      </c>
      <c r="P137" s="1">
        <v>0</v>
      </c>
      <c r="Q137" s="1">
        <v>0</v>
      </c>
      <c r="R137" s="1"/>
      <c r="S137" s="1">
        <v>4</v>
      </c>
      <c r="T137" s="1">
        <v>0</v>
      </c>
      <c r="U137" s="1">
        <v>0</v>
      </c>
      <c r="V137" s="1">
        <v>2</v>
      </c>
      <c r="W137" s="1">
        <v>3</v>
      </c>
      <c r="X137" s="1">
        <v>0</v>
      </c>
      <c r="Y137" s="1"/>
      <c r="Z137" s="1"/>
      <c r="AA137" s="1">
        <v>0</v>
      </c>
      <c r="AB137" s="1"/>
      <c r="AC137" s="1"/>
      <c r="AD137" s="1"/>
      <c r="AE137" s="1"/>
      <c r="AF137" s="1"/>
      <c r="AG137" s="1">
        <v>1</v>
      </c>
      <c r="AH137" s="1">
        <v>0</v>
      </c>
      <c r="AI137" s="1"/>
      <c r="AJ137" s="1" t="s">
        <v>32</v>
      </c>
      <c r="AK137" s="1" t="s">
        <v>32</v>
      </c>
      <c r="AL137" s="17"/>
      <c r="AM137" s="18"/>
      <c r="AN137" s="10"/>
    </row>
    <row r="138" spans="2:40" ht="15" customHeight="1" x14ac:dyDescent="0.25">
      <c r="B138" s="1">
        <f t="shared" si="1"/>
        <v>128</v>
      </c>
      <c r="C138" s="1">
        <v>0</v>
      </c>
      <c r="D138" s="1" t="s">
        <v>212</v>
      </c>
      <c r="E138" s="1" t="s">
        <v>101</v>
      </c>
      <c r="F138" s="1" t="s">
        <v>105</v>
      </c>
      <c r="G138" s="1" t="s">
        <v>102</v>
      </c>
      <c r="H138" s="1" t="s">
        <v>215</v>
      </c>
      <c r="I138" s="1" t="s">
        <v>85</v>
      </c>
      <c r="J138" s="1" t="s">
        <v>61</v>
      </c>
      <c r="K138" s="1" t="s">
        <v>170</v>
      </c>
      <c r="L138" s="1">
        <v>0</v>
      </c>
      <c r="M138" s="1">
        <v>0</v>
      </c>
      <c r="N138" s="1">
        <v>0</v>
      </c>
      <c r="O138" s="1">
        <v>0</v>
      </c>
      <c r="P138" s="1">
        <v>0</v>
      </c>
      <c r="Q138" s="1">
        <v>0</v>
      </c>
      <c r="R138" s="1"/>
      <c r="S138" s="1">
        <v>4</v>
      </c>
      <c r="T138" s="1">
        <v>0</v>
      </c>
      <c r="U138" s="1">
        <v>0</v>
      </c>
      <c r="V138" s="1">
        <v>2</v>
      </c>
      <c r="W138" s="1">
        <v>3</v>
      </c>
      <c r="X138" s="1">
        <v>0</v>
      </c>
      <c r="Y138" s="1"/>
      <c r="Z138" s="1"/>
      <c r="AA138" s="1">
        <v>0</v>
      </c>
      <c r="AB138" s="1"/>
      <c r="AC138" s="1"/>
      <c r="AD138" s="1"/>
      <c r="AE138" s="1"/>
      <c r="AF138" s="1"/>
      <c r="AG138" s="1">
        <v>2</v>
      </c>
      <c r="AH138" s="1">
        <v>0</v>
      </c>
      <c r="AI138" s="1"/>
      <c r="AJ138" s="1" t="s">
        <v>21</v>
      </c>
      <c r="AK138" s="1" t="s">
        <v>21</v>
      </c>
      <c r="AL138" s="17"/>
      <c r="AM138" s="18"/>
      <c r="AN138" s="10"/>
    </row>
    <row r="139" spans="2:40" ht="15" customHeight="1" x14ac:dyDescent="0.25">
      <c r="B139" s="1">
        <f t="shared" si="1"/>
        <v>129</v>
      </c>
      <c r="C139" s="1">
        <v>0</v>
      </c>
      <c r="D139" s="1" t="s">
        <v>185</v>
      </c>
      <c r="E139" s="1" t="s">
        <v>30</v>
      </c>
      <c r="F139" s="1" t="s">
        <v>113</v>
      </c>
      <c r="G139" s="1"/>
      <c r="H139" s="1" t="s">
        <v>216</v>
      </c>
      <c r="I139" s="1" t="s">
        <v>86</v>
      </c>
      <c r="J139" s="1" t="s">
        <v>62</v>
      </c>
      <c r="K139" s="1" t="s">
        <v>11</v>
      </c>
      <c r="L139" s="1">
        <v>4</v>
      </c>
      <c r="M139" s="1">
        <v>4</v>
      </c>
      <c r="N139" s="1">
        <v>0</v>
      </c>
      <c r="O139" s="1">
        <v>0</v>
      </c>
      <c r="P139" s="1">
        <v>4</v>
      </c>
      <c r="Q139" s="1">
        <v>0</v>
      </c>
      <c r="R139" s="1"/>
      <c r="S139" s="1">
        <v>0</v>
      </c>
      <c r="T139" s="1">
        <v>4</v>
      </c>
      <c r="U139" s="1">
        <v>0</v>
      </c>
      <c r="V139" s="1">
        <v>0</v>
      </c>
      <c r="W139" s="1">
        <v>0</v>
      </c>
      <c r="X139" s="1">
        <v>0</v>
      </c>
      <c r="Y139" s="1"/>
      <c r="Z139" s="1"/>
      <c r="AA139" s="1">
        <v>0</v>
      </c>
      <c r="AB139" s="1"/>
      <c r="AC139" s="1"/>
      <c r="AD139" s="1"/>
      <c r="AE139" s="1"/>
      <c r="AF139" s="1"/>
      <c r="AG139" s="1">
        <v>0</v>
      </c>
      <c r="AH139" s="1">
        <v>2</v>
      </c>
      <c r="AI139" s="1">
        <v>1</v>
      </c>
      <c r="AJ139" s="1" t="s">
        <v>21</v>
      </c>
      <c r="AK139" s="1" t="s">
        <v>21</v>
      </c>
      <c r="AL139" s="17">
        <v>44594</v>
      </c>
      <c r="AM139" s="18" t="s">
        <v>486</v>
      </c>
      <c r="AN139" s="10"/>
    </row>
    <row r="140" spans="2:40" ht="15" customHeight="1" x14ac:dyDescent="0.25">
      <c r="B140" s="1">
        <f t="shared" ref="B140:B203" si="2">B139+1</f>
        <v>130</v>
      </c>
      <c r="C140" s="1">
        <v>1</v>
      </c>
      <c r="D140" s="1" t="s">
        <v>386</v>
      </c>
      <c r="E140" s="1" t="s">
        <v>294</v>
      </c>
      <c r="F140" s="1" t="s">
        <v>57</v>
      </c>
      <c r="G140" s="1"/>
      <c r="H140" s="1" t="s">
        <v>217</v>
      </c>
      <c r="I140" s="1" t="s">
        <v>89</v>
      </c>
      <c r="J140" s="1" t="s">
        <v>12</v>
      </c>
      <c r="K140" s="1" t="s">
        <v>331</v>
      </c>
      <c r="L140" s="1">
        <v>0</v>
      </c>
      <c r="M140" s="1">
        <v>0</v>
      </c>
      <c r="N140" s="1">
        <v>4</v>
      </c>
      <c r="O140" s="1">
        <v>0</v>
      </c>
      <c r="P140" s="1">
        <v>0</v>
      </c>
      <c r="Q140" s="1">
        <v>2</v>
      </c>
      <c r="R140" s="1">
        <v>3</v>
      </c>
      <c r="S140" s="1">
        <v>0</v>
      </c>
      <c r="T140" s="1">
        <v>0</v>
      </c>
      <c r="U140" s="1">
        <v>0</v>
      </c>
      <c r="V140" s="1">
        <v>0</v>
      </c>
      <c r="W140" s="1">
        <v>0</v>
      </c>
      <c r="X140" s="1">
        <v>0</v>
      </c>
      <c r="Y140" s="1">
        <v>0</v>
      </c>
      <c r="Z140" s="1">
        <v>0</v>
      </c>
      <c r="AA140" s="1">
        <v>0</v>
      </c>
      <c r="AB140" s="1"/>
      <c r="AC140" s="1"/>
      <c r="AD140" s="1"/>
      <c r="AE140" s="1"/>
      <c r="AF140" s="1"/>
      <c r="AG140" s="1">
        <v>0</v>
      </c>
      <c r="AH140" s="1">
        <v>0</v>
      </c>
      <c r="AI140" s="1">
        <v>0</v>
      </c>
      <c r="AJ140" s="1" t="s">
        <v>21</v>
      </c>
      <c r="AK140" s="1" t="s">
        <v>32</v>
      </c>
      <c r="AL140" s="17"/>
      <c r="AM140" s="18"/>
      <c r="AN140" s="10"/>
    </row>
    <row r="141" spans="2:40" ht="15" customHeight="1" x14ac:dyDescent="0.25">
      <c r="B141" s="1">
        <f t="shared" si="2"/>
        <v>131</v>
      </c>
      <c r="C141" s="1">
        <v>1</v>
      </c>
      <c r="D141" s="1" t="s">
        <v>212</v>
      </c>
      <c r="E141" s="1" t="s">
        <v>91</v>
      </c>
      <c r="F141" s="1" t="s">
        <v>96</v>
      </c>
      <c r="G141" s="1" t="s">
        <v>96</v>
      </c>
      <c r="H141" s="1" t="s">
        <v>225</v>
      </c>
      <c r="I141" s="1" t="s">
        <v>86</v>
      </c>
      <c r="J141" s="1" t="s">
        <v>170</v>
      </c>
      <c r="K141" s="1" t="s">
        <v>452</v>
      </c>
      <c r="L141" s="1">
        <v>0</v>
      </c>
      <c r="M141" s="1">
        <v>0</v>
      </c>
      <c r="N141" s="1">
        <v>0</v>
      </c>
      <c r="O141" s="1">
        <v>0</v>
      </c>
      <c r="P141" s="1">
        <v>0</v>
      </c>
      <c r="Q141" s="1">
        <v>0</v>
      </c>
      <c r="R141" s="1"/>
      <c r="S141" s="1">
        <v>4</v>
      </c>
      <c r="T141" s="1">
        <v>0</v>
      </c>
      <c r="U141" s="1">
        <v>0</v>
      </c>
      <c r="V141" s="1">
        <v>0</v>
      </c>
      <c r="W141" s="1">
        <v>4</v>
      </c>
      <c r="X141" s="1">
        <v>0</v>
      </c>
      <c r="Y141" s="1"/>
      <c r="Z141" s="1"/>
      <c r="AA141" s="1">
        <v>0</v>
      </c>
      <c r="AB141" s="1"/>
      <c r="AC141" s="1"/>
      <c r="AD141" s="1"/>
      <c r="AE141" s="1"/>
      <c r="AF141" s="1">
        <v>3</v>
      </c>
      <c r="AG141" s="1">
        <v>1</v>
      </c>
      <c r="AH141" s="1">
        <v>0</v>
      </c>
      <c r="AI141" s="1">
        <v>0</v>
      </c>
      <c r="AJ141" s="1" t="s">
        <v>32</v>
      </c>
      <c r="AK141" s="1" t="s">
        <v>32</v>
      </c>
      <c r="AL141" s="17"/>
      <c r="AM141" s="18"/>
      <c r="AN141" s="10"/>
    </row>
    <row r="142" spans="2:40" x14ac:dyDescent="0.25">
      <c r="B142" s="1">
        <f t="shared" si="2"/>
        <v>132</v>
      </c>
      <c r="C142" s="1">
        <v>1</v>
      </c>
      <c r="D142" s="1" t="s">
        <v>212</v>
      </c>
      <c r="E142" s="1" t="s">
        <v>101</v>
      </c>
      <c r="F142" s="1" t="s">
        <v>118</v>
      </c>
      <c r="G142" s="1" t="s">
        <v>118</v>
      </c>
      <c r="H142" s="1" t="s">
        <v>225</v>
      </c>
      <c r="I142" s="1" t="s">
        <v>86</v>
      </c>
      <c r="J142" s="1" t="s">
        <v>170</v>
      </c>
      <c r="K142" s="1" t="s">
        <v>452</v>
      </c>
      <c r="L142" s="1">
        <v>0</v>
      </c>
      <c r="M142" s="1">
        <v>0</v>
      </c>
      <c r="N142" s="1">
        <v>0</v>
      </c>
      <c r="O142" s="1">
        <v>0</v>
      </c>
      <c r="P142" s="1">
        <v>0</v>
      </c>
      <c r="Q142" s="1">
        <v>0</v>
      </c>
      <c r="R142" s="1">
        <v>0</v>
      </c>
      <c r="S142" s="1">
        <v>4</v>
      </c>
      <c r="T142" s="1">
        <v>0</v>
      </c>
      <c r="U142" s="1">
        <v>0</v>
      </c>
      <c r="V142" s="1">
        <v>0</v>
      </c>
      <c r="W142" s="1">
        <v>4</v>
      </c>
      <c r="X142" s="1">
        <v>0</v>
      </c>
      <c r="Y142" s="1">
        <v>0</v>
      </c>
      <c r="Z142" s="1">
        <v>0</v>
      </c>
      <c r="AA142" s="1">
        <v>0</v>
      </c>
      <c r="AB142" s="1"/>
      <c r="AC142" s="1"/>
      <c r="AD142" s="1"/>
      <c r="AE142" s="1"/>
      <c r="AF142" s="1">
        <v>4</v>
      </c>
      <c r="AG142" s="1">
        <v>1</v>
      </c>
      <c r="AH142" s="1">
        <v>0</v>
      </c>
      <c r="AI142" s="1">
        <v>0</v>
      </c>
      <c r="AJ142" s="1" t="s">
        <v>32</v>
      </c>
      <c r="AK142" s="1" t="s">
        <v>32</v>
      </c>
      <c r="AL142" s="17"/>
      <c r="AM142" s="18"/>
      <c r="AN142" s="10"/>
    </row>
    <row r="143" spans="2:40" ht="15" customHeight="1" x14ac:dyDescent="0.25">
      <c r="B143" s="1">
        <f t="shared" si="2"/>
        <v>133</v>
      </c>
      <c r="C143" s="1">
        <v>1</v>
      </c>
      <c r="D143" s="1" t="s">
        <v>212</v>
      </c>
      <c r="E143" s="1" t="s">
        <v>101</v>
      </c>
      <c r="F143" s="1" t="s">
        <v>105</v>
      </c>
      <c r="G143" s="1" t="s">
        <v>102</v>
      </c>
      <c r="H143" s="1" t="s">
        <v>225</v>
      </c>
      <c r="I143" s="1" t="s">
        <v>86</v>
      </c>
      <c r="J143" s="1" t="s">
        <v>170</v>
      </c>
      <c r="K143" s="1" t="s">
        <v>452</v>
      </c>
      <c r="L143" s="1">
        <v>0</v>
      </c>
      <c r="M143" s="1">
        <v>0</v>
      </c>
      <c r="N143" s="1">
        <v>0</v>
      </c>
      <c r="O143" s="1">
        <v>0</v>
      </c>
      <c r="P143" s="1">
        <v>0</v>
      </c>
      <c r="Q143" s="1">
        <v>0</v>
      </c>
      <c r="R143" s="1">
        <v>0</v>
      </c>
      <c r="S143" s="1">
        <v>4</v>
      </c>
      <c r="T143" s="1">
        <v>0</v>
      </c>
      <c r="U143" s="1">
        <v>0</v>
      </c>
      <c r="V143" s="1">
        <v>0</v>
      </c>
      <c r="W143" s="1">
        <v>4</v>
      </c>
      <c r="X143" s="1">
        <v>0</v>
      </c>
      <c r="Y143" s="1">
        <v>0</v>
      </c>
      <c r="Z143" s="1">
        <v>0</v>
      </c>
      <c r="AA143" s="1">
        <v>0</v>
      </c>
      <c r="AB143" s="1"/>
      <c r="AC143" s="1"/>
      <c r="AD143" s="1"/>
      <c r="AE143" s="1"/>
      <c r="AF143" s="1">
        <v>3</v>
      </c>
      <c r="AG143" s="1">
        <v>2</v>
      </c>
      <c r="AH143" s="1">
        <v>0</v>
      </c>
      <c r="AI143" s="1">
        <v>0</v>
      </c>
      <c r="AJ143" s="1" t="s">
        <v>32</v>
      </c>
      <c r="AK143" s="1" t="s">
        <v>32</v>
      </c>
      <c r="AL143" s="17"/>
      <c r="AM143" s="18"/>
      <c r="AN143" s="10"/>
    </row>
    <row r="144" spans="2:40" ht="15" customHeight="1" x14ac:dyDescent="0.25">
      <c r="B144" s="1">
        <f t="shared" si="2"/>
        <v>134</v>
      </c>
      <c r="C144" s="1">
        <v>1</v>
      </c>
      <c r="D144" s="1" t="s">
        <v>212</v>
      </c>
      <c r="E144" s="1" t="s">
        <v>101</v>
      </c>
      <c r="F144" s="1" t="s">
        <v>105</v>
      </c>
      <c r="G144" s="1" t="s">
        <v>104</v>
      </c>
      <c r="H144" s="1" t="s">
        <v>225</v>
      </c>
      <c r="I144" s="1" t="s">
        <v>86</v>
      </c>
      <c r="J144" s="1" t="s">
        <v>170</v>
      </c>
      <c r="K144" s="1" t="s">
        <v>452</v>
      </c>
      <c r="L144" s="1">
        <v>0</v>
      </c>
      <c r="M144" s="1">
        <v>0</v>
      </c>
      <c r="N144" s="1">
        <v>0</v>
      </c>
      <c r="O144" s="1">
        <v>0</v>
      </c>
      <c r="P144" s="1">
        <v>0</v>
      </c>
      <c r="Q144" s="1">
        <v>0</v>
      </c>
      <c r="R144" s="1">
        <v>0</v>
      </c>
      <c r="S144" s="1">
        <v>4</v>
      </c>
      <c r="T144" s="1">
        <v>0</v>
      </c>
      <c r="U144" s="1">
        <v>0</v>
      </c>
      <c r="V144" s="1">
        <v>0</v>
      </c>
      <c r="W144" s="1">
        <v>4</v>
      </c>
      <c r="X144" s="1">
        <v>0</v>
      </c>
      <c r="Y144" s="1">
        <v>0</v>
      </c>
      <c r="Z144" s="1">
        <v>0</v>
      </c>
      <c r="AA144" s="1">
        <v>0</v>
      </c>
      <c r="AB144" s="1"/>
      <c r="AC144" s="1"/>
      <c r="AD144" s="1"/>
      <c r="AE144" s="1"/>
      <c r="AF144" s="1">
        <v>3</v>
      </c>
      <c r="AG144" s="1">
        <v>2</v>
      </c>
      <c r="AH144" s="1">
        <v>0</v>
      </c>
      <c r="AI144" s="1">
        <v>0</v>
      </c>
      <c r="AJ144" s="1" t="s">
        <v>32</v>
      </c>
      <c r="AK144" s="1" t="s">
        <v>32</v>
      </c>
      <c r="AL144" s="17"/>
      <c r="AM144" s="18"/>
      <c r="AN144" s="10"/>
    </row>
    <row r="145" spans="2:41" ht="15" customHeight="1" x14ac:dyDescent="0.25">
      <c r="B145" s="1">
        <f t="shared" si="2"/>
        <v>135</v>
      </c>
      <c r="C145" s="1">
        <v>1</v>
      </c>
      <c r="D145" s="1" t="s">
        <v>212</v>
      </c>
      <c r="E145" s="1" t="s">
        <v>91</v>
      </c>
      <c r="F145" s="1" t="s">
        <v>96</v>
      </c>
      <c r="G145" s="1" t="s">
        <v>96</v>
      </c>
      <c r="H145" s="1" t="s">
        <v>227</v>
      </c>
      <c r="I145" s="1" t="s">
        <v>85</v>
      </c>
      <c r="J145" s="1" t="s">
        <v>170</v>
      </c>
      <c r="K145" s="1" t="s">
        <v>452</v>
      </c>
      <c r="L145" s="1">
        <v>0</v>
      </c>
      <c r="M145" s="1">
        <v>0</v>
      </c>
      <c r="N145" s="1">
        <v>0</v>
      </c>
      <c r="O145" s="1">
        <v>0</v>
      </c>
      <c r="P145" s="1">
        <v>0</v>
      </c>
      <c r="Q145" s="1">
        <v>0</v>
      </c>
      <c r="R145" s="1"/>
      <c r="S145" s="1">
        <v>4</v>
      </c>
      <c r="T145" s="1">
        <v>0</v>
      </c>
      <c r="U145" s="1">
        <v>0</v>
      </c>
      <c r="V145" s="1">
        <v>2</v>
      </c>
      <c r="W145" s="1">
        <v>4</v>
      </c>
      <c r="X145" s="1">
        <v>0</v>
      </c>
      <c r="Y145" s="1"/>
      <c r="Z145" s="1"/>
      <c r="AA145" s="1">
        <v>0</v>
      </c>
      <c r="AB145" s="1"/>
      <c r="AC145" s="1"/>
      <c r="AD145" s="1"/>
      <c r="AE145" s="1"/>
      <c r="AF145" s="1">
        <v>4</v>
      </c>
      <c r="AG145" s="1">
        <v>1</v>
      </c>
      <c r="AH145" s="1">
        <v>0</v>
      </c>
      <c r="AI145" s="1">
        <v>0</v>
      </c>
      <c r="AJ145" s="1" t="s">
        <v>21</v>
      </c>
      <c r="AK145" s="1" t="s">
        <v>21</v>
      </c>
      <c r="AL145" s="17"/>
      <c r="AM145" s="18"/>
      <c r="AN145" s="10"/>
    </row>
    <row r="146" spans="2:41" ht="15" customHeight="1" x14ac:dyDescent="0.25">
      <c r="B146" s="1">
        <f t="shared" si="2"/>
        <v>136</v>
      </c>
      <c r="C146" s="1">
        <v>0</v>
      </c>
      <c r="D146" s="1" t="s">
        <v>177</v>
      </c>
      <c r="E146" s="1" t="s">
        <v>224</v>
      </c>
      <c r="F146" s="1" t="s">
        <v>176</v>
      </c>
      <c r="G146" s="1" t="s">
        <v>176</v>
      </c>
      <c r="H146" s="1" t="s">
        <v>534</v>
      </c>
      <c r="I146" s="1" t="s">
        <v>87</v>
      </c>
      <c r="J146" s="1" t="s">
        <v>330</v>
      </c>
      <c r="K146" s="1" t="s">
        <v>340</v>
      </c>
      <c r="L146" s="1">
        <v>4</v>
      </c>
      <c r="M146" s="1">
        <v>0</v>
      </c>
      <c r="N146" s="1">
        <v>0</v>
      </c>
      <c r="O146" s="1">
        <v>4</v>
      </c>
      <c r="P146" s="1">
        <v>4</v>
      </c>
      <c r="Q146" s="1">
        <v>0</v>
      </c>
      <c r="R146" s="1"/>
      <c r="S146" s="1">
        <v>0</v>
      </c>
      <c r="T146" s="1">
        <v>0</v>
      </c>
      <c r="U146" s="1">
        <v>0</v>
      </c>
      <c r="V146" s="1">
        <v>0</v>
      </c>
      <c r="W146" s="1">
        <v>0</v>
      </c>
      <c r="X146" s="1">
        <v>2</v>
      </c>
      <c r="Y146" s="1"/>
      <c r="Z146" s="1">
        <v>4</v>
      </c>
      <c r="AA146" s="1">
        <v>0</v>
      </c>
      <c r="AB146" s="1"/>
      <c r="AC146" s="1"/>
      <c r="AD146" s="1"/>
      <c r="AE146" s="1">
        <v>3</v>
      </c>
      <c r="AF146" s="1"/>
      <c r="AG146" s="1">
        <v>0</v>
      </c>
      <c r="AH146" s="1">
        <v>0</v>
      </c>
      <c r="AI146" s="1">
        <v>0</v>
      </c>
      <c r="AJ146" s="1" t="s">
        <v>21</v>
      </c>
      <c r="AK146" s="1" t="s">
        <v>21</v>
      </c>
      <c r="AL146" s="17"/>
      <c r="AM146" s="18" t="s">
        <v>408</v>
      </c>
      <c r="AN146" s="10"/>
      <c r="AO146"/>
    </row>
    <row r="147" spans="2:41" ht="15" customHeight="1" x14ac:dyDescent="0.25">
      <c r="B147" s="1">
        <f t="shared" si="2"/>
        <v>137</v>
      </c>
      <c r="C147" s="1">
        <v>0</v>
      </c>
      <c r="D147" s="1" t="s">
        <v>177</v>
      </c>
      <c r="E147" s="1" t="s">
        <v>224</v>
      </c>
      <c r="F147" s="1" t="s">
        <v>176</v>
      </c>
      <c r="G147" s="1" t="s">
        <v>177</v>
      </c>
      <c r="H147" s="1" t="s">
        <v>365</v>
      </c>
      <c r="I147" s="1" t="s">
        <v>87</v>
      </c>
      <c r="J147" s="1" t="s">
        <v>330</v>
      </c>
      <c r="K147" s="1" t="s">
        <v>340</v>
      </c>
      <c r="L147" s="1">
        <v>4</v>
      </c>
      <c r="M147" s="1">
        <v>0</v>
      </c>
      <c r="N147" s="1">
        <v>0</v>
      </c>
      <c r="O147" s="1">
        <v>4</v>
      </c>
      <c r="P147" s="1">
        <v>4</v>
      </c>
      <c r="Q147" s="1">
        <v>0</v>
      </c>
      <c r="R147" s="1"/>
      <c r="S147" s="1">
        <v>0</v>
      </c>
      <c r="T147" s="1">
        <v>0</v>
      </c>
      <c r="U147" s="1">
        <v>0</v>
      </c>
      <c r="V147" s="1">
        <v>0</v>
      </c>
      <c r="W147" s="1">
        <v>0</v>
      </c>
      <c r="X147" s="1">
        <v>2</v>
      </c>
      <c r="Y147" s="1"/>
      <c r="Z147" s="1">
        <v>3</v>
      </c>
      <c r="AA147" s="1">
        <v>0</v>
      </c>
      <c r="AB147" s="1"/>
      <c r="AC147" s="1"/>
      <c r="AD147" s="1"/>
      <c r="AE147" s="1"/>
      <c r="AF147" s="1"/>
      <c r="AG147" s="1">
        <v>0</v>
      </c>
      <c r="AH147" s="1">
        <v>0</v>
      </c>
      <c r="AI147" s="1">
        <v>0</v>
      </c>
      <c r="AJ147" s="1" t="s">
        <v>21</v>
      </c>
      <c r="AK147" s="1" t="s">
        <v>21</v>
      </c>
      <c r="AL147" s="17">
        <v>44105</v>
      </c>
      <c r="AM147" s="18" t="s">
        <v>330</v>
      </c>
      <c r="AN147" s="10"/>
      <c r="AO147"/>
    </row>
    <row r="148" spans="2:41" x14ac:dyDescent="0.25">
      <c r="B148" s="1">
        <f t="shared" si="2"/>
        <v>138</v>
      </c>
      <c r="C148" s="1">
        <v>0</v>
      </c>
      <c r="D148" s="1" t="s">
        <v>212</v>
      </c>
      <c r="E148" s="1" t="s">
        <v>101</v>
      </c>
      <c r="F148" s="1" t="s">
        <v>118</v>
      </c>
      <c r="G148" s="1" t="s">
        <v>118</v>
      </c>
      <c r="H148" s="1" t="s">
        <v>248</v>
      </c>
      <c r="I148" s="1" t="s">
        <v>85</v>
      </c>
      <c r="J148" s="1" t="s">
        <v>61</v>
      </c>
      <c r="K148" s="1" t="s">
        <v>170</v>
      </c>
      <c r="L148" s="1">
        <v>0</v>
      </c>
      <c r="M148" s="1">
        <v>0</v>
      </c>
      <c r="N148" s="1">
        <v>0</v>
      </c>
      <c r="O148" s="1">
        <v>0</v>
      </c>
      <c r="P148" s="1">
        <v>0</v>
      </c>
      <c r="Q148" s="1">
        <v>0</v>
      </c>
      <c r="R148" s="1"/>
      <c r="S148" s="1">
        <v>4</v>
      </c>
      <c r="T148" s="1">
        <v>0</v>
      </c>
      <c r="U148" s="1">
        <v>0</v>
      </c>
      <c r="V148" s="1">
        <v>2</v>
      </c>
      <c r="W148" s="1">
        <v>3</v>
      </c>
      <c r="X148" s="1">
        <v>0</v>
      </c>
      <c r="Y148" s="1"/>
      <c r="Z148" s="1"/>
      <c r="AA148" s="1">
        <v>0</v>
      </c>
      <c r="AB148" s="1"/>
      <c r="AC148" s="1"/>
      <c r="AD148" s="1"/>
      <c r="AE148" s="1"/>
      <c r="AF148" s="1"/>
      <c r="AG148" s="1">
        <v>0</v>
      </c>
      <c r="AH148" s="1">
        <v>0</v>
      </c>
      <c r="AI148" s="1"/>
      <c r="AJ148" s="1" t="s">
        <v>21</v>
      </c>
      <c r="AK148" s="1" t="s">
        <v>21</v>
      </c>
      <c r="AL148" s="17"/>
      <c r="AM148" s="18"/>
      <c r="AN148" s="10"/>
    </row>
    <row r="149" spans="2:41" ht="15" customHeight="1" x14ac:dyDescent="0.25">
      <c r="B149" s="1">
        <f t="shared" si="2"/>
        <v>139</v>
      </c>
      <c r="C149" s="1">
        <v>1</v>
      </c>
      <c r="D149" s="1" t="s">
        <v>386</v>
      </c>
      <c r="E149" s="1" t="s">
        <v>294</v>
      </c>
      <c r="F149" s="1" t="s">
        <v>57</v>
      </c>
      <c r="G149" s="1" t="s">
        <v>250</v>
      </c>
      <c r="H149" s="18" t="s">
        <v>251</v>
      </c>
      <c r="I149" s="1" t="s">
        <v>87</v>
      </c>
      <c r="J149" s="1" t="s">
        <v>331</v>
      </c>
      <c r="K149" s="1" t="s">
        <v>12</v>
      </c>
      <c r="L149" s="1">
        <v>0</v>
      </c>
      <c r="M149" s="1">
        <v>0</v>
      </c>
      <c r="N149" s="1">
        <v>2</v>
      </c>
      <c r="O149" s="1">
        <v>0</v>
      </c>
      <c r="P149" s="1">
        <v>0</v>
      </c>
      <c r="Q149" s="40">
        <v>4</v>
      </c>
      <c r="R149" s="1">
        <v>4</v>
      </c>
      <c r="S149" s="1">
        <v>0</v>
      </c>
      <c r="T149" s="1">
        <v>0</v>
      </c>
      <c r="U149" s="1">
        <v>0</v>
      </c>
      <c r="V149" s="1">
        <v>0</v>
      </c>
      <c r="W149" s="1">
        <v>0</v>
      </c>
      <c r="X149" s="1">
        <v>0</v>
      </c>
      <c r="Y149" s="1">
        <v>0</v>
      </c>
      <c r="Z149" s="1">
        <v>0</v>
      </c>
      <c r="AA149" s="1">
        <v>0</v>
      </c>
      <c r="AB149" s="1">
        <v>2</v>
      </c>
      <c r="AC149" s="1"/>
      <c r="AD149" s="1"/>
      <c r="AE149" s="1"/>
      <c r="AF149" s="1"/>
      <c r="AG149" s="1">
        <v>0</v>
      </c>
      <c r="AH149" s="1">
        <v>0</v>
      </c>
      <c r="AI149" s="1">
        <v>0</v>
      </c>
      <c r="AJ149" s="1" t="s">
        <v>21</v>
      </c>
      <c r="AK149" s="1" t="s">
        <v>21</v>
      </c>
      <c r="AL149" s="17"/>
      <c r="AM149" s="18"/>
      <c r="AN149" s="10"/>
    </row>
    <row r="150" spans="2:41" ht="15" customHeight="1" x14ac:dyDescent="0.25">
      <c r="B150" s="1">
        <f t="shared" si="2"/>
        <v>140</v>
      </c>
      <c r="C150" s="1">
        <v>1</v>
      </c>
      <c r="D150" s="1" t="s">
        <v>386</v>
      </c>
      <c r="E150" s="1" t="s">
        <v>294</v>
      </c>
      <c r="F150" s="1" t="s">
        <v>57</v>
      </c>
      <c r="G150" s="1" t="s">
        <v>250</v>
      </c>
      <c r="H150" s="1" t="s">
        <v>252</v>
      </c>
      <c r="I150" s="1" t="s">
        <v>335</v>
      </c>
      <c r="J150" s="1" t="s">
        <v>331</v>
      </c>
      <c r="K150" s="1" t="s">
        <v>12</v>
      </c>
      <c r="L150" s="1">
        <v>0</v>
      </c>
      <c r="M150" s="1">
        <v>0</v>
      </c>
      <c r="N150" s="1">
        <v>2</v>
      </c>
      <c r="O150" s="1">
        <v>0</v>
      </c>
      <c r="P150" s="1">
        <v>0</v>
      </c>
      <c r="Q150" s="40">
        <v>4</v>
      </c>
      <c r="R150" s="1">
        <v>4</v>
      </c>
      <c r="S150" s="1">
        <v>0</v>
      </c>
      <c r="T150" s="1">
        <v>0</v>
      </c>
      <c r="U150" s="1">
        <v>0</v>
      </c>
      <c r="V150" s="1">
        <v>0</v>
      </c>
      <c r="W150" s="1">
        <v>0</v>
      </c>
      <c r="X150" s="1">
        <v>0</v>
      </c>
      <c r="Y150" s="1">
        <v>0</v>
      </c>
      <c r="Z150" s="1">
        <v>0</v>
      </c>
      <c r="AA150" s="1">
        <v>0</v>
      </c>
      <c r="AB150" s="1">
        <v>0</v>
      </c>
      <c r="AC150" s="1"/>
      <c r="AD150" s="1"/>
      <c r="AE150" s="1"/>
      <c r="AF150" s="1"/>
      <c r="AG150" s="1">
        <v>0</v>
      </c>
      <c r="AH150" s="1">
        <v>0</v>
      </c>
      <c r="AI150" s="1">
        <v>0</v>
      </c>
      <c r="AJ150" s="1" t="s">
        <v>21</v>
      </c>
      <c r="AK150" s="1" t="s">
        <v>21</v>
      </c>
      <c r="AL150" s="17"/>
      <c r="AM150" s="18"/>
      <c r="AN150" s="47" t="s">
        <v>80</v>
      </c>
    </row>
    <row r="151" spans="2:41" ht="15" customHeight="1" x14ac:dyDescent="0.25">
      <c r="B151" s="1">
        <f t="shared" si="2"/>
        <v>141</v>
      </c>
      <c r="C151" s="1">
        <v>1</v>
      </c>
      <c r="D151" s="1" t="s">
        <v>386</v>
      </c>
      <c r="E151" s="1" t="s">
        <v>294</v>
      </c>
      <c r="F151" s="1" t="s">
        <v>57</v>
      </c>
      <c r="G151" s="1" t="s">
        <v>250</v>
      </c>
      <c r="H151" s="1" t="s">
        <v>253</v>
      </c>
      <c r="I151" s="1" t="s">
        <v>85</v>
      </c>
      <c r="J151" s="1" t="s">
        <v>331</v>
      </c>
      <c r="K151" s="1" t="s">
        <v>12</v>
      </c>
      <c r="L151" s="1">
        <v>0</v>
      </c>
      <c r="M151" s="1">
        <v>0</v>
      </c>
      <c r="N151" s="1">
        <v>2</v>
      </c>
      <c r="O151" s="1">
        <v>0</v>
      </c>
      <c r="P151" s="1">
        <v>0</v>
      </c>
      <c r="Q151" s="40">
        <v>4</v>
      </c>
      <c r="R151" s="1">
        <v>4</v>
      </c>
      <c r="S151" s="1">
        <v>0</v>
      </c>
      <c r="T151" s="1">
        <v>0</v>
      </c>
      <c r="U151" s="1">
        <v>0</v>
      </c>
      <c r="V151" s="1">
        <v>0</v>
      </c>
      <c r="W151" s="1">
        <v>0</v>
      </c>
      <c r="X151" s="1">
        <v>0</v>
      </c>
      <c r="Y151" s="1">
        <v>0</v>
      </c>
      <c r="Z151" s="1">
        <v>0</v>
      </c>
      <c r="AA151" s="1">
        <v>0</v>
      </c>
      <c r="AB151" s="1">
        <v>2</v>
      </c>
      <c r="AC151" s="1"/>
      <c r="AD151" s="1"/>
      <c r="AE151" s="1"/>
      <c r="AF151" s="1"/>
      <c r="AG151" s="1">
        <v>0</v>
      </c>
      <c r="AH151" s="1">
        <v>0</v>
      </c>
      <c r="AI151" s="1">
        <v>0</v>
      </c>
      <c r="AJ151" s="1" t="s">
        <v>21</v>
      </c>
      <c r="AK151" s="1" t="s">
        <v>21</v>
      </c>
      <c r="AL151" s="17"/>
      <c r="AM151" s="18"/>
      <c r="AN151" s="10"/>
    </row>
    <row r="152" spans="2:41" ht="15" customHeight="1" x14ac:dyDescent="0.25">
      <c r="B152" s="1">
        <f t="shared" si="2"/>
        <v>142</v>
      </c>
      <c r="C152" s="1">
        <v>0</v>
      </c>
      <c r="D152" s="40" t="s">
        <v>186</v>
      </c>
      <c r="E152" s="1" t="s">
        <v>294</v>
      </c>
      <c r="F152" s="1" t="s">
        <v>57</v>
      </c>
      <c r="G152" s="1" t="s">
        <v>250</v>
      </c>
      <c r="H152" s="1" t="s">
        <v>254</v>
      </c>
      <c r="I152" s="1" t="s">
        <v>86</v>
      </c>
      <c r="J152" s="1" t="s">
        <v>331</v>
      </c>
      <c r="K152" s="1" t="s">
        <v>12</v>
      </c>
      <c r="L152" s="1">
        <v>0</v>
      </c>
      <c r="M152" s="1">
        <v>0</v>
      </c>
      <c r="N152" s="1">
        <v>2</v>
      </c>
      <c r="O152" s="1">
        <v>0</v>
      </c>
      <c r="P152" s="1">
        <v>0</v>
      </c>
      <c r="Q152" s="40">
        <v>4</v>
      </c>
      <c r="R152" s="1">
        <v>4</v>
      </c>
      <c r="S152" s="1">
        <v>0</v>
      </c>
      <c r="T152" s="1">
        <v>0</v>
      </c>
      <c r="U152" s="1">
        <v>0</v>
      </c>
      <c r="V152" s="1">
        <v>0</v>
      </c>
      <c r="W152" s="1">
        <v>0</v>
      </c>
      <c r="X152" s="1">
        <v>0</v>
      </c>
      <c r="Y152" s="1">
        <v>0</v>
      </c>
      <c r="Z152" s="1">
        <v>0</v>
      </c>
      <c r="AA152" s="1">
        <v>0</v>
      </c>
      <c r="AB152" s="1">
        <v>0</v>
      </c>
      <c r="AC152" s="1"/>
      <c r="AD152" s="1"/>
      <c r="AE152" s="1"/>
      <c r="AF152" s="1"/>
      <c r="AG152" s="1">
        <v>0</v>
      </c>
      <c r="AH152" s="1">
        <v>0</v>
      </c>
      <c r="AI152" s="1"/>
      <c r="AJ152" s="1" t="s">
        <v>21</v>
      </c>
      <c r="AK152" s="1" t="s">
        <v>21</v>
      </c>
      <c r="AL152" s="17"/>
      <c r="AM152" s="18"/>
      <c r="AN152" s="47" t="s">
        <v>80</v>
      </c>
    </row>
    <row r="153" spans="2:41" ht="15" customHeight="1" x14ac:dyDescent="0.25">
      <c r="B153" s="1">
        <f t="shared" si="2"/>
        <v>143</v>
      </c>
      <c r="C153" s="1">
        <v>0</v>
      </c>
      <c r="D153" s="1" t="s">
        <v>186</v>
      </c>
      <c r="E153" s="1" t="s">
        <v>186</v>
      </c>
      <c r="F153" s="1" t="s">
        <v>57</v>
      </c>
      <c r="G153" s="1" t="s">
        <v>250</v>
      </c>
      <c r="H153" s="1" t="s">
        <v>255</v>
      </c>
      <c r="I153" s="1" t="s">
        <v>86</v>
      </c>
      <c r="J153" s="1" t="s">
        <v>331</v>
      </c>
      <c r="K153" s="1" t="s">
        <v>12</v>
      </c>
      <c r="L153" s="1">
        <v>0</v>
      </c>
      <c r="M153" s="1">
        <v>0</v>
      </c>
      <c r="N153" s="1">
        <v>0</v>
      </c>
      <c r="O153" s="1">
        <v>0</v>
      </c>
      <c r="P153" s="1">
        <v>0</v>
      </c>
      <c r="Q153" s="1">
        <v>4</v>
      </c>
      <c r="R153" s="1">
        <v>4</v>
      </c>
      <c r="S153" s="1">
        <v>0</v>
      </c>
      <c r="T153" s="1">
        <v>0</v>
      </c>
      <c r="U153" s="1">
        <v>0</v>
      </c>
      <c r="V153" s="1">
        <v>0</v>
      </c>
      <c r="W153" s="1">
        <v>0</v>
      </c>
      <c r="X153" s="1">
        <v>0</v>
      </c>
      <c r="Y153" s="1"/>
      <c r="Z153" s="1"/>
      <c r="AA153" s="1">
        <v>0</v>
      </c>
      <c r="AB153" s="1">
        <v>0</v>
      </c>
      <c r="AC153" s="1"/>
      <c r="AD153" s="1"/>
      <c r="AE153" s="1"/>
      <c r="AF153" s="1"/>
      <c r="AG153" s="1">
        <v>0</v>
      </c>
      <c r="AH153" s="1">
        <v>0</v>
      </c>
      <c r="AI153" s="1"/>
      <c r="AJ153" s="1" t="s">
        <v>21</v>
      </c>
      <c r="AK153" s="1" t="s">
        <v>21</v>
      </c>
      <c r="AL153" s="17"/>
      <c r="AM153" s="18"/>
      <c r="AN153" s="47" t="s">
        <v>80</v>
      </c>
    </row>
    <row r="154" spans="2:41" ht="15" customHeight="1" x14ac:dyDescent="0.25">
      <c r="B154" s="1">
        <f t="shared" si="2"/>
        <v>144</v>
      </c>
      <c r="C154" s="1">
        <v>0</v>
      </c>
      <c r="D154" s="1" t="s">
        <v>186</v>
      </c>
      <c r="E154" s="1" t="s">
        <v>186</v>
      </c>
      <c r="F154" s="1" t="s">
        <v>57</v>
      </c>
      <c r="G154" s="1" t="s">
        <v>250</v>
      </c>
      <c r="H154" s="1" t="s">
        <v>256</v>
      </c>
      <c r="I154" s="1" t="s">
        <v>86</v>
      </c>
      <c r="J154" s="1" t="s">
        <v>331</v>
      </c>
      <c r="K154" s="1" t="s">
        <v>12</v>
      </c>
      <c r="L154" s="1">
        <v>0</v>
      </c>
      <c r="M154" s="1">
        <v>0</v>
      </c>
      <c r="N154" s="1">
        <v>0</v>
      </c>
      <c r="O154" s="1">
        <v>0</v>
      </c>
      <c r="P154" s="1">
        <v>0</v>
      </c>
      <c r="Q154" s="1">
        <v>4</v>
      </c>
      <c r="R154" s="1">
        <v>4</v>
      </c>
      <c r="S154" s="1">
        <v>0</v>
      </c>
      <c r="T154" s="1">
        <v>0</v>
      </c>
      <c r="U154" s="1">
        <v>0</v>
      </c>
      <c r="V154" s="1">
        <v>0</v>
      </c>
      <c r="W154" s="1">
        <v>0</v>
      </c>
      <c r="X154" s="1">
        <v>0</v>
      </c>
      <c r="Y154" s="1"/>
      <c r="Z154" s="1"/>
      <c r="AA154" s="1">
        <v>0</v>
      </c>
      <c r="AB154" s="1">
        <v>0</v>
      </c>
      <c r="AC154" s="1"/>
      <c r="AD154" s="1"/>
      <c r="AE154" s="1"/>
      <c r="AF154" s="1"/>
      <c r="AG154" s="1">
        <v>0</v>
      </c>
      <c r="AH154" s="1">
        <v>0</v>
      </c>
      <c r="AI154" s="1"/>
      <c r="AJ154" s="1" t="s">
        <v>21</v>
      </c>
      <c r="AK154" s="1" t="s">
        <v>21</v>
      </c>
      <c r="AL154" s="17"/>
      <c r="AM154" s="18"/>
      <c r="AN154" s="47" t="s">
        <v>80</v>
      </c>
    </row>
    <row r="155" spans="2:41" ht="15" customHeight="1" x14ac:dyDescent="0.25">
      <c r="B155" s="45">
        <f t="shared" si="2"/>
        <v>145</v>
      </c>
      <c r="C155" s="45">
        <v>1</v>
      </c>
      <c r="D155" s="45" t="s">
        <v>386</v>
      </c>
      <c r="E155" s="45" t="s">
        <v>294</v>
      </c>
      <c r="F155" s="45" t="s">
        <v>57</v>
      </c>
      <c r="G155" s="45" t="s">
        <v>250</v>
      </c>
      <c r="H155" s="45" t="s">
        <v>257</v>
      </c>
      <c r="I155" s="45" t="s">
        <v>86</v>
      </c>
      <c r="J155" s="45" t="s">
        <v>331</v>
      </c>
      <c r="K155" s="45" t="s">
        <v>12</v>
      </c>
      <c r="L155" s="45">
        <v>0</v>
      </c>
      <c r="M155" s="45">
        <v>0</v>
      </c>
      <c r="N155" s="45">
        <v>2</v>
      </c>
      <c r="O155" s="45">
        <v>0</v>
      </c>
      <c r="P155" s="45">
        <v>0</v>
      </c>
      <c r="Q155" s="45">
        <v>4</v>
      </c>
      <c r="R155" s="45">
        <v>4</v>
      </c>
      <c r="S155" s="45">
        <v>0</v>
      </c>
      <c r="T155" s="45">
        <v>0</v>
      </c>
      <c r="U155" s="45">
        <v>0</v>
      </c>
      <c r="V155" s="45">
        <v>0</v>
      </c>
      <c r="W155" s="45">
        <v>0</v>
      </c>
      <c r="X155" s="45">
        <v>0</v>
      </c>
      <c r="Y155" s="45">
        <v>0</v>
      </c>
      <c r="Z155" s="45">
        <v>0</v>
      </c>
      <c r="AA155" s="45">
        <v>0</v>
      </c>
      <c r="AB155" s="45">
        <v>0</v>
      </c>
      <c r="AC155" s="45"/>
      <c r="AD155" s="45"/>
      <c r="AE155" s="45"/>
      <c r="AF155" s="45"/>
      <c r="AG155" s="45">
        <v>0</v>
      </c>
      <c r="AH155" s="45">
        <v>0</v>
      </c>
      <c r="AI155" s="45"/>
      <c r="AJ155" s="45" t="s">
        <v>21</v>
      </c>
      <c r="AK155" s="45" t="s">
        <v>21</v>
      </c>
      <c r="AL155" s="46"/>
      <c r="AM155" s="45"/>
      <c r="AN155" s="47" t="s">
        <v>80</v>
      </c>
    </row>
    <row r="156" spans="2:41" ht="15" customHeight="1" x14ac:dyDescent="0.25">
      <c r="B156" s="45">
        <f t="shared" si="2"/>
        <v>146</v>
      </c>
      <c r="C156" s="45">
        <v>1</v>
      </c>
      <c r="D156" s="45" t="s">
        <v>386</v>
      </c>
      <c r="E156" s="45" t="s">
        <v>294</v>
      </c>
      <c r="F156" s="45" t="s">
        <v>57</v>
      </c>
      <c r="G156" s="45" t="s">
        <v>250</v>
      </c>
      <c r="H156" s="45" t="s">
        <v>264</v>
      </c>
      <c r="I156" s="45" t="s">
        <v>86</v>
      </c>
      <c r="J156" s="45" t="s">
        <v>331</v>
      </c>
      <c r="K156" s="45" t="s">
        <v>12</v>
      </c>
      <c r="L156" s="45">
        <v>0</v>
      </c>
      <c r="M156" s="45">
        <v>0</v>
      </c>
      <c r="N156" s="45">
        <v>3</v>
      </c>
      <c r="O156" s="45">
        <v>0</v>
      </c>
      <c r="P156" s="45">
        <v>0</v>
      </c>
      <c r="Q156" s="45">
        <v>4</v>
      </c>
      <c r="R156" s="45">
        <v>4</v>
      </c>
      <c r="S156" s="45">
        <v>0</v>
      </c>
      <c r="T156" s="45">
        <v>0</v>
      </c>
      <c r="U156" s="45">
        <v>0</v>
      </c>
      <c r="V156" s="45">
        <v>0</v>
      </c>
      <c r="W156" s="45">
        <v>0</v>
      </c>
      <c r="X156" s="45">
        <v>0</v>
      </c>
      <c r="Y156" s="45">
        <v>0</v>
      </c>
      <c r="Z156" s="45">
        <v>0</v>
      </c>
      <c r="AA156" s="45">
        <v>0</v>
      </c>
      <c r="AB156" s="45">
        <v>0</v>
      </c>
      <c r="AC156" s="45"/>
      <c r="AD156" s="45"/>
      <c r="AE156" s="45"/>
      <c r="AF156" s="45"/>
      <c r="AG156" s="45">
        <v>0</v>
      </c>
      <c r="AH156" s="45">
        <v>0</v>
      </c>
      <c r="AI156" s="45"/>
      <c r="AJ156" s="45" t="s">
        <v>21</v>
      </c>
      <c r="AK156" s="45" t="s">
        <v>21</v>
      </c>
      <c r="AL156" s="46"/>
      <c r="AM156" s="45"/>
      <c r="AN156" s="47" t="s">
        <v>80</v>
      </c>
    </row>
    <row r="157" spans="2:41" ht="15" customHeight="1" x14ac:dyDescent="0.25">
      <c r="B157" s="45">
        <f t="shared" si="2"/>
        <v>147</v>
      </c>
      <c r="C157" s="45">
        <v>1</v>
      </c>
      <c r="D157" s="45" t="s">
        <v>386</v>
      </c>
      <c r="E157" s="45" t="s">
        <v>294</v>
      </c>
      <c r="F157" s="45" t="s">
        <v>57</v>
      </c>
      <c r="G157" s="45" t="s">
        <v>250</v>
      </c>
      <c r="H157" s="45" t="s">
        <v>265</v>
      </c>
      <c r="I157" s="45" t="s">
        <v>86</v>
      </c>
      <c r="J157" s="45" t="s">
        <v>331</v>
      </c>
      <c r="K157" s="45" t="s">
        <v>12</v>
      </c>
      <c r="L157" s="45">
        <v>0</v>
      </c>
      <c r="M157" s="45">
        <v>0</v>
      </c>
      <c r="N157" s="45">
        <v>2</v>
      </c>
      <c r="O157" s="45">
        <v>0</v>
      </c>
      <c r="P157" s="45">
        <v>0</v>
      </c>
      <c r="Q157" s="45">
        <v>4</v>
      </c>
      <c r="R157" s="45">
        <v>4</v>
      </c>
      <c r="S157" s="45">
        <v>0</v>
      </c>
      <c r="T157" s="45">
        <v>0</v>
      </c>
      <c r="U157" s="45">
        <v>0</v>
      </c>
      <c r="V157" s="45">
        <v>0</v>
      </c>
      <c r="W157" s="45">
        <v>0</v>
      </c>
      <c r="X157" s="45">
        <v>0</v>
      </c>
      <c r="Y157" s="45">
        <v>0</v>
      </c>
      <c r="Z157" s="45">
        <v>0</v>
      </c>
      <c r="AA157" s="45">
        <v>0</v>
      </c>
      <c r="AB157" s="45">
        <v>0</v>
      </c>
      <c r="AC157" s="45"/>
      <c r="AD157" s="45"/>
      <c r="AE157" s="45"/>
      <c r="AF157" s="45"/>
      <c r="AG157" s="45">
        <v>0</v>
      </c>
      <c r="AH157" s="45">
        <v>0</v>
      </c>
      <c r="AI157" s="45"/>
      <c r="AJ157" s="45" t="s">
        <v>21</v>
      </c>
      <c r="AK157" s="45" t="s">
        <v>21</v>
      </c>
      <c r="AL157" s="46"/>
      <c r="AM157" s="45"/>
      <c r="AN157" s="47" t="s">
        <v>80</v>
      </c>
    </row>
    <row r="158" spans="2:41" ht="15" customHeight="1" x14ac:dyDescent="0.25">
      <c r="B158" s="45">
        <f t="shared" si="2"/>
        <v>148</v>
      </c>
      <c r="C158" s="45">
        <v>1</v>
      </c>
      <c r="D158" s="45" t="s">
        <v>386</v>
      </c>
      <c r="E158" s="45" t="s">
        <v>294</v>
      </c>
      <c r="F158" s="45" t="s">
        <v>57</v>
      </c>
      <c r="G158" s="45"/>
      <c r="H158" s="45" t="s">
        <v>258</v>
      </c>
      <c r="I158" s="45" t="s">
        <v>86</v>
      </c>
      <c r="J158" s="45" t="s">
        <v>12</v>
      </c>
      <c r="K158" s="45" t="s">
        <v>331</v>
      </c>
      <c r="L158" s="45">
        <v>0</v>
      </c>
      <c r="M158" s="45">
        <v>0</v>
      </c>
      <c r="N158" s="45">
        <v>4</v>
      </c>
      <c r="O158" s="45">
        <v>0</v>
      </c>
      <c r="P158" s="45">
        <v>0</v>
      </c>
      <c r="Q158" s="45">
        <v>4</v>
      </c>
      <c r="R158" s="45">
        <v>3</v>
      </c>
      <c r="S158" s="45">
        <v>0</v>
      </c>
      <c r="T158" s="45">
        <v>0</v>
      </c>
      <c r="U158" s="45">
        <v>0</v>
      </c>
      <c r="V158" s="45">
        <v>0</v>
      </c>
      <c r="W158" s="45">
        <v>0</v>
      </c>
      <c r="X158" s="45">
        <v>0</v>
      </c>
      <c r="Y158" s="45">
        <v>0</v>
      </c>
      <c r="Z158" s="45">
        <v>0</v>
      </c>
      <c r="AA158" s="45">
        <v>0</v>
      </c>
      <c r="AB158" s="45">
        <v>0</v>
      </c>
      <c r="AC158" s="45"/>
      <c r="AD158" s="45"/>
      <c r="AE158" s="45"/>
      <c r="AF158" s="45"/>
      <c r="AG158" s="45">
        <v>0</v>
      </c>
      <c r="AH158" s="45">
        <v>0</v>
      </c>
      <c r="AI158" s="45"/>
      <c r="AJ158" s="45" t="s">
        <v>21</v>
      </c>
      <c r="AK158" s="45" t="s">
        <v>21</v>
      </c>
      <c r="AL158" s="46"/>
      <c r="AM158" s="45"/>
      <c r="AN158" s="47" t="s">
        <v>80</v>
      </c>
    </row>
    <row r="159" spans="2:41" ht="15" customHeight="1" x14ac:dyDescent="0.25">
      <c r="B159" s="1">
        <f t="shared" si="2"/>
        <v>149</v>
      </c>
      <c r="C159" s="1">
        <v>0</v>
      </c>
      <c r="D159" s="40" t="s">
        <v>186</v>
      </c>
      <c r="E159" s="1" t="s">
        <v>294</v>
      </c>
      <c r="F159" s="1" t="s">
        <v>57</v>
      </c>
      <c r="G159" s="1" t="s">
        <v>250</v>
      </c>
      <c r="H159" s="1" t="s">
        <v>259</v>
      </c>
      <c r="I159" s="1" t="s">
        <v>86</v>
      </c>
      <c r="J159" s="1" t="s">
        <v>331</v>
      </c>
      <c r="K159" s="1" t="s">
        <v>12</v>
      </c>
      <c r="L159" s="1">
        <v>0</v>
      </c>
      <c r="M159" s="1">
        <v>0</v>
      </c>
      <c r="N159" s="1">
        <v>2</v>
      </c>
      <c r="O159" s="1">
        <v>0</v>
      </c>
      <c r="P159" s="1">
        <v>0</v>
      </c>
      <c r="Q159" s="40">
        <v>4</v>
      </c>
      <c r="R159" s="1">
        <v>4</v>
      </c>
      <c r="S159" s="1">
        <v>0</v>
      </c>
      <c r="T159" s="1">
        <v>0</v>
      </c>
      <c r="U159" s="1">
        <v>0</v>
      </c>
      <c r="V159" s="1">
        <v>0</v>
      </c>
      <c r="W159" s="1">
        <v>0</v>
      </c>
      <c r="X159" s="1">
        <v>0</v>
      </c>
      <c r="Y159" s="1">
        <v>0</v>
      </c>
      <c r="Z159" s="1">
        <v>0</v>
      </c>
      <c r="AA159" s="1">
        <v>0</v>
      </c>
      <c r="AB159" s="1">
        <v>0</v>
      </c>
      <c r="AC159" s="1"/>
      <c r="AD159" s="1"/>
      <c r="AE159" s="1"/>
      <c r="AF159" s="1"/>
      <c r="AG159" s="1">
        <v>0</v>
      </c>
      <c r="AH159" s="1">
        <v>0</v>
      </c>
      <c r="AI159" s="1"/>
      <c r="AJ159" s="1" t="s">
        <v>21</v>
      </c>
      <c r="AK159" s="1" t="s">
        <v>21</v>
      </c>
      <c r="AL159" s="17"/>
      <c r="AM159" s="18"/>
      <c r="AN159" s="10" t="s">
        <v>80</v>
      </c>
    </row>
    <row r="160" spans="2:41" ht="15" customHeight="1" x14ac:dyDescent="0.25">
      <c r="B160" s="1">
        <f t="shared" si="2"/>
        <v>150</v>
      </c>
      <c r="C160" s="1">
        <v>1</v>
      </c>
      <c r="D160" s="1" t="s">
        <v>386</v>
      </c>
      <c r="E160" s="1" t="s">
        <v>294</v>
      </c>
      <c r="F160" s="1" t="s">
        <v>57</v>
      </c>
      <c r="G160" s="1" t="s">
        <v>250</v>
      </c>
      <c r="H160" s="1" t="s">
        <v>261</v>
      </c>
      <c r="I160" s="1" t="s">
        <v>86</v>
      </c>
      <c r="J160" s="1" t="s">
        <v>331</v>
      </c>
      <c r="K160" s="1" t="s">
        <v>12</v>
      </c>
      <c r="L160" s="1">
        <v>0</v>
      </c>
      <c r="M160" s="1">
        <v>0</v>
      </c>
      <c r="N160" s="1">
        <v>2</v>
      </c>
      <c r="O160" s="1">
        <v>0</v>
      </c>
      <c r="P160" s="1">
        <v>0</v>
      </c>
      <c r="Q160" s="40">
        <v>4</v>
      </c>
      <c r="R160" s="1">
        <v>4</v>
      </c>
      <c r="S160" s="1">
        <v>0</v>
      </c>
      <c r="T160" s="1">
        <v>0</v>
      </c>
      <c r="U160" s="1">
        <v>0</v>
      </c>
      <c r="V160" s="1">
        <v>0</v>
      </c>
      <c r="W160" s="1">
        <v>0</v>
      </c>
      <c r="X160" s="1">
        <v>0</v>
      </c>
      <c r="Y160" s="1">
        <v>0</v>
      </c>
      <c r="Z160" s="1">
        <v>0</v>
      </c>
      <c r="AA160" s="1">
        <v>0</v>
      </c>
      <c r="AB160" s="1">
        <v>2</v>
      </c>
      <c r="AC160" s="1"/>
      <c r="AD160" s="1"/>
      <c r="AE160" s="1"/>
      <c r="AF160" s="1"/>
      <c r="AG160" s="1">
        <v>0</v>
      </c>
      <c r="AH160" s="1">
        <v>0</v>
      </c>
      <c r="AI160" s="1">
        <v>0</v>
      </c>
      <c r="AJ160" s="1" t="s">
        <v>21</v>
      </c>
      <c r="AK160" s="1" t="s">
        <v>21</v>
      </c>
      <c r="AL160" s="17"/>
      <c r="AM160" s="18"/>
      <c r="AN160" s="10"/>
    </row>
    <row r="161" spans="2:40" ht="15" customHeight="1" x14ac:dyDescent="0.25">
      <c r="B161" s="1">
        <f t="shared" si="2"/>
        <v>151</v>
      </c>
      <c r="C161" s="1">
        <v>1</v>
      </c>
      <c r="D161" s="1" t="s">
        <v>386</v>
      </c>
      <c r="E161" s="1" t="s">
        <v>294</v>
      </c>
      <c r="F161" s="1" t="s">
        <v>57</v>
      </c>
      <c r="G161" s="1" t="s">
        <v>250</v>
      </c>
      <c r="H161" s="1" t="s">
        <v>260</v>
      </c>
      <c r="I161" s="1" t="s">
        <v>86</v>
      </c>
      <c r="J161" s="1" t="s">
        <v>331</v>
      </c>
      <c r="K161" s="1" t="s">
        <v>12</v>
      </c>
      <c r="L161" s="1">
        <v>0</v>
      </c>
      <c r="M161" s="1">
        <v>0</v>
      </c>
      <c r="N161" s="1">
        <v>2</v>
      </c>
      <c r="O161" s="1">
        <v>0</v>
      </c>
      <c r="P161" s="1">
        <v>0</v>
      </c>
      <c r="Q161" s="40">
        <v>4</v>
      </c>
      <c r="R161" s="1">
        <v>4</v>
      </c>
      <c r="S161" s="1">
        <v>0</v>
      </c>
      <c r="T161" s="1">
        <v>0</v>
      </c>
      <c r="U161" s="1">
        <v>0</v>
      </c>
      <c r="V161" s="1">
        <v>0</v>
      </c>
      <c r="W161" s="1">
        <v>0</v>
      </c>
      <c r="X161" s="1">
        <v>0</v>
      </c>
      <c r="Y161" s="1">
        <v>0</v>
      </c>
      <c r="Z161" s="1">
        <v>0</v>
      </c>
      <c r="AA161" s="1">
        <v>0</v>
      </c>
      <c r="AB161" s="1">
        <v>2</v>
      </c>
      <c r="AC161" s="1"/>
      <c r="AD161" s="1"/>
      <c r="AE161" s="1"/>
      <c r="AF161" s="1"/>
      <c r="AG161" s="1">
        <v>0</v>
      </c>
      <c r="AH161" s="1">
        <v>0</v>
      </c>
      <c r="AI161" s="1">
        <v>0</v>
      </c>
      <c r="AJ161" s="1" t="s">
        <v>21</v>
      </c>
      <c r="AK161" s="1" t="s">
        <v>21</v>
      </c>
      <c r="AL161" s="17"/>
      <c r="AM161" s="18"/>
      <c r="AN161" s="10"/>
    </row>
    <row r="162" spans="2:40" ht="15" customHeight="1" x14ac:dyDescent="0.25">
      <c r="B162" s="45">
        <f t="shared" si="2"/>
        <v>152</v>
      </c>
      <c r="C162" s="45">
        <v>1</v>
      </c>
      <c r="D162" s="45" t="s">
        <v>386</v>
      </c>
      <c r="E162" s="45" t="s">
        <v>294</v>
      </c>
      <c r="F162" s="45" t="s">
        <v>57</v>
      </c>
      <c r="G162" s="45" t="s">
        <v>250</v>
      </c>
      <c r="H162" s="45" t="s">
        <v>262</v>
      </c>
      <c r="I162" s="45" t="s">
        <v>86</v>
      </c>
      <c r="J162" s="45" t="s">
        <v>331</v>
      </c>
      <c r="K162" s="45" t="s">
        <v>12</v>
      </c>
      <c r="L162" s="45">
        <v>0</v>
      </c>
      <c r="M162" s="45">
        <v>0</v>
      </c>
      <c r="N162" s="45">
        <v>2</v>
      </c>
      <c r="O162" s="45">
        <v>0</v>
      </c>
      <c r="P162" s="45">
        <v>0</v>
      </c>
      <c r="Q162" s="45">
        <v>4</v>
      </c>
      <c r="R162" s="45">
        <v>4</v>
      </c>
      <c r="S162" s="45">
        <v>0</v>
      </c>
      <c r="T162" s="45">
        <v>0</v>
      </c>
      <c r="U162" s="45">
        <v>0</v>
      </c>
      <c r="V162" s="45">
        <v>0</v>
      </c>
      <c r="W162" s="45">
        <v>0</v>
      </c>
      <c r="X162" s="45">
        <v>0</v>
      </c>
      <c r="Y162" s="45">
        <v>0</v>
      </c>
      <c r="Z162" s="45">
        <v>0</v>
      </c>
      <c r="AA162" s="45">
        <v>0</v>
      </c>
      <c r="AB162" s="45">
        <v>0</v>
      </c>
      <c r="AC162" s="45"/>
      <c r="AD162" s="45"/>
      <c r="AE162" s="45"/>
      <c r="AF162" s="45"/>
      <c r="AG162" s="45">
        <v>0</v>
      </c>
      <c r="AH162" s="1">
        <v>0</v>
      </c>
      <c r="AI162" s="1">
        <v>0</v>
      </c>
      <c r="AJ162" s="45" t="s">
        <v>21</v>
      </c>
      <c r="AK162" s="45" t="s">
        <v>21</v>
      </c>
      <c r="AL162" s="46"/>
      <c r="AM162" s="45"/>
      <c r="AN162" s="47" t="s">
        <v>80</v>
      </c>
    </row>
    <row r="163" spans="2:40" ht="15" customHeight="1" x14ac:dyDescent="0.25">
      <c r="B163" s="1">
        <f t="shared" si="2"/>
        <v>153</v>
      </c>
      <c r="C163" s="1">
        <v>1</v>
      </c>
      <c r="D163" s="1" t="s">
        <v>386</v>
      </c>
      <c r="E163" s="1" t="s">
        <v>294</v>
      </c>
      <c r="F163" s="1" t="s">
        <v>57</v>
      </c>
      <c r="G163" s="1" t="s">
        <v>250</v>
      </c>
      <c r="H163" s="1" t="s">
        <v>263</v>
      </c>
      <c r="I163" s="1" t="s">
        <v>336</v>
      </c>
      <c r="J163" s="1" t="s">
        <v>331</v>
      </c>
      <c r="K163" s="1" t="s">
        <v>12</v>
      </c>
      <c r="L163" s="1">
        <v>0</v>
      </c>
      <c r="M163" s="1">
        <v>0</v>
      </c>
      <c r="N163" s="1">
        <v>2</v>
      </c>
      <c r="O163" s="1">
        <v>0</v>
      </c>
      <c r="P163" s="1">
        <v>0</v>
      </c>
      <c r="Q163" s="40">
        <v>4</v>
      </c>
      <c r="R163" s="1">
        <v>4</v>
      </c>
      <c r="S163" s="1">
        <v>0</v>
      </c>
      <c r="T163" s="1">
        <v>0</v>
      </c>
      <c r="U163" s="1">
        <v>0</v>
      </c>
      <c r="V163" s="1">
        <v>0</v>
      </c>
      <c r="W163" s="1">
        <v>0</v>
      </c>
      <c r="X163" s="1">
        <v>0</v>
      </c>
      <c r="Y163" s="1">
        <v>0</v>
      </c>
      <c r="Z163" s="1">
        <v>0</v>
      </c>
      <c r="AA163" s="1">
        <v>0</v>
      </c>
      <c r="AB163" s="1">
        <v>2</v>
      </c>
      <c r="AC163" s="1"/>
      <c r="AD163" s="1"/>
      <c r="AE163" s="1"/>
      <c r="AF163" s="1"/>
      <c r="AG163" s="1">
        <v>0</v>
      </c>
      <c r="AH163" s="1">
        <v>0</v>
      </c>
      <c r="AI163" s="1">
        <v>0</v>
      </c>
      <c r="AJ163" s="1" t="s">
        <v>21</v>
      </c>
      <c r="AK163" s="1" t="s">
        <v>21</v>
      </c>
      <c r="AL163" s="17"/>
      <c r="AM163" s="18"/>
      <c r="AN163" s="10"/>
    </row>
    <row r="164" spans="2:40" ht="15" customHeight="1" x14ac:dyDescent="0.25">
      <c r="B164" s="1">
        <f t="shared" si="2"/>
        <v>154</v>
      </c>
      <c r="C164" s="1">
        <v>1</v>
      </c>
      <c r="D164" s="1" t="s">
        <v>386</v>
      </c>
      <c r="E164" s="1" t="s">
        <v>294</v>
      </c>
      <c r="F164" s="1" t="s">
        <v>57</v>
      </c>
      <c r="G164" s="1" t="s">
        <v>250</v>
      </c>
      <c r="H164" s="1" t="s">
        <v>64</v>
      </c>
      <c r="I164" s="1" t="s">
        <v>86</v>
      </c>
      <c r="J164" s="1" t="s">
        <v>331</v>
      </c>
      <c r="K164" s="1" t="s">
        <v>12</v>
      </c>
      <c r="L164" s="1">
        <v>0</v>
      </c>
      <c r="M164" s="1">
        <v>0</v>
      </c>
      <c r="N164" s="1">
        <v>2</v>
      </c>
      <c r="O164" s="1">
        <v>0</v>
      </c>
      <c r="P164" s="1">
        <v>0</v>
      </c>
      <c r="Q164" s="40">
        <v>4</v>
      </c>
      <c r="R164" s="1">
        <v>4</v>
      </c>
      <c r="S164" s="1">
        <v>0</v>
      </c>
      <c r="T164" s="1">
        <v>0</v>
      </c>
      <c r="U164" s="1">
        <v>0</v>
      </c>
      <c r="V164" s="1">
        <v>0</v>
      </c>
      <c r="W164" s="1">
        <v>0</v>
      </c>
      <c r="X164" s="1">
        <v>0</v>
      </c>
      <c r="Y164" s="1">
        <v>0</v>
      </c>
      <c r="Z164" s="1">
        <v>0</v>
      </c>
      <c r="AA164" s="1">
        <v>0</v>
      </c>
      <c r="AB164" s="1">
        <v>2</v>
      </c>
      <c r="AC164" s="1"/>
      <c r="AD164" s="1"/>
      <c r="AE164" s="1"/>
      <c r="AF164" s="1"/>
      <c r="AG164" s="1">
        <v>0</v>
      </c>
      <c r="AH164" s="1">
        <v>0</v>
      </c>
      <c r="AI164" s="1">
        <v>0</v>
      </c>
      <c r="AJ164" s="1" t="s">
        <v>21</v>
      </c>
      <c r="AK164" s="1" t="s">
        <v>21</v>
      </c>
      <c r="AL164" s="17"/>
      <c r="AM164" s="18"/>
      <c r="AN164" s="10"/>
    </row>
    <row r="165" spans="2:40" ht="15" customHeight="1" x14ac:dyDescent="0.25">
      <c r="B165" s="1">
        <f t="shared" si="2"/>
        <v>155</v>
      </c>
      <c r="C165" s="1">
        <v>1</v>
      </c>
      <c r="D165" s="1" t="s">
        <v>386</v>
      </c>
      <c r="E165" s="1" t="s">
        <v>294</v>
      </c>
      <c r="F165" s="1" t="s">
        <v>57</v>
      </c>
      <c r="G165" s="1" t="s">
        <v>250</v>
      </c>
      <c r="H165" s="1" t="s">
        <v>63</v>
      </c>
      <c r="I165" s="1" t="s">
        <v>88</v>
      </c>
      <c r="J165" s="1" t="s">
        <v>331</v>
      </c>
      <c r="K165" s="1" t="s">
        <v>12</v>
      </c>
      <c r="L165" s="1">
        <v>0</v>
      </c>
      <c r="M165" s="1">
        <v>0</v>
      </c>
      <c r="N165" s="1">
        <v>2</v>
      </c>
      <c r="O165" s="1">
        <v>0</v>
      </c>
      <c r="P165" s="1">
        <v>0</v>
      </c>
      <c r="Q165" s="40">
        <v>4</v>
      </c>
      <c r="R165" s="1">
        <v>4</v>
      </c>
      <c r="S165" s="1">
        <v>0</v>
      </c>
      <c r="T165" s="1">
        <v>0</v>
      </c>
      <c r="U165" s="1">
        <v>0</v>
      </c>
      <c r="V165" s="1">
        <v>0</v>
      </c>
      <c r="W165" s="1">
        <v>0</v>
      </c>
      <c r="X165" s="1">
        <v>0</v>
      </c>
      <c r="Y165" s="1">
        <v>0</v>
      </c>
      <c r="Z165" s="1">
        <v>0</v>
      </c>
      <c r="AA165" s="1">
        <v>0</v>
      </c>
      <c r="AB165" s="1">
        <v>2</v>
      </c>
      <c r="AC165" s="1"/>
      <c r="AD165" s="1"/>
      <c r="AE165" s="1"/>
      <c r="AF165" s="1"/>
      <c r="AG165" s="1">
        <v>0</v>
      </c>
      <c r="AH165" s="1">
        <v>0</v>
      </c>
      <c r="AI165" s="1">
        <v>0</v>
      </c>
      <c r="AJ165" s="1" t="s">
        <v>21</v>
      </c>
      <c r="AK165" s="1" t="s">
        <v>21</v>
      </c>
      <c r="AL165" s="17"/>
      <c r="AM165" s="18"/>
      <c r="AN165" s="10"/>
    </row>
    <row r="166" spans="2:40" ht="15" customHeight="1" x14ac:dyDescent="0.25">
      <c r="B166" s="1">
        <f t="shared" si="2"/>
        <v>156</v>
      </c>
      <c r="C166" s="1">
        <v>0</v>
      </c>
      <c r="D166" s="40" t="s">
        <v>186</v>
      </c>
      <c r="E166" s="1" t="s">
        <v>294</v>
      </c>
      <c r="F166" s="1" t="s">
        <v>57</v>
      </c>
      <c r="G166" s="1" t="s">
        <v>250</v>
      </c>
      <c r="H166" s="1" t="s">
        <v>266</v>
      </c>
      <c r="I166" s="1" t="s">
        <v>86</v>
      </c>
      <c r="J166" s="1" t="s">
        <v>331</v>
      </c>
      <c r="K166" s="1" t="s">
        <v>12</v>
      </c>
      <c r="L166" s="1">
        <v>0</v>
      </c>
      <c r="M166" s="1">
        <v>0</v>
      </c>
      <c r="N166" s="1">
        <v>2</v>
      </c>
      <c r="O166" s="1">
        <v>0</v>
      </c>
      <c r="P166" s="1">
        <v>0</v>
      </c>
      <c r="Q166" s="40">
        <v>4</v>
      </c>
      <c r="R166" s="1">
        <v>4</v>
      </c>
      <c r="S166" s="1">
        <v>0</v>
      </c>
      <c r="T166" s="1">
        <v>0</v>
      </c>
      <c r="U166" s="1">
        <v>0</v>
      </c>
      <c r="V166" s="1">
        <v>0</v>
      </c>
      <c r="W166" s="1">
        <v>0</v>
      </c>
      <c r="X166" s="1">
        <v>0</v>
      </c>
      <c r="Y166" s="1">
        <v>0</v>
      </c>
      <c r="Z166" s="1">
        <v>0</v>
      </c>
      <c r="AA166" s="1">
        <v>0</v>
      </c>
      <c r="AB166" s="1"/>
      <c r="AC166" s="1"/>
      <c r="AD166" s="1"/>
      <c r="AE166" s="1"/>
      <c r="AF166" s="1"/>
      <c r="AG166" s="1">
        <v>0</v>
      </c>
      <c r="AH166" s="1">
        <v>0</v>
      </c>
      <c r="AI166" s="1"/>
      <c r="AJ166" s="1" t="s">
        <v>21</v>
      </c>
      <c r="AK166" s="1" t="s">
        <v>21</v>
      </c>
      <c r="AL166" s="17"/>
      <c r="AM166" s="18"/>
      <c r="AN166" s="10" t="s">
        <v>80</v>
      </c>
    </row>
    <row r="167" spans="2:40" ht="15" customHeight="1" x14ac:dyDescent="0.25">
      <c r="B167" s="1">
        <f t="shared" si="2"/>
        <v>157</v>
      </c>
      <c r="C167" s="1">
        <v>0</v>
      </c>
      <c r="D167" s="40" t="s">
        <v>186</v>
      </c>
      <c r="E167" s="1" t="s">
        <v>294</v>
      </c>
      <c r="F167" s="1" t="s">
        <v>57</v>
      </c>
      <c r="G167" s="1" t="s">
        <v>250</v>
      </c>
      <c r="H167" s="1" t="s">
        <v>267</v>
      </c>
      <c r="I167" s="1" t="s">
        <v>87</v>
      </c>
      <c r="J167" s="1" t="s">
        <v>331</v>
      </c>
      <c r="K167" s="1" t="s">
        <v>12</v>
      </c>
      <c r="L167" s="1">
        <v>0</v>
      </c>
      <c r="M167" s="1">
        <v>0</v>
      </c>
      <c r="N167" s="1">
        <v>2</v>
      </c>
      <c r="O167" s="1">
        <v>0</v>
      </c>
      <c r="P167" s="1">
        <v>0</v>
      </c>
      <c r="Q167" s="40">
        <v>4</v>
      </c>
      <c r="R167" s="1">
        <v>4</v>
      </c>
      <c r="S167" s="1">
        <v>0</v>
      </c>
      <c r="T167" s="1">
        <v>0</v>
      </c>
      <c r="U167" s="1">
        <v>0</v>
      </c>
      <c r="V167" s="1">
        <v>0</v>
      </c>
      <c r="W167" s="1">
        <v>0</v>
      </c>
      <c r="X167" s="1">
        <v>0</v>
      </c>
      <c r="Y167" s="1">
        <v>0</v>
      </c>
      <c r="Z167" s="1">
        <v>0</v>
      </c>
      <c r="AA167" s="1">
        <v>0</v>
      </c>
      <c r="AB167" s="1"/>
      <c r="AC167" s="1"/>
      <c r="AD167" s="1"/>
      <c r="AE167" s="1"/>
      <c r="AF167" s="1"/>
      <c r="AG167" s="1">
        <v>0</v>
      </c>
      <c r="AH167" s="1">
        <v>0</v>
      </c>
      <c r="AI167" s="1"/>
      <c r="AJ167" s="1" t="s">
        <v>21</v>
      </c>
      <c r="AK167" s="1" t="s">
        <v>21</v>
      </c>
      <c r="AL167" s="17"/>
      <c r="AM167" s="18"/>
      <c r="AN167" s="10" t="s">
        <v>80</v>
      </c>
    </row>
    <row r="168" spans="2:40" ht="15" customHeight="1" x14ac:dyDescent="0.25">
      <c r="B168" s="1">
        <f t="shared" si="2"/>
        <v>158</v>
      </c>
      <c r="C168" s="1">
        <v>1</v>
      </c>
      <c r="D168" s="1" t="s">
        <v>386</v>
      </c>
      <c r="E168" s="1" t="s">
        <v>294</v>
      </c>
      <c r="F168" s="1" t="s">
        <v>57</v>
      </c>
      <c r="G168" s="1" t="s">
        <v>250</v>
      </c>
      <c r="H168" s="1" t="s">
        <v>268</v>
      </c>
      <c r="I168" s="1" t="s">
        <v>87</v>
      </c>
      <c r="J168" s="1" t="s">
        <v>331</v>
      </c>
      <c r="K168" s="1" t="s">
        <v>12</v>
      </c>
      <c r="L168" s="1">
        <v>0</v>
      </c>
      <c r="M168" s="1">
        <v>0</v>
      </c>
      <c r="N168" s="1">
        <v>2</v>
      </c>
      <c r="O168" s="1">
        <v>0</v>
      </c>
      <c r="P168" s="1">
        <v>0</v>
      </c>
      <c r="Q168" s="40">
        <v>4</v>
      </c>
      <c r="R168" s="1">
        <v>4</v>
      </c>
      <c r="S168" s="1">
        <v>0</v>
      </c>
      <c r="T168" s="1">
        <v>0</v>
      </c>
      <c r="U168" s="1">
        <v>0</v>
      </c>
      <c r="V168" s="1">
        <v>0</v>
      </c>
      <c r="W168" s="1">
        <v>0</v>
      </c>
      <c r="X168" s="1">
        <v>0</v>
      </c>
      <c r="Y168" s="1">
        <v>0</v>
      </c>
      <c r="Z168" s="1">
        <v>0</v>
      </c>
      <c r="AA168" s="1">
        <v>0</v>
      </c>
      <c r="AB168" s="1">
        <v>2</v>
      </c>
      <c r="AC168" s="1"/>
      <c r="AD168" s="1"/>
      <c r="AE168" s="1"/>
      <c r="AF168" s="1"/>
      <c r="AG168" s="1">
        <v>0</v>
      </c>
      <c r="AH168" s="1">
        <v>0</v>
      </c>
      <c r="AI168" s="1">
        <v>0</v>
      </c>
      <c r="AJ168" s="1" t="s">
        <v>21</v>
      </c>
      <c r="AK168" s="1" t="s">
        <v>21</v>
      </c>
      <c r="AL168" s="17"/>
      <c r="AM168" s="18"/>
      <c r="AN168" s="10"/>
    </row>
    <row r="169" spans="2:40" ht="15" customHeight="1" x14ac:dyDescent="0.25">
      <c r="B169" s="1">
        <f t="shared" si="2"/>
        <v>159</v>
      </c>
      <c r="C169" s="1">
        <v>1</v>
      </c>
      <c r="D169" s="1" t="s">
        <v>386</v>
      </c>
      <c r="E169" s="1" t="s">
        <v>294</v>
      </c>
      <c r="F169" s="1" t="s">
        <v>57</v>
      </c>
      <c r="G169" s="1" t="s">
        <v>250</v>
      </c>
      <c r="H169" s="1" t="s">
        <v>269</v>
      </c>
      <c r="I169" s="1" t="s">
        <v>335</v>
      </c>
      <c r="J169" s="1" t="s">
        <v>331</v>
      </c>
      <c r="K169" s="1" t="s">
        <v>12</v>
      </c>
      <c r="L169" s="1">
        <v>0</v>
      </c>
      <c r="M169" s="1">
        <v>0</v>
      </c>
      <c r="N169" s="1">
        <v>2</v>
      </c>
      <c r="O169" s="1">
        <v>0</v>
      </c>
      <c r="P169" s="1">
        <v>0</v>
      </c>
      <c r="Q169" s="40">
        <v>4</v>
      </c>
      <c r="R169" s="1">
        <v>4</v>
      </c>
      <c r="S169" s="1">
        <v>0</v>
      </c>
      <c r="T169" s="1">
        <v>0</v>
      </c>
      <c r="U169" s="1">
        <v>0</v>
      </c>
      <c r="V169" s="1">
        <v>0</v>
      </c>
      <c r="W169" s="1">
        <v>0</v>
      </c>
      <c r="X169" s="1">
        <v>0</v>
      </c>
      <c r="Y169" s="1">
        <v>0</v>
      </c>
      <c r="Z169" s="1">
        <v>0</v>
      </c>
      <c r="AA169" s="1">
        <v>0</v>
      </c>
      <c r="AB169" s="1">
        <v>2</v>
      </c>
      <c r="AC169" s="1"/>
      <c r="AD169" s="1"/>
      <c r="AE169" s="1"/>
      <c r="AF169" s="1"/>
      <c r="AG169" s="1">
        <v>0</v>
      </c>
      <c r="AH169" s="1">
        <v>0</v>
      </c>
      <c r="AI169" s="1">
        <v>0</v>
      </c>
      <c r="AJ169" s="1" t="s">
        <v>21</v>
      </c>
      <c r="AK169" s="1" t="s">
        <v>21</v>
      </c>
      <c r="AL169" s="17"/>
      <c r="AM169" s="18"/>
      <c r="AN169" s="10"/>
    </row>
    <row r="170" spans="2:40" ht="15" customHeight="1" x14ac:dyDescent="0.25">
      <c r="B170" s="1">
        <f t="shared" si="2"/>
        <v>160</v>
      </c>
      <c r="C170" s="1">
        <v>0</v>
      </c>
      <c r="D170" s="1" t="s">
        <v>177</v>
      </c>
      <c r="E170" s="1" t="s">
        <v>270</v>
      </c>
      <c r="F170" s="1" t="s">
        <v>176</v>
      </c>
      <c r="G170" s="1" t="s">
        <v>177</v>
      </c>
      <c r="H170" s="1" t="s">
        <v>524</v>
      </c>
      <c r="I170" s="1" t="s">
        <v>85</v>
      </c>
      <c r="J170" s="1" t="s">
        <v>330</v>
      </c>
      <c r="K170" s="1" t="s">
        <v>340</v>
      </c>
      <c r="L170" s="1">
        <v>4</v>
      </c>
      <c r="M170" s="1">
        <v>0</v>
      </c>
      <c r="N170" s="1">
        <v>0</v>
      </c>
      <c r="O170" s="1">
        <v>0</v>
      </c>
      <c r="P170" s="1">
        <v>0</v>
      </c>
      <c r="Q170" s="1">
        <v>0</v>
      </c>
      <c r="R170" s="1"/>
      <c r="S170" s="1">
        <v>0</v>
      </c>
      <c r="T170" s="1">
        <v>0</v>
      </c>
      <c r="U170" s="1">
        <v>0</v>
      </c>
      <c r="V170" s="1">
        <v>0</v>
      </c>
      <c r="W170" s="1">
        <v>0</v>
      </c>
      <c r="X170" s="1">
        <v>2</v>
      </c>
      <c r="Y170" s="1"/>
      <c r="Z170" s="1">
        <v>4</v>
      </c>
      <c r="AA170" s="1">
        <v>0</v>
      </c>
      <c r="AB170" s="1"/>
      <c r="AC170" s="1"/>
      <c r="AD170" s="1"/>
      <c r="AE170" s="1">
        <v>3</v>
      </c>
      <c r="AF170" s="1"/>
      <c r="AG170" s="1">
        <v>0</v>
      </c>
      <c r="AH170" s="1">
        <v>0</v>
      </c>
      <c r="AI170" s="1">
        <v>0</v>
      </c>
      <c r="AJ170" s="1" t="s">
        <v>21</v>
      </c>
      <c r="AK170" s="1" t="s">
        <v>21</v>
      </c>
      <c r="AL170" s="17"/>
      <c r="AM170" s="18" t="s">
        <v>408</v>
      </c>
      <c r="AN170" s="10"/>
    </row>
    <row r="171" spans="2:40" ht="15" customHeight="1" x14ac:dyDescent="0.25">
      <c r="B171" s="1">
        <f t="shared" si="2"/>
        <v>161</v>
      </c>
      <c r="C171" s="1">
        <v>1</v>
      </c>
      <c r="D171" s="1" t="s">
        <v>186</v>
      </c>
      <c r="E171" s="1" t="s">
        <v>186</v>
      </c>
      <c r="F171" s="1" t="s">
        <v>19</v>
      </c>
      <c r="G171" s="1"/>
      <c r="H171" s="1" t="s">
        <v>272</v>
      </c>
      <c r="I171" s="1" t="s">
        <v>87</v>
      </c>
      <c r="J171" s="1" t="s">
        <v>408</v>
      </c>
      <c r="K171" s="1" t="s">
        <v>340</v>
      </c>
      <c r="L171" s="1">
        <v>0</v>
      </c>
      <c r="M171" s="1">
        <v>0</v>
      </c>
      <c r="N171" s="1">
        <v>0</v>
      </c>
      <c r="O171" s="1">
        <v>3</v>
      </c>
      <c r="P171" s="1">
        <v>0</v>
      </c>
      <c r="Q171" s="1">
        <v>0</v>
      </c>
      <c r="R171" s="1"/>
      <c r="S171" s="1">
        <v>0</v>
      </c>
      <c r="T171" s="1">
        <v>3</v>
      </c>
      <c r="U171" s="1">
        <v>0</v>
      </c>
      <c r="V171" s="1">
        <v>0</v>
      </c>
      <c r="W171" s="1">
        <v>0</v>
      </c>
      <c r="X171" s="1">
        <v>4</v>
      </c>
      <c r="Y171" s="1">
        <v>0</v>
      </c>
      <c r="Z171" s="1">
        <v>4</v>
      </c>
      <c r="AA171" s="1">
        <v>0</v>
      </c>
      <c r="AB171" s="1"/>
      <c r="AC171" s="1"/>
      <c r="AD171" s="1"/>
      <c r="AE171" s="1">
        <v>4</v>
      </c>
      <c r="AF171" s="1">
        <v>0</v>
      </c>
      <c r="AG171" s="1">
        <v>0</v>
      </c>
      <c r="AH171" s="1">
        <v>0</v>
      </c>
      <c r="AI171" s="1">
        <v>0</v>
      </c>
      <c r="AJ171" s="1" t="s">
        <v>21</v>
      </c>
      <c r="AK171" s="1" t="s">
        <v>21</v>
      </c>
      <c r="AL171" s="17">
        <v>44162</v>
      </c>
      <c r="AM171" s="18" t="s">
        <v>330</v>
      </c>
      <c r="AN171" s="10"/>
    </row>
    <row r="172" spans="2:40" ht="15" customHeight="1" x14ac:dyDescent="0.25">
      <c r="B172" s="1">
        <f t="shared" si="2"/>
        <v>162</v>
      </c>
      <c r="C172" s="1">
        <v>0</v>
      </c>
      <c r="D172" s="1" t="s">
        <v>177</v>
      </c>
      <c r="E172" s="1" t="s">
        <v>224</v>
      </c>
      <c r="F172" s="1" t="s">
        <v>176</v>
      </c>
      <c r="G172" s="1" t="s">
        <v>177</v>
      </c>
      <c r="H172" s="1" t="s">
        <v>273</v>
      </c>
      <c r="I172" s="1" t="s">
        <v>85</v>
      </c>
      <c r="J172" s="1" t="s">
        <v>330</v>
      </c>
      <c r="K172" s="1" t="s">
        <v>340</v>
      </c>
      <c r="L172" s="1">
        <v>4</v>
      </c>
      <c r="M172" s="1">
        <v>0</v>
      </c>
      <c r="N172" s="1">
        <v>0</v>
      </c>
      <c r="O172" s="1">
        <v>4</v>
      </c>
      <c r="P172" s="1">
        <v>4</v>
      </c>
      <c r="Q172" s="1">
        <v>0</v>
      </c>
      <c r="R172" s="1"/>
      <c r="S172" s="1">
        <v>0</v>
      </c>
      <c r="T172" s="1">
        <v>0</v>
      </c>
      <c r="U172" s="1">
        <v>0</v>
      </c>
      <c r="V172" s="1">
        <v>0</v>
      </c>
      <c r="W172" s="1">
        <v>0</v>
      </c>
      <c r="X172" s="1">
        <v>2</v>
      </c>
      <c r="Y172" s="1"/>
      <c r="Z172" s="1">
        <v>3</v>
      </c>
      <c r="AA172" s="1">
        <v>0</v>
      </c>
      <c r="AB172" s="1"/>
      <c r="AC172" s="1"/>
      <c r="AD172" s="1"/>
      <c r="AE172" s="1"/>
      <c r="AF172" s="1"/>
      <c r="AG172" s="1">
        <v>0</v>
      </c>
      <c r="AH172" s="1">
        <v>0</v>
      </c>
      <c r="AI172" s="1">
        <v>0</v>
      </c>
      <c r="AJ172" s="1" t="s">
        <v>21</v>
      </c>
      <c r="AK172" s="1" t="s">
        <v>21</v>
      </c>
      <c r="AL172" s="17">
        <v>44105</v>
      </c>
      <c r="AM172" s="18" t="s">
        <v>330</v>
      </c>
      <c r="AN172" s="10"/>
    </row>
    <row r="173" spans="2:40" ht="15" customHeight="1" x14ac:dyDescent="0.25">
      <c r="B173" s="1">
        <f t="shared" si="2"/>
        <v>163</v>
      </c>
      <c r="C173" s="1">
        <v>0</v>
      </c>
      <c r="D173" s="1" t="s">
        <v>271</v>
      </c>
      <c r="E173" s="1" t="s">
        <v>270</v>
      </c>
      <c r="F173" s="1" t="s">
        <v>176</v>
      </c>
      <c r="G173" s="1" t="s">
        <v>177</v>
      </c>
      <c r="H173" s="1" t="s">
        <v>181</v>
      </c>
      <c r="I173" s="1" t="s">
        <v>85</v>
      </c>
      <c r="J173" s="1" t="s">
        <v>330</v>
      </c>
      <c r="K173" s="1" t="s">
        <v>340</v>
      </c>
      <c r="L173" s="1">
        <v>4</v>
      </c>
      <c r="M173" s="1">
        <v>0</v>
      </c>
      <c r="N173" s="1">
        <v>0</v>
      </c>
      <c r="O173" s="1">
        <v>0</v>
      </c>
      <c r="P173" s="1">
        <v>0</v>
      </c>
      <c r="Q173" s="1">
        <v>0</v>
      </c>
      <c r="R173" s="1"/>
      <c r="S173" s="1">
        <v>0</v>
      </c>
      <c r="T173" s="1">
        <v>0</v>
      </c>
      <c r="U173" s="1">
        <v>0</v>
      </c>
      <c r="V173" s="1">
        <v>0</v>
      </c>
      <c r="W173" s="1">
        <v>0</v>
      </c>
      <c r="X173" s="1">
        <v>2</v>
      </c>
      <c r="Y173" s="1"/>
      <c r="Z173" s="1">
        <v>3</v>
      </c>
      <c r="AA173" s="1">
        <v>0</v>
      </c>
      <c r="AB173" s="1"/>
      <c r="AC173" s="1"/>
      <c r="AD173" s="1"/>
      <c r="AE173" s="1"/>
      <c r="AF173" s="1"/>
      <c r="AG173" s="1">
        <v>0</v>
      </c>
      <c r="AH173" s="1">
        <v>0</v>
      </c>
      <c r="AI173" s="1">
        <v>0</v>
      </c>
      <c r="AJ173" s="1" t="s">
        <v>21</v>
      </c>
      <c r="AK173" s="1" t="s">
        <v>21</v>
      </c>
      <c r="AL173" s="17">
        <v>44105</v>
      </c>
      <c r="AM173" s="18" t="s">
        <v>330</v>
      </c>
      <c r="AN173" s="10"/>
    </row>
    <row r="174" spans="2:40" ht="15" customHeight="1" x14ac:dyDescent="0.25">
      <c r="B174" s="1">
        <f t="shared" si="2"/>
        <v>164</v>
      </c>
      <c r="C174" s="1">
        <v>0</v>
      </c>
      <c r="D174" s="1" t="s">
        <v>10</v>
      </c>
      <c r="E174" s="1" t="s">
        <v>224</v>
      </c>
      <c r="F174" s="1" t="s">
        <v>274</v>
      </c>
      <c r="G174" s="1" t="s">
        <v>274</v>
      </c>
      <c r="H174" s="1" t="s">
        <v>274</v>
      </c>
      <c r="I174" s="1" t="s">
        <v>85</v>
      </c>
      <c r="J174" s="1" t="s">
        <v>94</v>
      </c>
      <c r="K174" s="1" t="s">
        <v>13</v>
      </c>
      <c r="L174" s="1">
        <v>0</v>
      </c>
      <c r="M174" s="1">
        <v>0</v>
      </c>
      <c r="N174" s="1">
        <v>0</v>
      </c>
      <c r="O174" s="1">
        <v>0</v>
      </c>
      <c r="P174" s="1">
        <v>0</v>
      </c>
      <c r="Q174" s="1">
        <v>0</v>
      </c>
      <c r="R174" s="1"/>
      <c r="S174" s="1">
        <v>4</v>
      </c>
      <c r="T174" s="1">
        <v>0</v>
      </c>
      <c r="U174" s="1">
        <v>0</v>
      </c>
      <c r="V174" s="1">
        <v>2</v>
      </c>
      <c r="W174" s="1">
        <v>3</v>
      </c>
      <c r="X174" s="1">
        <v>0</v>
      </c>
      <c r="Y174" s="1"/>
      <c r="Z174" s="1"/>
      <c r="AA174" s="1">
        <v>0</v>
      </c>
      <c r="AB174" s="1"/>
      <c r="AC174" s="1"/>
      <c r="AD174" s="1"/>
      <c r="AE174" s="1"/>
      <c r="AF174" s="1"/>
      <c r="AG174" s="1">
        <v>0</v>
      </c>
      <c r="AH174" s="1">
        <v>0</v>
      </c>
      <c r="AI174" s="1"/>
      <c r="AJ174" s="1" t="s">
        <v>21</v>
      </c>
      <c r="AK174" s="1" t="s">
        <v>21</v>
      </c>
      <c r="AL174" s="17"/>
      <c r="AM174" s="18"/>
      <c r="AN174" s="10"/>
    </row>
    <row r="175" spans="2:40" ht="15" customHeight="1" x14ac:dyDescent="0.25">
      <c r="B175" s="1">
        <f t="shared" si="2"/>
        <v>165</v>
      </c>
      <c r="C175" s="1">
        <v>1</v>
      </c>
      <c r="D175" s="1" t="s">
        <v>186</v>
      </c>
      <c r="E175" s="1" t="s">
        <v>186</v>
      </c>
      <c r="F175" s="1" t="s">
        <v>46</v>
      </c>
      <c r="G175" s="1" t="s">
        <v>46</v>
      </c>
      <c r="H175" s="1" t="s">
        <v>278</v>
      </c>
      <c r="I175" s="1" t="s">
        <v>85</v>
      </c>
      <c r="J175" s="1" t="s">
        <v>61</v>
      </c>
      <c r="K175" s="1" t="s">
        <v>170</v>
      </c>
      <c r="L175" s="1">
        <v>0</v>
      </c>
      <c r="M175" s="1">
        <v>0</v>
      </c>
      <c r="N175" s="1">
        <v>0</v>
      </c>
      <c r="O175" s="1">
        <v>0</v>
      </c>
      <c r="P175" s="1">
        <v>0</v>
      </c>
      <c r="Q175" s="1">
        <v>0</v>
      </c>
      <c r="R175" s="1"/>
      <c r="S175" s="1">
        <v>4</v>
      </c>
      <c r="T175" s="1">
        <v>0</v>
      </c>
      <c r="U175" s="1">
        <v>0</v>
      </c>
      <c r="V175" s="1">
        <v>2</v>
      </c>
      <c r="W175" s="1">
        <v>3</v>
      </c>
      <c r="X175" s="1">
        <v>0</v>
      </c>
      <c r="Y175" s="1"/>
      <c r="Z175" s="1"/>
      <c r="AA175" s="1">
        <v>0</v>
      </c>
      <c r="AB175" s="1"/>
      <c r="AC175" s="1"/>
      <c r="AD175" s="1"/>
      <c r="AE175" s="1"/>
      <c r="AF175" s="1"/>
      <c r="AG175" s="1">
        <v>0</v>
      </c>
      <c r="AH175" s="1">
        <v>0</v>
      </c>
      <c r="AI175" s="1">
        <v>0</v>
      </c>
      <c r="AJ175" s="1" t="s">
        <v>21</v>
      </c>
      <c r="AK175" s="1" t="s">
        <v>21</v>
      </c>
      <c r="AL175" s="17"/>
      <c r="AM175" s="18"/>
      <c r="AN175" s="10"/>
    </row>
    <row r="176" spans="2:40" ht="15" customHeight="1" x14ac:dyDescent="0.25">
      <c r="B176" s="1">
        <f t="shared" si="2"/>
        <v>166</v>
      </c>
      <c r="C176" s="1">
        <v>1</v>
      </c>
      <c r="D176" s="1" t="s">
        <v>186</v>
      </c>
      <c r="E176" s="1" t="s">
        <v>186</v>
      </c>
      <c r="F176" s="1" t="s">
        <v>275</v>
      </c>
      <c r="G176" s="1" t="s">
        <v>186</v>
      </c>
      <c r="H176" s="1" t="s">
        <v>276</v>
      </c>
      <c r="I176" s="1" t="s">
        <v>85</v>
      </c>
      <c r="J176" s="1" t="s">
        <v>61</v>
      </c>
      <c r="K176" s="1" t="s">
        <v>170</v>
      </c>
      <c r="L176" s="1">
        <v>0</v>
      </c>
      <c r="M176" s="1">
        <v>0</v>
      </c>
      <c r="N176" s="1">
        <v>0</v>
      </c>
      <c r="O176" s="1">
        <v>0</v>
      </c>
      <c r="P176" s="1">
        <v>0</v>
      </c>
      <c r="Q176" s="1">
        <v>0</v>
      </c>
      <c r="R176" s="1"/>
      <c r="S176" s="1">
        <v>4</v>
      </c>
      <c r="T176" s="1">
        <v>0</v>
      </c>
      <c r="U176" s="1">
        <v>0</v>
      </c>
      <c r="V176" s="1">
        <v>2</v>
      </c>
      <c r="W176" s="1">
        <v>3</v>
      </c>
      <c r="X176" s="1">
        <v>0</v>
      </c>
      <c r="Y176" s="1"/>
      <c r="Z176" s="1"/>
      <c r="AA176" s="1">
        <v>0</v>
      </c>
      <c r="AB176" s="1"/>
      <c r="AC176" s="1"/>
      <c r="AD176" s="1"/>
      <c r="AE176" s="1"/>
      <c r="AF176" s="1"/>
      <c r="AG176" s="1">
        <v>0</v>
      </c>
      <c r="AH176" s="1">
        <v>0</v>
      </c>
      <c r="AI176" s="1">
        <v>0</v>
      </c>
      <c r="AJ176" s="1" t="s">
        <v>21</v>
      </c>
      <c r="AK176" s="1" t="s">
        <v>21</v>
      </c>
      <c r="AL176" s="17"/>
      <c r="AM176" s="18"/>
      <c r="AN176" s="10" t="s">
        <v>277</v>
      </c>
    </row>
    <row r="177" spans="2:40" ht="15" customHeight="1" x14ac:dyDescent="0.25">
      <c r="B177" s="1">
        <f t="shared" si="2"/>
        <v>167</v>
      </c>
      <c r="C177" s="1">
        <v>1</v>
      </c>
      <c r="D177" s="1" t="s">
        <v>212</v>
      </c>
      <c r="E177" s="1" t="s">
        <v>101</v>
      </c>
      <c r="F177" s="1" t="s">
        <v>282</v>
      </c>
      <c r="G177" s="1" t="s">
        <v>282</v>
      </c>
      <c r="H177" s="1" t="s">
        <v>279</v>
      </c>
      <c r="I177" s="1" t="s">
        <v>85</v>
      </c>
      <c r="J177" s="1" t="s">
        <v>170</v>
      </c>
      <c r="K177" s="1" t="s">
        <v>452</v>
      </c>
      <c r="L177" s="1">
        <v>0</v>
      </c>
      <c r="M177" s="1">
        <v>0</v>
      </c>
      <c r="N177" s="1">
        <v>0</v>
      </c>
      <c r="O177" s="1">
        <v>0</v>
      </c>
      <c r="P177" s="1">
        <v>0</v>
      </c>
      <c r="Q177" s="1">
        <v>0</v>
      </c>
      <c r="R177" s="1">
        <v>0</v>
      </c>
      <c r="S177" s="1">
        <v>4</v>
      </c>
      <c r="T177" s="1">
        <v>0</v>
      </c>
      <c r="U177" s="1">
        <v>0</v>
      </c>
      <c r="V177" s="1">
        <v>2</v>
      </c>
      <c r="W177" s="1">
        <v>4</v>
      </c>
      <c r="X177" s="1">
        <v>0</v>
      </c>
      <c r="Y177" s="1">
        <v>0</v>
      </c>
      <c r="Z177" s="1">
        <v>0</v>
      </c>
      <c r="AA177" s="1">
        <v>0</v>
      </c>
      <c r="AB177" s="1"/>
      <c r="AC177" s="1"/>
      <c r="AD177" s="1"/>
      <c r="AE177" s="1"/>
      <c r="AF177" s="1">
        <v>4</v>
      </c>
      <c r="AG177" s="1">
        <v>3</v>
      </c>
      <c r="AH177" s="1">
        <v>0</v>
      </c>
      <c r="AI177" s="1">
        <v>0</v>
      </c>
      <c r="AJ177" s="1" t="s">
        <v>21</v>
      </c>
      <c r="AK177" s="1" t="s">
        <v>21</v>
      </c>
      <c r="AL177" s="17"/>
      <c r="AM177" s="18"/>
      <c r="AN177" s="10"/>
    </row>
    <row r="178" spans="2:40" ht="15" customHeight="1" x14ac:dyDescent="0.25">
      <c r="B178" s="1">
        <f t="shared" si="2"/>
        <v>168</v>
      </c>
      <c r="C178" s="1">
        <v>1</v>
      </c>
      <c r="D178" s="1" t="s">
        <v>212</v>
      </c>
      <c r="E178" s="1" t="s">
        <v>101</v>
      </c>
      <c r="F178" s="1" t="s">
        <v>282</v>
      </c>
      <c r="G178" s="1" t="s">
        <v>282</v>
      </c>
      <c r="H178" s="1" t="s">
        <v>280</v>
      </c>
      <c r="I178" s="1" t="s">
        <v>85</v>
      </c>
      <c r="J178" s="1" t="s">
        <v>170</v>
      </c>
      <c r="K178" s="1" t="s">
        <v>452</v>
      </c>
      <c r="L178" s="1">
        <v>0</v>
      </c>
      <c r="M178" s="1">
        <v>0</v>
      </c>
      <c r="N178" s="1">
        <v>0</v>
      </c>
      <c r="O178" s="1">
        <v>0</v>
      </c>
      <c r="P178" s="1">
        <v>0</v>
      </c>
      <c r="Q178" s="1">
        <v>0</v>
      </c>
      <c r="R178" s="1">
        <v>0</v>
      </c>
      <c r="S178" s="1">
        <v>4</v>
      </c>
      <c r="T178" s="1">
        <v>0</v>
      </c>
      <c r="U178" s="1">
        <v>0</v>
      </c>
      <c r="V178" s="1">
        <v>2</v>
      </c>
      <c r="W178" s="1">
        <v>4</v>
      </c>
      <c r="X178" s="1">
        <v>0</v>
      </c>
      <c r="Y178" s="1">
        <v>0</v>
      </c>
      <c r="Z178" s="1">
        <v>0</v>
      </c>
      <c r="AA178" s="1">
        <v>0</v>
      </c>
      <c r="AB178" s="1"/>
      <c r="AC178" s="1"/>
      <c r="AD178" s="1"/>
      <c r="AE178" s="1"/>
      <c r="AF178" s="1">
        <v>4</v>
      </c>
      <c r="AG178" s="1">
        <v>3</v>
      </c>
      <c r="AH178" s="1">
        <v>0</v>
      </c>
      <c r="AI178" s="1">
        <v>0</v>
      </c>
      <c r="AJ178" s="1" t="s">
        <v>21</v>
      </c>
      <c r="AK178" s="1" t="s">
        <v>21</v>
      </c>
      <c r="AL178" s="17"/>
      <c r="AM178" s="18"/>
      <c r="AN178" s="10"/>
    </row>
    <row r="179" spans="2:40" ht="15" customHeight="1" x14ac:dyDescent="0.25">
      <c r="B179" s="1">
        <f t="shared" si="2"/>
        <v>169</v>
      </c>
      <c r="C179" s="1">
        <v>1</v>
      </c>
      <c r="D179" s="1" t="s">
        <v>212</v>
      </c>
      <c r="E179" s="1" t="s">
        <v>101</v>
      </c>
      <c r="F179" s="1" t="s">
        <v>282</v>
      </c>
      <c r="G179" s="1" t="s">
        <v>282</v>
      </c>
      <c r="H179" s="1" t="s">
        <v>281</v>
      </c>
      <c r="I179" s="1" t="s">
        <v>85</v>
      </c>
      <c r="J179" s="1" t="s">
        <v>170</v>
      </c>
      <c r="K179" s="1" t="s">
        <v>452</v>
      </c>
      <c r="L179" s="1">
        <v>0</v>
      </c>
      <c r="M179" s="1">
        <v>0</v>
      </c>
      <c r="N179" s="1">
        <v>0</v>
      </c>
      <c r="O179" s="1">
        <v>0</v>
      </c>
      <c r="P179" s="1">
        <v>0</v>
      </c>
      <c r="Q179" s="1">
        <v>0</v>
      </c>
      <c r="R179" s="1">
        <v>0</v>
      </c>
      <c r="S179" s="1">
        <v>4</v>
      </c>
      <c r="T179" s="1">
        <v>0</v>
      </c>
      <c r="U179" s="1">
        <v>0</v>
      </c>
      <c r="V179" s="1">
        <v>2</v>
      </c>
      <c r="W179" s="1">
        <v>4</v>
      </c>
      <c r="X179" s="1">
        <v>0</v>
      </c>
      <c r="Y179" s="1">
        <v>0</v>
      </c>
      <c r="Z179" s="1">
        <v>0</v>
      </c>
      <c r="AA179" s="1">
        <v>0</v>
      </c>
      <c r="AB179" s="1"/>
      <c r="AC179" s="1"/>
      <c r="AD179" s="1"/>
      <c r="AE179" s="1"/>
      <c r="AF179" s="1">
        <v>4</v>
      </c>
      <c r="AG179" s="1">
        <v>3</v>
      </c>
      <c r="AH179" s="1">
        <v>0</v>
      </c>
      <c r="AI179" s="1">
        <v>0</v>
      </c>
      <c r="AJ179" s="1" t="s">
        <v>21</v>
      </c>
      <c r="AK179" s="1" t="s">
        <v>21</v>
      </c>
      <c r="AL179" s="17"/>
      <c r="AM179" s="18"/>
      <c r="AN179" s="10"/>
    </row>
    <row r="180" spans="2:40" ht="15" customHeight="1" x14ac:dyDescent="0.25">
      <c r="B180" s="1">
        <f t="shared" si="2"/>
        <v>170</v>
      </c>
      <c r="C180" s="1">
        <v>1</v>
      </c>
      <c r="D180" s="1" t="s">
        <v>283</v>
      </c>
      <c r="E180" s="1" t="s">
        <v>52</v>
      </c>
      <c r="F180" s="1" t="s">
        <v>284</v>
      </c>
      <c r="G180" s="1" t="s">
        <v>284</v>
      </c>
      <c r="H180" s="1" t="s">
        <v>362</v>
      </c>
      <c r="I180" s="1" t="s">
        <v>85</v>
      </c>
      <c r="J180" s="1" t="s">
        <v>312</v>
      </c>
      <c r="K180" s="1" t="s">
        <v>408</v>
      </c>
      <c r="L180" s="1">
        <v>4</v>
      </c>
      <c r="M180" s="1">
        <v>3</v>
      </c>
      <c r="N180" s="1">
        <v>0</v>
      </c>
      <c r="O180" s="1">
        <v>0</v>
      </c>
      <c r="P180" s="1">
        <v>0</v>
      </c>
      <c r="Q180" s="1">
        <v>0</v>
      </c>
      <c r="R180" s="1"/>
      <c r="S180" s="1">
        <v>0</v>
      </c>
      <c r="T180" s="1">
        <v>0</v>
      </c>
      <c r="U180" s="1">
        <v>4</v>
      </c>
      <c r="V180" s="1">
        <v>0</v>
      </c>
      <c r="W180" s="1"/>
      <c r="X180" s="1"/>
      <c r="Y180" s="1">
        <v>4</v>
      </c>
      <c r="Z180" s="1">
        <v>3</v>
      </c>
      <c r="AA180" s="1"/>
      <c r="AB180" s="1"/>
      <c r="AC180" s="1"/>
      <c r="AD180" s="1"/>
      <c r="AE180" s="1">
        <v>3</v>
      </c>
      <c r="AF180" s="1"/>
      <c r="AG180" s="1"/>
      <c r="AH180" s="1">
        <v>0</v>
      </c>
      <c r="AI180" s="1">
        <v>0</v>
      </c>
      <c r="AJ180" s="1" t="s">
        <v>21</v>
      </c>
      <c r="AK180" s="1" t="s">
        <v>21</v>
      </c>
      <c r="AL180" s="17" t="s">
        <v>416</v>
      </c>
      <c r="AM180" s="18" t="s">
        <v>410</v>
      </c>
      <c r="AN180" s="10"/>
    </row>
    <row r="181" spans="2:40" ht="15" customHeight="1" x14ac:dyDescent="0.25">
      <c r="B181" s="1">
        <f t="shared" si="2"/>
        <v>171</v>
      </c>
      <c r="C181" s="1">
        <v>1</v>
      </c>
      <c r="D181" s="1" t="s">
        <v>177</v>
      </c>
      <c r="E181" s="1" t="s">
        <v>294</v>
      </c>
      <c r="F181" s="1" t="s">
        <v>176</v>
      </c>
      <c r="G181" s="1" t="s">
        <v>177</v>
      </c>
      <c r="H181" s="1" t="s">
        <v>367</v>
      </c>
      <c r="I181" s="1" t="s">
        <v>85</v>
      </c>
      <c r="J181" s="1" t="s">
        <v>330</v>
      </c>
      <c r="K181" s="1" t="s">
        <v>340</v>
      </c>
      <c r="L181" s="1">
        <v>4</v>
      </c>
      <c r="M181" s="1">
        <v>0</v>
      </c>
      <c r="N181" s="1">
        <v>0</v>
      </c>
      <c r="O181" s="1">
        <v>4</v>
      </c>
      <c r="P181" s="1">
        <v>4</v>
      </c>
      <c r="Q181" s="1">
        <v>0</v>
      </c>
      <c r="R181" s="1"/>
      <c r="S181" s="1">
        <v>0</v>
      </c>
      <c r="T181" s="1">
        <v>0</v>
      </c>
      <c r="U181" s="1">
        <v>0</v>
      </c>
      <c r="V181" s="1">
        <v>0</v>
      </c>
      <c r="W181" s="1">
        <v>0</v>
      </c>
      <c r="X181" s="1">
        <v>2</v>
      </c>
      <c r="Y181" s="1"/>
      <c r="Z181" s="1">
        <v>4</v>
      </c>
      <c r="AA181" s="1">
        <v>0</v>
      </c>
      <c r="AB181" s="1"/>
      <c r="AC181" s="1"/>
      <c r="AD181" s="1"/>
      <c r="AE181" s="1">
        <v>3</v>
      </c>
      <c r="AF181" s="1"/>
      <c r="AG181" s="1">
        <v>0</v>
      </c>
      <c r="AH181" s="1">
        <v>0</v>
      </c>
      <c r="AI181" s="1">
        <v>0</v>
      </c>
      <c r="AJ181" s="1" t="s">
        <v>21</v>
      </c>
      <c r="AK181" s="1" t="s">
        <v>21</v>
      </c>
      <c r="AL181" s="17">
        <v>44854</v>
      </c>
      <c r="AM181" s="18" t="s">
        <v>408</v>
      </c>
      <c r="AN181" s="10"/>
    </row>
    <row r="182" spans="2:40" ht="15" customHeight="1" x14ac:dyDescent="0.25">
      <c r="B182" s="1">
        <f t="shared" si="2"/>
        <v>172</v>
      </c>
      <c r="C182" s="1">
        <v>1</v>
      </c>
      <c r="D182" s="1" t="s">
        <v>177</v>
      </c>
      <c r="E182" s="1" t="s">
        <v>294</v>
      </c>
      <c r="F182" s="1" t="s">
        <v>176</v>
      </c>
      <c r="G182" s="1" t="s">
        <v>177</v>
      </c>
      <c r="H182" s="1" t="s">
        <v>368</v>
      </c>
      <c r="I182" s="1" t="s">
        <v>85</v>
      </c>
      <c r="J182" s="1" t="s">
        <v>330</v>
      </c>
      <c r="K182" s="1" t="s">
        <v>340</v>
      </c>
      <c r="L182" s="1">
        <v>4</v>
      </c>
      <c r="M182" s="1">
        <v>0</v>
      </c>
      <c r="N182" s="1">
        <v>0</v>
      </c>
      <c r="O182" s="1">
        <v>4</v>
      </c>
      <c r="P182" s="1">
        <v>4</v>
      </c>
      <c r="Q182" s="1">
        <v>0</v>
      </c>
      <c r="R182" s="1"/>
      <c r="S182" s="1">
        <v>0</v>
      </c>
      <c r="T182" s="1">
        <v>0</v>
      </c>
      <c r="U182" s="1">
        <v>0</v>
      </c>
      <c r="V182" s="1">
        <v>0</v>
      </c>
      <c r="W182" s="1">
        <v>0</v>
      </c>
      <c r="X182" s="1">
        <v>2</v>
      </c>
      <c r="Y182" s="1"/>
      <c r="Z182" s="1">
        <v>4</v>
      </c>
      <c r="AA182" s="1">
        <v>0</v>
      </c>
      <c r="AB182" s="1"/>
      <c r="AC182" s="1"/>
      <c r="AD182" s="1"/>
      <c r="AE182" s="1">
        <v>3</v>
      </c>
      <c r="AF182" s="1"/>
      <c r="AG182" s="1">
        <v>0</v>
      </c>
      <c r="AH182" s="1">
        <v>0</v>
      </c>
      <c r="AI182" s="1">
        <v>0</v>
      </c>
      <c r="AJ182" s="1" t="s">
        <v>21</v>
      </c>
      <c r="AK182" s="1" t="s">
        <v>21</v>
      </c>
      <c r="AL182" s="17">
        <v>44854</v>
      </c>
      <c r="AM182" s="18" t="s">
        <v>408</v>
      </c>
      <c r="AN182" s="10"/>
    </row>
    <row r="183" spans="2:40" ht="15" customHeight="1" x14ac:dyDescent="0.25">
      <c r="B183" s="1">
        <f t="shared" si="2"/>
        <v>173</v>
      </c>
      <c r="C183" s="1">
        <v>0</v>
      </c>
      <c r="D183" s="1" t="s">
        <v>177</v>
      </c>
      <c r="E183" s="1" t="s">
        <v>294</v>
      </c>
      <c r="F183" s="1" t="s">
        <v>176</v>
      </c>
      <c r="G183" s="1" t="s">
        <v>177</v>
      </c>
      <c r="H183" s="1" t="s">
        <v>373</v>
      </c>
      <c r="I183" s="1" t="s">
        <v>85</v>
      </c>
      <c r="J183" s="1" t="s">
        <v>330</v>
      </c>
      <c r="K183" s="1" t="s">
        <v>340</v>
      </c>
      <c r="L183" s="1">
        <v>4</v>
      </c>
      <c r="M183" s="1">
        <v>0</v>
      </c>
      <c r="N183" s="1">
        <v>0</v>
      </c>
      <c r="O183" s="1">
        <v>4</v>
      </c>
      <c r="P183" s="1">
        <v>4</v>
      </c>
      <c r="Q183" s="1">
        <v>0</v>
      </c>
      <c r="R183" s="1"/>
      <c r="S183" s="1">
        <v>0</v>
      </c>
      <c r="T183" s="1">
        <v>0</v>
      </c>
      <c r="U183" s="1">
        <v>0</v>
      </c>
      <c r="V183" s="1">
        <v>0</v>
      </c>
      <c r="W183" s="1">
        <v>0</v>
      </c>
      <c r="X183" s="1">
        <v>2</v>
      </c>
      <c r="Y183" s="1"/>
      <c r="Z183" s="1">
        <v>3</v>
      </c>
      <c r="AA183" s="1">
        <v>0</v>
      </c>
      <c r="AB183" s="1"/>
      <c r="AC183" s="1"/>
      <c r="AD183" s="1"/>
      <c r="AE183" s="1"/>
      <c r="AF183" s="1"/>
      <c r="AG183" s="1">
        <v>0</v>
      </c>
      <c r="AH183" s="1">
        <v>0</v>
      </c>
      <c r="AI183" s="1">
        <v>0</v>
      </c>
      <c r="AJ183" s="1" t="s">
        <v>21</v>
      </c>
      <c r="AK183" s="1" t="s">
        <v>21</v>
      </c>
      <c r="AL183" s="17">
        <v>44107</v>
      </c>
      <c r="AM183" s="18" t="s">
        <v>330</v>
      </c>
      <c r="AN183" s="10"/>
    </row>
    <row r="184" spans="2:40" ht="15" customHeight="1" x14ac:dyDescent="0.25">
      <c r="B184" s="1">
        <f t="shared" si="2"/>
        <v>174</v>
      </c>
      <c r="C184" s="1">
        <v>0</v>
      </c>
      <c r="D184" s="1" t="s">
        <v>177</v>
      </c>
      <c r="E184" s="1" t="s">
        <v>294</v>
      </c>
      <c r="F184" s="1" t="s">
        <v>176</v>
      </c>
      <c r="G184" s="1" t="s">
        <v>177</v>
      </c>
      <c r="H184" s="1" t="s">
        <v>369</v>
      </c>
      <c r="I184" s="1" t="s">
        <v>85</v>
      </c>
      <c r="J184" s="1" t="s">
        <v>330</v>
      </c>
      <c r="K184" s="1" t="s">
        <v>340</v>
      </c>
      <c r="L184" s="1">
        <v>4</v>
      </c>
      <c r="M184" s="1">
        <v>0</v>
      </c>
      <c r="N184" s="1">
        <v>0</v>
      </c>
      <c r="O184" s="1">
        <v>4</v>
      </c>
      <c r="P184" s="1">
        <v>4</v>
      </c>
      <c r="Q184" s="1">
        <v>0</v>
      </c>
      <c r="R184" s="1"/>
      <c r="S184" s="1">
        <v>0</v>
      </c>
      <c r="T184" s="1">
        <v>0</v>
      </c>
      <c r="U184" s="1">
        <v>0</v>
      </c>
      <c r="V184" s="1">
        <v>0</v>
      </c>
      <c r="W184" s="1">
        <v>0</v>
      </c>
      <c r="X184" s="1">
        <v>2</v>
      </c>
      <c r="Y184" s="1"/>
      <c r="Z184" s="1">
        <v>3</v>
      </c>
      <c r="AA184" s="1">
        <v>0</v>
      </c>
      <c r="AB184" s="1"/>
      <c r="AC184" s="1"/>
      <c r="AD184" s="1"/>
      <c r="AE184" s="1"/>
      <c r="AF184" s="1"/>
      <c r="AG184" s="1">
        <v>0</v>
      </c>
      <c r="AH184" s="1">
        <v>0</v>
      </c>
      <c r="AI184" s="1">
        <v>0</v>
      </c>
      <c r="AJ184" s="1" t="s">
        <v>21</v>
      </c>
      <c r="AK184" s="1" t="s">
        <v>21</v>
      </c>
      <c r="AL184" s="17">
        <v>44108</v>
      </c>
      <c r="AM184" s="18" t="s">
        <v>330</v>
      </c>
      <c r="AN184" s="10"/>
    </row>
    <row r="185" spans="2:40" ht="15" customHeight="1" x14ac:dyDescent="0.25">
      <c r="B185" s="1">
        <f t="shared" si="2"/>
        <v>175</v>
      </c>
      <c r="C185" s="1">
        <v>0</v>
      </c>
      <c r="D185" s="1" t="s">
        <v>177</v>
      </c>
      <c r="E185" s="1" t="s">
        <v>294</v>
      </c>
      <c r="F185" s="1" t="s">
        <v>176</v>
      </c>
      <c r="G185" s="1" t="s">
        <v>177</v>
      </c>
      <c r="H185" s="1" t="s">
        <v>370</v>
      </c>
      <c r="I185" s="1" t="s">
        <v>85</v>
      </c>
      <c r="J185" s="1" t="s">
        <v>330</v>
      </c>
      <c r="K185" s="1" t="s">
        <v>340</v>
      </c>
      <c r="L185" s="1">
        <v>4</v>
      </c>
      <c r="M185" s="1">
        <v>0</v>
      </c>
      <c r="N185" s="1">
        <v>0</v>
      </c>
      <c r="O185" s="1">
        <v>4</v>
      </c>
      <c r="P185" s="1">
        <v>4</v>
      </c>
      <c r="Q185" s="1">
        <v>0</v>
      </c>
      <c r="R185" s="1"/>
      <c r="S185" s="1">
        <v>0</v>
      </c>
      <c r="T185" s="1">
        <v>0</v>
      </c>
      <c r="U185" s="1">
        <v>0</v>
      </c>
      <c r="V185" s="1">
        <v>0</v>
      </c>
      <c r="W185" s="1">
        <v>0</v>
      </c>
      <c r="X185" s="1">
        <v>2</v>
      </c>
      <c r="Y185" s="1"/>
      <c r="Z185" s="1">
        <v>3</v>
      </c>
      <c r="AA185" s="1">
        <v>0</v>
      </c>
      <c r="AB185" s="1"/>
      <c r="AC185" s="1"/>
      <c r="AD185" s="1"/>
      <c r="AE185" s="1"/>
      <c r="AF185" s="1"/>
      <c r="AG185" s="1">
        <v>0</v>
      </c>
      <c r="AH185" s="1">
        <v>0</v>
      </c>
      <c r="AI185" s="1">
        <v>0</v>
      </c>
      <c r="AJ185" s="1" t="s">
        <v>21</v>
      </c>
      <c r="AK185" s="1" t="s">
        <v>21</v>
      </c>
      <c r="AL185" s="17">
        <v>44109</v>
      </c>
      <c r="AM185" s="18" t="s">
        <v>330</v>
      </c>
      <c r="AN185" s="10"/>
    </row>
    <row r="186" spans="2:40" ht="15" customHeight="1" x14ac:dyDescent="0.25">
      <c r="B186" s="1">
        <f t="shared" si="2"/>
        <v>176</v>
      </c>
      <c r="C186" s="1">
        <v>0</v>
      </c>
      <c r="D186" s="1" t="s">
        <v>177</v>
      </c>
      <c r="E186" s="1" t="s">
        <v>294</v>
      </c>
      <c r="F186" s="1" t="s">
        <v>176</v>
      </c>
      <c r="G186" s="1" t="s">
        <v>177</v>
      </c>
      <c r="H186" s="1" t="s">
        <v>366</v>
      </c>
      <c r="I186" s="1" t="s">
        <v>85</v>
      </c>
      <c r="J186" s="1" t="s">
        <v>330</v>
      </c>
      <c r="K186" s="1" t="s">
        <v>340</v>
      </c>
      <c r="L186" s="1">
        <v>4</v>
      </c>
      <c r="M186" s="1">
        <v>0</v>
      </c>
      <c r="N186" s="1">
        <v>0</v>
      </c>
      <c r="O186" s="1">
        <v>4</v>
      </c>
      <c r="P186" s="1">
        <v>4</v>
      </c>
      <c r="Q186" s="1">
        <v>0</v>
      </c>
      <c r="R186" s="1"/>
      <c r="S186" s="1">
        <v>0</v>
      </c>
      <c r="T186" s="1">
        <v>0</v>
      </c>
      <c r="U186" s="1">
        <v>0</v>
      </c>
      <c r="V186" s="1">
        <v>0</v>
      </c>
      <c r="W186" s="1">
        <v>0</v>
      </c>
      <c r="X186" s="1">
        <v>2</v>
      </c>
      <c r="Y186" s="1"/>
      <c r="Z186" s="1">
        <v>3</v>
      </c>
      <c r="AA186" s="1">
        <v>0</v>
      </c>
      <c r="AB186" s="1"/>
      <c r="AC186" s="1"/>
      <c r="AD186" s="1"/>
      <c r="AE186" s="1"/>
      <c r="AF186" s="1"/>
      <c r="AG186" s="1">
        <v>0</v>
      </c>
      <c r="AH186" s="1">
        <v>0</v>
      </c>
      <c r="AI186" s="1">
        <v>0</v>
      </c>
      <c r="AJ186" s="1" t="s">
        <v>21</v>
      </c>
      <c r="AK186" s="1" t="s">
        <v>21</v>
      </c>
      <c r="AL186" s="17">
        <v>44110</v>
      </c>
      <c r="AM186" s="18" t="s">
        <v>330</v>
      </c>
      <c r="AN186" s="10"/>
    </row>
    <row r="187" spans="2:40" ht="15" customHeight="1" x14ac:dyDescent="0.25">
      <c r="B187" s="1">
        <f t="shared" si="2"/>
        <v>177</v>
      </c>
      <c r="C187" s="1">
        <v>1</v>
      </c>
      <c r="D187" s="1" t="s">
        <v>177</v>
      </c>
      <c r="E187" s="1" t="s">
        <v>294</v>
      </c>
      <c r="F187" s="1" t="s">
        <v>176</v>
      </c>
      <c r="G187" s="1" t="s">
        <v>177</v>
      </c>
      <c r="H187" s="1" t="s">
        <v>285</v>
      </c>
      <c r="I187" s="1" t="s">
        <v>85</v>
      </c>
      <c r="J187" s="1" t="s">
        <v>330</v>
      </c>
      <c r="K187" s="1" t="s">
        <v>340</v>
      </c>
      <c r="L187" s="1">
        <v>4</v>
      </c>
      <c r="M187" s="1">
        <v>0</v>
      </c>
      <c r="N187" s="1">
        <v>0</v>
      </c>
      <c r="O187" s="1">
        <v>4</v>
      </c>
      <c r="P187" s="1">
        <v>4</v>
      </c>
      <c r="Q187" s="1">
        <v>0</v>
      </c>
      <c r="R187" s="1"/>
      <c r="S187" s="1">
        <v>0</v>
      </c>
      <c r="T187" s="1">
        <v>0</v>
      </c>
      <c r="U187" s="1">
        <v>0</v>
      </c>
      <c r="V187" s="1">
        <v>0</v>
      </c>
      <c r="W187" s="1">
        <v>0</v>
      </c>
      <c r="X187" s="1">
        <v>2</v>
      </c>
      <c r="Y187" s="1"/>
      <c r="Z187" s="1">
        <v>4</v>
      </c>
      <c r="AA187" s="1">
        <v>0</v>
      </c>
      <c r="AB187" s="1"/>
      <c r="AC187" s="1"/>
      <c r="AD187" s="1"/>
      <c r="AE187" s="1">
        <v>3</v>
      </c>
      <c r="AF187" s="1"/>
      <c r="AG187" s="1">
        <v>0</v>
      </c>
      <c r="AH187" s="1">
        <v>0</v>
      </c>
      <c r="AI187" s="1">
        <v>0</v>
      </c>
      <c r="AJ187" s="1" t="s">
        <v>21</v>
      </c>
      <c r="AK187" s="1" t="s">
        <v>21</v>
      </c>
      <c r="AL187" s="17">
        <v>44861</v>
      </c>
      <c r="AM187" s="18" t="s">
        <v>408</v>
      </c>
      <c r="AN187" s="10"/>
    </row>
    <row r="188" spans="2:40" ht="15" customHeight="1" x14ac:dyDescent="0.25">
      <c r="B188" s="1">
        <f t="shared" si="2"/>
        <v>178</v>
      </c>
      <c r="C188" s="1">
        <v>1</v>
      </c>
      <c r="D188" s="1" t="s">
        <v>177</v>
      </c>
      <c r="E188" s="1" t="s">
        <v>294</v>
      </c>
      <c r="F188" s="1" t="s">
        <v>176</v>
      </c>
      <c r="G188" s="1"/>
      <c r="H188" s="1" t="s">
        <v>371</v>
      </c>
      <c r="I188" s="1" t="s">
        <v>86</v>
      </c>
      <c r="J188" s="1" t="s">
        <v>340</v>
      </c>
      <c r="K188" s="1" t="s">
        <v>330</v>
      </c>
      <c r="L188" s="1">
        <v>3</v>
      </c>
      <c r="M188" s="1">
        <v>0</v>
      </c>
      <c r="N188" s="1">
        <v>0</v>
      </c>
      <c r="O188" s="1">
        <v>3</v>
      </c>
      <c r="P188" s="1">
        <v>3</v>
      </c>
      <c r="Q188" s="1">
        <v>0</v>
      </c>
      <c r="R188" s="1"/>
      <c r="S188" s="1">
        <v>0</v>
      </c>
      <c r="T188" s="1">
        <v>0</v>
      </c>
      <c r="U188" s="1">
        <v>0</v>
      </c>
      <c r="V188" s="1">
        <v>0</v>
      </c>
      <c r="W188" s="1">
        <v>0</v>
      </c>
      <c r="X188" s="1">
        <v>4</v>
      </c>
      <c r="Y188" s="1">
        <v>0</v>
      </c>
      <c r="Z188" s="1">
        <v>4</v>
      </c>
      <c r="AA188" s="1">
        <v>0</v>
      </c>
      <c r="AB188" s="1"/>
      <c r="AC188" s="1"/>
      <c r="AD188" s="1"/>
      <c r="AE188" s="1">
        <v>1</v>
      </c>
      <c r="AF188" s="1">
        <v>0</v>
      </c>
      <c r="AG188" s="1">
        <v>0</v>
      </c>
      <c r="AH188" s="1">
        <v>0</v>
      </c>
      <c r="AI188" s="1">
        <v>0</v>
      </c>
      <c r="AJ188" s="1" t="s">
        <v>21</v>
      </c>
      <c r="AK188" s="1" t="s">
        <v>21</v>
      </c>
      <c r="AL188" s="17">
        <v>44113</v>
      </c>
      <c r="AM188" s="18" t="s">
        <v>330</v>
      </c>
      <c r="AN188" s="10"/>
    </row>
    <row r="189" spans="2:40" ht="15" customHeight="1" x14ac:dyDescent="0.25">
      <c r="B189" s="1">
        <f t="shared" si="2"/>
        <v>179</v>
      </c>
      <c r="C189" s="1">
        <v>0</v>
      </c>
      <c r="D189" s="1" t="s">
        <v>177</v>
      </c>
      <c r="E189" s="1" t="s">
        <v>294</v>
      </c>
      <c r="F189" s="1" t="s">
        <v>176</v>
      </c>
      <c r="G189" s="1"/>
      <c r="H189" s="1" t="s">
        <v>398</v>
      </c>
      <c r="I189" s="1" t="s">
        <v>87</v>
      </c>
      <c r="J189" s="1" t="s">
        <v>340</v>
      </c>
      <c r="K189" s="1" t="s">
        <v>330</v>
      </c>
      <c r="L189" s="1">
        <v>4</v>
      </c>
      <c r="M189" s="1">
        <v>0</v>
      </c>
      <c r="N189" s="1">
        <v>0</v>
      </c>
      <c r="O189" s="1">
        <v>4</v>
      </c>
      <c r="P189" s="1">
        <v>4</v>
      </c>
      <c r="Q189" s="1">
        <v>0</v>
      </c>
      <c r="R189" s="1"/>
      <c r="S189" s="1">
        <v>0</v>
      </c>
      <c r="T189" s="1">
        <v>0</v>
      </c>
      <c r="U189" s="1">
        <v>0</v>
      </c>
      <c r="V189" s="1">
        <v>0</v>
      </c>
      <c r="W189" s="1">
        <v>0</v>
      </c>
      <c r="X189" s="1">
        <v>4</v>
      </c>
      <c r="Y189" s="1">
        <v>0</v>
      </c>
      <c r="Z189" s="1">
        <v>4</v>
      </c>
      <c r="AA189" s="1">
        <v>0</v>
      </c>
      <c r="AB189" s="1"/>
      <c r="AC189" s="1"/>
      <c r="AD189" s="1"/>
      <c r="AE189" s="1">
        <v>0</v>
      </c>
      <c r="AF189" s="1">
        <v>0</v>
      </c>
      <c r="AG189" s="1">
        <v>0</v>
      </c>
      <c r="AH189" s="1">
        <v>0</v>
      </c>
      <c r="AI189" s="1"/>
      <c r="AJ189" s="1" t="s">
        <v>21</v>
      </c>
      <c r="AK189" s="1" t="s">
        <v>21</v>
      </c>
      <c r="AL189" s="17">
        <v>44114</v>
      </c>
      <c r="AM189" s="18" t="s">
        <v>330</v>
      </c>
      <c r="AN189" s="10"/>
    </row>
    <row r="190" spans="2:40" ht="15" customHeight="1" x14ac:dyDescent="0.25">
      <c r="B190" s="1">
        <f t="shared" si="2"/>
        <v>180</v>
      </c>
      <c r="C190" s="1">
        <v>0</v>
      </c>
      <c r="D190" s="1" t="s">
        <v>212</v>
      </c>
      <c r="E190" s="1" t="s">
        <v>101</v>
      </c>
      <c r="F190" s="1" t="s">
        <v>282</v>
      </c>
      <c r="G190" s="1" t="s">
        <v>282</v>
      </c>
      <c r="H190" s="1" t="s">
        <v>286</v>
      </c>
      <c r="I190" s="1" t="s">
        <v>85</v>
      </c>
      <c r="J190" s="1" t="s">
        <v>170</v>
      </c>
      <c r="K190" s="1" t="s">
        <v>452</v>
      </c>
      <c r="L190" s="1">
        <v>0</v>
      </c>
      <c r="M190" s="1">
        <v>0</v>
      </c>
      <c r="N190" s="1">
        <v>0</v>
      </c>
      <c r="O190" s="1">
        <v>0</v>
      </c>
      <c r="P190" s="1">
        <v>0</v>
      </c>
      <c r="Q190" s="1">
        <v>0</v>
      </c>
      <c r="R190" s="1">
        <v>0</v>
      </c>
      <c r="S190" s="1">
        <v>4</v>
      </c>
      <c r="T190" s="1">
        <v>0</v>
      </c>
      <c r="U190" s="1">
        <v>0</v>
      </c>
      <c r="V190" s="1">
        <v>2</v>
      </c>
      <c r="W190" s="1">
        <v>3</v>
      </c>
      <c r="X190" s="1">
        <v>0</v>
      </c>
      <c r="Y190" s="1">
        <v>0</v>
      </c>
      <c r="Z190" s="1">
        <v>0</v>
      </c>
      <c r="AA190" s="1">
        <v>0</v>
      </c>
      <c r="AB190" s="1"/>
      <c r="AC190" s="1"/>
      <c r="AD190" s="1"/>
      <c r="AE190" s="1"/>
      <c r="AF190" s="1"/>
      <c r="AG190" s="1">
        <v>3</v>
      </c>
      <c r="AH190" s="1">
        <v>0</v>
      </c>
      <c r="AI190" s="1"/>
      <c r="AJ190" s="1" t="s">
        <v>21</v>
      </c>
      <c r="AK190" s="1" t="s">
        <v>21</v>
      </c>
      <c r="AL190" s="17"/>
      <c r="AM190" s="18"/>
      <c r="AN190" s="10"/>
    </row>
    <row r="191" spans="2:40" ht="15" customHeight="1" x14ac:dyDescent="0.25">
      <c r="B191" s="1">
        <f t="shared" si="2"/>
        <v>181</v>
      </c>
      <c r="C191" s="1">
        <v>1</v>
      </c>
      <c r="D191" s="1" t="s">
        <v>212</v>
      </c>
      <c r="E191" s="1" t="s">
        <v>101</v>
      </c>
      <c r="F191" s="1" t="s">
        <v>282</v>
      </c>
      <c r="G191" s="1" t="s">
        <v>282</v>
      </c>
      <c r="H191" s="1" t="s">
        <v>287</v>
      </c>
      <c r="I191" s="1" t="s">
        <v>85</v>
      </c>
      <c r="J191" s="1" t="s">
        <v>170</v>
      </c>
      <c r="K191" s="1" t="s">
        <v>452</v>
      </c>
      <c r="L191" s="1">
        <v>0</v>
      </c>
      <c r="M191" s="1">
        <v>0</v>
      </c>
      <c r="N191" s="1">
        <v>0</v>
      </c>
      <c r="O191" s="1">
        <v>0</v>
      </c>
      <c r="P191" s="1">
        <v>0</v>
      </c>
      <c r="Q191" s="1">
        <v>0</v>
      </c>
      <c r="R191" s="1">
        <v>0</v>
      </c>
      <c r="S191" s="1">
        <v>4</v>
      </c>
      <c r="T191" s="1">
        <v>0</v>
      </c>
      <c r="U191" s="1">
        <v>0</v>
      </c>
      <c r="V191" s="1">
        <v>2</v>
      </c>
      <c r="W191" s="1">
        <v>4</v>
      </c>
      <c r="X191" s="1">
        <v>0</v>
      </c>
      <c r="Y191" s="1">
        <v>0</v>
      </c>
      <c r="Z191" s="1">
        <v>0</v>
      </c>
      <c r="AA191" s="1">
        <v>0</v>
      </c>
      <c r="AB191" s="1"/>
      <c r="AC191" s="1"/>
      <c r="AD191" s="1"/>
      <c r="AE191" s="1"/>
      <c r="AF191" s="1">
        <v>4</v>
      </c>
      <c r="AG191" s="1">
        <v>3</v>
      </c>
      <c r="AH191" s="1">
        <v>0</v>
      </c>
      <c r="AI191" s="1">
        <v>0</v>
      </c>
      <c r="AJ191" s="1" t="s">
        <v>21</v>
      </c>
      <c r="AK191" s="1" t="s">
        <v>21</v>
      </c>
      <c r="AL191" s="17"/>
      <c r="AM191" s="18"/>
      <c r="AN191" s="10"/>
    </row>
    <row r="192" spans="2:40" x14ac:dyDescent="0.25">
      <c r="B192" s="1">
        <f t="shared" si="2"/>
        <v>182</v>
      </c>
      <c r="C192" s="1">
        <v>1</v>
      </c>
      <c r="D192" s="1" t="s">
        <v>212</v>
      </c>
      <c r="E192" s="1" t="s">
        <v>101</v>
      </c>
      <c r="F192" s="1" t="s">
        <v>118</v>
      </c>
      <c r="G192" s="1" t="s">
        <v>118</v>
      </c>
      <c r="H192" s="1" t="s">
        <v>296</v>
      </c>
      <c r="I192" s="1" t="s">
        <v>85</v>
      </c>
      <c r="J192" s="1" t="s">
        <v>170</v>
      </c>
      <c r="K192" s="1" t="s">
        <v>452</v>
      </c>
      <c r="L192" s="1">
        <v>0</v>
      </c>
      <c r="M192" s="1">
        <v>0</v>
      </c>
      <c r="N192" s="1">
        <v>0</v>
      </c>
      <c r="O192" s="1">
        <v>0</v>
      </c>
      <c r="P192" s="1">
        <v>0</v>
      </c>
      <c r="Q192" s="1">
        <v>0</v>
      </c>
      <c r="R192" s="1">
        <v>0</v>
      </c>
      <c r="S192" s="1">
        <v>4</v>
      </c>
      <c r="T192" s="1">
        <v>0</v>
      </c>
      <c r="U192" s="1">
        <v>0</v>
      </c>
      <c r="V192" s="1">
        <v>2</v>
      </c>
      <c r="W192" s="1">
        <v>4</v>
      </c>
      <c r="X192" s="1">
        <v>0</v>
      </c>
      <c r="Y192" s="1">
        <v>0</v>
      </c>
      <c r="Z192" s="1">
        <v>0</v>
      </c>
      <c r="AA192" s="1">
        <v>0</v>
      </c>
      <c r="AB192" s="1"/>
      <c r="AC192" s="1"/>
      <c r="AD192" s="1"/>
      <c r="AE192" s="1"/>
      <c r="AF192" s="1">
        <v>4</v>
      </c>
      <c r="AG192" s="1">
        <v>1</v>
      </c>
      <c r="AH192" s="1">
        <v>0</v>
      </c>
      <c r="AI192" s="1">
        <v>0</v>
      </c>
      <c r="AJ192" s="1" t="s">
        <v>21</v>
      </c>
      <c r="AK192" s="1" t="s">
        <v>21</v>
      </c>
      <c r="AL192" s="17"/>
      <c r="AM192" s="18"/>
      <c r="AN192" s="10"/>
    </row>
    <row r="193" spans="2:40" x14ac:dyDescent="0.25">
      <c r="B193" s="1">
        <f t="shared" si="2"/>
        <v>183</v>
      </c>
      <c r="C193" s="1">
        <v>0</v>
      </c>
      <c r="D193" s="1" t="s">
        <v>212</v>
      </c>
      <c r="E193" s="1" t="s">
        <v>101</v>
      </c>
      <c r="F193" s="1" t="s">
        <v>118</v>
      </c>
      <c r="G193" s="1" t="s">
        <v>118</v>
      </c>
      <c r="H193" s="1" t="s">
        <v>299</v>
      </c>
      <c r="I193" s="1" t="s">
        <v>85</v>
      </c>
      <c r="J193" s="1" t="s">
        <v>61</v>
      </c>
      <c r="K193" s="1" t="s">
        <v>170</v>
      </c>
      <c r="L193" s="1">
        <v>0</v>
      </c>
      <c r="M193" s="1">
        <v>0</v>
      </c>
      <c r="N193" s="1">
        <v>0</v>
      </c>
      <c r="O193" s="1">
        <v>0</v>
      </c>
      <c r="P193" s="1">
        <v>0</v>
      </c>
      <c r="Q193" s="1">
        <v>0</v>
      </c>
      <c r="R193" s="1"/>
      <c r="S193" s="1">
        <v>4</v>
      </c>
      <c r="T193" s="1">
        <v>0</v>
      </c>
      <c r="U193" s="1">
        <v>0</v>
      </c>
      <c r="V193" s="1">
        <v>2</v>
      </c>
      <c r="W193" s="1">
        <v>3</v>
      </c>
      <c r="X193" s="1">
        <v>0</v>
      </c>
      <c r="Y193" s="1"/>
      <c r="Z193" s="1"/>
      <c r="AA193" s="1">
        <v>0</v>
      </c>
      <c r="AB193" s="1"/>
      <c r="AC193" s="1"/>
      <c r="AD193" s="1"/>
      <c r="AE193" s="1"/>
      <c r="AF193" s="1"/>
      <c r="AG193" s="1">
        <v>1</v>
      </c>
      <c r="AH193" s="1">
        <v>0</v>
      </c>
      <c r="AI193" s="1"/>
      <c r="AJ193" s="1" t="s">
        <v>21</v>
      </c>
      <c r="AK193" s="1" t="s">
        <v>21</v>
      </c>
      <c r="AL193" s="17"/>
      <c r="AM193" s="18"/>
      <c r="AN193" s="10"/>
    </row>
    <row r="194" spans="2:40" x14ac:dyDescent="0.25">
      <c r="B194" s="1">
        <f t="shared" si="2"/>
        <v>184</v>
      </c>
      <c r="C194" s="1">
        <v>1</v>
      </c>
      <c r="D194" s="1" t="s">
        <v>212</v>
      </c>
      <c r="E194" s="1" t="s">
        <v>101</v>
      </c>
      <c r="F194" s="1" t="s">
        <v>118</v>
      </c>
      <c r="G194" s="1" t="s">
        <v>118</v>
      </c>
      <c r="H194" s="1" t="s">
        <v>298</v>
      </c>
      <c r="I194" s="1" t="s">
        <v>85</v>
      </c>
      <c r="J194" s="1" t="s">
        <v>170</v>
      </c>
      <c r="K194" s="1" t="s">
        <v>452</v>
      </c>
      <c r="L194" s="1">
        <v>0</v>
      </c>
      <c r="M194" s="1">
        <v>0</v>
      </c>
      <c r="N194" s="1">
        <v>0</v>
      </c>
      <c r="O194" s="1">
        <v>0</v>
      </c>
      <c r="P194" s="1">
        <v>0</v>
      </c>
      <c r="Q194" s="1">
        <v>0</v>
      </c>
      <c r="R194" s="1">
        <v>0</v>
      </c>
      <c r="S194" s="1">
        <v>4</v>
      </c>
      <c r="T194" s="1">
        <v>0</v>
      </c>
      <c r="U194" s="1">
        <v>0</v>
      </c>
      <c r="V194" s="1">
        <v>2</v>
      </c>
      <c r="W194" s="1">
        <v>4</v>
      </c>
      <c r="X194" s="1">
        <v>0</v>
      </c>
      <c r="Y194" s="1">
        <v>0</v>
      </c>
      <c r="Z194" s="1">
        <v>0</v>
      </c>
      <c r="AA194" s="1">
        <v>0</v>
      </c>
      <c r="AB194" s="1"/>
      <c r="AC194" s="1"/>
      <c r="AD194" s="1"/>
      <c r="AE194" s="1"/>
      <c r="AF194" s="1">
        <v>4</v>
      </c>
      <c r="AG194" s="1">
        <v>1</v>
      </c>
      <c r="AH194" s="1">
        <v>0</v>
      </c>
      <c r="AI194" s="1">
        <v>0</v>
      </c>
      <c r="AJ194" s="1" t="s">
        <v>21</v>
      </c>
      <c r="AK194" s="1" t="s">
        <v>21</v>
      </c>
      <c r="AL194" s="17"/>
      <c r="AM194" s="18"/>
      <c r="AN194" s="10"/>
    </row>
    <row r="195" spans="2:40" x14ac:dyDescent="0.25">
      <c r="B195" s="1">
        <f t="shared" si="2"/>
        <v>185</v>
      </c>
      <c r="C195" s="1">
        <v>1</v>
      </c>
      <c r="D195" s="1" t="s">
        <v>212</v>
      </c>
      <c r="E195" s="1" t="s">
        <v>101</v>
      </c>
      <c r="F195" s="1" t="s">
        <v>118</v>
      </c>
      <c r="G195" s="1" t="s">
        <v>118</v>
      </c>
      <c r="H195" s="1" t="s">
        <v>297</v>
      </c>
      <c r="I195" s="1" t="s">
        <v>85</v>
      </c>
      <c r="J195" s="1" t="s">
        <v>170</v>
      </c>
      <c r="K195" s="1" t="s">
        <v>452</v>
      </c>
      <c r="L195" s="1">
        <v>0</v>
      </c>
      <c r="M195" s="1">
        <v>0</v>
      </c>
      <c r="N195" s="1">
        <v>0</v>
      </c>
      <c r="O195" s="1">
        <v>0</v>
      </c>
      <c r="P195" s="1">
        <v>0</v>
      </c>
      <c r="Q195" s="1">
        <v>0</v>
      </c>
      <c r="R195" s="1">
        <v>0</v>
      </c>
      <c r="S195" s="1">
        <v>4</v>
      </c>
      <c r="T195" s="1">
        <v>0</v>
      </c>
      <c r="U195" s="1">
        <v>0</v>
      </c>
      <c r="V195" s="1">
        <v>2</v>
      </c>
      <c r="W195" s="1">
        <v>4</v>
      </c>
      <c r="X195" s="1">
        <v>0</v>
      </c>
      <c r="Y195" s="1">
        <v>0</v>
      </c>
      <c r="Z195" s="1">
        <v>0</v>
      </c>
      <c r="AA195" s="1">
        <v>0</v>
      </c>
      <c r="AB195" s="1"/>
      <c r="AC195" s="1"/>
      <c r="AD195" s="1"/>
      <c r="AE195" s="1"/>
      <c r="AF195" s="1">
        <v>4</v>
      </c>
      <c r="AG195" s="1">
        <v>1</v>
      </c>
      <c r="AH195" s="1">
        <v>0</v>
      </c>
      <c r="AI195" s="1">
        <v>0</v>
      </c>
      <c r="AJ195" s="1" t="s">
        <v>21</v>
      </c>
      <c r="AK195" s="1" t="s">
        <v>21</v>
      </c>
      <c r="AL195" s="17"/>
      <c r="AM195" s="18"/>
      <c r="AN195" s="10"/>
    </row>
    <row r="196" spans="2:40" ht="15" customHeight="1" x14ac:dyDescent="0.25">
      <c r="B196" s="1">
        <f t="shared" si="2"/>
        <v>186</v>
      </c>
      <c r="C196" s="32">
        <v>0</v>
      </c>
      <c r="D196" s="32" t="s">
        <v>300</v>
      </c>
      <c r="E196" s="32" t="s">
        <v>52</v>
      </c>
      <c r="F196" s="32" t="s">
        <v>284</v>
      </c>
      <c r="G196" s="32" t="s">
        <v>284</v>
      </c>
      <c r="H196" s="32" t="s">
        <v>301</v>
      </c>
      <c r="I196" s="32" t="s">
        <v>86</v>
      </c>
      <c r="J196" s="32" t="s">
        <v>143</v>
      </c>
      <c r="K196" s="32"/>
      <c r="L196" s="32"/>
      <c r="M196" s="32"/>
      <c r="N196" s="32">
        <v>0</v>
      </c>
      <c r="O196" s="32">
        <v>0</v>
      </c>
      <c r="P196" s="32">
        <v>0</v>
      </c>
      <c r="Q196" s="32">
        <v>0</v>
      </c>
      <c r="R196" s="32"/>
      <c r="S196" s="32">
        <v>0</v>
      </c>
      <c r="T196" s="32">
        <v>0</v>
      </c>
      <c r="U196" s="32">
        <v>4</v>
      </c>
      <c r="V196" s="32">
        <v>0</v>
      </c>
      <c r="W196" s="32">
        <v>0</v>
      </c>
      <c r="X196" s="1">
        <v>0</v>
      </c>
      <c r="Y196" s="32">
        <v>1</v>
      </c>
      <c r="Z196" s="32"/>
      <c r="AA196" s="1">
        <v>0</v>
      </c>
      <c r="AB196" s="1"/>
      <c r="AC196" s="1"/>
      <c r="AD196" s="1"/>
      <c r="AE196" s="1"/>
      <c r="AF196" s="1"/>
      <c r="AG196" s="1">
        <v>0</v>
      </c>
      <c r="AH196" s="1">
        <v>0</v>
      </c>
      <c r="AI196" s="1"/>
      <c r="AJ196" s="32" t="s">
        <v>302</v>
      </c>
      <c r="AK196" s="32" t="s">
        <v>302</v>
      </c>
      <c r="AL196" s="33"/>
      <c r="AM196" s="32"/>
      <c r="AN196" s="34"/>
    </row>
    <row r="197" spans="2:40" ht="15" customHeight="1" x14ac:dyDescent="0.25">
      <c r="B197" s="1">
        <f t="shared" si="2"/>
        <v>187</v>
      </c>
      <c r="C197" s="1">
        <v>1</v>
      </c>
      <c r="D197" s="1" t="s">
        <v>283</v>
      </c>
      <c r="E197" s="1" t="s">
        <v>52</v>
      </c>
      <c r="F197" s="1" t="s">
        <v>284</v>
      </c>
      <c r="G197" s="1" t="s">
        <v>304</v>
      </c>
      <c r="H197" s="1" t="s">
        <v>447</v>
      </c>
      <c r="I197" s="1" t="s">
        <v>87</v>
      </c>
      <c r="J197" s="1" t="s">
        <v>312</v>
      </c>
      <c r="K197" s="1" t="s">
        <v>408</v>
      </c>
      <c r="L197" s="1"/>
      <c r="M197" s="1">
        <v>4</v>
      </c>
      <c r="N197" s="1"/>
      <c r="O197" s="1"/>
      <c r="P197" s="1"/>
      <c r="Q197" s="1"/>
      <c r="R197" s="1"/>
      <c r="S197" s="1"/>
      <c r="T197" s="1"/>
      <c r="U197" s="1">
        <v>4</v>
      </c>
      <c r="V197" s="1"/>
      <c r="W197" s="1"/>
      <c r="X197" s="1"/>
      <c r="Y197" s="1">
        <v>4</v>
      </c>
      <c r="Z197" s="1">
        <v>3</v>
      </c>
      <c r="AA197" s="1"/>
      <c r="AB197" s="1"/>
      <c r="AC197" s="1"/>
      <c r="AD197" s="1"/>
      <c r="AE197" s="1">
        <v>3</v>
      </c>
      <c r="AF197" s="1"/>
      <c r="AG197" s="1"/>
      <c r="AH197" s="1">
        <v>0</v>
      </c>
      <c r="AI197" s="1">
        <v>0</v>
      </c>
      <c r="AJ197" s="1" t="s">
        <v>21</v>
      </c>
      <c r="AK197" s="1" t="s">
        <v>95</v>
      </c>
      <c r="AL197" s="17" t="s">
        <v>415</v>
      </c>
      <c r="AM197" s="18" t="s">
        <v>410</v>
      </c>
      <c r="AN197" s="10" t="s">
        <v>341</v>
      </c>
    </row>
    <row r="198" spans="2:40" ht="15" customHeight="1" x14ac:dyDescent="0.25">
      <c r="B198" s="1">
        <f t="shared" si="2"/>
        <v>188</v>
      </c>
      <c r="C198" s="1">
        <v>1</v>
      </c>
      <c r="D198" s="1" t="s">
        <v>212</v>
      </c>
      <c r="E198" s="1" t="s">
        <v>91</v>
      </c>
      <c r="F198" s="1" t="s">
        <v>96</v>
      </c>
      <c r="G198" s="1" t="s">
        <v>305</v>
      </c>
      <c r="H198" s="1" t="s">
        <v>306</v>
      </c>
      <c r="I198" s="1" t="s">
        <v>85</v>
      </c>
      <c r="J198" s="1" t="s">
        <v>170</v>
      </c>
      <c r="K198" s="1" t="s">
        <v>452</v>
      </c>
      <c r="L198" s="1">
        <v>0</v>
      </c>
      <c r="M198" s="1">
        <v>0</v>
      </c>
      <c r="N198" s="1">
        <v>0</v>
      </c>
      <c r="O198" s="1">
        <v>0</v>
      </c>
      <c r="P198" s="1">
        <v>0</v>
      </c>
      <c r="Q198" s="1">
        <v>0</v>
      </c>
      <c r="R198" s="1"/>
      <c r="S198" s="1">
        <v>4</v>
      </c>
      <c r="T198" s="1">
        <v>0</v>
      </c>
      <c r="U198" s="1">
        <v>0</v>
      </c>
      <c r="V198" s="1">
        <v>0</v>
      </c>
      <c r="W198" s="1">
        <v>4</v>
      </c>
      <c r="X198" s="1">
        <v>0</v>
      </c>
      <c r="Y198" s="1"/>
      <c r="Z198" s="1"/>
      <c r="AA198" s="1">
        <v>0</v>
      </c>
      <c r="AB198" s="1"/>
      <c r="AC198" s="1"/>
      <c r="AD198" s="1"/>
      <c r="AE198" s="1"/>
      <c r="AF198" s="1">
        <v>4</v>
      </c>
      <c r="AG198" s="1">
        <v>1</v>
      </c>
      <c r="AH198" s="1">
        <v>0</v>
      </c>
      <c r="AI198" s="1">
        <v>0</v>
      </c>
      <c r="AJ198" s="1" t="s">
        <v>21</v>
      </c>
      <c r="AK198" s="1" t="s">
        <v>21</v>
      </c>
      <c r="AL198" s="17"/>
      <c r="AM198" s="18"/>
      <c r="AN198" s="10"/>
    </row>
    <row r="199" spans="2:40" ht="15" customHeight="1" x14ac:dyDescent="0.25">
      <c r="B199" s="1">
        <f t="shared" si="2"/>
        <v>189</v>
      </c>
      <c r="C199" s="1">
        <v>1</v>
      </c>
      <c r="D199" s="1" t="s">
        <v>212</v>
      </c>
      <c r="E199" s="1" t="s">
        <v>91</v>
      </c>
      <c r="F199" s="1" t="s">
        <v>96</v>
      </c>
      <c r="G199" s="1" t="s">
        <v>305</v>
      </c>
      <c r="H199" s="1" t="s">
        <v>307</v>
      </c>
      <c r="I199" s="1" t="s">
        <v>85</v>
      </c>
      <c r="J199" s="1" t="s">
        <v>170</v>
      </c>
      <c r="K199" s="1" t="s">
        <v>452</v>
      </c>
      <c r="L199" s="1">
        <v>0</v>
      </c>
      <c r="M199" s="1">
        <v>0</v>
      </c>
      <c r="N199" s="1">
        <v>0</v>
      </c>
      <c r="O199" s="1">
        <v>0</v>
      </c>
      <c r="P199" s="1">
        <v>0</v>
      </c>
      <c r="Q199" s="1">
        <v>0</v>
      </c>
      <c r="R199" s="1"/>
      <c r="S199" s="1">
        <v>4</v>
      </c>
      <c r="T199" s="1">
        <v>0</v>
      </c>
      <c r="U199" s="1">
        <v>0</v>
      </c>
      <c r="V199" s="1">
        <v>0</v>
      </c>
      <c r="W199" s="1">
        <v>4</v>
      </c>
      <c r="X199" s="1">
        <v>0</v>
      </c>
      <c r="Y199" s="1"/>
      <c r="Z199" s="1"/>
      <c r="AA199" s="1">
        <v>0</v>
      </c>
      <c r="AB199" s="1"/>
      <c r="AC199" s="1"/>
      <c r="AD199" s="1"/>
      <c r="AE199" s="1"/>
      <c r="AF199" s="1">
        <v>4</v>
      </c>
      <c r="AG199" s="1">
        <v>1</v>
      </c>
      <c r="AH199" s="1">
        <v>0</v>
      </c>
      <c r="AI199" s="1">
        <v>0</v>
      </c>
      <c r="AJ199" s="1" t="s">
        <v>21</v>
      </c>
      <c r="AK199" s="1" t="s">
        <v>21</v>
      </c>
      <c r="AL199" s="17"/>
      <c r="AM199" s="18"/>
      <c r="AN199" s="10"/>
    </row>
    <row r="200" spans="2:40" x14ac:dyDescent="0.25">
      <c r="B200" s="1">
        <f t="shared" si="2"/>
        <v>190</v>
      </c>
      <c r="C200" s="1">
        <v>1</v>
      </c>
      <c r="D200" s="1" t="s">
        <v>212</v>
      </c>
      <c r="E200" s="1" t="s">
        <v>101</v>
      </c>
      <c r="F200" s="1" t="s">
        <v>282</v>
      </c>
      <c r="G200" s="1" t="s">
        <v>282</v>
      </c>
      <c r="H200" s="1" t="s">
        <v>309</v>
      </c>
      <c r="I200" s="1" t="s">
        <v>85</v>
      </c>
      <c r="J200" s="1" t="s">
        <v>170</v>
      </c>
      <c r="K200" s="1" t="s">
        <v>452</v>
      </c>
      <c r="L200" s="1">
        <v>0</v>
      </c>
      <c r="M200" s="1">
        <v>0</v>
      </c>
      <c r="N200" s="1">
        <v>0</v>
      </c>
      <c r="O200" s="1">
        <v>0</v>
      </c>
      <c r="P200" s="1">
        <v>0</v>
      </c>
      <c r="Q200" s="1">
        <v>0</v>
      </c>
      <c r="R200" s="1">
        <v>0</v>
      </c>
      <c r="S200" s="1">
        <v>4</v>
      </c>
      <c r="T200" s="1">
        <v>0</v>
      </c>
      <c r="U200" s="1">
        <v>0</v>
      </c>
      <c r="V200" s="1">
        <v>0</v>
      </c>
      <c r="W200" s="1">
        <v>4</v>
      </c>
      <c r="X200" s="1">
        <v>0</v>
      </c>
      <c r="Y200" s="1">
        <v>0</v>
      </c>
      <c r="Z200" s="1">
        <v>0</v>
      </c>
      <c r="AA200" s="1">
        <v>0</v>
      </c>
      <c r="AB200" s="1"/>
      <c r="AC200" s="1"/>
      <c r="AD200" s="1"/>
      <c r="AE200" s="1"/>
      <c r="AF200" s="1">
        <v>4</v>
      </c>
      <c r="AG200" s="1">
        <v>3</v>
      </c>
      <c r="AH200" s="1">
        <v>0</v>
      </c>
      <c r="AI200" s="1">
        <v>0</v>
      </c>
      <c r="AJ200" s="1" t="s">
        <v>21</v>
      </c>
      <c r="AK200" s="1" t="s">
        <v>21</v>
      </c>
      <c r="AL200" s="17"/>
      <c r="AM200" s="18"/>
      <c r="AN200" s="10"/>
    </row>
    <row r="201" spans="2:40" x14ac:dyDescent="0.25">
      <c r="B201" s="1">
        <f t="shared" si="2"/>
        <v>191</v>
      </c>
      <c r="C201" s="1">
        <v>1</v>
      </c>
      <c r="D201" s="1" t="s">
        <v>212</v>
      </c>
      <c r="E201" s="1" t="s">
        <v>101</v>
      </c>
      <c r="F201" s="1" t="s">
        <v>118</v>
      </c>
      <c r="G201" s="1" t="s">
        <v>118</v>
      </c>
      <c r="H201" s="1" t="s">
        <v>310</v>
      </c>
      <c r="I201" s="1" t="s">
        <v>85</v>
      </c>
      <c r="J201" s="1" t="s">
        <v>170</v>
      </c>
      <c r="K201" s="1" t="s">
        <v>452</v>
      </c>
      <c r="L201" s="1">
        <v>0</v>
      </c>
      <c r="M201" s="1">
        <v>0</v>
      </c>
      <c r="N201" s="1">
        <v>0</v>
      </c>
      <c r="O201" s="1">
        <v>0</v>
      </c>
      <c r="P201" s="1">
        <v>0</v>
      </c>
      <c r="Q201" s="1">
        <v>0</v>
      </c>
      <c r="R201" s="1">
        <v>0</v>
      </c>
      <c r="S201" s="1">
        <v>4</v>
      </c>
      <c r="T201" s="1">
        <v>0</v>
      </c>
      <c r="U201" s="1">
        <v>0</v>
      </c>
      <c r="V201" s="1">
        <v>2</v>
      </c>
      <c r="W201" s="1">
        <v>4</v>
      </c>
      <c r="X201" s="1">
        <v>0</v>
      </c>
      <c r="Y201" s="1">
        <v>0</v>
      </c>
      <c r="Z201" s="1">
        <v>0</v>
      </c>
      <c r="AA201" s="1">
        <v>0</v>
      </c>
      <c r="AB201" s="1"/>
      <c r="AC201" s="1"/>
      <c r="AD201" s="1"/>
      <c r="AE201" s="1"/>
      <c r="AF201" s="1">
        <v>4</v>
      </c>
      <c r="AG201" s="1">
        <v>0</v>
      </c>
      <c r="AH201" s="1">
        <v>0</v>
      </c>
      <c r="AI201" s="1">
        <v>0</v>
      </c>
      <c r="AJ201" s="1" t="s">
        <v>21</v>
      </c>
      <c r="AK201" s="1" t="s">
        <v>21</v>
      </c>
      <c r="AL201" s="17"/>
      <c r="AM201" s="18"/>
      <c r="AN201" s="10"/>
    </row>
    <row r="202" spans="2:40" x14ac:dyDescent="0.25">
      <c r="B202" s="1">
        <f t="shared" si="2"/>
        <v>192</v>
      </c>
      <c r="C202" s="1">
        <v>1</v>
      </c>
      <c r="D202" s="1" t="s">
        <v>212</v>
      </c>
      <c r="E202" s="1" t="s">
        <v>101</v>
      </c>
      <c r="F202" s="1" t="s">
        <v>118</v>
      </c>
      <c r="G202" s="1" t="s">
        <v>118</v>
      </c>
      <c r="H202" s="1" t="s">
        <v>311</v>
      </c>
      <c r="I202" s="1" t="s">
        <v>85</v>
      </c>
      <c r="J202" s="1" t="s">
        <v>170</v>
      </c>
      <c r="K202" s="1" t="s">
        <v>452</v>
      </c>
      <c r="L202" s="1">
        <v>0</v>
      </c>
      <c r="M202" s="1">
        <v>0</v>
      </c>
      <c r="N202" s="1">
        <v>0</v>
      </c>
      <c r="O202" s="1">
        <v>0</v>
      </c>
      <c r="P202" s="1">
        <v>0</v>
      </c>
      <c r="Q202" s="1">
        <v>0</v>
      </c>
      <c r="R202" s="1">
        <v>0</v>
      </c>
      <c r="S202" s="1">
        <v>4</v>
      </c>
      <c r="T202" s="1">
        <v>0</v>
      </c>
      <c r="U202" s="1">
        <v>0</v>
      </c>
      <c r="V202" s="1">
        <v>2</v>
      </c>
      <c r="W202" s="1">
        <v>4</v>
      </c>
      <c r="X202" s="1">
        <v>0</v>
      </c>
      <c r="Y202" s="1">
        <v>0</v>
      </c>
      <c r="Z202" s="1">
        <v>0</v>
      </c>
      <c r="AA202" s="1">
        <v>0</v>
      </c>
      <c r="AB202" s="1"/>
      <c r="AC202" s="1"/>
      <c r="AD202" s="1"/>
      <c r="AE202" s="1"/>
      <c r="AF202" s="1">
        <v>4</v>
      </c>
      <c r="AG202" s="1">
        <v>1</v>
      </c>
      <c r="AH202" s="1">
        <v>0</v>
      </c>
      <c r="AI202" s="1">
        <v>0</v>
      </c>
      <c r="AJ202" s="1" t="s">
        <v>21</v>
      </c>
      <c r="AK202" s="1" t="s">
        <v>21</v>
      </c>
      <c r="AL202" s="17"/>
      <c r="AM202" s="18"/>
      <c r="AN202" s="10"/>
    </row>
    <row r="203" spans="2:40" x14ac:dyDescent="0.25">
      <c r="B203" s="1">
        <f t="shared" si="2"/>
        <v>193</v>
      </c>
      <c r="C203" s="1">
        <v>1</v>
      </c>
      <c r="D203" s="1" t="s">
        <v>212</v>
      </c>
      <c r="E203" s="1" t="s">
        <v>91</v>
      </c>
      <c r="F203" s="1" t="s">
        <v>314</v>
      </c>
      <c r="G203" s="1" t="s">
        <v>314</v>
      </c>
      <c r="H203" s="1" t="s">
        <v>315</v>
      </c>
      <c r="I203" s="1" t="s">
        <v>85</v>
      </c>
      <c r="J203" s="1" t="s">
        <v>170</v>
      </c>
      <c r="K203" s="1" t="s">
        <v>452</v>
      </c>
      <c r="L203" s="1">
        <v>0</v>
      </c>
      <c r="M203" s="1">
        <v>0</v>
      </c>
      <c r="N203" s="1">
        <v>0</v>
      </c>
      <c r="O203" s="1">
        <v>0</v>
      </c>
      <c r="P203" s="1">
        <v>0</v>
      </c>
      <c r="Q203" s="1">
        <v>0</v>
      </c>
      <c r="R203" s="1"/>
      <c r="S203" s="1">
        <v>3</v>
      </c>
      <c r="T203" s="1">
        <v>0</v>
      </c>
      <c r="U203" s="1">
        <v>0</v>
      </c>
      <c r="V203" s="1">
        <v>0</v>
      </c>
      <c r="W203" s="1">
        <v>4</v>
      </c>
      <c r="X203" s="1">
        <v>0</v>
      </c>
      <c r="Y203" s="1">
        <v>0</v>
      </c>
      <c r="Z203" s="1">
        <v>0</v>
      </c>
      <c r="AA203" s="1">
        <v>0</v>
      </c>
      <c r="AB203" s="1"/>
      <c r="AC203" s="1"/>
      <c r="AD203" s="1"/>
      <c r="AE203" s="1"/>
      <c r="AF203" s="1">
        <v>4</v>
      </c>
      <c r="AG203" s="1">
        <v>3</v>
      </c>
      <c r="AH203" s="1">
        <v>0</v>
      </c>
      <c r="AI203" s="1">
        <v>0</v>
      </c>
      <c r="AJ203" s="1" t="s">
        <v>21</v>
      </c>
      <c r="AK203" s="1" t="s">
        <v>21</v>
      </c>
      <c r="AL203" s="17"/>
      <c r="AM203" s="18"/>
      <c r="AN203" s="10"/>
    </row>
    <row r="204" spans="2:40" x14ac:dyDescent="0.25">
      <c r="B204" s="1">
        <f t="shared" ref="B204:B267" si="3">B203+1</f>
        <v>194</v>
      </c>
      <c r="C204" s="1">
        <v>1</v>
      </c>
      <c r="D204" s="1" t="s">
        <v>220</v>
      </c>
      <c r="E204" s="1" t="s">
        <v>52</v>
      </c>
      <c r="F204" s="1" t="s">
        <v>321</v>
      </c>
      <c r="G204" s="1" t="s">
        <v>321</v>
      </c>
      <c r="H204" s="1" t="s">
        <v>316</v>
      </c>
      <c r="I204" s="1" t="s">
        <v>85</v>
      </c>
      <c r="J204" s="1" t="s">
        <v>491</v>
      </c>
      <c r="K204" s="1" t="s">
        <v>11</v>
      </c>
      <c r="L204" s="1">
        <v>0</v>
      </c>
      <c r="M204" s="1">
        <v>4</v>
      </c>
      <c r="N204" s="1">
        <v>0</v>
      </c>
      <c r="O204" s="1">
        <v>0</v>
      </c>
      <c r="P204" s="1">
        <v>0</v>
      </c>
      <c r="Q204" s="1">
        <v>0</v>
      </c>
      <c r="R204" s="1">
        <v>0</v>
      </c>
      <c r="S204" s="1">
        <v>0</v>
      </c>
      <c r="T204" s="1">
        <v>4</v>
      </c>
      <c r="U204" s="1">
        <v>0</v>
      </c>
      <c r="V204" s="1">
        <v>0</v>
      </c>
      <c r="W204" s="1">
        <v>0</v>
      </c>
      <c r="X204" s="1">
        <v>0</v>
      </c>
      <c r="Y204" s="1">
        <v>0</v>
      </c>
      <c r="Z204" s="1">
        <v>0</v>
      </c>
      <c r="AA204" s="1">
        <v>4</v>
      </c>
      <c r="AB204" s="1"/>
      <c r="AC204" s="1"/>
      <c r="AD204" s="1">
        <v>4</v>
      </c>
      <c r="AE204" s="1"/>
      <c r="AF204" s="1"/>
      <c r="AG204" s="1">
        <v>0</v>
      </c>
      <c r="AH204" s="1">
        <v>0</v>
      </c>
      <c r="AI204" s="1">
        <v>0</v>
      </c>
      <c r="AJ204" s="1" t="s">
        <v>32</v>
      </c>
      <c r="AK204" s="1" t="s">
        <v>32</v>
      </c>
      <c r="AL204" s="17"/>
      <c r="AM204" s="18"/>
      <c r="AN204" s="10" t="s">
        <v>343</v>
      </c>
    </row>
    <row r="205" spans="2:40" x14ac:dyDescent="0.25">
      <c r="B205" s="1">
        <f t="shared" si="3"/>
        <v>195</v>
      </c>
      <c r="C205" s="1">
        <v>1</v>
      </c>
      <c r="D205" s="1" t="s">
        <v>220</v>
      </c>
      <c r="E205" s="1" t="s">
        <v>52</v>
      </c>
      <c r="F205" s="1" t="s">
        <v>321</v>
      </c>
      <c r="G205" s="1" t="s">
        <v>321</v>
      </c>
      <c r="H205" s="1" t="s">
        <v>317</v>
      </c>
      <c r="I205" s="1" t="s">
        <v>85</v>
      </c>
      <c r="J205" s="1" t="s">
        <v>491</v>
      </c>
      <c r="K205" s="1" t="s">
        <v>11</v>
      </c>
      <c r="L205" s="1">
        <v>0</v>
      </c>
      <c r="M205" s="1">
        <v>4</v>
      </c>
      <c r="N205" s="1">
        <v>0</v>
      </c>
      <c r="O205" s="1">
        <v>0</v>
      </c>
      <c r="P205" s="1">
        <v>0</v>
      </c>
      <c r="Q205" s="1">
        <v>0</v>
      </c>
      <c r="R205" s="1">
        <v>0</v>
      </c>
      <c r="S205" s="1">
        <v>0</v>
      </c>
      <c r="T205" s="1">
        <v>4</v>
      </c>
      <c r="U205" s="1">
        <v>0</v>
      </c>
      <c r="V205" s="1">
        <v>0</v>
      </c>
      <c r="W205" s="1">
        <v>0</v>
      </c>
      <c r="X205" s="1">
        <v>0</v>
      </c>
      <c r="Y205" s="1">
        <v>0</v>
      </c>
      <c r="Z205" s="1">
        <v>0</v>
      </c>
      <c r="AA205" s="1">
        <v>4</v>
      </c>
      <c r="AB205" s="1"/>
      <c r="AC205" s="1"/>
      <c r="AD205" s="1">
        <v>4</v>
      </c>
      <c r="AE205" s="1"/>
      <c r="AF205" s="1"/>
      <c r="AG205" s="1">
        <v>0</v>
      </c>
      <c r="AH205" s="1">
        <v>0</v>
      </c>
      <c r="AI205" s="1">
        <v>0</v>
      </c>
      <c r="AJ205" s="1" t="s">
        <v>32</v>
      </c>
      <c r="AK205" s="1" t="s">
        <v>32</v>
      </c>
      <c r="AL205" s="17"/>
      <c r="AM205" s="18"/>
      <c r="AN205" s="10" t="s">
        <v>343</v>
      </c>
    </row>
    <row r="206" spans="2:40" x14ac:dyDescent="0.25">
      <c r="B206" s="1">
        <f t="shared" si="3"/>
        <v>196</v>
      </c>
      <c r="C206" s="1">
        <v>1</v>
      </c>
      <c r="D206" s="1" t="s">
        <v>220</v>
      </c>
      <c r="E206" s="1" t="s">
        <v>52</v>
      </c>
      <c r="F206" s="1" t="s">
        <v>321</v>
      </c>
      <c r="G206" s="1" t="s">
        <v>321</v>
      </c>
      <c r="H206" s="1" t="s">
        <v>318</v>
      </c>
      <c r="I206" s="1" t="s">
        <v>85</v>
      </c>
      <c r="J206" s="1" t="s">
        <v>491</v>
      </c>
      <c r="K206" s="1" t="s">
        <v>11</v>
      </c>
      <c r="L206" s="1">
        <v>0</v>
      </c>
      <c r="M206" s="1">
        <v>4</v>
      </c>
      <c r="N206" s="1">
        <v>0</v>
      </c>
      <c r="O206" s="1">
        <v>0</v>
      </c>
      <c r="P206" s="1">
        <v>0</v>
      </c>
      <c r="Q206" s="1">
        <v>0</v>
      </c>
      <c r="R206" s="1">
        <v>0</v>
      </c>
      <c r="S206" s="1">
        <v>0</v>
      </c>
      <c r="T206" s="1">
        <v>4</v>
      </c>
      <c r="U206" s="1">
        <v>0</v>
      </c>
      <c r="V206" s="1">
        <v>0</v>
      </c>
      <c r="W206" s="1">
        <v>0</v>
      </c>
      <c r="X206" s="1">
        <v>0</v>
      </c>
      <c r="Y206" s="1">
        <v>0</v>
      </c>
      <c r="Z206" s="1">
        <v>0</v>
      </c>
      <c r="AA206" s="1">
        <v>4</v>
      </c>
      <c r="AB206" s="1"/>
      <c r="AC206" s="1"/>
      <c r="AD206" s="1">
        <v>4</v>
      </c>
      <c r="AE206" s="1"/>
      <c r="AF206" s="1"/>
      <c r="AG206" s="1">
        <v>0</v>
      </c>
      <c r="AH206" s="1">
        <v>0</v>
      </c>
      <c r="AI206" s="1">
        <v>0</v>
      </c>
      <c r="AJ206" s="1" t="s">
        <v>32</v>
      </c>
      <c r="AK206" s="1" t="s">
        <v>32</v>
      </c>
      <c r="AL206" s="17"/>
      <c r="AM206" s="18"/>
      <c r="AN206" s="10" t="s">
        <v>343</v>
      </c>
    </row>
    <row r="207" spans="2:40" x14ac:dyDescent="0.25">
      <c r="B207" s="1">
        <f t="shared" si="3"/>
        <v>197</v>
      </c>
      <c r="C207" s="1">
        <v>0</v>
      </c>
      <c r="D207" s="1" t="s">
        <v>220</v>
      </c>
      <c r="E207" s="1" t="s">
        <v>52</v>
      </c>
      <c r="F207" s="1" t="s">
        <v>321</v>
      </c>
      <c r="G207" s="1" t="s">
        <v>321</v>
      </c>
      <c r="H207" s="1" t="s">
        <v>319</v>
      </c>
      <c r="I207" s="1" t="s">
        <v>85</v>
      </c>
      <c r="J207" s="1" t="s">
        <v>491</v>
      </c>
      <c r="K207" s="1" t="s">
        <v>11</v>
      </c>
      <c r="L207" s="1">
        <v>0</v>
      </c>
      <c r="M207" s="1">
        <v>4</v>
      </c>
      <c r="N207" s="1">
        <v>0</v>
      </c>
      <c r="O207" s="1">
        <v>0</v>
      </c>
      <c r="P207" s="1">
        <v>0</v>
      </c>
      <c r="Q207" s="1">
        <v>0</v>
      </c>
      <c r="R207" s="1">
        <v>0</v>
      </c>
      <c r="S207" s="1">
        <v>0</v>
      </c>
      <c r="T207" s="1">
        <v>4</v>
      </c>
      <c r="U207" s="1">
        <v>0</v>
      </c>
      <c r="V207" s="1">
        <v>0</v>
      </c>
      <c r="W207" s="1">
        <v>0</v>
      </c>
      <c r="X207" s="1">
        <v>0</v>
      </c>
      <c r="Y207" s="1">
        <v>0</v>
      </c>
      <c r="Z207" s="1">
        <v>0</v>
      </c>
      <c r="AA207" s="1">
        <v>4</v>
      </c>
      <c r="AB207" s="1"/>
      <c r="AC207" s="1"/>
      <c r="AD207" s="1">
        <v>4</v>
      </c>
      <c r="AE207" s="1"/>
      <c r="AF207" s="1"/>
      <c r="AG207" s="1">
        <v>0</v>
      </c>
      <c r="AH207" s="1">
        <v>0</v>
      </c>
      <c r="AI207" s="1"/>
      <c r="AJ207" s="1" t="s">
        <v>32</v>
      </c>
      <c r="AK207" s="1" t="s">
        <v>32</v>
      </c>
      <c r="AL207" s="17"/>
      <c r="AM207" s="18"/>
      <c r="AN207" s="10" t="s">
        <v>343</v>
      </c>
    </row>
    <row r="208" spans="2:40" x14ac:dyDescent="0.25">
      <c r="B208" s="1">
        <f t="shared" si="3"/>
        <v>198</v>
      </c>
      <c r="C208" s="1">
        <v>0</v>
      </c>
      <c r="D208" s="1" t="s">
        <v>220</v>
      </c>
      <c r="E208" s="1" t="s">
        <v>52</v>
      </c>
      <c r="F208" s="1" t="s">
        <v>321</v>
      </c>
      <c r="G208" s="1" t="s">
        <v>321</v>
      </c>
      <c r="H208" s="1" t="s">
        <v>320</v>
      </c>
      <c r="I208" s="1" t="s">
        <v>86</v>
      </c>
      <c r="J208" s="1" t="s">
        <v>491</v>
      </c>
      <c r="K208" s="1" t="s">
        <v>11</v>
      </c>
      <c r="L208" s="1">
        <v>0</v>
      </c>
      <c r="M208" s="1">
        <v>4</v>
      </c>
      <c r="N208" s="1">
        <v>0</v>
      </c>
      <c r="O208" s="1">
        <v>0</v>
      </c>
      <c r="P208" s="1">
        <v>0</v>
      </c>
      <c r="Q208" s="1">
        <v>0</v>
      </c>
      <c r="R208" s="1">
        <v>0</v>
      </c>
      <c r="S208" s="1">
        <v>0</v>
      </c>
      <c r="T208" s="1">
        <v>4</v>
      </c>
      <c r="U208" s="1">
        <v>0</v>
      </c>
      <c r="V208" s="1">
        <v>0</v>
      </c>
      <c r="W208" s="1">
        <v>0</v>
      </c>
      <c r="X208" s="1">
        <v>0</v>
      </c>
      <c r="Y208" s="1">
        <v>0</v>
      </c>
      <c r="Z208" s="1">
        <v>0</v>
      </c>
      <c r="AA208" s="1">
        <v>4</v>
      </c>
      <c r="AB208" s="1"/>
      <c r="AC208" s="1"/>
      <c r="AD208" s="1">
        <v>4</v>
      </c>
      <c r="AE208" s="1"/>
      <c r="AF208" s="1"/>
      <c r="AG208" s="1">
        <v>0</v>
      </c>
      <c r="AH208" s="1">
        <v>0</v>
      </c>
      <c r="AI208" s="1"/>
      <c r="AJ208" s="1" t="s">
        <v>32</v>
      </c>
      <c r="AK208" s="1" t="s">
        <v>32</v>
      </c>
      <c r="AL208" s="17"/>
      <c r="AM208" s="18"/>
      <c r="AN208" s="10" t="s">
        <v>343</v>
      </c>
    </row>
    <row r="209" spans="2:40" x14ac:dyDescent="0.25">
      <c r="B209" s="1">
        <f t="shared" si="3"/>
        <v>199</v>
      </c>
      <c r="C209" s="1">
        <v>0</v>
      </c>
      <c r="D209" s="1" t="s">
        <v>220</v>
      </c>
      <c r="E209" s="1" t="s">
        <v>294</v>
      </c>
      <c r="F209" s="1" t="s">
        <v>328</v>
      </c>
      <c r="G209" s="1" t="s">
        <v>328</v>
      </c>
      <c r="H209" s="1" t="s">
        <v>322</v>
      </c>
      <c r="I209" s="1" t="s">
        <v>85</v>
      </c>
      <c r="J209" s="1" t="s">
        <v>11</v>
      </c>
      <c r="K209" s="1" t="s">
        <v>329</v>
      </c>
      <c r="L209" s="1">
        <v>0</v>
      </c>
      <c r="M209" s="1">
        <v>4</v>
      </c>
      <c r="N209" s="1">
        <v>0</v>
      </c>
      <c r="O209" s="1">
        <v>0</v>
      </c>
      <c r="P209" s="1">
        <v>0</v>
      </c>
      <c r="Q209" s="1">
        <v>0</v>
      </c>
      <c r="R209" s="1"/>
      <c r="S209" s="1">
        <v>0</v>
      </c>
      <c r="T209" s="1">
        <v>2</v>
      </c>
      <c r="U209" s="1">
        <v>0</v>
      </c>
      <c r="V209" s="1">
        <v>0</v>
      </c>
      <c r="W209" s="1">
        <v>0</v>
      </c>
      <c r="X209" s="1">
        <v>0</v>
      </c>
      <c r="Y209" s="1">
        <v>0</v>
      </c>
      <c r="Z209" s="1"/>
      <c r="AA209" s="1">
        <v>0</v>
      </c>
      <c r="AB209" s="1"/>
      <c r="AC209" s="1"/>
      <c r="AD209" s="1"/>
      <c r="AE209" s="1"/>
      <c r="AF209" s="1"/>
      <c r="AG209" s="1">
        <v>0</v>
      </c>
      <c r="AH209" s="1">
        <v>0</v>
      </c>
      <c r="AI209" s="1"/>
      <c r="AJ209" s="1" t="s">
        <v>32</v>
      </c>
      <c r="AK209" s="1" t="s">
        <v>32</v>
      </c>
      <c r="AL209" s="17"/>
      <c r="AM209" s="18"/>
      <c r="AN209" s="10" t="s">
        <v>349</v>
      </c>
    </row>
    <row r="210" spans="2:40" x14ac:dyDescent="0.25">
      <c r="B210" s="1">
        <f t="shared" si="3"/>
        <v>200</v>
      </c>
      <c r="C210" s="1">
        <v>0</v>
      </c>
      <c r="D210" s="1" t="s">
        <v>220</v>
      </c>
      <c r="E210" s="1" t="s">
        <v>294</v>
      </c>
      <c r="F210" s="1" t="s">
        <v>328</v>
      </c>
      <c r="G210" s="1" t="s">
        <v>328</v>
      </c>
      <c r="H210" s="1" t="s">
        <v>323</v>
      </c>
      <c r="I210" s="1" t="s">
        <v>85</v>
      </c>
      <c r="J210" s="1" t="s">
        <v>11</v>
      </c>
      <c r="K210" s="1" t="s">
        <v>329</v>
      </c>
      <c r="L210" s="1">
        <v>0</v>
      </c>
      <c r="M210" s="1">
        <v>4</v>
      </c>
      <c r="N210" s="1">
        <v>0</v>
      </c>
      <c r="O210" s="1">
        <v>0</v>
      </c>
      <c r="P210" s="1">
        <v>0</v>
      </c>
      <c r="Q210" s="1">
        <v>0</v>
      </c>
      <c r="R210" s="1"/>
      <c r="S210" s="1">
        <v>0</v>
      </c>
      <c r="T210" s="1">
        <v>2</v>
      </c>
      <c r="U210" s="1">
        <v>0</v>
      </c>
      <c r="V210" s="1">
        <v>0</v>
      </c>
      <c r="W210" s="1">
        <v>0</v>
      </c>
      <c r="X210" s="1">
        <v>0</v>
      </c>
      <c r="Y210" s="1">
        <v>0</v>
      </c>
      <c r="Z210" s="1"/>
      <c r="AA210" s="1">
        <v>0</v>
      </c>
      <c r="AB210" s="1"/>
      <c r="AC210" s="1"/>
      <c r="AD210" s="1"/>
      <c r="AE210" s="1"/>
      <c r="AF210" s="1"/>
      <c r="AG210" s="1">
        <v>0</v>
      </c>
      <c r="AH210" s="1">
        <v>0</v>
      </c>
      <c r="AI210" s="1"/>
      <c r="AJ210" s="1" t="s">
        <v>32</v>
      </c>
      <c r="AK210" s="1" t="s">
        <v>32</v>
      </c>
      <c r="AL210" s="17"/>
      <c r="AM210" s="18"/>
      <c r="AN210" s="10" t="s">
        <v>349</v>
      </c>
    </row>
    <row r="211" spans="2:40" x14ac:dyDescent="0.25">
      <c r="B211" s="1">
        <f t="shared" si="3"/>
        <v>201</v>
      </c>
      <c r="C211" s="1">
        <v>0</v>
      </c>
      <c r="D211" s="1" t="s">
        <v>220</v>
      </c>
      <c r="E211" s="1" t="s">
        <v>294</v>
      </c>
      <c r="F211" s="1" t="s">
        <v>328</v>
      </c>
      <c r="G211" s="1" t="s">
        <v>328</v>
      </c>
      <c r="H211" s="1" t="s">
        <v>324</v>
      </c>
      <c r="I211" s="1" t="s">
        <v>85</v>
      </c>
      <c r="J211" s="1" t="s">
        <v>11</v>
      </c>
      <c r="K211" s="1" t="s">
        <v>329</v>
      </c>
      <c r="L211" s="1">
        <v>0</v>
      </c>
      <c r="M211" s="1">
        <v>4</v>
      </c>
      <c r="N211" s="1">
        <v>0</v>
      </c>
      <c r="O211" s="1">
        <v>0</v>
      </c>
      <c r="P211" s="1">
        <v>0</v>
      </c>
      <c r="Q211" s="1">
        <v>0</v>
      </c>
      <c r="R211" s="1"/>
      <c r="S211" s="1">
        <v>0</v>
      </c>
      <c r="T211" s="1">
        <v>2</v>
      </c>
      <c r="U211" s="1">
        <v>0</v>
      </c>
      <c r="V211" s="1">
        <v>0</v>
      </c>
      <c r="W211" s="1">
        <v>0</v>
      </c>
      <c r="X211" s="1">
        <v>0</v>
      </c>
      <c r="Y211" s="1">
        <v>0</v>
      </c>
      <c r="Z211" s="1"/>
      <c r="AA211" s="1">
        <v>0</v>
      </c>
      <c r="AB211" s="1"/>
      <c r="AC211" s="1"/>
      <c r="AD211" s="1"/>
      <c r="AE211" s="1"/>
      <c r="AF211" s="1"/>
      <c r="AG211" s="1">
        <v>0</v>
      </c>
      <c r="AH211" s="1">
        <v>0</v>
      </c>
      <c r="AI211" s="1"/>
      <c r="AJ211" s="1" t="s">
        <v>32</v>
      </c>
      <c r="AK211" s="1" t="s">
        <v>32</v>
      </c>
      <c r="AL211" s="17"/>
      <c r="AM211" s="18"/>
      <c r="AN211" s="10" t="s">
        <v>349</v>
      </c>
    </row>
    <row r="212" spans="2:40" x14ac:dyDescent="0.25">
      <c r="B212" s="1">
        <f t="shared" si="3"/>
        <v>202</v>
      </c>
      <c r="C212" s="1">
        <v>0</v>
      </c>
      <c r="D212" s="1" t="s">
        <v>220</v>
      </c>
      <c r="E212" s="1" t="s">
        <v>294</v>
      </c>
      <c r="F212" s="1" t="s">
        <v>328</v>
      </c>
      <c r="G212" s="1" t="s">
        <v>328</v>
      </c>
      <c r="H212" s="1" t="s">
        <v>325</v>
      </c>
      <c r="I212" s="1" t="s">
        <v>85</v>
      </c>
      <c r="J212" s="1" t="s">
        <v>11</v>
      </c>
      <c r="K212" s="1" t="s">
        <v>329</v>
      </c>
      <c r="L212" s="1">
        <v>0</v>
      </c>
      <c r="M212" s="1">
        <v>4</v>
      </c>
      <c r="N212" s="1">
        <v>0</v>
      </c>
      <c r="O212" s="1">
        <v>0</v>
      </c>
      <c r="P212" s="1">
        <v>0</v>
      </c>
      <c r="Q212" s="1">
        <v>0</v>
      </c>
      <c r="R212" s="1"/>
      <c r="S212" s="1">
        <v>0</v>
      </c>
      <c r="T212" s="1">
        <v>2</v>
      </c>
      <c r="U212" s="1">
        <v>0</v>
      </c>
      <c r="V212" s="1">
        <v>0</v>
      </c>
      <c r="W212" s="1">
        <v>0</v>
      </c>
      <c r="X212" s="1">
        <v>0</v>
      </c>
      <c r="Y212" s="1">
        <v>0</v>
      </c>
      <c r="Z212" s="1"/>
      <c r="AA212" s="1">
        <v>0</v>
      </c>
      <c r="AB212" s="1"/>
      <c r="AC212" s="1"/>
      <c r="AD212" s="1"/>
      <c r="AE212" s="1"/>
      <c r="AF212" s="1"/>
      <c r="AG212" s="1">
        <v>0</v>
      </c>
      <c r="AH212" s="1">
        <v>0</v>
      </c>
      <c r="AI212" s="1"/>
      <c r="AJ212" s="1" t="s">
        <v>32</v>
      </c>
      <c r="AK212" s="1" t="s">
        <v>32</v>
      </c>
      <c r="AL212" s="17"/>
      <c r="AM212" s="18"/>
      <c r="AN212" s="10" t="s">
        <v>349</v>
      </c>
    </row>
    <row r="213" spans="2:40" x14ac:dyDescent="0.25">
      <c r="B213" s="1">
        <f t="shared" si="3"/>
        <v>203</v>
      </c>
      <c r="C213" s="1">
        <v>0</v>
      </c>
      <c r="D213" s="1" t="s">
        <v>220</v>
      </c>
      <c r="E213" s="1" t="s">
        <v>294</v>
      </c>
      <c r="F213" s="1" t="s">
        <v>328</v>
      </c>
      <c r="G213" s="1" t="s">
        <v>328</v>
      </c>
      <c r="H213" s="1" t="s">
        <v>326</v>
      </c>
      <c r="I213" s="1" t="s">
        <v>85</v>
      </c>
      <c r="J213" s="1" t="s">
        <v>11</v>
      </c>
      <c r="K213" s="1" t="s">
        <v>329</v>
      </c>
      <c r="L213" s="1">
        <v>0</v>
      </c>
      <c r="M213" s="1">
        <v>4</v>
      </c>
      <c r="N213" s="1">
        <v>0</v>
      </c>
      <c r="O213" s="1">
        <v>0</v>
      </c>
      <c r="P213" s="1">
        <v>0</v>
      </c>
      <c r="Q213" s="1">
        <v>0</v>
      </c>
      <c r="R213" s="1"/>
      <c r="S213" s="1">
        <v>0</v>
      </c>
      <c r="T213" s="1">
        <v>2</v>
      </c>
      <c r="U213" s="1">
        <v>0</v>
      </c>
      <c r="V213" s="1">
        <v>0</v>
      </c>
      <c r="W213" s="1">
        <v>0</v>
      </c>
      <c r="X213" s="1">
        <v>0</v>
      </c>
      <c r="Y213" s="1">
        <v>0</v>
      </c>
      <c r="Z213" s="1"/>
      <c r="AA213" s="1">
        <v>0</v>
      </c>
      <c r="AB213" s="1"/>
      <c r="AC213" s="1"/>
      <c r="AD213" s="1"/>
      <c r="AE213" s="1"/>
      <c r="AF213" s="1"/>
      <c r="AG213" s="1">
        <v>0</v>
      </c>
      <c r="AH213" s="1">
        <v>0</v>
      </c>
      <c r="AI213" s="1"/>
      <c r="AJ213" s="1" t="s">
        <v>32</v>
      </c>
      <c r="AK213" s="1" t="s">
        <v>32</v>
      </c>
      <c r="AL213" s="17"/>
      <c r="AM213" s="18"/>
      <c r="AN213" s="10" t="s">
        <v>349</v>
      </c>
    </row>
    <row r="214" spans="2:40" x14ac:dyDescent="0.25">
      <c r="B214" s="1">
        <f t="shared" si="3"/>
        <v>204</v>
      </c>
      <c r="C214" s="1">
        <v>0</v>
      </c>
      <c r="D214" s="1" t="s">
        <v>220</v>
      </c>
      <c r="E214" s="1" t="s">
        <v>294</v>
      </c>
      <c r="F214" s="1" t="s">
        <v>328</v>
      </c>
      <c r="G214" s="1" t="s">
        <v>328</v>
      </c>
      <c r="H214" s="1" t="s">
        <v>327</v>
      </c>
      <c r="I214" s="1" t="s">
        <v>85</v>
      </c>
      <c r="J214" s="1" t="s">
        <v>11</v>
      </c>
      <c r="K214" s="1" t="s">
        <v>329</v>
      </c>
      <c r="L214" s="1">
        <v>0</v>
      </c>
      <c r="M214" s="1">
        <v>4</v>
      </c>
      <c r="N214" s="1">
        <v>0</v>
      </c>
      <c r="O214" s="1">
        <v>0</v>
      </c>
      <c r="P214" s="1">
        <v>0</v>
      </c>
      <c r="Q214" s="1">
        <v>0</v>
      </c>
      <c r="R214" s="1"/>
      <c r="S214" s="1">
        <v>0</v>
      </c>
      <c r="T214" s="1">
        <v>2</v>
      </c>
      <c r="U214" s="1">
        <v>0</v>
      </c>
      <c r="V214" s="1">
        <v>0</v>
      </c>
      <c r="W214" s="1">
        <v>0</v>
      </c>
      <c r="X214" s="1">
        <v>0</v>
      </c>
      <c r="Y214" s="1">
        <v>0</v>
      </c>
      <c r="Z214" s="1"/>
      <c r="AA214" s="1">
        <v>0</v>
      </c>
      <c r="AB214" s="1"/>
      <c r="AC214" s="1"/>
      <c r="AD214" s="1"/>
      <c r="AE214" s="1"/>
      <c r="AF214" s="1"/>
      <c r="AG214" s="1">
        <v>0</v>
      </c>
      <c r="AH214" s="1">
        <v>0</v>
      </c>
      <c r="AI214" s="1"/>
      <c r="AJ214" s="1" t="s">
        <v>32</v>
      </c>
      <c r="AK214" s="1" t="s">
        <v>32</v>
      </c>
      <c r="AL214" s="17"/>
      <c r="AM214" s="18"/>
      <c r="AN214" s="10" t="s">
        <v>349</v>
      </c>
    </row>
    <row r="215" spans="2:40" x14ac:dyDescent="0.25">
      <c r="B215" s="1">
        <f t="shared" si="3"/>
        <v>205</v>
      </c>
      <c r="C215" s="1">
        <v>1</v>
      </c>
      <c r="D215" s="1" t="s">
        <v>386</v>
      </c>
      <c r="E215" s="1" t="s">
        <v>294</v>
      </c>
      <c r="F215" s="1" t="s">
        <v>57</v>
      </c>
      <c r="G215" s="1"/>
      <c r="H215" s="1" t="s">
        <v>333</v>
      </c>
      <c r="I215" s="1" t="s">
        <v>86</v>
      </c>
      <c r="J215" s="1" t="s">
        <v>12</v>
      </c>
      <c r="K215" s="1" t="s">
        <v>331</v>
      </c>
      <c r="L215" s="1">
        <v>0</v>
      </c>
      <c r="M215" s="1">
        <v>0</v>
      </c>
      <c r="N215" s="1">
        <v>4</v>
      </c>
      <c r="O215" s="1">
        <v>0</v>
      </c>
      <c r="P215" s="1">
        <v>0</v>
      </c>
      <c r="Q215" s="1">
        <v>0</v>
      </c>
      <c r="R215" s="1">
        <v>1</v>
      </c>
      <c r="S215" s="1">
        <v>0</v>
      </c>
      <c r="T215" s="1">
        <v>0</v>
      </c>
      <c r="U215" s="1">
        <v>0</v>
      </c>
      <c r="V215" s="1">
        <v>0</v>
      </c>
      <c r="W215" s="1">
        <v>0</v>
      </c>
      <c r="X215" s="1">
        <v>0</v>
      </c>
      <c r="Y215" s="1">
        <v>0</v>
      </c>
      <c r="Z215" s="1">
        <v>0</v>
      </c>
      <c r="AA215" s="1">
        <v>0</v>
      </c>
      <c r="AB215" s="1">
        <v>1</v>
      </c>
      <c r="AC215" s="1"/>
      <c r="AD215" s="1"/>
      <c r="AE215" s="1"/>
      <c r="AF215" s="1"/>
      <c r="AG215" s="1">
        <v>0</v>
      </c>
      <c r="AH215" s="1">
        <v>0</v>
      </c>
      <c r="AI215" s="1">
        <v>0</v>
      </c>
      <c r="AJ215" s="1" t="s">
        <v>32</v>
      </c>
      <c r="AK215" s="1" t="s">
        <v>32</v>
      </c>
      <c r="AL215" s="17"/>
      <c r="AM215" s="18"/>
      <c r="AN215" s="10"/>
    </row>
    <row r="216" spans="2:40" x14ac:dyDescent="0.25">
      <c r="B216" s="1">
        <f t="shared" si="3"/>
        <v>206</v>
      </c>
      <c r="C216" s="1">
        <v>1</v>
      </c>
      <c r="D216" s="1" t="s">
        <v>386</v>
      </c>
      <c r="E216" s="1" t="s">
        <v>294</v>
      </c>
      <c r="F216" s="1" t="s">
        <v>57</v>
      </c>
      <c r="G216" s="1"/>
      <c r="H216" s="1" t="s">
        <v>334</v>
      </c>
      <c r="I216" s="1" t="s">
        <v>86</v>
      </c>
      <c r="J216" s="1" t="s">
        <v>12</v>
      </c>
      <c r="K216" s="1" t="s">
        <v>331</v>
      </c>
      <c r="L216" s="1">
        <v>0</v>
      </c>
      <c r="M216" s="1">
        <v>0</v>
      </c>
      <c r="N216" s="1">
        <v>4</v>
      </c>
      <c r="O216" s="1">
        <v>0</v>
      </c>
      <c r="P216" s="1">
        <v>0</v>
      </c>
      <c r="Q216" s="1">
        <v>4</v>
      </c>
      <c r="R216" s="1">
        <v>3</v>
      </c>
      <c r="S216" s="1">
        <v>0</v>
      </c>
      <c r="T216" s="1">
        <v>0</v>
      </c>
      <c r="U216" s="1">
        <v>0</v>
      </c>
      <c r="V216" s="1">
        <v>0</v>
      </c>
      <c r="W216" s="1">
        <v>0</v>
      </c>
      <c r="X216" s="1">
        <v>0</v>
      </c>
      <c r="Y216" s="1">
        <v>0</v>
      </c>
      <c r="Z216" s="1">
        <v>0</v>
      </c>
      <c r="AA216" s="1">
        <v>0</v>
      </c>
      <c r="AB216" s="1">
        <v>1</v>
      </c>
      <c r="AC216" s="1"/>
      <c r="AD216" s="1"/>
      <c r="AE216" s="1"/>
      <c r="AF216" s="1"/>
      <c r="AG216" s="1">
        <v>0</v>
      </c>
      <c r="AH216" s="1">
        <v>0</v>
      </c>
      <c r="AI216" s="1">
        <v>0</v>
      </c>
      <c r="AJ216" s="1" t="s">
        <v>21</v>
      </c>
      <c r="AK216" s="1" t="s">
        <v>32</v>
      </c>
      <c r="AL216" s="17"/>
      <c r="AM216" s="18"/>
      <c r="AN216" s="10"/>
    </row>
    <row r="217" spans="2:40" x14ac:dyDescent="0.25">
      <c r="B217" s="1">
        <f t="shared" si="3"/>
        <v>207</v>
      </c>
      <c r="C217" s="1">
        <v>1</v>
      </c>
      <c r="D217" s="1" t="s">
        <v>386</v>
      </c>
      <c r="E217" s="1" t="s">
        <v>294</v>
      </c>
      <c r="F217" s="1" t="s">
        <v>57</v>
      </c>
      <c r="G217" s="1" t="s">
        <v>250</v>
      </c>
      <c r="H217" s="18" t="s">
        <v>384</v>
      </c>
      <c r="I217" s="1" t="s">
        <v>85</v>
      </c>
      <c r="J217" s="1" t="s">
        <v>55</v>
      </c>
      <c r="K217" s="1" t="s">
        <v>12</v>
      </c>
      <c r="L217" s="1">
        <v>0</v>
      </c>
      <c r="M217" s="1">
        <v>0</v>
      </c>
      <c r="N217" s="1">
        <v>3</v>
      </c>
      <c r="O217" s="1">
        <v>0</v>
      </c>
      <c r="P217" s="1">
        <v>0</v>
      </c>
      <c r="Q217" s="40">
        <v>4</v>
      </c>
      <c r="R217" s="1">
        <v>4</v>
      </c>
      <c r="S217" s="1">
        <v>0</v>
      </c>
      <c r="T217" s="1">
        <v>0</v>
      </c>
      <c r="U217" s="1">
        <v>0</v>
      </c>
      <c r="V217" s="1">
        <v>0</v>
      </c>
      <c r="W217" s="1">
        <v>0</v>
      </c>
      <c r="X217" s="1">
        <v>0</v>
      </c>
      <c r="Y217" s="1">
        <v>0</v>
      </c>
      <c r="Z217" s="1">
        <v>0</v>
      </c>
      <c r="AA217" s="1">
        <v>0</v>
      </c>
      <c r="AB217" s="1">
        <v>2</v>
      </c>
      <c r="AC217" s="1"/>
      <c r="AD217" s="1"/>
      <c r="AE217" s="1"/>
      <c r="AF217" s="1"/>
      <c r="AG217" s="1">
        <v>0</v>
      </c>
      <c r="AH217" s="1">
        <v>0</v>
      </c>
      <c r="AI217" s="1">
        <v>0</v>
      </c>
      <c r="AJ217" s="1" t="s">
        <v>32</v>
      </c>
      <c r="AK217" s="1" t="s">
        <v>32</v>
      </c>
      <c r="AL217" s="17"/>
      <c r="AM217" s="18"/>
      <c r="AN217" s="10"/>
    </row>
    <row r="218" spans="2:40" x14ac:dyDescent="0.25">
      <c r="B218" s="1">
        <f t="shared" si="3"/>
        <v>208</v>
      </c>
      <c r="C218" s="1">
        <v>1</v>
      </c>
      <c r="D218" s="1" t="s">
        <v>386</v>
      </c>
      <c r="E218" s="1" t="s">
        <v>294</v>
      </c>
      <c r="F218" s="1" t="s">
        <v>57</v>
      </c>
      <c r="G218" s="1" t="s">
        <v>250</v>
      </c>
      <c r="H218" s="18" t="s">
        <v>455</v>
      </c>
      <c r="I218" s="1" t="s">
        <v>87</v>
      </c>
      <c r="J218" s="1" t="s">
        <v>55</v>
      </c>
      <c r="K218" s="1" t="s">
        <v>12</v>
      </c>
      <c r="L218" s="1">
        <v>0</v>
      </c>
      <c r="M218" s="1">
        <v>0</v>
      </c>
      <c r="N218" s="1">
        <v>3</v>
      </c>
      <c r="O218" s="1">
        <v>0</v>
      </c>
      <c r="P218" s="1">
        <v>0</v>
      </c>
      <c r="Q218" s="40">
        <v>4</v>
      </c>
      <c r="R218" s="1">
        <v>0</v>
      </c>
      <c r="S218" s="1">
        <v>0</v>
      </c>
      <c r="T218" s="1">
        <v>0</v>
      </c>
      <c r="U218" s="1">
        <v>0</v>
      </c>
      <c r="V218" s="1">
        <v>0</v>
      </c>
      <c r="W218" s="1">
        <v>0</v>
      </c>
      <c r="X218" s="1">
        <v>0</v>
      </c>
      <c r="Y218" s="1">
        <v>0</v>
      </c>
      <c r="Z218" s="1">
        <v>0</v>
      </c>
      <c r="AA218" s="1">
        <v>0</v>
      </c>
      <c r="AB218" s="1">
        <v>2</v>
      </c>
      <c r="AC218" s="1"/>
      <c r="AD218" s="1"/>
      <c r="AE218" s="1"/>
      <c r="AF218" s="1"/>
      <c r="AG218" s="1">
        <v>0</v>
      </c>
      <c r="AH218" s="1">
        <v>0</v>
      </c>
      <c r="AI218" s="1">
        <v>0</v>
      </c>
      <c r="AJ218" s="1" t="s">
        <v>32</v>
      </c>
      <c r="AK218" s="1" t="s">
        <v>32</v>
      </c>
      <c r="AL218" s="17"/>
      <c r="AM218" s="18"/>
      <c r="AN218" s="10"/>
    </row>
    <row r="219" spans="2:40" x14ac:dyDescent="0.25">
      <c r="B219" s="1">
        <f t="shared" si="3"/>
        <v>209</v>
      </c>
      <c r="C219" s="1">
        <v>1</v>
      </c>
      <c r="D219" s="1" t="s">
        <v>386</v>
      </c>
      <c r="E219" s="1" t="s">
        <v>294</v>
      </c>
      <c r="F219" s="1" t="s">
        <v>57</v>
      </c>
      <c r="G219" s="1" t="s">
        <v>250</v>
      </c>
      <c r="H219" s="1" t="s">
        <v>456</v>
      </c>
      <c r="I219" s="1" t="s">
        <v>86</v>
      </c>
      <c r="J219" s="1" t="s">
        <v>55</v>
      </c>
      <c r="K219" s="1" t="s">
        <v>453</v>
      </c>
      <c r="L219" s="1">
        <v>0</v>
      </c>
      <c r="M219" s="1">
        <v>0</v>
      </c>
      <c r="N219" s="1">
        <v>0</v>
      </c>
      <c r="O219" s="1">
        <v>0</v>
      </c>
      <c r="P219" s="1">
        <v>0</v>
      </c>
      <c r="Q219" s="40">
        <v>4</v>
      </c>
      <c r="R219" s="1">
        <v>0</v>
      </c>
      <c r="S219" s="1">
        <v>0</v>
      </c>
      <c r="T219" s="1">
        <v>0</v>
      </c>
      <c r="U219" s="1">
        <v>0</v>
      </c>
      <c r="V219" s="1">
        <v>0</v>
      </c>
      <c r="W219" s="1">
        <v>0</v>
      </c>
      <c r="X219" s="1">
        <v>0</v>
      </c>
      <c r="Y219" s="1">
        <v>0</v>
      </c>
      <c r="Z219" s="1">
        <v>0</v>
      </c>
      <c r="AA219" s="1">
        <v>0</v>
      </c>
      <c r="AB219" s="1">
        <v>2</v>
      </c>
      <c r="AC219" s="1"/>
      <c r="AD219" s="1"/>
      <c r="AE219" s="1"/>
      <c r="AF219" s="1"/>
      <c r="AG219" s="1">
        <v>0</v>
      </c>
      <c r="AH219" s="1">
        <v>0</v>
      </c>
      <c r="AI219" s="1">
        <v>0</v>
      </c>
      <c r="AJ219" s="1" t="s">
        <v>32</v>
      </c>
      <c r="AK219" s="1" t="s">
        <v>32</v>
      </c>
      <c r="AL219" s="17"/>
      <c r="AM219" s="18"/>
      <c r="AN219" s="10"/>
    </row>
    <row r="220" spans="2:40" x14ac:dyDescent="0.25">
      <c r="B220" s="1">
        <f t="shared" si="3"/>
        <v>210</v>
      </c>
      <c r="C220" s="1">
        <v>1</v>
      </c>
      <c r="D220" s="1" t="s">
        <v>386</v>
      </c>
      <c r="E220" s="1" t="s">
        <v>294</v>
      </c>
      <c r="F220" s="1" t="s">
        <v>57</v>
      </c>
      <c r="G220" s="1" t="s">
        <v>250</v>
      </c>
      <c r="H220" s="1" t="s">
        <v>457</v>
      </c>
      <c r="I220" s="1" t="s">
        <v>86</v>
      </c>
      <c r="J220" s="1" t="s">
        <v>55</v>
      </c>
      <c r="K220" s="1" t="s">
        <v>453</v>
      </c>
      <c r="L220" s="1">
        <v>0</v>
      </c>
      <c r="M220" s="1">
        <v>0</v>
      </c>
      <c r="N220" s="1">
        <v>0</v>
      </c>
      <c r="O220" s="1">
        <v>0</v>
      </c>
      <c r="P220" s="1">
        <v>0</v>
      </c>
      <c r="Q220" s="40">
        <v>4</v>
      </c>
      <c r="R220" s="1">
        <v>0</v>
      </c>
      <c r="S220" s="1">
        <v>0</v>
      </c>
      <c r="T220" s="1">
        <v>0</v>
      </c>
      <c r="U220" s="1">
        <v>0</v>
      </c>
      <c r="V220" s="1">
        <v>0</v>
      </c>
      <c r="W220" s="1">
        <v>0</v>
      </c>
      <c r="X220" s="1">
        <v>0</v>
      </c>
      <c r="Y220" s="1">
        <v>0</v>
      </c>
      <c r="Z220" s="1">
        <v>0</v>
      </c>
      <c r="AA220" s="1">
        <v>0</v>
      </c>
      <c r="AB220" s="1">
        <v>2</v>
      </c>
      <c r="AC220" s="1"/>
      <c r="AD220" s="1"/>
      <c r="AE220" s="1"/>
      <c r="AF220" s="1"/>
      <c r="AG220" s="1">
        <v>0</v>
      </c>
      <c r="AH220" s="1">
        <v>0</v>
      </c>
      <c r="AI220" s="1">
        <v>0</v>
      </c>
      <c r="AJ220" s="1" t="s">
        <v>32</v>
      </c>
      <c r="AK220" s="1" t="s">
        <v>32</v>
      </c>
      <c r="AL220" s="17"/>
      <c r="AM220" s="18"/>
      <c r="AN220" s="10"/>
    </row>
    <row r="221" spans="2:40" x14ac:dyDescent="0.25">
      <c r="B221" s="1">
        <f t="shared" si="3"/>
        <v>211</v>
      </c>
      <c r="C221" s="1">
        <v>1</v>
      </c>
      <c r="D221" s="1" t="s">
        <v>386</v>
      </c>
      <c r="E221" s="1" t="s">
        <v>294</v>
      </c>
      <c r="F221" s="1" t="s">
        <v>57</v>
      </c>
      <c r="G221" s="1" t="s">
        <v>250</v>
      </c>
      <c r="H221" s="1" t="s">
        <v>458</v>
      </c>
      <c r="I221" s="1" t="s">
        <v>86</v>
      </c>
      <c r="J221" s="1" t="s">
        <v>55</v>
      </c>
      <c r="K221" s="1" t="s">
        <v>453</v>
      </c>
      <c r="L221" s="1">
        <v>0</v>
      </c>
      <c r="M221" s="1">
        <v>0</v>
      </c>
      <c r="N221" s="1">
        <v>0</v>
      </c>
      <c r="O221" s="1">
        <v>0</v>
      </c>
      <c r="P221" s="1">
        <v>0</v>
      </c>
      <c r="Q221" s="40">
        <v>4</v>
      </c>
      <c r="R221" s="1">
        <v>0</v>
      </c>
      <c r="S221" s="1">
        <v>0</v>
      </c>
      <c r="T221" s="1">
        <v>0</v>
      </c>
      <c r="U221" s="1">
        <v>0</v>
      </c>
      <c r="V221" s="1">
        <v>0</v>
      </c>
      <c r="W221" s="1">
        <v>0</v>
      </c>
      <c r="X221" s="1">
        <v>0</v>
      </c>
      <c r="Y221" s="1">
        <v>0</v>
      </c>
      <c r="Z221" s="1">
        <v>0</v>
      </c>
      <c r="AA221" s="1">
        <v>0</v>
      </c>
      <c r="AB221" s="1">
        <v>2</v>
      </c>
      <c r="AC221" s="1"/>
      <c r="AD221" s="1"/>
      <c r="AE221" s="1"/>
      <c r="AF221" s="1"/>
      <c r="AG221" s="1">
        <v>0</v>
      </c>
      <c r="AH221" s="1">
        <v>0</v>
      </c>
      <c r="AI221" s="1">
        <v>0</v>
      </c>
      <c r="AJ221" s="1" t="s">
        <v>32</v>
      </c>
      <c r="AK221" s="1" t="s">
        <v>32</v>
      </c>
      <c r="AL221" s="17"/>
      <c r="AM221" s="18"/>
      <c r="AN221" s="10"/>
    </row>
    <row r="222" spans="2:40" x14ac:dyDescent="0.25">
      <c r="B222" s="1">
        <f t="shared" si="3"/>
        <v>212</v>
      </c>
      <c r="C222" s="1">
        <v>1</v>
      </c>
      <c r="D222" s="1" t="s">
        <v>386</v>
      </c>
      <c r="E222" s="1" t="s">
        <v>294</v>
      </c>
      <c r="F222" s="1" t="s">
        <v>57</v>
      </c>
      <c r="G222" s="1" t="s">
        <v>250</v>
      </c>
      <c r="H222" s="1" t="s">
        <v>459</v>
      </c>
      <c r="I222" s="1" t="s">
        <v>86</v>
      </c>
      <c r="J222" s="1" t="s">
        <v>55</v>
      </c>
      <c r="K222" s="1" t="s">
        <v>453</v>
      </c>
      <c r="L222" s="1">
        <v>0</v>
      </c>
      <c r="M222" s="1">
        <v>0</v>
      </c>
      <c r="N222" s="1">
        <v>0</v>
      </c>
      <c r="O222" s="1">
        <v>0</v>
      </c>
      <c r="P222" s="1">
        <v>0</v>
      </c>
      <c r="Q222" s="40">
        <v>4</v>
      </c>
      <c r="R222" s="1">
        <v>0</v>
      </c>
      <c r="S222" s="1">
        <v>0</v>
      </c>
      <c r="T222" s="1">
        <v>0</v>
      </c>
      <c r="U222" s="1">
        <v>0</v>
      </c>
      <c r="V222" s="1">
        <v>0</v>
      </c>
      <c r="W222" s="1">
        <v>0</v>
      </c>
      <c r="X222" s="1">
        <v>0</v>
      </c>
      <c r="Y222" s="1">
        <v>0</v>
      </c>
      <c r="Z222" s="1">
        <v>0</v>
      </c>
      <c r="AA222" s="1">
        <v>0</v>
      </c>
      <c r="AB222" s="1">
        <v>2</v>
      </c>
      <c r="AC222" s="1"/>
      <c r="AD222" s="1"/>
      <c r="AE222" s="1"/>
      <c r="AF222" s="1"/>
      <c r="AG222" s="1">
        <v>0</v>
      </c>
      <c r="AH222" s="1">
        <v>0</v>
      </c>
      <c r="AI222" s="1">
        <v>0</v>
      </c>
      <c r="AJ222" s="1" t="s">
        <v>32</v>
      </c>
      <c r="AK222" s="1" t="s">
        <v>32</v>
      </c>
      <c r="AL222" s="17"/>
      <c r="AM222" s="18"/>
      <c r="AN222" s="10"/>
    </row>
    <row r="223" spans="2:40" x14ac:dyDescent="0.25">
      <c r="B223" s="1">
        <f t="shared" si="3"/>
        <v>213</v>
      </c>
      <c r="C223" s="1">
        <v>1</v>
      </c>
      <c r="D223" s="1" t="s">
        <v>386</v>
      </c>
      <c r="E223" s="1" t="s">
        <v>294</v>
      </c>
      <c r="F223" s="1" t="s">
        <v>57</v>
      </c>
      <c r="G223" s="1" t="s">
        <v>250</v>
      </c>
      <c r="H223" s="1" t="s">
        <v>460</v>
      </c>
      <c r="I223" s="1" t="s">
        <v>335</v>
      </c>
      <c r="J223" s="1" t="s">
        <v>55</v>
      </c>
      <c r="K223" s="1" t="s">
        <v>453</v>
      </c>
      <c r="L223" s="1">
        <v>0</v>
      </c>
      <c r="M223" s="1">
        <v>0</v>
      </c>
      <c r="N223" s="1">
        <v>0</v>
      </c>
      <c r="O223" s="1">
        <v>0</v>
      </c>
      <c r="P223" s="1">
        <v>0</v>
      </c>
      <c r="Q223" s="40">
        <v>4</v>
      </c>
      <c r="R223" s="1">
        <v>0</v>
      </c>
      <c r="S223" s="1">
        <v>0</v>
      </c>
      <c r="T223" s="1">
        <v>0</v>
      </c>
      <c r="U223" s="1">
        <v>0</v>
      </c>
      <c r="V223" s="1">
        <v>0</v>
      </c>
      <c r="W223" s="1">
        <v>0</v>
      </c>
      <c r="X223" s="1">
        <v>0</v>
      </c>
      <c r="Y223" s="1">
        <v>0</v>
      </c>
      <c r="Z223" s="1">
        <v>0</v>
      </c>
      <c r="AA223" s="1">
        <v>0</v>
      </c>
      <c r="AB223" s="1">
        <v>1</v>
      </c>
      <c r="AC223" s="1"/>
      <c r="AD223" s="1"/>
      <c r="AE223" s="1"/>
      <c r="AF223" s="1"/>
      <c r="AG223" s="1">
        <v>0</v>
      </c>
      <c r="AH223" s="1">
        <v>0</v>
      </c>
      <c r="AI223" s="1">
        <v>0</v>
      </c>
      <c r="AJ223" s="1" t="s">
        <v>32</v>
      </c>
      <c r="AK223" s="1" t="s">
        <v>32</v>
      </c>
      <c r="AL223" s="17"/>
      <c r="AM223" s="18"/>
      <c r="AN223" s="10"/>
    </row>
    <row r="224" spans="2:40" x14ac:dyDescent="0.25">
      <c r="B224" s="1">
        <f t="shared" si="3"/>
        <v>214</v>
      </c>
      <c r="C224" s="1">
        <v>1</v>
      </c>
      <c r="D224" s="1" t="s">
        <v>386</v>
      </c>
      <c r="E224" s="1" t="s">
        <v>294</v>
      </c>
      <c r="F224" s="1" t="s">
        <v>57</v>
      </c>
      <c r="G224" s="1" t="s">
        <v>250</v>
      </c>
      <c r="H224" s="1" t="s">
        <v>461</v>
      </c>
      <c r="I224" s="1" t="s">
        <v>85</v>
      </c>
      <c r="J224" s="1" t="s">
        <v>55</v>
      </c>
      <c r="K224" s="1" t="s">
        <v>453</v>
      </c>
      <c r="L224" s="1">
        <v>0</v>
      </c>
      <c r="M224" s="1">
        <v>0</v>
      </c>
      <c r="N224" s="1">
        <v>0</v>
      </c>
      <c r="O224" s="1">
        <v>0</v>
      </c>
      <c r="P224" s="1">
        <v>0</v>
      </c>
      <c r="Q224" s="40">
        <v>4</v>
      </c>
      <c r="R224" s="1">
        <v>0</v>
      </c>
      <c r="S224" s="1">
        <v>0</v>
      </c>
      <c r="T224" s="1">
        <v>0</v>
      </c>
      <c r="U224" s="1">
        <v>0</v>
      </c>
      <c r="V224" s="1">
        <v>0</v>
      </c>
      <c r="W224" s="1">
        <v>0</v>
      </c>
      <c r="X224" s="1">
        <v>0</v>
      </c>
      <c r="Y224" s="1">
        <v>0</v>
      </c>
      <c r="Z224" s="1">
        <v>0</v>
      </c>
      <c r="AA224" s="1">
        <v>0</v>
      </c>
      <c r="AB224" s="1">
        <v>2</v>
      </c>
      <c r="AC224" s="1"/>
      <c r="AD224" s="1"/>
      <c r="AE224" s="1"/>
      <c r="AF224" s="1"/>
      <c r="AG224" s="1">
        <v>0</v>
      </c>
      <c r="AH224" s="1">
        <v>0</v>
      </c>
      <c r="AI224" s="1">
        <v>0</v>
      </c>
      <c r="AJ224" s="1" t="s">
        <v>32</v>
      </c>
      <c r="AK224" s="1" t="s">
        <v>32</v>
      </c>
      <c r="AL224" s="17"/>
      <c r="AM224" s="18"/>
      <c r="AN224" s="10"/>
    </row>
    <row r="225" spans="2:40" x14ac:dyDescent="0.25">
      <c r="B225" s="1">
        <f t="shared" si="3"/>
        <v>215</v>
      </c>
      <c r="C225" s="45">
        <v>1</v>
      </c>
      <c r="D225" s="45" t="s">
        <v>386</v>
      </c>
      <c r="E225" s="45" t="s">
        <v>294</v>
      </c>
      <c r="F225" s="45" t="s">
        <v>57</v>
      </c>
      <c r="G225" s="45" t="s">
        <v>250</v>
      </c>
      <c r="H225" s="45" t="s">
        <v>462</v>
      </c>
      <c r="I225" s="45" t="s">
        <v>87</v>
      </c>
      <c r="J225" s="45" t="s">
        <v>55</v>
      </c>
      <c r="K225" s="45" t="s">
        <v>453</v>
      </c>
      <c r="L225" s="45">
        <v>0</v>
      </c>
      <c r="M225" s="45">
        <v>0</v>
      </c>
      <c r="N225" s="45">
        <v>0</v>
      </c>
      <c r="O225" s="45">
        <v>0</v>
      </c>
      <c r="P225" s="45">
        <v>0</v>
      </c>
      <c r="Q225" s="45">
        <v>4</v>
      </c>
      <c r="R225" s="45">
        <v>0</v>
      </c>
      <c r="S225" s="45">
        <v>0</v>
      </c>
      <c r="T225" s="45">
        <v>0</v>
      </c>
      <c r="U225" s="45">
        <v>0</v>
      </c>
      <c r="V225" s="45">
        <v>0</v>
      </c>
      <c r="W225" s="45">
        <v>0</v>
      </c>
      <c r="X225" s="45">
        <v>0</v>
      </c>
      <c r="Y225" s="45">
        <v>0</v>
      </c>
      <c r="Z225" s="45">
        <v>0</v>
      </c>
      <c r="AA225" s="45">
        <v>0</v>
      </c>
      <c r="AB225" s="45">
        <v>1</v>
      </c>
      <c r="AC225" s="45">
        <v>3</v>
      </c>
      <c r="AD225" s="45"/>
      <c r="AE225" s="45"/>
      <c r="AF225" s="45"/>
      <c r="AG225" s="45">
        <v>0</v>
      </c>
      <c r="AH225" s="1">
        <v>0</v>
      </c>
      <c r="AI225" s="1">
        <v>0</v>
      </c>
      <c r="AJ225" s="45" t="s">
        <v>32</v>
      </c>
      <c r="AK225" s="45" t="s">
        <v>32</v>
      </c>
      <c r="AL225" s="46"/>
      <c r="AM225" s="45"/>
      <c r="AN225" s="47" t="s">
        <v>80</v>
      </c>
    </row>
    <row r="226" spans="2:40" x14ac:dyDescent="0.25">
      <c r="B226" s="1">
        <f t="shared" si="3"/>
        <v>216</v>
      </c>
      <c r="C226" s="1">
        <v>1</v>
      </c>
      <c r="D226" s="1" t="s">
        <v>386</v>
      </c>
      <c r="E226" s="1" t="s">
        <v>294</v>
      </c>
      <c r="F226" s="1" t="s">
        <v>57</v>
      </c>
      <c r="G226" s="1" t="s">
        <v>250</v>
      </c>
      <c r="H226" s="1" t="s">
        <v>463</v>
      </c>
      <c r="I226" s="1" t="s">
        <v>87</v>
      </c>
      <c r="J226" s="1" t="s">
        <v>55</v>
      </c>
      <c r="K226" s="1" t="s">
        <v>453</v>
      </c>
      <c r="L226" s="1">
        <v>0</v>
      </c>
      <c r="M226" s="1">
        <v>0</v>
      </c>
      <c r="N226" s="1">
        <v>0</v>
      </c>
      <c r="O226" s="1">
        <v>0</v>
      </c>
      <c r="P226" s="1">
        <v>0</v>
      </c>
      <c r="Q226" s="40">
        <v>4</v>
      </c>
      <c r="R226" s="1">
        <v>0</v>
      </c>
      <c r="S226" s="1">
        <v>0</v>
      </c>
      <c r="T226" s="1">
        <v>0</v>
      </c>
      <c r="U226" s="1">
        <v>0</v>
      </c>
      <c r="V226" s="1">
        <v>0</v>
      </c>
      <c r="W226" s="1">
        <v>0</v>
      </c>
      <c r="X226" s="1">
        <v>0</v>
      </c>
      <c r="Y226" s="1">
        <v>0</v>
      </c>
      <c r="Z226" s="1">
        <v>0</v>
      </c>
      <c r="AA226" s="1">
        <v>0</v>
      </c>
      <c r="AB226" s="1">
        <v>1</v>
      </c>
      <c r="AC226" s="1">
        <v>3</v>
      </c>
      <c r="AD226" s="1"/>
      <c r="AE226" s="1"/>
      <c r="AF226" s="1"/>
      <c r="AG226" s="1">
        <v>0</v>
      </c>
      <c r="AH226" s="1">
        <v>0</v>
      </c>
      <c r="AI226" s="1">
        <v>0</v>
      </c>
      <c r="AJ226" s="1" t="s">
        <v>32</v>
      </c>
      <c r="AK226" s="1" t="s">
        <v>32</v>
      </c>
      <c r="AL226" s="17"/>
      <c r="AM226" s="18"/>
      <c r="AN226" s="10"/>
    </row>
    <row r="227" spans="2:40" x14ac:dyDescent="0.25">
      <c r="B227" s="1">
        <f t="shared" si="3"/>
        <v>217</v>
      </c>
      <c r="C227" s="1">
        <v>1</v>
      </c>
      <c r="D227" s="1" t="s">
        <v>386</v>
      </c>
      <c r="E227" s="1" t="s">
        <v>294</v>
      </c>
      <c r="F227" s="1" t="s">
        <v>57</v>
      </c>
      <c r="G227" s="1" t="s">
        <v>250</v>
      </c>
      <c r="H227" s="1" t="s">
        <v>464</v>
      </c>
      <c r="I227" s="1" t="s">
        <v>437</v>
      </c>
      <c r="J227" s="1" t="s">
        <v>55</v>
      </c>
      <c r="K227" s="1" t="s">
        <v>453</v>
      </c>
      <c r="L227" s="1">
        <v>0</v>
      </c>
      <c r="M227" s="1">
        <v>0</v>
      </c>
      <c r="N227" s="1">
        <v>0</v>
      </c>
      <c r="O227" s="1">
        <v>0</v>
      </c>
      <c r="P227" s="1">
        <v>0</v>
      </c>
      <c r="Q227" s="40">
        <v>4</v>
      </c>
      <c r="R227" s="1">
        <v>0</v>
      </c>
      <c r="S227" s="1">
        <v>0</v>
      </c>
      <c r="T227" s="1">
        <v>0</v>
      </c>
      <c r="U227" s="1">
        <v>0</v>
      </c>
      <c r="V227" s="1">
        <v>0</v>
      </c>
      <c r="W227" s="1">
        <v>0</v>
      </c>
      <c r="X227" s="1">
        <v>0</v>
      </c>
      <c r="Y227" s="1">
        <v>0</v>
      </c>
      <c r="Z227" s="1">
        <v>0</v>
      </c>
      <c r="AA227" s="1">
        <v>0</v>
      </c>
      <c r="AB227" s="1">
        <v>1</v>
      </c>
      <c r="AC227" s="1">
        <v>3</v>
      </c>
      <c r="AD227" s="1"/>
      <c r="AE227" s="1"/>
      <c r="AF227" s="1"/>
      <c r="AG227" s="1">
        <v>0</v>
      </c>
      <c r="AH227" s="1">
        <v>0</v>
      </c>
      <c r="AI227" s="1">
        <v>0</v>
      </c>
      <c r="AJ227" s="1" t="s">
        <v>32</v>
      </c>
      <c r="AK227" s="1" t="s">
        <v>32</v>
      </c>
      <c r="AL227" s="17"/>
      <c r="AM227" s="18"/>
      <c r="AN227" s="10"/>
    </row>
    <row r="228" spans="2:40" x14ac:dyDescent="0.25">
      <c r="B228" s="1">
        <f t="shared" si="3"/>
        <v>218</v>
      </c>
      <c r="C228" s="1">
        <v>1</v>
      </c>
      <c r="D228" s="1" t="s">
        <v>386</v>
      </c>
      <c r="E228" s="1" t="s">
        <v>294</v>
      </c>
      <c r="F228" s="1" t="s">
        <v>57</v>
      </c>
      <c r="G228" s="1" t="s">
        <v>250</v>
      </c>
      <c r="H228" s="1" t="s">
        <v>465</v>
      </c>
      <c r="I228" s="1" t="s">
        <v>466</v>
      </c>
      <c r="J228" s="1" t="s">
        <v>55</v>
      </c>
      <c r="K228" s="1" t="s">
        <v>453</v>
      </c>
      <c r="L228" s="1">
        <v>0</v>
      </c>
      <c r="M228" s="1">
        <v>0</v>
      </c>
      <c r="N228" s="1">
        <v>0</v>
      </c>
      <c r="O228" s="1">
        <v>0</v>
      </c>
      <c r="P228" s="1">
        <v>0</v>
      </c>
      <c r="Q228" s="40">
        <v>4</v>
      </c>
      <c r="R228" s="1">
        <v>0</v>
      </c>
      <c r="S228" s="1">
        <v>0</v>
      </c>
      <c r="T228" s="1">
        <v>0</v>
      </c>
      <c r="U228" s="1">
        <v>0</v>
      </c>
      <c r="V228" s="1">
        <v>0</v>
      </c>
      <c r="W228" s="1">
        <v>0</v>
      </c>
      <c r="X228" s="1">
        <v>0</v>
      </c>
      <c r="Y228" s="1">
        <v>0</v>
      </c>
      <c r="Z228" s="1">
        <v>0</v>
      </c>
      <c r="AA228" s="1">
        <v>0</v>
      </c>
      <c r="AB228" s="1">
        <v>2</v>
      </c>
      <c r="AC228" s="1">
        <v>3</v>
      </c>
      <c r="AD228" s="1"/>
      <c r="AE228" s="1"/>
      <c r="AF228" s="1"/>
      <c r="AG228" s="1">
        <v>0</v>
      </c>
      <c r="AH228" s="1">
        <v>0</v>
      </c>
      <c r="AI228" s="1">
        <v>0</v>
      </c>
      <c r="AJ228" s="1" t="s">
        <v>32</v>
      </c>
      <c r="AK228" s="1" t="s">
        <v>32</v>
      </c>
      <c r="AL228" s="17"/>
      <c r="AM228" s="18"/>
      <c r="AN228" s="10"/>
    </row>
    <row r="229" spans="2:40" x14ac:dyDescent="0.25">
      <c r="B229" s="1">
        <f t="shared" si="3"/>
        <v>219</v>
      </c>
      <c r="C229" s="1">
        <v>1</v>
      </c>
      <c r="D229" s="1" t="s">
        <v>386</v>
      </c>
      <c r="E229" s="1" t="s">
        <v>294</v>
      </c>
      <c r="F229" s="1" t="s">
        <v>57</v>
      </c>
      <c r="G229" s="1" t="s">
        <v>250</v>
      </c>
      <c r="H229" s="1" t="s">
        <v>337</v>
      </c>
      <c r="I229" s="1" t="s">
        <v>87</v>
      </c>
      <c r="J229" s="1" t="s">
        <v>55</v>
      </c>
      <c r="K229" s="1" t="s">
        <v>12</v>
      </c>
      <c r="L229" s="1">
        <v>0</v>
      </c>
      <c r="M229" s="1">
        <v>0</v>
      </c>
      <c r="N229" s="1">
        <v>3</v>
      </c>
      <c r="O229" s="1">
        <v>0</v>
      </c>
      <c r="P229" s="1">
        <v>0</v>
      </c>
      <c r="Q229" s="40">
        <v>4</v>
      </c>
      <c r="R229" s="1">
        <v>4</v>
      </c>
      <c r="S229" s="1">
        <v>0</v>
      </c>
      <c r="T229" s="1">
        <v>0</v>
      </c>
      <c r="U229" s="1">
        <v>0</v>
      </c>
      <c r="V229" s="1">
        <v>0</v>
      </c>
      <c r="W229" s="1">
        <v>0</v>
      </c>
      <c r="X229" s="1">
        <v>0</v>
      </c>
      <c r="Y229" s="1">
        <v>0</v>
      </c>
      <c r="Z229" s="1">
        <v>0</v>
      </c>
      <c r="AA229" s="1">
        <v>0</v>
      </c>
      <c r="AB229" s="1">
        <v>2</v>
      </c>
      <c r="AC229" s="1"/>
      <c r="AD229" s="1"/>
      <c r="AE229" s="1"/>
      <c r="AF229" s="1"/>
      <c r="AG229" s="1">
        <v>0</v>
      </c>
      <c r="AH229" s="1">
        <v>0</v>
      </c>
      <c r="AI229" s="1">
        <v>0</v>
      </c>
      <c r="AJ229" s="1" t="s">
        <v>32</v>
      </c>
      <c r="AK229" s="1" t="s">
        <v>32</v>
      </c>
      <c r="AL229" s="17"/>
      <c r="AM229" s="18"/>
      <c r="AN229" s="10"/>
    </row>
    <row r="230" spans="2:40" x14ac:dyDescent="0.25">
      <c r="B230" s="1">
        <f t="shared" si="3"/>
        <v>220</v>
      </c>
      <c r="C230" s="1">
        <v>1</v>
      </c>
      <c r="D230" s="1" t="s">
        <v>386</v>
      </c>
      <c r="E230" s="1" t="s">
        <v>294</v>
      </c>
      <c r="F230" s="1" t="s">
        <v>57</v>
      </c>
      <c r="G230" s="1" t="s">
        <v>250</v>
      </c>
      <c r="H230" s="1" t="s">
        <v>338</v>
      </c>
      <c r="I230" s="1" t="s">
        <v>86</v>
      </c>
      <c r="J230" s="1" t="s">
        <v>55</v>
      </c>
      <c r="K230" s="1" t="s">
        <v>12</v>
      </c>
      <c r="L230" s="1">
        <v>0</v>
      </c>
      <c r="M230" s="1">
        <v>0</v>
      </c>
      <c r="N230" s="1">
        <v>3</v>
      </c>
      <c r="O230" s="1">
        <v>0</v>
      </c>
      <c r="P230" s="1">
        <v>0</v>
      </c>
      <c r="Q230" s="40">
        <v>4</v>
      </c>
      <c r="R230" s="1">
        <v>4</v>
      </c>
      <c r="S230" s="1">
        <v>0</v>
      </c>
      <c r="T230" s="1">
        <v>0</v>
      </c>
      <c r="U230" s="1">
        <v>0</v>
      </c>
      <c r="V230" s="1">
        <v>0</v>
      </c>
      <c r="W230" s="1">
        <v>0</v>
      </c>
      <c r="X230" s="1">
        <v>0</v>
      </c>
      <c r="Y230" s="1">
        <v>0</v>
      </c>
      <c r="Z230" s="1">
        <v>0</v>
      </c>
      <c r="AA230" s="1">
        <v>0</v>
      </c>
      <c r="AB230" s="1">
        <v>2</v>
      </c>
      <c r="AC230" s="1"/>
      <c r="AD230" s="1"/>
      <c r="AE230" s="1"/>
      <c r="AF230" s="1"/>
      <c r="AG230" s="1">
        <v>0</v>
      </c>
      <c r="AH230" s="1">
        <v>0</v>
      </c>
      <c r="AI230" s="1">
        <v>0</v>
      </c>
      <c r="AJ230" s="1" t="s">
        <v>32</v>
      </c>
      <c r="AK230" s="1" t="s">
        <v>32</v>
      </c>
      <c r="AL230" s="17"/>
      <c r="AM230" s="18"/>
      <c r="AN230" s="10"/>
    </row>
    <row r="231" spans="2:40" x14ac:dyDescent="0.25">
      <c r="B231" s="1">
        <f t="shared" si="3"/>
        <v>221</v>
      </c>
      <c r="C231" s="1">
        <v>1</v>
      </c>
      <c r="D231" s="1" t="s">
        <v>386</v>
      </c>
      <c r="E231" s="1" t="s">
        <v>294</v>
      </c>
      <c r="F231" s="1" t="s">
        <v>57</v>
      </c>
      <c r="G231" s="1" t="s">
        <v>250</v>
      </c>
      <c r="H231" s="1" t="s">
        <v>467</v>
      </c>
      <c r="I231" s="1" t="s">
        <v>86</v>
      </c>
      <c r="J231" s="1" t="s">
        <v>55</v>
      </c>
      <c r="K231" s="1" t="s">
        <v>12</v>
      </c>
      <c r="L231" s="1"/>
      <c r="M231" s="1"/>
      <c r="N231" s="1"/>
      <c r="O231" s="1"/>
      <c r="P231" s="1"/>
      <c r="Q231" s="40"/>
      <c r="R231" s="1"/>
      <c r="S231" s="1"/>
      <c r="T231" s="1"/>
      <c r="U231" s="1"/>
      <c r="V231" s="1"/>
      <c r="W231" s="1"/>
      <c r="X231" s="1"/>
      <c r="Y231" s="1"/>
      <c r="Z231" s="1"/>
      <c r="AA231" s="1"/>
      <c r="AB231" s="1"/>
      <c r="AC231" s="1"/>
      <c r="AD231" s="1"/>
      <c r="AE231" s="1"/>
      <c r="AF231" s="1"/>
      <c r="AG231" s="1"/>
      <c r="AH231" s="1">
        <v>0</v>
      </c>
      <c r="AI231" s="1">
        <v>0</v>
      </c>
      <c r="AJ231" s="1"/>
      <c r="AK231" s="1"/>
      <c r="AL231" s="17"/>
      <c r="AM231" s="18"/>
      <c r="AN231" s="10"/>
    </row>
    <row r="232" spans="2:40" x14ac:dyDescent="0.25">
      <c r="B232" s="1">
        <f t="shared" si="3"/>
        <v>222</v>
      </c>
      <c r="C232" s="1">
        <v>1</v>
      </c>
      <c r="D232" s="1" t="s">
        <v>386</v>
      </c>
      <c r="E232" s="1" t="s">
        <v>294</v>
      </c>
      <c r="F232" s="1" t="s">
        <v>57</v>
      </c>
      <c r="G232" s="1" t="s">
        <v>250</v>
      </c>
      <c r="H232" s="1" t="s">
        <v>339</v>
      </c>
      <c r="I232" s="1" t="s">
        <v>87</v>
      </c>
      <c r="J232" s="1" t="s">
        <v>55</v>
      </c>
      <c r="K232" s="1" t="s">
        <v>12</v>
      </c>
      <c r="L232" s="1">
        <v>0</v>
      </c>
      <c r="M232" s="1">
        <v>0</v>
      </c>
      <c r="N232" s="1">
        <v>3</v>
      </c>
      <c r="O232" s="1">
        <v>0</v>
      </c>
      <c r="P232" s="1">
        <v>0</v>
      </c>
      <c r="Q232" s="1">
        <v>4</v>
      </c>
      <c r="R232" s="1">
        <v>4</v>
      </c>
      <c r="S232" s="1">
        <v>0</v>
      </c>
      <c r="T232" s="1">
        <v>0</v>
      </c>
      <c r="U232" s="1">
        <v>0</v>
      </c>
      <c r="V232" s="1">
        <v>0</v>
      </c>
      <c r="W232" s="1">
        <v>0</v>
      </c>
      <c r="X232" s="1">
        <v>0</v>
      </c>
      <c r="Y232" s="1">
        <v>0</v>
      </c>
      <c r="Z232" s="1">
        <v>0</v>
      </c>
      <c r="AA232" s="1">
        <v>0</v>
      </c>
      <c r="AB232" s="1">
        <v>0</v>
      </c>
      <c r="AC232" s="1"/>
      <c r="AD232" s="1"/>
      <c r="AE232" s="1"/>
      <c r="AF232" s="1"/>
      <c r="AG232" s="1">
        <v>0</v>
      </c>
      <c r="AH232" s="1">
        <v>0</v>
      </c>
      <c r="AI232" s="1">
        <v>0</v>
      </c>
      <c r="AJ232" s="1" t="s">
        <v>32</v>
      </c>
      <c r="AK232" s="1" t="s">
        <v>32</v>
      </c>
      <c r="AL232" s="17"/>
      <c r="AM232" s="18"/>
      <c r="AN232" s="10" t="s">
        <v>80</v>
      </c>
    </row>
    <row r="233" spans="2:40" x14ac:dyDescent="0.25">
      <c r="B233" s="1">
        <f t="shared" si="3"/>
        <v>223</v>
      </c>
      <c r="C233" s="1">
        <v>1</v>
      </c>
      <c r="D233" s="1" t="s">
        <v>386</v>
      </c>
      <c r="E233" s="1" t="s">
        <v>294</v>
      </c>
      <c r="F233" s="1" t="s">
        <v>57</v>
      </c>
      <c r="G233" s="1" t="s">
        <v>250</v>
      </c>
      <c r="H233" s="1" t="s">
        <v>482</v>
      </c>
      <c r="I233" s="1" t="s">
        <v>87</v>
      </c>
      <c r="J233" s="1" t="s">
        <v>55</v>
      </c>
      <c r="K233" s="1" t="s">
        <v>453</v>
      </c>
      <c r="L233" s="1">
        <v>0</v>
      </c>
      <c r="M233" s="1">
        <v>0</v>
      </c>
      <c r="N233" s="1">
        <v>3</v>
      </c>
      <c r="O233" s="1">
        <v>0</v>
      </c>
      <c r="P233" s="1">
        <v>0</v>
      </c>
      <c r="Q233" s="1">
        <v>4</v>
      </c>
      <c r="R233" s="1">
        <v>0</v>
      </c>
      <c r="S233" s="1">
        <v>0</v>
      </c>
      <c r="T233" s="1">
        <v>0</v>
      </c>
      <c r="U233" s="1">
        <v>0</v>
      </c>
      <c r="V233" s="1">
        <v>0</v>
      </c>
      <c r="W233" s="1">
        <v>0</v>
      </c>
      <c r="X233" s="1">
        <v>0</v>
      </c>
      <c r="Y233" s="1">
        <v>0</v>
      </c>
      <c r="Z233" s="1">
        <v>0</v>
      </c>
      <c r="AA233" s="1">
        <v>0</v>
      </c>
      <c r="AB233" s="1">
        <v>4</v>
      </c>
      <c r="AC233" s="1"/>
      <c r="AD233" s="1"/>
      <c r="AE233" s="1"/>
      <c r="AF233" s="1"/>
      <c r="AG233" s="1">
        <v>0</v>
      </c>
      <c r="AH233" s="1">
        <v>0</v>
      </c>
      <c r="AI233" s="1">
        <v>0</v>
      </c>
      <c r="AJ233" s="1" t="s">
        <v>32</v>
      </c>
      <c r="AK233" s="1" t="s">
        <v>32</v>
      </c>
      <c r="AL233" s="17"/>
      <c r="AM233" s="18"/>
      <c r="AN233" s="10"/>
    </row>
    <row r="234" spans="2:40" x14ac:dyDescent="0.25">
      <c r="B234" s="1">
        <f t="shared" si="3"/>
        <v>224</v>
      </c>
      <c r="C234" s="1">
        <v>0</v>
      </c>
      <c r="D234" s="1" t="s">
        <v>220</v>
      </c>
      <c r="E234" s="1" t="s">
        <v>52</v>
      </c>
      <c r="F234" s="1" t="s">
        <v>321</v>
      </c>
      <c r="G234" s="1" t="s">
        <v>321</v>
      </c>
      <c r="H234" s="1" t="s">
        <v>342</v>
      </c>
      <c r="I234" s="1" t="s">
        <v>87</v>
      </c>
      <c r="J234" s="1" t="s">
        <v>491</v>
      </c>
      <c r="K234" s="1" t="s">
        <v>11</v>
      </c>
      <c r="L234" s="1">
        <v>0</v>
      </c>
      <c r="M234" s="1">
        <v>4</v>
      </c>
      <c r="N234" s="1">
        <v>0</v>
      </c>
      <c r="O234" s="1">
        <v>0</v>
      </c>
      <c r="P234" s="1">
        <v>0</v>
      </c>
      <c r="Q234" s="1">
        <v>0</v>
      </c>
      <c r="R234" s="1">
        <v>0</v>
      </c>
      <c r="S234" s="1">
        <v>0</v>
      </c>
      <c r="T234" s="1">
        <v>4</v>
      </c>
      <c r="U234" s="1">
        <v>0</v>
      </c>
      <c r="V234" s="1">
        <v>0</v>
      </c>
      <c r="W234" s="1">
        <v>0</v>
      </c>
      <c r="X234" s="1">
        <v>0</v>
      </c>
      <c r="Y234" s="1">
        <v>0</v>
      </c>
      <c r="Z234" s="1">
        <v>0</v>
      </c>
      <c r="AA234" s="1">
        <v>4</v>
      </c>
      <c r="AB234" s="1"/>
      <c r="AC234" s="1"/>
      <c r="AD234" s="1">
        <v>4</v>
      </c>
      <c r="AE234" s="1"/>
      <c r="AF234" s="1"/>
      <c r="AG234" s="1">
        <v>0</v>
      </c>
      <c r="AH234" s="1">
        <v>0</v>
      </c>
      <c r="AI234" s="1"/>
      <c r="AJ234" s="1" t="s">
        <v>32</v>
      </c>
      <c r="AK234" s="1" t="s">
        <v>32</v>
      </c>
      <c r="AL234" s="17"/>
      <c r="AM234" s="18"/>
      <c r="AN234" s="10" t="s">
        <v>343</v>
      </c>
    </row>
    <row r="235" spans="2:40" x14ac:dyDescent="0.25">
      <c r="B235" s="1">
        <f t="shared" si="3"/>
        <v>225</v>
      </c>
      <c r="C235" s="1">
        <v>0</v>
      </c>
      <c r="D235" s="1" t="s">
        <v>185</v>
      </c>
      <c r="E235" s="1" t="s">
        <v>202</v>
      </c>
      <c r="F235" s="1" t="s">
        <v>345</v>
      </c>
      <c r="G235" s="1" t="s">
        <v>345</v>
      </c>
      <c r="H235" s="1" t="s">
        <v>344</v>
      </c>
      <c r="I235" s="1" t="s">
        <v>87</v>
      </c>
      <c r="J235" s="1" t="s">
        <v>486</v>
      </c>
      <c r="K235" s="1" t="s">
        <v>502</v>
      </c>
      <c r="L235" s="1">
        <v>0</v>
      </c>
      <c r="M235" s="1">
        <v>4</v>
      </c>
      <c r="N235" s="1">
        <v>0</v>
      </c>
      <c r="O235" s="1">
        <v>0</v>
      </c>
      <c r="P235" s="1">
        <v>0</v>
      </c>
      <c r="Q235" s="1">
        <v>0</v>
      </c>
      <c r="R235" s="1"/>
      <c r="S235" s="1">
        <v>0</v>
      </c>
      <c r="T235" s="1">
        <v>4</v>
      </c>
      <c r="U235" s="1">
        <v>0</v>
      </c>
      <c r="V235" s="1">
        <v>0</v>
      </c>
      <c r="W235" s="1">
        <v>0</v>
      </c>
      <c r="X235" s="1">
        <v>0</v>
      </c>
      <c r="Y235" s="1"/>
      <c r="Z235" s="1"/>
      <c r="AA235" s="1">
        <v>0</v>
      </c>
      <c r="AB235" s="1"/>
      <c r="AC235" s="1"/>
      <c r="AD235" s="1"/>
      <c r="AE235" s="1"/>
      <c r="AF235" s="1"/>
      <c r="AG235" s="1">
        <v>0</v>
      </c>
      <c r="AH235" s="1">
        <v>4</v>
      </c>
      <c r="AI235" s="1">
        <v>3</v>
      </c>
      <c r="AJ235" s="1" t="s">
        <v>32</v>
      </c>
      <c r="AK235" s="1" t="s">
        <v>32</v>
      </c>
      <c r="AL235" s="17"/>
      <c r="AM235" s="18"/>
      <c r="AN235" s="10" t="s">
        <v>348</v>
      </c>
    </row>
    <row r="236" spans="2:40" x14ac:dyDescent="0.25">
      <c r="B236" s="1">
        <f t="shared" si="3"/>
        <v>226</v>
      </c>
      <c r="C236" s="1">
        <v>0</v>
      </c>
      <c r="D236" s="1" t="s">
        <v>185</v>
      </c>
      <c r="E236" s="1" t="s">
        <v>346</v>
      </c>
      <c r="F236" s="1" t="s">
        <v>345</v>
      </c>
      <c r="G236" s="1" t="s">
        <v>345</v>
      </c>
      <c r="H236" s="1" t="s">
        <v>344</v>
      </c>
      <c r="I236" s="1" t="s">
        <v>87</v>
      </c>
      <c r="J236" s="1" t="s">
        <v>486</v>
      </c>
      <c r="K236" s="1" t="s">
        <v>502</v>
      </c>
      <c r="L236" s="1">
        <v>0</v>
      </c>
      <c r="M236" s="1">
        <v>4</v>
      </c>
      <c r="N236" s="1">
        <v>0</v>
      </c>
      <c r="O236" s="1">
        <v>0</v>
      </c>
      <c r="P236" s="1">
        <v>0</v>
      </c>
      <c r="Q236" s="1">
        <v>0</v>
      </c>
      <c r="R236" s="1"/>
      <c r="S236" s="1">
        <v>0</v>
      </c>
      <c r="T236" s="1">
        <v>4</v>
      </c>
      <c r="U236" s="1">
        <v>0</v>
      </c>
      <c r="V236" s="1">
        <v>0</v>
      </c>
      <c r="W236" s="1">
        <v>0</v>
      </c>
      <c r="X236" s="1">
        <v>0</v>
      </c>
      <c r="Y236" s="1"/>
      <c r="Z236" s="1"/>
      <c r="AA236" s="1">
        <v>0</v>
      </c>
      <c r="AB236" s="1"/>
      <c r="AC236" s="1"/>
      <c r="AD236" s="1"/>
      <c r="AE236" s="1"/>
      <c r="AF236" s="1"/>
      <c r="AG236" s="1">
        <v>0</v>
      </c>
      <c r="AH236" s="1">
        <v>4</v>
      </c>
      <c r="AI236" s="1">
        <v>3</v>
      </c>
      <c r="AJ236" s="1" t="s">
        <v>32</v>
      </c>
      <c r="AK236" s="1" t="s">
        <v>32</v>
      </c>
      <c r="AL236" s="17"/>
      <c r="AM236" s="18"/>
      <c r="AN236" s="10" t="s">
        <v>348</v>
      </c>
    </row>
    <row r="237" spans="2:40" x14ac:dyDescent="0.25">
      <c r="B237" s="1">
        <f t="shared" si="3"/>
        <v>227</v>
      </c>
      <c r="C237" s="1">
        <v>0</v>
      </c>
      <c r="D237" s="1" t="s">
        <v>185</v>
      </c>
      <c r="E237" s="1" t="s">
        <v>347</v>
      </c>
      <c r="F237" s="1" t="s">
        <v>345</v>
      </c>
      <c r="G237" s="1" t="s">
        <v>345</v>
      </c>
      <c r="H237" s="1" t="s">
        <v>344</v>
      </c>
      <c r="I237" s="1" t="s">
        <v>87</v>
      </c>
      <c r="J237" s="1" t="s">
        <v>486</v>
      </c>
      <c r="K237" s="1" t="s">
        <v>502</v>
      </c>
      <c r="L237" s="1">
        <v>0</v>
      </c>
      <c r="M237" s="1">
        <v>4</v>
      </c>
      <c r="N237" s="1">
        <v>0</v>
      </c>
      <c r="O237" s="1">
        <v>0</v>
      </c>
      <c r="P237" s="1">
        <v>0</v>
      </c>
      <c r="Q237" s="1">
        <v>0</v>
      </c>
      <c r="R237" s="1"/>
      <c r="S237" s="1">
        <v>0</v>
      </c>
      <c r="T237" s="1">
        <v>4</v>
      </c>
      <c r="U237" s="1">
        <v>0</v>
      </c>
      <c r="V237" s="1">
        <v>0</v>
      </c>
      <c r="W237" s="1">
        <v>0</v>
      </c>
      <c r="X237" s="1">
        <v>0</v>
      </c>
      <c r="Y237" s="1"/>
      <c r="Z237" s="1"/>
      <c r="AA237" s="1">
        <v>0</v>
      </c>
      <c r="AB237" s="1"/>
      <c r="AC237" s="1"/>
      <c r="AD237" s="1"/>
      <c r="AE237" s="1"/>
      <c r="AF237" s="1"/>
      <c r="AG237" s="1">
        <v>0</v>
      </c>
      <c r="AH237" s="1">
        <v>4</v>
      </c>
      <c r="AI237" s="1">
        <v>3</v>
      </c>
      <c r="AJ237" s="1" t="s">
        <v>32</v>
      </c>
      <c r="AK237" s="1" t="s">
        <v>32</v>
      </c>
      <c r="AL237" s="17"/>
      <c r="AM237" s="18"/>
      <c r="AN237" s="10" t="s">
        <v>348</v>
      </c>
    </row>
    <row r="238" spans="2:40" x14ac:dyDescent="0.25">
      <c r="B238" s="1">
        <f t="shared" si="3"/>
        <v>228</v>
      </c>
      <c r="C238" s="1">
        <v>0</v>
      </c>
      <c r="D238" s="1" t="s">
        <v>185</v>
      </c>
      <c r="E238" s="1" t="s">
        <v>517</v>
      </c>
      <c r="F238" s="1" t="s">
        <v>345</v>
      </c>
      <c r="G238" s="1" t="s">
        <v>345</v>
      </c>
      <c r="H238" s="1" t="s">
        <v>344</v>
      </c>
      <c r="I238" s="1" t="s">
        <v>87</v>
      </c>
      <c r="J238" s="1" t="s">
        <v>486</v>
      </c>
      <c r="K238" s="1" t="s">
        <v>502</v>
      </c>
      <c r="L238" s="1">
        <v>0</v>
      </c>
      <c r="M238" s="1">
        <v>4</v>
      </c>
      <c r="N238" s="1">
        <v>0</v>
      </c>
      <c r="O238" s="1">
        <v>0</v>
      </c>
      <c r="P238" s="1">
        <v>0</v>
      </c>
      <c r="Q238" s="1">
        <v>0</v>
      </c>
      <c r="R238" s="1"/>
      <c r="S238" s="1">
        <v>0</v>
      </c>
      <c r="T238" s="1">
        <v>4</v>
      </c>
      <c r="U238" s="1">
        <v>0</v>
      </c>
      <c r="V238" s="1">
        <v>0</v>
      </c>
      <c r="W238" s="1">
        <v>0</v>
      </c>
      <c r="X238" s="1">
        <v>0</v>
      </c>
      <c r="Y238" s="1"/>
      <c r="Z238" s="1"/>
      <c r="AA238" s="1">
        <v>0</v>
      </c>
      <c r="AB238" s="1"/>
      <c r="AC238" s="1"/>
      <c r="AD238" s="1"/>
      <c r="AE238" s="1"/>
      <c r="AF238" s="1"/>
      <c r="AG238" s="1">
        <v>0</v>
      </c>
      <c r="AH238" s="1">
        <v>4</v>
      </c>
      <c r="AI238" s="1">
        <v>3</v>
      </c>
      <c r="AJ238" s="1" t="s">
        <v>32</v>
      </c>
      <c r="AK238" s="1" t="s">
        <v>32</v>
      </c>
      <c r="AL238" s="17"/>
      <c r="AM238" s="18"/>
      <c r="AN238" s="10" t="s">
        <v>348</v>
      </c>
    </row>
    <row r="239" spans="2:40" x14ac:dyDescent="0.25">
      <c r="B239" s="1">
        <f t="shared" si="3"/>
        <v>229</v>
      </c>
      <c r="C239" s="1">
        <v>0</v>
      </c>
      <c r="D239" s="1" t="s">
        <v>185</v>
      </c>
      <c r="E239" s="1" t="s">
        <v>196</v>
      </c>
      <c r="F239" s="1" t="s">
        <v>345</v>
      </c>
      <c r="G239" s="1" t="s">
        <v>345</v>
      </c>
      <c r="H239" s="1" t="s">
        <v>344</v>
      </c>
      <c r="I239" s="1" t="s">
        <v>87</v>
      </c>
      <c r="J239" s="1" t="s">
        <v>502</v>
      </c>
      <c r="K239" s="1" t="s">
        <v>486</v>
      </c>
      <c r="L239" s="1">
        <v>0</v>
      </c>
      <c r="M239" s="1">
        <v>4</v>
      </c>
      <c r="N239" s="1">
        <v>0</v>
      </c>
      <c r="O239" s="1">
        <v>0</v>
      </c>
      <c r="P239" s="1">
        <v>0</v>
      </c>
      <c r="Q239" s="1">
        <v>0</v>
      </c>
      <c r="R239" s="1"/>
      <c r="S239" s="1">
        <v>0</v>
      </c>
      <c r="T239" s="1">
        <v>4</v>
      </c>
      <c r="U239" s="1">
        <v>0</v>
      </c>
      <c r="V239" s="1">
        <v>0</v>
      </c>
      <c r="W239" s="1">
        <v>0</v>
      </c>
      <c r="X239" s="1">
        <v>0</v>
      </c>
      <c r="Y239" s="1"/>
      <c r="Z239" s="1"/>
      <c r="AA239" s="1">
        <v>0</v>
      </c>
      <c r="AB239" s="1"/>
      <c r="AC239" s="1"/>
      <c r="AD239" s="1"/>
      <c r="AE239" s="1"/>
      <c r="AF239" s="1"/>
      <c r="AG239" s="1">
        <v>0</v>
      </c>
      <c r="AH239" s="1">
        <v>4</v>
      </c>
      <c r="AI239" s="1">
        <v>4</v>
      </c>
      <c r="AJ239" s="1" t="s">
        <v>32</v>
      </c>
      <c r="AK239" s="1" t="s">
        <v>32</v>
      </c>
      <c r="AL239" s="17"/>
      <c r="AM239" s="18"/>
      <c r="AN239" s="10" t="s">
        <v>348</v>
      </c>
    </row>
    <row r="240" spans="2:40" x14ac:dyDescent="0.25">
      <c r="B240" s="1">
        <f t="shared" si="3"/>
        <v>230</v>
      </c>
      <c r="C240" s="1">
        <v>0</v>
      </c>
      <c r="D240" s="1" t="s">
        <v>185</v>
      </c>
      <c r="E240" s="1" t="s">
        <v>518</v>
      </c>
      <c r="F240" s="1" t="s">
        <v>345</v>
      </c>
      <c r="G240" s="1" t="s">
        <v>345</v>
      </c>
      <c r="H240" s="1" t="s">
        <v>344</v>
      </c>
      <c r="I240" s="1" t="s">
        <v>87</v>
      </c>
      <c r="J240" s="1" t="s">
        <v>486</v>
      </c>
      <c r="K240" s="1" t="s">
        <v>502</v>
      </c>
      <c r="L240" s="1">
        <v>0</v>
      </c>
      <c r="M240" s="1">
        <v>4</v>
      </c>
      <c r="N240" s="1">
        <v>0</v>
      </c>
      <c r="O240" s="1">
        <v>0</v>
      </c>
      <c r="P240" s="1">
        <v>0</v>
      </c>
      <c r="Q240" s="1">
        <v>0</v>
      </c>
      <c r="R240" s="1"/>
      <c r="S240" s="1">
        <v>0</v>
      </c>
      <c r="T240" s="1">
        <v>4</v>
      </c>
      <c r="U240" s="1">
        <v>0</v>
      </c>
      <c r="V240" s="1">
        <v>0</v>
      </c>
      <c r="W240" s="1">
        <v>0</v>
      </c>
      <c r="X240" s="1">
        <v>0</v>
      </c>
      <c r="Y240" s="1"/>
      <c r="Z240" s="1"/>
      <c r="AA240" s="1">
        <v>0</v>
      </c>
      <c r="AB240" s="1"/>
      <c r="AC240" s="1"/>
      <c r="AD240" s="1"/>
      <c r="AE240" s="1"/>
      <c r="AF240" s="1"/>
      <c r="AG240" s="1">
        <v>0</v>
      </c>
      <c r="AH240" s="1">
        <v>4</v>
      </c>
      <c r="AI240" s="1">
        <v>3</v>
      </c>
      <c r="AJ240" s="1" t="s">
        <v>32</v>
      </c>
      <c r="AK240" s="1" t="s">
        <v>32</v>
      </c>
      <c r="AL240" s="17"/>
      <c r="AM240" s="18"/>
      <c r="AN240" s="10" t="s">
        <v>348</v>
      </c>
    </row>
    <row r="241" spans="2:40" x14ac:dyDescent="0.25">
      <c r="B241" s="1">
        <f t="shared" si="3"/>
        <v>231</v>
      </c>
      <c r="C241" s="1">
        <v>0</v>
      </c>
      <c r="D241" s="1" t="s">
        <v>185</v>
      </c>
      <c r="E241" s="1" t="s">
        <v>519</v>
      </c>
      <c r="F241" s="1" t="s">
        <v>345</v>
      </c>
      <c r="G241" s="1" t="s">
        <v>345</v>
      </c>
      <c r="H241" s="1" t="s">
        <v>344</v>
      </c>
      <c r="I241" s="1" t="s">
        <v>87</v>
      </c>
      <c r="J241" s="1" t="s">
        <v>486</v>
      </c>
      <c r="K241" s="1" t="s">
        <v>502</v>
      </c>
      <c r="L241" s="1">
        <v>0</v>
      </c>
      <c r="M241" s="1">
        <v>4</v>
      </c>
      <c r="N241" s="1">
        <v>0</v>
      </c>
      <c r="O241" s="1">
        <v>0</v>
      </c>
      <c r="P241" s="1">
        <v>0</v>
      </c>
      <c r="Q241" s="1">
        <v>0</v>
      </c>
      <c r="R241" s="1"/>
      <c r="S241" s="1">
        <v>0</v>
      </c>
      <c r="T241" s="1">
        <v>4</v>
      </c>
      <c r="U241" s="1">
        <v>0</v>
      </c>
      <c r="V241" s="1">
        <v>0</v>
      </c>
      <c r="W241" s="1">
        <v>0</v>
      </c>
      <c r="X241" s="1">
        <v>0</v>
      </c>
      <c r="Y241" s="1"/>
      <c r="Z241" s="1"/>
      <c r="AA241" s="1">
        <v>0</v>
      </c>
      <c r="AB241" s="1"/>
      <c r="AC241" s="1"/>
      <c r="AD241" s="1"/>
      <c r="AE241" s="1"/>
      <c r="AF241" s="1"/>
      <c r="AG241" s="1">
        <v>0</v>
      </c>
      <c r="AH241" s="1">
        <v>4</v>
      </c>
      <c r="AI241" s="1">
        <v>3</v>
      </c>
      <c r="AJ241" s="1" t="s">
        <v>32</v>
      </c>
      <c r="AK241" s="1" t="s">
        <v>32</v>
      </c>
      <c r="AL241" s="17"/>
      <c r="AM241" s="18"/>
      <c r="AN241" s="10" t="s">
        <v>348</v>
      </c>
    </row>
    <row r="242" spans="2:40" x14ac:dyDescent="0.25">
      <c r="B242" s="1">
        <f t="shared" si="3"/>
        <v>232</v>
      </c>
      <c r="C242" s="1">
        <v>0</v>
      </c>
      <c r="D242" s="1" t="s">
        <v>185</v>
      </c>
      <c r="E242" s="1" t="s">
        <v>520</v>
      </c>
      <c r="F242" s="1" t="s">
        <v>345</v>
      </c>
      <c r="G242" s="1" t="s">
        <v>345</v>
      </c>
      <c r="H242" s="1" t="s">
        <v>344</v>
      </c>
      <c r="I242" s="1" t="s">
        <v>87</v>
      </c>
      <c r="J242" s="1" t="s">
        <v>486</v>
      </c>
      <c r="K242" s="1" t="s">
        <v>502</v>
      </c>
      <c r="L242" s="1">
        <v>0</v>
      </c>
      <c r="M242" s="1">
        <v>4</v>
      </c>
      <c r="N242" s="1">
        <v>0</v>
      </c>
      <c r="O242" s="1">
        <v>0</v>
      </c>
      <c r="P242" s="1">
        <v>0</v>
      </c>
      <c r="Q242" s="1">
        <v>0</v>
      </c>
      <c r="R242" s="1"/>
      <c r="S242" s="1">
        <v>0</v>
      </c>
      <c r="T242" s="1">
        <v>4</v>
      </c>
      <c r="U242" s="1">
        <v>0</v>
      </c>
      <c r="V242" s="1">
        <v>0</v>
      </c>
      <c r="W242" s="1">
        <v>0</v>
      </c>
      <c r="X242" s="1">
        <v>0</v>
      </c>
      <c r="Y242" s="1"/>
      <c r="Z242" s="1"/>
      <c r="AA242" s="1">
        <v>0</v>
      </c>
      <c r="AB242" s="1"/>
      <c r="AC242" s="1"/>
      <c r="AD242" s="1"/>
      <c r="AE242" s="1"/>
      <c r="AF242" s="1"/>
      <c r="AG242" s="1">
        <v>0</v>
      </c>
      <c r="AH242" s="1">
        <v>4</v>
      </c>
      <c r="AI242" s="1">
        <v>3</v>
      </c>
      <c r="AJ242" s="1" t="s">
        <v>32</v>
      </c>
      <c r="AK242" s="1" t="s">
        <v>32</v>
      </c>
      <c r="AL242" s="17"/>
      <c r="AM242" s="18"/>
      <c r="AN242" s="10" t="s">
        <v>348</v>
      </c>
    </row>
    <row r="243" spans="2:40" x14ac:dyDescent="0.25">
      <c r="B243" s="1">
        <f t="shared" si="3"/>
        <v>233</v>
      </c>
      <c r="C243" s="1">
        <v>1</v>
      </c>
      <c r="D243" s="1" t="s">
        <v>212</v>
      </c>
      <c r="E243" s="1" t="s">
        <v>101</v>
      </c>
      <c r="F243" s="1" t="s">
        <v>118</v>
      </c>
      <c r="G243" s="1" t="s">
        <v>118</v>
      </c>
      <c r="H243" s="1" t="s">
        <v>352</v>
      </c>
      <c r="I243" s="1" t="s">
        <v>85</v>
      </c>
      <c r="J243" s="1" t="s">
        <v>170</v>
      </c>
      <c r="K243" s="1" t="s">
        <v>452</v>
      </c>
      <c r="L243" s="1">
        <v>0</v>
      </c>
      <c r="M243" s="1">
        <v>0</v>
      </c>
      <c r="N243" s="1">
        <v>0</v>
      </c>
      <c r="O243" s="1">
        <v>0</v>
      </c>
      <c r="P243" s="1">
        <v>0</v>
      </c>
      <c r="Q243" s="1">
        <v>0</v>
      </c>
      <c r="R243" s="1">
        <v>0</v>
      </c>
      <c r="S243" s="1">
        <v>4</v>
      </c>
      <c r="T243" s="1">
        <v>0</v>
      </c>
      <c r="U243" s="1">
        <v>0</v>
      </c>
      <c r="V243" s="1">
        <v>0</v>
      </c>
      <c r="W243" s="1">
        <v>4</v>
      </c>
      <c r="X243" s="1">
        <v>0</v>
      </c>
      <c r="Y243" s="1">
        <v>0</v>
      </c>
      <c r="Z243" s="1">
        <v>0</v>
      </c>
      <c r="AA243" s="1">
        <v>0</v>
      </c>
      <c r="AB243" s="1"/>
      <c r="AC243" s="1"/>
      <c r="AD243" s="1"/>
      <c r="AE243" s="1"/>
      <c r="AF243" s="1">
        <v>4</v>
      </c>
      <c r="AG243" s="1">
        <v>1</v>
      </c>
      <c r="AH243" s="1">
        <v>0</v>
      </c>
      <c r="AI243" s="1">
        <v>0</v>
      </c>
      <c r="AJ243" s="1" t="s">
        <v>21</v>
      </c>
      <c r="AK243" s="1" t="s">
        <v>21</v>
      </c>
      <c r="AL243" s="17"/>
      <c r="AM243" s="18"/>
      <c r="AN243" s="10"/>
    </row>
    <row r="244" spans="2:40" x14ac:dyDescent="0.25">
      <c r="B244" s="1">
        <f t="shared" si="3"/>
        <v>234</v>
      </c>
      <c r="C244" s="1">
        <v>1</v>
      </c>
      <c r="D244" s="1" t="s">
        <v>212</v>
      </c>
      <c r="E244" s="1" t="s">
        <v>101</v>
      </c>
      <c r="F244" s="1" t="s">
        <v>118</v>
      </c>
      <c r="G244" s="1" t="s">
        <v>118</v>
      </c>
      <c r="H244" s="1" t="s">
        <v>353</v>
      </c>
      <c r="I244" s="1" t="s">
        <v>85</v>
      </c>
      <c r="J244" s="1" t="s">
        <v>170</v>
      </c>
      <c r="K244" s="1" t="s">
        <v>452</v>
      </c>
      <c r="L244" s="1">
        <v>0</v>
      </c>
      <c r="M244" s="1">
        <v>0</v>
      </c>
      <c r="N244" s="1">
        <v>0</v>
      </c>
      <c r="O244" s="1">
        <v>0</v>
      </c>
      <c r="P244" s="1">
        <v>0</v>
      </c>
      <c r="Q244" s="1">
        <v>0</v>
      </c>
      <c r="R244" s="1">
        <v>0</v>
      </c>
      <c r="S244" s="1">
        <v>4</v>
      </c>
      <c r="T244" s="1">
        <v>0</v>
      </c>
      <c r="U244" s="1">
        <v>0</v>
      </c>
      <c r="V244" s="1">
        <v>0</v>
      </c>
      <c r="W244" s="1">
        <v>4</v>
      </c>
      <c r="X244" s="1">
        <v>0</v>
      </c>
      <c r="Y244" s="1">
        <v>0</v>
      </c>
      <c r="Z244" s="1">
        <v>0</v>
      </c>
      <c r="AA244" s="1">
        <v>0</v>
      </c>
      <c r="AB244" s="1"/>
      <c r="AC244" s="1"/>
      <c r="AD244" s="1"/>
      <c r="AE244" s="1"/>
      <c r="AF244" s="1">
        <v>4</v>
      </c>
      <c r="AG244" s="1">
        <v>1</v>
      </c>
      <c r="AH244" s="1">
        <v>0</v>
      </c>
      <c r="AI244" s="1">
        <v>0</v>
      </c>
      <c r="AJ244" s="1" t="s">
        <v>21</v>
      </c>
      <c r="AK244" s="1" t="s">
        <v>21</v>
      </c>
      <c r="AL244" s="17"/>
      <c r="AM244" s="18"/>
      <c r="AN244" s="10"/>
    </row>
    <row r="245" spans="2:40" x14ac:dyDescent="0.25">
      <c r="B245" s="1">
        <f t="shared" si="3"/>
        <v>235</v>
      </c>
      <c r="C245" s="1">
        <v>1</v>
      </c>
      <c r="D245" s="1" t="s">
        <v>212</v>
      </c>
      <c r="E245" s="1" t="s">
        <v>101</v>
      </c>
      <c r="F245" s="1" t="s">
        <v>282</v>
      </c>
      <c r="G245" s="1" t="s">
        <v>282</v>
      </c>
      <c r="H245" s="1" t="s">
        <v>357</v>
      </c>
      <c r="I245" s="1" t="s">
        <v>85</v>
      </c>
      <c r="J245" s="1" t="s">
        <v>170</v>
      </c>
      <c r="K245" s="1" t="s">
        <v>452</v>
      </c>
      <c r="L245" s="1">
        <v>0</v>
      </c>
      <c r="M245" s="1">
        <v>0</v>
      </c>
      <c r="N245" s="1">
        <v>0</v>
      </c>
      <c r="O245" s="1">
        <v>0</v>
      </c>
      <c r="P245" s="1">
        <v>0</v>
      </c>
      <c r="Q245" s="1">
        <v>0</v>
      </c>
      <c r="R245" s="1">
        <v>0</v>
      </c>
      <c r="S245" s="1">
        <v>4</v>
      </c>
      <c r="T245" s="1">
        <v>0</v>
      </c>
      <c r="U245" s="1">
        <v>0</v>
      </c>
      <c r="V245" s="1">
        <v>0</v>
      </c>
      <c r="W245" s="1">
        <v>4</v>
      </c>
      <c r="X245" s="1">
        <v>0</v>
      </c>
      <c r="Y245" s="1">
        <v>0</v>
      </c>
      <c r="Z245" s="1">
        <v>0</v>
      </c>
      <c r="AA245" s="1">
        <v>0</v>
      </c>
      <c r="AB245" s="1"/>
      <c r="AC245" s="1"/>
      <c r="AD245" s="1"/>
      <c r="AE245" s="1"/>
      <c r="AF245" s="1">
        <v>4</v>
      </c>
      <c r="AG245" s="1">
        <v>3</v>
      </c>
      <c r="AH245" s="1">
        <v>0</v>
      </c>
      <c r="AI245" s="1">
        <v>0</v>
      </c>
      <c r="AJ245" s="1" t="s">
        <v>21</v>
      </c>
      <c r="AK245" s="1" t="s">
        <v>21</v>
      </c>
      <c r="AL245" s="17"/>
      <c r="AM245" s="18"/>
      <c r="AN245" s="10"/>
    </row>
    <row r="246" spans="2:40" ht="15.75" thickBot="1" x14ac:dyDescent="0.3">
      <c r="B246" s="1">
        <f t="shared" si="3"/>
        <v>236</v>
      </c>
      <c r="C246" s="1">
        <v>1</v>
      </c>
      <c r="D246" s="1" t="s">
        <v>212</v>
      </c>
      <c r="E246" s="1" t="s">
        <v>101</v>
      </c>
      <c r="F246" s="1" t="s">
        <v>282</v>
      </c>
      <c r="G246" s="1" t="s">
        <v>282</v>
      </c>
      <c r="H246" s="1" t="s">
        <v>361</v>
      </c>
      <c r="I246" s="1" t="s">
        <v>85</v>
      </c>
      <c r="J246" s="1" t="s">
        <v>170</v>
      </c>
      <c r="K246" s="1" t="s">
        <v>452</v>
      </c>
      <c r="L246" s="1">
        <v>0</v>
      </c>
      <c r="M246" s="1">
        <v>0</v>
      </c>
      <c r="N246" s="1">
        <v>0</v>
      </c>
      <c r="O246" s="1">
        <v>0</v>
      </c>
      <c r="P246" s="1">
        <v>0</v>
      </c>
      <c r="Q246" s="1">
        <v>0</v>
      </c>
      <c r="R246" s="1">
        <v>0</v>
      </c>
      <c r="S246" s="1">
        <v>4</v>
      </c>
      <c r="T246" s="1">
        <v>0</v>
      </c>
      <c r="U246" s="1">
        <v>0</v>
      </c>
      <c r="V246" s="1">
        <v>0</v>
      </c>
      <c r="W246" s="1">
        <v>4</v>
      </c>
      <c r="X246" s="1">
        <v>0</v>
      </c>
      <c r="Y246" s="1">
        <v>0</v>
      </c>
      <c r="Z246" s="1">
        <v>0</v>
      </c>
      <c r="AA246" s="1">
        <v>0</v>
      </c>
      <c r="AB246" s="1"/>
      <c r="AC246" s="1"/>
      <c r="AD246" s="1"/>
      <c r="AE246" s="1"/>
      <c r="AF246" s="1">
        <v>3</v>
      </c>
      <c r="AG246" s="1">
        <v>2</v>
      </c>
      <c r="AH246" s="1">
        <v>0</v>
      </c>
      <c r="AI246" s="1">
        <v>0</v>
      </c>
      <c r="AJ246" s="1" t="s">
        <v>32</v>
      </c>
      <c r="AK246" s="1" t="s">
        <v>32</v>
      </c>
      <c r="AL246" s="17"/>
      <c r="AM246" s="18"/>
      <c r="AN246" s="10"/>
    </row>
    <row r="247" spans="2:40" ht="15.75" thickBot="1" x14ac:dyDescent="0.3">
      <c r="B247" s="1">
        <f t="shared" si="3"/>
        <v>237</v>
      </c>
      <c r="C247" s="1">
        <v>1</v>
      </c>
      <c r="D247" s="1" t="s">
        <v>383</v>
      </c>
      <c r="E247" s="10" t="s">
        <v>382</v>
      </c>
      <c r="F247" s="1" t="s">
        <v>113</v>
      </c>
      <c r="G247" s="1"/>
      <c r="H247" s="1" t="s">
        <v>374</v>
      </c>
      <c r="I247" s="1" t="s">
        <v>85</v>
      </c>
      <c r="J247" s="1" t="s">
        <v>165</v>
      </c>
      <c r="K247" s="1" t="s">
        <v>417</v>
      </c>
      <c r="L247" s="35">
        <v>0</v>
      </c>
      <c r="M247" s="35">
        <v>0</v>
      </c>
      <c r="N247" s="35">
        <v>0</v>
      </c>
      <c r="O247" s="8">
        <v>3</v>
      </c>
      <c r="P247" s="35">
        <v>0</v>
      </c>
      <c r="Q247" s="35">
        <v>0</v>
      </c>
      <c r="R247" s="35">
        <v>0</v>
      </c>
      <c r="S247" s="35">
        <v>0</v>
      </c>
      <c r="T247" s="35">
        <v>0</v>
      </c>
      <c r="U247" s="35">
        <v>0</v>
      </c>
      <c r="V247" s="36">
        <v>4</v>
      </c>
      <c r="W247" s="35">
        <v>0</v>
      </c>
      <c r="X247" s="35">
        <v>0</v>
      </c>
      <c r="Y247" s="35">
        <v>0</v>
      </c>
      <c r="Z247" s="35">
        <v>0</v>
      </c>
      <c r="AA247" s="1">
        <v>0</v>
      </c>
      <c r="AB247" s="1"/>
      <c r="AC247" s="1"/>
      <c r="AD247" s="1">
        <v>3</v>
      </c>
      <c r="AE247" s="1"/>
      <c r="AF247" s="1">
        <v>0</v>
      </c>
      <c r="AG247" s="1">
        <v>0</v>
      </c>
      <c r="AH247" s="1">
        <v>0</v>
      </c>
      <c r="AI247" s="1">
        <v>0</v>
      </c>
      <c r="AJ247" s="36" t="s">
        <v>21</v>
      </c>
      <c r="AK247" s="36" t="s">
        <v>21</v>
      </c>
      <c r="AL247" s="17"/>
      <c r="AM247" s="18"/>
      <c r="AN247" s="10"/>
    </row>
    <row r="248" spans="2:40" ht="15.75" thickBot="1" x14ac:dyDescent="0.3">
      <c r="B248" s="1">
        <f t="shared" si="3"/>
        <v>238</v>
      </c>
      <c r="C248" s="1">
        <v>1</v>
      </c>
      <c r="D248" s="1" t="s">
        <v>383</v>
      </c>
      <c r="E248" s="10" t="s">
        <v>382</v>
      </c>
      <c r="F248" s="1" t="s">
        <v>113</v>
      </c>
      <c r="G248" s="1"/>
      <c r="H248" s="1" t="s">
        <v>375</v>
      </c>
      <c r="I248" s="1" t="s">
        <v>87</v>
      </c>
      <c r="J248" s="1" t="s">
        <v>165</v>
      </c>
      <c r="K248" s="1" t="s">
        <v>417</v>
      </c>
      <c r="L248" s="35">
        <v>0</v>
      </c>
      <c r="M248" s="35">
        <v>0</v>
      </c>
      <c r="N248" s="35">
        <v>0</v>
      </c>
      <c r="O248" s="8">
        <v>3</v>
      </c>
      <c r="P248" s="35">
        <v>0</v>
      </c>
      <c r="Q248" s="35">
        <v>0</v>
      </c>
      <c r="R248" s="35">
        <v>0</v>
      </c>
      <c r="S248" s="35">
        <v>0</v>
      </c>
      <c r="T248" s="35">
        <v>0</v>
      </c>
      <c r="U248" s="35">
        <v>0</v>
      </c>
      <c r="V248" s="36">
        <v>4</v>
      </c>
      <c r="W248" s="35">
        <v>0</v>
      </c>
      <c r="X248" s="35">
        <v>0</v>
      </c>
      <c r="Y248" s="35">
        <v>0</v>
      </c>
      <c r="Z248" s="35">
        <v>0</v>
      </c>
      <c r="AA248" s="1">
        <v>0</v>
      </c>
      <c r="AB248" s="1"/>
      <c r="AC248" s="1"/>
      <c r="AD248" s="1">
        <v>3</v>
      </c>
      <c r="AE248" s="1"/>
      <c r="AF248" s="1">
        <v>3</v>
      </c>
      <c r="AG248" s="1">
        <v>0</v>
      </c>
      <c r="AH248" s="1">
        <v>0</v>
      </c>
      <c r="AI248" s="1">
        <v>0</v>
      </c>
      <c r="AJ248" s="36" t="s">
        <v>21</v>
      </c>
      <c r="AK248" s="36" t="s">
        <v>21</v>
      </c>
      <c r="AL248" s="17"/>
      <c r="AM248" s="18"/>
      <c r="AN248" s="10"/>
    </row>
    <row r="249" spans="2:40" x14ac:dyDescent="0.25">
      <c r="B249" s="1">
        <f t="shared" si="3"/>
        <v>239</v>
      </c>
      <c r="C249" s="1">
        <v>1</v>
      </c>
      <c r="D249" s="1" t="s">
        <v>383</v>
      </c>
      <c r="E249" s="1" t="s">
        <v>381</v>
      </c>
      <c r="F249" s="1" t="s">
        <v>380</v>
      </c>
      <c r="G249" s="1"/>
      <c r="H249" s="1" t="s">
        <v>376</v>
      </c>
      <c r="I249" s="1" t="s">
        <v>85</v>
      </c>
      <c r="J249" s="1" t="s">
        <v>165</v>
      </c>
      <c r="K249" s="1" t="s">
        <v>417</v>
      </c>
      <c r="L249" s="35">
        <v>0</v>
      </c>
      <c r="M249" s="35">
        <v>0</v>
      </c>
      <c r="N249" s="35">
        <v>0</v>
      </c>
      <c r="O249" s="8">
        <v>3</v>
      </c>
      <c r="P249" s="35">
        <v>0</v>
      </c>
      <c r="Q249" s="35">
        <v>0</v>
      </c>
      <c r="R249" s="35">
        <v>0</v>
      </c>
      <c r="S249" s="35">
        <v>0</v>
      </c>
      <c r="T249" s="35">
        <v>0</v>
      </c>
      <c r="U249" s="35">
        <v>0</v>
      </c>
      <c r="V249" s="36">
        <v>4</v>
      </c>
      <c r="W249" s="35">
        <v>0</v>
      </c>
      <c r="X249" s="35">
        <v>0</v>
      </c>
      <c r="Y249" s="35">
        <v>0</v>
      </c>
      <c r="Z249" s="35">
        <v>0</v>
      </c>
      <c r="AA249" s="1">
        <v>0</v>
      </c>
      <c r="AB249" s="1"/>
      <c r="AC249" s="1"/>
      <c r="AD249" s="1">
        <v>3</v>
      </c>
      <c r="AE249" s="1"/>
      <c r="AF249" s="1">
        <v>3</v>
      </c>
      <c r="AG249" s="1">
        <v>0</v>
      </c>
      <c r="AH249" s="1">
        <v>0</v>
      </c>
      <c r="AI249" s="1">
        <v>0</v>
      </c>
      <c r="AJ249" s="36" t="s">
        <v>21</v>
      </c>
      <c r="AK249" s="36" t="s">
        <v>21</v>
      </c>
      <c r="AL249" s="17"/>
      <c r="AM249" s="18"/>
      <c r="AN249" s="10"/>
    </row>
    <row r="250" spans="2:40" ht="15.75" thickBot="1" x14ac:dyDescent="0.3">
      <c r="B250" s="1">
        <f t="shared" si="3"/>
        <v>240</v>
      </c>
      <c r="C250" s="1"/>
      <c r="D250" s="1"/>
      <c r="E250" s="1"/>
      <c r="F250" s="1" t="s">
        <v>419</v>
      </c>
      <c r="G250" s="1"/>
      <c r="H250" s="1" t="s">
        <v>418</v>
      </c>
      <c r="I250" s="1" t="s">
        <v>85</v>
      </c>
      <c r="J250" s="1" t="s">
        <v>165</v>
      </c>
      <c r="K250" s="1" t="s">
        <v>417</v>
      </c>
      <c r="L250" s="35">
        <v>0</v>
      </c>
      <c r="M250" s="35">
        <v>0</v>
      </c>
      <c r="N250" s="35">
        <v>0</v>
      </c>
      <c r="O250" s="35">
        <v>0</v>
      </c>
      <c r="P250" s="35">
        <v>0</v>
      </c>
      <c r="Q250" s="35">
        <v>0</v>
      </c>
      <c r="R250" s="35">
        <v>0</v>
      </c>
      <c r="S250" s="35">
        <v>0</v>
      </c>
      <c r="T250" s="35">
        <v>0</v>
      </c>
      <c r="U250" s="35">
        <v>0</v>
      </c>
      <c r="V250" s="36">
        <v>4</v>
      </c>
      <c r="W250" s="35">
        <v>0</v>
      </c>
      <c r="X250" s="35">
        <v>0</v>
      </c>
      <c r="Y250" s="35">
        <v>0</v>
      </c>
      <c r="Z250" s="35">
        <v>0</v>
      </c>
      <c r="AA250" s="35">
        <v>0</v>
      </c>
      <c r="AB250" s="35"/>
      <c r="AC250" s="35"/>
      <c r="AD250" s="35"/>
      <c r="AE250" s="35"/>
      <c r="AF250" s="35">
        <v>3</v>
      </c>
      <c r="AG250" s="1">
        <v>0</v>
      </c>
      <c r="AH250" s="1">
        <v>0</v>
      </c>
      <c r="AI250" s="1">
        <v>0</v>
      </c>
      <c r="AJ250" s="36" t="s">
        <v>21</v>
      </c>
      <c r="AK250" s="36" t="s">
        <v>21</v>
      </c>
      <c r="AL250" s="17"/>
      <c r="AM250" s="18"/>
      <c r="AN250" s="10"/>
    </row>
    <row r="251" spans="2:40" x14ac:dyDescent="0.25">
      <c r="B251" s="1">
        <f t="shared" si="3"/>
        <v>241</v>
      </c>
      <c r="C251" s="1">
        <v>1</v>
      </c>
      <c r="D251" s="1" t="s">
        <v>383</v>
      </c>
      <c r="E251" s="1" t="s">
        <v>381</v>
      </c>
      <c r="F251" s="1" t="s">
        <v>380</v>
      </c>
      <c r="G251" s="1"/>
      <c r="H251" s="1" t="s">
        <v>192</v>
      </c>
      <c r="I251" s="1" t="s">
        <v>85</v>
      </c>
      <c r="J251" s="1" t="s">
        <v>165</v>
      </c>
      <c r="K251" s="1" t="s">
        <v>417</v>
      </c>
      <c r="L251" s="35">
        <v>0</v>
      </c>
      <c r="M251" s="35">
        <v>0</v>
      </c>
      <c r="N251" s="35">
        <v>0</v>
      </c>
      <c r="O251" s="8">
        <v>3</v>
      </c>
      <c r="P251" s="35">
        <v>0</v>
      </c>
      <c r="Q251" s="35">
        <v>0</v>
      </c>
      <c r="R251" s="35">
        <v>0</v>
      </c>
      <c r="S251" s="35">
        <v>0</v>
      </c>
      <c r="T251" s="35">
        <v>0</v>
      </c>
      <c r="U251" s="35">
        <v>0</v>
      </c>
      <c r="V251" s="36">
        <v>4</v>
      </c>
      <c r="W251" s="35">
        <v>0</v>
      </c>
      <c r="X251" s="35">
        <v>0</v>
      </c>
      <c r="Y251" s="35">
        <v>0</v>
      </c>
      <c r="Z251" s="35">
        <v>0</v>
      </c>
      <c r="AA251" s="1">
        <v>0</v>
      </c>
      <c r="AB251" s="1"/>
      <c r="AC251" s="1"/>
      <c r="AD251" s="1">
        <v>3</v>
      </c>
      <c r="AE251" s="1"/>
      <c r="AF251" s="1">
        <v>3</v>
      </c>
      <c r="AG251" s="1">
        <v>0</v>
      </c>
      <c r="AH251" s="1">
        <v>0</v>
      </c>
      <c r="AI251" s="1">
        <v>0</v>
      </c>
      <c r="AJ251" s="36" t="s">
        <v>21</v>
      </c>
      <c r="AK251" s="36" t="s">
        <v>21</v>
      </c>
      <c r="AL251" s="17"/>
      <c r="AM251" s="18"/>
      <c r="AN251" s="10"/>
    </row>
    <row r="252" spans="2:40" x14ac:dyDescent="0.25">
      <c r="B252" s="1">
        <f t="shared" si="3"/>
        <v>242</v>
      </c>
      <c r="C252" s="1">
        <v>1</v>
      </c>
      <c r="D252" s="1" t="s">
        <v>383</v>
      </c>
      <c r="E252" s="1" t="s">
        <v>381</v>
      </c>
      <c r="F252" s="1" t="s">
        <v>380</v>
      </c>
      <c r="G252" s="1"/>
      <c r="H252" s="1" t="s">
        <v>420</v>
      </c>
      <c r="I252" s="1" t="s">
        <v>85</v>
      </c>
      <c r="J252" s="1" t="s">
        <v>165</v>
      </c>
      <c r="K252" s="1" t="s">
        <v>417</v>
      </c>
      <c r="L252" s="35">
        <v>0</v>
      </c>
      <c r="M252" s="35">
        <v>0</v>
      </c>
      <c r="N252" s="35">
        <v>0</v>
      </c>
      <c r="O252" s="35">
        <v>0</v>
      </c>
      <c r="P252" s="35">
        <v>0</v>
      </c>
      <c r="Q252" s="35">
        <v>0</v>
      </c>
      <c r="R252" s="35">
        <v>0</v>
      </c>
      <c r="S252" s="35">
        <v>0</v>
      </c>
      <c r="T252" s="35">
        <v>0</v>
      </c>
      <c r="U252" s="35">
        <v>0</v>
      </c>
      <c r="V252" s="36">
        <v>4</v>
      </c>
      <c r="W252" s="35">
        <v>0</v>
      </c>
      <c r="X252" s="35">
        <v>0</v>
      </c>
      <c r="Y252" s="35">
        <v>0</v>
      </c>
      <c r="Z252" s="35">
        <v>0</v>
      </c>
      <c r="AA252" s="1">
        <v>0</v>
      </c>
      <c r="AB252" s="1"/>
      <c r="AC252" s="1"/>
      <c r="AD252" s="1">
        <v>3</v>
      </c>
      <c r="AE252" s="1"/>
      <c r="AF252" s="1">
        <v>3</v>
      </c>
      <c r="AG252" s="1">
        <v>0</v>
      </c>
      <c r="AH252" s="1">
        <v>0</v>
      </c>
      <c r="AI252" s="1">
        <v>0</v>
      </c>
      <c r="AJ252" s="36" t="s">
        <v>21</v>
      </c>
      <c r="AK252" s="36" t="s">
        <v>21</v>
      </c>
      <c r="AL252" s="17"/>
      <c r="AM252" s="18"/>
      <c r="AN252" s="10"/>
    </row>
    <row r="253" spans="2:40" x14ac:dyDescent="0.25">
      <c r="B253" s="1">
        <f t="shared" si="3"/>
        <v>243</v>
      </c>
      <c r="C253" s="1">
        <v>1</v>
      </c>
      <c r="D253" s="1" t="s">
        <v>383</v>
      </c>
      <c r="E253" s="1" t="s">
        <v>381</v>
      </c>
      <c r="F253" s="1" t="s">
        <v>380</v>
      </c>
      <c r="G253" s="1"/>
      <c r="H253" s="1" t="s">
        <v>421</v>
      </c>
      <c r="I253" s="1" t="s">
        <v>85</v>
      </c>
      <c r="J253" s="1" t="s">
        <v>165</v>
      </c>
      <c r="K253" s="1" t="s">
        <v>417</v>
      </c>
      <c r="L253" s="35">
        <v>0</v>
      </c>
      <c r="M253" s="35">
        <v>0</v>
      </c>
      <c r="N253" s="35">
        <v>0</v>
      </c>
      <c r="O253" s="35">
        <v>0</v>
      </c>
      <c r="P253" s="35">
        <v>0</v>
      </c>
      <c r="Q253" s="35">
        <v>0</v>
      </c>
      <c r="R253" s="35">
        <v>0</v>
      </c>
      <c r="S253" s="35">
        <v>0</v>
      </c>
      <c r="T253" s="35">
        <v>0</v>
      </c>
      <c r="U253" s="35">
        <v>0</v>
      </c>
      <c r="V253" s="36">
        <v>4</v>
      </c>
      <c r="W253" s="35">
        <v>0</v>
      </c>
      <c r="X253" s="35">
        <v>0</v>
      </c>
      <c r="Y253" s="35">
        <v>0</v>
      </c>
      <c r="Z253" s="35">
        <v>0</v>
      </c>
      <c r="AA253" s="1">
        <v>0</v>
      </c>
      <c r="AB253" s="1"/>
      <c r="AC253" s="1"/>
      <c r="AD253" s="1">
        <v>3</v>
      </c>
      <c r="AE253" s="1"/>
      <c r="AF253" s="1">
        <v>3</v>
      </c>
      <c r="AG253" s="1">
        <v>0</v>
      </c>
      <c r="AH253" s="1">
        <v>0</v>
      </c>
      <c r="AI253" s="1">
        <v>0</v>
      </c>
      <c r="AJ253" s="36" t="s">
        <v>21</v>
      </c>
      <c r="AK253" s="36" t="s">
        <v>21</v>
      </c>
      <c r="AL253" s="17"/>
      <c r="AM253" s="18"/>
      <c r="AN253" s="10"/>
    </row>
    <row r="254" spans="2:40" x14ac:dyDescent="0.25">
      <c r="B254" s="1">
        <f t="shared" si="3"/>
        <v>244</v>
      </c>
      <c r="C254" s="1">
        <v>1</v>
      </c>
      <c r="D254" s="1" t="s">
        <v>383</v>
      </c>
      <c r="E254" s="1" t="s">
        <v>381</v>
      </c>
      <c r="F254" s="1" t="s">
        <v>380</v>
      </c>
      <c r="G254" s="1"/>
      <c r="H254" s="1" t="s">
        <v>422</v>
      </c>
      <c r="I254" s="1" t="s">
        <v>87</v>
      </c>
      <c r="J254" s="1" t="s">
        <v>165</v>
      </c>
      <c r="K254" s="1" t="s">
        <v>417</v>
      </c>
      <c r="L254" s="35">
        <v>0</v>
      </c>
      <c r="M254" s="35">
        <v>0</v>
      </c>
      <c r="N254" s="35">
        <v>0</v>
      </c>
      <c r="O254" s="35">
        <v>0</v>
      </c>
      <c r="P254" s="35">
        <v>0</v>
      </c>
      <c r="Q254" s="35">
        <v>0</v>
      </c>
      <c r="R254" s="35">
        <v>0</v>
      </c>
      <c r="S254" s="35">
        <v>0</v>
      </c>
      <c r="T254" s="35">
        <v>0</v>
      </c>
      <c r="U254" s="35">
        <v>0</v>
      </c>
      <c r="V254" s="36">
        <v>4</v>
      </c>
      <c r="W254" s="35">
        <v>0</v>
      </c>
      <c r="X254" s="35">
        <v>0</v>
      </c>
      <c r="Y254" s="35">
        <v>0</v>
      </c>
      <c r="Z254" s="35">
        <v>0</v>
      </c>
      <c r="AA254" s="1">
        <v>0</v>
      </c>
      <c r="AB254" s="1"/>
      <c r="AC254" s="1"/>
      <c r="AD254" s="1">
        <v>3</v>
      </c>
      <c r="AE254" s="1"/>
      <c r="AF254" s="1">
        <v>3</v>
      </c>
      <c r="AG254" s="1">
        <v>0</v>
      </c>
      <c r="AH254" s="1">
        <v>0</v>
      </c>
      <c r="AI254" s="1">
        <v>0</v>
      </c>
      <c r="AJ254" s="36" t="s">
        <v>21</v>
      </c>
      <c r="AK254" s="36" t="s">
        <v>21</v>
      </c>
      <c r="AL254" s="17"/>
      <c r="AM254" s="18"/>
      <c r="AN254" s="10"/>
    </row>
    <row r="255" spans="2:40" x14ac:dyDescent="0.25">
      <c r="B255" s="1">
        <f t="shared" si="3"/>
        <v>245</v>
      </c>
      <c r="C255" s="1">
        <v>1</v>
      </c>
      <c r="D255" s="1" t="s">
        <v>383</v>
      </c>
      <c r="E255" s="1" t="s">
        <v>381</v>
      </c>
      <c r="F255" s="1" t="s">
        <v>380</v>
      </c>
      <c r="G255" s="1"/>
      <c r="H255" s="1" t="s">
        <v>423</v>
      </c>
      <c r="I255" s="1" t="s">
        <v>87</v>
      </c>
      <c r="J255" s="1" t="s">
        <v>165</v>
      </c>
      <c r="K255" s="1" t="s">
        <v>417</v>
      </c>
      <c r="L255" s="35">
        <v>0</v>
      </c>
      <c r="M255" s="35">
        <v>0</v>
      </c>
      <c r="N255" s="35">
        <v>0</v>
      </c>
      <c r="O255" s="35">
        <v>0</v>
      </c>
      <c r="P255" s="35">
        <v>0</v>
      </c>
      <c r="Q255" s="35">
        <v>0</v>
      </c>
      <c r="R255" s="35">
        <v>0</v>
      </c>
      <c r="S255" s="35">
        <v>0</v>
      </c>
      <c r="T255" s="35">
        <v>0</v>
      </c>
      <c r="U255" s="35">
        <v>0</v>
      </c>
      <c r="V255" s="36">
        <v>4</v>
      </c>
      <c r="W255" s="35">
        <v>0</v>
      </c>
      <c r="X255" s="35">
        <v>0</v>
      </c>
      <c r="Y255" s="35">
        <v>0</v>
      </c>
      <c r="Z255" s="35">
        <v>0</v>
      </c>
      <c r="AA255" s="1">
        <v>0</v>
      </c>
      <c r="AB255" s="1"/>
      <c r="AC255" s="1"/>
      <c r="AD255" s="1">
        <v>3</v>
      </c>
      <c r="AE255" s="1"/>
      <c r="AF255" s="1">
        <v>3</v>
      </c>
      <c r="AG255" s="1">
        <v>0</v>
      </c>
      <c r="AH255" s="1">
        <v>0</v>
      </c>
      <c r="AI255" s="1">
        <v>0</v>
      </c>
      <c r="AJ255" s="36" t="s">
        <v>21</v>
      </c>
      <c r="AK255" s="36" t="s">
        <v>21</v>
      </c>
      <c r="AL255" s="17"/>
      <c r="AM255" s="18"/>
      <c r="AN255" s="10"/>
    </row>
    <row r="256" spans="2:40" x14ac:dyDescent="0.25">
      <c r="B256" s="1">
        <f t="shared" si="3"/>
        <v>246</v>
      </c>
      <c r="C256" s="1">
        <v>1</v>
      </c>
      <c r="D256" s="1" t="s">
        <v>383</v>
      </c>
      <c r="E256" s="1" t="s">
        <v>381</v>
      </c>
      <c r="F256" s="1" t="s">
        <v>380</v>
      </c>
      <c r="G256" s="1"/>
      <c r="H256" s="1" t="s">
        <v>424</v>
      </c>
      <c r="I256" s="1" t="s">
        <v>85</v>
      </c>
      <c r="J256" s="1" t="s">
        <v>165</v>
      </c>
      <c r="K256" s="1" t="s">
        <v>417</v>
      </c>
      <c r="L256" s="35">
        <v>0</v>
      </c>
      <c r="M256" s="35">
        <v>0</v>
      </c>
      <c r="N256" s="35">
        <v>0</v>
      </c>
      <c r="O256" s="35">
        <v>0</v>
      </c>
      <c r="P256" s="35">
        <v>0</v>
      </c>
      <c r="Q256" s="35">
        <v>0</v>
      </c>
      <c r="R256" s="35">
        <v>0</v>
      </c>
      <c r="S256" s="35">
        <v>0</v>
      </c>
      <c r="T256" s="35">
        <v>0</v>
      </c>
      <c r="U256" s="35">
        <v>0</v>
      </c>
      <c r="V256" s="36">
        <v>4</v>
      </c>
      <c r="W256" s="35">
        <v>0</v>
      </c>
      <c r="X256" s="35">
        <v>0</v>
      </c>
      <c r="Y256" s="35">
        <v>0</v>
      </c>
      <c r="Z256" s="35">
        <v>0</v>
      </c>
      <c r="AA256" s="1">
        <v>0</v>
      </c>
      <c r="AB256" s="1"/>
      <c r="AC256" s="1"/>
      <c r="AD256" s="1">
        <v>3</v>
      </c>
      <c r="AE256" s="1"/>
      <c r="AF256" s="1">
        <v>3</v>
      </c>
      <c r="AG256" s="1">
        <v>0</v>
      </c>
      <c r="AH256" s="1">
        <v>0</v>
      </c>
      <c r="AI256" s="1">
        <v>0</v>
      </c>
      <c r="AJ256" s="36" t="s">
        <v>21</v>
      </c>
      <c r="AK256" s="36" t="s">
        <v>21</v>
      </c>
      <c r="AL256" s="17"/>
      <c r="AM256" s="18"/>
      <c r="AN256" s="10"/>
    </row>
    <row r="257" spans="2:40" x14ac:dyDescent="0.25">
      <c r="B257" s="1">
        <f t="shared" si="3"/>
        <v>247</v>
      </c>
      <c r="C257" s="1">
        <v>1</v>
      </c>
      <c r="D257" s="1" t="s">
        <v>383</v>
      </c>
      <c r="E257" s="1" t="s">
        <v>381</v>
      </c>
      <c r="F257" s="1" t="s">
        <v>380</v>
      </c>
      <c r="G257" s="1"/>
      <c r="H257" s="1" t="s">
        <v>425</v>
      </c>
      <c r="I257" s="1" t="s">
        <v>85</v>
      </c>
      <c r="J257" s="1" t="s">
        <v>165</v>
      </c>
      <c r="K257" s="1" t="s">
        <v>417</v>
      </c>
      <c r="L257" s="35">
        <v>0</v>
      </c>
      <c r="M257" s="35">
        <v>0</v>
      </c>
      <c r="N257" s="35">
        <v>0</v>
      </c>
      <c r="O257" s="35">
        <v>0</v>
      </c>
      <c r="P257" s="35">
        <v>0</v>
      </c>
      <c r="Q257" s="35">
        <v>0</v>
      </c>
      <c r="R257" s="35">
        <v>0</v>
      </c>
      <c r="S257" s="35">
        <v>0</v>
      </c>
      <c r="T257" s="35">
        <v>0</v>
      </c>
      <c r="U257" s="35">
        <v>0</v>
      </c>
      <c r="V257" s="36">
        <v>4</v>
      </c>
      <c r="W257" s="35">
        <v>0</v>
      </c>
      <c r="X257" s="35">
        <v>0</v>
      </c>
      <c r="Y257" s="35">
        <v>0</v>
      </c>
      <c r="Z257" s="35">
        <v>0</v>
      </c>
      <c r="AA257" s="1">
        <v>0</v>
      </c>
      <c r="AB257" s="1"/>
      <c r="AC257" s="1"/>
      <c r="AD257" s="1">
        <v>3</v>
      </c>
      <c r="AE257" s="1"/>
      <c r="AF257" s="1">
        <v>3</v>
      </c>
      <c r="AG257" s="1">
        <v>0</v>
      </c>
      <c r="AH257" s="1">
        <v>0</v>
      </c>
      <c r="AI257" s="1">
        <v>0</v>
      </c>
      <c r="AJ257" s="36" t="s">
        <v>21</v>
      </c>
      <c r="AK257" s="36" t="s">
        <v>21</v>
      </c>
      <c r="AL257" s="17"/>
      <c r="AM257" s="18"/>
      <c r="AN257" s="10"/>
    </row>
    <row r="258" spans="2:40" x14ac:dyDescent="0.25">
      <c r="B258" s="1">
        <f t="shared" si="3"/>
        <v>248</v>
      </c>
      <c r="C258" s="1">
        <v>1</v>
      </c>
      <c r="D258" s="1" t="s">
        <v>383</v>
      </c>
      <c r="E258" s="1" t="s">
        <v>381</v>
      </c>
      <c r="F258" s="1" t="s">
        <v>380</v>
      </c>
      <c r="G258" s="1"/>
      <c r="H258" s="1" t="s">
        <v>426</v>
      </c>
      <c r="I258" s="1" t="s">
        <v>85</v>
      </c>
      <c r="J258" s="1" t="s">
        <v>165</v>
      </c>
      <c r="K258" s="1" t="s">
        <v>417</v>
      </c>
      <c r="L258" s="35">
        <v>0</v>
      </c>
      <c r="M258" s="35">
        <v>0</v>
      </c>
      <c r="N258" s="35">
        <v>0</v>
      </c>
      <c r="O258" s="35">
        <v>0</v>
      </c>
      <c r="P258" s="35">
        <v>0</v>
      </c>
      <c r="Q258" s="35">
        <v>0</v>
      </c>
      <c r="R258" s="35">
        <v>0</v>
      </c>
      <c r="S258" s="35">
        <v>0</v>
      </c>
      <c r="T258" s="35">
        <v>0</v>
      </c>
      <c r="U258" s="35">
        <v>0</v>
      </c>
      <c r="V258" s="36">
        <v>4</v>
      </c>
      <c r="W258" s="35">
        <v>0</v>
      </c>
      <c r="X258" s="35">
        <v>0</v>
      </c>
      <c r="Y258" s="35">
        <v>0</v>
      </c>
      <c r="Z258" s="35">
        <v>0</v>
      </c>
      <c r="AA258" s="1">
        <v>0</v>
      </c>
      <c r="AB258" s="1"/>
      <c r="AC258" s="1"/>
      <c r="AD258" s="1">
        <v>3</v>
      </c>
      <c r="AE258" s="1"/>
      <c r="AF258" s="1">
        <v>3</v>
      </c>
      <c r="AG258" s="1">
        <v>0</v>
      </c>
      <c r="AH258" s="1">
        <v>0</v>
      </c>
      <c r="AI258" s="1">
        <v>0</v>
      </c>
      <c r="AJ258" s="36" t="s">
        <v>21</v>
      </c>
      <c r="AK258" s="36" t="s">
        <v>21</v>
      </c>
      <c r="AL258" s="17"/>
      <c r="AM258" s="18"/>
      <c r="AN258" s="10"/>
    </row>
    <row r="259" spans="2:40" x14ac:dyDescent="0.25">
      <c r="B259" s="1">
        <f t="shared" si="3"/>
        <v>249</v>
      </c>
      <c r="C259" s="1">
        <v>1</v>
      </c>
      <c r="D259" s="1" t="s">
        <v>383</v>
      </c>
      <c r="E259" s="1" t="s">
        <v>381</v>
      </c>
      <c r="F259" s="1" t="s">
        <v>380</v>
      </c>
      <c r="G259" s="1"/>
      <c r="H259" s="1" t="s">
        <v>427</v>
      </c>
      <c r="I259" s="1" t="s">
        <v>85</v>
      </c>
      <c r="J259" s="1" t="s">
        <v>165</v>
      </c>
      <c r="K259" s="1" t="s">
        <v>417</v>
      </c>
      <c r="L259" s="35">
        <v>0</v>
      </c>
      <c r="M259" s="35">
        <v>0</v>
      </c>
      <c r="N259" s="35">
        <v>0</v>
      </c>
      <c r="O259" s="35">
        <v>0</v>
      </c>
      <c r="P259" s="35">
        <v>0</v>
      </c>
      <c r="Q259" s="35">
        <v>0</v>
      </c>
      <c r="R259" s="35">
        <v>0</v>
      </c>
      <c r="S259" s="35">
        <v>0</v>
      </c>
      <c r="T259" s="35">
        <v>0</v>
      </c>
      <c r="U259" s="35">
        <v>0</v>
      </c>
      <c r="V259" s="36">
        <v>4</v>
      </c>
      <c r="W259" s="35">
        <v>0</v>
      </c>
      <c r="X259" s="35">
        <v>0</v>
      </c>
      <c r="Y259" s="35">
        <v>0</v>
      </c>
      <c r="Z259" s="35">
        <v>0</v>
      </c>
      <c r="AA259" s="1">
        <v>0</v>
      </c>
      <c r="AB259" s="1"/>
      <c r="AC259" s="1"/>
      <c r="AD259" s="1">
        <v>3</v>
      </c>
      <c r="AE259" s="1"/>
      <c r="AF259" s="1">
        <v>3</v>
      </c>
      <c r="AG259" s="1">
        <v>0</v>
      </c>
      <c r="AH259" s="1">
        <v>0</v>
      </c>
      <c r="AI259" s="1">
        <v>0</v>
      </c>
      <c r="AJ259" s="36" t="s">
        <v>21</v>
      </c>
      <c r="AK259" s="36" t="s">
        <v>21</v>
      </c>
      <c r="AL259" s="17"/>
      <c r="AM259" s="18"/>
      <c r="AN259" s="10"/>
    </row>
    <row r="260" spans="2:40" x14ac:dyDescent="0.25">
      <c r="B260" s="1">
        <f t="shared" si="3"/>
        <v>250</v>
      </c>
      <c r="C260" s="1">
        <v>1</v>
      </c>
      <c r="D260" s="1" t="s">
        <v>383</v>
      </c>
      <c r="E260" s="1" t="s">
        <v>381</v>
      </c>
      <c r="F260" s="1" t="s">
        <v>380</v>
      </c>
      <c r="G260" s="1"/>
      <c r="H260" s="1" t="s">
        <v>428</v>
      </c>
      <c r="I260" s="1" t="s">
        <v>87</v>
      </c>
      <c r="J260" s="1" t="s">
        <v>165</v>
      </c>
      <c r="K260" s="1" t="s">
        <v>417</v>
      </c>
      <c r="L260" s="35">
        <v>0</v>
      </c>
      <c r="M260" s="35">
        <v>0</v>
      </c>
      <c r="N260" s="35">
        <v>0</v>
      </c>
      <c r="O260" s="35">
        <v>0</v>
      </c>
      <c r="P260" s="35">
        <v>0</v>
      </c>
      <c r="Q260" s="35">
        <v>0</v>
      </c>
      <c r="R260" s="35">
        <v>0</v>
      </c>
      <c r="S260" s="35">
        <v>0</v>
      </c>
      <c r="T260" s="35">
        <v>0</v>
      </c>
      <c r="U260" s="35">
        <v>0</v>
      </c>
      <c r="V260" s="36">
        <v>4</v>
      </c>
      <c r="W260" s="35">
        <v>0</v>
      </c>
      <c r="X260" s="35">
        <v>0</v>
      </c>
      <c r="Y260" s="35">
        <v>0</v>
      </c>
      <c r="Z260" s="35">
        <v>0</v>
      </c>
      <c r="AA260" s="1">
        <v>0</v>
      </c>
      <c r="AB260" s="1"/>
      <c r="AC260" s="1"/>
      <c r="AD260" s="1">
        <v>3</v>
      </c>
      <c r="AE260" s="1"/>
      <c r="AF260" s="1">
        <v>3</v>
      </c>
      <c r="AG260" s="1">
        <v>0</v>
      </c>
      <c r="AH260" s="1">
        <v>0</v>
      </c>
      <c r="AI260" s="1">
        <v>0</v>
      </c>
      <c r="AJ260" s="36" t="s">
        <v>21</v>
      </c>
      <c r="AK260" s="36" t="s">
        <v>21</v>
      </c>
      <c r="AL260" s="17"/>
      <c r="AM260" s="18"/>
      <c r="AN260" s="10"/>
    </row>
    <row r="261" spans="2:40" x14ac:dyDescent="0.25">
      <c r="B261" s="1">
        <f t="shared" si="3"/>
        <v>251</v>
      </c>
      <c r="C261" s="1">
        <v>1</v>
      </c>
      <c r="D261" s="1" t="s">
        <v>383</v>
      </c>
      <c r="E261" s="1" t="s">
        <v>381</v>
      </c>
      <c r="F261" s="1" t="s">
        <v>380</v>
      </c>
      <c r="G261" s="1"/>
      <c r="H261" s="1" t="s">
        <v>429</v>
      </c>
      <c r="I261" s="1" t="s">
        <v>87</v>
      </c>
      <c r="J261" s="1" t="s">
        <v>165</v>
      </c>
      <c r="K261" s="1" t="s">
        <v>417</v>
      </c>
      <c r="L261" s="35">
        <v>0</v>
      </c>
      <c r="M261" s="35">
        <v>0</v>
      </c>
      <c r="N261" s="35">
        <v>0</v>
      </c>
      <c r="O261" s="35">
        <v>0</v>
      </c>
      <c r="P261" s="35">
        <v>0</v>
      </c>
      <c r="Q261" s="35">
        <v>0</v>
      </c>
      <c r="R261" s="35">
        <v>0</v>
      </c>
      <c r="S261" s="35">
        <v>0</v>
      </c>
      <c r="T261" s="35">
        <v>0</v>
      </c>
      <c r="U261" s="35">
        <v>0</v>
      </c>
      <c r="V261" s="36">
        <v>4</v>
      </c>
      <c r="W261" s="35">
        <v>0</v>
      </c>
      <c r="X261" s="35">
        <v>0</v>
      </c>
      <c r="Y261" s="35">
        <v>0</v>
      </c>
      <c r="Z261" s="35">
        <v>0</v>
      </c>
      <c r="AA261" s="1">
        <v>0</v>
      </c>
      <c r="AB261" s="1"/>
      <c r="AC261" s="1"/>
      <c r="AD261" s="1">
        <v>3</v>
      </c>
      <c r="AE261" s="35"/>
      <c r="AF261" s="1">
        <v>3</v>
      </c>
      <c r="AG261" s="1">
        <v>0</v>
      </c>
      <c r="AH261" s="1">
        <v>0</v>
      </c>
      <c r="AI261" s="1">
        <v>0</v>
      </c>
      <c r="AJ261" s="36" t="s">
        <v>21</v>
      </c>
      <c r="AK261" s="36" t="s">
        <v>21</v>
      </c>
      <c r="AL261" s="17"/>
      <c r="AM261" s="18"/>
      <c r="AN261" s="10"/>
    </row>
    <row r="262" spans="2:40" x14ac:dyDescent="0.25">
      <c r="B262" s="1">
        <f t="shared" si="3"/>
        <v>252</v>
      </c>
      <c r="C262" s="1">
        <v>1</v>
      </c>
      <c r="D262" s="1" t="s">
        <v>383</v>
      </c>
      <c r="E262" s="1" t="s">
        <v>381</v>
      </c>
      <c r="F262" s="1" t="s">
        <v>380</v>
      </c>
      <c r="G262" s="1"/>
      <c r="H262" s="1" t="s">
        <v>430</v>
      </c>
      <c r="I262" s="1" t="s">
        <v>87</v>
      </c>
      <c r="J262" s="1" t="s">
        <v>165</v>
      </c>
      <c r="K262" s="1" t="s">
        <v>417</v>
      </c>
      <c r="L262" s="35">
        <v>0</v>
      </c>
      <c r="M262" s="35">
        <v>0</v>
      </c>
      <c r="N262" s="35">
        <v>0</v>
      </c>
      <c r="O262" s="35">
        <v>0</v>
      </c>
      <c r="P262" s="35">
        <v>0</v>
      </c>
      <c r="Q262" s="35">
        <v>0</v>
      </c>
      <c r="R262" s="35">
        <v>0</v>
      </c>
      <c r="S262" s="35">
        <v>0</v>
      </c>
      <c r="T262" s="35">
        <v>0</v>
      </c>
      <c r="U262" s="35">
        <v>0</v>
      </c>
      <c r="V262" s="36">
        <v>4</v>
      </c>
      <c r="W262" s="35">
        <v>0</v>
      </c>
      <c r="X262" s="35">
        <v>0</v>
      </c>
      <c r="Y262" s="35">
        <v>0</v>
      </c>
      <c r="Z262" s="35">
        <v>0</v>
      </c>
      <c r="AA262" s="1">
        <v>0</v>
      </c>
      <c r="AB262" s="1"/>
      <c r="AC262" s="1"/>
      <c r="AD262" s="1">
        <v>3</v>
      </c>
      <c r="AE262" s="35"/>
      <c r="AF262" s="1">
        <v>1</v>
      </c>
      <c r="AG262" s="1">
        <v>0</v>
      </c>
      <c r="AH262" s="1">
        <v>0</v>
      </c>
      <c r="AI262" s="1">
        <v>0</v>
      </c>
      <c r="AJ262" s="37" t="s">
        <v>32</v>
      </c>
      <c r="AK262" s="37" t="s">
        <v>32</v>
      </c>
      <c r="AL262" s="17"/>
      <c r="AM262" s="18"/>
      <c r="AN262" s="10"/>
    </row>
    <row r="263" spans="2:40" x14ac:dyDescent="0.25">
      <c r="B263" s="1">
        <f t="shared" si="3"/>
        <v>253</v>
      </c>
      <c r="C263" s="1">
        <v>0</v>
      </c>
      <c r="D263" s="1" t="s">
        <v>383</v>
      </c>
      <c r="E263" s="1" t="s">
        <v>381</v>
      </c>
      <c r="F263" s="1" t="s">
        <v>380</v>
      </c>
      <c r="G263" s="1"/>
      <c r="H263" s="1" t="s">
        <v>436</v>
      </c>
      <c r="I263" s="1" t="s">
        <v>87</v>
      </c>
      <c r="J263" s="1" t="s">
        <v>165</v>
      </c>
      <c r="K263" s="1" t="s">
        <v>417</v>
      </c>
      <c r="L263" s="35">
        <v>0</v>
      </c>
      <c r="M263" s="35">
        <v>0</v>
      </c>
      <c r="N263" s="35">
        <v>0</v>
      </c>
      <c r="O263" s="35">
        <v>0</v>
      </c>
      <c r="P263" s="35">
        <v>0</v>
      </c>
      <c r="Q263" s="35">
        <v>0</v>
      </c>
      <c r="R263" s="35">
        <v>0</v>
      </c>
      <c r="S263" s="35">
        <v>0</v>
      </c>
      <c r="T263" s="35">
        <v>0</v>
      </c>
      <c r="U263" s="35">
        <v>0</v>
      </c>
      <c r="V263" s="36">
        <v>4</v>
      </c>
      <c r="W263" s="35">
        <v>0</v>
      </c>
      <c r="X263" s="35">
        <v>0</v>
      </c>
      <c r="Y263" s="35">
        <v>0</v>
      </c>
      <c r="Z263" s="35">
        <v>0</v>
      </c>
      <c r="AA263" s="1">
        <v>0</v>
      </c>
      <c r="AB263" s="1"/>
      <c r="AC263" s="1"/>
      <c r="AD263" s="1"/>
      <c r="AE263" s="35"/>
      <c r="AF263" s="1">
        <v>3</v>
      </c>
      <c r="AG263" s="1">
        <v>0</v>
      </c>
      <c r="AH263" s="35">
        <v>0</v>
      </c>
      <c r="AI263" s="35"/>
      <c r="AJ263" s="36" t="s">
        <v>21</v>
      </c>
      <c r="AK263" s="36" t="s">
        <v>21</v>
      </c>
      <c r="AL263" s="17"/>
      <c r="AM263" s="18"/>
      <c r="AN263" s="10"/>
    </row>
    <row r="264" spans="2:40" x14ac:dyDescent="0.25">
      <c r="B264" s="1">
        <f t="shared" si="3"/>
        <v>254</v>
      </c>
      <c r="C264" s="1">
        <v>0</v>
      </c>
      <c r="D264" s="1" t="s">
        <v>383</v>
      </c>
      <c r="E264" s="1" t="s">
        <v>381</v>
      </c>
      <c r="F264" s="1" t="s">
        <v>380</v>
      </c>
      <c r="G264" s="1"/>
      <c r="H264" s="1" t="s">
        <v>377</v>
      </c>
      <c r="I264" s="1" t="s">
        <v>437</v>
      </c>
      <c r="J264" s="1" t="s">
        <v>165</v>
      </c>
      <c r="K264" s="1" t="s">
        <v>417</v>
      </c>
      <c r="L264" s="35">
        <v>0</v>
      </c>
      <c r="M264" s="35">
        <v>0</v>
      </c>
      <c r="N264" s="35">
        <v>0</v>
      </c>
      <c r="O264" s="35">
        <v>0</v>
      </c>
      <c r="P264" s="35">
        <v>0</v>
      </c>
      <c r="Q264" s="35">
        <v>0</v>
      </c>
      <c r="R264" s="35">
        <v>0</v>
      </c>
      <c r="S264" s="35">
        <v>0</v>
      </c>
      <c r="T264" s="35">
        <v>0</v>
      </c>
      <c r="U264" s="35">
        <v>0</v>
      </c>
      <c r="V264" s="36">
        <v>4</v>
      </c>
      <c r="W264" s="35">
        <v>0</v>
      </c>
      <c r="X264" s="35">
        <v>0</v>
      </c>
      <c r="Y264" s="35">
        <v>0</v>
      </c>
      <c r="Z264" s="35">
        <v>0</v>
      </c>
      <c r="AA264" s="1">
        <v>0</v>
      </c>
      <c r="AB264" s="1"/>
      <c r="AC264" s="1"/>
      <c r="AD264" s="1"/>
      <c r="AE264" s="35"/>
      <c r="AF264" s="1">
        <v>3</v>
      </c>
      <c r="AG264" s="1">
        <v>0</v>
      </c>
      <c r="AH264" s="35">
        <v>0</v>
      </c>
      <c r="AI264" s="35"/>
      <c r="AJ264" s="36" t="s">
        <v>21</v>
      </c>
      <c r="AK264" s="36" t="s">
        <v>21</v>
      </c>
      <c r="AL264" s="17"/>
      <c r="AM264" s="18"/>
      <c r="AN264" s="10"/>
    </row>
    <row r="265" spans="2:40" x14ac:dyDescent="0.25">
      <c r="B265" s="1">
        <f t="shared" si="3"/>
        <v>255</v>
      </c>
      <c r="C265" s="1">
        <v>1</v>
      </c>
      <c r="D265" s="1" t="s">
        <v>383</v>
      </c>
      <c r="E265" s="1" t="s">
        <v>381</v>
      </c>
      <c r="F265" s="1" t="s">
        <v>380</v>
      </c>
      <c r="G265" s="1"/>
      <c r="H265" s="1" t="s">
        <v>378</v>
      </c>
      <c r="I265" s="1" t="s">
        <v>85</v>
      </c>
      <c r="J265" s="1" t="s">
        <v>165</v>
      </c>
      <c r="K265" s="1" t="s">
        <v>417</v>
      </c>
      <c r="L265" s="35">
        <v>0</v>
      </c>
      <c r="M265" s="35">
        <v>0</v>
      </c>
      <c r="N265" s="35">
        <v>0</v>
      </c>
      <c r="O265" s="35">
        <v>0</v>
      </c>
      <c r="P265" s="35">
        <v>0</v>
      </c>
      <c r="Q265" s="35">
        <v>0</v>
      </c>
      <c r="R265" s="35">
        <v>0</v>
      </c>
      <c r="S265" s="35">
        <v>0</v>
      </c>
      <c r="T265" s="35">
        <v>0</v>
      </c>
      <c r="U265" s="35">
        <v>0</v>
      </c>
      <c r="V265" s="36">
        <v>4</v>
      </c>
      <c r="W265" s="35">
        <v>0</v>
      </c>
      <c r="X265" s="35">
        <v>0</v>
      </c>
      <c r="Y265" s="35">
        <v>0</v>
      </c>
      <c r="Z265" s="35">
        <v>0</v>
      </c>
      <c r="AA265" s="1">
        <v>0</v>
      </c>
      <c r="AB265" s="1"/>
      <c r="AC265" s="1"/>
      <c r="AD265" s="1">
        <v>3</v>
      </c>
      <c r="AE265" s="35"/>
      <c r="AF265" s="1">
        <v>3</v>
      </c>
      <c r="AG265" s="1">
        <v>0</v>
      </c>
      <c r="AH265" s="1">
        <v>0</v>
      </c>
      <c r="AI265" s="1">
        <v>0</v>
      </c>
      <c r="AJ265" s="36" t="s">
        <v>21</v>
      </c>
      <c r="AK265" s="36" t="s">
        <v>21</v>
      </c>
      <c r="AL265" s="17"/>
      <c r="AM265" s="18"/>
      <c r="AN265" s="10"/>
    </row>
    <row r="266" spans="2:40" x14ac:dyDescent="0.25">
      <c r="B266" s="1">
        <f t="shared" si="3"/>
        <v>256</v>
      </c>
      <c r="C266" s="1">
        <v>1</v>
      </c>
      <c r="D266" s="1" t="s">
        <v>383</v>
      </c>
      <c r="E266" s="1" t="s">
        <v>381</v>
      </c>
      <c r="F266" s="1" t="s">
        <v>380</v>
      </c>
      <c r="G266" s="1"/>
      <c r="H266" s="1" t="s">
        <v>431</v>
      </c>
      <c r="I266" s="1" t="s">
        <v>85</v>
      </c>
      <c r="J266" s="1" t="s">
        <v>165</v>
      </c>
      <c r="K266" s="1" t="s">
        <v>417</v>
      </c>
      <c r="L266" s="35">
        <v>0</v>
      </c>
      <c r="M266" s="35">
        <v>0</v>
      </c>
      <c r="N266" s="35">
        <v>0</v>
      </c>
      <c r="O266" s="35">
        <v>0</v>
      </c>
      <c r="P266" s="35">
        <v>0</v>
      </c>
      <c r="Q266" s="35">
        <v>0</v>
      </c>
      <c r="R266" s="35">
        <v>0</v>
      </c>
      <c r="S266" s="35">
        <v>0</v>
      </c>
      <c r="T266" s="35">
        <v>0</v>
      </c>
      <c r="U266" s="35">
        <v>0</v>
      </c>
      <c r="V266" s="36">
        <v>4</v>
      </c>
      <c r="W266" s="35">
        <v>0</v>
      </c>
      <c r="X266" s="35">
        <v>0</v>
      </c>
      <c r="Y266" s="35">
        <v>0</v>
      </c>
      <c r="Z266" s="35">
        <v>0</v>
      </c>
      <c r="AA266" s="1">
        <v>0</v>
      </c>
      <c r="AB266" s="1"/>
      <c r="AC266" s="1"/>
      <c r="AD266" s="1">
        <v>3</v>
      </c>
      <c r="AE266" s="35"/>
      <c r="AF266" s="1">
        <v>3</v>
      </c>
      <c r="AG266" s="1">
        <v>0</v>
      </c>
      <c r="AH266" s="1">
        <v>0</v>
      </c>
      <c r="AI266" s="1">
        <v>0</v>
      </c>
      <c r="AJ266" s="36" t="s">
        <v>21</v>
      </c>
      <c r="AK266" s="36" t="s">
        <v>21</v>
      </c>
      <c r="AL266" s="17"/>
      <c r="AM266" s="18"/>
      <c r="AN266" s="10"/>
    </row>
    <row r="267" spans="2:40" x14ac:dyDescent="0.25">
      <c r="B267" s="1">
        <f t="shared" si="3"/>
        <v>257</v>
      </c>
      <c r="C267" s="1">
        <v>1</v>
      </c>
      <c r="D267" s="1" t="s">
        <v>383</v>
      </c>
      <c r="E267" s="1" t="s">
        <v>381</v>
      </c>
      <c r="F267" s="1" t="s">
        <v>380</v>
      </c>
      <c r="G267" s="1"/>
      <c r="H267" s="1" t="s">
        <v>379</v>
      </c>
      <c r="I267" s="1" t="s">
        <v>87</v>
      </c>
      <c r="J267" s="1" t="s">
        <v>165</v>
      </c>
      <c r="K267" s="1" t="s">
        <v>417</v>
      </c>
      <c r="L267" s="35">
        <v>0</v>
      </c>
      <c r="M267" s="35">
        <v>0</v>
      </c>
      <c r="N267" s="35">
        <v>0</v>
      </c>
      <c r="O267" s="35">
        <v>0</v>
      </c>
      <c r="P267" s="35">
        <v>0</v>
      </c>
      <c r="Q267" s="35">
        <v>0</v>
      </c>
      <c r="R267" s="35">
        <v>0</v>
      </c>
      <c r="S267" s="35">
        <v>0</v>
      </c>
      <c r="T267" s="35">
        <v>0</v>
      </c>
      <c r="U267" s="35">
        <v>0</v>
      </c>
      <c r="V267" s="36">
        <v>4</v>
      </c>
      <c r="W267" s="35">
        <v>0</v>
      </c>
      <c r="X267" s="35">
        <v>0</v>
      </c>
      <c r="Y267" s="35">
        <v>0</v>
      </c>
      <c r="Z267" s="35">
        <v>0</v>
      </c>
      <c r="AA267" s="1">
        <v>0</v>
      </c>
      <c r="AB267" s="1"/>
      <c r="AC267" s="1"/>
      <c r="AD267" s="1"/>
      <c r="AE267" s="35"/>
      <c r="AF267" s="1">
        <v>1</v>
      </c>
      <c r="AG267" s="1">
        <v>0</v>
      </c>
      <c r="AH267" s="1">
        <v>0</v>
      </c>
      <c r="AI267" s="1">
        <v>0</v>
      </c>
      <c r="AJ267" s="37" t="s">
        <v>32</v>
      </c>
      <c r="AK267" s="37" t="s">
        <v>32</v>
      </c>
      <c r="AL267" s="17"/>
      <c r="AM267" s="18"/>
      <c r="AN267" s="10"/>
    </row>
    <row r="268" spans="2:40" x14ac:dyDescent="0.25">
      <c r="B268" s="1">
        <f t="shared" ref="B268:B317" si="4">B267+1</f>
        <v>258</v>
      </c>
      <c r="C268" s="1">
        <v>1</v>
      </c>
      <c r="D268" s="1" t="s">
        <v>383</v>
      </c>
      <c r="E268" s="1" t="s">
        <v>381</v>
      </c>
      <c r="F268" s="1" t="s">
        <v>380</v>
      </c>
      <c r="G268" s="1"/>
      <c r="H268" s="1" t="s">
        <v>432</v>
      </c>
      <c r="I268" s="1" t="s">
        <v>85</v>
      </c>
      <c r="J268" s="1" t="s">
        <v>165</v>
      </c>
      <c r="K268" s="1" t="s">
        <v>417</v>
      </c>
      <c r="L268" s="35">
        <v>0</v>
      </c>
      <c r="M268" s="35">
        <v>0</v>
      </c>
      <c r="N268" s="35">
        <v>0</v>
      </c>
      <c r="O268" s="35">
        <v>0</v>
      </c>
      <c r="P268" s="35">
        <v>0</v>
      </c>
      <c r="Q268" s="35">
        <v>0</v>
      </c>
      <c r="R268" s="35">
        <v>0</v>
      </c>
      <c r="S268" s="35">
        <v>0</v>
      </c>
      <c r="T268" s="35">
        <v>0</v>
      </c>
      <c r="U268" s="35">
        <v>0</v>
      </c>
      <c r="V268" s="36">
        <v>4</v>
      </c>
      <c r="W268" s="35">
        <v>0</v>
      </c>
      <c r="X268" s="35">
        <v>0</v>
      </c>
      <c r="Y268" s="35">
        <v>0</v>
      </c>
      <c r="Z268" s="35">
        <v>0</v>
      </c>
      <c r="AA268" s="1">
        <v>0</v>
      </c>
      <c r="AB268" s="1"/>
      <c r="AC268" s="1"/>
      <c r="AD268" s="1">
        <v>3</v>
      </c>
      <c r="AE268" s="35"/>
      <c r="AF268" s="1">
        <v>1</v>
      </c>
      <c r="AG268" s="1">
        <v>0</v>
      </c>
      <c r="AH268" s="1">
        <v>0</v>
      </c>
      <c r="AI268" s="1">
        <v>0</v>
      </c>
      <c r="AJ268" s="37" t="s">
        <v>32</v>
      </c>
      <c r="AK268" s="37" t="s">
        <v>32</v>
      </c>
      <c r="AL268" s="17"/>
      <c r="AM268" s="18"/>
      <c r="AN268" s="10"/>
    </row>
    <row r="269" spans="2:40" x14ac:dyDescent="0.25">
      <c r="B269" s="1">
        <f t="shared" si="4"/>
        <v>259</v>
      </c>
      <c r="C269" s="1">
        <v>0</v>
      </c>
      <c r="D269" s="1" t="s">
        <v>383</v>
      </c>
      <c r="E269" s="1" t="s">
        <v>381</v>
      </c>
      <c r="F269" s="1" t="s">
        <v>380</v>
      </c>
      <c r="G269" s="1"/>
      <c r="H269" s="1" t="s">
        <v>433</v>
      </c>
      <c r="I269" s="1" t="s">
        <v>85</v>
      </c>
      <c r="J269" s="1" t="s">
        <v>165</v>
      </c>
      <c r="K269" s="1" t="s">
        <v>417</v>
      </c>
      <c r="L269" s="35">
        <v>0</v>
      </c>
      <c r="M269" s="35">
        <v>0</v>
      </c>
      <c r="N269" s="35">
        <v>0</v>
      </c>
      <c r="O269" s="35">
        <v>0</v>
      </c>
      <c r="P269" s="35">
        <v>0</v>
      </c>
      <c r="Q269" s="35">
        <v>0</v>
      </c>
      <c r="R269" s="35">
        <v>0</v>
      </c>
      <c r="S269" s="35">
        <v>0</v>
      </c>
      <c r="T269" s="35">
        <v>0</v>
      </c>
      <c r="U269" s="35">
        <v>0</v>
      </c>
      <c r="V269" s="36">
        <v>4</v>
      </c>
      <c r="W269" s="35">
        <v>0</v>
      </c>
      <c r="X269" s="35">
        <v>0</v>
      </c>
      <c r="Y269" s="35">
        <v>0</v>
      </c>
      <c r="Z269" s="35">
        <v>0</v>
      </c>
      <c r="AA269" s="1">
        <v>0</v>
      </c>
      <c r="AB269" s="1"/>
      <c r="AC269" s="1"/>
      <c r="AD269" s="1"/>
      <c r="AE269" s="35"/>
      <c r="AF269" s="1">
        <v>3</v>
      </c>
      <c r="AG269" s="1">
        <v>0</v>
      </c>
      <c r="AH269" s="35">
        <v>0</v>
      </c>
      <c r="AI269" s="35">
        <v>0</v>
      </c>
      <c r="AJ269" s="36" t="s">
        <v>21</v>
      </c>
      <c r="AK269" s="36" t="s">
        <v>21</v>
      </c>
      <c r="AL269" s="17"/>
      <c r="AM269" s="18"/>
      <c r="AN269" s="10"/>
    </row>
    <row r="270" spans="2:40" x14ac:dyDescent="0.25">
      <c r="B270" s="1">
        <f t="shared" si="4"/>
        <v>260</v>
      </c>
      <c r="C270" s="1">
        <v>1</v>
      </c>
      <c r="D270" s="1" t="s">
        <v>383</v>
      </c>
      <c r="E270" s="1" t="s">
        <v>381</v>
      </c>
      <c r="F270" s="1" t="s">
        <v>380</v>
      </c>
      <c r="G270" s="1"/>
      <c r="H270" s="1" t="s">
        <v>434</v>
      </c>
      <c r="I270" s="1" t="s">
        <v>87</v>
      </c>
      <c r="J270" s="1" t="s">
        <v>165</v>
      </c>
      <c r="K270" s="1" t="s">
        <v>417</v>
      </c>
      <c r="L270" s="35">
        <v>0</v>
      </c>
      <c r="M270" s="35">
        <v>0</v>
      </c>
      <c r="N270" s="35">
        <v>0</v>
      </c>
      <c r="O270" s="35">
        <v>0</v>
      </c>
      <c r="P270" s="35">
        <v>0</v>
      </c>
      <c r="Q270" s="35">
        <v>0</v>
      </c>
      <c r="R270" s="35">
        <v>0</v>
      </c>
      <c r="S270" s="35">
        <v>0</v>
      </c>
      <c r="T270" s="35">
        <v>0</v>
      </c>
      <c r="U270" s="35">
        <v>0</v>
      </c>
      <c r="V270" s="36">
        <v>4</v>
      </c>
      <c r="W270" s="35">
        <v>0</v>
      </c>
      <c r="X270" s="35">
        <v>0</v>
      </c>
      <c r="Y270" s="35">
        <v>0</v>
      </c>
      <c r="Z270" s="35">
        <v>0</v>
      </c>
      <c r="AA270" s="1">
        <v>0</v>
      </c>
      <c r="AB270" s="1"/>
      <c r="AC270" s="1"/>
      <c r="AD270" s="1"/>
      <c r="AE270" s="35"/>
      <c r="AF270" s="35">
        <v>1</v>
      </c>
      <c r="AG270" s="1">
        <v>0</v>
      </c>
      <c r="AH270" s="1">
        <v>0</v>
      </c>
      <c r="AI270" s="1">
        <v>0</v>
      </c>
      <c r="AJ270" s="37" t="s">
        <v>32</v>
      </c>
      <c r="AK270" s="37" t="s">
        <v>32</v>
      </c>
      <c r="AL270" s="17"/>
      <c r="AM270" s="18"/>
      <c r="AN270" s="10"/>
    </row>
    <row r="271" spans="2:40" x14ac:dyDescent="0.25">
      <c r="B271" s="1">
        <f t="shared" si="4"/>
        <v>261</v>
      </c>
      <c r="C271" s="1">
        <v>1</v>
      </c>
      <c r="D271" s="1" t="s">
        <v>383</v>
      </c>
      <c r="E271" s="1" t="s">
        <v>381</v>
      </c>
      <c r="F271" s="1" t="s">
        <v>380</v>
      </c>
      <c r="G271" s="1"/>
      <c r="H271" s="1" t="s">
        <v>435</v>
      </c>
      <c r="I271" s="1" t="s">
        <v>87</v>
      </c>
      <c r="J271" s="1" t="s">
        <v>165</v>
      </c>
      <c r="K271" s="1" t="s">
        <v>417</v>
      </c>
      <c r="L271" s="35">
        <v>0</v>
      </c>
      <c r="M271" s="35">
        <v>0</v>
      </c>
      <c r="N271" s="35">
        <v>0</v>
      </c>
      <c r="O271" s="35">
        <v>0</v>
      </c>
      <c r="P271" s="35">
        <v>0</v>
      </c>
      <c r="Q271" s="35">
        <v>0</v>
      </c>
      <c r="R271" s="35">
        <v>0</v>
      </c>
      <c r="S271" s="35">
        <v>0</v>
      </c>
      <c r="T271" s="35">
        <v>0</v>
      </c>
      <c r="U271" s="35">
        <v>0</v>
      </c>
      <c r="V271" s="36">
        <v>4</v>
      </c>
      <c r="W271" s="35">
        <v>0</v>
      </c>
      <c r="X271" s="35">
        <v>0</v>
      </c>
      <c r="Y271" s="35">
        <v>0</v>
      </c>
      <c r="Z271" s="35">
        <v>0</v>
      </c>
      <c r="AA271" s="1">
        <v>0</v>
      </c>
      <c r="AB271" s="1"/>
      <c r="AC271" s="1"/>
      <c r="AD271" s="1"/>
      <c r="AE271" s="35"/>
      <c r="AF271" s="35">
        <v>1</v>
      </c>
      <c r="AG271" s="1">
        <v>0</v>
      </c>
      <c r="AH271" s="1">
        <v>0</v>
      </c>
      <c r="AI271" s="1">
        <v>0</v>
      </c>
      <c r="AJ271" s="37" t="s">
        <v>32</v>
      </c>
      <c r="AK271" s="37" t="s">
        <v>32</v>
      </c>
      <c r="AL271" s="17"/>
      <c r="AM271" s="18"/>
      <c r="AN271" s="10"/>
    </row>
    <row r="272" spans="2:40" x14ac:dyDescent="0.25">
      <c r="B272" s="1">
        <f t="shared" si="4"/>
        <v>262</v>
      </c>
      <c r="C272" s="1">
        <v>1</v>
      </c>
      <c r="D272" s="1" t="s">
        <v>220</v>
      </c>
      <c r="E272" s="1" t="s">
        <v>52</v>
      </c>
      <c r="F272" s="1" t="s">
        <v>321</v>
      </c>
      <c r="G272" s="1" t="s">
        <v>321</v>
      </c>
      <c r="H272" s="1" t="s">
        <v>388</v>
      </c>
      <c r="I272" s="1" t="s">
        <v>85</v>
      </c>
      <c r="J272" s="1" t="s">
        <v>491</v>
      </c>
      <c r="K272" s="1" t="s">
        <v>11</v>
      </c>
      <c r="L272" s="1">
        <v>0</v>
      </c>
      <c r="M272" s="1">
        <v>4</v>
      </c>
      <c r="N272" s="1">
        <v>0</v>
      </c>
      <c r="O272" s="1">
        <v>0</v>
      </c>
      <c r="P272" s="1">
        <v>0</v>
      </c>
      <c r="Q272" s="1">
        <v>0</v>
      </c>
      <c r="R272" s="1">
        <v>0</v>
      </c>
      <c r="S272" s="1">
        <v>0</v>
      </c>
      <c r="T272" s="1">
        <v>4</v>
      </c>
      <c r="U272" s="1">
        <v>0</v>
      </c>
      <c r="V272" s="1">
        <v>0</v>
      </c>
      <c r="W272" s="1">
        <v>0</v>
      </c>
      <c r="X272" s="1">
        <v>0</v>
      </c>
      <c r="Y272" s="1">
        <v>0</v>
      </c>
      <c r="Z272" s="1">
        <v>0</v>
      </c>
      <c r="AA272" s="35">
        <v>4</v>
      </c>
      <c r="AB272" s="35"/>
      <c r="AC272" s="35"/>
      <c r="AD272" s="35">
        <v>4</v>
      </c>
      <c r="AE272" s="35"/>
      <c r="AF272" s="35"/>
      <c r="AG272" s="1">
        <v>0</v>
      </c>
      <c r="AH272" s="1">
        <v>0</v>
      </c>
      <c r="AI272" s="1">
        <v>0</v>
      </c>
      <c r="AJ272" s="1" t="s">
        <v>32</v>
      </c>
      <c r="AK272" s="1" t="s">
        <v>32</v>
      </c>
      <c r="AL272" s="17"/>
      <c r="AM272" s="18"/>
      <c r="AN272" s="10" t="s">
        <v>343</v>
      </c>
    </row>
    <row r="273" spans="2:41" x14ac:dyDescent="0.25">
      <c r="B273" s="1">
        <f t="shared" si="4"/>
        <v>263</v>
      </c>
      <c r="C273" s="1">
        <v>0</v>
      </c>
      <c r="D273" s="1" t="s">
        <v>220</v>
      </c>
      <c r="E273" s="1" t="s">
        <v>52</v>
      </c>
      <c r="F273" s="1" t="s">
        <v>321</v>
      </c>
      <c r="G273" s="1" t="s">
        <v>321</v>
      </c>
      <c r="H273" s="1" t="s">
        <v>389</v>
      </c>
      <c r="I273" s="1" t="s">
        <v>85</v>
      </c>
      <c r="J273" s="1" t="s">
        <v>491</v>
      </c>
      <c r="K273" s="1" t="s">
        <v>11</v>
      </c>
      <c r="L273" s="1">
        <v>0</v>
      </c>
      <c r="M273" s="1">
        <v>4</v>
      </c>
      <c r="N273" s="1">
        <v>0</v>
      </c>
      <c r="O273" s="1">
        <v>0</v>
      </c>
      <c r="P273" s="1">
        <v>0</v>
      </c>
      <c r="Q273" s="1">
        <v>0</v>
      </c>
      <c r="R273" s="1">
        <v>0</v>
      </c>
      <c r="S273" s="1">
        <v>0</v>
      </c>
      <c r="T273" s="1">
        <v>4</v>
      </c>
      <c r="U273" s="1">
        <v>0</v>
      </c>
      <c r="V273" s="1">
        <v>0</v>
      </c>
      <c r="W273" s="1">
        <v>0</v>
      </c>
      <c r="X273" s="1">
        <v>0</v>
      </c>
      <c r="Y273" s="1">
        <v>0</v>
      </c>
      <c r="Z273" s="1">
        <v>0</v>
      </c>
      <c r="AA273" s="35">
        <v>4</v>
      </c>
      <c r="AB273" s="35"/>
      <c r="AC273" s="35"/>
      <c r="AD273" s="35">
        <v>4</v>
      </c>
      <c r="AE273" s="35"/>
      <c r="AF273" s="35"/>
      <c r="AG273" s="1">
        <v>0</v>
      </c>
      <c r="AH273" s="1">
        <v>0</v>
      </c>
      <c r="AI273" s="1"/>
      <c r="AJ273" s="1" t="s">
        <v>32</v>
      </c>
      <c r="AK273" s="1" t="s">
        <v>32</v>
      </c>
      <c r="AL273" s="17"/>
      <c r="AM273" s="18"/>
      <c r="AN273" s="10" t="s">
        <v>343</v>
      </c>
    </row>
    <row r="274" spans="2:41" x14ac:dyDescent="0.25">
      <c r="B274" s="1">
        <f t="shared" si="4"/>
        <v>264</v>
      </c>
      <c r="C274" s="1">
        <v>1</v>
      </c>
      <c r="D274" s="1" t="s">
        <v>220</v>
      </c>
      <c r="E274" s="1" t="s">
        <v>52</v>
      </c>
      <c r="F274" s="1" t="s">
        <v>321</v>
      </c>
      <c r="G274" s="1" t="s">
        <v>321</v>
      </c>
      <c r="H274" s="1" t="s">
        <v>390</v>
      </c>
      <c r="I274" s="1" t="s">
        <v>85</v>
      </c>
      <c r="J274" s="1" t="s">
        <v>491</v>
      </c>
      <c r="K274" s="1" t="s">
        <v>11</v>
      </c>
      <c r="L274" s="1">
        <v>0</v>
      </c>
      <c r="M274" s="1">
        <v>4</v>
      </c>
      <c r="N274" s="1">
        <v>0</v>
      </c>
      <c r="O274" s="1">
        <v>0</v>
      </c>
      <c r="P274" s="1">
        <v>0</v>
      </c>
      <c r="Q274" s="1">
        <v>0</v>
      </c>
      <c r="R274" s="1">
        <v>0</v>
      </c>
      <c r="S274" s="1">
        <v>0</v>
      </c>
      <c r="T274" s="1">
        <v>4</v>
      </c>
      <c r="U274" s="1">
        <v>0</v>
      </c>
      <c r="V274" s="1">
        <v>0</v>
      </c>
      <c r="W274" s="1">
        <v>0</v>
      </c>
      <c r="X274" s="1">
        <v>0</v>
      </c>
      <c r="Y274" s="1">
        <v>0</v>
      </c>
      <c r="Z274" s="1">
        <v>0</v>
      </c>
      <c r="AA274" s="35">
        <v>4</v>
      </c>
      <c r="AB274" s="35"/>
      <c r="AC274" s="35"/>
      <c r="AD274" s="35">
        <v>4</v>
      </c>
      <c r="AE274" s="35"/>
      <c r="AF274" s="35"/>
      <c r="AG274" s="1">
        <v>0</v>
      </c>
      <c r="AH274" s="1">
        <v>0</v>
      </c>
      <c r="AI274" s="1">
        <v>0</v>
      </c>
      <c r="AJ274" s="1" t="s">
        <v>32</v>
      </c>
      <c r="AK274" s="1" t="s">
        <v>32</v>
      </c>
      <c r="AL274" s="17"/>
      <c r="AM274" s="18"/>
      <c r="AN274" s="10" t="s">
        <v>343</v>
      </c>
    </row>
    <row r="275" spans="2:41" x14ac:dyDescent="0.25">
      <c r="B275" s="1">
        <f t="shared" si="4"/>
        <v>265</v>
      </c>
      <c r="C275" s="1">
        <v>1</v>
      </c>
      <c r="D275" s="1" t="s">
        <v>220</v>
      </c>
      <c r="E275" s="1" t="s">
        <v>52</v>
      </c>
      <c r="F275" s="1" t="s">
        <v>321</v>
      </c>
      <c r="G275" s="1" t="s">
        <v>321</v>
      </c>
      <c r="H275" s="1" t="s">
        <v>391</v>
      </c>
      <c r="I275" s="1" t="s">
        <v>87</v>
      </c>
      <c r="J275" s="1" t="s">
        <v>491</v>
      </c>
      <c r="K275" s="1" t="s">
        <v>11</v>
      </c>
      <c r="L275" s="1">
        <v>0</v>
      </c>
      <c r="M275" s="1">
        <v>4</v>
      </c>
      <c r="N275" s="1">
        <v>0</v>
      </c>
      <c r="O275" s="1">
        <v>0</v>
      </c>
      <c r="P275" s="1">
        <v>0</v>
      </c>
      <c r="Q275" s="1">
        <v>0</v>
      </c>
      <c r="R275" s="1">
        <v>0</v>
      </c>
      <c r="S275" s="1">
        <v>0</v>
      </c>
      <c r="T275" s="1">
        <v>4</v>
      </c>
      <c r="U275" s="1">
        <v>0</v>
      </c>
      <c r="V275" s="1">
        <v>0</v>
      </c>
      <c r="W275" s="1">
        <v>0</v>
      </c>
      <c r="X275" s="1">
        <v>0</v>
      </c>
      <c r="Y275" s="1">
        <v>0</v>
      </c>
      <c r="Z275" s="1">
        <v>0</v>
      </c>
      <c r="AA275" s="35">
        <v>4</v>
      </c>
      <c r="AB275" s="35"/>
      <c r="AC275" s="35"/>
      <c r="AD275" s="35">
        <v>4</v>
      </c>
      <c r="AE275" s="35"/>
      <c r="AF275" s="35"/>
      <c r="AG275" s="1">
        <v>0</v>
      </c>
      <c r="AH275" s="1">
        <v>0</v>
      </c>
      <c r="AI275" s="1">
        <v>0</v>
      </c>
      <c r="AJ275" s="1" t="s">
        <v>32</v>
      </c>
      <c r="AK275" s="1" t="s">
        <v>32</v>
      </c>
      <c r="AL275" s="17"/>
      <c r="AM275" s="18"/>
      <c r="AN275" s="10" t="s">
        <v>343</v>
      </c>
    </row>
    <row r="276" spans="2:41" x14ac:dyDescent="0.25">
      <c r="B276" s="1">
        <f t="shared" si="4"/>
        <v>266</v>
      </c>
      <c r="C276" s="1">
        <v>1</v>
      </c>
      <c r="D276" s="1" t="s">
        <v>220</v>
      </c>
      <c r="E276" s="1" t="s">
        <v>52</v>
      </c>
      <c r="F276" s="1" t="s">
        <v>321</v>
      </c>
      <c r="G276" s="1" t="s">
        <v>321</v>
      </c>
      <c r="H276" s="1" t="s">
        <v>392</v>
      </c>
      <c r="I276" s="1" t="s">
        <v>87</v>
      </c>
      <c r="J276" s="1" t="s">
        <v>491</v>
      </c>
      <c r="K276" s="1" t="s">
        <v>11</v>
      </c>
      <c r="L276" s="1">
        <v>0</v>
      </c>
      <c r="M276" s="1">
        <v>4</v>
      </c>
      <c r="N276" s="1">
        <v>0</v>
      </c>
      <c r="O276" s="1">
        <v>0</v>
      </c>
      <c r="P276" s="1">
        <v>0</v>
      </c>
      <c r="Q276" s="1">
        <v>0</v>
      </c>
      <c r="R276" s="1">
        <v>0</v>
      </c>
      <c r="S276" s="1">
        <v>0</v>
      </c>
      <c r="T276" s="1">
        <v>4</v>
      </c>
      <c r="U276" s="1">
        <v>0</v>
      </c>
      <c r="V276" s="1">
        <v>0</v>
      </c>
      <c r="W276" s="1">
        <v>0</v>
      </c>
      <c r="X276" s="1">
        <v>0</v>
      </c>
      <c r="Y276" s="1">
        <v>0</v>
      </c>
      <c r="Z276" s="1">
        <v>0</v>
      </c>
      <c r="AA276" s="35">
        <v>4</v>
      </c>
      <c r="AB276" s="35"/>
      <c r="AC276" s="35"/>
      <c r="AD276" s="35">
        <v>4</v>
      </c>
      <c r="AE276" s="35"/>
      <c r="AF276" s="35"/>
      <c r="AG276" s="1">
        <v>0</v>
      </c>
      <c r="AH276" s="1">
        <v>0</v>
      </c>
      <c r="AI276" s="1">
        <v>0</v>
      </c>
      <c r="AJ276" s="1" t="s">
        <v>32</v>
      </c>
      <c r="AK276" s="1" t="s">
        <v>32</v>
      </c>
      <c r="AL276" s="17"/>
      <c r="AM276" s="18"/>
      <c r="AN276" s="10" t="s">
        <v>343</v>
      </c>
    </row>
    <row r="277" spans="2:41" x14ac:dyDescent="0.25">
      <c r="B277" s="1">
        <f t="shared" si="4"/>
        <v>267</v>
      </c>
      <c r="C277" s="1">
        <v>1</v>
      </c>
      <c r="D277" s="1" t="s">
        <v>220</v>
      </c>
      <c r="E277" s="1" t="s">
        <v>52</v>
      </c>
      <c r="F277" s="1" t="s">
        <v>321</v>
      </c>
      <c r="G277" s="1" t="s">
        <v>321</v>
      </c>
      <c r="H277" s="1" t="s">
        <v>393</v>
      </c>
      <c r="I277" s="1" t="s">
        <v>87</v>
      </c>
      <c r="J277" s="1" t="s">
        <v>491</v>
      </c>
      <c r="K277" s="1" t="s">
        <v>11</v>
      </c>
      <c r="L277" s="1">
        <v>0</v>
      </c>
      <c r="M277" s="1">
        <v>4</v>
      </c>
      <c r="N277" s="1">
        <v>0</v>
      </c>
      <c r="O277" s="1">
        <v>0</v>
      </c>
      <c r="P277" s="1">
        <v>0</v>
      </c>
      <c r="Q277" s="1">
        <v>0</v>
      </c>
      <c r="R277" s="1">
        <v>0</v>
      </c>
      <c r="S277" s="1">
        <v>0</v>
      </c>
      <c r="T277" s="1">
        <v>4</v>
      </c>
      <c r="U277" s="1">
        <v>0</v>
      </c>
      <c r="V277" s="1">
        <v>0</v>
      </c>
      <c r="W277" s="1">
        <v>0</v>
      </c>
      <c r="X277" s="1">
        <v>0</v>
      </c>
      <c r="Y277" s="1">
        <v>0</v>
      </c>
      <c r="Z277" s="1">
        <v>0</v>
      </c>
      <c r="AA277" s="35">
        <v>4</v>
      </c>
      <c r="AB277" s="35"/>
      <c r="AC277" s="35"/>
      <c r="AD277" s="35">
        <v>4</v>
      </c>
      <c r="AE277" s="35"/>
      <c r="AF277" s="35"/>
      <c r="AG277" s="1">
        <v>0</v>
      </c>
      <c r="AH277" s="1">
        <v>0</v>
      </c>
      <c r="AI277" s="1">
        <v>0</v>
      </c>
      <c r="AJ277" s="1" t="s">
        <v>32</v>
      </c>
      <c r="AK277" s="1" t="s">
        <v>32</v>
      </c>
      <c r="AL277" s="17"/>
      <c r="AM277" s="18"/>
      <c r="AN277" s="10" t="s">
        <v>343</v>
      </c>
    </row>
    <row r="278" spans="2:41" x14ac:dyDescent="0.25">
      <c r="B278" s="1">
        <f t="shared" si="4"/>
        <v>268</v>
      </c>
      <c r="C278" s="1">
        <v>1</v>
      </c>
      <c r="D278" s="1" t="s">
        <v>220</v>
      </c>
      <c r="E278" s="1" t="s">
        <v>52</v>
      </c>
      <c r="F278" s="1" t="s">
        <v>321</v>
      </c>
      <c r="G278" s="1" t="s">
        <v>321</v>
      </c>
      <c r="H278" s="1" t="s">
        <v>394</v>
      </c>
      <c r="I278" s="1" t="s">
        <v>87</v>
      </c>
      <c r="J278" s="1" t="s">
        <v>491</v>
      </c>
      <c r="K278" s="1" t="s">
        <v>11</v>
      </c>
      <c r="L278" s="1">
        <v>0</v>
      </c>
      <c r="M278" s="1">
        <v>4</v>
      </c>
      <c r="N278" s="1">
        <v>0</v>
      </c>
      <c r="O278" s="1">
        <v>0</v>
      </c>
      <c r="P278" s="1">
        <v>0</v>
      </c>
      <c r="Q278" s="1">
        <v>0</v>
      </c>
      <c r="R278" s="1">
        <v>0</v>
      </c>
      <c r="S278" s="1">
        <v>0</v>
      </c>
      <c r="T278" s="1">
        <v>4</v>
      </c>
      <c r="U278" s="1">
        <v>0</v>
      </c>
      <c r="V278" s="1">
        <v>0</v>
      </c>
      <c r="W278" s="1">
        <v>0</v>
      </c>
      <c r="X278" s="1">
        <v>0</v>
      </c>
      <c r="Y278" s="1">
        <v>0</v>
      </c>
      <c r="Z278" s="1">
        <v>0</v>
      </c>
      <c r="AA278" s="35">
        <v>4</v>
      </c>
      <c r="AB278" s="35"/>
      <c r="AC278" s="35"/>
      <c r="AD278" s="35">
        <v>4</v>
      </c>
      <c r="AE278" s="35"/>
      <c r="AF278" s="35"/>
      <c r="AG278" s="1">
        <v>0</v>
      </c>
      <c r="AH278" s="1">
        <v>0</v>
      </c>
      <c r="AI278" s="1">
        <v>0</v>
      </c>
      <c r="AJ278" s="1" t="s">
        <v>32</v>
      </c>
      <c r="AK278" s="1" t="s">
        <v>32</v>
      </c>
      <c r="AL278" s="17"/>
      <c r="AM278" s="18"/>
      <c r="AN278" s="10" t="s">
        <v>343</v>
      </c>
    </row>
    <row r="279" spans="2:41" x14ac:dyDescent="0.25">
      <c r="B279" s="1">
        <f t="shared" si="4"/>
        <v>269</v>
      </c>
      <c r="C279" s="1">
        <v>1</v>
      </c>
      <c r="D279" s="1" t="s">
        <v>220</v>
      </c>
      <c r="E279" s="1" t="s">
        <v>52</v>
      </c>
      <c r="F279" s="1" t="s">
        <v>321</v>
      </c>
      <c r="G279" s="1" t="s">
        <v>321</v>
      </c>
      <c r="H279" s="1" t="s">
        <v>395</v>
      </c>
      <c r="I279" s="1" t="s">
        <v>86</v>
      </c>
      <c r="J279" s="1" t="s">
        <v>491</v>
      </c>
      <c r="K279" s="1" t="s">
        <v>11</v>
      </c>
      <c r="L279" s="1">
        <v>0</v>
      </c>
      <c r="M279" s="1">
        <v>4</v>
      </c>
      <c r="N279" s="1">
        <v>0</v>
      </c>
      <c r="O279" s="1">
        <v>0</v>
      </c>
      <c r="P279" s="1">
        <v>0</v>
      </c>
      <c r="Q279" s="1">
        <v>0</v>
      </c>
      <c r="R279" s="1">
        <v>0</v>
      </c>
      <c r="S279" s="1">
        <v>0</v>
      </c>
      <c r="T279" s="1">
        <v>4</v>
      </c>
      <c r="U279" s="1">
        <v>0</v>
      </c>
      <c r="V279" s="1">
        <v>0</v>
      </c>
      <c r="W279" s="1">
        <v>0</v>
      </c>
      <c r="X279" s="1">
        <v>0</v>
      </c>
      <c r="Y279" s="1">
        <v>0</v>
      </c>
      <c r="Z279" s="1">
        <v>0</v>
      </c>
      <c r="AA279" s="35">
        <v>4</v>
      </c>
      <c r="AB279" s="35"/>
      <c r="AC279" s="35"/>
      <c r="AD279" s="35">
        <v>4</v>
      </c>
      <c r="AE279" s="35"/>
      <c r="AF279" s="35"/>
      <c r="AG279" s="1">
        <v>0</v>
      </c>
      <c r="AH279" s="1">
        <v>0</v>
      </c>
      <c r="AI279" s="1">
        <v>0</v>
      </c>
      <c r="AJ279" s="1" t="s">
        <v>32</v>
      </c>
      <c r="AK279" s="1" t="s">
        <v>32</v>
      </c>
      <c r="AL279" s="17"/>
      <c r="AM279" s="18"/>
      <c r="AN279" s="10" t="s">
        <v>343</v>
      </c>
    </row>
    <row r="280" spans="2:41" x14ac:dyDescent="0.25">
      <c r="B280" s="1">
        <f t="shared" si="4"/>
        <v>270</v>
      </c>
      <c r="C280" s="1">
        <v>0</v>
      </c>
      <c r="D280" s="1" t="s">
        <v>220</v>
      </c>
      <c r="E280" s="1" t="s">
        <v>52</v>
      </c>
      <c r="F280" s="1" t="s">
        <v>321</v>
      </c>
      <c r="G280" s="1" t="s">
        <v>321</v>
      </c>
      <c r="H280" s="1" t="s">
        <v>396</v>
      </c>
      <c r="I280" s="1" t="s">
        <v>85</v>
      </c>
      <c r="J280" s="1" t="s">
        <v>491</v>
      </c>
      <c r="K280" s="1" t="s">
        <v>11</v>
      </c>
      <c r="L280" s="1">
        <v>0</v>
      </c>
      <c r="M280" s="1">
        <v>4</v>
      </c>
      <c r="N280" s="1">
        <v>0</v>
      </c>
      <c r="O280" s="1">
        <v>0</v>
      </c>
      <c r="P280" s="1">
        <v>0</v>
      </c>
      <c r="Q280" s="1">
        <v>0</v>
      </c>
      <c r="R280" s="1">
        <v>0</v>
      </c>
      <c r="S280" s="1">
        <v>0</v>
      </c>
      <c r="T280" s="1">
        <v>4</v>
      </c>
      <c r="U280" s="1">
        <v>0</v>
      </c>
      <c r="V280" s="1">
        <v>0</v>
      </c>
      <c r="W280" s="1">
        <v>0</v>
      </c>
      <c r="X280" s="1">
        <v>0</v>
      </c>
      <c r="Y280" s="1">
        <v>0</v>
      </c>
      <c r="Z280" s="1">
        <v>0</v>
      </c>
      <c r="AA280" s="35">
        <v>4</v>
      </c>
      <c r="AB280" s="35"/>
      <c r="AC280" s="35"/>
      <c r="AD280" s="35">
        <v>4</v>
      </c>
      <c r="AE280" s="35"/>
      <c r="AF280" s="35"/>
      <c r="AG280" s="1">
        <v>0</v>
      </c>
      <c r="AH280" s="1">
        <v>0</v>
      </c>
      <c r="AI280" s="1"/>
      <c r="AJ280" s="1" t="s">
        <v>32</v>
      </c>
      <c r="AK280" s="1" t="s">
        <v>32</v>
      </c>
      <c r="AL280" s="17"/>
      <c r="AM280" s="18"/>
      <c r="AN280" s="10" t="s">
        <v>343</v>
      </c>
    </row>
    <row r="281" spans="2:41" x14ac:dyDescent="0.25">
      <c r="B281" s="1">
        <f t="shared" si="4"/>
        <v>271</v>
      </c>
      <c r="C281" s="1">
        <v>1</v>
      </c>
      <c r="D281" s="1" t="s">
        <v>220</v>
      </c>
      <c r="E281" s="1" t="s">
        <v>52</v>
      </c>
      <c r="F281" s="1" t="s">
        <v>321</v>
      </c>
      <c r="G281" s="1" t="s">
        <v>321</v>
      </c>
      <c r="H281" s="1" t="s">
        <v>397</v>
      </c>
      <c r="I281" s="1" t="s">
        <v>85</v>
      </c>
      <c r="J281" s="1" t="s">
        <v>491</v>
      </c>
      <c r="K281" s="1" t="s">
        <v>11</v>
      </c>
      <c r="L281" s="1">
        <v>0</v>
      </c>
      <c r="M281" s="1">
        <v>4</v>
      </c>
      <c r="N281" s="1">
        <v>0</v>
      </c>
      <c r="O281" s="1">
        <v>0</v>
      </c>
      <c r="P281" s="1">
        <v>0</v>
      </c>
      <c r="Q281" s="1">
        <v>0</v>
      </c>
      <c r="R281" s="1">
        <v>0</v>
      </c>
      <c r="S281" s="1">
        <v>0</v>
      </c>
      <c r="T281" s="1">
        <v>4</v>
      </c>
      <c r="U281" s="1">
        <v>0</v>
      </c>
      <c r="V281" s="1">
        <v>0</v>
      </c>
      <c r="W281" s="1">
        <v>0</v>
      </c>
      <c r="X281" s="1">
        <v>0</v>
      </c>
      <c r="Y281" s="1">
        <v>0</v>
      </c>
      <c r="Z281" s="1">
        <v>0</v>
      </c>
      <c r="AA281" s="35">
        <v>4</v>
      </c>
      <c r="AB281" s="35"/>
      <c r="AC281" s="35"/>
      <c r="AD281" s="35">
        <v>4</v>
      </c>
      <c r="AE281" s="35"/>
      <c r="AF281" s="35"/>
      <c r="AG281" s="1">
        <v>0</v>
      </c>
      <c r="AH281" s="1">
        <v>0</v>
      </c>
      <c r="AI281" s="1">
        <v>0</v>
      </c>
      <c r="AJ281" s="1" t="s">
        <v>32</v>
      </c>
      <c r="AK281" s="1" t="s">
        <v>32</v>
      </c>
      <c r="AL281" s="17"/>
      <c r="AM281" s="18"/>
      <c r="AN281" s="10" t="s">
        <v>343</v>
      </c>
    </row>
    <row r="282" spans="2:41" x14ac:dyDescent="0.25">
      <c r="B282" s="1">
        <f t="shared" si="4"/>
        <v>272</v>
      </c>
      <c r="C282" s="1">
        <v>0</v>
      </c>
      <c r="D282" s="1" t="s">
        <v>186</v>
      </c>
      <c r="E282" s="1" t="s">
        <v>186</v>
      </c>
      <c r="F282" s="1" t="s">
        <v>19</v>
      </c>
      <c r="G282" s="1"/>
      <c r="H282" s="1" t="s">
        <v>399</v>
      </c>
      <c r="I282" s="1" t="s">
        <v>87</v>
      </c>
      <c r="J282" s="1" t="s">
        <v>340</v>
      </c>
      <c r="K282" s="1" t="s">
        <v>408</v>
      </c>
      <c r="L282" s="1">
        <v>0</v>
      </c>
      <c r="M282" s="1">
        <v>0</v>
      </c>
      <c r="N282" s="1">
        <v>0</v>
      </c>
      <c r="O282" s="1">
        <v>0</v>
      </c>
      <c r="P282" s="1">
        <v>0</v>
      </c>
      <c r="Q282" s="1">
        <v>0</v>
      </c>
      <c r="R282" s="1">
        <v>0</v>
      </c>
      <c r="S282" s="1">
        <v>0</v>
      </c>
      <c r="T282" s="1">
        <v>0</v>
      </c>
      <c r="U282" s="1">
        <v>0</v>
      </c>
      <c r="V282" s="1">
        <v>0</v>
      </c>
      <c r="W282" s="1">
        <v>0</v>
      </c>
      <c r="X282" s="1">
        <v>4</v>
      </c>
      <c r="Y282" s="1">
        <v>0</v>
      </c>
      <c r="Z282" s="1">
        <v>3</v>
      </c>
      <c r="AA282" s="35">
        <v>0</v>
      </c>
      <c r="AB282" s="35"/>
      <c r="AC282" s="35"/>
      <c r="AD282" s="35"/>
      <c r="AE282" s="35">
        <v>4</v>
      </c>
      <c r="AF282" s="35">
        <v>0</v>
      </c>
      <c r="AG282" s="1">
        <v>0</v>
      </c>
      <c r="AH282" s="1">
        <v>0</v>
      </c>
      <c r="AI282" s="1">
        <v>0</v>
      </c>
      <c r="AJ282" s="1" t="s">
        <v>21</v>
      </c>
      <c r="AK282" s="1" t="s">
        <v>21</v>
      </c>
      <c r="AL282" s="17"/>
      <c r="AM282" s="18"/>
      <c r="AN282" s="10"/>
    </row>
    <row r="283" spans="2:41" ht="15" customHeight="1" x14ac:dyDescent="0.25">
      <c r="B283" s="1">
        <f t="shared" si="4"/>
        <v>273</v>
      </c>
      <c r="C283" s="1">
        <v>0</v>
      </c>
      <c r="D283" s="1" t="s">
        <v>186</v>
      </c>
      <c r="E283" s="1" t="s">
        <v>186</v>
      </c>
      <c r="F283" s="1" t="s">
        <v>109</v>
      </c>
      <c r="G283" s="1"/>
      <c r="H283" s="1" t="s">
        <v>400</v>
      </c>
      <c r="I283" s="1" t="s">
        <v>87</v>
      </c>
      <c r="J283" s="1" t="s">
        <v>340</v>
      </c>
      <c r="K283" s="1" t="s">
        <v>330</v>
      </c>
      <c r="L283" s="1">
        <v>0</v>
      </c>
      <c r="M283" s="1">
        <v>0</v>
      </c>
      <c r="N283" s="1">
        <v>0</v>
      </c>
      <c r="O283" s="1">
        <v>0</v>
      </c>
      <c r="P283" s="1">
        <v>0</v>
      </c>
      <c r="Q283" s="1">
        <v>0</v>
      </c>
      <c r="R283" s="1">
        <v>0</v>
      </c>
      <c r="S283" s="1">
        <v>0</v>
      </c>
      <c r="T283" s="1">
        <v>0</v>
      </c>
      <c r="U283" s="1">
        <v>0</v>
      </c>
      <c r="V283" s="1">
        <v>0</v>
      </c>
      <c r="W283" s="1">
        <v>0</v>
      </c>
      <c r="X283" s="1">
        <v>4</v>
      </c>
      <c r="Y283" s="1">
        <v>0</v>
      </c>
      <c r="Z283" s="1">
        <v>1</v>
      </c>
      <c r="AA283" s="35">
        <v>0</v>
      </c>
      <c r="AB283" s="35"/>
      <c r="AC283" s="35"/>
      <c r="AD283" s="35"/>
      <c r="AE283" s="35"/>
      <c r="AF283" s="35">
        <v>0</v>
      </c>
      <c r="AG283" s="1">
        <v>0</v>
      </c>
      <c r="AH283" s="1">
        <v>0</v>
      </c>
      <c r="AI283" s="1"/>
      <c r="AJ283" s="1" t="s">
        <v>32</v>
      </c>
      <c r="AK283" s="1" t="s">
        <v>32</v>
      </c>
      <c r="AL283" s="17"/>
      <c r="AM283" s="18"/>
      <c r="AN283" s="10"/>
    </row>
    <row r="284" spans="2:41" ht="15" customHeight="1" x14ac:dyDescent="0.25">
      <c r="B284" s="1">
        <f t="shared" si="4"/>
        <v>274</v>
      </c>
      <c r="C284" s="1">
        <v>1</v>
      </c>
      <c r="D284" s="1" t="s">
        <v>283</v>
      </c>
      <c r="E284" s="1" t="s">
        <v>52</v>
      </c>
      <c r="F284" s="1" t="s">
        <v>238</v>
      </c>
      <c r="G284" s="1" t="s">
        <v>238</v>
      </c>
      <c r="H284" s="1" t="s">
        <v>406</v>
      </c>
      <c r="I284" s="1" t="s">
        <v>85</v>
      </c>
      <c r="J284" s="1" t="s">
        <v>312</v>
      </c>
      <c r="K284" s="1" t="s">
        <v>408</v>
      </c>
      <c r="L284" s="1"/>
      <c r="M284" s="1"/>
      <c r="N284" s="1"/>
      <c r="O284" s="1"/>
      <c r="P284" s="1"/>
      <c r="Q284" s="1"/>
      <c r="R284" s="1"/>
      <c r="S284" s="1"/>
      <c r="T284" s="1"/>
      <c r="U284" s="1"/>
      <c r="V284" s="1"/>
      <c r="W284" s="1"/>
      <c r="X284" s="1">
        <v>3</v>
      </c>
      <c r="Y284" s="1">
        <v>4</v>
      </c>
      <c r="Z284" s="1">
        <v>3</v>
      </c>
      <c r="AA284" s="1"/>
      <c r="AB284" s="1"/>
      <c r="AC284" s="1"/>
      <c r="AD284" s="1"/>
      <c r="AE284" s="1">
        <v>3</v>
      </c>
      <c r="AF284" s="1"/>
      <c r="AG284" s="1"/>
      <c r="AH284" s="1">
        <v>0</v>
      </c>
      <c r="AI284" s="1">
        <v>0</v>
      </c>
      <c r="AJ284" s="1" t="s">
        <v>21</v>
      </c>
      <c r="AK284" s="1" t="s">
        <v>21</v>
      </c>
      <c r="AL284" s="17" t="s">
        <v>412</v>
      </c>
      <c r="AM284" s="18" t="s">
        <v>410</v>
      </c>
      <c r="AN284" s="10" t="s">
        <v>405</v>
      </c>
    </row>
    <row r="285" spans="2:41" ht="15" customHeight="1" x14ac:dyDescent="0.25">
      <c r="B285" s="1">
        <f t="shared" si="4"/>
        <v>275</v>
      </c>
      <c r="C285" s="1">
        <v>1</v>
      </c>
      <c r="D285" s="1" t="s">
        <v>187</v>
      </c>
      <c r="E285" s="1" t="s">
        <v>347</v>
      </c>
      <c r="F285" s="1" t="s">
        <v>407</v>
      </c>
      <c r="G285" s="1" t="s">
        <v>407</v>
      </c>
      <c r="H285" s="1" t="s">
        <v>446</v>
      </c>
      <c r="I285" s="1" t="s">
        <v>87</v>
      </c>
      <c r="J285" s="1" t="s">
        <v>312</v>
      </c>
      <c r="K285" s="1" t="s">
        <v>408</v>
      </c>
      <c r="L285" s="1"/>
      <c r="M285" s="1"/>
      <c r="N285" s="1"/>
      <c r="O285" s="1"/>
      <c r="P285" s="1"/>
      <c r="Q285" s="1"/>
      <c r="R285" s="1"/>
      <c r="S285" s="1"/>
      <c r="T285" s="1"/>
      <c r="U285" s="1"/>
      <c r="V285" s="1"/>
      <c r="W285" s="1"/>
      <c r="X285" s="1"/>
      <c r="Y285" s="1">
        <v>4</v>
      </c>
      <c r="Z285" s="1">
        <v>1</v>
      </c>
      <c r="AA285" s="1"/>
      <c r="AB285" s="1"/>
      <c r="AC285" s="1"/>
      <c r="AD285" s="1"/>
      <c r="AE285" s="1">
        <v>3</v>
      </c>
      <c r="AF285" s="1"/>
      <c r="AG285" s="1"/>
      <c r="AH285" s="1">
        <v>0</v>
      </c>
      <c r="AI285" s="1">
        <v>0</v>
      </c>
      <c r="AJ285" s="1" t="s">
        <v>21</v>
      </c>
      <c r="AK285" s="1" t="s">
        <v>21</v>
      </c>
      <c r="AL285" s="17" t="s">
        <v>409</v>
      </c>
      <c r="AM285" s="18" t="s">
        <v>410</v>
      </c>
      <c r="AN285" s="10" t="s">
        <v>485</v>
      </c>
    </row>
    <row r="286" spans="2:41" x14ac:dyDescent="0.25">
      <c r="B286" s="1">
        <f t="shared" si="4"/>
        <v>276</v>
      </c>
      <c r="C286" s="1">
        <v>0</v>
      </c>
      <c r="D286" s="1" t="s">
        <v>196</v>
      </c>
      <c r="E286" s="1" t="s">
        <v>196</v>
      </c>
      <c r="F286" s="1" t="s">
        <v>438</v>
      </c>
      <c r="G286" s="1"/>
      <c r="H286" s="1" t="s">
        <v>483</v>
      </c>
      <c r="I286" s="1" t="s">
        <v>85</v>
      </c>
      <c r="J286" s="1" t="s">
        <v>340</v>
      </c>
      <c r="K286" s="1" t="s">
        <v>408</v>
      </c>
      <c r="L286" s="1">
        <v>0</v>
      </c>
      <c r="M286" s="1">
        <v>0</v>
      </c>
      <c r="N286" s="1">
        <v>0</v>
      </c>
      <c r="O286" s="1">
        <v>0</v>
      </c>
      <c r="P286" s="1">
        <v>0</v>
      </c>
      <c r="Q286" s="1">
        <v>0</v>
      </c>
      <c r="R286" s="1">
        <v>0</v>
      </c>
      <c r="S286" s="1">
        <v>0</v>
      </c>
      <c r="T286" s="1">
        <v>0</v>
      </c>
      <c r="U286" s="1">
        <v>0</v>
      </c>
      <c r="V286" s="1">
        <v>0</v>
      </c>
      <c r="W286" s="1">
        <v>0</v>
      </c>
      <c r="X286" s="1">
        <v>4</v>
      </c>
      <c r="Y286" s="1">
        <v>0</v>
      </c>
      <c r="Z286" s="1">
        <v>0</v>
      </c>
      <c r="AA286" s="35">
        <v>0</v>
      </c>
      <c r="AB286" s="35"/>
      <c r="AC286" s="35"/>
      <c r="AD286" s="35"/>
      <c r="AE286" s="35">
        <v>3</v>
      </c>
      <c r="AF286" s="35">
        <v>0</v>
      </c>
      <c r="AG286" s="1">
        <v>0</v>
      </c>
      <c r="AH286" s="1">
        <v>0</v>
      </c>
      <c r="AI286" s="1">
        <v>0</v>
      </c>
      <c r="AJ286" s="1" t="s">
        <v>32</v>
      </c>
      <c r="AK286" s="1" t="s">
        <v>32</v>
      </c>
      <c r="AL286" s="17"/>
      <c r="AM286" s="18"/>
      <c r="AN286" s="10"/>
    </row>
    <row r="287" spans="2:41" x14ac:dyDescent="0.25">
      <c r="B287" s="1">
        <f t="shared" si="4"/>
        <v>277</v>
      </c>
      <c r="C287" s="1">
        <v>0</v>
      </c>
      <c r="D287" s="1" t="s">
        <v>177</v>
      </c>
      <c r="E287" s="1" t="s">
        <v>439</v>
      </c>
      <c r="F287" s="1" t="s">
        <v>176</v>
      </c>
      <c r="G287" s="1"/>
      <c r="H287" s="1" t="s">
        <v>440</v>
      </c>
      <c r="I287" s="1" t="s">
        <v>85</v>
      </c>
      <c r="J287" s="1" t="s">
        <v>340</v>
      </c>
      <c r="K287" s="1" t="s">
        <v>408</v>
      </c>
      <c r="L287" s="1">
        <v>0</v>
      </c>
      <c r="M287" s="1">
        <v>0</v>
      </c>
      <c r="N287" s="1">
        <v>0</v>
      </c>
      <c r="O287" s="1">
        <v>0</v>
      </c>
      <c r="P287" s="1">
        <v>0</v>
      </c>
      <c r="Q287" s="1">
        <v>0</v>
      </c>
      <c r="R287" s="1">
        <v>0</v>
      </c>
      <c r="S287" s="1">
        <v>0</v>
      </c>
      <c r="T287" s="1">
        <v>0</v>
      </c>
      <c r="U287" s="1">
        <v>0</v>
      </c>
      <c r="V287" s="1">
        <v>0</v>
      </c>
      <c r="W287" s="1">
        <v>0</v>
      </c>
      <c r="X287" s="1">
        <v>4</v>
      </c>
      <c r="Y287" s="1">
        <v>0</v>
      </c>
      <c r="Z287" s="1">
        <v>0</v>
      </c>
      <c r="AA287" s="35">
        <v>0</v>
      </c>
      <c r="AB287" s="35"/>
      <c r="AC287" s="35"/>
      <c r="AD287" s="35"/>
      <c r="AE287" s="35">
        <v>4</v>
      </c>
      <c r="AF287" s="35">
        <v>0</v>
      </c>
      <c r="AG287" s="1">
        <v>0</v>
      </c>
      <c r="AH287" s="1">
        <v>0</v>
      </c>
      <c r="AI287" s="1">
        <v>0</v>
      </c>
      <c r="AJ287" s="1" t="s">
        <v>32</v>
      </c>
      <c r="AK287" s="1" t="s">
        <v>32</v>
      </c>
      <c r="AL287" s="17"/>
      <c r="AM287" s="18"/>
      <c r="AN287" s="10"/>
    </row>
    <row r="288" spans="2:41" ht="15" customHeight="1" x14ac:dyDescent="0.25">
      <c r="B288" s="1">
        <f t="shared" si="4"/>
        <v>278</v>
      </c>
      <c r="C288" s="1">
        <v>1</v>
      </c>
      <c r="D288" s="1" t="s">
        <v>187</v>
      </c>
      <c r="E288" s="1" t="s">
        <v>347</v>
      </c>
      <c r="F288" s="1" t="s">
        <v>45</v>
      </c>
      <c r="G288" s="1" t="s">
        <v>488</v>
      </c>
      <c r="H288" s="1" t="s">
        <v>501</v>
      </c>
      <c r="I288" s="1" t="s">
        <v>85</v>
      </c>
      <c r="J288" s="1" t="s">
        <v>312</v>
      </c>
      <c r="K288" s="1" t="s">
        <v>408</v>
      </c>
      <c r="L288" s="1">
        <v>3</v>
      </c>
      <c r="M288" s="1">
        <v>2</v>
      </c>
      <c r="N288" s="1">
        <v>4</v>
      </c>
      <c r="O288" s="1">
        <v>2</v>
      </c>
      <c r="P288" s="1">
        <v>1</v>
      </c>
      <c r="Q288" s="1">
        <v>3</v>
      </c>
      <c r="R288" s="1"/>
      <c r="S288" s="1">
        <v>2</v>
      </c>
      <c r="T288" s="1">
        <v>1</v>
      </c>
      <c r="U288" s="1">
        <v>3</v>
      </c>
      <c r="V288" s="1">
        <v>3</v>
      </c>
      <c r="W288" s="1"/>
      <c r="X288" s="1"/>
      <c r="Y288" s="1">
        <v>4</v>
      </c>
      <c r="Z288" s="1">
        <v>3</v>
      </c>
      <c r="AA288" s="35"/>
      <c r="AB288" s="35"/>
      <c r="AC288" s="35"/>
      <c r="AD288" s="35"/>
      <c r="AE288" s="35">
        <v>3</v>
      </c>
      <c r="AF288" s="35"/>
      <c r="AG288" s="1"/>
      <c r="AH288" s="1">
        <v>0</v>
      </c>
      <c r="AI288" s="1">
        <v>0</v>
      </c>
      <c r="AJ288" s="1" t="s">
        <v>21</v>
      </c>
      <c r="AK288" s="1" t="s">
        <v>21</v>
      </c>
      <c r="AL288" s="17" t="s">
        <v>451</v>
      </c>
      <c r="AM288" s="18" t="s">
        <v>410</v>
      </c>
      <c r="AN288" s="10" t="s">
        <v>489</v>
      </c>
      <c r="AO288"/>
    </row>
    <row r="289" spans="2:40" customFormat="1" ht="15" customHeight="1" x14ac:dyDescent="0.25">
      <c r="B289" s="1">
        <f t="shared" si="4"/>
        <v>279</v>
      </c>
      <c r="C289" s="1">
        <v>1</v>
      </c>
      <c r="D289" s="1" t="s">
        <v>187</v>
      </c>
      <c r="E289" s="1" t="s">
        <v>347</v>
      </c>
      <c r="F289" s="1" t="s">
        <v>45</v>
      </c>
      <c r="G289" s="1" t="s">
        <v>45</v>
      </c>
      <c r="H289" s="1" t="s">
        <v>450</v>
      </c>
      <c r="I289" s="1" t="s">
        <v>85</v>
      </c>
      <c r="J289" s="1" t="s">
        <v>312</v>
      </c>
      <c r="K289" s="1" t="s">
        <v>408</v>
      </c>
      <c r="L289" s="1"/>
      <c r="M289" s="1"/>
      <c r="N289" s="1"/>
      <c r="O289" s="1"/>
      <c r="P289" s="1"/>
      <c r="Q289" s="1"/>
      <c r="R289" s="1"/>
      <c r="S289" s="1"/>
      <c r="T289" s="1"/>
      <c r="U289" s="1"/>
      <c r="V289" s="1"/>
      <c r="W289" s="1"/>
      <c r="X289" s="1"/>
      <c r="Y289" s="1">
        <v>4</v>
      </c>
      <c r="Z289" s="1">
        <v>3</v>
      </c>
      <c r="AA289" s="1"/>
      <c r="AB289" s="1"/>
      <c r="AC289" s="1"/>
      <c r="AD289" s="1"/>
      <c r="AE289" s="1">
        <v>3</v>
      </c>
      <c r="AF289" s="1"/>
      <c r="AG289" s="1"/>
      <c r="AH289" s="1">
        <v>0</v>
      </c>
      <c r="AI289" s="1">
        <v>0</v>
      </c>
      <c r="AJ289" s="1" t="s">
        <v>32</v>
      </c>
      <c r="AK289" s="1" t="s">
        <v>21</v>
      </c>
      <c r="AL289" s="17" t="s">
        <v>451</v>
      </c>
      <c r="AM289" s="18" t="s">
        <v>410</v>
      </c>
      <c r="AN289" s="10" t="s">
        <v>449</v>
      </c>
    </row>
    <row r="290" spans="2:40" customFormat="1" ht="15" customHeight="1" x14ac:dyDescent="0.25">
      <c r="B290" s="1">
        <f t="shared" si="4"/>
        <v>280</v>
      </c>
      <c r="C290" s="1">
        <v>1</v>
      </c>
      <c r="D290" s="1" t="s">
        <v>187</v>
      </c>
      <c r="E290" s="1" t="s">
        <v>347</v>
      </c>
      <c r="F290" s="1" t="s">
        <v>45</v>
      </c>
      <c r="G290" s="1" t="s">
        <v>45</v>
      </c>
      <c r="H290" s="1" t="s">
        <v>441</v>
      </c>
      <c r="I290" s="1" t="s">
        <v>85</v>
      </c>
      <c r="J290" s="1" t="s">
        <v>312</v>
      </c>
      <c r="K290" s="1" t="s">
        <v>408</v>
      </c>
      <c r="L290" s="1"/>
      <c r="M290" s="1"/>
      <c r="N290" s="1"/>
      <c r="O290" s="1"/>
      <c r="P290" s="1"/>
      <c r="Q290" s="1"/>
      <c r="R290" s="1"/>
      <c r="S290" s="1"/>
      <c r="T290" s="1"/>
      <c r="U290" s="1"/>
      <c r="V290" s="1"/>
      <c r="W290" s="1"/>
      <c r="X290" s="1"/>
      <c r="Y290" s="1">
        <v>4</v>
      </c>
      <c r="Z290" s="1">
        <v>3</v>
      </c>
      <c r="AA290" s="1"/>
      <c r="AB290" s="1"/>
      <c r="AC290" s="1"/>
      <c r="AD290" s="1"/>
      <c r="AE290" s="1">
        <v>3</v>
      </c>
      <c r="AF290" s="1"/>
      <c r="AG290" s="1"/>
      <c r="AH290" s="1">
        <v>0</v>
      </c>
      <c r="AI290" s="1">
        <v>0</v>
      </c>
      <c r="AJ290" s="1" t="s">
        <v>32</v>
      </c>
      <c r="AK290" s="1" t="s">
        <v>21</v>
      </c>
      <c r="AL290" s="17" t="s">
        <v>451</v>
      </c>
      <c r="AM290" s="18" t="s">
        <v>410</v>
      </c>
      <c r="AN290" s="10" t="s">
        <v>448</v>
      </c>
    </row>
    <row r="291" spans="2:40" customFormat="1" ht="15" customHeight="1" x14ac:dyDescent="0.25">
      <c r="B291" s="1">
        <f t="shared" si="4"/>
        <v>281</v>
      </c>
      <c r="C291" s="1">
        <v>1</v>
      </c>
      <c r="D291" s="1" t="s">
        <v>187</v>
      </c>
      <c r="E291" s="1" t="s">
        <v>347</v>
      </c>
      <c r="F291" s="1" t="s">
        <v>45</v>
      </c>
      <c r="G291" s="1" t="s">
        <v>45</v>
      </c>
      <c r="H291" s="1" t="s">
        <v>442</v>
      </c>
      <c r="I291" s="1" t="s">
        <v>87</v>
      </c>
      <c r="J291" s="1" t="s">
        <v>312</v>
      </c>
      <c r="K291" s="1" t="s">
        <v>408</v>
      </c>
      <c r="L291" s="1"/>
      <c r="M291" s="1"/>
      <c r="N291" s="1"/>
      <c r="O291" s="1"/>
      <c r="P291" s="1"/>
      <c r="Q291" s="1"/>
      <c r="R291" s="1"/>
      <c r="S291" s="1"/>
      <c r="T291" s="1"/>
      <c r="U291" s="1"/>
      <c r="V291" s="1"/>
      <c r="W291" s="1"/>
      <c r="X291" s="1"/>
      <c r="Y291" s="1">
        <v>4</v>
      </c>
      <c r="Z291" s="1">
        <v>3</v>
      </c>
      <c r="AA291" s="1"/>
      <c r="AB291" s="1"/>
      <c r="AC291" s="1"/>
      <c r="AD291" s="1"/>
      <c r="AE291" s="1">
        <v>3</v>
      </c>
      <c r="AF291" s="1"/>
      <c r="AG291" s="1"/>
      <c r="AH291" s="1">
        <v>0</v>
      </c>
      <c r="AI291" s="1">
        <v>0</v>
      </c>
      <c r="AJ291" s="1" t="s">
        <v>32</v>
      </c>
      <c r="AK291" s="1" t="s">
        <v>21</v>
      </c>
      <c r="AL291" s="17" t="s">
        <v>528</v>
      </c>
      <c r="AM291" s="18" t="s">
        <v>410</v>
      </c>
      <c r="AN291" s="10" t="s">
        <v>530</v>
      </c>
    </row>
    <row r="292" spans="2:40" ht="15" customHeight="1" x14ac:dyDescent="0.25">
      <c r="B292" s="1">
        <f t="shared" si="4"/>
        <v>282</v>
      </c>
      <c r="C292" s="1">
        <v>1</v>
      </c>
      <c r="D292" s="1" t="s">
        <v>525</v>
      </c>
      <c r="E292" s="1" t="s">
        <v>294</v>
      </c>
      <c r="F292" s="1" t="s">
        <v>45</v>
      </c>
      <c r="G292" s="1" t="s">
        <v>45</v>
      </c>
      <c r="H292" s="1" t="s">
        <v>525</v>
      </c>
      <c r="I292" s="1" t="s">
        <v>85</v>
      </c>
      <c r="J292" s="1" t="s">
        <v>312</v>
      </c>
      <c r="K292" s="1" t="s">
        <v>408</v>
      </c>
      <c r="L292" s="1"/>
      <c r="M292" s="1"/>
      <c r="N292" s="1"/>
      <c r="O292" s="1"/>
      <c r="P292" s="1"/>
      <c r="Q292" s="1"/>
      <c r="R292" s="1"/>
      <c r="S292" s="1"/>
      <c r="T292" s="1"/>
      <c r="U292" s="1"/>
      <c r="V292" s="1"/>
      <c r="W292" s="1"/>
      <c r="X292" s="1"/>
      <c r="Y292" s="1">
        <v>4</v>
      </c>
      <c r="Z292" s="1">
        <v>3</v>
      </c>
      <c r="AA292" s="1"/>
      <c r="AB292" s="1"/>
      <c r="AC292" s="1"/>
      <c r="AD292" s="1"/>
      <c r="AE292" s="1">
        <v>3</v>
      </c>
      <c r="AF292" s="1"/>
      <c r="AG292" s="1"/>
      <c r="AH292" s="1">
        <v>0</v>
      </c>
      <c r="AI292" s="1">
        <v>0</v>
      </c>
      <c r="AJ292" s="1" t="s">
        <v>32</v>
      </c>
      <c r="AK292" s="1" t="s">
        <v>21</v>
      </c>
      <c r="AL292" s="17">
        <v>44726</v>
      </c>
      <c r="AM292" s="18" t="s">
        <v>408</v>
      </c>
      <c r="AN292" s="10" t="s">
        <v>494</v>
      </c>
    </row>
    <row r="293" spans="2:40" x14ac:dyDescent="0.25">
      <c r="B293" s="1">
        <f t="shared" si="4"/>
        <v>283</v>
      </c>
      <c r="C293" s="1">
        <v>1</v>
      </c>
      <c r="D293" s="1" t="s">
        <v>212</v>
      </c>
      <c r="E293" s="1" t="s">
        <v>91</v>
      </c>
      <c r="F293" s="1" t="s">
        <v>96</v>
      </c>
      <c r="G293" s="1" t="s">
        <v>96</v>
      </c>
      <c r="H293" s="1" t="s">
        <v>469</v>
      </c>
      <c r="I293" s="1" t="s">
        <v>85</v>
      </c>
      <c r="J293" s="1" t="s">
        <v>170</v>
      </c>
      <c r="K293" s="1" t="s">
        <v>452</v>
      </c>
      <c r="L293" s="1">
        <v>0</v>
      </c>
      <c r="M293" s="1">
        <v>0</v>
      </c>
      <c r="N293" s="1">
        <v>0</v>
      </c>
      <c r="O293" s="1">
        <v>0</v>
      </c>
      <c r="P293" s="1">
        <v>0</v>
      </c>
      <c r="Q293" s="1">
        <v>0</v>
      </c>
      <c r="R293" s="1"/>
      <c r="S293" s="1">
        <v>4</v>
      </c>
      <c r="T293" s="1">
        <v>0</v>
      </c>
      <c r="U293" s="1">
        <v>0</v>
      </c>
      <c r="V293" s="1">
        <v>0</v>
      </c>
      <c r="W293" s="1">
        <v>4</v>
      </c>
      <c r="X293" s="1">
        <v>0</v>
      </c>
      <c r="Y293" s="1"/>
      <c r="Z293" s="1"/>
      <c r="AA293" s="35">
        <v>0</v>
      </c>
      <c r="AB293" s="1"/>
      <c r="AC293" s="1"/>
      <c r="AD293" s="1"/>
      <c r="AE293" s="35"/>
      <c r="AF293" s="35">
        <v>4</v>
      </c>
      <c r="AG293" s="1">
        <v>1</v>
      </c>
      <c r="AH293" s="1">
        <v>0</v>
      </c>
      <c r="AI293" s="1">
        <v>0</v>
      </c>
      <c r="AJ293" s="1" t="s">
        <v>21</v>
      </c>
      <c r="AK293" s="1" t="s">
        <v>21</v>
      </c>
      <c r="AL293" s="17"/>
      <c r="AM293" s="18"/>
      <c r="AN293" s="10"/>
    </row>
    <row r="294" spans="2:40" x14ac:dyDescent="0.25">
      <c r="B294" s="1">
        <f t="shared" si="4"/>
        <v>284</v>
      </c>
      <c r="C294" s="1">
        <v>1</v>
      </c>
      <c r="D294" s="1" t="s">
        <v>212</v>
      </c>
      <c r="E294" s="1" t="s">
        <v>91</v>
      </c>
      <c r="F294" s="1" t="s">
        <v>98</v>
      </c>
      <c r="G294" s="1" t="s">
        <v>98</v>
      </c>
      <c r="H294" s="1" t="s">
        <v>470</v>
      </c>
      <c r="I294" s="1" t="s">
        <v>85</v>
      </c>
      <c r="J294" s="1" t="s">
        <v>170</v>
      </c>
      <c r="K294" s="1" t="s">
        <v>452</v>
      </c>
      <c r="L294" s="1">
        <v>0</v>
      </c>
      <c r="M294" s="1">
        <v>0</v>
      </c>
      <c r="N294" s="1">
        <v>0</v>
      </c>
      <c r="O294" s="1">
        <v>0</v>
      </c>
      <c r="P294" s="1">
        <v>0</v>
      </c>
      <c r="Q294" s="1">
        <v>0</v>
      </c>
      <c r="R294" s="1"/>
      <c r="S294" s="1">
        <v>4</v>
      </c>
      <c r="T294" s="1">
        <v>0</v>
      </c>
      <c r="U294" s="1">
        <v>0</v>
      </c>
      <c r="V294" s="1">
        <v>0</v>
      </c>
      <c r="W294" s="1">
        <v>4</v>
      </c>
      <c r="X294" s="1">
        <v>0</v>
      </c>
      <c r="Y294" s="1"/>
      <c r="Z294" s="1"/>
      <c r="AA294" s="35">
        <v>0</v>
      </c>
      <c r="AB294" s="1"/>
      <c r="AC294" s="1"/>
      <c r="AD294" s="1"/>
      <c r="AE294" s="35"/>
      <c r="AF294" s="35">
        <v>4</v>
      </c>
      <c r="AG294" s="1">
        <v>3</v>
      </c>
      <c r="AH294" s="1">
        <v>0</v>
      </c>
      <c r="AI294" s="1">
        <v>0</v>
      </c>
      <c r="AJ294" s="1" t="s">
        <v>21</v>
      </c>
      <c r="AK294" s="1" t="s">
        <v>21</v>
      </c>
      <c r="AL294" s="17"/>
      <c r="AM294" s="18"/>
      <c r="AN294" s="10"/>
    </row>
    <row r="295" spans="2:40" x14ac:dyDescent="0.25">
      <c r="B295" s="1">
        <f t="shared" si="4"/>
        <v>285</v>
      </c>
      <c r="C295" s="1">
        <v>1</v>
      </c>
      <c r="D295" s="1" t="s">
        <v>212</v>
      </c>
      <c r="E295" s="1" t="s">
        <v>91</v>
      </c>
      <c r="F295" s="1" t="s">
        <v>98</v>
      </c>
      <c r="G295" s="1" t="s">
        <v>98</v>
      </c>
      <c r="H295" s="1" t="s">
        <v>471</v>
      </c>
      <c r="I295" s="1" t="s">
        <v>85</v>
      </c>
      <c r="J295" s="1" t="s">
        <v>170</v>
      </c>
      <c r="K295" s="1" t="s">
        <v>452</v>
      </c>
      <c r="L295" s="1">
        <v>0</v>
      </c>
      <c r="M295" s="1">
        <v>0</v>
      </c>
      <c r="N295" s="1">
        <v>0</v>
      </c>
      <c r="O295" s="1">
        <v>0</v>
      </c>
      <c r="P295" s="1">
        <v>0</v>
      </c>
      <c r="Q295" s="1">
        <v>0</v>
      </c>
      <c r="R295" s="1"/>
      <c r="S295" s="1">
        <v>4</v>
      </c>
      <c r="T295" s="1">
        <v>0</v>
      </c>
      <c r="U295" s="1">
        <v>0</v>
      </c>
      <c r="V295" s="1">
        <v>0</v>
      </c>
      <c r="W295" s="1">
        <v>4</v>
      </c>
      <c r="X295" s="1">
        <v>0</v>
      </c>
      <c r="Y295" s="1"/>
      <c r="Z295" s="1"/>
      <c r="AA295" s="35">
        <v>0</v>
      </c>
      <c r="AB295" s="1"/>
      <c r="AC295" s="1"/>
      <c r="AD295" s="1"/>
      <c r="AE295" s="35"/>
      <c r="AF295" s="35">
        <v>4</v>
      </c>
      <c r="AG295" s="1">
        <v>3</v>
      </c>
      <c r="AH295" s="1">
        <v>0</v>
      </c>
      <c r="AI295" s="1">
        <v>0</v>
      </c>
      <c r="AJ295" s="1" t="s">
        <v>21</v>
      </c>
      <c r="AK295" s="1" t="s">
        <v>21</v>
      </c>
      <c r="AL295" s="17"/>
      <c r="AM295" s="18"/>
      <c r="AN295" s="10"/>
    </row>
    <row r="296" spans="2:40" x14ac:dyDescent="0.25">
      <c r="B296" s="1">
        <f t="shared" si="4"/>
        <v>286</v>
      </c>
      <c r="C296" s="1">
        <v>1</v>
      </c>
      <c r="D296" s="1" t="s">
        <v>212</v>
      </c>
      <c r="E296" s="1" t="s">
        <v>91</v>
      </c>
      <c r="F296" s="1" t="s">
        <v>98</v>
      </c>
      <c r="G296" s="1" t="s">
        <v>98</v>
      </c>
      <c r="H296" s="1" t="s">
        <v>472</v>
      </c>
      <c r="I296" s="1" t="s">
        <v>86</v>
      </c>
      <c r="J296" s="1" t="s">
        <v>170</v>
      </c>
      <c r="K296" s="1" t="s">
        <v>452</v>
      </c>
      <c r="L296" s="1">
        <v>0</v>
      </c>
      <c r="M296" s="1">
        <v>0</v>
      </c>
      <c r="N296" s="1">
        <v>0</v>
      </c>
      <c r="O296" s="1">
        <v>0</v>
      </c>
      <c r="P296" s="1">
        <v>0</v>
      </c>
      <c r="Q296" s="1">
        <v>0</v>
      </c>
      <c r="R296" s="1"/>
      <c r="S296" s="1">
        <v>3</v>
      </c>
      <c r="T296" s="1">
        <v>0</v>
      </c>
      <c r="U296" s="1">
        <v>0</v>
      </c>
      <c r="V296" s="1">
        <v>0</v>
      </c>
      <c r="W296" s="1">
        <v>4</v>
      </c>
      <c r="X296" s="1">
        <v>0</v>
      </c>
      <c r="Y296" s="1"/>
      <c r="Z296" s="1"/>
      <c r="AA296" s="35">
        <v>0</v>
      </c>
      <c r="AB296" s="1"/>
      <c r="AC296" s="1"/>
      <c r="AD296" s="1"/>
      <c r="AE296" s="35"/>
      <c r="AF296" s="35">
        <v>2</v>
      </c>
      <c r="AG296" s="1">
        <v>1</v>
      </c>
      <c r="AH296" s="1">
        <v>0</v>
      </c>
      <c r="AI296" s="1">
        <v>0</v>
      </c>
      <c r="AJ296" s="1" t="s">
        <v>21</v>
      </c>
      <c r="AK296" s="1" t="s">
        <v>21</v>
      </c>
      <c r="AL296" s="17"/>
      <c r="AM296" s="18"/>
      <c r="AN296" s="10"/>
    </row>
    <row r="297" spans="2:40" x14ac:dyDescent="0.25">
      <c r="B297" s="1">
        <f t="shared" si="4"/>
        <v>287</v>
      </c>
      <c r="C297" s="1">
        <v>1</v>
      </c>
      <c r="D297" s="1" t="s">
        <v>212</v>
      </c>
      <c r="E297" s="1" t="s">
        <v>91</v>
      </c>
      <c r="F297" s="1" t="s">
        <v>473</v>
      </c>
      <c r="G297" s="1" t="s">
        <v>473</v>
      </c>
      <c r="H297" s="1" t="s">
        <v>474</v>
      </c>
      <c r="I297" s="1" t="s">
        <v>85</v>
      </c>
      <c r="J297" s="1" t="s">
        <v>170</v>
      </c>
      <c r="K297" s="1" t="s">
        <v>452</v>
      </c>
      <c r="L297" s="1">
        <v>0</v>
      </c>
      <c r="M297" s="1">
        <v>0</v>
      </c>
      <c r="N297" s="1">
        <v>0</v>
      </c>
      <c r="O297" s="1">
        <v>0</v>
      </c>
      <c r="P297" s="1">
        <v>0</v>
      </c>
      <c r="Q297" s="1">
        <v>0</v>
      </c>
      <c r="R297" s="1"/>
      <c r="S297" s="1">
        <v>4</v>
      </c>
      <c r="T297" s="1">
        <v>0</v>
      </c>
      <c r="U297" s="1">
        <v>0</v>
      </c>
      <c r="V297" s="1">
        <v>0</v>
      </c>
      <c r="W297" s="1">
        <v>4</v>
      </c>
      <c r="X297" s="1">
        <v>0</v>
      </c>
      <c r="Y297" s="1"/>
      <c r="Z297" s="1"/>
      <c r="AA297" s="35">
        <v>0</v>
      </c>
      <c r="AB297" s="1"/>
      <c r="AC297" s="1"/>
      <c r="AD297" s="1"/>
      <c r="AE297" s="35"/>
      <c r="AF297" s="35">
        <v>4</v>
      </c>
      <c r="AG297" s="1">
        <v>3</v>
      </c>
      <c r="AH297" s="1">
        <v>0</v>
      </c>
      <c r="AI297" s="1">
        <v>0</v>
      </c>
      <c r="AJ297" s="1" t="s">
        <v>21</v>
      </c>
      <c r="AK297" s="1" t="s">
        <v>21</v>
      </c>
      <c r="AL297" s="17"/>
      <c r="AM297" s="18"/>
      <c r="AN297" s="10"/>
    </row>
    <row r="298" spans="2:40" x14ac:dyDescent="0.25">
      <c r="B298" s="1">
        <f t="shared" si="4"/>
        <v>288</v>
      </c>
      <c r="C298" s="1">
        <v>1</v>
      </c>
      <c r="D298" s="1" t="s">
        <v>212</v>
      </c>
      <c r="E298" s="1" t="s">
        <v>91</v>
      </c>
      <c r="F298" s="1" t="s">
        <v>473</v>
      </c>
      <c r="G298" s="1" t="s">
        <v>473</v>
      </c>
      <c r="H298" s="1" t="s">
        <v>475</v>
      </c>
      <c r="I298" s="1" t="s">
        <v>85</v>
      </c>
      <c r="J298" s="1" t="s">
        <v>170</v>
      </c>
      <c r="K298" s="1" t="s">
        <v>452</v>
      </c>
      <c r="L298" s="1">
        <v>0</v>
      </c>
      <c r="M298" s="1">
        <v>0</v>
      </c>
      <c r="N298" s="1">
        <v>0</v>
      </c>
      <c r="O298" s="1">
        <v>0</v>
      </c>
      <c r="P298" s="1">
        <v>0</v>
      </c>
      <c r="Q298" s="1">
        <v>0</v>
      </c>
      <c r="R298" s="1"/>
      <c r="S298" s="1">
        <v>4</v>
      </c>
      <c r="T298" s="1">
        <v>0</v>
      </c>
      <c r="U298" s="1">
        <v>0</v>
      </c>
      <c r="V298" s="1">
        <v>0</v>
      </c>
      <c r="W298" s="1">
        <v>4</v>
      </c>
      <c r="X298" s="1">
        <v>0</v>
      </c>
      <c r="Y298" s="1"/>
      <c r="Z298" s="1"/>
      <c r="AA298" s="35">
        <v>0</v>
      </c>
      <c r="AB298" s="1"/>
      <c r="AC298" s="1"/>
      <c r="AD298" s="1"/>
      <c r="AE298" s="35"/>
      <c r="AF298" s="35">
        <v>4</v>
      </c>
      <c r="AG298" s="1">
        <v>3</v>
      </c>
      <c r="AH298" s="1">
        <v>0</v>
      </c>
      <c r="AI298" s="1">
        <v>0</v>
      </c>
      <c r="AJ298" s="1" t="s">
        <v>21</v>
      </c>
      <c r="AK298" s="1" t="s">
        <v>21</v>
      </c>
      <c r="AL298" s="17"/>
      <c r="AM298" s="18"/>
      <c r="AN298" s="10"/>
    </row>
    <row r="299" spans="2:40" x14ac:dyDescent="0.25">
      <c r="B299" s="1">
        <f t="shared" si="4"/>
        <v>289</v>
      </c>
      <c r="C299" s="1">
        <v>1</v>
      </c>
      <c r="D299" s="1" t="s">
        <v>212</v>
      </c>
      <c r="E299" s="1" t="s">
        <v>91</v>
      </c>
      <c r="F299" s="1" t="s">
        <v>473</v>
      </c>
      <c r="G299" s="1" t="s">
        <v>473</v>
      </c>
      <c r="H299" s="1" t="s">
        <v>476</v>
      </c>
      <c r="I299" s="1" t="s">
        <v>85</v>
      </c>
      <c r="J299" s="1" t="s">
        <v>170</v>
      </c>
      <c r="K299" s="1" t="s">
        <v>452</v>
      </c>
      <c r="L299" s="1">
        <v>0</v>
      </c>
      <c r="M299" s="1">
        <v>0</v>
      </c>
      <c r="N299" s="1">
        <v>0</v>
      </c>
      <c r="O299" s="1">
        <v>0</v>
      </c>
      <c r="P299" s="1">
        <v>0</v>
      </c>
      <c r="Q299" s="1">
        <v>0</v>
      </c>
      <c r="R299" s="1"/>
      <c r="S299" s="1">
        <v>4</v>
      </c>
      <c r="T299" s="1">
        <v>0</v>
      </c>
      <c r="U299" s="1">
        <v>0</v>
      </c>
      <c r="V299" s="1">
        <v>0</v>
      </c>
      <c r="W299" s="1">
        <v>4</v>
      </c>
      <c r="X299" s="1">
        <v>0</v>
      </c>
      <c r="Y299" s="1"/>
      <c r="Z299" s="1"/>
      <c r="AA299" s="35">
        <v>0</v>
      </c>
      <c r="AB299" s="1"/>
      <c r="AC299" s="1"/>
      <c r="AD299" s="1"/>
      <c r="AE299" s="35"/>
      <c r="AF299" s="35">
        <v>4</v>
      </c>
      <c r="AG299" s="1">
        <v>3</v>
      </c>
      <c r="AH299" s="1">
        <v>0</v>
      </c>
      <c r="AI299" s="1">
        <v>0</v>
      </c>
      <c r="AJ299" s="1" t="s">
        <v>21</v>
      </c>
      <c r="AK299" s="1" t="s">
        <v>21</v>
      </c>
      <c r="AL299" s="17"/>
      <c r="AM299" s="18"/>
      <c r="AN299" s="10"/>
    </row>
    <row r="300" spans="2:40" x14ac:dyDescent="0.25">
      <c r="B300" s="1">
        <f t="shared" si="4"/>
        <v>290</v>
      </c>
      <c r="C300" s="1">
        <v>1</v>
      </c>
      <c r="D300" s="1" t="s">
        <v>212</v>
      </c>
      <c r="E300" s="1" t="s">
        <v>91</v>
      </c>
      <c r="F300" s="1" t="s">
        <v>473</v>
      </c>
      <c r="G300" s="1" t="s">
        <v>473</v>
      </c>
      <c r="H300" s="1" t="s">
        <v>477</v>
      </c>
      <c r="I300" s="1" t="s">
        <v>87</v>
      </c>
      <c r="J300" s="1" t="s">
        <v>170</v>
      </c>
      <c r="K300" s="1" t="s">
        <v>452</v>
      </c>
      <c r="L300" s="1">
        <v>0</v>
      </c>
      <c r="M300" s="1">
        <v>0</v>
      </c>
      <c r="N300" s="1">
        <v>0</v>
      </c>
      <c r="O300" s="1">
        <v>0</v>
      </c>
      <c r="P300" s="1">
        <v>0</v>
      </c>
      <c r="Q300" s="1">
        <v>0</v>
      </c>
      <c r="R300" s="1"/>
      <c r="S300" s="1">
        <v>4</v>
      </c>
      <c r="T300" s="1">
        <v>0</v>
      </c>
      <c r="U300" s="1">
        <v>0</v>
      </c>
      <c r="V300" s="1">
        <v>0</v>
      </c>
      <c r="W300" s="1">
        <v>4</v>
      </c>
      <c r="X300" s="1">
        <v>0</v>
      </c>
      <c r="Y300" s="1"/>
      <c r="Z300" s="1"/>
      <c r="AA300" s="35">
        <v>0</v>
      </c>
      <c r="AB300" s="1"/>
      <c r="AC300" s="1"/>
      <c r="AD300" s="1"/>
      <c r="AE300" s="35"/>
      <c r="AF300" s="35">
        <v>4</v>
      </c>
      <c r="AG300" s="1">
        <v>3</v>
      </c>
      <c r="AH300" s="1">
        <v>0</v>
      </c>
      <c r="AI300" s="1">
        <v>0</v>
      </c>
      <c r="AJ300" s="1" t="s">
        <v>21</v>
      </c>
      <c r="AK300" s="1" t="s">
        <v>21</v>
      </c>
      <c r="AL300" s="17"/>
      <c r="AM300" s="18"/>
      <c r="AN300" s="10"/>
    </row>
    <row r="301" spans="2:40" x14ac:dyDescent="0.25">
      <c r="B301" s="1">
        <f t="shared" si="4"/>
        <v>291</v>
      </c>
      <c r="C301" s="1">
        <v>1</v>
      </c>
      <c r="D301" s="1" t="s">
        <v>212</v>
      </c>
      <c r="E301" s="1" t="s">
        <v>91</v>
      </c>
      <c r="F301" s="1" t="s">
        <v>34</v>
      </c>
      <c r="G301" s="1" t="s">
        <v>34</v>
      </c>
      <c r="H301" s="1" t="s">
        <v>478</v>
      </c>
      <c r="I301" s="1" t="s">
        <v>85</v>
      </c>
      <c r="J301" s="1" t="s">
        <v>170</v>
      </c>
      <c r="K301" s="1" t="s">
        <v>452</v>
      </c>
      <c r="L301" s="1">
        <v>0</v>
      </c>
      <c r="M301" s="1">
        <v>0</v>
      </c>
      <c r="N301" s="1">
        <v>0</v>
      </c>
      <c r="O301" s="1">
        <v>0</v>
      </c>
      <c r="P301" s="1">
        <v>0</v>
      </c>
      <c r="Q301" s="1">
        <v>0</v>
      </c>
      <c r="R301" s="1"/>
      <c r="S301" s="1">
        <v>4</v>
      </c>
      <c r="T301" s="1">
        <v>0</v>
      </c>
      <c r="U301" s="1">
        <v>0</v>
      </c>
      <c r="V301" s="1">
        <v>0</v>
      </c>
      <c r="W301" s="1">
        <v>4</v>
      </c>
      <c r="X301" s="1">
        <v>0</v>
      </c>
      <c r="Y301" s="1"/>
      <c r="Z301" s="1"/>
      <c r="AA301" s="35">
        <v>0</v>
      </c>
      <c r="AB301" s="1"/>
      <c r="AC301" s="1"/>
      <c r="AD301" s="1"/>
      <c r="AE301" s="35"/>
      <c r="AF301" s="35">
        <v>4</v>
      </c>
      <c r="AG301" s="1">
        <v>3</v>
      </c>
      <c r="AH301" s="1">
        <v>0</v>
      </c>
      <c r="AI301" s="1">
        <v>0</v>
      </c>
      <c r="AJ301" s="1" t="s">
        <v>32</v>
      </c>
      <c r="AK301" s="1" t="s">
        <v>32</v>
      </c>
      <c r="AL301" s="17"/>
      <c r="AM301" s="18"/>
      <c r="AN301" s="10"/>
    </row>
    <row r="302" spans="2:40" x14ac:dyDescent="0.25">
      <c r="B302" s="1">
        <f t="shared" si="4"/>
        <v>292</v>
      </c>
      <c r="C302" s="1">
        <v>1</v>
      </c>
      <c r="D302" s="1" t="s">
        <v>212</v>
      </c>
      <c r="E302" s="1" t="s">
        <v>91</v>
      </c>
      <c r="F302" s="1" t="s">
        <v>34</v>
      </c>
      <c r="G302" s="1" t="s">
        <v>34</v>
      </c>
      <c r="H302" s="1" t="s">
        <v>479</v>
      </c>
      <c r="I302" s="1" t="s">
        <v>85</v>
      </c>
      <c r="J302" s="1" t="s">
        <v>170</v>
      </c>
      <c r="K302" s="1" t="s">
        <v>452</v>
      </c>
      <c r="L302" s="1">
        <v>0</v>
      </c>
      <c r="M302" s="1">
        <v>0</v>
      </c>
      <c r="N302" s="1">
        <v>0</v>
      </c>
      <c r="O302" s="1">
        <v>0</v>
      </c>
      <c r="P302" s="1">
        <v>0</v>
      </c>
      <c r="Q302" s="1">
        <v>0</v>
      </c>
      <c r="R302" s="1"/>
      <c r="S302" s="1">
        <v>4</v>
      </c>
      <c r="T302" s="1">
        <v>0</v>
      </c>
      <c r="U302" s="1">
        <v>0</v>
      </c>
      <c r="V302" s="1">
        <v>0</v>
      </c>
      <c r="W302" s="1">
        <v>4</v>
      </c>
      <c r="X302" s="1">
        <v>0</v>
      </c>
      <c r="Y302" s="1"/>
      <c r="Z302" s="1"/>
      <c r="AA302" s="35">
        <v>0</v>
      </c>
      <c r="AB302" s="1"/>
      <c r="AC302" s="1"/>
      <c r="AD302" s="1"/>
      <c r="AE302" s="35"/>
      <c r="AF302" s="35">
        <v>4</v>
      </c>
      <c r="AG302" s="1">
        <v>3</v>
      </c>
      <c r="AH302" s="1">
        <v>0</v>
      </c>
      <c r="AI302" s="1">
        <v>0</v>
      </c>
      <c r="AJ302" s="1" t="s">
        <v>32</v>
      </c>
      <c r="AK302" s="1" t="s">
        <v>32</v>
      </c>
      <c r="AL302" s="17"/>
      <c r="AM302" s="18"/>
      <c r="AN302" s="10"/>
    </row>
    <row r="303" spans="2:40" x14ac:dyDescent="0.25">
      <c r="B303" s="1">
        <f t="shared" si="4"/>
        <v>293</v>
      </c>
      <c r="C303" s="1">
        <v>1</v>
      </c>
      <c r="D303" s="1" t="s">
        <v>212</v>
      </c>
      <c r="E303" s="1" t="s">
        <v>91</v>
      </c>
      <c r="F303" s="1" t="s">
        <v>480</v>
      </c>
      <c r="G303" s="1" t="s">
        <v>480</v>
      </c>
      <c r="H303" s="1" t="s">
        <v>481</v>
      </c>
      <c r="I303" s="1" t="s">
        <v>85</v>
      </c>
      <c r="J303" s="1" t="s">
        <v>170</v>
      </c>
      <c r="K303" s="1" t="s">
        <v>452</v>
      </c>
      <c r="L303" s="1">
        <v>0</v>
      </c>
      <c r="M303" s="1">
        <v>0</v>
      </c>
      <c r="N303" s="1">
        <v>0</v>
      </c>
      <c r="O303" s="1">
        <v>0</v>
      </c>
      <c r="P303" s="1">
        <v>0</v>
      </c>
      <c r="Q303" s="1">
        <v>0</v>
      </c>
      <c r="R303" s="1">
        <v>0</v>
      </c>
      <c r="S303" s="1">
        <v>0</v>
      </c>
      <c r="T303" s="1">
        <v>0</v>
      </c>
      <c r="U303" s="1">
        <v>0</v>
      </c>
      <c r="V303" s="1">
        <v>0</v>
      </c>
      <c r="W303" s="1">
        <v>4</v>
      </c>
      <c r="X303" s="1">
        <v>0</v>
      </c>
      <c r="Y303" s="1">
        <v>0</v>
      </c>
      <c r="Z303" s="1">
        <v>0</v>
      </c>
      <c r="AA303" s="35">
        <v>0</v>
      </c>
      <c r="AB303" s="1"/>
      <c r="AC303" s="1"/>
      <c r="AD303" s="1"/>
      <c r="AE303" s="35"/>
      <c r="AF303" s="35">
        <v>1</v>
      </c>
      <c r="AG303" s="1">
        <v>1</v>
      </c>
      <c r="AH303" s="1">
        <v>0</v>
      </c>
      <c r="AI303" s="1">
        <v>0</v>
      </c>
      <c r="AJ303" s="1" t="s">
        <v>32</v>
      </c>
      <c r="AK303" s="1" t="s">
        <v>32</v>
      </c>
      <c r="AL303" s="17"/>
      <c r="AM303" s="18"/>
      <c r="AN303" s="10"/>
    </row>
    <row r="304" spans="2:40" ht="15" customHeight="1" x14ac:dyDescent="0.25">
      <c r="B304" s="1">
        <f t="shared" si="4"/>
        <v>294</v>
      </c>
      <c r="C304" s="1">
        <v>1</v>
      </c>
      <c r="D304" s="1" t="s">
        <v>493</v>
      </c>
      <c r="E304" s="1" t="s">
        <v>294</v>
      </c>
      <c r="F304" s="1" t="s">
        <v>45</v>
      </c>
      <c r="G304" s="1" t="s">
        <v>45</v>
      </c>
      <c r="H304" s="1" t="s">
        <v>493</v>
      </c>
      <c r="I304" s="1" t="s">
        <v>85</v>
      </c>
      <c r="J304" s="1" t="s">
        <v>312</v>
      </c>
      <c r="K304" s="1" t="s">
        <v>408</v>
      </c>
      <c r="L304" s="1"/>
      <c r="M304" s="1"/>
      <c r="N304" s="1"/>
      <c r="O304" s="1"/>
      <c r="P304" s="1"/>
      <c r="Q304" s="1"/>
      <c r="R304" s="1"/>
      <c r="S304" s="1"/>
      <c r="T304" s="1"/>
      <c r="U304" s="1"/>
      <c r="V304" s="1"/>
      <c r="W304" s="1"/>
      <c r="X304" s="1"/>
      <c r="Y304" s="1">
        <v>4</v>
      </c>
      <c r="Z304" s="1"/>
      <c r="AA304" s="1"/>
      <c r="AB304" s="1"/>
      <c r="AC304" s="1"/>
      <c r="AD304" s="1"/>
      <c r="AE304" s="1">
        <v>3</v>
      </c>
      <c r="AF304" s="1"/>
      <c r="AG304" s="1"/>
      <c r="AH304" s="1">
        <v>0</v>
      </c>
      <c r="AI304" s="1">
        <v>0</v>
      </c>
      <c r="AJ304" s="1" t="s">
        <v>32</v>
      </c>
      <c r="AK304" s="1" t="s">
        <v>21</v>
      </c>
      <c r="AL304" s="17">
        <v>44578</v>
      </c>
      <c r="AM304" s="18" t="s">
        <v>408</v>
      </c>
      <c r="AN304" s="10" t="s">
        <v>497</v>
      </c>
    </row>
    <row r="305" spans="2:40" customFormat="1" ht="15" customHeight="1" x14ac:dyDescent="0.25">
      <c r="B305" s="49">
        <f t="shared" si="4"/>
        <v>295</v>
      </c>
      <c r="C305" s="49">
        <v>0</v>
      </c>
      <c r="D305" s="49" t="s">
        <v>187</v>
      </c>
      <c r="E305" s="49" t="s">
        <v>347</v>
      </c>
      <c r="F305" s="49" t="s">
        <v>487</v>
      </c>
      <c r="G305" s="49" t="s">
        <v>487</v>
      </c>
      <c r="H305" s="49" t="s">
        <v>484</v>
      </c>
      <c r="I305" s="49" t="s">
        <v>85</v>
      </c>
      <c r="J305" s="49" t="s">
        <v>312</v>
      </c>
      <c r="K305" s="49" t="s">
        <v>408</v>
      </c>
      <c r="L305" s="1"/>
      <c r="M305" s="1"/>
      <c r="N305" s="1"/>
      <c r="O305" s="1"/>
      <c r="P305" s="1"/>
      <c r="Q305" s="1"/>
      <c r="R305" s="1"/>
      <c r="S305" s="1"/>
      <c r="T305" s="1"/>
      <c r="U305" s="1"/>
      <c r="V305" s="1"/>
      <c r="W305" s="1"/>
      <c r="X305" s="1"/>
      <c r="Y305" s="1">
        <v>4</v>
      </c>
      <c r="Z305" s="1"/>
      <c r="AA305" s="1"/>
      <c r="AB305" s="1"/>
      <c r="AC305" s="1"/>
      <c r="AD305" s="1"/>
      <c r="AE305" s="1">
        <v>3</v>
      </c>
      <c r="AF305" s="1"/>
      <c r="AG305" s="1"/>
      <c r="AH305" s="1">
        <v>0</v>
      </c>
      <c r="AI305" s="1">
        <v>0</v>
      </c>
      <c r="AJ305" s="1" t="s">
        <v>32</v>
      </c>
      <c r="AK305" s="1" t="s">
        <v>21</v>
      </c>
      <c r="AL305" s="17">
        <v>44551</v>
      </c>
      <c r="AM305" s="18" t="s">
        <v>408</v>
      </c>
      <c r="AN305" s="10" t="s">
        <v>521</v>
      </c>
    </row>
    <row r="306" spans="2:40" customFormat="1" ht="15" customHeight="1" x14ac:dyDescent="0.25">
      <c r="B306" s="1">
        <f>B305+1</f>
        <v>296</v>
      </c>
      <c r="C306" s="1">
        <v>1</v>
      </c>
      <c r="D306" s="1" t="s">
        <v>526</v>
      </c>
      <c r="E306" s="1" t="s">
        <v>294</v>
      </c>
      <c r="F306" s="1" t="s">
        <v>238</v>
      </c>
      <c r="G306" s="1" t="s">
        <v>238</v>
      </c>
      <c r="H306" s="1" t="s">
        <v>526</v>
      </c>
      <c r="I306" s="1" t="s">
        <v>85</v>
      </c>
      <c r="J306" s="1" t="s">
        <v>312</v>
      </c>
      <c r="K306" s="1" t="s">
        <v>408</v>
      </c>
      <c r="L306" s="1"/>
      <c r="M306" s="1"/>
      <c r="N306" s="1"/>
      <c r="O306" s="1"/>
      <c r="P306" s="1"/>
      <c r="Q306" s="1"/>
      <c r="R306" s="1"/>
      <c r="S306" s="1"/>
      <c r="T306" s="1"/>
      <c r="U306" s="1"/>
      <c r="V306" s="1"/>
      <c r="W306" s="1"/>
      <c r="X306" s="1"/>
      <c r="Y306" s="1">
        <v>4</v>
      </c>
      <c r="Z306" s="1"/>
      <c r="AA306" s="1"/>
      <c r="AB306" s="1"/>
      <c r="AC306" s="1"/>
      <c r="AD306" s="1"/>
      <c r="AE306" s="1">
        <v>3</v>
      </c>
      <c r="AF306" s="1"/>
      <c r="AG306" s="1"/>
      <c r="AH306" s="1"/>
      <c r="AI306" s="1"/>
      <c r="AJ306" s="1" t="s">
        <v>32</v>
      </c>
      <c r="AK306" s="1" t="s">
        <v>21</v>
      </c>
      <c r="AL306" s="17">
        <v>44726</v>
      </c>
      <c r="AM306" s="18" t="s">
        <v>408</v>
      </c>
      <c r="AN306" s="10" t="s">
        <v>494</v>
      </c>
    </row>
    <row r="307" spans="2:40" customFormat="1" ht="15" customHeight="1" x14ac:dyDescent="0.25">
      <c r="B307" s="1">
        <f t="shared" si="4"/>
        <v>297</v>
      </c>
      <c r="C307" s="1">
        <v>1</v>
      </c>
      <c r="D307" s="1" t="s">
        <v>527</v>
      </c>
      <c r="E307" s="1" t="s">
        <v>294</v>
      </c>
      <c r="F307" s="1" t="s">
        <v>498</v>
      </c>
      <c r="G307" s="1" t="s">
        <v>498</v>
      </c>
      <c r="H307" s="1" t="s">
        <v>527</v>
      </c>
      <c r="I307" s="1" t="s">
        <v>85</v>
      </c>
      <c r="J307" s="1" t="s">
        <v>312</v>
      </c>
      <c r="K307" s="1" t="s">
        <v>408</v>
      </c>
      <c r="L307" s="1"/>
      <c r="M307" s="1"/>
      <c r="N307" s="1"/>
      <c r="O307" s="1"/>
      <c r="P307" s="1"/>
      <c r="Q307" s="1"/>
      <c r="R307" s="1"/>
      <c r="S307" s="1"/>
      <c r="T307" s="1"/>
      <c r="U307" s="1"/>
      <c r="V307" s="1"/>
      <c r="W307" s="1"/>
      <c r="X307" s="1"/>
      <c r="Y307" s="1">
        <v>4</v>
      </c>
      <c r="Z307" s="1"/>
      <c r="AA307" s="1"/>
      <c r="AB307" s="1"/>
      <c r="AC307" s="1"/>
      <c r="AD307" s="1"/>
      <c r="AE307" s="1">
        <v>3</v>
      </c>
      <c r="AF307" s="1"/>
      <c r="AG307" s="1"/>
      <c r="AH307" s="1"/>
      <c r="AI307" s="1"/>
      <c r="AJ307" s="1"/>
      <c r="AK307" s="1" t="s">
        <v>21</v>
      </c>
      <c r="AL307" s="17">
        <v>44726</v>
      </c>
      <c r="AM307" s="18" t="s">
        <v>408</v>
      </c>
      <c r="AN307" s="10" t="s">
        <v>499</v>
      </c>
    </row>
    <row r="308" spans="2:40" x14ac:dyDescent="0.25">
      <c r="B308" s="1">
        <f t="shared" si="4"/>
        <v>298</v>
      </c>
      <c r="C308" s="1">
        <v>1</v>
      </c>
      <c r="D308" s="1" t="s">
        <v>220</v>
      </c>
      <c r="E308" s="1" t="s">
        <v>52</v>
      </c>
      <c r="F308" s="1" t="s">
        <v>321</v>
      </c>
      <c r="G308" s="1" t="s">
        <v>321</v>
      </c>
      <c r="H308" s="1" t="s">
        <v>506</v>
      </c>
      <c r="I308" s="1" t="s">
        <v>85</v>
      </c>
      <c r="J308" s="1" t="s">
        <v>491</v>
      </c>
      <c r="K308" s="1" t="s">
        <v>11</v>
      </c>
      <c r="L308" s="1"/>
      <c r="M308" s="1"/>
      <c r="N308" s="1"/>
      <c r="O308" s="1"/>
      <c r="P308" s="1"/>
      <c r="Q308" s="1"/>
      <c r="R308" s="1"/>
      <c r="S308" s="1"/>
      <c r="T308" s="1"/>
      <c r="U308" s="1"/>
      <c r="V308" s="1"/>
      <c r="W308" s="1"/>
      <c r="X308" s="1"/>
      <c r="Y308" s="1"/>
      <c r="Z308" s="1"/>
      <c r="AA308" s="35"/>
      <c r="AB308" s="1"/>
      <c r="AC308" s="1"/>
      <c r="AD308" s="1"/>
      <c r="AE308" s="35"/>
      <c r="AF308" s="35"/>
      <c r="AG308" s="1"/>
      <c r="AH308" s="1"/>
      <c r="AI308" s="1"/>
      <c r="AJ308" s="1"/>
      <c r="AK308" s="1"/>
      <c r="AL308" s="17"/>
      <c r="AM308" s="18"/>
      <c r="AN308" s="10"/>
    </row>
    <row r="309" spans="2:40" x14ac:dyDescent="0.25">
      <c r="B309" s="1">
        <f t="shared" si="4"/>
        <v>299</v>
      </c>
      <c r="C309" s="1">
        <v>1</v>
      </c>
      <c r="D309" s="1" t="s">
        <v>220</v>
      </c>
      <c r="E309" s="1" t="s">
        <v>52</v>
      </c>
      <c r="F309" s="1" t="s">
        <v>321</v>
      </c>
      <c r="G309" s="1" t="s">
        <v>321</v>
      </c>
      <c r="H309" s="1" t="s">
        <v>507</v>
      </c>
      <c r="I309" s="1" t="s">
        <v>85</v>
      </c>
      <c r="J309" s="1" t="s">
        <v>491</v>
      </c>
      <c r="K309" s="1"/>
      <c r="L309" s="1"/>
      <c r="M309" s="1"/>
      <c r="N309" s="1"/>
      <c r="O309" s="1"/>
      <c r="P309" s="1"/>
      <c r="Q309" s="1"/>
      <c r="R309" s="1"/>
      <c r="S309" s="1"/>
      <c r="T309" s="1"/>
      <c r="U309" s="1"/>
      <c r="V309" s="1"/>
      <c r="W309" s="1"/>
      <c r="X309" s="1"/>
      <c r="Y309" s="1"/>
      <c r="Z309" s="1"/>
      <c r="AA309" s="35"/>
      <c r="AB309" s="1"/>
      <c r="AC309" s="1"/>
      <c r="AD309" s="1"/>
      <c r="AE309" s="35"/>
      <c r="AF309" s="35"/>
      <c r="AG309" s="1"/>
      <c r="AH309" s="1"/>
      <c r="AI309" s="1"/>
      <c r="AJ309" s="1"/>
      <c r="AK309" s="1"/>
      <c r="AL309" s="17"/>
      <c r="AM309" s="18"/>
      <c r="AN309" s="10"/>
    </row>
    <row r="310" spans="2:40" x14ac:dyDescent="0.25">
      <c r="B310" s="1">
        <f t="shared" si="4"/>
        <v>300</v>
      </c>
      <c r="C310" s="1">
        <v>1</v>
      </c>
      <c r="D310" s="1" t="s">
        <v>220</v>
      </c>
      <c r="E310" s="1" t="s">
        <v>52</v>
      </c>
      <c r="F310" s="1" t="s">
        <v>321</v>
      </c>
      <c r="G310" s="1" t="s">
        <v>321</v>
      </c>
      <c r="H310" s="1" t="s">
        <v>508</v>
      </c>
      <c r="I310" s="1" t="s">
        <v>85</v>
      </c>
      <c r="J310" s="1" t="s">
        <v>491</v>
      </c>
      <c r="K310" s="1"/>
      <c r="L310" s="1"/>
      <c r="M310" s="1"/>
      <c r="N310" s="1"/>
      <c r="O310" s="1"/>
      <c r="P310" s="1"/>
      <c r="Q310" s="1"/>
      <c r="R310" s="1"/>
      <c r="S310" s="1"/>
      <c r="T310" s="1"/>
      <c r="U310" s="1"/>
      <c r="V310" s="1"/>
      <c r="W310" s="1"/>
      <c r="X310" s="1"/>
      <c r="Y310" s="1"/>
      <c r="Z310" s="1"/>
      <c r="AA310" s="35"/>
      <c r="AB310" s="1"/>
      <c r="AC310" s="1"/>
      <c r="AD310" s="1"/>
      <c r="AE310" s="35"/>
      <c r="AF310" s="35"/>
      <c r="AG310" s="1"/>
      <c r="AH310" s="1"/>
      <c r="AI310" s="1"/>
      <c r="AJ310" s="1"/>
      <c r="AK310" s="1"/>
      <c r="AL310" s="17"/>
      <c r="AM310" s="18"/>
      <c r="AN310" s="10"/>
    </row>
    <row r="311" spans="2:40" x14ac:dyDescent="0.25">
      <c r="B311" s="1">
        <f t="shared" si="4"/>
        <v>301</v>
      </c>
      <c r="C311" s="1">
        <v>1</v>
      </c>
      <c r="D311" s="1" t="s">
        <v>220</v>
      </c>
      <c r="E311" s="1" t="s">
        <v>52</v>
      </c>
      <c r="F311" s="1" t="s">
        <v>321</v>
      </c>
      <c r="G311" s="1" t="s">
        <v>321</v>
      </c>
      <c r="H311" s="1" t="s">
        <v>509</v>
      </c>
      <c r="I311" s="1" t="s">
        <v>87</v>
      </c>
      <c r="J311" s="1" t="s">
        <v>491</v>
      </c>
      <c r="K311" s="1"/>
      <c r="L311" s="1"/>
      <c r="M311" s="1"/>
      <c r="N311" s="1"/>
      <c r="O311" s="1"/>
      <c r="P311" s="1"/>
      <c r="Q311" s="1"/>
      <c r="R311" s="1"/>
      <c r="S311" s="1"/>
      <c r="T311" s="1"/>
      <c r="U311" s="1"/>
      <c r="V311" s="1"/>
      <c r="W311" s="1"/>
      <c r="X311" s="1"/>
      <c r="Y311" s="1"/>
      <c r="Z311" s="1"/>
      <c r="AA311" s="35"/>
      <c r="AB311" s="1"/>
      <c r="AC311" s="1"/>
      <c r="AD311" s="1"/>
      <c r="AE311" s="35"/>
      <c r="AF311" s="35"/>
      <c r="AG311" s="1"/>
      <c r="AH311" s="1"/>
      <c r="AI311" s="1"/>
      <c r="AJ311" s="1"/>
      <c r="AK311" s="1"/>
      <c r="AL311" s="17"/>
      <c r="AM311" s="18"/>
      <c r="AN311" s="10"/>
    </row>
    <row r="312" spans="2:40" x14ac:dyDescent="0.25">
      <c r="B312" s="1">
        <f t="shared" si="4"/>
        <v>302</v>
      </c>
      <c r="C312" s="1">
        <v>1</v>
      </c>
      <c r="D312" s="1" t="s">
        <v>220</v>
      </c>
      <c r="E312" s="1" t="s">
        <v>52</v>
      </c>
      <c r="F312" s="1" t="s">
        <v>321</v>
      </c>
      <c r="G312" s="1" t="s">
        <v>321</v>
      </c>
      <c r="H312" s="1" t="s">
        <v>510</v>
      </c>
      <c r="I312" s="1" t="s">
        <v>87</v>
      </c>
      <c r="J312" s="1" t="s">
        <v>491</v>
      </c>
      <c r="K312" s="1"/>
      <c r="L312" s="1"/>
      <c r="M312" s="1"/>
      <c r="N312" s="1"/>
      <c r="O312" s="1"/>
      <c r="P312" s="1"/>
      <c r="Q312" s="1"/>
      <c r="R312" s="1"/>
      <c r="S312" s="1"/>
      <c r="T312" s="1"/>
      <c r="U312" s="1"/>
      <c r="V312" s="1"/>
      <c r="W312" s="1"/>
      <c r="X312" s="1"/>
      <c r="Y312" s="1"/>
      <c r="Z312" s="1"/>
      <c r="AA312" s="35"/>
      <c r="AB312" s="1"/>
      <c r="AC312" s="1"/>
      <c r="AD312" s="1"/>
      <c r="AE312" s="35"/>
      <c r="AF312" s="35"/>
      <c r="AG312" s="1"/>
      <c r="AH312" s="1"/>
      <c r="AI312" s="1"/>
      <c r="AJ312" s="1"/>
      <c r="AK312" s="1"/>
      <c r="AL312" s="17"/>
      <c r="AM312" s="18"/>
      <c r="AN312" s="10"/>
    </row>
    <row r="313" spans="2:40" x14ac:dyDescent="0.25">
      <c r="B313" s="1">
        <f t="shared" si="4"/>
        <v>303</v>
      </c>
      <c r="C313" s="1">
        <v>1</v>
      </c>
      <c r="D313" s="1" t="s">
        <v>516</v>
      </c>
      <c r="E313" s="1" t="s">
        <v>52</v>
      </c>
      <c r="F313" s="1" t="s">
        <v>321</v>
      </c>
      <c r="G313" s="1" t="s">
        <v>321</v>
      </c>
      <c r="H313" s="1" t="s">
        <v>511</v>
      </c>
      <c r="I313" s="1" t="s">
        <v>86</v>
      </c>
      <c r="J313" s="1" t="s">
        <v>491</v>
      </c>
      <c r="K313" s="1"/>
      <c r="L313" s="1"/>
      <c r="M313" s="1"/>
      <c r="N313" s="1"/>
      <c r="O313" s="1"/>
      <c r="P313" s="1"/>
      <c r="Q313" s="1"/>
      <c r="R313" s="1"/>
      <c r="S313" s="1"/>
      <c r="T313" s="1"/>
      <c r="U313" s="1"/>
      <c r="V313" s="1"/>
      <c r="W313" s="1"/>
      <c r="X313" s="1"/>
      <c r="Y313" s="1"/>
      <c r="Z313" s="1"/>
      <c r="AA313" s="35"/>
      <c r="AB313" s="1"/>
      <c r="AC313" s="1"/>
      <c r="AD313" s="1"/>
      <c r="AE313" s="35"/>
      <c r="AF313" s="35"/>
      <c r="AG313" s="1"/>
      <c r="AH313" s="1"/>
      <c r="AI313" s="1"/>
      <c r="AJ313" s="1"/>
      <c r="AK313" s="1"/>
      <c r="AL313" s="17"/>
      <c r="AM313" s="18"/>
      <c r="AN313" s="10"/>
    </row>
    <row r="314" spans="2:40" x14ac:dyDescent="0.25">
      <c r="B314" s="1">
        <f t="shared" si="4"/>
        <v>304</v>
      </c>
      <c r="C314" s="1">
        <v>1</v>
      </c>
      <c r="D314" s="1" t="s">
        <v>220</v>
      </c>
      <c r="E314" s="1" t="s">
        <v>52</v>
      </c>
      <c r="F314" s="1" t="s">
        <v>321</v>
      </c>
      <c r="G314" s="1" t="s">
        <v>321</v>
      </c>
      <c r="H314" s="1" t="s">
        <v>512</v>
      </c>
      <c r="I314" s="1" t="s">
        <v>86</v>
      </c>
      <c r="J314" s="1" t="s">
        <v>491</v>
      </c>
      <c r="K314" s="1"/>
      <c r="L314" s="1"/>
      <c r="M314" s="1"/>
      <c r="N314" s="1"/>
      <c r="O314" s="1"/>
      <c r="P314" s="1"/>
      <c r="Q314" s="1"/>
      <c r="R314" s="1"/>
      <c r="S314" s="1"/>
      <c r="T314" s="1"/>
      <c r="U314" s="1"/>
      <c r="V314" s="1"/>
      <c r="W314" s="1"/>
      <c r="X314" s="1"/>
      <c r="Y314" s="1"/>
      <c r="Z314" s="1"/>
      <c r="AA314" s="35"/>
      <c r="AB314" s="1"/>
      <c r="AC314" s="1"/>
      <c r="AD314" s="1"/>
      <c r="AE314" s="35"/>
      <c r="AF314" s="35"/>
      <c r="AG314" s="1"/>
      <c r="AH314" s="1"/>
      <c r="AI314" s="1"/>
      <c r="AJ314" s="1"/>
      <c r="AK314" s="1"/>
      <c r="AL314" s="17"/>
      <c r="AM314" s="18"/>
      <c r="AN314" s="10"/>
    </row>
    <row r="315" spans="2:40" x14ac:dyDescent="0.25">
      <c r="B315" s="1">
        <f t="shared" si="4"/>
        <v>305</v>
      </c>
      <c r="C315" s="1">
        <v>1</v>
      </c>
      <c r="D315" s="1" t="s">
        <v>220</v>
      </c>
      <c r="E315" s="1" t="s">
        <v>52</v>
      </c>
      <c r="F315" s="1" t="s">
        <v>321</v>
      </c>
      <c r="G315" s="1" t="s">
        <v>321</v>
      </c>
      <c r="H315" s="1" t="s">
        <v>513</v>
      </c>
      <c r="I315" s="1" t="s">
        <v>85</v>
      </c>
      <c r="J315" s="1" t="s">
        <v>491</v>
      </c>
      <c r="K315" s="1"/>
      <c r="L315" s="1"/>
      <c r="M315" s="1"/>
      <c r="N315" s="1"/>
      <c r="O315" s="1"/>
      <c r="P315" s="1"/>
      <c r="Q315" s="1"/>
      <c r="R315" s="1"/>
      <c r="S315" s="1"/>
      <c r="T315" s="1"/>
      <c r="U315" s="1"/>
      <c r="V315" s="1"/>
      <c r="W315" s="1"/>
      <c r="X315" s="1"/>
      <c r="Y315" s="1"/>
      <c r="Z315" s="1"/>
      <c r="AA315" s="35"/>
      <c r="AB315" s="1"/>
      <c r="AC315" s="1"/>
      <c r="AD315" s="1"/>
      <c r="AE315" s="35"/>
      <c r="AF315" s="35"/>
      <c r="AG315" s="1"/>
      <c r="AH315" s="1"/>
      <c r="AI315" s="1"/>
      <c r="AJ315" s="1"/>
      <c r="AK315" s="1"/>
      <c r="AL315" s="17"/>
      <c r="AM315" s="18"/>
      <c r="AN315" s="10"/>
    </row>
    <row r="316" spans="2:40" x14ac:dyDescent="0.25">
      <c r="B316" s="1">
        <f t="shared" si="4"/>
        <v>306</v>
      </c>
      <c r="C316" s="1">
        <v>1</v>
      </c>
      <c r="D316" s="1" t="s">
        <v>220</v>
      </c>
      <c r="E316" s="1" t="s">
        <v>52</v>
      </c>
      <c r="F316" s="1" t="s">
        <v>321</v>
      </c>
      <c r="G316" s="1" t="s">
        <v>321</v>
      </c>
      <c r="H316" s="1" t="s">
        <v>514</v>
      </c>
      <c r="I316" s="1" t="s">
        <v>85</v>
      </c>
      <c r="J316" s="1" t="s">
        <v>491</v>
      </c>
      <c r="K316" s="1"/>
      <c r="L316" s="1"/>
      <c r="M316" s="1"/>
      <c r="N316" s="1"/>
      <c r="O316" s="1"/>
      <c r="P316" s="1"/>
      <c r="Q316" s="1"/>
      <c r="R316" s="1"/>
      <c r="S316" s="1"/>
      <c r="T316" s="1"/>
      <c r="U316" s="1"/>
      <c r="V316" s="1"/>
      <c r="W316" s="1"/>
      <c r="X316" s="1"/>
      <c r="Y316" s="1"/>
      <c r="Z316" s="1"/>
      <c r="AA316" s="35"/>
      <c r="AB316" s="1"/>
      <c r="AC316" s="1"/>
      <c r="AD316" s="1"/>
      <c r="AE316" s="35"/>
      <c r="AF316" s="35"/>
      <c r="AG316" s="1"/>
      <c r="AH316" s="1"/>
      <c r="AI316" s="1"/>
      <c r="AJ316" s="1"/>
      <c r="AK316" s="1"/>
      <c r="AL316" s="17"/>
      <c r="AM316" s="18"/>
      <c r="AN316" s="10"/>
    </row>
    <row r="317" spans="2:40" x14ac:dyDescent="0.25">
      <c r="B317" s="1">
        <f t="shared" si="4"/>
        <v>307</v>
      </c>
      <c r="C317" s="1">
        <v>1</v>
      </c>
      <c r="D317" s="1" t="s">
        <v>220</v>
      </c>
      <c r="E317" s="1" t="s">
        <v>52</v>
      </c>
      <c r="F317" s="1" t="s">
        <v>321</v>
      </c>
      <c r="G317" s="1" t="s">
        <v>321</v>
      </c>
      <c r="H317" s="1" t="s">
        <v>515</v>
      </c>
      <c r="I317" s="1" t="s">
        <v>85</v>
      </c>
      <c r="J317" s="1" t="s">
        <v>491</v>
      </c>
      <c r="K317" s="1"/>
      <c r="L317" s="1"/>
      <c r="M317" s="1"/>
      <c r="N317" s="1"/>
      <c r="O317" s="1"/>
      <c r="P317" s="1"/>
      <c r="Q317" s="1"/>
      <c r="R317" s="1"/>
      <c r="S317" s="1"/>
      <c r="T317" s="1"/>
      <c r="U317" s="1"/>
      <c r="V317" s="1"/>
      <c r="W317" s="1"/>
      <c r="X317" s="1"/>
      <c r="Y317" s="1"/>
      <c r="Z317" s="1"/>
      <c r="AA317" s="35"/>
      <c r="AB317" s="1"/>
      <c r="AC317" s="1"/>
      <c r="AD317" s="1"/>
      <c r="AE317" s="35"/>
      <c r="AF317" s="35"/>
      <c r="AG317" s="1"/>
      <c r="AH317" s="1"/>
      <c r="AI317" s="1"/>
      <c r="AJ317" s="1"/>
      <c r="AK317" s="1"/>
      <c r="AL317" s="17"/>
      <c r="AM317" s="18"/>
      <c r="AN317" s="10"/>
    </row>
    <row r="318" spans="2:40" x14ac:dyDescent="0.25">
      <c r="B318" s="1">
        <f>B317+1</f>
        <v>308</v>
      </c>
      <c r="C318" s="1">
        <v>0</v>
      </c>
      <c r="D318" s="1" t="s">
        <v>522</v>
      </c>
      <c r="E318" s="1" t="s">
        <v>294</v>
      </c>
      <c r="F318" s="1" t="s">
        <v>43</v>
      </c>
      <c r="G318" s="1"/>
      <c r="H318" s="1" t="s">
        <v>523</v>
      </c>
      <c r="I318" s="1" t="s">
        <v>85</v>
      </c>
      <c r="J318" s="1" t="s">
        <v>502</v>
      </c>
      <c r="K318" s="1" t="s">
        <v>486</v>
      </c>
      <c r="L318" s="1">
        <v>0</v>
      </c>
      <c r="M318" s="1">
        <v>0</v>
      </c>
      <c r="N318" s="1">
        <v>0</v>
      </c>
      <c r="O318" s="1">
        <v>0</v>
      </c>
      <c r="P318" s="1">
        <v>0</v>
      </c>
      <c r="Q318" s="1">
        <v>0</v>
      </c>
      <c r="R318" s="1">
        <v>0</v>
      </c>
      <c r="S318" s="1">
        <v>0</v>
      </c>
      <c r="T318" s="1">
        <v>0</v>
      </c>
      <c r="U318" s="1">
        <v>0</v>
      </c>
      <c r="V318" s="1">
        <v>0</v>
      </c>
      <c r="W318" s="1">
        <v>0</v>
      </c>
      <c r="X318" s="1">
        <v>0</v>
      </c>
      <c r="Y318" s="1">
        <v>0</v>
      </c>
      <c r="Z318" s="1">
        <v>0</v>
      </c>
      <c r="AA318" s="1">
        <v>0</v>
      </c>
      <c r="AB318" s="1">
        <v>0</v>
      </c>
      <c r="AC318" s="1">
        <v>0</v>
      </c>
      <c r="AD318" s="1">
        <v>0</v>
      </c>
      <c r="AE318" s="1">
        <v>0</v>
      </c>
      <c r="AF318" s="1">
        <v>0</v>
      </c>
      <c r="AG318" s="1">
        <v>0</v>
      </c>
      <c r="AH318" s="1">
        <v>3</v>
      </c>
      <c r="AI318" s="1">
        <v>4</v>
      </c>
      <c r="AJ318" s="1" t="s">
        <v>21</v>
      </c>
      <c r="AK318" s="1" t="s">
        <v>21</v>
      </c>
      <c r="AL318" s="17">
        <v>44830</v>
      </c>
      <c r="AM318" s="18" t="s">
        <v>486</v>
      </c>
      <c r="AN318" s="10"/>
    </row>
    <row r="319" spans="2:40" x14ac:dyDescent="0.25">
      <c r="B319" s="1">
        <v>309</v>
      </c>
      <c r="C319" s="1">
        <v>1</v>
      </c>
      <c r="D319" s="1" t="s">
        <v>1234</v>
      </c>
      <c r="E319" s="1" t="s">
        <v>294</v>
      </c>
      <c r="F319" s="1" t="s">
        <v>1234</v>
      </c>
      <c r="G319" s="1" t="s">
        <v>1234</v>
      </c>
      <c r="H319" s="1" t="s">
        <v>1359</v>
      </c>
      <c r="I319" s="1" t="s">
        <v>85</v>
      </c>
      <c r="J319" s="1" t="s">
        <v>1294</v>
      </c>
      <c r="K319" s="1"/>
      <c r="L319" s="1">
        <v>0</v>
      </c>
      <c r="M319" s="1">
        <v>0</v>
      </c>
      <c r="N319" s="1">
        <v>0</v>
      </c>
      <c r="O319" s="1">
        <v>0</v>
      </c>
      <c r="P319" s="1">
        <v>0</v>
      </c>
      <c r="Q319" s="1">
        <v>0</v>
      </c>
      <c r="R319" s="1">
        <v>0</v>
      </c>
      <c r="S319" s="1">
        <v>0</v>
      </c>
      <c r="T319" s="1">
        <v>0</v>
      </c>
      <c r="U319" s="1">
        <v>0</v>
      </c>
      <c r="V319" s="1">
        <v>0</v>
      </c>
      <c r="W319" s="1">
        <v>0</v>
      </c>
      <c r="X319" s="1">
        <v>0</v>
      </c>
      <c r="Y319" s="1">
        <v>0</v>
      </c>
      <c r="Z319" s="1">
        <v>0</v>
      </c>
      <c r="AA319" s="1">
        <v>0</v>
      </c>
      <c r="AB319" s="1">
        <v>0</v>
      </c>
      <c r="AC319" s="1">
        <v>0</v>
      </c>
      <c r="AD319" s="1">
        <v>0</v>
      </c>
      <c r="AE319" s="1">
        <v>0</v>
      </c>
      <c r="AF319" s="1">
        <v>0</v>
      </c>
      <c r="AG319" s="1">
        <v>0</v>
      </c>
      <c r="AH319" s="1">
        <v>0</v>
      </c>
      <c r="AI319" s="1">
        <v>0</v>
      </c>
      <c r="AJ319" s="1" t="s">
        <v>95</v>
      </c>
      <c r="AK319" s="1" t="s">
        <v>95</v>
      </c>
      <c r="AL319" s="17"/>
      <c r="AM319" s="18"/>
      <c r="AN319" s="10" t="s">
        <v>1360</v>
      </c>
    </row>
  </sheetData>
  <mergeCells count="7">
    <mergeCell ref="P1:S1"/>
    <mergeCell ref="P2:S2"/>
    <mergeCell ref="P3:S3"/>
    <mergeCell ref="E4:H7"/>
    <mergeCell ref="P4:S4"/>
    <mergeCell ref="P5:S5"/>
    <mergeCell ref="P6:S6"/>
  </mergeCells>
  <conditionalFormatting sqref="B12:AF16">
    <cfRule type="expression" dxfId="346" priority="235">
      <formula>AND($C12=0,$C12&lt;&gt;"")</formula>
    </cfRule>
  </conditionalFormatting>
  <conditionalFormatting sqref="B305:AF307 AJ305:AN307">
    <cfRule type="expression" dxfId="345" priority="108">
      <formula>AND($C305=0,$C305&lt;&gt;"")</formula>
    </cfRule>
  </conditionalFormatting>
  <conditionalFormatting sqref="B235:AN242">
    <cfRule type="expression" dxfId="344" priority="11">
      <formula>AND($C235=0,$C235&lt;&gt;"")</formula>
    </cfRule>
  </conditionalFormatting>
  <conditionalFormatting sqref="B318:AN318">
    <cfRule type="expression" dxfId="343" priority="1">
      <formula>AND($C318=0,$C318&lt;&gt;"")</formula>
    </cfRule>
  </conditionalFormatting>
  <conditionalFormatting sqref="C234:G234">
    <cfRule type="expression" dxfId="342" priority="658">
      <formula>AND($C234=0,$C234&lt;&gt;"")</formula>
    </cfRule>
  </conditionalFormatting>
  <conditionalFormatting sqref="C275:G278">
    <cfRule type="expression" dxfId="341" priority="495">
      <formula>AND($C275=0,$C275&lt;&gt;"")</formula>
    </cfRule>
  </conditionalFormatting>
  <conditionalFormatting sqref="C308:G308">
    <cfRule type="expression" dxfId="340" priority="206">
      <formula>AND($C308=0,$C308&lt;&gt;"")</formula>
    </cfRule>
  </conditionalFormatting>
  <conditionalFormatting sqref="C280:H281">
    <cfRule type="expression" dxfId="339" priority="464">
      <formula>AND($C280=0,$C280&lt;&gt;"")</formula>
    </cfRule>
  </conditionalFormatting>
  <conditionalFormatting sqref="C188:I189 L188:Z189 AJ188:AK189 AN188:AN189">
    <cfRule type="expression" dxfId="338" priority="663">
      <formula>AND($C188=0,$C188&lt;&gt;"")</formula>
    </cfRule>
  </conditionalFormatting>
  <conditionalFormatting sqref="C272:I274 AJ272:AN274">
    <cfRule type="expression" dxfId="337" priority="532">
      <formula>AND($C272=0,$C272&lt;&gt;"")</formula>
    </cfRule>
  </conditionalFormatting>
  <conditionalFormatting sqref="C284:J285 AJ285:AK285">
    <cfRule type="expression" dxfId="336" priority="403">
      <formula>AND($C284=0,$C284&lt;&gt;"")</formula>
    </cfRule>
  </conditionalFormatting>
  <conditionalFormatting sqref="C57:AF57">
    <cfRule type="expression" dxfId="335" priority="423">
      <formula>AND($C57=0,$C57&lt;&gt;"")</formula>
    </cfRule>
  </conditionalFormatting>
  <conditionalFormatting sqref="C288:AF291 J292:AF292 AJ292:AL292 B11:AN11 C17:AF26 B17:B57 C27:Z34 AA27:AF56 C35:J35 L35:Y35 C36:Z40 C41:J41 L41:Z41 C42:Z54 C55:F55 H55:Z55 C56:Z56 AA59:AF62 C59:Z74 B59:B161 AA63:AI151 C75:J75 L75:Z75 C76:Z99 C100:J100 L100:Z100 C101:Z154 AA152:AG154 AJ152:AM154 AL155:AM155 C155:K158 AL156:AN158 C159:AG159 AJ159:AN159 C160:AN160 C161:AG161 AH161:AI165 AA163:AG165 C163:Z170 B163:B234 AA166:AI203 C171:J171 L171:Z171 C172:Z187 AL188:AM189 C190:W214 Y190:Z214 AJ190:AN214 AA204:AF218 AG204:AI232 D215:E232 AA219:AA228 AA229:AF232 D233 AG234:AI234 W243:W244 AF243:AF244 J243:K246 B243:B304 AE271:AF271 C279:AF279 C292:H292 C293:AN299 D300:AN300 D301:E303 J301:AI303 B308:B317">
    <cfRule type="expression" dxfId="334" priority="684">
      <formula>AND($C11=0,$C11&lt;&gt;"")</formula>
    </cfRule>
  </conditionalFormatting>
  <conditionalFormatting sqref="D243:D244">
    <cfRule type="expression" dxfId="333" priority="602">
      <formula>AND($C243=0,$C243&lt;&gt;"")</formula>
    </cfRule>
  </conditionalFormatting>
  <conditionalFormatting sqref="D309:D312">
    <cfRule type="expression" dxfId="332" priority="162">
      <formula>AND($C309=0,$C309&lt;&gt;"")</formula>
    </cfRule>
  </conditionalFormatting>
  <conditionalFormatting sqref="D314:D317">
    <cfRule type="expression" dxfId="331" priority="158">
      <formula>AND($C314=0,$C314&lt;&gt;"")</formula>
    </cfRule>
  </conditionalFormatting>
  <conditionalFormatting sqref="E233">
    <cfRule type="expression" dxfId="330" priority="279">
      <formula>AND($C233=0,$C233&lt;&gt;"")</formula>
    </cfRule>
  </conditionalFormatting>
  <conditionalFormatting sqref="E243:E244">
    <cfRule type="expression" dxfId="329" priority="601">
      <formula>AND($C243=0,$C243&lt;&gt;"")</formula>
    </cfRule>
  </conditionalFormatting>
  <conditionalFormatting sqref="E282:E283">
    <cfRule type="expression" dxfId="328" priority="437">
      <formula>AND($C282=0,$C282&lt;&gt;"")</formula>
    </cfRule>
  </conditionalFormatting>
  <conditionalFormatting sqref="E286:E287">
    <cfRule type="expression" dxfId="327" priority="343">
      <formula>AND($C286=0,$C286&lt;&gt;"")</formula>
    </cfRule>
  </conditionalFormatting>
  <conditionalFormatting sqref="E304">
    <cfRule type="expression" dxfId="326" priority="91">
      <formula>AND($C304=0,$C304&lt;&gt;"")</formula>
    </cfRule>
  </conditionalFormatting>
  <conditionalFormatting sqref="E309:G317">
    <cfRule type="expression" dxfId="325" priority="166">
      <formula>AND($C309=0,$C309&lt;&gt;"")</formula>
    </cfRule>
  </conditionalFormatting>
  <conditionalFormatting sqref="F243:I244 L243:V244 X243:Z244">
    <cfRule type="expression" dxfId="324" priority="591">
      <formula>AND($C243=0,$C243&lt;&gt;"")</formula>
    </cfRule>
  </conditionalFormatting>
  <conditionalFormatting sqref="F304:AF304 AJ304:AN304 C304:D304">
    <cfRule type="expression" dxfId="323" priority="268">
      <formula>AND($C304=0,$C304&lt;&gt;"")</formula>
    </cfRule>
  </conditionalFormatting>
  <conditionalFormatting sqref="G55">
    <cfRule type="expression" dxfId="322" priority="683">
      <formula>AND($C55=0,$C55&lt;&gt;"")</formula>
    </cfRule>
  </conditionalFormatting>
  <conditionalFormatting sqref="G58">
    <cfRule type="expression" dxfId="321" priority="215">
      <formula>AND($C58=0,$C58&lt;&gt;"")</formula>
    </cfRule>
  </conditionalFormatting>
  <conditionalFormatting sqref="I280:I283">
    <cfRule type="expression" dxfId="320" priority="435">
      <formula>AND($C280=0,$C280&lt;&gt;"")</formula>
    </cfRule>
  </conditionalFormatting>
  <conditionalFormatting sqref="I286:I287">
    <cfRule type="expression" dxfId="319" priority="342">
      <formula>AND($C286=0,$C286&lt;&gt;"")</formula>
    </cfRule>
  </conditionalFormatting>
  <conditionalFormatting sqref="I292">
    <cfRule type="expression" dxfId="318" priority="227">
      <formula>AND($C292=0,$C292&lt;&gt;"")</formula>
    </cfRule>
  </conditionalFormatting>
  <conditionalFormatting sqref="J188:J189">
    <cfRule type="expression" dxfId="317" priority="659">
      <formula>AND($C188=0,$C188&lt;&gt;"")</formula>
    </cfRule>
  </conditionalFormatting>
  <conditionalFormatting sqref="J234">
    <cfRule type="expression" dxfId="316" priority="205">
      <formula>AND($C234=0,$C234&lt;&gt;"")</formula>
    </cfRule>
  </conditionalFormatting>
  <conditionalFormatting sqref="J272:J278">
    <cfRule type="expression" dxfId="315" priority="198">
      <formula>AND($C272=0,$C272&lt;&gt;"")</formula>
    </cfRule>
  </conditionalFormatting>
  <conditionalFormatting sqref="J280:J283">
    <cfRule type="expression" dxfId="314" priority="196">
      <formula>AND($C280=0,$C280&lt;&gt;"")</formula>
    </cfRule>
  </conditionalFormatting>
  <conditionalFormatting sqref="J308:J317">
    <cfRule type="expression" dxfId="313" priority="175">
      <formula>AND($C308=0,$C308&lt;&gt;"")</formula>
    </cfRule>
  </conditionalFormatting>
  <conditionalFormatting sqref="K35">
    <cfRule type="expression" dxfId="312" priority="562">
      <formula>AND($C35=0,$C35&lt;&gt;"")</formula>
    </cfRule>
  </conditionalFormatting>
  <conditionalFormatting sqref="K41 K75 K100 K171">
    <cfRule type="expression" dxfId="311" priority="563">
      <formula>AND($C41=0,$C41&lt;&gt;"")</formula>
    </cfRule>
  </conditionalFormatting>
  <conditionalFormatting sqref="K188:K189">
    <cfRule type="expression" dxfId="310" priority="661">
      <formula>AND($C188=0,$C188&lt;&gt;"")</formula>
    </cfRule>
  </conditionalFormatting>
  <conditionalFormatting sqref="K234">
    <cfRule type="expression" dxfId="309" priority="194">
      <formula>AND($C234=0,$C234&lt;&gt;"")</formula>
    </cfRule>
  </conditionalFormatting>
  <conditionalFormatting sqref="K272:K278">
    <cfRule type="expression" dxfId="308" priority="187">
      <formula>AND($C272=0,$C272&lt;&gt;"")</formula>
    </cfRule>
  </conditionalFormatting>
  <conditionalFormatting sqref="K280:K287">
    <cfRule type="expression" dxfId="307" priority="185">
      <formula>AND($C280=0,$C280&lt;&gt;"")</formula>
    </cfRule>
  </conditionalFormatting>
  <conditionalFormatting sqref="K308">
    <cfRule type="expression" dxfId="306" priority="184">
      <formula>AND($C308=0,$C308&lt;&gt;"")</formula>
    </cfRule>
  </conditionalFormatting>
  <conditionalFormatting sqref="L243:V244 X243:Z244">
    <cfRule type="containsBlanks" dxfId="305" priority="595" stopIfTrue="1">
      <formula>LEN(TRIM(L243))=0</formula>
    </cfRule>
    <cfRule type="cellIs" dxfId="304" priority="596" operator="equal">
      <formula>4</formula>
    </cfRule>
    <cfRule type="cellIs" dxfId="303" priority="597" operator="equal">
      <formula>3</formula>
    </cfRule>
    <cfRule type="cellIs" dxfId="302" priority="598" operator="equal">
      <formula>2</formula>
    </cfRule>
    <cfRule type="cellIs" dxfId="301" priority="599" operator="equal">
      <formula>1</formula>
    </cfRule>
    <cfRule type="cellIs" dxfId="300" priority="600" operator="equal">
      <formula>0</formula>
    </cfRule>
  </conditionalFormatting>
  <conditionalFormatting sqref="L188:Z189">
    <cfRule type="containsBlanks" dxfId="299" priority="667" stopIfTrue="1">
      <formula>LEN(TRIM(L188))=0</formula>
    </cfRule>
    <cfRule type="cellIs" dxfId="298" priority="668" operator="equal">
      <formula>4</formula>
    </cfRule>
    <cfRule type="cellIs" dxfId="297" priority="669" operator="equal">
      <formula>3</formula>
    </cfRule>
    <cfRule type="cellIs" dxfId="296" priority="670" operator="equal">
      <formula>2</formula>
    </cfRule>
    <cfRule type="cellIs" dxfId="295" priority="671" operator="equal">
      <formula>1</formula>
    </cfRule>
    <cfRule type="cellIs" dxfId="294" priority="672" operator="equal">
      <formula>0</formula>
    </cfRule>
  </conditionalFormatting>
  <conditionalFormatting sqref="L245:Z246">
    <cfRule type="containsBlanks" dxfId="293" priority="575" stopIfTrue="1">
      <formula>LEN(TRIM(L245))=0</formula>
    </cfRule>
    <cfRule type="cellIs" dxfId="292" priority="576" operator="equal">
      <formula>4</formula>
    </cfRule>
    <cfRule type="cellIs" dxfId="291" priority="577" operator="equal">
      <formula>3</formula>
    </cfRule>
    <cfRule type="cellIs" dxfId="290" priority="578" operator="equal">
      <formula>2</formula>
    </cfRule>
    <cfRule type="cellIs" dxfId="289" priority="579" operator="equal">
      <formula>1</formula>
    </cfRule>
    <cfRule type="cellIs" dxfId="288" priority="580" operator="equal">
      <formula>0</formula>
    </cfRule>
  </conditionalFormatting>
  <conditionalFormatting sqref="L12:AF16">
    <cfRule type="containsBlanks" dxfId="287" priority="239" stopIfTrue="1">
      <formula>LEN(TRIM(L12))=0</formula>
    </cfRule>
    <cfRule type="cellIs" dxfId="286" priority="240" operator="equal">
      <formula>4</formula>
    </cfRule>
    <cfRule type="cellIs" dxfId="285" priority="241" operator="equal">
      <formula>3</formula>
    </cfRule>
    <cfRule type="cellIs" dxfId="284" priority="242" operator="equal">
      <formula>2</formula>
    </cfRule>
    <cfRule type="cellIs" dxfId="283" priority="243" operator="equal">
      <formula>1</formula>
    </cfRule>
    <cfRule type="cellIs" dxfId="282" priority="244" operator="equal">
      <formula>0</formula>
    </cfRule>
  </conditionalFormatting>
  <conditionalFormatting sqref="L57:AF57">
    <cfRule type="containsBlanks" dxfId="281" priority="427" stopIfTrue="1">
      <formula>LEN(TRIM(L57))=0</formula>
    </cfRule>
    <cfRule type="cellIs" dxfId="280" priority="428" operator="equal">
      <formula>4</formula>
    </cfRule>
    <cfRule type="cellIs" dxfId="279" priority="429" operator="equal">
      <formula>3</formula>
    </cfRule>
    <cfRule type="cellIs" dxfId="278" priority="430" operator="equal">
      <formula>2</formula>
    </cfRule>
    <cfRule type="cellIs" dxfId="277" priority="431" operator="equal">
      <formula>1</formula>
    </cfRule>
    <cfRule type="cellIs" dxfId="276" priority="432" operator="equal">
      <formula>0</formula>
    </cfRule>
  </conditionalFormatting>
  <conditionalFormatting sqref="L58:AF58">
    <cfRule type="containsBlanks" dxfId="275" priority="220" stopIfTrue="1">
      <formula>LEN(TRIM(L58))=0</formula>
    </cfRule>
    <cfRule type="cellIs" dxfId="274" priority="221" operator="equal">
      <formula>4</formula>
    </cfRule>
    <cfRule type="cellIs" dxfId="273" priority="222" operator="equal">
      <formula>3</formula>
    </cfRule>
    <cfRule type="cellIs" dxfId="272" priority="223" operator="equal">
      <formula>2</formula>
    </cfRule>
    <cfRule type="cellIs" dxfId="271" priority="224" operator="equal">
      <formula>1</formula>
    </cfRule>
    <cfRule type="cellIs" dxfId="270" priority="225" operator="equal">
      <formula>0</formula>
    </cfRule>
  </conditionalFormatting>
  <conditionalFormatting sqref="L234:AF234 AJ234:AM234">
    <cfRule type="expression" dxfId="269" priority="645">
      <formula>AND($C234=0,$C234&lt;&gt;"")</formula>
    </cfRule>
  </conditionalFormatting>
  <conditionalFormatting sqref="L234:AF234">
    <cfRule type="containsBlanks" dxfId="268" priority="649" stopIfTrue="1">
      <formula>LEN(TRIM(L234))=0</formula>
    </cfRule>
    <cfRule type="cellIs" dxfId="267" priority="650" operator="equal">
      <formula>4</formula>
    </cfRule>
    <cfRule type="cellIs" dxfId="266" priority="651" operator="equal">
      <formula>3</formula>
    </cfRule>
    <cfRule type="cellIs" dxfId="265" priority="652" operator="equal">
      <formula>2</formula>
    </cfRule>
    <cfRule type="cellIs" dxfId="264" priority="653" operator="equal">
      <formula>1</formula>
    </cfRule>
    <cfRule type="cellIs" dxfId="263" priority="654" operator="equal">
      <formula>0</formula>
    </cfRule>
  </conditionalFormatting>
  <conditionalFormatting sqref="L272:AF278 AJ275:AM278">
    <cfRule type="expression" dxfId="262" priority="484">
      <formula>AND($C272=0,$C272&lt;&gt;"")</formula>
    </cfRule>
  </conditionalFormatting>
  <conditionalFormatting sqref="L272:AF278">
    <cfRule type="containsBlanks" dxfId="261" priority="488" stopIfTrue="1">
      <formula>LEN(TRIM(L272))=0</formula>
    </cfRule>
    <cfRule type="cellIs" dxfId="260" priority="489" operator="equal">
      <formula>4</formula>
    </cfRule>
    <cfRule type="cellIs" dxfId="259" priority="490" operator="equal">
      <formula>3</formula>
    </cfRule>
    <cfRule type="cellIs" dxfId="258" priority="491" operator="equal">
      <formula>2</formula>
    </cfRule>
    <cfRule type="cellIs" dxfId="257" priority="492" operator="equal">
      <formula>1</formula>
    </cfRule>
    <cfRule type="cellIs" dxfId="256" priority="493" operator="equal">
      <formula>0</formula>
    </cfRule>
  </conditionalFormatting>
  <conditionalFormatting sqref="L280:AF287">
    <cfRule type="containsBlanks" dxfId="255" priority="348" stopIfTrue="1">
      <formula>LEN(TRIM(L280))=0</formula>
    </cfRule>
    <cfRule type="cellIs" dxfId="254" priority="349" operator="equal">
      <formula>4</formula>
    </cfRule>
    <cfRule type="cellIs" dxfId="253" priority="350" operator="equal">
      <formula>3</formula>
    </cfRule>
    <cfRule type="cellIs" dxfId="252" priority="351" operator="equal">
      <formula>2</formula>
    </cfRule>
    <cfRule type="cellIs" dxfId="251" priority="352" operator="equal">
      <formula>1</formula>
    </cfRule>
    <cfRule type="cellIs" dxfId="250" priority="353" operator="equal">
      <formula>0</formula>
    </cfRule>
  </conditionalFormatting>
  <conditionalFormatting sqref="L288:AF292">
    <cfRule type="containsBlanks" dxfId="249" priority="326" stopIfTrue="1">
      <formula>LEN(TRIM(L288))=0</formula>
    </cfRule>
    <cfRule type="cellIs" dxfId="248" priority="327" operator="equal">
      <formula>4</formula>
    </cfRule>
    <cfRule type="cellIs" dxfId="247" priority="328" operator="equal">
      <formula>3</formula>
    </cfRule>
    <cfRule type="cellIs" dxfId="246" priority="329" operator="equal">
      <formula>2</formula>
    </cfRule>
    <cfRule type="cellIs" dxfId="245" priority="330" operator="equal">
      <formula>1</formula>
    </cfRule>
    <cfRule type="cellIs" dxfId="244" priority="331" operator="equal">
      <formula>0</formula>
    </cfRule>
  </conditionalFormatting>
  <conditionalFormatting sqref="L304:AF305">
    <cfRule type="containsBlanks" dxfId="243" priority="137" stopIfTrue="1">
      <formula>LEN(TRIM(L304))=0</formula>
    </cfRule>
    <cfRule type="cellIs" dxfId="242" priority="138" operator="equal">
      <formula>4</formula>
    </cfRule>
    <cfRule type="cellIs" dxfId="241" priority="139" operator="equal">
      <formula>3</formula>
    </cfRule>
    <cfRule type="cellIs" dxfId="240" priority="140" operator="equal">
      <formula>2</formula>
    </cfRule>
    <cfRule type="cellIs" dxfId="239" priority="141" operator="equal">
      <formula>1</formula>
    </cfRule>
    <cfRule type="cellIs" dxfId="238" priority="142" operator="equal">
      <formula>0</formula>
    </cfRule>
  </conditionalFormatting>
  <conditionalFormatting sqref="L306:AF307">
    <cfRule type="containsBlanks" dxfId="237" priority="102" stopIfTrue="1">
      <formula>LEN(TRIM(L306))=0</formula>
    </cfRule>
    <cfRule type="cellIs" dxfId="236" priority="103" operator="equal">
      <formula>4</formula>
    </cfRule>
    <cfRule type="cellIs" dxfId="235" priority="104" operator="equal">
      <formula>3</formula>
    </cfRule>
    <cfRule type="cellIs" dxfId="234" priority="105" operator="equal">
      <formula>2</formula>
    </cfRule>
    <cfRule type="cellIs" dxfId="233" priority="106" operator="equal">
      <formula>1</formula>
    </cfRule>
    <cfRule type="cellIs" dxfId="232" priority="107" operator="equal">
      <formula>0</formula>
    </cfRule>
  </conditionalFormatting>
  <conditionalFormatting sqref="L162:AG162">
    <cfRule type="containsBlanks" dxfId="231" priority="308" stopIfTrue="1">
      <formula>LEN(TRIM(L162))=0</formula>
    </cfRule>
    <cfRule type="cellIs" dxfId="230" priority="309" operator="equal">
      <formula>4</formula>
    </cfRule>
    <cfRule type="cellIs" dxfId="229" priority="310" operator="equal">
      <formula>3</formula>
    </cfRule>
    <cfRule type="cellIs" dxfId="228" priority="311" operator="equal">
      <formula>2</formula>
    </cfRule>
    <cfRule type="cellIs" dxfId="227" priority="312" operator="equal">
      <formula>1</formula>
    </cfRule>
    <cfRule type="cellIs" dxfId="226" priority="313" operator="equal">
      <formula>0</formula>
    </cfRule>
  </conditionalFormatting>
  <conditionalFormatting sqref="L11:AI11 L17:AF26 L27:Z34 AA27:AF56 L35:Y35 L36:Z56 AA59:AF62 L59:Z154 AA63:AI151 AA152:AG154 L159:AG159 L160:AI160 L161:AG161 AH161:AI165 AA163:AG165 L163:Z187 AA166:AI203 L190:Z203 L204:AF218 AG204:AI232 L219:AA228 L229:AF232 AG234:AI234 W243:W244 AF243:AF244 AE271:AF271 L279:AF279 L293:AI303">
    <cfRule type="containsBlanks" dxfId="225" priority="688" stopIfTrue="1">
      <formula>LEN(TRIM(L11))=0</formula>
    </cfRule>
    <cfRule type="cellIs" dxfId="224" priority="689" operator="equal">
      <formula>4</formula>
    </cfRule>
    <cfRule type="cellIs" dxfId="223" priority="690" operator="equal">
      <formula>3</formula>
    </cfRule>
    <cfRule type="cellIs" dxfId="222" priority="691" operator="equal">
      <formula>2</formula>
    </cfRule>
    <cfRule type="cellIs" dxfId="221" priority="692" operator="equal">
      <formula>1</formula>
    </cfRule>
    <cfRule type="cellIs" dxfId="220" priority="693" operator="equal">
      <formula>0</formula>
    </cfRule>
  </conditionalFormatting>
  <conditionalFormatting sqref="L233:AI233">
    <cfRule type="containsBlanks" dxfId="219" priority="273" stopIfTrue="1">
      <formula>LEN(TRIM(L233))=0</formula>
    </cfRule>
    <cfRule type="cellIs" dxfId="218" priority="274" operator="equal">
      <formula>4</formula>
    </cfRule>
    <cfRule type="cellIs" dxfId="217" priority="275" operator="equal">
      <formula>3</formula>
    </cfRule>
    <cfRule type="cellIs" dxfId="216" priority="276" operator="equal">
      <formula>2</formula>
    </cfRule>
    <cfRule type="cellIs" dxfId="215" priority="277" operator="equal">
      <formula>1</formula>
    </cfRule>
    <cfRule type="cellIs" dxfId="214" priority="278" operator="equal">
      <formula>0</formula>
    </cfRule>
  </conditionalFormatting>
  <conditionalFormatting sqref="L235:AI242">
    <cfRule type="containsBlanks" dxfId="213" priority="15" stopIfTrue="1">
      <formula>LEN(TRIM(L235))=0</formula>
    </cfRule>
    <cfRule type="cellIs" dxfId="212" priority="16" operator="equal">
      <formula>4</formula>
    </cfRule>
    <cfRule type="cellIs" dxfId="211" priority="17" operator="equal">
      <formula>3</formula>
    </cfRule>
    <cfRule type="cellIs" dxfId="210" priority="18" operator="equal">
      <formula>2</formula>
    </cfRule>
    <cfRule type="cellIs" dxfId="209" priority="19" operator="equal">
      <formula>1</formula>
    </cfRule>
    <cfRule type="cellIs" dxfId="208" priority="20" operator="equal">
      <formula>0</formula>
    </cfRule>
  </conditionalFormatting>
  <conditionalFormatting sqref="L318:AI318">
    <cfRule type="containsBlanks" dxfId="207" priority="5" stopIfTrue="1">
      <formula>LEN(TRIM(L318))=0</formula>
    </cfRule>
    <cfRule type="cellIs" dxfId="206" priority="6" operator="equal">
      <formula>4</formula>
    </cfRule>
    <cfRule type="cellIs" dxfId="205" priority="7" operator="equal">
      <formula>3</formula>
    </cfRule>
    <cfRule type="cellIs" dxfId="204" priority="8" operator="equal">
      <formula>2</formula>
    </cfRule>
    <cfRule type="cellIs" dxfId="203" priority="9" operator="equal">
      <formula>1</formula>
    </cfRule>
    <cfRule type="cellIs" dxfId="202" priority="10" operator="equal">
      <formula>0</formula>
    </cfRule>
  </conditionalFormatting>
  <conditionalFormatting sqref="X190:X233 AA233:AI233">
    <cfRule type="expression" dxfId="201" priority="269">
      <formula>AND($C190=0,$C190&lt;&gt;"")</formula>
    </cfRule>
  </conditionalFormatting>
  <conditionalFormatting sqref="Z35">
    <cfRule type="expression" dxfId="200" priority="564">
      <formula>AND($C35=0,$C35&lt;&gt;"")</formula>
    </cfRule>
    <cfRule type="containsBlanks" dxfId="199" priority="565" stopIfTrue="1">
      <formula>LEN(TRIM(Z35))=0</formula>
    </cfRule>
    <cfRule type="cellIs" dxfId="198" priority="566" operator="equal">
      <formula>4</formula>
    </cfRule>
    <cfRule type="cellIs" dxfId="197" priority="567" operator="equal">
      <formula>3</formula>
    </cfRule>
    <cfRule type="cellIs" dxfId="196" priority="568" operator="equal">
      <formula>2</formula>
    </cfRule>
    <cfRule type="cellIs" dxfId="195" priority="569" operator="equal">
      <formula>1</formula>
    </cfRule>
    <cfRule type="cellIs" dxfId="194" priority="570" operator="equal">
      <formula>0</formula>
    </cfRule>
  </conditionalFormatting>
  <conditionalFormatting sqref="AA261:AD262 AA270:AD271">
    <cfRule type="expression" dxfId="193" priority="394">
      <formula>AND($C261=0,$C261&lt;&gt;"")</formula>
    </cfRule>
    <cfRule type="containsBlanks" dxfId="192" priority="395" stopIfTrue="1">
      <formula>LEN(TRIM(AA261))=0</formula>
    </cfRule>
    <cfRule type="cellIs" dxfId="191" priority="396" operator="equal">
      <formula>4</formula>
    </cfRule>
    <cfRule type="cellIs" dxfId="190" priority="397" operator="equal">
      <formula>3</formula>
    </cfRule>
    <cfRule type="cellIs" dxfId="189" priority="398" operator="equal">
      <formula>2</formula>
    </cfRule>
    <cfRule type="cellIs" dxfId="188" priority="399" operator="equal">
      <formula>1</formula>
    </cfRule>
    <cfRule type="cellIs" dxfId="187" priority="400" operator="equal">
      <formula>0</formula>
    </cfRule>
  </conditionalFormatting>
  <conditionalFormatting sqref="AA263:AD269">
    <cfRule type="containsBlanks" dxfId="186" priority="388" stopIfTrue="1">
      <formula>LEN(TRIM(AA263))=0</formula>
    </cfRule>
    <cfRule type="cellIs" dxfId="185" priority="389" operator="equal">
      <formula>4</formula>
    </cfRule>
    <cfRule type="cellIs" dxfId="184" priority="390" operator="equal">
      <formula>3</formula>
    </cfRule>
    <cfRule type="cellIs" dxfId="183" priority="391" operator="equal">
      <formula>2</formula>
    </cfRule>
    <cfRule type="cellIs" dxfId="182" priority="392" operator="equal">
      <formula>1</formula>
    </cfRule>
    <cfRule type="cellIs" dxfId="181" priority="393" operator="equal">
      <formula>0</formula>
    </cfRule>
  </conditionalFormatting>
  <conditionalFormatting sqref="AB219:AF228">
    <cfRule type="expression" dxfId="180" priority="296">
      <formula>AND($C219=0,$C219&lt;&gt;"")</formula>
    </cfRule>
    <cfRule type="containsBlanks" dxfId="179" priority="297" stopIfTrue="1">
      <formula>LEN(TRIM(AB219))=0</formula>
    </cfRule>
    <cfRule type="cellIs" dxfId="178" priority="298" operator="equal">
      <formula>4</formula>
    </cfRule>
    <cfRule type="cellIs" dxfId="177" priority="299" operator="equal">
      <formula>3</formula>
    </cfRule>
    <cfRule type="cellIs" dxfId="176" priority="300" operator="equal">
      <formula>2</formula>
    </cfRule>
    <cfRule type="cellIs" dxfId="175" priority="301" operator="equal">
      <formula>1</formula>
    </cfRule>
    <cfRule type="cellIs" dxfId="174" priority="302" operator="equal">
      <formula>0</formula>
    </cfRule>
  </conditionalFormatting>
  <conditionalFormatting sqref="AE270">
    <cfRule type="containsBlanks" dxfId="173" priority="374" stopIfTrue="1">
      <formula>LEN(TRIM(AE270))=0</formula>
    </cfRule>
    <cfRule type="cellIs" dxfId="172" priority="375" operator="equal">
      <formula>4</formula>
    </cfRule>
    <cfRule type="cellIs" dxfId="171" priority="376" operator="equal">
      <formula>3</formula>
    </cfRule>
    <cfRule type="cellIs" dxfId="170" priority="377" operator="equal">
      <formula>2</formula>
    </cfRule>
    <cfRule type="cellIs" dxfId="169" priority="378" operator="equal">
      <formula>1</formula>
    </cfRule>
    <cfRule type="cellIs" dxfId="168" priority="379" operator="equal">
      <formula>0</formula>
    </cfRule>
    <cfRule type="expression" dxfId="167" priority="380">
      <formula>AND($C271=0,$C271&lt;&gt;"")</formula>
    </cfRule>
  </conditionalFormatting>
  <conditionalFormatting sqref="AE263:AF264">
    <cfRule type="expression" dxfId="166" priority="695">
      <formula>AND($C265=0,$C265&lt;&gt;"")</formula>
    </cfRule>
  </conditionalFormatting>
  <conditionalFormatting sqref="AE265:AF268">
    <cfRule type="expression" dxfId="165" priority="367">
      <formula>AND($C265=0,$C265&lt;&gt;"")</formula>
    </cfRule>
  </conditionalFormatting>
  <conditionalFormatting sqref="AE265:AF269">
    <cfRule type="containsBlanks" dxfId="164" priority="368" stopIfTrue="1">
      <formula>LEN(TRIM(AE265))=0</formula>
    </cfRule>
    <cfRule type="cellIs" dxfId="163" priority="369" operator="equal">
      <formula>4</formula>
    </cfRule>
    <cfRule type="cellIs" dxfId="162" priority="370" operator="equal">
      <formula>3</formula>
    </cfRule>
    <cfRule type="cellIs" dxfId="161" priority="371" operator="equal">
      <formula>2</formula>
    </cfRule>
    <cfRule type="cellIs" dxfId="160" priority="372" operator="equal">
      <formula>1</formula>
    </cfRule>
    <cfRule type="cellIs" dxfId="159" priority="373" operator="equal">
      <formula>0</formula>
    </cfRule>
  </conditionalFormatting>
  <conditionalFormatting sqref="AE269:AF269">
    <cfRule type="expression" dxfId="158" priority="694">
      <formula>AND($C270=0,$C270&lt;&gt;"")</formula>
    </cfRule>
  </conditionalFormatting>
  <conditionalFormatting sqref="AF270">
    <cfRule type="expression" dxfId="157" priority="381">
      <formula>AND($C270=0,$C270&lt;&gt;"")</formula>
    </cfRule>
    <cfRule type="containsBlanks" dxfId="156" priority="382" stopIfTrue="1">
      <formula>LEN(TRIM(AF270))=0</formula>
    </cfRule>
    <cfRule type="cellIs" dxfId="155" priority="383" operator="equal">
      <formula>4</formula>
    </cfRule>
    <cfRule type="cellIs" dxfId="154" priority="384" operator="equal">
      <formula>3</formula>
    </cfRule>
    <cfRule type="cellIs" dxfId="153" priority="385" operator="equal">
      <formula>2</formula>
    </cfRule>
    <cfRule type="cellIs" dxfId="152" priority="386" operator="equal">
      <formula>1</formula>
    </cfRule>
    <cfRule type="cellIs" dxfId="151" priority="387" operator="equal">
      <formula>0</formula>
    </cfRule>
  </conditionalFormatting>
  <conditionalFormatting sqref="AG244">
    <cfRule type="expression" dxfId="150" priority="635">
      <formula>AND($C244=0,$C244&lt;&gt;"")</formula>
    </cfRule>
    <cfRule type="containsBlanks" dxfId="149" priority="639" stopIfTrue="1">
      <formula>LEN(TRIM(AG244))=0</formula>
    </cfRule>
    <cfRule type="cellIs" dxfId="148" priority="640" operator="equal">
      <formula>4</formula>
    </cfRule>
    <cfRule type="cellIs" dxfId="147" priority="641" operator="equal">
      <formula>3</formula>
    </cfRule>
    <cfRule type="cellIs" dxfId="146" priority="642" operator="equal">
      <formula>2</formula>
    </cfRule>
    <cfRule type="cellIs" dxfId="145" priority="643" operator="equal">
      <formula>1</formula>
    </cfRule>
    <cfRule type="cellIs" dxfId="144" priority="644" operator="equal">
      <formula>0</formula>
    </cfRule>
  </conditionalFormatting>
  <conditionalFormatting sqref="AG247:AG264 AG265:AI268 AG269 AG270:AI292">
    <cfRule type="expression" dxfId="143" priority="314">
      <formula>AND($C247=0,$C247&lt;&gt;"")</formula>
    </cfRule>
    <cfRule type="containsBlanks" dxfId="142" priority="315" stopIfTrue="1">
      <formula>LEN(TRIM(AG247))=0</formula>
    </cfRule>
    <cfRule type="cellIs" dxfId="141" priority="316" operator="equal">
      <formula>4</formula>
    </cfRule>
    <cfRule type="cellIs" dxfId="140" priority="317" operator="equal">
      <formula>3</formula>
    </cfRule>
    <cfRule type="cellIs" dxfId="139" priority="318" operator="equal">
      <formula>2</formula>
    </cfRule>
    <cfRule type="cellIs" dxfId="138" priority="319" operator="equal">
      <formula>1</formula>
    </cfRule>
    <cfRule type="cellIs" dxfId="137" priority="320" operator="equal">
      <formula>0</formula>
    </cfRule>
  </conditionalFormatting>
  <conditionalFormatting sqref="AG12:AI62">
    <cfRule type="expression" dxfId="136" priority="208">
      <formula>AND($C12=0,$C12&lt;&gt;"")</formula>
    </cfRule>
    <cfRule type="containsBlanks" dxfId="135" priority="209" stopIfTrue="1">
      <formula>LEN(TRIM(AG12))=0</formula>
    </cfRule>
    <cfRule type="cellIs" dxfId="134" priority="210" operator="equal">
      <formula>4</formula>
    </cfRule>
    <cfRule type="cellIs" dxfId="133" priority="211" operator="equal">
      <formula>3</formula>
    </cfRule>
    <cfRule type="cellIs" dxfId="132" priority="212" operator="equal">
      <formula>2</formula>
    </cfRule>
    <cfRule type="cellIs" dxfId="131" priority="213" operator="equal">
      <formula>1</formula>
    </cfRule>
    <cfRule type="cellIs" dxfId="130" priority="214" operator="equal">
      <formula>0</formula>
    </cfRule>
  </conditionalFormatting>
  <conditionalFormatting sqref="AG243:AI243 AA243:AE244 AH244:AI262 AA245:AG246 AA247:AF249 AE250:AF250 AA251:AF260 AE261:AF262">
    <cfRule type="expression" dxfId="129" priority="624">
      <formula>AND($C243=0,$C243&lt;&gt;"")</formula>
    </cfRule>
  </conditionalFormatting>
  <conditionalFormatting sqref="AG243:AI243 AA243:AE244 AH244:AI262 AA245:AG246 AA247:AF249 AE250:AF250 AA251:AF260 AE261:AF264">
    <cfRule type="containsBlanks" dxfId="128" priority="628" stopIfTrue="1">
      <formula>LEN(TRIM(AA243))=0</formula>
    </cfRule>
    <cfRule type="cellIs" dxfId="127" priority="629" operator="equal">
      <formula>4</formula>
    </cfRule>
    <cfRule type="cellIs" dxfId="126" priority="630" operator="equal">
      <formula>3</formula>
    </cfRule>
    <cfRule type="cellIs" dxfId="125" priority="631" operator="equal">
      <formula>2</formula>
    </cfRule>
    <cfRule type="cellIs" dxfId="124" priority="632" operator="equal">
      <formula>1</formula>
    </cfRule>
    <cfRule type="cellIs" dxfId="123" priority="633" operator="equal">
      <formula>0</formula>
    </cfRule>
  </conditionalFormatting>
  <conditionalFormatting sqref="AG304:AI307">
    <cfRule type="expression" dxfId="122" priority="92">
      <formula>AND($C304=0,$C304&lt;&gt;"")</formula>
    </cfRule>
    <cfRule type="containsBlanks" dxfId="121" priority="93" stopIfTrue="1">
      <formula>LEN(TRIM(AG304))=0</formula>
    </cfRule>
    <cfRule type="cellIs" dxfId="120" priority="94" operator="equal">
      <formula>4</formula>
    </cfRule>
    <cfRule type="cellIs" dxfId="119" priority="95" operator="equal">
      <formula>3</formula>
    </cfRule>
    <cfRule type="cellIs" dxfId="118" priority="96" operator="equal">
      <formula>2</formula>
    </cfRule>
    <cfRule type="cellIs" dxfId="117" priority="97" operator="equal">
      <formula>1</formula>
    </cfRule>
    <cfRule type="cellIs" dxfId="116" priority="98" operator="equal">
      <formula>0</formula>
    </cfRule>
  </conditionalFormatting>
  <conditionalFormatting sqref="AH152:AI154 AH159:AI159">
    <cfRule type="expression" dxfId="115" priority="245">
      <formula>AND($C152=0,$C152&lt;&gt;"")</formula>
    </cfRule>
    <cfRule type="containsBlanks" dxfId="114" priority="246" stopIfTrue="1">
      <formula>LEN(TRIM(AH152))=0</formula>
    </cfRule>
    <cfRule type="cellIs" dxfId="113" priority="247" operator="equal">
      <formula>4</formula>
    </cfRule>
    <cfRule type="cellIs" dxfId="112" priority="248" operator="equal">
      <formula>3</formula>
    </cfRule>
    <cfRule type="cellIs" dxfId="111" priority="249" operator="equal">
      <formula>2</formula>
    </cfRule>
    <cfRule type="cellIs" dxfId="110" priority="250" operator="equal">
      <formula>1</formula>
    </cfRule>
    <cfRule type="cellIs" dxfId="109" priority="251" operator="equal">
      <formula>0</formula>
    </cfRule>
  </conditionalFormatting>
  <conditionalFormatting sqref="AJ301:AJ303">
    <cfRule type="containsBlanks" dxfId="108" priority="288" stopIfTrue="1">
      <formula>LEN(TRIM(AJ301))=0</formula>
    </cfRule>
    <cfRule type="containsText" dxfId="107" priority="289" operator="containsText" text="NO">
      <formula>NOT(ISERROR(SEARCH("NO",AJ301)))</formula>
    </cfRule>
    <cfRule type="containsText" dxfId="106" priority="290" operator="containsText" text="YES">
      <formula>NOT(ISERROR(SEARCH("YES",AJ301)))</formula>
    </cfRule>
    <cfRule type="expression" dxfId="105" priority="291">
      <formula>AND($C301=0,$C301&lt;&gt;"")</formula>
    </cfRule>
  </conditionalFormatting>
  <conditionalFormatting sqref="AJ11:AK15 AJ59:AK154 AJ159:AK161 AJ190:AK232 AJ293:AK300">
    <cfRule type="containsBlanks" dxfId="104" priority="685" stopIfTrue="1">
      <formula>LEN(TRIM(AJ11))=0</formula>
    </cfRule>
    <cfRule type="containsText" dxfId="103" priority="686" operator="containsText" text="NO">
      <formula>NOT(ISERROR(SEARCH("NO",AJ11)))</formula>
    </cfRule>
    <cfRule type="containsText" dxfId="102" priority="687" operator="containsText" text="YES">
      <formula>NOT(ISERROR(SEARCH("YES",AJ11)))</formula>
    </cfRule>
  </conditionalFormatting>
  <conditionalFormatting sqref="AJ16:AK58">
    <cfRule type="containsBlanks" dxfId="101" priority="217" stopIfTrue="1">
      <formula>LEN(TRIM(AJ16))=0</formula>
    </cfRule>
    <cfRule type="containsText" dxfId="100" priority="218" operator="containsText" text="NO">
      <formula>NOT(ISERROR(SEARCH("NO",AJ16)))</formula>
    </cfRule>
    <cfRule type="containsText" dxfId="99" priority="219" operator="containsText" text="YES">
      <formula>NOT(ISERROR(SEARCH("YES",AJ16)))</formula>
    </cfRule>
  </conditionalFormatting>
  <conditionalFormatting sqref="AJ162:AK162">
    <cfRule type="containsBlanks" dxfId="98" priority="305" stopIfTrue="1">
      <formula>LEN(TRIM(AJ162))=0</formula>
    </cfRule>
    <cfRule type="containsText" dxfId="97" priority="306" operator="containsText" text="NO">
      <formula>NOT(ISERROR(SEARCH("NO",AJ162)))</formula>
    </cfRule>
    <cfRule type="containsText" dxfId="96" priority="307" operator="containsText" text="YES">
      <formula>NOT(ISERROR(SEARCH("YES",AJ162)))</formula>
    </cfRule>
  </conditionalFormatting>
  <conditionalFormatting sqref="AJ163:AK189">
    <cfRule type="containsBlanks" dxfId="95" priority="664" stopIfTrue="1">
      <formula>LEN(TRIM(AJ163))=0</formula>
    </cfRule>
    <cfRule type="containsText" dxfId="94" priority="665" operator="containsText" text="NO">
      <formula>NOT(ISERROR(SEARCH("NO",AJ163)))</formula>
    </cfRule>
    <cfRule type="containsText" dxfId="93" priority="666" operator="containsText" text="YES">
      <formula>NOT(ISERROR(SEARCH("YES",AJ163)))</formula>
    </cfRule>
  </conditionalFormatting>
  <conditionalFormatting sqref="AJ233:AK233">
    <cfRule type="containsBlanks" dxfId="92" priority="270" stopIfTrue="1">
      <formula>LEN(TRIM(AJ233))=0</formula>
    </cfRule>
    <cfRule type="containsText" dxfId="91" priority="271" operator="containsText" text="NO">
      <formula>NOT(ISERROR(SEARCH("NO",AJ233)))</formula>
    </cfRule>
    <cfRule type="containsText" dxfId="90" priority="272" operator="containsText" text="YES">
      <formula>NOT(ISERROR(SEARCH("YES",AJ233)))</formula>
    </cfRule>
  </conditionalFormatting>
  <conditionalFormatting sqref="AJ234:AK234">
    <cfRule type="containsBlanks" dxfId="89" priority="646" stopIfTrue="1">
      <formula>LEN(TRIM(AJ234))=0</formula>
    </cfRule>
    <cfRule type="containsText" dxfId="88" priority="647" operator="containsText" text="NO">
      <formula>NOT(ISERROR(SEARCH("NO",AJ234)))</formula>
    </cfRule>
    <cfRule type="containsText" dxfId="87" priority="648" operator="containsText" text="YES">
      <formula>NOT(ISERROR(SEARCH("YES",AJ234)))</formula>
    </cfRule>
  </conditionalFormatting>
  <conditionalFormatting sqref="AJ235:AK242">
    <cfRule type="containsBlanks" dxfId="86" priority="12" stopIfTrue="1">
      <formula>LEN(TRIM(AJ235))=0</formula>
    </cfRule>
    <cfRule type="containsText" dxfId="85" priority="13" operator="containsText" text="NO">
      <formula>NOT(ISERROR(SEARCH("NO",AJ235)))</formula>
    </cfRule>
    <cfRule type="containsText" dxfId="84" priority="14" operator="containsText" text="YES">
      <formula>NOT(ISERROR(SEARCH("YES",AJ235)))</formula>
    </cfRule>
  </conditionalFormatting>
  <conditionalFormatting sqref="AJ243:AK246 D245:I246 L245:Z246 I247">
    <cfRule type="expression" dxfId="83" priority="571">
      <formula>AND($C243=0,$C243&lt;&gt;"")</formula>
    </cfRule>
  </conditionalFormatting>
  <conditionalFormatting sqref="AJ243:AK246">
    <cfRule type="containsBlanks" dxfId="82" priority="572" stopIfTrue="1">
      <formula>LEN(TRIM(AJ243))=0</formula>
    </cfRule>
    <cfRule type="containsText" dxfId="81" priority="573" operator="containsText" text="NO">
      <formula>NOT(ISERROR(SEARCH("NO",AJ243)))</formula>
    </cfRule>
    <cfRule type="containsText" dxfId="80" priority="574" operator="containsText" text="YES">
      <formula>NOT(ISERROR(SEARCH("YES",AJ243)))</formula>
    </cfRule>
  </conditionalFormatting>
  <conditionalFormatting sqref="AJ272:AK274">
    <cfRule type="containsBlanks" dxfId="79" priority="533" stopIfTrue="1">
      <formula>LEN(TRIM(AJ272))=0</formula>
    </cfRule>
    <cfRule type="containsText" dxfId="78" priority="534" operator="containsText" text="NO">
      <formula>NOT(ISERROR(SEARCH("NO",AJ272)))</formula>
    </cfRule>
    <cfRule type="containsText" dxfId="77" priority="535" operator="containsText" text="YES">
      <formula>NOT(ISERROR(SEARCH("YES",AJ272)))</formula>
    </cfRule>
  </conditionalFormatting>
  <conditionalFormatting sqref="AJ275:AK278">
    <cfRule type="containsBlanks" dxfId="76" priority="485" stopIfTrue="1">
      <formula>LEN(TRIM(AJ275))=0</formula>
    </cfRule>
    <cfRule type="containsText" dxfId="75" priority="486" operator="containsText" text="NO">
      <formula>NOT(ISERROR(SEARCH("NO",AJ275)))</formula>
    </cfRule>
    <cfRule type="containsText" dxfId="74" priority="487" operator="containsText" text="YES">
      <formula>NOT(ISERROR(SEARCH("YES",AJ275)))</formula>
    </cfRule>
  </conditionalFormatting>
  <conditionalFormatting sqref="AJ279:AK284">
    <cfRule type="containsBlanks" dxfId="73" priority="414" stopIfTrue="1">
      <formula>LEN(TRIM(AJ279))=0</formula>
    </cfRule>
    <cfRule type="containsText" dxfId="72" priority="415" operator="containsText" text="NO">
      <formula>NOT(ISERROR(SEARCH("NO",AJ279)))</formula>
    </cfRule>
    <cfRule type="containsText" dxfId="71" priority="416" operator="containsText" text="YES">
      <formula>NOT(ISERROR(SEARCH("YES",AJ279)))</formula>
    </cfRule>
  </conditionalFormatting>
  <conditionalFormatting sqref="AJ285:AK285">
    <cfRule type="containsBlanks" dxfId="70" priority="404" stopIfTrue="1">
      <formula>LEN(TRIM(AJ285))=0</formula>
    </cfRule>
    <cfRule type="containsText" dxfId="69" priority="405" operator="containsText" text="NO">
      <formula>NOT(ISERROR(SEARCH("NO",AJ285)))</formula>
    </cfRule>
    <cfRule type="containsText" dxfId="68" priority="406" operator="containsText" text="YES">
      <formula>NOT(ISERROR(SEARCH("YES",AJ285)))</formula>
    </cfRule>
  </conditionalFormatting>
  <conditionalFormatting sqref="AJ286:AK292">
    <cfRule type="containsBlanks" dxfId="67" priority="323" stopIfTrue="1">
      <formula>LEN(TRIM(AJ286))=0</formula>
    </cfRule>
    <cfRule type="containsText" dxfId="66" priority="324" operator="containsText" text="NO">
      <formula>NOT(ISERROR(SEARCH("NO",AJ286)))</formula>
    </cfRule>
    <cfRule type="containsText" dxfId="65" priority="325" operator="containsText" text="YES">
      <formula>NOT(ISERROR(SEARCH("YES",AJ286)))</formula>
    </cfRule>
  </conditionalFormatting>
  <conditionalFormatting sqref="AJ304:AK305">
    <cfRule type="containsBlanks" dxfId="64" priority="134" stopIfTrue="1">
      <formula>LEN(TRIM(AJ304))=0</formula>
    </cfRule>
    <cfRule type="containsText" dxfId="63" priority="135" operator="containsText" text="NO">
      <formula>NOT(ISERROR(SEARCH("NO",AJ304)))</formula>
    </cfRule>
    <cfRule type="containsText" dxfId="62" priority="136" operator="containsText" text="YES">
      <formula>NOT(ISERROR(SEARCH("YES",AJ304)))</formula>
    </cfRule>
  </conditionalFormatting>
  <conditionalFormatting sqref="AJ306:AK307">
    <cfRule type="containsBlanks" dxfId="61" priority="99" stopIfTrue="1">
      <formula>LEN(TRIM(AJ306))=0</formula>
    </cfRule>
    <cfRule type="containsText" dxfId="60" priority="100" operator="containsText" text="NO">
      <formula>NOT(ISERROR(SEARCH("NO",AJ306)))</formula>
    </cfRule>
    <cfRule type="containsText" dxfId="59" priority="101" operator="containsText" text="YES">
      <formula>NOT(ISERROR(SEARCH("YES",AJ306)))</formula>
    </cfRule>
  </conditionalFormatting>
  <conditionalFormatting sqref="AJ318:AK318">
    <cfRule type="containsBlanks" dxfId="58" priority="2" stopIfTrue="1">
      <formula>LEN(TRIM(AJ318))=0</formula>
    </cfRule>
    <cfRule type="containsText" dxfId="57" priority="3" operator="containsText" text="NO">
      <formula>NOT(ISERROR(SEARCH("NO",AJ318)))</formula>
    </cfRule>
    <cfRule type="containsText" dxfId="56" priority="4" operator="containsText" text="YES">
      <formula>NOT(ISERROR(SEARCH("YES",AJ318)))</formula>
    </cfRule>
  </conditionalFormatting>
  <conditionalFormatting sqref="AJ12:AN151 B58:F58 H58:AF58">
    <cfRule type="expression" dxfId="55" priority="216">
      <formula>AND($C12=0,$C12&lt;&gt;"")</formula>
    </cfRule>
  </conditionalFormatting>
  <conditionalFormatting sqref="AJ161:AN187 B162:AG162">
    <cfRule type="expression" dxfId="54" priority="304">
      <formula>AND($C161=0,$C161&lt;&gt;"")</formula>
    </cfRule>
  </conditionalFormatting>
  <conditionalFormatting sqref="AJ279:AN283 C282:D283 F282:H283">
    <cfRule type="expression" dxfId="53" priority="442">
      <formula>AND($C279=0,$C279&lt;&gt;"")</formula>
    </cfRule>
  </conditionalFormatting>
  <conditionalFormatting sqref="AJ284:AN284">
    <cfRule type="expression" dxfId="52" priority="413">
      <formula>AND($C284=0,$C284&lt;&gt;"")</formula>
    </cfRule>
  </conditionalFormatting>
  <conditionalFormatting sqref="AJ286:AN291 L280:AF287 C286:D287 F286:H287 J286:J287">
    <cfRule type="expression" dxfId="51" priority="347">
      <formula>AND($C280=0,$C280&lt;&gt;"")</formula>
    </cfRule>
  </conditionalFormatting>
  <conditionalFormatting sqref="AK301:AK303">
    <cfRule type="containsBlanks" dxfId="50" priority="280" stopIfTrue="1">
      <formula>LEN(TRIM(AK301))=0</formula>
    </cfRule>
    <cfRule type="containsText" dxfId="49" priority="281" operator="containsText" text="NO">
      <formula>NOT(ISERROR(SEARCH("NO",AK301)))</formula>
    </cfRule>
    <cfRule type="containsText" dxfId="48" priority="282" operator="containsText" text="YES">
      <formula>NOT(ISERROR(SEARCH("YES",AK301)))</formula>
    </cfRule>
    <cfRule type="expression" dxfId="47" priority="283">
      <formula>AND($C301=0,$C301&lt;&gt;"")</formula>
    </cfRule>
  </conditionalFormatting>
  <conditionalFormatting sqref="AL285:AM285">
    <cfRule type="expression" dxfId="46" priority="401">
      <formula>AND($C285=0,$C285&lt;&gt;"")</formula>
    </cfRule>
  </conditionalFormatting>
  <conditionalFormatting sqref="AM292">
    <cfRule type="expression" dxfId="45" priority="207">
      <formula>AND($C292=0,$C292&lt;&gt;"")</formula>
    </cfRule>
  </conditionalFormatting>
  <conditionalFormatting sqref="AN152:AN155">
    <cfRule type="expression" dxfId="44" priority="303">
      <formula>AND($C152=0,$C152&lt;&gt;"")</formula>
    </cfRule>
  </conditionalFormatting>
  <conditionalFormatting sqref="AN234">
    <cfRule type="expression" dxfId="43" priority="657">
      <formula>AND($C234=0,$C234&lt;&gt;"")</formula>
    </cfRule>
  </conditionalFormatting>
  <conditionalFormatting sqref="AN275:AN278">
    <cfRule type="expression" dxfId="42" priority="494">
      <formula>AND($C275=0,$C275&lt;&gt;"")</formula>
    </cfRule>
  </conditionalFormatting>
  <conditionalFormatting sqref="AN285">
    <cfRule type="expression" dxfId="41" priority="402">
      <formula>AND($C285=0,$C285&lt;&gt;"")</formula>
    </cfRule>
  </conditionalFormatting>
  <conditionalFormatting sqref="AN292">
    <cfRule type="expression" dxfId="40" priority="226">
      <formula>AND($C292=0,$C292&lt;&gt;"")</formula>
    </cfRule>
  </conditionalFormatting>
  <pageMargins left="0.7" right="0.7" top="0.75" bottom="0.75" header="0.3" footer="0.3"/>
  <pageSetup paperSize="9"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Skills Matrix Reports</vt:lpstr>
      <vt:lpstr>Skills Matrix Tools</vt:lpstr>
      <vt:lpstr>Sitel Platforms</vt:lpstr>
      <vt:lpstr>BO reports</vt:lpstr>
      <vt:lpstr>Skills Matrix Reports Archive</vt:lpstr>
    </vt:vector>
  </TitlesOfParts>
  <Company>Sitel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Georgi Tsatsev</dc:creator>
  <cp:lastModifiedBy>Ivan Toskov</cp:lastModifiedBy>
  <dcterms:created xsi:type="dcterms:W3CDTF">2017-07-27T13:13:06Z</dcterms:created>
  <dcterms:modified xsi:type="dcterms:W3CDTF">2026-01-06T11:52:53Z</dcterms:modified>
</cp:coreProperties>
</file>