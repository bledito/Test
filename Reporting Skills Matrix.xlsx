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mc:AlternateContent xmlns:mc="http://schemas.openxmlformats.org/markup-compatibility/2006">
    <mc:Choice Requires="x15">
      <x15ac:absPath xmlns:x15ac="http://schemas.microsoft.com/office/spreadsheetml/2010/11/ac" url="\\BG279K12FPS01\Administrative$\Reporting\Data_Reporting\Private\"/>
    </mc:Choice>
  </mc:AlternateContent>
  <bookViews>
    <workbookView xWindow="0" yWindow="0" windowWidth="30720" windowHeight="13128" tabRatio="780"/>
  </bookViews>
  <sheets>
    <sheet name="Skills Matrix Reports" sheetId="1" r:id="rId1"/>
    <sheet name="Skills Matrix Tools" sheetId="2" r:id="rId2"/>
    <sheet name="Sitel Platforms" sheetId="5" r:id="rId3"/>
    <sheet name="BO reports" sheetId="6" r:id="rId4"/>
    <sheet name="Skills Matrix Reports Archive" sheetId="3" r:id="rId5"/>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41" i="2" l="1"/>
  <c r="B40" i="2"/>
  <c r="B39" i="2"/>
  <c r="B38" i="2" l="1"/>
  <c r="B37" i="2"/>
  <c r="B36" i="2"/>
  <c r="B35" i="2"/>
  <c r="B34" i="2"/>
  <c r="B33" i="2"/>
  <c r="B32" i="2"/>
  <c r="B31" i="2"/>
  <c r="A3" i="6" l="1"/>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19" i="6" s="1"/>
  <c r="A120" i="6" s="1"/>
  <c r="A121" i="6" s="1"/>
  <c r="A122" i="6" s="1"/>
  <c r="A123" i="6" s="1"/>
  <c r="A124" i="6" s="1"/>
  <c r="A125" i="6" s="1"/>
  <c r="A126" i="6" s="1"/>
  <c r="A127" i="6" s="1"/>
  <c r="A128" i="6" s="1"/>
  <c r="A129" i="6" s="1"/>
  <c r="A130" i="6" s="1"/>
  <c r="A131" i="6" s="1"/>
  <c r="A132" i="6" s="1"/>
  <c r="A133" i="6" s="1"/>
  <c r="A134" i="6" s="1"/>
  <c r="A135" i="6" s="1"/>
  <c r="A136" i="6" s="1"/>
  <c r="A137" i="6" s="1"/>
  <c r="A138" i="6" s="1"/>
  <c r="A139" i="6" s="1"/>
  <c r="A140" i="6" s="1"/>
  <c r="A141" i="6" s="1"/>
  <c r="A142" i="6" s="1"/>
  <c r="A143" i="6" s="1"/>
  <c r="A144" i="6" s="1"/>
  <c r="A145" i="6" s="1"/>
  <c r="A146" i="6" s="1"/>
  <c r="A147" i="6" s="1"/>
  <c r="A148" i="6" s="1"/>
  <c r="A149" i="6" s="1"/>
  <c r="A150" i="6" s="1"/>
  <c r="A151" i="6" s="1"/>
  <c r="A152" i="6" s="1"/>
  <c r="A153" i="6" s="1"/>
  <c r="A154" i="6" s="1"/>
  <c r="A155" i="6" s="1"/>
  <c r="A156" i="6" s="1"/>
  <c r="A157" i="6" s="1"/>
  <c r="A158" i="6" s="1"/>
  <c r="A159" i="6" s="1"/>
  <c r="A160" i="6" s="1"/>
  <c r="A161" i="6" s="1"/>
  <c r="A162" i="6" s="1"/>
  <c r="A163" i="6" s="1"/>
  <c r="A164" i="6" s="1"/>
  <c r="A165" i="6" s="1"/>
  <c r="A166" i="6" s="1"/>
  <c r="A167" i="6" s="1"/>
  <c r="A168" i="6" s="1"/>
  <c r="A169" i="6" s="1"/>
  <c r="A170" i="6" s="1"/>
  <c r="A171" i="6" s="1"/>
  <c r="A172" i="6" s="1"/>
  <c r="A173" i="6" s="1"/>
  <c r="A174" i="6" s="1"/>
  <c r="A175" i="6" s="1"/>
  <c r="A176" i="6" s="1"/>
  <c r="A177" i="6" s="1"/>
  <c r="A178" i="6" s="1"/>
  <c r="A179" i="6" s="1"/>
  <c r="A180" i="6" s="1"/>
  <c r="A181" i="6" s="1"/>
  <c r="A182" i="6" s="1"/>
  <c r="A183" i="6" s="1"/>
  <c r="A184" i="6" s="1"/>
  <c r="A185" i="6" s="1"/>
  <c r="A186" i="6" s="1"/>
  <c r="A187" i="6" s="1"/>
  <c r="A188" i="6" s="1"/>
  <c r="A189" i="6" s="1"/>
  <c r="A190" i="6" s="1"/>
  <c r="A191" i="6" s="1"/>
  <c r="A192" i="6" s="1"/>
  <c r="A193" i="6" s="1"/>
  <c r="A194" i="6" s="1"/>
  <c r="A195" i="6" s="1"/>
  <c r="A196" i="6" s="1"/>
  <c r="A197" i="6" s="1"/>
  <c r="A198" i="6" s="1"/>
  <c r="A199" i="6" s="1"/>
  <c r="A200" i="6" s="1"/>
  <c r="A201" i="6" s="1"/>
  <c r="A202" i="6" s="1"/>
  <c r="A203" i="6" s="1"/>
  <c r="A204" i="6" s="1"/>
  <c r="A205" i="6" s="1"/>
  <c r="A206" i="6" s="1"/>
  <c r="A207" i="6" s="1"/>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B12" i="3" l="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B39" i="3" s="1"/>
  <c r="B40" i="3" s="1"/>
  <c r="B41" i="3" s="1"/>
  <c r="B42" i="3" s="1"/>
  <c r="B43" i="3" s="1"/>
  <c r="B44" i="3" s="1"/>
  <c r="B45" i="3" s="1"/>
  <c r="B46" i="3" s="1"/>
  <c r="B47" i="3" s="1"/>
  <c r="B48" i="3" s="1"/>
  <c r="B49" i="3" s="1"/>
  <c r="B50" i="3" s="1"/>
  <c r="B51" i="3" s="1"/>
  <c r="B52" i="3" s="1"/>
  <c r="B53" i="3" s="1"/>
  <c r="B54" i="3" s="1"/>
  <c r="B55" i="3" s="1"/>
  <c r="B56" i="3" s="1"/>
  <c r="B57" i="3" s="1"/>
  <c r="B58" i="3" s="1"/>
  <c r="B59" i="3" s="1"/>
  <c r="B60" i="3" s="1"/>
  <c r="B61" i="3" s="1"/>
  <c r="B62" i="3" s="1"/>
  <c r="B63" i="3" s="1"/>
  <c r="B64" i="3" s="1"/>
  <c r="B65" i="3" s="1"/>
  <c r="B66" i="3" s="1"/>
  <c r="B67" i="3" s="1"/>
  <c r="B68" i="3" s="1"/>
  <c r="B69" i="3" s="1"/>
  <c r="B70" i="3" s="1"/>
  <c r="B71" i="3" s="1"/>
  <c r="B72" i="3" s="1"/>
  <c r="B73" i="3" s="1"/>
  <c r="B74" i="3" s="1"/>
  <c r="B75" i="3" s="1"/>
  <c r="B76" i="3" s="1"/>
  <c r="B77" i="3" s="1"/>
  <c r="B78" i="3" s="1"/>
  <c r="B79" i="3" s="1"/>
  <c r="B80" i="3" s="1"/>
  <c r="B81" i="3" s="1"/>
  <c r="B82" i="3" s="1"/>
  <c r="B83" i="3" s="1"/>
  <c r="B84" i="3" s="1"/>
  <c r="B85" i="3" s="1"/>
  <c r="B86" i="3" s="1"/>
  <c r="B87" i="3" s="1"/>
  <c r="B88" i="3" s="1"/>
  <c r="B89" i="3" s="1"/>
  <c r="B90" i="3" s="1"/>
  <c r="B91" i="3" s="1"/>
  <c r="B92" i="3" s="1"/>
  <c r="B93" i="3" s="1"/>
  <c r="B94" i="3" s="1"/>
  <c r="B95" i="3" s="1"/>
  <c r="B96" i="3" s="1"/>
  <c r="B97" i="3" s="1"/>
  <c r="B98" i="3" s="1"/>
  <c r="B99" i="3" s="1"/>
  <c r="B100" i="3" s="1"/>
  <c r="B101" i="3" s="1"/>
  <c r="B102" i="3" s="1"/>
  <c r="B103" i="3" s="1"/>
  <c r="B104" i="3" s="1"/>
  <c r="B105" i="3" s="1"/>
  <c r="B106" i="3" s="1"/>
  <c r="B107" i="3" s="1"/>
  <c r="B108" i="3" s="1"/>
  <c r="B109" i="3" s="1"/>
  <c r="B110" i="3" s="1"/>
  <c r="B111" i="3" s="1"/>
  <c r="B112" i="3" s="1"/>
  <c r="B113" i="3" s="1"/>
  <c r="B114" i="3" s="1"/>
  <c r="B115" i="3" s="1"/>
  <c r="B116" i="3" s="1"/>
  <c r="B117" i="3" s="1"/>
  <c r="B118" i="3" s="1"/>
  <c r="B119" i="3" s="1"/>
  <c r="B120" i="3" s="1"/>
  <c r="B121" i="3" s="1"/>
  <c r="B122" i="3" s="1"/>
  <c r="B123" i="3" s="1"/>
  <c r="B124" i="3" s="1"/>
  <c r="B125" i="3" s="1"/>
  <c r="B126" i="3" s="1"/>
  <c r="B127" i="3" s="1"/>
  <c r="B128" i="3" s="1"/>
  <c r="B129" i="3" s="1"/>
  <c r="B130" i="3" s="1"/>
  <c r="B131" i="3" s="1"/>
  <c r="B132" i="3" s="1"/>
  <c r="B133" i="3" s="1"/>
  <c r="B134" i="3" s="1"/>
  <c r="B135" i="3" s="1"/>
  <c r="B136" i="3" s="1"/>
  <c r="B137" i="3" s="1"/>
  <c r="B138" i="3" s="1"/>
  <c r="B139" i="3" s="1"/>
  <c r="B140" i="3" s="1"/>
  <c r="B141" i="3" s="1"/>
  <c r="B142" i="3" s="1"/>
  <c r="B143" i="3" s="1"/>
  <c r="B144" i="3" s="1"/>
  <c r="B145" i="3" s="1"/>
  <c r="B146" i="3" s="1"/>
  <c r="B147" i="3" s="1"/>
  <c r="B148" i="3" s="1"/>
  <c r="B149" i="3" s="1"/>
  <c r="B150" i="3" s="1"/>
  <c r="B151" i="3" s="1"/>
  <c r="B152" i="3" s="1"/>
  <c r="B153" i="3" s="1"/>
  <c r="B154" i="3" s="1"/>
  <c r="B155" i="3" s="1"/>
  <c r="B156" i="3" s="1"/>
  <c r="B157" i="3" s="1"/>
  <c r="B158" i="3" s="1"/>
  <c r="B159" i="3" s="1"/>
  <c r="B160" i="3" s="1"/>
  <c r="B161" i="3" s="1"/>
  <c r="B162" i="3" s="1"/>
  <c r="B163" i="3" s="1"/>
  <c r="B164" i="3" s="1"/>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B304" i="3" s="1"/>
  <c r="B305" i="3" s="1"/>
  <c r="B306" i="3" s="1"/>
  <c r="B307" i="3" s="1"/>
  <c r="B308" i="3" s="1"/>
  <c r="B309" i="3" s="1"/>
  <c r="B310" i="3" s="1"/>
  <c r="B311" i="3" s="1"/>
  <c r="B312" i="3" s="1"/>
  <c r="B313" i="3" s="1"/>
  <c r="B314" i="3" s="1"/>
  <c r="B315" i="3" s="1"/>
  <c r="B316" i="3" s="1"/>
  <c r="B317" i="3" s="1"/>
  <c r="B318" i="3" s="1"/>
  <c r="B30" i="2" l="1"/>
  <c r="B28" i="2"/>
  <c r="B29" i="2"/>
  <c r="B27" i="2"/>
  <c r="B26" i="2"/>
  <c r="B24" i="2"/>
  <c r="B23" i="2" l="1"/>
  <c r="B25" i="2" l="1"/>
  <c r="B22" i="2"/>
  <c r="B21" i="2" l="1"/>
  <c r="B12" i="2"/>
  <c r="B13" i="2"/>
  <c r="B14" i="2"/>
  <c r="B15" i="2"/>
  <c r="B16" i="2"/>
  <c r="B17" i="2"/>
  <c r="B18" i="2"/>
  <c r="B19" i="2"/>
  <c r="B20" i="2"/>
  <c r="B11" i="2"/>
  <c r="B12" i="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 r="B133" i="1" s="1"/>
  <c r="B134" i="1" s="1"/>
  <c r="B135" i="1" s="1"/>
  <c r="B136" i="1" s="1"/>
  <c r="B137" i="1" s="1"/>
  <c r="B138" i="1" s="1"/>
  <c r="B139" i="1" s="1"/>
  <c r="B140" i="1" s="1"/>
  <c r="B141" i="1" s="1"/>
  <c r="B142" i="1" s="1"/>
  <c r="B143" i="1" s="1"/>
  <c r="B144" i="1" s="1"/>
  <c r="B145" i="1" s="1"/>
  <c r="B146" i="1" s="1"/>
  <c r="B147" i="1" s="1"/>
  <c r="B148" i="1" s="1"/>
  <c r="B149" i="1" s="1"/>
  <c r="B150" i="1" s="1"/>
  <c r="B151" i="1" s="1"/>
  <c r="B152" i="1" s="1"/>
  <c r="B153" i="1" s="1"/>
  <c r="B154" i="1" s="1"/>
  <c r="B155" i="1" s="1"/>
  <c r="B156" i="1" s="1"/>
  <c r="B157" i="1" s="1"/>
  <c r="B158" i="1" s="1"/>
  <c r="B159" i="1" s="1"/>
  <c r="B160" i="1" s="1"/>
  <c r="B161" i="1" s="1"/>
  <c r="B162" i="1" s="1"/>
  <c r="B163" i="1" s="1"/>
  <c r="B164" i="1" s="1"/>
  <c r="B165" i="1" s="1"/>
  <c r="B166" i="1" s="1"/>
  <c r="B167" i="1" s="1"/>
  <c r="B168" i="1" s="1"/>
  <c r="B169" i="1" s="1"/>
  <c r="B170" i="1" s="1"/>
  <c r="B171" i="1" s="1"/>
  <c r="B172" i="1" s="1"/>
  <c r="B173" i="1" s="1"/>
  <c r="B174" i="1" s="1"/>
  <c r="B175" i="1" s="1"/>
  <c r="B176" i="1" s="1"/>
  <c r="B177" i="1" s="1"/>
  <c r="B178" i="1" s="1"/>
  <c r="B179" i="1" s="1"/>
  <c r="B180" i="1" s="1"/>
  <c r="B181" i="1" s="1"/>
  <c r="B182" i="1" s="1"/>
  <c r="B183" i="1" s="1"/>
  <c r="B184" i="1" s="1"/>
  <c r="B185" i="1" s="1"/>
  <c r="B186" i="1" s="1"/>
  <c r="B187" i="1" s="1"/>
  <c r="B188" i="1" s="1"/>
  <c r="B189" i="1" s="1"/>
  <c r="B190" i="1" s="1"/>
  <c r="B191" i="1" s="1"/>
  <c r="B192" i="1" s="1"/>
  <c r="B193" i="1" s="1"/>
  <c r="B194" i="1" s="1"/>
  <c r="B195" i="1" s="1"/>
  <c r="B196" i="1" s="1"/>
  <c r="B197" i="1" s="1"/>
  <c r="B198" i="1" s="1"/>
  <c r="B199" i="1" s="1"/>
  <c r="B200" i="1" s="1"/>
  <c r="B201" i="1" s="1"/>
  <c r="B202" i="1" s="1"/>
  <c r="B203" i="1" s="1"/>
  <c r="B204" i="1" s="1"/>
  <c r="B205" i="1" s="1"/>
  <c r="B206" i="1" s="1"/>
  <c r="B207" i="1" s="1"/>
  <c r="B208" i="1" s="1"/>
  <c r="B209" i="1" s="1"/>
  <c r="B210" i="1" s="1"/>
  <c r="B211" i="1" s="1"/>
  <c r="B212" i="1" s="1"/>
  <c r="B213" i="1" s="1"/>
  <c r="B214" i="1" s="1"/>
  <c r="B215" i="1" s="1"/>
  <c r="B216" i="1" s="1"/>
  <c r="B217" i="1" s="1"/>
  <c r="B218" i="1" s="1"/>
  <c r="B219" i="1" s="1"/>
  <c r="B220" i="1" s="1"/>
  <c r="B221" i="1" s="1"/>
  <c r="B222" i="1" s="1"/>
  <c r="B223" i="1" s="1"/>
  <c r="B224" i="1" s="1"/>
  <c r="B225" i="1" s="1"/>
  <c r="B226" i="1" s="1"/>
  <c r="B227" i="1" s="1"/>
  <c r="B228" i="1" s="1"/>
  <c r="B229" i="1" s="1"/>
  <c r="B230" i="1" s="1"/>
  <c r="B231" i="1" s="1"/>
  <c r="B232" i="1" s="1"/>
  <c r="B233" i="1" s="1"/>
  <c r="B234" i="1" s="1"/>
  <c r="B235" i="1" s="1"/>
  <c r="B236" i="1" s="1"/>
  <c r="B237" i="1" s="1"/>
  <c r="B238" i="1" s="1"/>
  <c r="B239" i="1" s="1"/>
  <c r="B240" i="1" s="1"/>
  <c r="B241" i="1" s="1"/>
  <c r="B242" i="1" s="1"/>
  <c r="B243" i="1" s="1"/>
  <c r="B244" i="1" s="1"/>
  <c r="B245" i="1" s="1"/>
  <c r="B246" i="1" s="1"/>
  <c r="B247" i="1" s="1"/>
  <c r="B248" i="1" s="1"/>
  <c r="B249" i="1" s="1"/>
  <c r="B250" i="1" s="1"/>
  <c r="B251" i="1" s="1"/>
  <c r="B252" i="1" s="1"/>
  <c r="B253" i="1" s="1"/>
  <c r="B254" i="1" s="1"/>
  <c r="B255" i="1" s="1"/>
  <c r="B256" i="1" s="1"/>
  <c r="B257" i="1" s="1"/>
  <c r="B258" i="1" s="1"/>
  <c r="B259" i="1" s="1"/>
  <c r="B260" i="1" s="1"/>
  <c r="B261" i="1" s="1"/>
  <c r="B262" i="1" s="1"/>
  <c r="B263" i="1" s="1"/>
  <c r="B264" i="1" s="1"/>
  <c r="B265" i="1" s="1"/>
  <c r="B266" i="1" s="1"/>
  <c r="B267" i="1" s="1"/>
  <c r="B268" i="1" s="1"/>
  <c r="B269" i="1" s="1"/>
  <c r="B270" i="1" s="1"/>
  <c r="B271" i="1" s="1"/>
  <c r="B272" i="1" s="1"/>
  <c r="B273" i="1" s="1"/>
  <c r="B274" i="1" s="1"/>
  <c r="B275" i="1" s="1"/>
  <c r="B276" i="1" s="1"/>
  <c r="B277" i="1" s="1"/>
  <c r="B278" i="1" s="1"/>
  <c r="B279" i="1" s="1"/>
  <c r="B280" i="1" s="1"/>
  <c r="B281" i="1" s="1"/>
  <c r="B282" i="1" s="1"/>
  <c r="B283" i="1" s="1"/>
  <c r="B284" i="1" s="1"/>
  <c r="B285" i="1" s="1"/>
  <c r="B286" i="1" s="1"/>
  <c r="B287" i="1" s="1"/>
  <c r="B288" i="1" s="1"/>
  <c r="B289" i="1" s="1"/>
  <c r="B290" i="1" s="1"/>
  <c r="B291" i="1" s="1"/>
  <c r="B292" i="1" s="1"/>
  <c r="B293" i="1" s="1"/>
  <c r="B294" i="1" s="1"/>
  <c r="B295" i="1" s="1"/>
  <c r="B296" i="1" s="1"/>
  <c r="B297" i="1" s="1"/>
  <c r="B298" i="1" s="1"/>
  <c r="B299" i="1" s="1"/>
  <c r="B300" i="1" s="1"/>
  <c r="B301" i="1" s="1"/>
  <c r="B302" i="1" s="1"/>
  <c r="B303" i="1" s="1"/>
  <c r="B304" i="1" s="1"/>
  <c r="B305" i="1" s="1"/>
  <c r="B306" i="1" s="1"/>
  <c r="B307" i="1" s="1"/>
  <c r="B308" i="1" s="1"/>
  <c r="B309" i="1" s="1"/>
  <c r="B310" i="1" s="1"/>
  <c r="B311" i="1" s="1"/>
  <c r="B312" i="1" s="1"/>
  <c r="B313" i="1" s="1"/>
  <c r="B314" i="1" s="1"/>
  <c r="B315" i="1" s="1"/>
  <c r="B316" i="1" s="1"/>
  <c r="B317" i="1" s="1"/>
  <c r="B318" i="1" s="1"/>
  <c r="B319" i="1" s="1"/>
  <c r="B320" i="1" s="1"/>
  <c r="B321" i="1" s="1"/>
  <c r="B322" i="1" s="1"/>
  <c r="B323" i="1" s="1"/>
  <c r="B324" i="1" s="1"/>
  <c r="B325" i="1" s="1"/>
  <c r="B326" i="1" s="1"/>
  <c r="B327" i="1" s="1"/>
  <c r="B328" i="1" s="1"/>
  <c r="B329" i="1" s="1"/>
  <c r="B330" i="1" s="1"/>
  <c r="B331" i="1" s="1"/>
  <c r="B332" i="1" s="1"/>
  <c r="B333" i="1" s="1"/>
  <c r="B334" i="1" s="1"/>
  <c r="B335" i="1" s="1"/>
  <c r="B336" i="1" s="1"/>
  <c r="B337" i="1" s="1"/>
  <c r="B338" i="1" s="1"/>
  <c r="B339" i="1" s="1"/>
  <c r="B340" i="1" s="1"/>
  <c r="B341" i="1" s="1"/>
  <c r="B342" i="1" s="1"/>
  <c r="B343" i="1" s="1"/>
  <c r="B344" i="1" s="1"/>
  <c r="B345" i="1" s="1"/>
  <c r="B346" i="1" s="1"/>
  <c r="B347" i="1" s="1"/>
  <c r="B348" i="1" s="1"/>
  <c r="B349" i="1" s="1"/>
  <c r="B350" i="1" s="1"/>
  <c r="B351" i="1" s="1"/>
  <c r="B352" i="1" s="1"/>
  <c r="B353" i="1" s="1"/>
  <c r="B355" i="1" l="1"/>
  <c r="B354" i="1"/>
  <c r="B357" i="1"/>
  <c r="B358" i="1" s="1"/>
  <c r="B359" i="1" s="1"/>
  <c r="B360" i="1" s="1"/>
  <c r="B356" i="1"/>
</calcChain>
</file>

<file path=xl/comments1.xml><?xml version="1.0" encoding="utf-8"?>
<comments xmlns="http://schemas.openxmlformats.org/spreadsheetml/2006/main">
  <authors>
    <author>Diana Dimitrova</author>
  </authors>
  <commentList>
    <comment ref="J58" authorId="0" shapeId="0">
      <text>
        <r>
          <rPr>
            <b/>
            <sz val="9"/>
            <color indexed="81"/>
            <rFont val="Tahoma"/>
            <family val="2"/>
          </rPr>
          <t>Diana Dimitrova:</t>
        </r>
        <r>
          <rPr>
            <sz val="9"/>
            <color indexed="81"/>
            <rFont val="Tahoma"/>
            <family val="2"/>
          </rPr>
          <t xml:space="preserve">
Tue EBD</t>
        </r>
      </text>
    </comment>
    <comment ref="AL58" authorId="0" shapeId="0">
      <text>
        <r>
          <rPr>
            <b/>
            <sz val="9"/>
            <color indexed="81"/>
            <rFont val="Tahoma"/>
            <family val="2"/>
          </rPr>
          <t>Diana Dimitrova:</t>
        </r>
        <r>
          <rPr>
            <sz val="9"/>
            <color indexed="81"/>
            <rFont val="Tahoma"/>
            <family val="2"/>
          </rPr>
          <t xml:space="preserve">
+ video training</t>
        </r>
      </text>
    </comment>
    <comment ref="J94" authorId="0" shapeId="0">
      <text>
        <r>
          <rPr>
            <b/>
            <sz val="9"/>
            <color indexed="81"/>
            <rFont val="Tahoma"/>
            <family val="2"/>
          </rPr>
          <t>Diana Dimitrova:</t>
        </r>
        <r>
          <rPr>
            <sz val="9"/>
            <color indexed="81"/>
            <rFont val="Tahoma"/>
            <family val="2"/>
          </rPr>
          <t xml:space="preserve">
Mon/Thu EBD</t>
        </r>
      </text>
    </comment>
    <comment ref="J197" authorId="0" shapeId="0">
      <text>
        <r>
          <rPr>
            <b/>
            <sz val="9"/>
            <color indexed="81"/>
            <rFont val="Tahoma"/>
            <family val="2"/>
          </rPr>
          <t>Diana Dimitrova:</t>
        </r>
        <r>
          <rPr>
            <sz val="9"/>
            <color indexed="81"/>
            <rFont val="Tahoma"/>
            <family val="2"/>
          </rPr>
          <t xml:space="preserve">
Tue EBD</t>
        </r>
      </text>
    </comment>
    <comment ref="AL197" authorId="0" shapeId="0">
      <text>
        <r>
          <rPr>
            <b/>
            <sz val="9"/>
            <color indexed="81"/>
            <rFont val="Tahoma"/>
            <family val="2"/>
          </rPr>
          <t>Diana Dimitrova:</t>
        </r>
        <r>
          <rPr>
            <sz val="9"/>
            <color indexed="81"/>
            <rFont val="Tahoma"/>
            <family val="2"/>
          </rPr>
          <t xml:space="preserve">
+ video training</t>
        </r>
      </text>
    </comment>
    <comment ref="J285" authorId="0" shapeId="0">
      <text>
        <r>
          <rPr>
            <b/>
            <sz val="9"/>
            <color indexed="81"/>
            <rFont val="Tahoma"/>
            <family val="2"/>
          </rPr>
          <t>Diana Dimitrova:</t>
        </r>
        <r>
          <rPr>
            <sz val="9"/>
            <color indexed="81"/>
            <rFont val="Tahoma"/>
            <family val="2"/>
          </rPr>
          <t xml:space="preserve">
Mon/Thu 10:30</t>
        </r>
      </text>
    </comment>
    <comment ref="J291" authorId="0" shapeId="0">
      <text>
        <r>
          <rPr>
            <b/>
            <sz val="9"/>
            <color indexed="81"/>
            <rFont val="Tahoma"/>
            <family val="2"/>
          </rPr>
          <t>Diana Dimitrova:</t>
        </r>
        <r>
          <rPr>
            <sz val="9"/>
            <color indexed="81"/>
            <rFont val="Tahoma"/>
            <family val="2"/>
          </rPr>
          <t xml:space="preserve">
Mon 10:30</t>
        </r>
      </text>
    </comment>
  </commentList>
</comments>
</file>

<file path=xl/comments2.xml><?xml version="1.0" encoding="utf-8"?>
<comments xmlns="http://schemas.openxmlformats.org/spreadsheetml/2006/main">
  <authors>
    <author>Diana Dimitrova</author>
  </authors>
  <commentList>
    <comment ref="G157" authorId="0" shapeId="0">
      <text>
        <r>
          <rPr>
            <b/>
            <sz val="9"/>
            <color indexed="81"/>
            <rFont val="Tahoma"/>
            <family val="2"/>
          </rPr>
          <t>Diana Dimitrova:</t>
        </r>
        <r>
          <rPr>
            <sz val="9"/>
            <color indexed="81"/>
            <rFont val="Tahoma"/>
            <family val="2"/>
          </rPr>
          <t xml:space="preserve">
Every day from 09:15 GMT to 20:15 GMT</t>
        </r>
      </text>
    </comment>
    <comment ref="G190" authorId="0" shapeId="0">
      <text>
        <r>
          <rPr>
            <b/>
            <sz val="9"/>
            <color indexed="81"/>
            <rFont val="Tahoma"/>
            <family val="2"/>
          </rPr>
          <t>Diana Dimitrova:</t>
        </r>
        <r>
          <rPr>
            <sz val="9"/>
            <color indexed="81"/>
            <rFont val="Tahoma"/>
            <family val="2"/>
          </rPr>
          <t xml:space="preserve">
Hourly - every day at 11:00 AM GMT, 2:00 PM GMT, 5:00 PM GMT
Daily - every day till 08:00 AM GMT</t>
        </r>
      </text>
    </comment>
    <comment ref="G195" authorId="0" shapeId="0">
      <text>
        <r>
          <rPr>
            <b/>
            <sz val="9"/>
            <color indexed="81"/>
            <rFont val="Tahoma"/>
            <family val="2"/>
          </rPr>
          <t>Diana Dimitrova:</t>
        </r>
        <r>
          <rPr>
            <sz val="9"/>
            <color indexed="81"/>
            <rFont val="Tahoma"/>
            <family val="2"/>
          </rPr>
          <t xml:space="preserve">
Every Monday</t>
        </r>
      </text>
    </comment>
    <comment ref="G202" authorId="0" shapeId="0">
      <text>
        <r>
          <rPr>
            <b/>
            <sz val="9"/>
            <color indexed="81"/>
            <rFont val="Tahoma"/>
            <family val="2"/>
          </rPr>
          <t>Diana Dimitrova:</t>
        </r>
        <r>
          <rPr>
            <sz val="9"/>
            <color indexed="81"/>
            <rFont val="Tahoma"/>
            <family val="2"/>
          </rPr>
          <t xml:space="preserve">
Every Monday</t>
        </r>
      </text>
    </comment>
    <comment ref="G204" authorId="0" shapeId="0">
      <text>
        <r>
          <rPr>
            <b/>
            <sz val="9"/>
            <color indexed="81"/>
            <rFont val="Tahoma"/>
            <family val="2"/>
          </rPr>
          <t>Diana Dimitrova:</t>
        </r>
        <r>
          <rPr>
            <sz val="9"/>
            <color indexed="81"/>
            <rFont val="Tahoma"/>
            <family val="2"/>
          </rPr>
          <t xml:space="preserve">
Every Monday</t>
        </r>
      </text>
    </comment>
  </commentList>
</comments>
</file>

<file path=xl/comments3.xml><?xml version="1.0" encoding="utf-8"?>
<comments xmlns="http://schemas.openxmlformats.org/spreadsheetml/2006/main">
  <authors>
    <author>Diana Dimitrova</author>
  </authors>
  <commentList>
    <comment ref="I58" authorId="0" shapeId="0">
      <text>
        <r>
          <rPr>
            <b/>
            <sz val="9"/>
            <color indexed="81"/>
            <rFont val="Tahoma"/>
            <family val="2"/>
          </rPr>
          <t>Diana Dimitrova:</t>
        </r>
        <r>
          <rPr>
            <sz val="9"/>
            <color indexed="81"/>
            <rFont val="Tahoma"/>
            <family val="2"/>
          </rPr>
          <t xml:space="preserve">
Tue EBD</t>
        </r>
      </text>
    </comment>
    <comment ref="AK58" authorId="0" shapeId="0">
      <text>
        <r>
          <rPr>
            <b/>
            <sz val="9"/>
            <color indexed="81"/>
            <rFont val="Tahoma"/>
            <family val="2"/>
          </rPr>
          <t>Diana Dimitrova:</t>
        </r>
        <r>
          <rPr>
            <sz val="9"/>
            <color indexed="81"/>
            <rFont val="Tahoma"/>
            <family val="2"/>
          </rPr>
          <t xml:space="preserve">
+ video training</t>
        </r>
      </text>
    </comment>
    <comment ref="I94" authorId="0" shapeId="0">
      <text>
        <r>
          <rPr>
            <b/>
            <sz val="9"/>
            <color indexed="81"/>
            <rFont val="Tahoma"/>
            <family val="2"/>
          </rPr>
          <t>Diana Dimitrova:</t>
        </r>
        <r>
          <rPr>
            <sz val="9"/>
            <color indexed="81"/>
            <rFont val="Tahoma"/>
            <family val="2"/>
          </rPr>
          <t xml:space="preserve">
Mon/Thu EBD</t>
        </r>
      </text>
    </comment>
    <comment ref="I197" authorId="0" shapeId="0">
      <text>
        <r>
          <rPr>
            <b/>
            <sz val="9"/>
            <color indexed="81"/>
            <rFont val="Tahoma"/>
            <family val="2"/>
          </rPr>
          <t>Diana Dimitrova:</t>
        </r>
        <r>
          <rPr>
            <sz val="9"/>
            <color indexed="81"/>
            <rFont val="Tahoma"/>
            <family val="2"/>
          </rPr>
          <t xml:space="preserve">
Tue EBD</t>
        </r>
      </text>
    </comment>
    <comment ref="AK197" authorId="0" shapeId="0">
      <text>
        <r>
          <rPr>
            <b/>
            <sz val="9"/>
            <color indexed="81"/>
            <rFont val="Tahoma"/>
            <family val="2"/>
          </rPr>
          <t>Diana Dimitrova:</t>
        </r>
        <r>
          <rPr>
            <sz val="9"/>
            <color indexed="81"/>
            <rFont val="Tahoma"/>
            <family val="2"/>
          </rPr>
          <t xml:space="preserve">
+ video training</t>
        </r>
      </text>
    </comment>
    <comment ref="I285" authorId="0" shapeId="0">
      <text>
        <r>
          <rPr>
            <b/>
            <sz val="9"/>
            <color indexed="81"/>
            <rFont val="Tahoma"/>
            <family val="2"/>
          </rPr>
          <t>Diana Dimitrova:</t>
        </r>
        <r>
          <rPr>
            <sz val="9"/>
            <color indexed="81"/>
            <rFont val="Tahoma"/>
            <family val="2"/>
          </rPr>
          <t xml:space="preserve">
Mon/Thu 10:30</t>
        </r>
      </text>
    </comment>
    <comment ref="I291" authorId="0" shapeId="0">
      <text>
        <r>
          <rPr>
            <b/>
            <sz val="9"/>
            <color indexed="81"/>
            <rFont val="Tahoma"/>
            <family val="2"/>
          </rPr>
          <t>Diana Dimitrova:</t>
        </r>
        <r>
          <rPr>
            <sz val="9"/>
            <color indexed="81"/>
            <rFont val="Tahoma"/>
            <family val="2"/>
          </rPr>
          <t xml:space="preserve">
Mon 10:30</t>
        </r>
      </text>
    </comment>
  </commentList>
</comments>
</file>

<file path=xl/sharedStrings.xml><?xml version="1.0" encoding="utf-8"?>
<sst xmlns="http://schemas.openxmlformats.org/spreadsheetml/2006/main" count="9482" uniqueCount="1208">
  <si>
    <t>Levels</t>
  </si>
  <si>
    <t>Trained</t>
  </si>
  <si>
    <t>Status</t>
  </si>
  <si>
    <t>Definition</t>
  </si>
  <si>
    <t>Not trained</t>
  </si>
  <si>
    <t>Not applicable</t>
  </si>
  <si>
    <t>Not to be trained on this for now</t>
  </si>
  <si>
    <t>Not yet trained</t>
  </si>
  <si>
    <t>Independent</t>
  </si>
  <si>
    <t>Expert</t>
  </si>
  <si>
    <t>NL</t>
  </si>
  <si>
    <t>MS</t>
  </si>
  <si>
    <t>BS</t>
  </si>
  <si>
    <t>GK</t>
  </si>
  <si>
    <t>Site</t>
  </si>
  <si>
    <t>Campaign</t>
  </si>
  <si>
    <t>Report Name</t>
  </si>
  <si>
    <t>Documentation</t>
  </si>
  <si>
    <t>#</t>
  </si>
  <si>
    <t>Brother</t>
  </si>
  <si>
    <t>Main Backup Person</t>
  </si>
  <si>
    <t>YES</t>
  </si>
  <si>
    <t>Report Owner</t>
  </si>
  <si>
    <t>Sub Campaign</t>
  </si>
  <si>
    <t>Has intermediate knowledge, no supervision needed</t>
  </si>
  <si>
    <t>Can train others. Knows all specifics</t>
  </si>
  <si>
    <t>Passed the training but needs supervision to do the report. In parallel run.</t>
  </si>
  <si>
    <t>Comments</t>
  </si>
  <si>
    <t>Monthly Bosch Invoicing</t>
  </si>
  <si>
    <t>Bosch</t>
  </si>
  <si>
    <t>Exeter</t>
  </si>
  <si>
    <t>Flash Report</t>
  </si>
  <si>
    <t>NO</t>
  </si>
  <si>
    <t>J &amp; J MI report</t>
  </si>
  <si>
    <t>J &amp; J</t>
  </si>
  <si>
    <t>Skill By Manager</t>
  </si>
  <si>
    <t>Tosh, Flybe,NL, JL, VP</t>
  </si>
  <si>
    <t>Toshiba MI report</t>
  </si>
  <si>
    <t>Toshiba</t>
  </si>
  <si>
    <t>VP MI report</t>
  </si>
  <si>
    <t>JL MI report</t>
  </si>
  <si>
    <t>Flybe MI  report</t>
  </si>
  <si>
    <t>KPI Tracker/ 2020 SKEP</t>
  </si>
  <si>
    <t>John Lewis</t>
  </si>
  <si>
    <t>Voyage Prive</t>
  </si>
  <si>
    <t>SSE</t>
  </si>
  <si>
    <t>D&amp;G</t>
  </si>
  <si>
    <t>Outbound reports</t>
  </si>
  <si>
    <t>QM Loggers</t>
  </si>
  <si>
    <t>EMT</t>
  </si>
  <si>
    <t>QA</t>
  </si>
  <si>
    <t>IEX Extract</t>
  </si>
  <si>
    <t>Coventry</t>
  </si>
  <si>
    <t>Weekly Coventry Productivity Report</t>
  </si>
  <si>
    <t>N/A</t>
  </si>
  <si>
    <t>LG</t>
  </si>
  <si>
    <t>Daily Performance Dashboards</t>
  </si>
  <si>
    <t>LifeScan</t>
  </si>
  <si>
    <t>Weekly CMSR</t>
  </si>
  <si>
    <t>Monthly CMSR in 2020</t>
  </si>
  <si>
    <t>Monthly Stacked Ranking</t>
  </si>
  <si>
    <t>VI</t>
  </si>
  <si>
    <t>ID</t>
  </si>
  <si>
    <t>QBR - quarterly</t>
  </si>
  <si>
    <t>MBR - monthly</t>
  </si>
  <si>
    <t>Monthly Market Slides</t>
  </si>
  <si>
    <t>Inbound/PR</t>
  </si>
  <si>
    <t>Daily Summary</t>
  </si>
  <si>
    <t>Agent AUX/Productivity Report</t>
  </si>
  <si>
    <t>Monthly JnJ Reporting - JC</t>
  </si>
  <si>
    <t>JL Home Solutions MI</t>
  </si>
  <si>
    <t>Heathrow</t>
  </si>
  <si>
    <t>Heathrow MI</t>
  </si>
  <si>
    <t>Disney</t>
  </si>
  <si>
    <t>Disney DB update</t>
  </si>
  <si>
    <t>Disney MI report</t>
  </si>
  <si>
    <t>Mondays</t>
  </si>
  <si>
    <t>Every workday</t>
  </si>
  <si>
    <t xml:space="preserve">Every Monday/Tuesday. </t>
  </si>
  <si>
    <t xml:space="preserve">Send files to Silvia on Monday, and to Penny as soon as they are received back. </t>
  </si>
  <si>
    <t>On hold</t>
  </si>
  <si>
    <t xml:space="preserve">First step - first day of the new month. </t>
  </si>
  <si>
    <t xml:space="preserve">Until day 5 of the month. </t>
  </si>
  <si>
    <t xml:space="preserve">Start on day one, should be ready by day 5 of the month. </t>
  </si>
  <si>
    <t>Frequency</t>
  </si>
  <si>
    <t>Daily</t>
  </si>
  <si>
    <t>Monthly</t>
  </si>
  <si>
    <t>Weekly</t>
  </si>
  <si>
    <t>Quarterly</t>
  </si>
  <si>
    <t>Daily/Weekly/Monthly</t>
  </si>
  <si>
    <t>Daily/Weekly</t>
  </si>
  <si>
    <t>Sofia</t>
  </si>
  <si>
    <t>Wyndham</t>
  </si>
  <si>
    <t>Wyndham Dashboard</t>
  </si>
  <si>
    <t>IK</t>
  </si>
  <si>
    <t>Yes</t>
  </si>
  <si>
    <t>HMD</t>
  </si>
  <si>
    <t>HMD Dashboard</t>
  </si>
  <si>
    <t>MoneyGram</t>
  </si>
  <si>
    <t xml:space="preserve">MoneyGram Quarterly Skill Dashboard </t>
  </si>
  <si>
    <t>MoneyGram Agent Dashboard</t>
  </si>
  <si>
    <t>Varna</t>
  </si>
  <si>
    <t>Mobilcom</t>
  </si>
  <si>
    <t>Mobilcom Dashboard</t>
  </si>
  <si>
    <t>Klarmobil</t>
  </si>
  <si>
    <t>Mobilcom/Klarmobil</t>
  </si>
  <si>
    <t>Klarmobil Dashboard</t>
  </si>
  <si>
    <t>MoneyGram QA Details</t>
  </si>
  <si>
    <t>Weekly Agent ScoreCards</t>
  </si>
  <si>
    <t>Medtronic</t>
  </si>
  <si>
    <t>Canon</t>
  </si>
  <si>
    <t>JL OCCO Exeter</t>
  </si>
  <si>
    <t>JL OCCO Plymouth</t>
  </si>
  <si>
    <t>All</t>
  </si>
  <si>
    <t>Attrition Report</t>
  </si>
  <si>
    <t>Telephony Dashboard</t>
  </si>
  <si>
    <t>Login-Logout</t>
  </si>
  <si>
    <t>Wyndham Invoice</t>
  </si>
  <si>
    <t>JustEat</t>
  </si>
  <si>
    <t>JustEat Agent Dashboard</t>
  </si>
  <si>
    <t>JustEat Billable Time</t>
  </si>
  <si>
    <t>JustEat GlidePath</t>
  </si>
  <si>
    <t>JustEat QA Details</t>
  </si>
  <si>
    <t>Bosch SEN Non-Call Report</t>
  </si>
  <si>
    <t>Bosch SEB Non-Call Report</t>
  </si>
  <si>
    <t>Bosch SEN Interval Report</t>
  </si>
  <si>
    <t>SEB &amp; SEN Response report</t>
  </si>
  <si>
    <t>Bosch 2020 Upload</t>
  </si>
  <si>
    <t>Bosch Agent Productivity Report</t>
  </si>
  <si>
    <t>Bosch Daily Dashboard + CSAT</t>
  </si>
  <si>
    <t>Brother Daily Dashboard</t>
  </si>
  <si>
    <t>Brother GMR</t>
  </si>
  <si>
    <t>Brother 2020 Upload</t>
  </si>
  <si>
    <t xml:space="preserve"> Brother/Bosch CMSR</t>
  </si>
  <si>
    <t>Brother/Bosch</t>
  </si>
  <si>
    <t>JustEat Agent Unavailable Time</t>
  </si>
  <si>
    <t>Medtronic MI</t>
  </si>
  <si>
    <t>Canon MI</t>
  </si>
  <si>
    <t>Absence Reporting (Coventry)</t>
  </si>
  <si>
    <t>GMR's</t>
  </si>
  <si>
    <t>Smart</t>
  </si>
  <si>
    <t>JL Absence Database</t>
  </si>
  <si>
    <t>JL Telephony Database</t>
  </si>
  <si>
    <t>YF</t>
  </si>
  <si>
    <t>HMD Agent Breaks</t>
  </si>
  <si>
    <t>Automated process</t>
  </si>
  <si>
    <t>Currently not maintained by CRT</t>
  </si>
  <si>
    <t>HMD Agent Productivity</t>
  </si>
  <si>
    <t>Philips</t>
  </si>
  <si>
    <t>TPV</t>
  </si>
  <si>
    <t>Philips TPV MTD</t>
  </si>
  <si>
    <t>Philips CL MTD</t>
  </si>
  <si>
    <t>Documentation- ONE Note</t>
  </si>
  <si>
    <t>Bosch SEB Interval Report</t>
  </si>
  <si>
    <t>Validation Date</t>
  </si>
  <si>
    <t>Validation by</t>
  </si>
  <si>
    <t>D&amp;G Weekly Kronos Report</t>
  </si>
  <si>
    <t>Thu/Weekly</t>
  </si>
  <si>
    <t>D&amp;G Agent Commission Dashboard</t>
  </si>
  <si>
    <t>TV Troubleshoot Dashboard</t>
  </si>
  <si>
    <t>Monday</t>
  </si>
  <si>
    <t>TV Troubleshoot Dashboard TM's Edition</t>
  </si>
  <si>
    <t>TV Troubleshoot 2020</t>
  </si>
  <si>
    <t>EOL</t>
  </si>
  <si>
    <t>Brother Agent Productivity</t>
  </si>
  <si>
    <t>KN</t>
  </si>
  <si>
    <t>Elavon</t>
  </si>
  <si>
    <t>HMD Bogota Agent Productivity</t>
  </si>
  <si>
    <t>HMD Bogota Dashboard</t>
  </si>
  <si>
    <t>HMD China Dashboard</t>
  </si>
  <si>
    <t>SD</t>
  </si>
  <si>
    <t>D&amp;G 2020</t>
  </si>
  <si>
    <t>D&amp;G Agent Productivity</t>
  </si>
  <si>
    <t>Media Markt</t>
  </si>
  <si>
    <t>Media Markt Accruals</t>
  </si>
  <si>
    <t>Media Markt Altitude</t>
  </si>
  <si>
    <t xml:space="preserve">HP </t>
  </si>
  <si>
    <t>HP</t>
  </si>
  <si>
    <t>NL Attrition Report</t>
  </si>
  <si>
    <t>NL Absence Report</t>
  </si>
  <si>
    <t>NL Site Tracker</t>
  </si>
  <si>
    <t>HP Scorecard</t>
  </si>
  <si>
    <t>HP FTA Report</t>
  </si>
  <si>
    <t>Report List Group</t>
  </si>
  <si>
    <t>COV SH</t>
  </si>
  <si>
    <t>EXE/PLY Remote PC</t>
  </si>
  <si>
    <t>KING</t>
  </si>
  <si>
    <t>NCL</t>
  </si>
  <si>
    <t>Active</t>
  </si>
  <si>
    <t>Rate Dashboard</t>
  </si>
  <si>
    <t>replaces the old Commissions report</t>
  </si>
  <si>
    <t>Exeter/Plymouth</t>
  </si>
  <si>
    <t>Absence Report</t>
  </si>
  <si>
    <t>SIOX Dashboard</t>
  </si>
  <si>
    <t>JL TS MI report</t>
  </si>
  <si>
    <t>Flybe</t>
  </si>
  <si>
    <t>Plymouth</t>
  </si>
  <si>
    <t>JL CS MI Dashboard</t>
  </si>
  <si>
    <t>Monthly Absence LTS / CAPMAN</t>
  </si>
  <si>
    <t>JL EHT MI</t>
  </si>
  <si>
    <t>Monthly Absence LTS / CAPMAN / Site Tracker</t>
  </si>
  <si>
    <t>Gradbay Telephony Performance</t>
  </si>
  <si>
    <t>Maxim</t>
  </si>
  <si>
    <t>TCD Report</t>
  </si>
  <si>
    <t>2020 - RN</t>
  </si>
  <si>
    <t>2020 - SIOX</t>
  </si>
  <si>
    <t>EMT Scheduled reports - CRT Remote</t>
  </si>
  <si>
    <t>D &amp; G</t>
  </si>
  <si>
    <t>Daily MI &amp; Agent Report - Filezilla</t>
  </si>
  <si>
    <t>Plymouth EMT FTE Updater</t>
  </si>
  <si>
    <t>Maxim EMT FTE Updater</t>
  </si>
  <si>
    <t>Exeter EMT FTE Updater</t>
  </si>
  <si>
    <t>SOF/VAR</t>
  </si>
  <si>
    <t>Mobilcom Productive Time</t>
  </si>
  <si>
    <t>JustEat Interval Billable Time</t>
  </si>
  <si>
    <t>Mobilcom PresenseForm vs System</t>
  </si>
  <si>
    <t>CMSR Monthly Report</t>
  </si>
  <si>
    <t>Lifescan LMS Report</t>
  </si>
  <si>
    <t>SIOX 2020 John Lewis</t>
  </si>
  <si>
    <t>EXE/PLY BO</t>
  </si>
  <si>
    <t>EXE/PLY SQL Server</t>
  </si>
  <si>
    <t>EXE/PLY VBM upload (Monday)</t>
  </si>
  <si>
    <t>PLY DnG Firezilla (Weekdays)</t>
  </si>
  <si>
    <t>EXE JL Troubleshoot Dashboard and 2020</t>
  </si>
  <si>
    <t>Eindhoven</t>
  </si>
  <si>
    <t>Agent bonuses</t>
  </si>
  <si>
    <t>Tosh, Flybe, JL</t>
  </si>
  <si>
    <t>HMD WFM Dashboard</t>
  </si>
  <si>
    <t>COV EP/NCL</t>
  </si>
  <si>
    <t>Tool Name</t>
  </si>
  <si>
    <t>Tool Owner</t>
  </si>
  <si>
    <t>Reporting Portfolio Skills Matrix - Tools</t>
  </si>
  <si>
    <t>Reporting Portfolio Skills Matrix - Reports</t>
  </si>
  <si>
    <t>Site(s)</t>
  </si>
  <si>
    <t>Campaign(s)</t>
  </si>
  <si>
    <t>Tool last modified</t>
  </si>
  <si>
    <t>Process Change tracker</t>
  </si>
  <si>
    <t>EXE, PLY, NCL, MNL</t>
  </si>
  <si>
    <t>Virgin Media</t>
  </si>
  <si>
    <t>Exeter Recruitment Tool</t>
  </si>
  <si>
    <t>Coaching Tracker</t>
  </si>
  <si>
    <t>EXE</t>
  </si>
  <si>
    <t>31/05/2019</t>
  </si>
  <si>
    <t>Combined Login Tool</t>
  </si>
  <si>
    <t>VM IT Issue Logger</t>
  </si>
  <si>
    <t>HMD QM Logger</t>
  </si>
  <si>
    <t>Wyndham QM Logger</t>
  </si>
  <si>
    <t>JustEat Vacation Planner</t>
  </si>
  <si>
    <t>JustEat PresenseForm vs System</t>
  </si>
  <si>
    <t>John Lewis TCD</t>
  </si>
  <si>
    <t>Campaign Analyst</t>
  </si>
  <si>
    <t>ACS Report</t>
  </si>
  <si>
    <t>Leads</t>
  </si>
  <si>
    <t>Wrong Queue Cases</t>
  </si>
  <si>
    <t>JC Reports</t>
  </si>
  <si>
    <t>Complaints vs Enquiries</t>
  </si>
  <si>
    <t>Sofia Case Report</t>
  </si>
  <si>
    <t>Reflect Calls Report</t>
  </si>
  <si>
    <t>Siox Data to BO dashboard</t>
  </si>
  <si>
    <t>BE cases split - NL/FR</t>
  </si>
  <si>
    <t>FR email trends</t>
  </si>
  <si>
    <t>Complaints FR Meter</t>
  </si>
  <si>
    <t>Dials (Out Marketing)</t>
  </si>
  <si>
    <t>Update meter orders + status OTVU115</t>
  </si>
  <si>
    <t>Siox measurment</t>
  </si>
  <si>
    <t>Siox Report</t>
  </si>
  <si>
    <t>DE MBR Campaigns deck</t>
  </si>
  <si>
    <t>Add new contats to DE campaigns</t>
  </si>
  <si>
    <t>Send Campaign Calendar</t>
  </si>
  <si>
    <t>New Campaign Setup</t>
  </si>
  <si>
    <t>Warsaw</t>
  </si>
  <si>
    <t>Poland</t>
  </si>
  <si>
    <t>Brother Interval Report</t>
  </si>
  <si>
    <t>HP Cases Report</t>
  </si>
  <si>
    <t>AS Watson</t>
  </si>
  <si>
    <t>KING Absence report</t>
  </si>
  <si>
    <t>Kingston Absence Report</t>
  </si>
  <si>
    <t>Automated BO Report</t>
  </si>
  <si>
    <t>DnG IPR Chart Report</t>
  </si>
  <si>
    <t>Ebay Billable Time</t>
  </si>
  <si>
    <t>Ebay Agent Dashboard</t>
  </si>
  <si>
    <t>Ebay BR Charts</t>
  </si>
  <si>
    <t>Ebay</t>
  </si>
  <si>
    <t>COV</t>
  </si>
  <si>
    <t>Hunterboot</t>
  </si>
  <si>
    <t>HP SAPOS</t>
  </si>
  <si>
    <t>Ebay CSAT RCA table</t>
  </si>
  <si>
    <t>Ebay iCoach upload</t>
  </si>
  <si>
    <t>Wyndham iCoach Upload</t>
  </si>
  <si>
    <t>HMD iCoach Upload</t>
  </si>
  <si>
    <t>MoneyGram iCoach Upload</t>
  </si>
  <si>
    <t>Mobilcom iCoach Upload</t>
  </si>
  <si>
    <t>Klarmobil iCoach Upload</t>
  </si>
  <si>
    <t>JustEat iCoach Upload</t>
  </si>
  <si>
    <t>Multisite</t>
  </si>
  <si>
    <t>Snowdon/SMART/Waverly</t>
  </si>
  <si>
    <t>JustEat Ireland Dashboard</t>
  </si>
  <si>
    <t>JustEat Lunch Vauchers</t>
  </si>
  <si>
    <t>JustEat Menu Dashboard</t>
  </si>
  <si>
    <t>JustEat WhiteLabel Dashboard</t>
  </si>
  <si>
    <t xml:space="preserve">COV </t>
  </si>
  <si>
    <t>NICE Quality report</t>
  </si>
  <si>
    <t>No</t>
  </si>
  <si>
    <t>VISA</t>
  </si>
  <si>
    <t xml:space="preserve">Hunterboot </t>
  </si>
  <si>
    <t>TSC</t>
  </si>
  <si>
    <t>HMD TSC Dashboard</t>
  </si>
  <si>
    <t>HMD TSC Agent Productivity</t>
  </si>
  <si>
    <t>Discontinued</t>
  </si>
  <si>
    <t>Ebay Agent Breaks</t>
  </si>
  <si>
    <t>JustEat Serbia Dashboard</t>
  </si>
  <si>
    <t>JustEat UK Dashboard</t>
  </si>
  <si>
    <t>DD</t>
  </si>
  <si>
    <t>Visa MI &amp; TM reports - OPS</t>
  </si>
  <si>
    <t>Secret Escapes</t>
  </si>
  <si>
    <t>Secret Escapes Dashboard</t>
  </si>
  <si>
    <t>PSA MI</t>
  </si>
  <si>
    <t>PSA Agent Productivity</t>
  </si>
  <si>
    <t>PSA Quality</t>
  </si>
  <si>
    <t>PSA Repeat Callers</t>
  </si>
  <si>
    <t>QMR</t>
  </si>
  <si>
    <t>PSA</t>
  </si>
  <si>
    <t>Tier 2 &amp; 3 DHSC</t>
  </si>
  <si>
    <t>NHS - Track and Trace MI - EXTERNAL</t>
  </si>
  <si>
    <t>NHS - Track and Trace MI</t>
  </si>
  <si>
    <t>Synergy_Agent_Activity</t>
  </si>
  <si>
    <t>NHS - Track and Trace Synergy</t>
  </si>
  <si>
    <t>NHS - Track and Trace Synergy - Tier 2</t>
  </si>
  <si>
    <t>DHSC TnT</t>
  </si>
  <si>
    <t>GT</t>
  </si>
  <si>
    <t>EA</t>
  </si>
  <si>
    <t>VS</t>
  </si>
  <si>
    <t>Invoicing - LFS</t>
  </si>
  <si>
    <t>Bonuses - Agents &amp; TM's</t>
  </si>
  <si>
    <t>Complaints vs enquiries</t>
  </si>
  <si>
    <t>Ad Hoc</t>
  </si>
  <si>
    <t>By-Weekly</t>
  </si>
  <si>
    <t>German Insurance Campaign</t>
  </si>
  <si>
    <t>HCP vs. Customer Report</t>
  </si>
  <si>
    <t>Covid LifeScan Global Report</t>
  </si>
  <si>
    <t>NA</t>
  </si>
  <si>
    <t>Video training</t>
  </si>
  <si>
    <t>PSA Agent Bonus</t>
  </si>
  <si>
    <t>Documentation will be done after C1st switch in Q2 2021</t>
  </si>
  <si>
    <t>IT Tracker</t>
  </si>
  <si>
    <t>VM</t>
  </si>
  <si>
    <t>Swansea</t>
  </si>
  <si>
    <t>Newcastle</t>
  </si>
  <si>
    <t>WIP</t>
  </si>
  <si>
    <t>Temporary Campaign, Ad-hoc setup</t>
  </si>
  <si>
    <t>Klarmobil Vacation Planner</t>
  </si>
  <si>
    <t>Mobilcom Vacation Planner</t>
  </si>
  <si>
    <t>JustEat Productive Hours</t>
  </si>
  <si>
    <t>JustEat Schedule Adherence</t>
  </si>
  <si>
    <t>JustEat Login Adherence tool</t>
  </si>
  <si>
    <t>JustEat PF extractor</t>
  </si>
  <si>
    <t>JustEat CSAT RCA tool</t>
  </si>
  <si>
    <t>Ebay Skill Dashboard</t>
  </si>
  <si>
    <t>Ebay CSAT RCA tool</t>
  </si>
  <si>
    <t>Ebay Vacation Planner</t>
  </si>
  <si>
    <t>Ebay NBH tool</t>
  </si>
  <si>
    <t>Ebay Agent Bonuses</t>
  </si>
  <si>
    <t>Hunter Boot MI/Agent Snapshot</t>
  </si>
  <si>
    <t>HP Agent Performance Report</t>
  </si>
  <si>
    <t>HP Scorecard Report</t>
  </si>
  <si>
    <t>HP BIG Scorecard Report</t>
  </si>
  <si>
    <t>Call Typology</t>
  </si>
  <si>
    <t>Cloud Report</t>
  </si>
  <si>
    <t>Call Pattern Report</t>
  </si>
  <si>
    <t>NPS Overview</t>
  </si>
  <si>
    <t>NPS Agent Dashboard</t>
  </si>
  <si>
    <t>CMSR / PBI</t>
  </si>
  <si>
    <t>Media Markt VDN</t>
  </si>
  <si>
    <t>Repeated Calls Dashboard</t>
  </si>
  <si>
    <t>Sonderborg Agent Productivity</t>
  </si>
  <si>
    <t>DK Attrition Report</t>
  </si>
  <si>
    <t>OM Daily Report</t>
  </si>
  <si>
    <t>Monitoring Report</t>
  </si>
  <si>
    <t>Abbott Lateness</t>
  </si>
  <si>
    <t>Daily Attendance and KPI Tracker</t>
  </si>
  <si>
    <t>Abbott</t>
  </si>
  <si>
    <t>Copenhagen</t>
  </si>
  <si>
    <t>Copenhagen, Sonderborg</t>
  </si>
  <si>
    <t>Denmark</t>
  </si>
  <si>
    <r>
      <t>Quality - EMEA/Canada/</t>
    </r>
    <r>
      <rPr>
        <sz val="11"/>
        <color rgb="FFFF0000"/>
        <rFont val="Calibri"/>
        <family val="2"/>
        <scheme val="minor"/>
      </rPr>
      <t>USA/LATAM</t>
    </r>
  </si>
  <si>
    <r>
      <t>OneTouch Backoffice Dashboard/</t>
    </r>
    <r>
      <rPr>
        <sz val="11"/>
        <color rgb="FFFF0000"/>
        <rFont val="Calibri"/>
        <family val="2"/>
        <scheme val="minor"/>
      </rPr>
      <t>Cases by Agents</t>
    </r>
  </si>
  <si>
    <t>LS MultiGroup</t>
  </si>
  <si>
    <t>SS</t>
  </si>
  <si>
    <t>PSA Agent Quality</t>
  </si>
  <si>
    <t>PSA CSAT Comparison</t>
  </si>
  <si>
    <t>PSA Daily Stats</t>
  </si>
  <si>
    <t>PSA 2020 Upload</t>
  </si>
  <si>
    <t>PSA Weekly Business Review - UK</t>
  </si>
  <si>
    <t>PSA Weekly Business Review - FR</t>
  </si>
  <si>
    <t>PSA Weekly Business Review - BR</t>
  </si>
  <si>
    <t>PSA Agent Score</t>
  </si>
  <si>
    <t>PSA SIOX</t>
  </si>
  <si>
    <t>PSA SLA raw</t>
  </si>
  <si>
    <t>HP Weekly / MBR / QBR</t>
  </si>
  <si>
    <t>Brother CSat</t>
  </si>
  <si>
    <t>Medtronic NICE Quality</t>
  </si>
  <si>
    <t>Brother Invoice</t>
  </si>
  <si>
    <t>NCL/COV</t>
  </si>
  <si>
    <t>Newcastle/Coventry</t>
  </si>
  <si>
    <t>Visa</t>
  </si>
  <si>
    <t>First date of sending the report - 21st of Jun 2021</t>
  </si>
  <si>
    <t>Virgin Media MI Report</t>
  </si>
  <si>
    <t>Shark Ninja</t>
  </si>
  <si>
    <t>ST</t>
  </si>
  <si>
    <t>29/10/2020;21/07/2021</t>
  </si>
  <si>
    <t>EA;ST</t>
  </si>
  <si>
    <t>29/10/2020;15/09/2021</t>
  </si>
  <si>
    <t>21/07/2021;15/09/2021</t>
  </si>
  <si>
    <t>As of 23rd August 2021 the report is sending directly via BO publication</t>
  </si>
  <si>
    <t>As of 07th of  Sep SNOWDON CSAT is no longer active;</t>
  </si>
  <si>
    <t>29/10/2020;11/10/2021</t>
  </si>
  <si>
    <t>25/11/2020;11/10/2021</t>
  </si>
  <si>
    <t>AY</t>
  </si>
  <si>
    <t>BTS OM Daily Report</t>
  </si>
  <si>
    <t>BTS</t>
  </si>
  <si>
    <t>Documentation Accuracy</t>
  </si>
  <si>
    <t>CTP with no Child Case</t>
  </si>
  <si>
    <t>Repeated Callers Nordics</t>
  </si>
  <si>
    <t>Repeated Callers Nordics - Internal</t>
  </si>
  <si>
    <t>Logged vs Anwered by Agent</t>
  </si>
  <si>
    <t>Short Calls</t>
  </si>
  <si>
    <t>OCP Scorecard</t>
  </si>
  <si>
    <t>Daily PS Scorecard</t>
  </si>
  <si>
    <t>iCoach Data</t>
  </si>
  <si>
    <t>Nordics Interval Report</t>
  </si>
  <si>
    <t>Nordics Call Drivers</t>
  </si>
  <si>
    <t>Daily Scorecard</t>
  </si>
  <si>
    <t>Unity Emails</t>
  </si>
  <si>
    <t>Chatbot Dashboard</t>
  </si>
  <si>
    <t>Weekly FTE Tracker</t>
  </si>
  <si>
    <t>Weekly KPI Tracker</t>
  </si>
  <si>
    <t>LMS Report</t>
  </si>
  <si>
    <t>Biweekly</t>
  </si>
  <si>
    <t>TNT</t>
  </si>
  <si>
    <t>Hyderabad</t>
  </si>
  <si>
    <t>HP Hyderabad Dashboard</t>
  </si>
  <si>
    <t>SSE Backdating Transferred Report</t>
  </si>
  <si>
    <t>SSE Backdating Report_Sai</t>
  </si>
  <si>
    <t>SSE NPS Reports</t>
  </si>
  <si>
    <t>SSE Client Report</t>
  </si>
  <si>
    <t>SSE Backdating Skill Report</t>
  </si>
  <si>
    <t>Shark Ninja NICE Quality Report/Shark Ninja NICE Quality Report BO</t>
  </si>
  <si>
    <t>Hunter Boot Insight Report/Hunter Boot Insight Report MMM-YY/Raw Data Report</t>
  </si>
  <si>
    <t>SSE Backdating Transferred Calls via ACCESS has started from 24th of Feb 21; SSE Backdating Transferred Calls Report via SQL has started from 10th of Sep 21;</t>
  </si>
  <si>
    <t>SSE Backdating Agent Report.xlsb has stated from 3rd of Dec 20; SSE Backdating Agent Report Raw Data.csv has started from 29th of June 21;</t>
  </si>
  <si>
    <t>SSE Backdating Agent Report/SSE Backdating Agent Report  Raw Data</t>
  </si>
  <si>
    <t>29/10/2020;29/10/2021</t>
  </si>
  <si>
    <t>PR</t>
  </si>
  <si>
    <t>NN</t>
  </si>
  <si>
    <t>BM</t>
  </si>
  <si>
    <r>
      <t>Quality - Trending reports - EMEA/Canada/</t>
    </r>
    <r>
      <rPr>
        <sz val="11"/>
        <color rgb="FFFF0000"/>
        <rFont val="Calibri"/>
        <family val="2"/>
        <scheme val="minor"/>
      </rPr>
      <t>USA/LATAM</t>
    </r>
  </si>
  <si>
    <t>Quality Total Call Drivers (Alessandra Report)</t>
  </si>
  <si>
    <t xml:space="preserve">CEX Analyses </t>
  </si>
  <si>
    <t>Business account cases - all countries MBR</t>
  </si>
  <si>
    <t>Business account cases - FR</t>
  </si>
  <si>
    <t>Warranty Replacement UK IE</t>
  </si>
  <si>
    <t>Daily leads report - automated</t>
  </si>
  <si>
    <t>BR Control Solution Orders</t>
  </si>
  <si>
    <t>BR Delica Orders</t>
  </si>
  <si>
    <t>BR Orders with return product</t>
  </si>
  <si>
    <t>Back office dashboard</t>
  </si>
  <si>
    <t>Daily, Weekly, Monthly</t>
  </si>
  <si>
    <t>BR Charts - EMEA/Canada</t>
  </si>
  <si>
    <t>Wyndham Daily Results</t>
  </si>
  <si>
    <t>HMD BR Charts</t>
  </si>
  <si>
    <t xml:space="preserve">MoneyGram Team Skill Dashboard </t>
  </si>
  <si>
    <t>Moneygram Billable File</t>
  </si>
  <si>
    <t>Moneygram Bonus File</t>
  </si>
  <si>
    <t>Epson</t>
  </si>
  <si>
    <t>Epson Daily Report</t>
  </si>
  <si>
    <t>Epson Team Performance Report</t>
  </si>
  <si>
    <t>Epson Client View report</t>
  </si>
  <si>
    <t>Epson iCoach Upload</t>
  </si>
  <si>
    <t>J&amp;J Consumer Dashboard</t>
  </si>
  <si>
    <t>J&amp;J CSAT Analysis</t>
  </si>
  <si>
    <t>Ring Central</t>
  </si>
  <si>
    <t>RingCentral Dashboard</t>
  </si>
  <si>
    <t>DE Orders 2021</t>
  </si>
  <si>
    <t>TNT Service Hub / MI</t>
  </si>
  <si>
    <t>UKVI - HMPO Dashboard Agent Report</t>
  </si>
  <si>
    <t>First date of sending the scheduled BO report - 28th of Jun 2021; First date of sending the dashboard report - 26th of Jul 2021; Start sending the reports twice a week from 27th of Dec 21;</t>
  </si>
  <si>
    <t>SP</t>
  </si>
  <si>
    <t>Home Office-UK</t>
  </si>
  <si>
    <t>Smart/Snowdon/Heritage/Collections/Home Services/Waverley/eServices/Warm Home Discount Inbound (WHD)/HOCS/OVO Inbound/Rejections</t>
  </si>
  <si>
    <t>As of April Collections is no longer active; Home Services is no longer active; As of 20th of Nov 20 Warm Home Discount Inbound has started; As of 24th of Nov 20 e Services is no longer active; As of 05th of April WHDI is no longer active, tentative ETA to resume WHD operations is towards end of Sep (It’s just seasonal support so will restart later in the year (keep the report template as you an re-use it later in 2021!)); As of 03rd of May new LOB HOCS starts; As of beginning of Sep 2021 WHDI will be resumed; As of beginning of Sep 2021 WHDI was resumed; As of 29th of Nov 2021 new LOB OVO Inbound start; As of 10th of Jan 2022 new LOB Rejection start;</t>
  </si>
  <si>
    <t>As of 22nd of Jul 2021 Miro told me to stop sending the report because the project has been separated for DA (Domestic Appliances) and PH (Personal Health). All data and forecasts for Brazil are separated for DA and PH. I am waiting for Miro's feedback when all data and forecasts for other countries (except Brazil) are separated too and then I will start sending the report for DA and one for PH; On the 11th of Jan 2022 Milena Gurova told me that for now the forecasts can't be splitted for DA &amp; PH, Milena sends dashboards to the client and will give me feedback if I have to start sending the report again;</t>
  </si>
  <si>
    <t>VA</t>
  </si>
  <si>
    <t>ELAVON MI Report/Elavon Report via Power BI</t>
  </si>
  <si>
    <t>SSE Productivity Report via Power BI</t>
  </si>
  <si>
    <t>As of 06th of Apr 2022 the report is refreshing directly in Power BI</t>
  </si>
  <si>
    <t>As of April Collections is no longer active; Home Services is no longer active; As of 20th of Nov 20 Warm Home Discount Inbound has started; As of 24th of Nov 20 e Services is no longer active; As of 05th of April WHDI is no longer active, tentative ETA to resume WHD operations is towards end of Sep (It’s just seasonal support so will restart later in the year (keep the report template as you an re-use it later in 2021!)); As of 03rd of May new LOB HOCS starts; As of beginning of Sep 2021 WHDI will be resumed; As of beginning of Sep 2021 WHDI was resumed; As of 29th of Nov 2021 new LOB OVO Inbound start; As of 10th of Jan 2022 new LOB Rejection start; As of 28th of Jan 2022 the report is refreshing in Power BI as well;</t>
  </si>
  <si>
    <t>As of 10th of Mar 2022 the report is refreshing in Power BI as well</t>
  </si>
  <si>
    <t>SSE Productivity Report in Powe BI; As of 15th of Dec 2021 the report is refreshing directly in Power BI</t>
  </si>
  <si>
    <t>John Lewis &amp; Waitrose</t>
  </si>
  <si>
    <t>As of 12th of May 2022 the report is refreshing directly in Power BI</t>
  </si>
  <si>
    <t>SSE MI Combined Report/SSE MI Combined Report via Power BI</t>
  </si>
  <si>
    <t>SSE Interval Combined Report</t>
  </si>
  <si>
    <t>NR</t>
  </si>
  <si>
    <t>Video training; Hovis and SSE are no longer active; As of 29th of Jan 2021 D&amp;G is no longer active (e-mail from trevor.shirrefs@sitel.com); As of end of Mar 21 VISA GMR is no longer active (e-mail from Lynne.Pitchford@sitel.com); As of 1st of June 2021 it is not required from me to update Sotheby's GMR (e-mail from Deborah); As of 26th of Jan 22 it is not required from me to update Shark Ninja GMR (e-mails from Louise Rowe &lt;louise.rowe@sitel.com&gt; and Deborah Harrop &lt;deborah.harrop@sitel.com&gt;), it was the last  GMR Report that I had to update every Tuesday;
21/6/2022 - Start updating the new GMR every Tuesday - OVO GMR - 2022.xlsb</t>
  </si>
  <si>
    <t>D&amp;G/Hovis/Sotheby's/SSE/Visa/Shark Ninja/OVO</t>
  </si>
  <si>
    <t>29/10/2020;15/09/2021;05/07/2022</t>
  </si>
  <si>
    <t>C1st Cases Raw Data</t>
  </si>
  <si>
    <t>PSA Volume Report</t>
  </si>
  <si>
    <t>Centrical Data upload</t>
  </si>
  <si>
    <t>PSA Sizing Emails</t>
  </si>
  <si>
    <t>Open Cases</t>
  </si>
  <si>
    <t>Invoicing</t>
  </si>
  <si>
    <t>PSA Weekly Business Review - Almelo</t>
  </si>
  <si>
    <t>PBI - Productivity</t>
  </si>
  <si>
    <t>PBI - Call Drivers</t>
  </si>
  <si>
    <t>PPI - Varna Billable</t>
  </si>
  <si>
    <t>Genesys</t>
  </si>
  <si>
    <t>Manchester</t>
  </si>
  <si>
    <t>Sheffield</t>
  </si>
  <si>
    <t>Stockton</t>
  </si>
  <si>
    <t>Stratford</t>
  </si>
  <si>
    <t>The sending of the report started on 30th of Nov 2021; As of 13th Jul 2022 the sending of this return was stopped - email notification from Sarah.Ellis-Townend@homeoffice.gov.uk and Simon.Saunders@sitel.com</t>
  </si>
  <si>
    <t>John Lewis Dakota</t>
  </si>
  <si>
    <t xml:space="preserve">John Lewis Dakota Flash Report </t>
  </si>
  <si>
    <t>HP Agent Performance</t>
  </si>
  <si>
    <t>SSE Absence Report via Power BI/SSE Absence Detailed Report via Power BI</t>
  </si>
  <si>
    <t>Virgin Media Absence Report  via Power BI/Virgin Media Absence Detailed Report  via Power BI</t>
  </si>
  <si>
    <t>JL &amp; Waitrose Worked Hours Report via Power BI</t>
  </si>
  <si>
    <t>29/10/2020;29/10/2021; 10/10/2022</t>
  </si>
  <si>
    <t>As of 01st of Apr 2021 domestic service has moved to another provider (e-mail from Stephen May &lt;stephen.may@sitel.com&gt;); International Visa end of service was Tues 27th April 2021  (e-mail from Manvir Atwal &lt;Manvir.Atwal@sitel.com&gt;)</t>
  </si>
  <si>
    <t>SSE Backdating Report_Sai.xlsx has started from 26th of Nov 20; As of 29th of Aug 2022, the report is sending via e-mail;</t>
  </si>
  <si>
    <t>29/10/2020;29/10/2021;28/01/2022</t>
  </si>
  <si>
    <t>29/10/2020;15/09/2021;10/03/2022</t>
  </si>
  <si>
    <t>Netherlands</t>
  </si>
  <si>
    <t>HP Eindhoven iCoach</t>
  </si>
  <si>
    <t>Delivery method</t>
  </si>
  <si>
    <t>BO</t>
  </si>
  <si>
    <t>WI link</t>
  </si>
  <si>
    <t>Report output link</t>
  </si>
  <si>
    <t>IEX</t>
  </si>
  <si>
    <t>RightNow</t>
  </si>
  <si>
    <t>Salesforce</t>
  </si>
  <si>
    <t>INNSO</t>
  </si>
  <si>
    <t>Automation %</t>
  </si>
  <si>
    <t>Fully automated</t>
  </si>
  <si>
    <t>Manual step to send to audience; waiting on reports to be avail in directory and then run the code; quick check on raw data files and then run</t>
  </si>
  <si>
    <t>Manual download of reports and then click a button to execute</t>
  </si>
  <si>
    <t>Half manual work</t>
  </si>
  <si>
    <t>Siox</t>
  </si>
  <si>
    <t>Avaya</t>
  </si>
  <si>
    <t>Git</t>
  </si>
  <si>
    <t>BO Report Name</t>
  </si>
  <si>
    <t>Report Location</t>
  </si>
  <si>
    <t>To</t>
  </si>
  <si>
    <t>CC</t>
  </si>
  <si>
    <t>Owner</t>
  </si>
  <si>
    <t>Note</t>
  </si>
  <si>
    <t>Task ID</t>
  </si>
  <si>
    <t>Comment</t>
  </si>
  <si>
    <t>UK KRONOS CSV</t>
  </si>
  <si>
    <t>Public Folders - &gt; STANDART - &gt; TIMEKEEPING</t>
  </si>
  <si>
    <t>UK</t>
  </si>
  <si>
    <t>for FPnA</t>
  </si>
  <si>
    <t>Telephony_Sitel_All_</t>
  </si>
  <si>
    <t>\REGION\OPS\EMEA\BULGARIA\Sofia\CRT\UK\Plymouth\PHE</t>
  </si>
  <si>
    <t>Multiple</t>
  </si>
  <si>
    <t>PHE</t>
  </si>
  <si>
    <t>Sophia.anonatau@sitel.com</t>
  </si>
  <si>
    <t>Martin Shunanov &lt;Martin.Shunanov@sitel.com&gt;</t>
  </si>
  <si>
    <t>t_uk_cs_hunter_tickets</t>
  </si>
  <si>
    <t>\Public Folders\CLIENT\COR OPS\HUNTER BOOT LIMITED TOTAL</t>
  </si>
  <si>
    <t>\\10.7.16.12\ssis\Data Sources\BO_COR</t>
  </si>
  <si>
    <t>t_uk_cs_hunter_interactions</t>
  </si>
  <si>
    <t>Stratford Unassigned/Unapproved Hours Daily (Report &amp; Publication)</t>
  </si>
  <si>
    <t>\REGION\OPS\EMEA\BULGARIA\Sofia\CRT\UK\Stratford\~Kronos Reports</t>
  </si>
  <si>
    <t>Replaced by standard UK report for all sites</t>
  </si>
  <si>
    <t>Exeter Unapproved Hours Weekly (Report &amp; Publication)</t>
  </si>
  <si>
    <t>\REGION\OPS\EMEA\BULGARIA\Sofia\CRT\UK\Exeter\~Kronos Reports</t>
  </si>
  <si>
    <t>Bianca Stratford &lt;Bianca.Stratford@sitel.com&gt;; Lydia Humphreys &lt;lydia.humphreys@sitel.com&gt;</t>
  </si>
  <si>
    <t>Stratford Sickness Hours Weekly (Report &amp; Publication)</t>
  </si>
  <si>
    <t>Alita Clack &lt;alita.clack@sitel.com&gt;; Sarah Berry &lt;Sarah.Berry@sitel.com&gt;; Carly Holtom &lt;Carly.Holtom@sitel.com&gt;</t>
  </si>
  <si>
    <t>Paused 2020</t>
  </si>
  <si>
    <t>Stratford Sickness Hours MTD (Report &amp; Publication)</t>
  </si>
  <si>
    <t>silviya.petrova@sitel.com</t>
  </si>
  <si>
    <t>Split Data</t>
  </si>
  <si>
    <t>\REGION\OPS\EMEA\BULGARIA\Sofia\CRT\Denmark</t>
  </si>
  <si>
    <t>Denmark, Copenhagen</t>
  </si>
  <si>
    <t>\\10.7.16.12\ssis\Data Sources\CS ABBOTT</t>
  </si>
  <si>
    <t>Sitel2020 upload Voyage Prive (Exeter UK CS etc)</t>
  </si>
  <si>
    <t>-</t>
  </si>
  <si>
    <t>Automatic Uplaod to 2020</t>
  </si>
  <si>
    <t>Stopped 01/05/2019 as the campaign is no longer active</t>
  </si>
  <si>
    <t>Sitel2020 upload John Lewis (Newcastle Customer Service)</t>
  </si>
  <si>
    <t>Stopped 22/10/2019, no JL in NCL for some time now</t>
  </si>
  <si>
    <t>Sitel2020 upload John Lewis (Kingston Inbound CS)</t>
  </si>
  <si>
    <t>Kingston</t>
  </si>
  <si>
    <t>Stpped, no JL in Kingston</t>
  </si>
  <si>
    <t>SSE Maxim Agent Data</t>
  </si>
  <si>
    <t>\REGION\OPS\EMEA\BULGARIA\Sofia\CRT\UK\Maxim\SSE</t>
  </si>
  <si>
    <t>\\GB694K12FPS01\Client$\SSE\Team Manager</t>
  </si>
  <si>
    <t>PSA VDN Interval - Daily</t>
  </si>
  <si>
    <t>\REGION\OPS\EMEA\BULGARIA\Sofia\CRT\CS PSA</t>
  </si>
  <si>
    <t>sandeep.parsotam@ext.mpsa.com</t>
  </si>
  <si>
    <t>PSA migrated to Genesys and do not use Avaya anymore</t>
  </si>
  <si>
    <t>PSA Transferred Calls Daily - Richie</t>
  </si>
  <si>
    <t>richard.harris@sitel.com</t>
  </si>
  <si>
    <t>PSA Split Interval - Daily</t>
  </si>
  <si>
    <t>Sandeep Parsotam &lt;sandeep.parsotam@ext.mpsa.com&gt;; benjamin.steed@ext.mpsa.com</t>
  </si>
  <si>
    <t>PSA Repeat Callers - Daily</t>
  </si>
  <si>
    <t>Gurmeet Dhillon &lt;Gurmeet.Dhillon@sitel.com&gt;; David Hitching &lt;David.Hitching@sitel.com&gt;; Kate Reynolds &lt;Kate.Reynolds@sitel.com&gt;</t>
  </si>
  <si>
    <t>PSA NICE Quality Report</t>
  </si>
  <si>
    <t>\\10.7.16.12\ssis\Data Sources\CS PSA</t>
  </si>
  <si>
    <t>PSA Interval Split Dashboard - Coventry</t>
  </si>
  <si>
    <t>PSA Agent Unmapped CMS Login Report</t>
  </si>
  <si>
    <t>Matheus Kuroiwa &lt;Matheus.Kuroiwa@sitel.com&gt;; Yousra El Azzouzi &lt;YOUSRA.ELAZZOUZI@sitel.com&gt;; Carolina Thomaz &lt;Carolina.Thomaz@sitel.com&gt;; Edith Pegon Meur &lt;Edith.PegonMeur@sitel.com&gt;; Gurmeet Dhillon &lt;Gurmeet.Dhillon@sitel.com&gt;; Taha Ouahib &lt;Taha.Ouahib@sitel.com&gt;; David Hitching &lt;David.Hitching@sitel.com&gt;</t>
  </si>
  <si>
    <t>PSA Agent Report - Invoice Backup - Month End</t>
  </si>
  <si>
    <t>\\eu974k12fps02.emea.sitel-world.net\psa$\PSA Daily Reports\Invoice</t>
  </si>
  <si>
    <t>Plymouth Unassigned/Unapproved Hours Daily (Report &amp; Publication)</t>
  </si>
  <si>
    <t>\REGION\OPS\EMEA\BULGARIA\Sofia\CRT\UK\Plymouth\~Kronos Reports</t>
  </si>
  <si>
    <t>DL – GB645 Training &lt;DL-GB645Training@sitel.com&gt;; DL – GB645 John Lewis CS Team Managers &lt;DL-GB645JohnLewisCSTeamManagers@sitel.com&gt;; DL – GB645 John Lewis CS Operations Managers &lt;DL-GB645JohnLewisCSOperationsManagers@sitel.com&gt;; Plymouth D&amp;G Team Managers &lt;PlymouthD&amp;GTeamManagers@sitel.com&gt;</t>
  </si>
  <si>
    <t>Sam Goss &lt;Sam.Goss@sitel.com&gt;; Cameron Phillips &lt;Cameron.Phillips@sitel.com&gt;; Daniel Ellis &lt;Daniel.Ellis@sitel.com&gt;; Nathian Carnall &lt;nathian.carnall@sitel.com&gt;; Daniel Piper &lt;Daniel.Piper@sitel.com&gt;; Sharon Cox &lt;Sharon.Cox@sitel.com&gt;; Paul Faulkner &lt;Paul.Faulkner@sitel.com&gt;</t>
  </si>
  <si>
    <t>PSA Agent Report - Invoice Backup</t>
  </si>
  <si>
    <t>Plymouth Unapproved Hours Weekly (Report &amp; Publication)</t>
  </si>
  <si>
    <t>Sam Goss &lt;Sam.Goss@sitel.com&gt;; Cameron Phillips &lt;Cameron.Phillips@sitel.com&gt;</t>
  </si>
  <si>
    <t>Plymouth Sickness Hours Weekly (Report &amp; Publication)</t>
  </si>
  <si>
    <t>Plymouth Sickness Hours MTD (Report &amp; Publication)</t>
  </si>
  <si>
    <t>Sam.goss@sitel.com; lydia.humphreys@sitel.com</t>
  </si>
  <si>
    <t>Plymouth JL Calls Weekly VBM Report</t>
  </si>
  <si>
    <t>\REGION\OPS\EMEA\BULGARIA\Sofia\CRT\UK\Plymouth\John Lewis</t>
  </si>
  <si>
    <t>Mailbox John Lewis Dandi &lt;johnlewisdandi@sitel.com&gt;; Clive Barber &lt;Clive.Barber@sitel.com&gt;</t>
  </si>
  <si>
    <t>Plymouth Hours Per Agent Weekly (Report &amp; Publication)</t>
  </si>
  <si>
    <t>paused</t>
  </si>
  <si>
    <t>Plymouth Holiday Hours Per Agent Weekly</t>
  </si>
  <si>
    <t>Lydia Humphreys &lt;lydia.humphreys@sitel.com&gt;</t>
  </si>
  <si>
    <t>PL HP 2020 Agent Index</t>
  </si>
  <si>
    <t>Public Folders - &gt; REGION -&gt; OPS -&gt; EMEA -&gt; BULGARIA -&gt; Sofia -&gt; CRT -&gt; NL -&gt; Schedule</t>
  </si>
  <si>
    <t>CRT</t>
  </si>
  <si>
    <t>Plymouth Absence Report Weekly</t>
  </si>
  <si>
    <t>\REGION\OPS\EMEA\BULGARIA\Sofia\CRT\UK\Plymouth</t>
  </si>
  <si>
    <t>richard.goodchild@sitel.com</t>
  </si>
  <si>
    <t>PHE - Corona V Interval Productivity - Daily (Report &amp; Publication)</t>
  </si>
  <si>
    <t>michaela.young@sitel.com; Sonya.Arcos@sitel.com</t>
  </si>
  <si>
    <t>Campaign Stopped 04/04/22 Mail from Debbie Johnson</t>
  </si>
  <si>
    <t>PHE - Corona V Interval - Hourly (Report &amp; Publication)</t>
  </si>
  <si>
    <t>Hourly</t>
  </si>
  <si>
    <t>Pay-From-Switch John Lewis - Weekly</t>
  </si>
  <si>
    <t>\REGION\OPS\EMEA\BULGARIA\Sofia\CRT\UK\Exeter\John Lewis</t>
  </si>
  <si>
    <t>UNIGRPEMEA_Dist_998_John_Lewis_Operations_Managers@sitel.com; DL-GB645JohnLewisCSOperationsManagers@sitel.com; kim.hanchet@sitel.com</t>
  </si>
  <si>
    <t>Stopped 24/08/2020, Kim Hanchet</t>
  </si>
  <si>
    <t>OM Survey</t>
  </si>
  <si>
    <t>OM Agent</t>
  </si>
  <si>
    <t>NL HP 2020 Agent Index</t>
  </si>
  <si>
    <t>NL FTE</t>
  </si>
  <si>
    <t>PHE - Corona V Interval - Daily (7 Days Rolling) (Report &amp; Publication)</t>
  </si>
  <si>
    <t>NI - Corona V Interval Productivity - Daily (Report &amp; Publication)</t>
  </si>
  <si>
    <t>NI - Corona V Interval - Hourly (Report &amp; Publication)</t>
  </si>
  <si>
    <t>NI - Corona V Interval - Daily (7 Days Rolling) (Report &amp; Publication)</t>
  </si>
  <si>
    <t>NHS Team List</t>
  </si>
  <si>
    <t>\REGION\OPS\EMEA\BULGARIA\Sofia\CRT\CS NHS</t>
  </si>
  <si>
    <t>NHS</t>
  </si>
  <si>
    <t>\\EU974K12FPS03\administrative$\Reporting\Shared\1.NHS Team List</t>
  </si>
  <si>
    <t>Campaign stopped End of March-22</t>
  </si>
  <si>
    <t>NHS COVID 19 – Interval – Hourly (Report &amp; Publication)</t>
  </si>
  <si>
    <t>NHS COVID 19 – Daily Report</t>
  </si>
  <si>
    <t>Newcastle VISA Skill Report v1.2 Details</t>
  </si>
  <si>
    <t>\REGION\OPS\EMEA\BULGARIA\Sofia\CRT\UK\Newcastle\</t>
  </si>
  <si>
    <t>crt_uk@sitel.com</t>
  </si>
  <si>
    <t>Emil.Atanassov@sitel.com;Diana.Dimitrova@sitel.com;stephen.may@sitel.com</t>
  </si>
  <si>
    <t>Disabled, 01/04/21- Domestic service has moved to another provider; 27/4/21 -end of International Visa;</t>
  </si>
  <si>
    <t>Newcastle Customer Service - 1760-1766 - Answered calls</t>
  </si>
  <si>
    <t>\REGION\OPS\EMEA\BULGARIA\Sofia\CRT\UK\Newcastle\John Lewis</t>
  </si>
  <si>
    <t>Clive Barber &lt;Clive.Barber@sitel.com&gt;; Mailbox John Lewis Dandi &lt;johnlewisdandi@sitel.com&gt;; Leah Leydon &lt;Leah.Leydon@sitel.com&gt;</t>
  </si>
  <si>
    <t>Newcastle All BS v1.2 - Manila Details</t>
  </si>
  <si>
    <t>Emil.Atanassov@sitel.com;Diana.Dimitrova@sitel.com</t>
  </si>
  <si>
    <t>Disabled, 06/2021 - start sending the report from SQL</t>
  </si>
  <si>
    <t>NHS Enquiries Agent Data - Daily</t>
  </si>
  <si>
    <t>UKReporting&amp;InsightTeam@sitel.com</t>
  </si>
  <si>
    <t>New Starters Absence and Attrition Weekly (Report &amp; Publication)</t>
  </si>
  <si>
    <t>\REGION\OPS\EMEA\BULGARIA\Sofia\CRT\UK\Exeter</t>
  </si>
  <si>
    <t>UNIGRPEMEA_Dist_998_Site_Leadership@sitel.com</t>
  </si>
  <si>
    <t>Daniel.Piper@sitel.com</t>
  </si>
  <si>
    <t>Medtronic NICE Quality Report</t>
  </si>
  <si>
    <t>\REGION\OPS\EMEA\BULGARIA\Sofia\CRT\UK\Kingston\Medtronic</t>
  </si>
  <si>
    <t>\\10.7.16.12\ssis\Data Sources\BO</t>
  </si>
  <si>
    <t>Maxim Employee Logins and Kronos</t>
  </si>
  <si>
    <t>\REGION\OPS\EMEA\BULGARIA\Sofia\CRT\UK\Maxim</t>
  </si>
  <si>
    <t>Alun.Doble@sitel.com</t>
  </si>
  <si>
    <t>Maxim Agent Absence and Attrition Weekly</t>
  </si>
  <si>
    <t>kevin.carlin@sitel.com</t>
  </si>
  <si>
    <t>03/11/22 Paused, the recepient stated he now has access to the Sitel health dashboard, and does not need this report anymote</t>
  </si>
  <si>
    <t>Maxim Absence Report Daily (Report &amp; Publication)</t>
  </si>
  <si>
    <t>DL-GB694VirginMediaOperationsLeadershipTeam@sitel.com;  DL-GB694VirginMediaTeamManagers@sitel.com</t>
  </si>
  <si>
    <t>silviya.petrova@sitel.comivan.donchev@sitel.com</t>
  </si>
  <si>
    <t>New Starters Absence and Attrition Coventry - Weekly (Report &amp; Publication)</t>
  </si>
  <si>
    <t>\REGION\OPS\EMEA\BULGARIA\Sofia\CRT\UK\Coventry\~Kronos Reports</t>
  </si>
  <si>
    <t xml:space="preserve">Hayley.Barlow@sitel.com; </t>
  </si>
  <si>
    <t>diana.dimitrova@sitel.com; silviya.todorova@sitel.com</t>
  </si>
  <si>
    <t>Disabled, 08/08/2022</t>
  </si>
  <si>
    <t>Manila FTE</t>
  </si>
  <si>
    <t>Manila</t>
  </si>
  <si>
    <t>Manila Inbound Customer Service - Answered calls Manilla (5300-5302)</t>
  </si>
  <si>
    <t>\REGION\OPS\EMEA\BULGARIA\Sofia\CRT\UK\Manila\John Lewis</t>
  </si>
  <si>
    <t>LifeScan NICE Quality Report</t>
  </si>
  <si>
    <t>\REGION\OPS\EMEA\BULGARIA\Sofia\CRT\CS JNJ</t>
  </si>
  <si>
    <t>Lifescan</t>
  </si>
  <si>
    <t>silviya.petrova@sitel.com; Lyulina.Gibinska@sitel.com</t>
  </si>
  <si>
    <t>Not used anymore, was for old .accdb</t>
  </si>
  <si>
    <t>Lifescan Boost FTE with Logins</t>
  </si>
  <si>
    <t>Kingston Summary Outbound</t>
  </si>
  <si>
    <t>\REGION\OPS\EMEA\BULGARIA\Sofia\CRT\UK\Kingston</t>
  </si>
  <si>
    <t>Disabled 16/01/2020</t>
  </si>
  <si>
    <t>Lifescan Agent Unmapped CMS Login Report</t>
  </si>
  <si>
    <t>\REGION\OPS\EMEA\BULGARIA\Sofia\CRT\CS LS</t>
  </si>
  <si>
    <t>boyan.simeonov@sitel.com; lyulina.gibinska@sitel.com</t>
  </si>
  <si>
    <t>Kingston Sickness Hours Weekly</t>
  </si>
  <si>
    <t>\REGION\OPS\EMEA\BULGARIA\Sofia\CRT\UK\Kingston\~Kronos Reports</t>
  </si>
  <si>
    <t>Payroll.Hub@sitel.com; Danielle.Watts@sitel.com</t>
  </si>
  <si>
    <t>Kingston Employee Logins and Kronos</t>
  </si>
  <si>
    <t>Kingston Employee History Report</t>
  </si>
  <si>
    <t>Kingston Daily Summary Skill Level</t>
  </si>
  <si>
    <t>Kingston Daily Performance Detailed Agent</t>
  </si>
  <si>
    <t>Kingston Customer Service - 1760-1766 - Answered calls</t>
  </si>
  <si>
    <t>Mailbox John Lewis Dandi &lt;johnlewisdandi@sitel.com&gt;</t>
  </si>
  <si>
    <t>Kingston Absence Report - Daily</t>
  </si>
  <si>
    <t>Paul Lane &lt;Paul.Lane@sitel.com&gt;; Andrew Greer &lt;Andrew.Greer@sitel.com&gt;; Audrey Alexandre &lt;Audrey.Alexandre@sitel.com&gt;; Frances Waddingham &lt;Frances.Waddingham@sitel.com&gt;; Marie Gustafsson &lt;Marie.Gustafsson@sitel.com&gt;; Benoit Deconinck &lt;benoit.deconinck@sitel.com&gt;</t>
  </si>
  <si>
    <t>Martin Shunanov &lt;Martin.Shunanov@sitel.com&gt;; Nikolay Apostolov &lt;nikolay.apostolov@sitel.com&gt;</t>
  </si>
  <si>
    <t>JOHN_LEWIS_TCD_RIGHT_NOW</t>
  </si>
  <si>
    <t>\REGION\OPS\EMEA\BULGARIA\Sofia\CRT\-GEN\CS John Lewis</t>
  </si>
  <si>
    <t>Kingston Sickness Hours MTD</t>
  </si>
  <si>
    <t>lydia.humphreys@sitel.com; Danielle.Watts@sitel.com</t>
  </si>
  <si>
    <t>Nikolay Apostolov &lt;nikolay.apostolov@sitel.com&gt;</t>
  </si>
  <si>
    <t>John Lewis Weekly Absence</t>
  </si>
  <si>
    <t>\REGION\OPS\EMEA\BULGARIA\Sofia\CRT\CS John Lewis</t>
  </si>
  <si>
    <t>Mark.Stockwell-Weeks@sitel.com; paul.haley@sitel.com</t>
  </si>
  <si>
    <t>John Lewis Orderline - Daily (Report &amp; Publication)</t>
  </si>
  <si>
    <t>\REGION\OPS\EMEA\BULGARIA\Sofia\CRT\UK\Maxim\John Lewis</t>
  </si>
  <si>
    <t>Jonathan.Mcnelis@sitel.com; Sandra.Hillan@sitel.com; Nicola.Wotherspoon@sitel.com; Wilson.Pow@sitel.com; Jonathan.White@sitel.com</t>
  </si>
  <si>
    <t>Stopped, mail from Jonathan 06/02/2021</t>
  </si>
  <si>
    <t>John Lewis VDN Flash (Report &amp; Publication)</t>
  </si>
  <si>
    <t>Rowan Marshall &lt;Rowan.Marshall@sitel.com&gt;; Kylie Goodridge &lt;Kylie.Goodridge@sitel.com&gt;; DL - GB998 John Lewis BackOffice Team Managers &lt;UNIGRPEMEA_Dist_998_John_Lewis_BackOffice_Team_Managers@sitel.com&gt;; DL - GB998 John Lewis FrontLine Team Managers &lt;UNIGRPEMEA_Dist_998_John_Lewis_Frontline_Team_Managers@sitel.com&gt;</t>
  </si>
  <si>
    <t>13/04 paused, there was no data in them for a while now</t>
  </si>
  <si>
    <t>John Lewis Maxim Agent Data</t>
  </si>
  <si>
    <t>\REGION\OPS\EMEA\BULGARIA\Sofia\CRT\Maxim\John Lewis</t>
  </si>
  <si>
    <t>\\GB694K12FPS01\Client$\John Lewis\Team Manager</t>
  </si>
  <si>
    <t>John Lewis IEX Shrinkage Weekly (Report &amp; Publication)</t>
  </si>
  <si>
    <t>Sarita Banyard &lt;Sarita.Banyard@sitel.com&gt;; Louise Allerdyce &lt;Louise.Allerdyce@sitel.com&gt;; Daniel Piper &lt;Daniel.Piper@sitel.com&gt;; Paul Haley &lt;paul.haley@sitel.com&gt;; Alistair Cook &lt;alistair.cook@sitel.com&gt;; Rowan Marshall &lt;rowan.marshall@sitel.com&gt;; Nathian Carnall &lt;nathian.carnall@sitel.com&gt;; Richard Crellin &lt;richard.crellin@sitel.com&gt;; Christopher Adams &lt;christopher.adams@sitel.com&gt;; Richard Goodchild &lt;richard.goodchild@sitel.com&gt;; Audrey Alexandre &lt;Audrey.Alexandre@sitel.com&gt;; Sharon Cox &lt;Sharon.Cox@sitel.com&gt;; Paul Faulkner &lt;Paul.Faulkner@sitel.com&gt;; Mailbox JLCS WFM Admin &lt;jlcswfmadmin@sitel.com&gt;</t>
  </si>
  <si>
    <t>Paused</t>
  </si>
  <si>
    <t>John Lewis IEX Shrinkage Daily (Report &amp; Publication)</t>
  </si>
  <si>
    <t>John Lewis Branch General - Daily (Report &amp; Publication)</t>
  </si>
  <si>
    <t>Nikolay Raykov &lt;Nikolay.Raykov@sitel.com&gt;</t>
  </si>
  <si>
    <t>John Lewis Maxim Absence Report Daily (Report &amp; Publication)</t>
  </si>
  <si>
    <t>Jonathan Mcnelis &lt;Jonathan.Mcnelis@sitel.com&gt;</t>
  </si>
  <si>
    <t>John Lewis Agent Released Calls - Weekly</t>
  </si>
  <si>
    <t>paul.haley@sitel.com, johnlewisdandi@sitel.com</t>
  </si>
  <si>
    <t>JLTS PC Issues – Final Figures</t>
  </si>
  <si>
    <t>Paul Haley &lt;paul.haley@sitel.com&gt;; Mailbox John Lewis Dandi &lt;johnlewisdandi@sitel.com&gt;; Philippa Raw &lt;Philippa.Raw@sitel.com&gt;; Mailbox John Lewis RTA Exeter &lt;MB_Exeter_JL_RTA@sitel.com&gt;</t>
  </si>
  <si>
    <t>Stopped, e-mail from Philippa Raw 17/11/2020; Started again, mail from Philippa 23/11/2020</t>
  </si>
  <si>
    <t>JLTS Break Adherence Daily</t>
  </si>
  <si>
    <t>DL - GB998 John Lewis Senior Team Managers &lt;DL-GB998JohnLewisSeniorTeamManagers@sitel.com&gt;; Rowan Marshall &lt;Rowan.Marshall@sitel.com&gt;; Mark Stockwell-Weeks &lt;Mark.Stockwell-Weeks@sitel.com&gt;; Philippa Raw &lt;Philippa.Raw@sitel.com&gt;</t>
  </si>
  <si>
    <t>JLTS Agent AUX - Weekly</t>
  </si>
  <si>
    <t>Philippa.Raw@sitel.com; gareth.wright@sitel.com</t>
  </si>
  <si>
    <t>seems not active</t>
  </si>
  <si>
    <t>JLTS Agent AUX - Current Day</t>
  </si>
  <si>
    <t>See [CLIENT] Agent AUX - Current Day</t>
  </si>
  <si>
    <t>JL Team List</t>
  </si>
  <si>
    <t>//10.92.25.11/administrative$/Reports/Shared/3. John Lewis/9. JL Team List</t>
  </si>
  <si>
    <t>Forecast</t>
  </si>
  <si>
    <t>Flybe Weekly Interval</t>
  </si>
  <si>
    <t>\REGION\OPS\EMEA\BULGARIA\Sofia\CRT\UK\Exeter\Flybe</t>
  </si>
  <si>
    <t>UNIGRPEMEA_Dist_998_Flybe_Operations_Managers@sitel.com</t>
  </si>
  <si>
    <t>Campaign Stopped 05/03</t>
  </si>
  <si>
    <t>Flybe Break Adherence Weekly</t>
  </si>
  <si>
    <t>Philippa.Raw@sitel.com</t>
  </si>
  <si>
    <t>Flybe Break Adherence Daily</t>
  </si>
  <si>
    <t>Flybe - VDN Force Busy Calls</t>
  </si>
  <si>
    <t>Exeter Reports &lt;GB998_Reports@sitel.com&gt;</t>
  </si>
  <si>
    <t>Exeter Unassigned/Unapproved Hours Daily (Report &amp; Publication)</t>
  </si>
  <si>
    <t>UNIGRPEMEA_Dist_998_Team_Managers@sitel.com; Bianca.Stratford@sitel.com; richard.goodchild@sitel.com; Emma.Baker@sitel.com; Matt.Cleveland@sitel.com; lydia.humphreys@sitel.com; Sarah.Novel@sitel.com; alistair.cook@sitel.com; Sam.goss@sitel.com</t>
  </si>
  <si>
    <t>JL Agent Telephony - daily</t>
  </si>
  <si>
    <t>Exeter Sickness Hours Weekly (Report &amp; Publication)</t>
  </si>
  <si>
    <t>Bianca.Stratford@sitel.com; lydia.humphreys@sitel.com; Sam.goss@sitel.com</t>
  </si>
  <si>
    <t>Exeter Sickness Hours MTD (Report &amp; Publication)</t>
  </si>
  <si>
    <t>Exeter Outbound Calls - Monthly</t>
  </si>
  <si>
    <t>daniel.abrehart-smith@sitel.com</t>
  </si>
  <si>
    <t>Exeter JL Outbound - Accounts 130-139</t>
  </si>
  <si>
    <t>Clive Barber &lt;Clive.Barber@sitel.com&gt;; Mailbox John Lewis Dandi &lt;johnlewisdandi@sitel.com&gt;</t>
  </si>
  <si>
    <t>Exeter Hours Per Agent Weekly (Report &amp; Publication)</t>
  </si>
  <si>
    <t>Exeter Customer Service - 1760-1766 - Answered calls</t>
  </si>
  <si>
    <t>Exeter Attrition - monthly (Report &amp; Publication)</t>
  </si>
  <si>
    <t>Exeter Attrition - Daily (Report &amp; Publication)</t>
  </si>
  <si>
    <t>Exeter Absence Report Weekly</t>
  </si>
  <si>
    <t>Exeter Absence Report Daily (Report &amp; Publication)</t>
  </si>
  <si>
    <t>UNIGRPEMEA_Dist_998_Team_Managers@sitel.com</t>
  </si>
  <si>
    <t>UNIGRPEMEA_Dist_998_Site_Leadership@sitel.com; Troy.Barnaschone@sitel.com; georgi.tsatsev@sitel.com; richard.goodchild@sitel.com; Bianca.Stratford@sitel.com; Sam.goss@sitel.com; martin.shunanov@sitel.com</t>
  </si>
  <si>
    <t>EXE JL Escalation &amp; Assist - Abandoned</t>
  </si>
  <si>
    <t>UNIGRPEMEA_Dist_998_John_Lewis_BackOffice_Team_Managers@sitel.com; UNIGRPEMEA_Dist_998_John_Lewis_Frontline_Team_Managers@sitel.com; DL-GB998JohnLewisTMTracks@sitel.com; Troy.Barnaschone@sitel.com; Philippa.Raw@sitel.com</t>
  </si>
  <si>
    <t>Epson Sofia Call Summary Report</t>
  </si>
  <si>
    <t>\REGION\OPS\EMEA\BULGARIA\Sofia\CRT\BG\Sofia</t>
  </si>
  <si>
    <t>Epson Login\Logout</t>
  </si>
  <si>
    <t>Epson CSAT Details_Internal</t>
  </si>
  <si>
    <t>Employees</t>
  </si>
  <si>
    <t>Denmark, All</t>
  </si>
  <si>
    <t>Employee Term Reason</t>
  </si>
  <si>
    <t>Emails CCM</t>
  </si>
  <si>
    <t>ELAVON - Coventry</t>
  </si>
  <si>
    <t>Disabled, 15/3/21- start sending the report from SQL</t>
  </si>
  <si>
    <t>Dialed Number Plymouth &amp; Manila - Daily</t>
  </si>
  <si>
    <t>JohnLewisDandI@sitel.com</t>
  </si>
  <si>
    <t>Coventry Unassigned/Unapproved Hours Daily (Report &amp; Publication)</t>
  </si>
  <si>
    <t>Coventry Sickness Hours Weekly (Publication &amp; Report)</t>
  </si>
  <si>
    <t>\REGION\OPS\EMEA\BULGARIA\Sofia\CRT\UK\Coventry</t>
  </si>
  <si>
    <t>Hayley.Barlow@sitel.com; Paul.Godfrey@sitel.com; Leon.Dorricott@sitel.com; tim.lee@sitel.com; mariehelene.sims@sitel.com; naomi.roche@sitel.com</t>
  </si>
  <si>
    <t>Coventry Sickness Hours MTD (Publication &amp; Report)</t>
  </si>
  <si>
    <t>Payroll.Hub@sitel.com</t>
  </si>
  <si>
    <t>Coventry Employee Logins and Kronos</t>
  </si>
  <si>
    <t>DnG</t>
  </si>
  <si>
    <t>Stopped as not needed 17/10/2019</t>
  </si>
  <si>
    <t>Coventry Employee History Report</t>
  </si>
  <si>
    <t>Coventry Absence Report Daily (Report &amp; Publication)</t>
  </si>
  <si>
    <t>DL - GB409 Site Leadership &lt;DL-GB409SiteLeadership@sitel.com&gt;; DL - GB409 Team Managers &lt;DL-GB409TeamManagers@sitel.com&gt;; Daniel Piper &lt;Daniel.Piper@sitel.com&gt;; Dawn Makins &lt;Dawn.Makins@sitel.com&gt;; Nuz Khan &lt;Nuzhat.Khan@sitel.com&gt;; Carl Meehan &lt;Carl.Meehan@sitel.com&gt;</t>
  </si>
  <si>
    <t>Campaign 2020 Exeter - Voyage Prive</t>
  </si>
  <si>
    <t>Janice Zea &lt;Janice.Zea@sitel.com&gt;</t>
  </si>
  <si>
    <t>Campaign 2020 Exeter - CAP-3358:Toshiba - Tech + CP Tech</t>
  </si>
  <si>
    <t>\REGION\OPS\EMEA\BULGARIA\Sofia\CRT\UK\Exeter\Toshiba</t>
  </si>
  <si>
    <t>EdCarlo.Paguinto@sitel.com; HonnylieRhiel.Perez@sitel.com</t>
  </si>
  <si>
    <t>Campaign 2020 Exeter - CAP-3356:John Lewis - Software Support</t>
  </si>
  <si>
    <t>Campaign 2020 Exeter - CAP-1807:John Lewis - Phase II Ramp</t>
  </si>
  <si>
    <t>Calls by PY</t>
  </si>
  <si>
    <t>Paul Haley &lt;paul.haley@sitel.com&gt;</t>
  </si>
  <si>
    <t>Call Fact Brother - Daily</t>
  </si>
  <si>
    <t>\REGION\OPS\EMEA\BULGARIA\Sofia\CRT\UK\Kingston\Brother</t>
  </si>
  <si>
    <t>brother-tm-kingston@sitel.com; Jovic.Staddom@sitel.com; benoit.deconinck@sitel.com</t>
  </si>
  <si>
    <t>Brother Weekly Interval Report</t>
  </si>
  <si>
    <t>Public Folders - &gt; REGION -&gt; OPS -&gt; EMEA -&gt; BULGARIA -&gt; Sofia -&gt; CRT -&gt; UK -&gt; Kingston</t>
  </si>
  <si>
    <t>Georgi.korfonozov@sitel.com ; Ivan.donchev@sitel.com</t>
  </si>
  <si>
    <t>Brother NICE Quality Report</t>
  </si>
  <si>
    <t>AnE Team AUX Time - Daily</t>
  </si>
  <si>
    <t>johnlewisdandi@sitel.com</t>
  </si>
  <si>
    <t>AnE Number Dialed - Daily</t>
  </si>
  <si>
    <t>Altitude ID</t>
  </si>
  <si>
    <t>Agent Telephony per TM Weekly - Heathrow (Publication &amp; Report)</t>
  </si>
  <si>
    <t>\REGION\OPS\EMEA\BULGARIA\Sofia\CRT\UK\Exeter\Heathrow</t>
  </si>
  <si>
    <t>Heathrow-SitelManagers@sitel.com</t>
  </si>
  <si>
    <t>Agent Telephony per TM Monthly - Heathrow (Publication &amp; Report)</t>
  </si>
  <si>
    <t>joanne.griffiths@sitel.com; matthew.haynes@sitel.com; wendy.denham2@sitel.com; Thomas.Slack@sitel.com; Michelle.Makin@sitel.com</t>
  </si>
  <si>
    <t>Agent Telephony per TM - Flybe (Publication &amp; Report)</t>
  </si>
  <si>
    <t>flybe.exebeg_management@sitel.com, Philippa.Raw@sitel.com</t>
  </si>
  <si>
    <t>Agent 2020 Manila - Inbound Customer Service (5300,5301,5302)</t>
  </si>
  <si>
    <t>\REGION\OPS\EMEA\BULGARIA\Sofia\CRT\UK\Manila\John Lewis\2020 Automatic Uploads</t>
  </si>
  <si>
    <t>Awaiting LOB and KPI confirmation</t>
  </si>
  <si>
    <t>Agent 2020 Exeter - Heathrow - AHT - Weekly E-mail</t>
  </si>
  <si>
    <t>Not Scheduled for distribution yet</t>
  </si>
  <si>
    <t>Never Released</t>
  </si>
  <si>
    <t>Agent 2020 Exeter - Heathrow - AHT - Automated</t>
  </si>
  <si>
    <t>\REGION\OPS\EMEA\BULGARIA\Sofia\CRT\UK\Exeter\Heathrow\2020 Automatic Uploads</t>
  </si>
  <si>
    <t>Agent 2020 Exeter - CAP-5202:Flybe - Customer Relations Phone</t>
  </si>
  <si>
    <t>\REGION\OPS\EMEA\BULGARIA\Sofia\CRT\UK\Exeter\Flybe\2020 Automatic Uploads</t>
  </si>
  <si>
    <t>Agent 2020 Exeter - CAP-3358:Toshiba - Tech + CP Tech</t>
  </si>
  <si>
    <t>\REGION\OPS\EMEA\BULGARIA\Sofia\CRT\UK\Exeter\Toshiba\2020 Automatic Uploads</t>
  </si>
  <si>
    <t>Agent 2020 Exeter - 1428;1429;1460;1464 - Tech (inc JL.com small appliances)</t>
  </si>
  <si>
    <t>\REGION\OPS\EMEA\BULGARIA\Sofia\CRT\UK\Exeter\John Lewis\2020 Automatic Uploads</t>
  </si>
  <si>
    <t>Absence Report Stratford - Daily (Report &amp; Publication)</t>
  </si>
  <si>
    <t>\REGION\OPS\EMEA\BULGARIA\Sofia\CRT\UK\Stratford\</t>
  </si>
  <si>
    <t>Alison Bates &lt;Alison.Bates@sitel.com&gt;; Sue Headington &lt;sue.headington@sitel.com&gt;; Amanda Peake &lt;Amanda.Peake@sitel.com&gt;; Morton Hart &lt;Morton.Hart@sitel.com&gt;; Kris George &lt;kris.george@sitel.com&gt;; Richard Chapman &lt;richard.chapman@sitel.com&gt;; Samantha Quigley &lt;samantha.quigley@sitel.com&gt;; Lauren Brotherton &lt;lauren.brotherton@sitel.com&gt;</t>
  </si>
  <si>
    <t>silviya.petrova@sitel.com; Georgi Tsatsev &lt;Georgi.Tsatsev@sitel.com&gt;; Ivan Donchev &lt;Ivan.Donchev@sitel.com&gt;</t>
  </si>
  <si>
    <t>Absence</t>
  </si>
  <si>
    <t>Abbott Lateness Report</t>
  </si>
  <si>
    <t>Abbott Kronos Lateness Report</t>
  </si>
  <si>
    <t>Abbott Adherence Report</t>
  </si>
  <si>
    <t>12 MM Daily Accruals 15042019</t>
  </si>
  <si>
    <t>11 Daily: VDN Combined</t>
  </si>
  <si>
    <t>10 MM Daily Altitude 15042019</t>
  </si>
  <si>
    <t>JLTS Flash Report (Report &amp; Publication)</t>
  </si>
  <si>
    <t>Mark Stockwell-Weeks &lt;Mark.Stockwell-Weeks@sitel.com&gt;; Kylie Goodridge &lt;Kylie.Goodridge@sitel.com&gt;; Andrew Warren &lt;andrew.warren@sitel.com&gt;; Rowan Marshall &lt;Rowan.Marshall@sitel.com&gt;; John Wheelhouse &lt;John.Wheelhouse@sitel.com&gt;; Zoe Pygott &lt;Zoe.Pygott@sitel.com&gt;; Jade Crotty &lt;Jade.Crotty@sitel.com&gt;; DL - GB998 John Lewis FrontLine Team Managers &lt;UNIGRPEMEA_Dist_998_John_Lewis_Frontline_Team_Managers@sitel.com&gt;; DL - GB998 John Lewis BackOffice Team Managers &lt;UNIGRPEMEA_Dist_998_John_Lewis_BackOffice_Team_Managers@sitel.com&gt;; Mailbox John Lewis RTA Exeter &lt;MB_Exeter_JL_RTA@sitel.com&gt;</t>
  </si>
  <si>
    <t>pause 05/22 ,  new version merged flash</t>
  </si>
  <si>
    <t>JLCS Flash Report (Report &amp; Publication)</t>
  </si>
  <si>
    <t>michaela.young@sitel.com,Sonya.Arcos@sitel.com,Mark.Stockwell-Weeks@sitel.com,DL-GB645JohnLewisCSTeamManagers@sitel.com,mb_plymouth_jl_rta@sitel.com</t>
  </si>
  <si>
    <t>SSE Meters - Daily (Report &amp; Publciation)</t>
  </si>
  <si>
    <t>Jonathan.Mcnelis@sitel.com</t>
  </si>
  <si>
    <t>SSE Budget - Daily (Report &amp; Publciation)</t>
  </si>
  <si>
    <t>Newcastle Absence Report Daily (Report &amp; Publication)</t>
  </si>
  <si>
    <t>\REGION\OPS\EMEA\BULGARIA\Sofia\CRT\UK\Newcastle</t>
  </si>
  <si>
    <t>Judith.Mottershead@sitel.com; Simon.Saunders@sitel.com; Daniel.Piper@sitel.com; Adam.Mottershead@sitel.com</t>
  </si>
  <si>
    <t>Swansea Absence Report Daily (Report &amp; Publication)</t>
  </si>
  <si>
    <t>\REGION\OPS\EMEA\BULGARIA\Sofia\CRT\UK\Swansea</t>
  </si>
  <si>
    <t>sharon.hammett@sitel.com;jon.matthewson@sitel.com;amy.gowing@sitel.com</t>
  </si>
  <si>
    <t>UK Unapproved/Unscheduled Hours - Daily (R &amp;P)</t>
  </si>
  <si>
    <t>\REGION\OPS\EMEA\BULGARIA\Sofia\CRT\UK\-Multi Site</t>
  </si>
  <si>
    <t>Different Publication for each site - check Schedule History</t>
  </si>
  <si>
    <t>UK Summary Unapproved/Unscheduled Hours - Daily (R &amp;P)</t>
  </si>
  <si>
    <t>Lisa Robinson &lt;lisa.robinson@sitel.com&gt;; Valentin Todorov &lt;valentin.todorov@sitel.com&gt;; Boryana Ganeva &lt;Boryana.Ganeva@sitel.com&gt;; Boryana Todorova &lt;Boryana.Todorova@sitel.com&gt;; Daniel Abrehart-Smith &lt;daniel.abrehart-smith@sitel.com&gt;; Bozhidara Zhupunova &lt;Bozhidara.Zhupunova@sitel.com&gt;; Benoit Deconinck &lt;benoit.deconinck@sitel.com&gt;; Nikolay Davidkov &lt;Nikolay.Davidkov@sitel.com&gt;; Liz Williams &lt;liz.williams@sitel.com&gt;; nigel.channon@sitel.com; Sarita Banyard &lt;Sarita.Banyard@sitel.com&gt;; Leon Dorricott &lt;Leon.Dorricott@sitel.com&gt;; Paul Godfrey &lt;Paul.Godfrey@sitel.com&gt;; Amanda Peake &lt;Amanda.Peake@sitel.com&gt;; Simon Saunders &lt;Simon.Saunders@sitel.com&gt;; UK Reporting &amp; Insight Team &lt;UKReporting&amp;InsightTeam@sitel.com&gt;; Site Directors - UK&amp;I &lt;sitel.directors-uki@sitel.com&gt;; Iveta Simeonova-Spasova &lt;Iveta.Simeonova-Spasova@sitel.com&gt;</t>
  </si>
  <si>
    <t>silviya.petrova@sitel.com; Nathian Carnall &lt;nathian.carnall@sitel.com&gt;; silviya.petrova@sitel.com; Operations Directors – UK&amp;I &lt;OperationsDirectors-UK&amp;I@sitel.com&gt;; Lydia Humphreys &lt;lydia.humphreys@sitel.com&gt;; Fozia Qayoom &lt;fozia.qayoom@sitel.com&gt;; Carrie Richardson &lt;Carrie.Richardson@sitel.com&gt;; UK HR TEAM &lt;UKHRTEAM@sitel.com&gt;</t>
  </si>
  <si>
    <t>Generic - Dialed Number - Daily</t>
  </si>
  <si>
    <t>Emil.Atanassov@sitel.com;Diana.Dimitrova@sitel.com;Silviya.Todorova@sitel.com</t>
  </si>
  <si>
    <t>SSE Backdating Report_Intervals</t>
  </si>
  <si>
    <t>jonathan.collins@sseenergyservices.com</t>
  </si>
  <si>
    <t>stephen.caffull@sitel.com;Emil.Atanassov@sitel.com;Diana.Dimitrova@sitel.com;resource.mi@sseenergyservices.com;Silviya.Todorova@sitel.com</t>
  </si>
  <si>
    <t>SSE Backdating Report_Intervals [Hourly Version]</t>
  </si>
  <si>
    <t>JLCS Agent AUX - Current Day</t>
  </si>
  <si>
    <t>mb_plymouth_jl_rta@sitel.com</t>
  </si>
  <si>
    <t>JLCS Break Adherence Daily</t>
  </si>
  <si>
    <t>michaela.young@sitel.com</t>
  </si>
  <si>
    <t>John Lewis Absence Report Daily (Report &amp; Publication)</t>
  </si>
  <si>
    <t>Andrea Tokmak &lt;Andrea.Tokmak@sitel.com&gt;; Mark Stockwell-Weeks &lt;Mark.Stockwell-Weeks@sitel.com&gt;; Kylie Goodridge &lt;Kylie.Goodridge@sitel.com&gt;; Andrew Warren &lt;andrew.warren@sitel.com&gt;; Rowan Marshall &lt;Rowan.Marshall@sitel.com&gt;; Michaela Young &lt;michaela.young@sitel.com&gt;; Natalie Lubienski &lt;Natalie.Lubienski@sitel.com&gt;; DL - GB998 John Lewis Senior Team Managers &lt;DL-GB998JohnLewisSeniorTeamManagers@sitel.com&gt;</t>
  </si>
  <si>
    <t>UK Absence Report Daily  (Report &amp; Publication)</t>
  </si>
  <si>
    <t>Virgin Media Absence Report - Daily (Report &amp; Publication)</t>
  </si>
  <si>
    <t>\REGION\OPS\EMEA\BULGARIA\Sofia\CRT\CS Virgin Media</t>
  </si>
  <si>
    <t>Kerry Howells &lt;Kerry.Howells@sitel.com&gt;; Daniel Piper &lt;Daniel.Piper@sitel.com&gt;</t>
  </si>
  <si>
    <t>SSE Interval Report - Daily</t>
  </si>
  <si>
    <t>\\10.7.16.12\ssis\Data Sources\CS SSE</t>
  </si>
  <si>
    <t>SSE GLA SSE HOCS - Daily (Report &amp; Publciation)</t>
  </si>
  <si>
    <t>stephen.caffull@sitel.com; Craig.Cooper@sitel.com; DL-GB694SSETeamManagers@sitel.com; Andrea.sampson@ovo.com; Hayley.gurr@ovo.com; tanya.robertson@ovo.com; rachael.lamont@ovo.com; lizzie.d.barnsley-parsons@ovo.com</t>
  </si>
  <si>
    <t>willem.niekerk@sseenergyservices.com; andrea.sampson@sseenergyservices.com; kristopher.mcmanus@sseenergyservices.com; Jonathan Mcnelis &lt;Jonathan.Mcnelis@sitel.com&gt;; Stephen Caffull &lt;stephen.caffull@sitel.com&gt;</t>
  </si>
  <si>
    <t>Waitrose Break Adherence - Daily</t>
  </si>
  <si>
    <t>Waitrose</t>
  </si>
  <si>
    <t>Sonya.Arcos@sitel.com</t>
  </si>
  <si>
    <t>PSA NICE Quality Coaching Packages Report</t>
  </si>
  <si>
    <t>Anniversaries Exeter and Plymouth - Daily</t>
  </si>
  <si>
    <t>Stephanie.Gibson@sitel.com</t>
  </si>
  <si>
    <t>Stephanie Gibson e-mail 30/01/2022</t>
  </si>
  <si>
    <t>JL Outbound Number Dialed - Daily</t>
  </si>
  <si>
    <t>\\10.7.16.12\ssis\Data Sources\CS JL</t>
  </si>
  <si>
    <t>SSE Split Interval Report - Daily</t>
  </si>
  <si>
    <t>Shark Ninja NICE Quality Report</t>
  </si>
  <si>
    <t>\REGION\OPS\EMEA\BULGARIA\Sofia\CRT\UK\Newcastle\Shark Ninja</t>
  </si>
  <si>
    <t>Louise Rowe &lt;louise.rowe@sitel.com&gt;; Lesley Bell &lt;Lesley.Bell@sitel.com&gt;</t>
  </si>
  <si>
    <t>Diana Dimitrova &lt;Diana.Dimitrova@sitel.com&gt;; Silviya Todorova &lt;Silviya.Todorova@sitel.com&gt;</t>
  </si>
  <si>
    <t>Waitrose Flash Report (Report &amp; Publication)</t>
  </si>
  <si>
    <t>SSE Agent AUX - Curernt Day</t>
  </si>
  <si>
    <t>\REGION\OPS\EMEA\BULGARIA\Sofia\CRT\CS SSE</t>
  </si>
  <si>
    <t>harry.alexander@sitel.com</t>
  </si>
  <si>
    <t>Shark Ninja Agent AUX - Curernt Day</t>
  </si>
  <si>
    <t>Waitrose Agent AUX - Curernt Day</t>
  </si>
  <si>
    <t>SSE Client Report Smart - Snapshot</t>
  </si>
  <si>
    <t xml:space="preserve"> \REGION\OPS\EMEA\BULGARIA\Sofia\CRT\UK\Newcastle</t>
  </si>
  <si>
    <t>Dialler.Manager@sseenergyservices.com</t>
  </si>
  <si>
    <t>sitelreporting@sseenergyservices.com; Silviya Todorova &lt;Silviya.Todorova@sitel.com&gt;;Martin Shunanov &lt;Martin.Shunanov@sitel.com&gt;</t>
  </si>
  <si>
    <t>Synergy_Agent_Data_Detailed_</t>
  </si>
  <si>
    <t>\\EU974K12FPS03\administrative$\Reporting\Shared\Productivity TnT\data</t>
  </si>
  <si>
    <t>SSE FTE List</t>
  </si>
  <si>
    <t>\\GB694K12FPS01\Client$\SSE-OVO\Team Manager\SSE General Enquiries\Reporting</t>
  </si>
  <si>
    <t>[CLIENT] Agent AUX - Current Day</t>
  </si>
  <si>
    <t>\REGION\OPS\EMEA\BULGARIA\Sofia\CRT\UK\~Multi Site</t>
  </si>
  <si>
    <t>Multiple, see report history</t>
  </si>
  <si>
    <t>Report with Multiple scheduled for different clients</t>
  </si>
  <si>
    <t>Multi Campaign Team List - Daily</t>
  </si>
  <si>
    <t>\\EU974K12FPS03\administrative$\CentralRTA\Data Dump</t>
  </si>
  <si>
    <t>SSE Absence Report - Daily</t>
  </si>
  <si>
    <t>Daniel Piper &lt;Daniel.Piper@sitel.com&gt;; Stephen Caffull &lt;stephen.caffull@sitel.com&gt;; Julie Bullock &lt;julie.bullock@sitel.com&gt;; DL - GB Enterprise SSE Ops Managers &lt;DL-GBEnterpriseSSEOpsManagers@sitel.com&gt;; DL - GB Enterprise OVO Ops Managers &lt;DL-GBEnterpriseOVOOpsManagers@sitel.com&gt;; SSE Workforce Team &lt;SSEWorkforceTeam@sitel.com&gt;; Mailbox SSE Reporting Team &lt;SSEReportingTeam@sitel.com&gt;; Ian Northmore &lt;Ian.Northmore@sitel.com&gt;; Troy Barnaschone &lt;Troy.Barnaschone@sitel.com&gt;; Jeffrey Bonilla &lt;Jeffrey.Bonilla@sitel.com&gt;; Kevin Garcia &lt;Kevin.Garcia5@sitel.com&gt;; Lopito Oliva Jr. &lt;Lopito.Oliva@sitel.com&gt;;Justin Barker &lt;Justin.Barker@sitel.com&gt;</t>
  </si>
  <si>
    <t>New Starters Absence and Attrition SSE - Weekly (Report &amp; Publication)</t>
  </si>
  <si>
    <t>Agent 2020 SSE - SITE274 - 506;507;512</t>
  </si>
  <si>
    <t>\REGION\OPS\EMEA\BULGARIA\Sofia\CRT\UK\Newcastle\SSE 2020 Automatic Uploads</t>
  </si>
  <si>
    <t>As of 19th of Aug 2022 report was paused</t>
  </si>
  <si>
    <t>Agent 2020 SSE - SITE409 - 506;507;512</t>
  </si>
  <si>
    <t>Agent 2020 SSE - SITE694 - 506;507;512</t>
  </si>
  <si>
    <t xml:space="preserve">AS Watson - laatste 7 dagen - </t>
  </si>
  <si>
    <t>\REGION\OPS\EMEA\BULGARIA\Sofia\CRT\NL\Scheduled</t>
  </si>
  <si>
    <t>Almelo</t>
  </si>
  <si>
    <t>C.Heijdenrijk@nl.aswatson.com; B.Verhoeff@nl.aswatson.com; Judith.Rouwenhorst@sitel.com; Erwin.Adams@sitel.com; ssabb003@ec.sitel.com</t>
  </si>
  <si>
    <t>Emil.Atanassov@sitel.com</t>
  </si>
  <si>
    <t>PSA Absence report daily (report and publication)</t>
  </si>
  <si>
    <t>DL - GB Enterprise PSA Ops Managers &lt;DL-GBEnterprisePSAOpsManagers@sitel.com&gt;; Julie Bullock &lt;julie.bullock@sitel.com&gt;; Martin Ferguson &lt;Martin.Ferguson@sitel.com&gt;</t>
  </si>
  <si>
    <t>Medtronic_OOH_Interval_Daily</t>
  </si>
  <si>
    <t>\\10.7.16.12\ssis\Data Sources\CS Medtronic</t>
  </si>
  <si>
    <t>yes</t>
  </si>
  <si>
    <t>SSE Backdating Transferred Calls - Daily</t>
  </si>
  <si>
    <t>ELAVON Abandoned Calls Report</t>
  </si>
  <si>
    <t>Hourly/Daily</t>
  </si>
  <si>
    <t>David Hitching &lt;David.Hitching@sitel.com&gt;; DL - GB409 Elavon Management Team &lt;DL-GB409.Elavon.ManagementTeam@sitel.com&gt;; francesco.iaquinta@sitel.com</t>
  </si>
  <si>
    <t>diana.dimitrova@sitel.com; Silviya.Todorova@sitel.com</t>
  </si>
  <si>
    <t>Shark Ninja Absence Report Daily</t>
  </si>
  <si>
    <t>\REGION\OPS\EMEA\BULGARIA\Sofia\CRT\CS Shark Ninja</t>
  </si>
  <si>
    <t>Daniel Piper &lt;Daniel.Piper@sitel.com&gt;; DL - GB Enterprise Shark Ninja Ops Managers &lt;DL-GBEnterpriseSharkNinjaOpsManagers@sitel.com&gt;</t>
  </si>
  <si>
    <t>diana.dimitrova@sitel.com</t>
  </si>
  <si>
    <t>Plymouth &amp; Sitel UK Virtual Limited Absence Report Daily (Report and publication)</t>
  </si>
  <si>
    <t>\REGION\OPS\EMEA\BULGARIA\Sofia\CRT\UK\Plymouth\</t>
  </si>
  <si>
    <t>DL-GB645TeamManagers@sitel.com; DL-GB645JohnLewisCSTeamManagers@sitel.com; daniel.abrehart-smith@sitel.com; DL-GB645SiteOperationsManagers@sitel.com; DL-GB645SiteLeadership@sitel.com; DL-GB645HumanResources@sitel.com; Daniel.Piper@sitel.com</t>
  </si>
  <si>
    <t>silviya.petrova@sitel.com; nikolay.lubenov@sitel.com</t>
  </si>
  <si>
    <t>John Lewis Unapproved/Unscheduled Hours - Daily</t>
  </si>
  <si>
    <t>\REGION\OPS\EMEA\BULGARIA\Sofia\CRT\CS John Lewis\</t>
  </si>
  <si>
    <t>UNIGRPEMEA_Dist_998_John_Lewis_Operations_Managers@sitel.com; DL-GB645JohnLewisCSOperationsManagers@sitel.com; Andrea.Tokmak@sitel.com; Mark.Stockwell-Weeks@sitel.com</t>
  </si>
  <si>
    <t>Sickness Hours UK - Weekly</t>
  </si>
  <si>
    <t>Sam.goss@sitel.com; lydia.humphreys@sitel.com; payroll.hub@sitel.com</t>
  </si>
  <si>
    <t>Hunter NICE Quality Report</t>
  </si>
  <si>
    <t>\REGION\OPS\EMEA\BULGARIA\Sofia\CRT\UK\Coventry\Hunter Boot</t>
  </si>
  <si>
    <t>David.Hitching@sitel.com</t>
  </si>
  <si>
    <t>JL_Waitrose_KRONOS</t>
  </si>
  <si>
    <t>ELAVON Inbound Outbound Calls Report</t>
  </si>
  <si>
    <t>Michael.O'Brien@elavon.com; Tarrin.Reynolds@sitel.com; Abbie.Cheyne@sitel.com; francesco.iaquinta@sitel.com</t>
  </si>
  <si>
    <t>As of October 15, 2022, the report has been disabled; Resumed on 01st of Nov 2022 till 02nd of Dec 2022; As of Dec 02, 2022, the report has been disabled;</t>
  </si>
  <si>
    <t>John Lewis and Waitrose Flash Report (Report &amp; Publication)</t>
  </si>
  <si>
    <t>John Lewis, Waitrose</t>
  </si>
  <si>
    <t>[CLIENT] Agent AUX - Previous Week</t>
  </si>
  <si>
    <t>silviya.petrova@sitel.com; nikolay.raykov@sitel.com</t>
  </si>
  <si>
    <t>Report only for SSE</t>
  </si>
  <si>
    <t>Agent Telephony per TM Daily - Heathrow (Publication &amp; Report)</t>
  </si>
  <si>
    <t>SSE Absence Report Daily (incl. Agent Data) - Daily</t>
  </si>
  <si>
    <t>Stephen Caffull &lt;stephen.caffull@sitel.com&gt;; Jeffrey Bonilla &lt;Jeffrey.Bonilla@sitel.com&gt;; Kevin Garcia &lt;Kevin.Garcia5@sitel.com&gt;; Ian Northmore &lt;Ian.Northmore@sitel.com&gt;</t>
  </si>
  <si>
    <t>SSE Split ID 517 Outbound Calls Report</t>
  </si>
  <si>
    <t>michelle.jones@ovo.com; tony.challenger@ovo.com; eric.tse@ovo.com; brian.smith@ovo.com</t>
  </si>
  <si>
    <t>Abbott EMEA Employees: 123487659</t>
  </si>
  <si>
    <t>\REGION\OPS\EMEA\BULGARIA\Sofia\CRT\Abbott</t>
  </si>
  <si>
    <t>olga.jaworska@sitel.com</t>
  </si>
  <si>
    <t>OJ</t>
  </si>
  <si>
    <t>ELAVON Inbound Outbound Calls Weekly Report</t>
  </si>
  <si>
    <t>Michael.Obrien2@elavon.com; Tarrin.Reynolds@sitel.com; Abbie.Cheyne@sitel.com; francesco.iaquinta@sitel.com</t>
  </si>
  <si>
    <t>Agent 2020 SSE - SITE635</t>
  </si>
  <si>
    <t>Elavon IB Calls MTD</t>
  </si>
  <si>
    <t>Tarrin.Reynolds@sitel.com; Abbie.Cheyne@sitel.com; francesco.iaquinta@sitel.com</t>
  </si>
  <si>
    <t>John Lewis Dakota Flash Report</t>
  </si>
  <si>
    <t>sonny.hughes@johnlewis.co.uk; hm_colin_nelson@johnlewis.co.uk; katie.rice@johnlewis.co.uk; peter.x.sullivan@johnlewis.co.uk; allison.lowe@johnlewis.co.uk, dave.mcfall@johnlewis.co.uk; scott.mcnellan@johnlewis.co.uk; Sonya.Arcos@sitel.com; John.Wheelhouse@sitel.com; waitrose.daily-report@sitel.com; Waitrose.Intraday-Report@sitel.com; Cara.Williams@sitel.com; Frank.Russell@sitel.com; dave.mcfall@johnlewis.co.uk; allison.lowe@johnlewis.co.uk; sonny.hughes@johnlewis.co.uk; colin.g.nelson@johnlewis.co.uk; richard.stanton@johnlewis.co.uk; dave.mcfall@johnlewis.co.uk; allison.lowe@johnlewis.co.uk; peter.x.sullivan@johnlewis.co.uk; sonny.hughes@johnlewis.co.uk; wendy.marshall@sitel.com; MB_Exeter_JL_RTA@sitel.com; DL-GB645JohnLewisCSTeamManagers@sitel.com; mb_plymouth_jl_rta@sitel.com; Mark.Stockwell-Weeks@sitel.com; nathian.carnall@sitel.com; dl-gb998.jl.exe-management@sitel.com; crt_uk@sitel.com; lynsey.fellows@johnlewis.co.uk; DL-GB645JohnLewisCSOperationsManagers@sitel.com; richard.stanton@johnlewis.co.uk; sanjeev.johal@sitel.com; Mandy.Holford@sitel.com; zm_cc_servicedelivery@johnlewis.co.uk; richard.stanton@johnlewis.co.uk; Paul.Reid@johnlewis.co.uk; z_Outsource_Remote_Customer_Service@johnlewis.co.uk; Emma.thomas@johnlewis.co.uk; martyn.hillman@johnlewis.co.uk; alison.forrest@johnlewis.co.uk; aileen_garrity@waitrose.co.uk; lori.macpherson@johnlewis.co.uk; paul.reid@johnlewis.co.uk; gillian.grant@johnlewis.co.uk; amanda.simmonds@johnlewis.co.uk; graeme.matheson@johnlewis.co.uk; lynsey.fellows@johnlewis.co.uk; tracey.crichton@johnlewis.co.uk; richard.stanton@johnlewis.co.uk</t>
  </si>
  <si>
    <t>Heathrow Flash Report</t>
  </si>
  <si>
    <t xml:space="preserve"> \REGION\OPS\EMEA\BULGARIA\Sofia\CRT\UK\Exeter\Heathrow</t>
  </si>
  <si>
    <t>nikolay.raykov@sitel.com</t>
  </si>
  <si>
    <t>SSE Absence Report Daily - Workforce Team</t>
  </si>
  <si>
    <t>SSEWorkforceTeam@sitel.com</t>
  </si>
  <si>
    <t>Brother Outbound Calls</t>
  </si>
  <si>
    <t>\ssis\1. SQL Import\SQL_Import_Static\SQL_Import_Static</t>
  </si>
  <si>
    <t>ELAVON Inbound Outbound Calls MTD Report</t>
  </si>
  <si>
    <t>03/11/22 Paused, Alan the recepient stated the report is not needed anymore</t>
  </si>
  <si>
    <t>PSA (Casablanca CAP-12029) NICE</t>
  </si>
  <si>
    <t>\REGION\OPS\EMEA\BULGARIA\Sofia\CRT\CS PSA\2020 Automated</t>
  </si>
  <si>
    <t>Casa</t>
  </si>
  <si>
    <t>2020 Automatic Upload</t>
  </si>
  <si>
    <t>PSA (Clermont-Ferrand CAP-11949) NICE</t>
  </si>
  <si>
    <t>Clermont</t>
  </si>
  <si>
    <t>PSA (Coventry CAP-12022) NICE</t>
  </si>
  <si>
    <t>PSA (Sao Paulo CAP-13025) NICE</t>
  </si>
  <si>
    <t>Sao Paulo</t>
  </si>
  <si>
    <t>John Lewis - Aftersales (Stratford, UK CAP-13075)</t>
  </si>
  <si>
    <t>\REGION\OPS\EMEA\BULGARIA\Sofia\CRT\UK\Stratford\John Lewis\2020 Automatic Uploads</t>
  </si>
  <si>
    <t>Agent 2020 Exeter - 1428,481 - COM - EXE JL Computer</t>
  </si>
  <si>
    <t>Agent 2020 Exeter - 1429 - ATV - EXE JL ATV</t>
  </si>
  <si>
    <t>Agent 2020 Exeter - 1460 - OTHER - EXE JL Other</t>
  </si>
  <si>
    <t>Agent 2020 Exeter - 1464 - LE - EXE JL LE</t>
  </si>
  <si>
    <t>Agent 2020 Exeter - 1469 EHT - Automated</t>
  </si>
  <si>
    <t>Agent 2020 Exeter - 316 - DIT</t>
  </si>
  <si>
    <t>Agent 2020 Exeter - 318;458- Home Solutions</t>
  </si>
  <si>
    <t>17/11 paused, no data since September 22</t>
  </si>
  <si>
    <t>Agent 2020 Exeter - 481 - Software Support</t>
  </si>
  <si>
    <t>Agent 2020 Exeter - Inbound Customer Service</t>
  </si>
  <si>
    <t>Agent 2020 Plymouth - Inbound Customer Service (CAP-8143)</t>
  </si>
  <si>
    <t>\REGION\OPS\EMEA\BULGARIA\Sofia\CRT\UK\Exeter\Plymouth\2020 Automatic Uploads</t>
  </si>
  <si>
    <t>Agent 2020 Maxim - Inbound Customer Service (CAP-12895)</t>
  </si>
  <si>
    <t>\REGION\OPS\EMEA\BULGARIA\Sofia\CRT\UK\Maxim\2020 Automatic Uploads</t>
  </si>
  <si>
    <t>Kingston Absence Report - Monthly</t>
  </si>
  <si>
    <t>PMarie Gustafsson &lt;Marie.Gustafsson@sitel.com&gt;</t>
  </si>
  <si>
    <t>Nikolay Apostolov &lt;nikolay.apostolov@sitel.com&gt;; nikolay.lubenov@sitel.com</t>
  </si>
  <si>
    <t>Agent 2020 Stratford - 4190004 - CAP-13075 John Lewis - Aftersales</t>
  </si>
  <si>
    <t>HK</t>
  </si>
  <si>
    <t>J&amp;J CSAT Dashboard</t>
  </si>
  <si>
    <t>\\BG279K12FPS01\Administrative$\Reporting\Data_Reporting\Private\1. Projects\8. Sofia\3. Working Instructions\Sofia Manuals</t>
  </si>
  <si>
    <t xml:space="preserve"> </t>
  </si>
  <si>
    <t>\\EU999K16FPSDE01\EU999_Johnson\JJ_Management_Shared_Berlin_Sofia\1. Dashboard 2021</t>
  </si>
  <si>
    <t>\\EU999K16FPSDE01\EU999_Johnson\JJ_Management_Shared_Berlin_Sofia\1. Dashboard 2021\CSAT surveys</t>
  </si>
  <si>
    <t>\\10.17.25.15\client$\Ring Central\Data_Ring Central\Private\Team Manager\Reporting</t>
  </si>
  <si>
    <t>RingCentral Call Arrival Pattern report</t>
  </si>
  <si>
    <t>RingCentral QA Dashboard</t>
  </si>
  <si>
    <t>Moneygram Billable Time</t>
  </si>
  <si>
    <t>\\10.17.25.15\client$\MoneyGram\Data_Moneygram\Private\Team Manager\Reporting\QA</t>
  </si>
  <si>
    <t>\\10.17.25.15\client$\MoneyGram\Data_Moneygram\Private\Team Manager\OPS\Business review\NEW MG Reporting</t>
  </si>
  <si>
    <t>\\10.17.25.15\client$\MoneyGram\Data_Moneygram\Private\Team Manager\Reporting\Team</t>
  </si>
  <si>
    <t>\\10.17.25.15\client$\MoneyGram\Data_Moneygram\Private\Team Manager\SKEP</t>
  </si>
  <si>
    <t>\\10.17.25.15\Administrative$\Reporting\Data_Reporting\Private\1. Projects\8. Sofia\4. Standard Reports\2020 Upload</t>
  </si>
  <si>
    <t>RingCentral iCoach Upload</t>
  </si>
  <si>
    <t>QBR report</t>
  </si>
  <si>
    <t>\\10.17.25.15\Client$\JnJ\Data_JnJ\Private\Team_Manager\QBR</t>
  </si>
  <si>
    <t>Quarterly Presence Forms report</t>
  </si>
  <si>
    <t>\\10.17.25.15\Administrative$\Payroll\Data_Payroll\Payroll_Shared\MoneyGram\Presence Form</t>
  </si>
  <si>
    <t>HMD Connect Dashboard</t>
  </si>
  <si>
    <t>HMD Connect Agent Productivity</t>
  </si>
  <si>
    <t>HMD Connect BR Charts</t>
  </si>
  <si>
    <t>HMD Interaction level pilot report</t>
  </si>
  <si>
    <t>HMD Logging Accuracy RCA report</t>
  </si>
  <si>
    <t xml:space="preserve">  </t>
  </si>
  <si>
    <t>\\BG279K12FPS01\Client$\HMD\Data_HMD\Private\Team Manager\Reports\Reporting Templates\New Merging template</t>
  </si>
  <si>
    <t>\\BG279K12FPS01\Client$\HMD\Data_HMD\Private\Team Manager\Reports\Reporting Templates\New Merging template\Global_Dashboards_Sofia_and_Bogota</t>
  </si>
  <si>
    <t>\\eu974k16mft01\Teleservices</t>
  </si>
  <si>
    <t>\\BG279K12FPS01\Client$\HMD\Data_HMD\Private\Team Manager\Reports\Reporting Templates\New Merging template\Bonuses</t>
  </si>
  <si>
    <t>TM bonuses</t>
  </si>
  <si>
    <t>\\BG279K12FPS01\Administrative$\Reporting\Data_Reporting\Private\1. Projects\8. Sofia\4. Standard Reports\HMD Bonuses</t>
  </si>
  <si>
    <t>send by email; saved only in our folders</t>
  </si>
  <si>
    <t>HMD Connect QM Logger</t>
  </si>
  <si>
    <t>includes QM Logger, QM Sample Size file, QM Reporting</t>
  </si>
  <si>
    <t>includes QM Logger, QM Reporting</t>
  </si>
  <si>
    <t>includes QM Logger only</t>
  </si>
  <si>
    <t>JJ QM Logger Sofia</t>
  </si>
  <si>
    <t>JJ QM Logger Berlin</t>
  </si>
  <si>
    <t>JJ QM Logger Athens</t>
  </si>
  <si>
    <t>DSAT RCA Analysis work file</t>
  </si>
  <si>
    <t>HMD Email CSAT RCA</t>
  </si>
  <si>
    <t>includes QM Logger, QM Sample Size file</t>
  </si>
  <si>
    <t>includes only RCA tool</t>
  </si>
  <si>
    <t>includes RCA tool and report</t>
  </si>
  <si>
    <t>RC Billing and Collections QM Logger</t>
  </si>
  <si>
    <t>ZF QM Logger</t>
  </si>
  <si>
    <t>ZF</t>
  </si>
  <si>
    <t>Epson QM Logger</t>
  </si>
  <si>
    <t>Epson RCA tool</t>
  </si>
  <si>
    <t>MD Lateness Allocation Tool</t>
  </si>
  <si>
    <t>KM Lateness Allocation Tool</t>
  </si>
  <si>
    <t>Leads for MBR</t>
  </si>
  <si>
    <t>Direct Connection to Salesforce in the MBR Power BI</t>
  </si>
  <si>
    <t>Taking a skrennshot from Salesforce Report created by Lora Angelova</t>
  </si>
  <si>
    <t>EMEA Order report</t>
  </si>
  <si>
    <t>FR 034 OTR Campaign Report</t>
  </si>
  <si>
    <t>BE 21 OTR Campaign Report</t>
  </si>
  <si>
    <t>DE098 Two weeks after update</t>
  </si>
  <si>
    <t>FR033 Two weeks after update</t>
  </si>
  <si>
    <t>COMs with Escalations Report</t>
  </si>
  <si>
    <t>\\10.17.25.15\Administrative$\Reporting\Data_Reporting\Private\1. Projects\50. LifeScan\3. Standard reports\44. EMEA Orders</t>
  </si>
  <si>
    <t>\\10.17.25.15\Administrative$\Reporting\Data_Reporting\Private\1. Projects\50. LifeScan\3. Standard reports\24. Campaign Setup\FR-FR034</t>
  </si>
  <si>
    <t>\\10.17.25.15\Administrative$\Reporting\Data_Reporting\Private\1. Projects\50. LifeScan\3. Standard reports\24. Campaign Setup\BE-BE021</t>
  </si>
  <si>
    <t>\\10.17.25.15\Administrative$\Reporting\Data_Reporting\Private\1. Projects\50. LifeScan\3. Standard reports\36. DE Campaign Reports\DE-DE098</t>
  </si>
  <si>
    <t>\\10.17.25.15\Administrative$\Reporting\Data_Reporting\Private\1. Projects\50. LifeScan\3. Standard reports\24. Campaign Setup\FR-FR033</t>
  </si>
  <si>
    <t>\\10.17.25.15\Administrative$\Reporting\Data_Reporting\Private\1. Projects\50. LifeScan\3. Standard reports\51. COMs with Escalations</t>
  </si>
  <si>
    <t>\\10.17.25.15\Administrative$\Reporting\Data_Reporting\Private\1. Projects\50. LifeScan\3. Standard reports\31. HCP vs Customer</t>
  </si>
  <si>
    <t>\\10.17.25.15\Administrative$\Reporting\Data_Reporting\Private\1. Projects\50. LifeScan\3. Standard reports\36. DE Campaign Reports\DE-DE091 New Report</t>
  </si>
  <si>
    <t>\\10.17.25.15\Administrative$\Reporting\Data_Reporting\Private\1. Projects\50. LifeScan\3. Standard reports\34. Back Office Dashboard\New Dashboard Version</t>
  </si>
  <si>
    <t>Account cases - all countries MBR</t>
  </si>
  <si>
    <t>\\10.17.25.15\Administrative$\Reporting\Data_Reporting\Private\1. Projects\50. LifeScan\3. Standard reports\6. MBR</t>
  </si>
  <si>
    <t>\\10.17.25.15\Administrative$\Reporting\Data_Reporting\Private\1. Projects\50. LifeScan\3. Standard reports\27. Alessandra report</t>
  </si>
  <si>
    <t>\\10.17.25.15\Administrative$\Reporting\Data_Reporting\Private\1. Projects\50. LifeScan\3. Standard reports\35. Quality Dashboard</t>
  </si>
  <si>
    <t>\\10.17.25.15\Administrative$\Reporting\Data_Reporting\Private\1. Projects\50. LifeScan\3. Standard reports\19. Send Campaign Calendar</t>
  </si>
  <si>
    <t>https://app.powerbi.com/links/5ZOoPJ65US?ctid=7f16c8b3-f0ef-45a1-aa81-9d5c90cb8ba5&amp;pbi_source=linkShare</t>
  </si>
  <si>
    <t>https://app.powerbi.com/links/WIm0Mn9dZ5?ctid=7f16c8b3-f0ef-45a1-aa81-9d5c90cb8ba5&amp;pbi_source=linkShare</t>
  </si>
  <si>
    <t>\\BG279K12FPS01\Administrative$\Reporting\Data_Reporting\Private\1. Projects\8. Sofia\3. Working Instructions\Sofia Manuals\Wyndham Dashboard.one</t>
  </si>
  <si>
    <t>\\10.17.25.15\client$\Wyndham\Data_Wyndham\Private\Team_Manager\CORE REPORT</t>
  </si>
  <si>
    <t>\\BG279K12FPS01\Administrative$\Reporting\Data_Reporting\Private\1. Projects\9. Varna\3. Working Instructions\Varna Manuals\Mobilcom and Klarmobil Manual.one</t>
  </si>
  <si>
    <t>\\10.19.2.20\Client$\Mobilcom\Data_Mobilcom\Private\Learning Specialist\Daily Performance</t>
  </si>
  <si>
    <t>\\BG279K12FPS01\Administrative$\Reporting\Data_Reporting\Private\1. Projects\8. Sofia\4. Standard Reports\Wyndham Invoice</t>
  </si>
  <si>
    <t>\\BG279K12FPS01\Administrative$\Reporting\Data_Reporting\Private\1. Projects\8. Sofia\4. Standard Reports\2020 Upload</t>
  </si>
  <si>
    <t>\\BG279K12FPS01\Administrative$\Reporting\Data_Reporting\Private\1. Projects\9. Varna\4. Standard Reports\2020 Upload</t>
  </si>
  <si>
    <t>Video</t>
  </si>
  <si>
    <t>\\10.19.2.20\Client$\Mobilcom\Data_Mobilcom\Private\Learning Specialist\Daily Performance\Monthly_Bonus_Files_KM</t>
  </si>
  <si>
    <t>\\10.19.2.20\Client$\Mobilcom\Data_Mobilcom\Private\Learning Specialist\Daily Performance\Monthly_Bonus_Files_MD</t>
  </si>
  <si>
    <t>\\BG279K12FPS01\Administrative$\Reporting\Data_Reporting\Private\1. Projects\9. Varna\3. Working Instructions\Varna Manuals\Ebay Manual.one</t>
  </si>
  <si>
    <t>\\10.19.2.20\Client$\Ebay\Data_Ebay\Private\Learning Specialist\01. Reporting</t>
  </si>
  <si>
    <t>WI is not fully updated</t>
  </si>
  <si>
    <t>\\BG279K12FPS01\Administrative$\Reporting\Data_Reporting\Private\1. Projects\8. Sofia\3. Working Instructions\Sofia Manuals\Secret Escapes Dashboard.one</t>
  </si>
  <si>
    <t>\\10.17.25.15\Client$\Secret Escapes\Data_Secret Escapes\Private\Team Manager\Reporting and metrics</t>
  </si>
  <si>
    <t>\\BG279K12FPS01\Administrative$\Reporting\Data_Reporting\Private\1. Projects\8. Sofia\3. Working Instructions\Sofia Manuals\Epson Dashboard.one</t>
  </si>
  <si>
    <t>\\10.17.25.15\client$\Epson\Data_Epson\Private\Team Manager\reports</t>
  </si>
  <si>
    <t>PG</t>
  </si>
  <si>
    <t>PGMBM Dashboard</t>
  </si>
  <si>
    <t>Dayly</t>
  </si>
  <si>
    <t>\\BG279K12FPS01\Administrative$\Reporting\Data_Reporting\Private\1. Projects\9. Varna\3. Working Instructions\Varna Manuals\PG.one</t>
  </si>
  <si>
    <t>https://app.powerbi.com/groups/me/apps/fcda6803-769f-49b0-876c-d48970302eee/reports/205c638f-b990-474e-a136-1043307b4d46/ReportSection1509ab1fa1b6034ab6db</t>
  </si>
  <si>
    <t>ZF Dashboard</t>
  </si>
  <si>
    <t>ZF BR Charts</t>
  </si>
  <si>
    <t>ZF Agent Dashboard</t>
  </si>
  <si>
    <t>Call Details Investigation File</t>
  </si>
  <si>
    <t>\\BG279K12FPS01\Administrative$\Reporting\Data_Reporting\Private\1. Projects\8. Sofia\3. Working Instructions\Sofia Manuals\ZF.one</t>
  </si>
  <si>
    <t>\\10.17.25.15\client$\ZF Friedrichshafen\Data_ZF_Friedrichshafen\Private\Team Manager\Reporting\Dashboard</t>
  </si>
  <si>
    <t>Altitude emails</t>
  </si>
  <si>
    <t>Sonderborg</t>
  </si>
  <si>
    <t>Outbound Calls</t>
  </si>
  <si>
    <t>INSERTION-3</t>
  </si>
  <si>
    <t>Short Calls (Calls by Talk Time)</t>
  </si>
  <si>
    <t>Survey Data</t>
  </si>
  <si>
    <t>CTPs with count of child cases and activities</t>
  </si>
  <si>
    <t>Daily Country Scorecard</t>
  </si>
  <si>
    <t>Weekly Agent Scorecard</t>
  </si>
  <si>
    <t>Planned vs Invoiced</t>
  </si>
  <si>
    <t>MyFoodie</t>
  </si>
  <si>
    <t xml:space="preserve">ADC Intraday Weekly </t>
  </si>
  <si>
    <t>Nordics Dashboard (Daily x 2)</t>
  </si>
  <si>
    <t>CMSR Nordics</t>
  </si>
  <si>
    <t>Friday Weekly Report (weekly x 2)</t>
  </si>
  <si>
    <t>Daily Attendance</t>
  </si>
  <si>
    <t>Finland Scorecard</t>
  </si>
  <si>
    <t>&gt;LINK&lt;</t>
  </si>
  <si>
    <t>\\DK266k12FPSVR01\BOReports$\Sonderborg</t>
  </si>
  <si>
    <t>\\DK266k12FPSVR01\BOReports$\Attrition</t>
  </si>
  <si>
    <t>\\DK266k12FPSVR01\CPHADCRPT$\OPS</t>
  </si>
  <si>
    <t>email</t>
  </si>
  <si>
    <t>\\DK266k12FPSVR01\BOReports$\Lateness</t>
  </si>
  <si>
    <t>\\DK266k12FPSVR01\CPHADCRPT$\OPS\BTS</t>
  </si>
  <si>
    <t>\\DK266k12FPSVR01\CPHADCRPT$\OPS\ADC Weekly Intraday</t>
  </si>
  <si>
    <t>iCoach Data - Porto</t>
  </si>
  <si>
    <t>Monthly CMSR in iCoach</t>
  </si>
  <si>
    <t>QBR Slides</t>
  </si>
  <si>
    <t>MBR Slides</t>
  </si>
  <si>
    <t>OneTouch Backoffice Dashboard / Cases by Agents</t>
  </si>
  <si>
    <t>Financial Dashboard</t>
  </si>
  <si>
    <t>Daily Performance Dashboards - EMEA / Canada</t>
  </si>
  <si>
    <t>Agent Performance EMEA / Canada</t>
  </si>
  <si>
    <t>Belgrade &amp; Berlin</t>
  </si>
  <si>
    <t>TUI</t>
  </si>
  <si>
    <t>TUI.de</t>
  </si>
  <si>
    <t>TUI Musement</t>
  </si>
  <si>
    <t>TUI.de Daily &amp; MTD Agent Productivity</t>
  </si>
  <si>
    <t>TUI Musement MTD</t>
  </si>
  <si>
    <t>TUI Weekly Performance</t>
  </si>
  <si>
    <t>TUI Invoice</t>
  </si>
  <si>
    <t>Dejan Kovjenic</t>
  </si>
  <si>
    <t>OOH</t>
  </si>
  <si>
    <t>Medtronic OOH - EE &amp; Nordics</t>
  </si>
  <si>
    <t>Kronos</t>
  </si>
  <si>
    <t>Morocco</t>
  </si>
  <si>
    <t>Kronos DMT</t>
  </si>
  <si>
    <t>Kronos Hours Morocco</t>
  </si>
  <si>
    <t>File refresh and upload into icoach</t>
  </si>
  <si>
    <t>Sunset since end of 2022</t>
  </si>
  <si>
    <t>Pending migration till end of March 2023</t>
  </si>
  <si>
    <t>Sunset since Q4 2022</t>
  </si>
  <si>
    <t>Active2</t>
  </si>
  <si>
    <t>Reviewed by</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</si>
</sst>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1"/>
      <color theme="1"/>
      <name val="Calibri"/>
      <family val="2"/>
      <scheme val="minor"/>
    </font>
    <font>
      <sz val="11"/>
      <color rgb="FF000000"/>
      <name val="Calibri"/>
      <family val="2"/>
      <scheme val="minor"/>
    </font>
    <font>
      <b/>
      <sz val="20"/>
      <color theme="1"/>
      <name val="Calibri"/>
      <family val="2"/>
      <scheme val="minor"/>
    </font>
    <font>
      <sz val="10"/>
      <color indexed="8"/>
      <name val="Arial"/>
      <family val="2"/>
    </font>
    <font>
      <b/>
      <sz val="11"/>
      <color theme="1"/>
      <name val="Calibri"/>
      <family val="2"/>
      <scheme val="minor"/>
    </font>
    <font>
      <sz val="11"/>
      <color rgb="FFFF0000"/>
      <name val="Calibri"/>
      <family val="2"/>
      <scheme val="minor"/>
    </font>
    <font>
      <sz val="9"/>
      <color indexed="81"/>
      <name val="Tahoma"/>
      <family val="2"/>
    </font>
    <font>
      <b/>
      <sz val="9"/>
      <color indexed="81"/>
      <name val="Tahoma"/>
      <family val="2"/>
    </font>
    <font>
      <u/>
      <sz val="11"/>
      <color theme="10"/>
      <name val="Calibri"/>
      <family val="2"/>
      <scheme val="minor"/>
    </font>
    <font>
      <sz val="11"/>
      <name val="Calibri"/>
      <family val="2"/>
      <charset val="204"/>
      <scheme val="minor"/>
    </font>
    <font>
      <sz val="11"/>
      <name val="Calibri"/>
      <family val="2"/>
      <scheme val="minor"/>
    </font>
    <font>
      <u/>
      <sz val="11"/>
      <name val="Calibri"/>
      <family val="2"/>
      <charset val="204"/>
      <scheme val="minor"/>
    </font>
    <font>
      <u/>
      <sz val="11"/>
      <name val="Calibri"/>
      <family val="2"/>
      <scheme val="minor"/>
    </font>
    <font>
      <sz val="11"/>
      <color rgb="FF000000"/>
      <name val="Calibri"/>
      <family val="2"/>
      <scheme val="minor"/>
    </font>
    <font>
      <sz val="11"/>
      <color theme="0"/>
      <name val="Calibri"/>
      <family val="2"/>
      <scheme val="minor"/>
    </font>
    <font>
      <sz val="11"/>
      <name val="Calibri"/>
      <scheme val="minor"/>
    </font>
  </fonts>
  <fills count="17">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rgb="FFD0CECE"/>
        <bgColor indexed="64"/>
      </patternFill>
    </fill>
    <fill>
      <patternFill patternType="solid">
        <fgColor theme="4" tint="0.59999389629810485"/>
        <bgColor indexed="64"/>
      </patternFill>
    </fill>
    <fill>
      <patternFill patternType="solid">
        <fgColor theme="8" tint="0.79998168889431442"/>
        <bgColor theme="8" tint="0.79998168889431442"/>
      </patternFill>
    </fill>
    <fill>
      <patternFill patternType="solid">
        <fgColor rgb="FFFFC0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rgb="FFFF99FF"/>
        <bgColor indexed="64"/>
      </patternFill>
    </fill>
    <fill>
      <patternFill patternType="solid">
        <fgColor theme="0" tint="-0.34998626667073579"/>
        <bgColor indexed="64"/>
      </patternFill>
    </fill>
    <fill>
      <patternFill patternType="solid">
        <fgColor theme="2"/>
        <bgColor indexed="64"/>
      </patternFill>
    </fill>
    <fill>
      <patternFill patternType="solid">
        <fgColor theme="4" tint="0.79998168889431442"/>
        <bgColor theme="4" tint="0.79998168889431442"/>
      </patternFill>
    </fill>
    <fill>
      <patternFill patternType="solid">
        <fgColor rgb="FFFFFF00"/>
        <bgColor theme="4" tint="0.79998168889431442"/>
      </patternFill>
    </fill>
  </fills>
  <borders count="22">
    <border>
      <left/>
      <right/>
      <top/>
      <bottom/>
      <diagonal/>
    </border>
    <border>
      <left style="thin">
        <color theme="8" tint="0.39997558519241921"/>
      </left>
      <right/>
      <top style="thin">
        <color theme="8" tint="0.39997558519241921"/>
      </top>
      <bottom/>
      <diagonal/>
    </border>
    <border>
      <left style="medium">
        <color rgb="FF8EA9DB"/>
      </left>
      <right/>
      <top style="medium">
        <color rgb="FF8EA9DB"/>
      </top>
      <bottom/>
      <diagonal/>
    </border>
    <border>
      <left style="medium">
        <color rgb="FF8EA9DB"/>
      </left>
      <right/>
      <top style="medium">
        <color rgb="FF8EA9DB"/>
      </top>
      <bottom style="medium">
        <color rgb="FF8EA9DB"/>
      </bottom>
      <diagonal/>
    </border>
    <border>
      <left style="thin">
        <color theme="8" tint="0.39997558519241921"/>
      </left>
      <right/>
      <top/>
      <bottom/>
      <diagonal/>
    </border>
    <border>
      <left style="medium">
        <color rgb="FF8EA9DB"/>
      </left>
      <right/>
      <top/>
      <bottom/>
      <diagonal/>
    </border>
    <border>
      <left/>
      <right/>
      <top style="medium">
        <color rgb="FF8EA9DB"/>
      </top>
      <bottom/>
      <diagonal/>
    </border>
    <border>
      <left style="thin">
        <color theme="8"/>
      </left>
      <right style="thin">
        <color theme="8"/>
      </right>
      <top style="thin">
        <color theme="8"/>
      </top>
      <bottom style="thin">
        <color theme="8"/>
      </bottom>
      <diagonal/>
    </border>
    <border>
      <left style="thin">
        <color theme="8"/>
      </left>
      <right style="thin">
        <color theme="8"/>
      </right>
      <top style="medium">
        <color rgb="FF8EA9DB"/>
      </top>
      <bottom style="thin">
        <color theme="8"/>
      </bottom>
      <diagonal/>
    </border>
    <border>
      <left/>
      <right/>
      <top style="thin">
        <color theme="8" tint="0.39997558519241921"/>
      </top>
      <bottom/>
      <diagonal/>
    </border>
    <border>
      <left/>
      <right style="thin">
        <color theme="8"/>
      </right>
      <top style="thin">
        <color theme="8"/>
      </top>
      <bottom style="thin">
        <color theme="8"/>
      </bottom>
      <diagonal/>
    </border>
    <border>
      <left style="thin">
        <color theme="8"/>
      </left>
      <right/>
      <top style="thin">
        <color theme="8"/>
      </top>
      <bottom style="thin">
        <color theme="8"/>
      </bottom>
      <diagonal/>
    </border>
    <border>
      <left/>
      <right style="thin">
        <color theme="8"/>
      </right>
      <top/>
      <bottom style="medium">
        <color theme="8"/>
      </bottom>
      <diagonal/>
    </border>
    <border>
      <left style="thin">
        <color theme="8"/>
      </left>
      <right style="thin">
        <color theme="8"/>
      </right>
      <top/>
      <bottom style="medium">
        <color theme="8"/>
      </bottom>
      <diagonal/>
    </border>
    <border>
      <left style="thin">
        <color theme="8"/>
      </left>
      <right/>
      <top/>
      <bottom style="medium">
        <color theme="8"/>
      </bottom>
      <diagonal/>
    </border>
    <border>
      <left/>
      <right style="thin">
        <color theme="8"/>
      </right>
      <top style="thin">
        <color theme="8"/>
      </top>
      <bottom/>
      <diagonal/>
    </border>
    <border>
      <left style="thin">
        <color theme="8"/>
      </left>
      <right style="thin">
        <color theme="8"/>
      </right>
      <top style="thin">
        <color theme="8"/>
      </top>
      <bottom/>
      <diagonal/>
    </border>
    <border>
      <left style="thin">
        <color theme="8"/>
      </left>
      <right/>
      <top style="thin">
        <color theme="8"/>
      </top>
      <bottom/>
      <diagonal/>
    </border>
    <border>
      <left style="thin">
        <color theme="4"/>
      </left>
      <right style="thin">
        <color theme="4"/>
      </right>
      <top style="thin">
        <color theme="4"/>
      </top>
      <bottom style="thin">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theme="4"/>
      </left>
      <right style="thin">
        <color theme="4"/>
      </right>
      <top style="thin">
        <color theme="4"/>
      </top>
      <bottom/>
      <diagonal/>
    </border>
  </borders>
  <cellStyleXfs count="3">
    <xf numFmtId="0" fontId="0" fillId="0" borderId="0"/>
    <xf numFmtId="0" fontId="3" fillId="0" borderId="0">
      <alignment vertical="top"/>
    </xf>
    <xf numFmtId="0" fontId="8" fillId="0" borderId="0" applyNumberFormat="0" applyFill="0" applyBorder="0" applyAlignment="0" applyProtection="0"/>
  </cellStyleXfs>
  <cellXfs count="165">
    <xf numFmtId="0" fontId="0" fillId="0" borderId="0" xfId="0"/>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left" vertical="center" wrapText="1"/>
    </xf>
    <xf numFmtId="0" fontId="4" fillId="8" borderId="1" xfId="0" applyFont="1" applyFill="1" applyBorder="1" applyAlignment="1">
      <alignment horizontal="center" vertical="center"/>
    </xf>
    <xf numFmtId="0" fontId="1" fillId="6" borderId="2" xfId="0" applyFont="1" applyFill="1" applyBorder="1" applyAlignment="1">
      <alignment horizontal="center" vertical="center"/>
    </xf>
    <xf numFmtId="0" fontId="1" fillId="2" borderId="2" xfId="0" applyFont="1" applyFill="1" applyBorder="1" applyAlignment="1">
      <alignment horizontal="center" vertical="center"/>
    </xf>
    <xf numFmtId="0" fontId="1" fillId="3" borderId="2" xfId="0" applyFont="1" applyFill="1" applyBorder="1" applyAlignment="1">
      <alignment horizontal="center" vertical="center"/>
    </xf>
    <xf numFmtId="0" fontId="1" fillId="4" borderId="2" xfId="0" applyFont="1" applyFill="1" applyBorder="1" applyAlignment="1">
      <alignment horizontal="center" vertical="center"/>
    </xf>
    <xf numFmtId="0" fontId="1" fillId="5" borderId="3" xfId="0" applyFont="1" applyFill="1" applyBorder="1" applyAlignment="1">
      <alignment horizontal="center" vertical="center"/>
    </xf>
    <xf numFmtId="0" fontId="0" fillId="0" borderId="0" xfId="0" applyAlignment="1">
      <alignment horizontal="left"/>
    </xf>
    <xf numFmtId="0" fontId="1" fillId="3" borderId="0" xfId="0" applyFont="1" applyFill="1" applyBorder="1" applyAlignment="1">
      <alignment horizontal="left" vertical="center"/>
    </xf>
    <xf numFmtId="0" fontId="1" fillId="4" borderId="0" xfId="0" applyFont="1" applyFill="1" applyBorder="1" applyAlignment="1">
      <alignment horizontal="left" vertical="center"/>
    </xf>
    <xf numFmtId="0" fontId="1" fillId="5" borderId="0" xfId="0" applyFont="1" applyFill="1" applyBorder="1" applyAlignment="1">
      <alignment horizontal="left" vertical="center"/>
    </xf>
    <xf numFmtId="0" fontId="4" fillId="8" borderId="0" xfId="0" applyFont="1" applyFill="1" applyBorder="1" applyAlignment="1">
      <alignment horizontal="left"/>
    </xf>
    <xf numFmtId="0" fontId="1" fillId="6" borderId="0" xfId="0" applyFont="1" applyFill="1" applyBorder="1" applyAlignment="1">
      <alignment horizontal="left" vertical="center"/>
    </xf>
    <xf numFmtId="0" fontId="1" fillId="2" borderId="0" xfId="0" applyFont="1" applyFill="1" applyBorder="1" applyAlignment="1">
      <alignment horizontal="left" vertical="center"/>
    </xf>
    <xf numFmtId="14" fontId="0" fillId="9" borderId="0" xfId="0" applyNumberFormat="1" applyFill="1" applyAlignment="1">
      <alignment horizontal="center"/>
    </xf>
    <xf numFmtId="0" fontId="0" fillId="9" borderId="0" xfId="0" applyFill="1" applyAlignment="1">
      <alignment horizontal="center"/>
    </xf>
    <xf numFmtId="0" fontId="1" fillId="3" borderId="0" xfId="0" applyFont="1" applyFill="1" applyBorder="1" applyAlignment="1">
      <alignment horizontal="left" vertical="center"/>
    </xf>
    <xf numFmtId="0" fontId="1" fillId="4" borderId="0" xfId="0" applyFont="1" applyFill="1" applyBorder="1" applyAlignment="1">
      <alignment horizontal="left" vertical="center"/>
    </xf>
    <xf numFmtId="0" fontId="1" fillId="5" borderId="0" xfId="0" applyFont="1" applyFill="1" applyBorder="1" applyAlignment="1">
      <alignment horizontal="left" vertical="center"/>
    </xf>
    <xf numFmtId="0" fontId="4" fillId="8" borderId="0" xfId="0" applyFont="1" applyFill="1" applyBorder="1" applyAlignment="1">
      <alignment horizontal="left"/>
    </xf>
    <xf numFmtId="0" fontId="1" fillId="6" borderId="0" xfId="0" applyFont="1" applyFill="1" applyBorder="1" applyAlignment="1">
      <alignment horizontal="left" vertical="center"/>
    </xf>
    <xf numFmtId="0" fontId="1" fillId="2" borderId="0" xfId="0" applyFont="1" applyFill="1" applyBorder="1" applyAlignment="1">
      <alignment horizontal="left" vertical="center"/>
    </xf>
    <xf numFmtId="0" fontId="4" fillId="8" borderId="4" xfId="0" applyFont="1" applyFill="1" applyBorder="1" applyAlignment="1"/>
    <xf numFmtId="0" fontId="4" fillId="8" borderId="0" xfId="0" applyFont="1" applyFill="1" applyBorder="1" applyAlignment="1"/>
    <xf numFmtId="0" fontId="1" fillId="6" borderId="5" xfId="0" applyFont="1" applyFill="1" applyBorder="1" applyAlignment="1">
      <alignment vertical="center"/>
    </xf>
    <xf numFmtId="0" fontId="1" fillId="6" borderId="0" xfId="0" applyFont="1" applyFill="1" applyBorder="1" applyAlignment="1">
      <alignment vertical="center"/>
    </xf>
    <xf numFmtId="0" fontId="1" fillId="2" borderId="5" xfId="0" applyFont="1" applyFill="1" applyBorder="1" applyAlignment="1">
      <alignment vertical="center"/>
    </xf>
    <xf numFmtId="0" fontId="1" fillId="2" borderId="0" xfId="0" applyFont="1" applyFill="1" applyBorder="1" applyAlignment="1">
      <alignment vertical="center"/>
    </xf>
    <xf numFmtId="0" fontId="1" fillId="3" borderId="5" xfId="0" applyFont="1" applyFill="1" applyBorder="1" applyAlignment="1">
      <alignment vertical="center"/>
    </xf>
    <xf numFmtId="0" fontId="1" fillId="3" borderId="0" xfId="0" applyFont="1" applyFill="1" applyBorder="1" applyAlignment="1">
      <alignment vertical="center"/>
    </xf>
    <xf numFmtId="0" fontId="1" fillId="4" borderId="5" xfId="0" applyFont="1" applyFill="1" applyBorder="1" applyAlignment="1">
      <alignment vertical="center"/>
    </xf>
    <xf numFmtId="0" fontId="1" fillId="4" borderId="0" xfId="0" applyFont="1" applyFill="1" applyBorder="1" applyAlignment="1">
      <alignment vertical="center"/>
    </xf>
    <xf numFmtId="0" fontId="1" fillId="5" borderId="5" xfId="0" applyFont="1" applyFill="1" applyBorder="1" applyAlignment="1">
      <alignment vertical="center"/>
    </xf>
    <xf numFmtId="0" fontId="1" fillId="5" borderId="0" xfId="0" applyFont="1" applyFill="1" applyBorder="1" applyAlignment="1">
      <alignment vertical="center"/>
    </xf>
    <xf numFmtId="0" fontId="0" fillId="9" borderId="0" xfId="0" applyFill="1" applyBorder="1" applyAlignment="1">
      <alignment horizontal="center"/>
    </xf>
    <xf numFmtId="0" fontId="0" fillId="0" borderId="0" xfId="0" applyBorder="1" applyAlignment="1">
      <alignment horizontal="left"/>
    </xf>
    <xf numFmtId="14" fontId="0" fillId="9" borderId="0" xfId="0" applyNumberFormat="1" applyFill="1" applyBorder="1" applyAlignment="1">
      <alignment horizontal="center"/>
    </xf>
    <xf numFmtId="0" fontId="0" fillId="0" borderId="0" xfId="0" applyFill="1" applyBorder="1" applyAlignment="1">
      <alignment horizontal="center"/>
    </xf>
    <xf numFmtId="0" fontId="0" fillId="0" borderId="0" xfId="0" applyFill="1" applyAlignment="1">
      <alignment horizontal="left"/>
    </xf>
    <xf numFmtId="0" fontId="1" fillId="0" borderId="6" xfId="0" applyFont="1" applyFill="1" applyBorder="1" applyAlignment="1">
      <alignment horizontal="center" vertical="center"/>
    </xf>
    <xf numFmtId="0" fontId="0" fillId="0" borderId="0" xfId="0" applyFill="1"/>
    <xf numFmtId="0" fontId="0" fillId="10" borderId="0" xfId="0" applyFill="1" applyAlignment="1">
      <alignment horizontal="center"/>
    </xf>
    <xf numFmtId="14" fontId="0" fillId="10" borderId="0" xfId="0" applyNumberFormat="1" applyFill="1" applyAlignment="1">
      <alignment horizontal="center"/>
    </xf>
    <xf numFmtId="0" fontId="0" fillId="10" borderId="0" xfId="0" applyFill="1" applyAlignment="1">
      <alignment horizontal="left"/>
    </xf>
    <xf numFmtId="0" fontId="0" fillId="0" borderId="0" xfId="0" applyFont="1" applyAlignment="1">
      <alignment horizontal="center"/>
    </xf>
    <xf numFmtId="14" fontId="0" fillId="9" borderId="0" xfId="0" applyNumberFormat="1" applyFont="1" applyFill="1" applyAlignment="1">
      <alignment horizontal="center"/>
    </xf>
    <xf numFmtId="0" fontId="0" fillId="9" borderId="0" xfId="0" applyFont="1" applyFill="1" applyAlignment="1">
      <alignment horizontal="center"/>
    </xf>
    <xf numFmtId="0" fontId="0" fillId="0" borderId="0" xfId="0" applyFont="1" applyAlignment="1">
      <alignment horizontal="left"/>
    </xf>
    <xf numFmtId="0" fontId="0" fillId="0" borderId="0" xfId="0" applyFont="1" applyFill="1"/>
    <xf numFmtId="0" fontId="0" fillId="0" borderId="0" xfId="0" applyFont="1" applyFill="1" applyAlignment="1">
      <alignment horizontal="left"/>
    </xf>
    <xf numFmtId="0" fontId="0" fillId="0" borderId="0" xfId="0" applyFont="1"/>
    <xf numFmtId="0" fontId="0" fillId="0" borderId="0" xfId="0" applyFill="1" applyAlignment="1">
      <alignment horizontal="center"/>
    </xf>
    <xf numFmtId="0" fontId="0" fillId="11" borderId="0" xfId="0" applyFill="1" applyAlignment="1">
      <alignment horizontal="center"/>
    </xf>
    <xf numFmtId="0" fontId="0" fillId="5" borderId="0" xfId="0" applyFill="1"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wrapText="1"/>
    </xf>
    <xf numFmtId="0" fontId="0" fillId="12" borderId="0" xfId="0" applyFill="1" applyAlignment="1">
      <alignment horizontal="center"/>
    </xf>
    <xf numFmtId="0" fontId="0" fillId="0" borderId="0" xfId="0" applyFont="1" applyAlignment="1">
      <alignment horizontal="left" wrapText="1"/>
    </xf>
    <xf numFmtId="0" fontId="0" fillId="11" borderId="0" xfId="0" applyFont="1" applyFill="1" applyAlignment="1">
      <alignment horizontal="center"/>
    </xf>
    <xf numFmtId="14" fontId="0" fillId="11" borderId="0" xfId="0" applyNumberFormat="1" applyFont="1" applyFill="1" applyAlignment="1">
      <alignment horizontal="center"/>
    </xf>
    <xf numFmtId="0" fontId="0" fillId="11" borderId="0" xfId="0" applyFont="1" applyFill="1" applyAlignment="1">
      <alignment horizontal="left"/>
    </xf>
    <xf numFmtId="0" fontId="0" fillId="11" borderId="0" xfId="0" applyFont="1" applyFill="1"/>
    <xf numFmtId="0" fontId="0" fillId="13" borderId="0" xfId="0" applyFill="1" applyAlignment="1">
      <alignment horizontal="center"/>
    </xf>
    <xf numFmtId="14" fontId="0" fillId="13" borderId="0" xfId="0" applyNumberFormat="1" applyFill="1" applyAlignment="1">
      <alignment horizontal="center"/>
    </xf>
    <xf numFmtId="0" fontId="0" fillId="13" borderId="0" xfId="0" applyFill="1" applyAlignment="1">
      <alignment horizontal="left"/>
    </xf>
    <xf numFmtId="0" fontId="0" fillId="0" borderId="0" xfId="0" applyBorder="1" applyAlignment="1">
      <alignment horizontal="center"/>
    </xf>
    <xf numFmtId="0" fontId="1" fillId="0" borderId="0" xfId="0" applyFont="1" applyFill="1" applyBorder="1" applyAlignment="1">
      <alignment horizontal="center" vertical="center"/>
    </xf>
    <xf numFmtId="0" fontId="0" fillId="14" borderId="0" xfId="0" applyFill="1" applyAlignment="1">
      <alignment horizontal="center"/>
    </xf>
    <xf numFmtId="0" fontId="0" fillId="14" borderId="0" xfId="0" applyFont="1" applyFill="1" applyAlignment="1">
      <alignment horizontal="center"/>
    </xf>
    <xf numFmtId="0" fontId="0" fillId="0" borderId="0" xfId="0" applyNumberFormat="1" applyAlignment="1">
      <alignment horizontal="center"/>
    </xf>
    <xf numFmtId="0" fontId="2" fillId="7" borderId="0" xfId="0" applyFont="1" applyFill="1" applyAlignment="1">
      <alignment horizontal="center" vertical="center"/>
    </xf>
    <xf numFmtId="9" fontId="0" fillId="9" borderId="0" xfId="0" applyNumberFormat="1" applyFill="1" applyAlignment="1">
      <alignment horizontal="center"/>
    </xf>
    <xf numFmtId="0" fontId="1" fillId="8" borderId="7" xfId="0" applyFont="1" applyFill="1" applyBorder="1" applyAlignment="1">
      <alignment horizontal="center" vertical="center"/>
    </xf>
    <xf numFmtId="0" fontId="0" fillId="8" borderId="7" xfId="0" applyFont="1" applyFill="1" applyBorder="1" applyAlignment="1">
      <alignment horizontal="center"/>
    </xf>
    <xf numFmtId="0" fontId="0" fillId="5" borderId="0" xfId="0" applyFill="1"/>
    <xf numFmtId="0" fontId="0" fillId="9" borderId="7" xfId="0" applyFont="1" applyFill="1" applyBorder="1" applyAlignment="1">
      <alignment horizontal="center"/>
    </xf>
    <xf numFmtId="0" fontId="0" fillId="3" borderId="0" xfId="0" applyFill="1"/>
    <xf numFmtId="0" fontId="0" fillId="2" borderId="0" xfId="0" applyFill="1"/>
    <xf numFmtId="0" fontId="1" fillId="8" borderId="8" xfId="0" applyFont="1" applyFill="1" applyBorder="1" applyAlignment="1">
      <alignment horizontal="center" vertical="center"/>
    </xf>
    <xf numFmtId="0" fontId="0" fillId="4" borderId="0" xfId="0" applyFill="1"/>
    <xf numFmtId="9" fontId="0" fillId="3" borderId="0" xfId="0" applyNumberFormat="1" applyFill="1"/>
    <xf numFmtId="9" fontId="0" fillId="5" borderId="0" xfId="0" applyNumberFormat="1" applyFill="1"/>
    <xf numFmtId="9" fontId="0" fillId="4" borderId="0" xfId="0" applyNumberFormat="1" applyFill="1"/>
    <xf numFmtId="9" fontId="0" fillId="2" borderId="0" xfId="0" applyNumberFormat="1" applyFill="1"/>
    <xf numFmtId="0" fontId="0" fillId="8" borderId="10" xfId="0" applyFont="1" applyFill="1" applyBorder="1" applyAlignment="1">
      <alignment horizontal="center"/>
    </xf>
    <xf numFmtId="0" fontId="4" fillId="0" borderId="12" xfId="0" applyFont="1" applyBorder="1" applyAlignment="1">
      <alignment horizontal="center" vertical="center" wrapText="1"/>
    </xf>
    <xf numFmtId="0" fontId="4" fillId="0" borderId="13" xfId="0" applyFont="1" applyBorder="1" applyAlignment="1">
      <alignment horizontal="center" vertical="center" wrapText="1"/>
    </xf>
    <xf numFmtId="0" fontId="0" fillId="0" borderId="15" xfId="0" applyFont="1" applyBorder="1" applyAlignment="1">
      <alignment horizontal="center"/>
    </xf>
    <xf numFmtId="0" fontId="0" fillId="0" borderId="16" xfId="0" applyFont="1" applyBorder="1" applyAlignment="1">
      <alignment horizontal="center"/>
    </xf>
    <xf numFmtId="0" fontId="0" fillId="8" borderId="11" xfId="0" applyFont="1" applyFill="1" applyBorder="1" applyAlignment="1">
      <alignment horizontal="left"/>
    </xf>
    <xf numFmtId="0" fontId="4" fillId="0" borderId="14" xfId="0" applyFont="1" applyBorder="1" applyAlignment="1">
      <alignment horizontal="left" vertical="center" wrapText="1"/>
    </xf>
    <xf numFmtId="0" fontId="0" fillId="9" borderId="16" xfId="0" applyFont="1" applyFill="1" applyBorder="1" applyAlignment="1">
      <alignment horizontal="center"/>
    </xf>
    <xf numFmtId="0" fontId="0" fillId="0" borderId="17" xfId="0" applyFont="1" applyBorder="1" applyAlignment="1">
      <alignment horizontal="left"/>
    </xf>
    <xf numFmtId="0" fontId="0" fillId="0" borderId="0" xfId="0" applyBorder="1"/>
    <xf numFmtId="0" fontId="9" fillId="0" borderId="0" xfId="0" applyNumberFormat="1" applyFont="1" applyAlignment="1">
      <alignment horizontal="left"/>
    </xf>
    <xf numFmtId="0" fontId="9" fillId="0" borderId="0" xfId="0" applyFont="1"/>
    <xf numFmtId="0" fontId="10" fillId="0" borderId="0" xfId="0" applyFont="1"/>
    <xf numFmtId="0" fontId="9" fillId="3" borderId="0" xfId="0" applyNumberFormat="1" applyFont="1" applyFill="1" applyAlignment="1">
      <alignment horizontal="left"/>
    </xf>
    <xf numFmtId="0" fontId="10" fillId="3" borderId="0" xfId="0" applyFont="1" applyFill="1"/>
    <xf numFmtId="0" fontId="9" fillId="3" borderId="0" xfId="0" applyFont="1" applyFill="1"/>
    <xf numFmtId="0" fontId="8" fillId="3" borderId="0" xfId="2" applyFill="1"/>
    <xf numFmtId="0" fontId="11" fillId="0" borderId="0" xfId="2" applyFont="1"/>
    <xf numFmtId="0" fontId="10" fillId="3" borderId="0" xfId="0" applyFont="1" applyFill="1" applyAlignment="1">
      <alignment horizontal="left"/>
    </xf>
    <xf numFmtId="0" fontId="10" fillId="0" borderId="0" xfId="0" applyFont="1" applyAlignment="1">
      <alignment horizontal="left"/>
    </xf>
    <xf numFmtId="0" fontId="10" fillId="0" borderId="0" xfId="0" applyNumberFormat="1" applyFont="1" applyAlignment="1">
      <alignment horizontal="left"/>
    </xf>
    <xf numFmtId="0" fontId="10" fillId="3" borderId="0" xfId="0" applyNumberFormat="1" applyFont="1" applyFill="1" applyAlignment="1">
      <alignment horizontal="left"/>
    </xf>
    <xf numFmtId="0" fontId="8" fillId="0" borderId="0" xfId="2"/>
    <xf numFmtId="0" fontId="10" fillId="3" borderId="0" xfId="0" applyFont="1" applyFill="1" applyBorder="1"/>
    <xf numFmtId="0" fontId="11" fillId="3" borderId="0" xfId="2" applyFont="1" applyFill="1"/>
    <xf numFmtId="0" fontId="9" fillId="3" borderId="19" xfId="0" applyFont="1" applyFill="1" applyBorder="1"/>
    <xf numFmtId="0" fontId="9" fillId="0" borderId="19" xfId="0" applyFont="1" applyBorder="1"/>
    <xf numFmtId="0" fontId="9" fillId="0" borderId="0" xfId="0" applyFont="1" applyBorder="1"/>
    <xf numFmtId="0" fontId="10" fillId="3" borderId="19" xfId="0" applyFont="1" applyFill="1" applyBorder="1"/>
    <xf numFmtId="0" fontId="12" fillId="3" borderId="0" xfId="2" applyFont="1" applyFill="1"/>
    <xf numFmtId="0" fontId="10" fillId="0" borderId="19" xfId="0" applyFont="1" applyBorder="1"/>
    <xf numFmtId="0" fontId="10" fillId="0" borderId="0" xfId="0" applyFont="1" applyBorder="1"/>
    <xf numFmtId="0" fontId="10" fillId="0" borderId="0" xfId="0" applyFont="1" applyFill="1"/>
    <xf numFmtId="0" fontId="9" fillId="0" borderId="0" xfId="0" applyNumberFormat="1" applyFont="1" applyFill="1" applyAlignment="1">
      <alignment horizontal="left"/>
    </xf>
    <xf numFmtId="0" fontId="9" fillId="0" borderId="0" xfId="0" applyFont="1" applyFill="1"/>
    <xf numFmtId="0" fontId="10" fillId="0" borderId="0" xfId="0" applyNumberFormat="1" applyFont="1" applyBorder="1" applyAlignment="1">
      <alignment horizontal="left"/>
    </xf>
    <xf numFmtId="0" fontId="9" fillId="0" borderId="0" xfId="0" applyNumberFormat="1" applyFont="1" applyBorder="1" applyAlignment="1">
      <alignment horizontal="left"/>
    </xf>
    <xf numFmtId="0" fontId="9" fillId="0" borderId="0" xfId="0" applyFont="1" applyFill="1" applyAlignment="1"/>
    <xf numFmtId="0" fontId="10" fillId="0" borderId="20" xfId="0" applyFont="1" applyBorder="1"/>
    <xf numFmtId="0" fontId="8" fillId="0" borderId="19" xfId="2" applyBorder="1"/>
    <xf numFmtId="0" fontId="10" fillId="15" borderId="19" xfId="0" applyFont="1" applyFill="1" applyBorder="1"/>
    <xf numFmtId="0" fontId="10" fillId="15" borderId="20" xfId="0" applyFont="1" applyFill="1" applyBorder="1"/>
    <xf numFmtId="0" fontId="9" fillId="3" borderId="0" xfId="0" applyNumberFormat="1" applyFont="1" applyFill="1" applyBorder="1" applyAlignment="1">
      <alignment horizontal="left"/>
    </xf>
    <xf numFmtId="0" fontId="9" fillId="3" borderId="0" xfId="0" applyFont="1" applyFill="1" applyAlignment="1"/>
    <xf numFmtId="0" fontId="10" fillId="16" borderId="20" xfId="0" applyFont="1" applyFill="1" applyBorder="1"/>
    <xf numFmtId="0" fontId="5" fillId="3" borderId="0" xfId="0" applyFont="1" applyFill="1"/>
    <xf numFmtId="0" fontId="10" fillId="0" borderId="0" xfId="0" applyNumberFormat="1" applyFont="1" applyFill="1" applyAlignment="1">
      <alignment horizontal="left"/>
    </xf>
    <xf numFmtId="0" fontId="10" fillId="0" borderId="21" xfId="0" applyFont="1" applyFill="1" applyBorder="1" applyAlignment="1"/>
    <xf numFmtId="0" fontId="10" fillId="0" borderId="18" xfId="0" applyFont="1" applyFill="1" applyBorder="1"/>
    <xf numFmtId="0" fontId="8" fillId="0" borderId="21" xfId="2" applyFill="1" applyBorder="1"/>
    <xf numFmtId="0" fontId="10" fillId="0" borderId="21" xfId="0" applyFont="1" applyFill="1" applyBorder="1"/>
    <xf numFmtId="0" fontId="12" fillId="0" borderId="0" xfId="2" applyFont="1"/>
    <xf numFmtId="0" fontId="8" fillId="9" borderId="0" xfId="2" applyFill="1" applyAlignment="1">
      <alignment horizontal="center"/>
    </xf>
    <xf numFmtId="9" fontId="0" fillId="9" borderId="0" xfId="0" applyNumberFormat="1" applyFont="1" applyFill="1" applyAlignment="1">
      <alignment horizontal="center"/>
    </xf>
    <xf numFmtId="0" fontId="8" fillId="9" borderId="0" xfId="2" applyFill="1" applyBorder="1" applyAlignment="1">
      <alignment horizontal="center"/>
    </xf>
    <xf numFmtId="0" fontId="13" fillId="0" borderId="0" xfId="0" applyFont="1" applyFill="1" applyBorder="1" applyAlignment="1">
      <alignment horizontal="center" vertical="center"/>
    </xf>
    <xf numFmtId="0" fontId="0" fillId="2" borderId="0" xfId="0" applyFill="1" applyBorder="1" applyAlignment="1">
      <alignment horizontal="center"/>
    </xf>
    <xf numFmtId="9" fontId="14" fillId="2" borderId="0" xfId="0" applyNumberFormat="1" applyFont="1" applyFill="1"/>
    <xf numFmtId="9" fontId="14" fillId="5" borderId="0" xfId="0" applyNumberFormat="1" applyFont="1" applyFill="1"/>
    <xf numFmtId="0" fontId="10" fillId="9" borderId="0" xfId="0" applyFont="1" applyFill="1" applyAlignment="1">
      <alignment horizontal="center"/>
    </xf>
    <xf numFmtId="9" fontId="14" fillId="9" borderId="0" xfId="0" applyNumberFormat="1" applyFont="1" applyFill="1" applyAlignment="1">
      <alignment horizontal="center"/>
    </xf>
    <xf numFmtId="0" fontId="4" fillId="8" borderId="1" xfId="0" applyFont="1" applyFill="1" applyBorder="1" applyAlignment="1">
      <alignment horizontal="left" vertical="center"/>
    </xf>
    <xf numFmtId="0" fontId="4" fillId="8" borderId="9" xfId="0" applyFont="1" applyFill="1" applyBorder="1" applyAlignment="1">
      <alignment horizontal="left" vertical="center"/>
    </xf>
    <xf numFmtId="0" fontId="1" fillId="2" borderId="5" xfId="0" applyFont="1" applyFill="1" applyBorder="1" applyAlignment="1">
      <alignment horizontal="center" vertical="center"/>
    </xf>
    <xf numFmtId="0" fontId="1" fillId="2" borderId="0" xfId="0" applyFont="1" applyFill="1" applyBorder="1" applyAlignment="1">
      <alignment horizontal="center" vertical="center"/>
    </xf>
    <xf numFmtId="0" fontId="1" fillId="6" borderId="5" xfId="0" applyFont="1" applyFill="1" applyBorder="1" applyAlignment="1">
      <alignment horizontal="center" vertical="center"/>
    </xf>
    <xf numFmtId="0" fontId="1" fillId="6" borderId="0" xfId="0" applyFont="1" applyFill="1" applyBorder="1" applyAlignment="1">
      <alignment horizontal="center" vertical="center"/>
    </xf>
    <xf numFmtId="0" fontId="4" fillId="8" borderId="4" xfId="0" applyFont="1" applyFill="1" applyBorder="1" applyAlignment="1">
      <alignment horizontal="center"/>
    </xf>
    <xf numFmtId="0" fontId="4" fillId="8" borderId="0" xfId="0" applyFont="1" applyFill="1" applyBorder="1" applyAlignment="1">
      <alignment horizontal="center"/>
    </xf>
    <xf numFmtId="0" fontId="2" fillId="7" borderId="0" xfId="0" applyFont="1" applyFill="1" applyAlignment="1">
      <alignment horizontal="center" vertical="center"/>
    </xf>
    <xf numFmtId="0" fontId="1" fillId="3" borderId="5" xfId="0" applyFont="1" applyFill="1" applyBorder="1" applyAlignment="1">
      <alignment horizontal="center" vertical="center"/>
    </xf>
    <xf numFmtId="0" fontId="1" fillId="3" borderId="0" xfId="0" applyFont="1" applyFill="1" applyBorder="1" applyAlignment="1">
      <alignment horizontal="center" vertical="center"/>
    </xf>
    <xf numFmtId="0" fontId="1" fillId="4" borderId="5" xfId="0" applyFont="1" applyFill="1" applyBorder="1" applyAlignment="1">
      <alignment horizontal="center" vertical="center"/>
    </xf>
    <xf numFmtId="0" fontId="1" fillId="4" borderId="0"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0" xfId="0" applyFont="1" applyFill="1" applyBorder="1" applyAlignment="1">
      <alignment horizontal="center" vertical="center"/>
    </xf>
    <xf numFmtId="0" fontId="15" fillId="0" borderId="0" xfId="0" applyFont="1"/>
  </cellXfs>
  <cellStyles count="3">
    <cellStyle name="Hyperlink" xfId="2" builtinId="8"/>
    <cellStyle name="Normal" xfId="0" builtinId="0"/>
    <cellStyle name="Normal 2" xfId="1"/>
  </cellStyles>
  <dxfs count="1985">
    <dxf>
      <font>
        <strike val="0"/>
        <outline val="0"/>
        <shadow val="0"/>
        <vertAlign val="baseline"/>
        <sz val="11"/>
        <color auto="1"/>
        <name val="Calibri"/>
        <scheme val="minor"/>
      </font>
    </dxf>
    <dxf>
      <font>
        <b val="0"/>
        <i val="0"/>
        <strike val="0"/>
        <condense val="0"/>
        <extend val="0"/>
        <outline val="0"/>
        <shadow val="0"/>
        <u val="none"/>
        <vertAlign val="baseline"/>
        <sz val="11"/>
        <color auto="1"/>
        <name val="Calibri"/>
        <scheme val="minor"/>
      </font>
      <numFmt numFmtId="0" formatCode="General"/>
      <alignment horizontal="left" vertical="bottom" textRotation="0" wrapText="0" indent="0" justifyLastLine="0" shrinkToFit="0" readingOrder="0"/>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92D050"/>
        </patternFill>
      </fill>
    </dxf>
    <dxf>
      <fill>
        <patternFill>
          <bgColor rgb="FFFFFF00"/>
        </patternFill>
      </fill>
    </dxf>
    <dxf>
      <fill>
        <patternFill>
          <bgColor rgb="FFFF0000"/>
        </patternFill>
      </fill>
    </dxf>
    <dxf>
      <fill>
        <patternFill>
          <bgColor theme="2" tint="-9.9948118533890809E-2"/>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00B050"/>
        </patternFill>
      </fill>
    </dxf>
    <dxf>
      <fill>
        <patternFill>
          <bgColor rgb="FFFF0000"/>
        </patternFill>
      </fill>
    </dxf>
    <dxf>
      <fill>
        <patternFill>
          <bgColor rgb="FFFFC000"/>
        </patternFill>
      </fill>
    </dxf>
    <dxf>
      <fill>
        <patternFill>
          <bgColor theme="2" tint="-9.9948118533890809E-2"/>
        </patternFill>
      </fill>
    </dxf>
    <dxf>
      <fill>
        <patternFill>
          <bgColor rgb="FFFF0000"/>
        </patternFill>
      </fill>
    </dxf>
    <dxf>
      <fill>
        <patternFill>
          <bgColor rgb="FFFFFF00"/>
        </patternFill>
      </fill>
    </dxf>
    <dxf>
      <fill>
        <patternFill>
          <bgColor rgb="FF92D050"/>
        </patternFill>
      </fill>
    </dxf>
    <dxf>
      <fill>
        <patternFill>
          <bgColor rgb="FF00B050"/>
        </patternFill>
      </fill>
    </dxf>
    <dxf>
      <fill>
        <patternFill>
          <bgColor theme="7"/>
        </patternFill>
      </fill>
    </dxf>
    <dxf>
      <alignment horizontal="left"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numFmt numFmtId="19" formatCode="dd/mm/yyyy"/>
      <fill>
        <patternFill patternType="solid">
          <fgColor indexed="64"/>
          <bgColor rgb="FFFFC000"/>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2" tint="-9.9978637043366805E-2"/>
        </patternFill>
      </fill>
      <alignment horizontal="center" vertical="bottom" textRotation="0" wrapText="0" indent="0" justifyLastLine="0" shrinkToFit="0" readingOrder="0"/>
    </dxf>
    <dxf>
      <fill>
        <patternFill patternType="solid">
          <fgColor indexed="64"/>
          <bgColor theme="2" tint="-9.9978637043366805E-2"/>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2" tint="-9.9978637043366805E-2"/>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center" textRotation="0" wrapText="1" indent="0" justifyLastLine="0" shrinkToFit="0" readingOrder="0"/>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dxf>
    <dxf>
      <font>
        <strike val="0"/>
        <outline val="0"/>
        <shadow val="0"/>
        <vertAlign val="baseline"/>
        <sz val="11"/>
        <color auto="1"/>
        <name val="Calibri"/>
        <scheme val="minor"/>
      </font>
      <numFmt numFmtId="0" formatCode="General"/>
      <alignment horizontal="left" vertical="bottom" textRotation="0" wrapText="0" indent="0" justifyLastLine="0" shrinkToFit="0" readingOrder="0"/>
    </dxf>
    <dxf>
      <font>
        <strike val="0"/>
        <outline val="0"/>
        <shadow val="0"/>
        <vertAlign val="baseline"/>
        <sz val="11"/>
        <color auto="1"/>
        <name val="Calibri"/>
        <scheme val="minor"/>
      </font>
    </dxf>
    <dxf>
      <font>
        <b val="0"/>
        <i val="0"/>
        <strike val="0"/>
        <condense val="0"/>
        <extend val="0"/>
        <outline val="0"/>
        <shadow val="0"/>
        <u val="none"/>
        <vertAlign val="baseline"/>
        <sz val="11"/>
        <color theme="1"/>
        <name val="Calibri"/>
        <scheme val="minor"/>
      </font>
      <fill>
        <patternFill patternType="solid">
          <fgColor indexed="64"/>
          <bgColor rgb="FFFFC000"/>
        </patternFill>
      </fill>
      <alignment horizontal="center" vertical="bottom" textRotation="0" wrapText="0" indent="0" justifyLastLine="0" shrinkToFit="0" readingOrder="0"/>
      <border diagonalUp="0" diagonalDown="0">
        <left style="thin">
          <color theme="8"/>
        </left>
        <right style="thin">
          <color theme="8"/>
        </right>
        <top style="thin">
          <color theme="8"/>
        </top>
        <bottom style="thin">
          <color theme="8"/>
        </bottom>
        <vertical/>
        <horizontal/>
      </border>
    </dxf>
    <dxf>
      <font>
        <b val="0"/>
        <i val="0"/>
        <strike val="0"/>
        <condense val="0"/>
        <extend val="0"/>
        <outline val="0"/>
        <shadow val="0"/>
        <u val="none"/>
        <vertAlign val="baseline"/>
        <sz val="11"/>
        <color rgb="FF000000"/>
        <name val="Calibri"/>
        <scheme val="minor"/>
      </font>
      <fill>
        <patternFill patternType="solid">
          <fgColor theme="8" tint="0.79998168889431442"/>
          <bgColor theme="8" tint="0.79998168889431442"/>
        </patternFill>
      </fill>
      <alignment horizontal="center" vertical="center" textRotation="0" wrapText="0" indent="0" justifyLastLine="0" shrinkToFit="0" readingOrder="0"/>
      <border diagonalUp="0" diagonalDown="0">
        <left style="thin">
          <color theme="8"/>
        </left>
        <right style="thin">
          <color theme="8"/>
        </right>
        <top style="thin">
          <color theme="8"/>
        </top>
        <bottom style="thin">
          <color theme="8"/>
        </bottom>
        <vertical/>
        <horizontal/>
      </border>
    </dxf>
    <dxf>
      <font>
        <b val="0"/>
        <i val="0"/>
        <strike val="0"/>
        <condense val="0"/>
        <extend val="0"/>
        <outline val="0"/>
        <shadow val="0"/>
        <u val="none"/>
        <vertAlign val="baseline"/>
        <sz val="11"/>
        <color rgb="FF000000"/>
        <name val="Calibri"/>
        <scheme val="minor"/>
      </font>
      <fill>
        <patternFill patternType="solid">
          <fgColor theme="8" tint="0.79998168889431442"/>
          <bgColor theme="8" tint="0.79998168889431442"/>
        </patternFill>
      </fill>
      <alignment horizontal="center" vertical="center" textRotation="0" wrapText="0" indent="0" justifyLastLine="0" shrinkToFit="0" readingOrder="0"/>
      <border diagonalUp="0" diagonalDown="0">
        <left style="thin">
          <color theme="8"/>
        </left>
        <right style="thin">
          <color theme="8"/>
        </right>
        <top style="thin">
          <color theme="8"/>
        </top>
        <bottom style="thin">
          <color theme="8"/>
        </bottom>
        <vertical/>
        <horizontal/>
      </border>
    </dxf>
    <dxf>
      <border outline="0">
        <left style="thin">
          <color theme="8"/>
        </left>
        <right style="thin">
          <color theme="8"/>
        </right>
        <top style="thin">
          <color theme="8"/>
        </top>
        <bottom style="thin">
          <color theme="8"/>
        </bottom>
      </border>
    </dxf>
    <dxf>
      <border outline="0">
        <bottom style="medium">
          <color theme="8"/>
        </bottom>
      </border>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thin">
          <color theme="8"/>
        </left>
        <right style="thin">
          <color theme="8"/>
        </right>
        <top/>
        <bottom/>
      </border>
    </dxf>
    <dxf>
      <alignment horizontal="left"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numFmt numFmtId="19" formatCode="dd/mm/yyyy"/>
      <fill>
        <patternFill patternType="solid">
          <fgColor indexed="64"/>
          <bgColor rgb="FFFFC000"/>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center" vertical="center" textRotation="0" wrapText="0" indent="0" justifyLastLine="0" shrinkToFit="0" readingOrder="0"/>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border>
    </dxf>
    <dxf>
      <font>
        <color rgb="FF000000"/>
      </font>
      <fill>
        <patternFill patternType="none">
          <fgColor indexed="64"/>
          <bgColor auto="1"/>
        </patternFill>
      </fill>
      <alignment horizontal="center" vertical="center" textRotation="0" wrapText="0" indent="0" justifyLastLine="0" shrinkToFit="0" readingOrder="0"/>
      <border diagonalUp="0" diagonalDown="0" outline="0">
        <left/>
        <right/>
        <top style="medium">
          <color rgb="FF8EA9DB"/>
        </top>
        <bottom style="medium">
          <color rgb="FF8EA9DB"/>
        </bottom>
      </border>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alignment horizontal="center" vertical="center" textRotation="0" wrapText="1" indent="0" justifyLastLine="0" shrinkToFit="0" readingOrder="0"/>
    </dxf>
    <dxf>
      <alignment horizontal="left"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fill>
        <patternFill patternType="solid">
          <fgColor indexed="64"/>
          <bgColor rgb="FFFFC000"/>
        </patternFill>
      </fill>
      <alignment horizontal="center" vertical="bottom" textRotation="0" wrapText="0" indent="0" justifyLastLine="0" shrinkToFit="0" readingOrder="0"/>
    </dxf>
    <dxf>
      <numFmt numFmtId="19" formatCode="dd/mm/yyyy"/>
      <fill>
        <patternFill patternType="solid">
          <fgColor indexed="64"/>
          <bgColor rgb="FFFFC000"/>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2" tint="-9.9978637043366805E-2"/>
        </patternFill>
      </fill>
      <alignment horizontal="center" vertical="bottom" textRotation="0" wrapText="0" indent="0" justifyLastLine="0" shrinkToFit="0" readingOrder="0"/>
    </dxf>
    <dxf>
      <fill>
        <patternFill patternType="solid">
          <fgColor indexed="64"/>
          <bgColor theme="2" tint="-9.9978637043366805E-2"/>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2" tint="-9.9978637043366805E-2"/>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center" textRotation="0" wrapText="1" indent="0" justifyLastLine="0" shrinkToFit="0" readingOrder="0"/>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4" name="Table4" displayName="Table4" ref="B10:AR360" totalsRowShown="0" headerRowDxfId="1984">
  <autoFilter ref="B10:AR360"/>
  <tableColumns count="43">
    <tableColumn id="1" name="#" dataDxfId="1983">
      <calculatedColumnFormula>B10+1</calculatedColumnFormula>
    </tableColumn>
    <tableColumn id="25" name="Active" dataDxfId="1982"/>
    <tableColumn id="26" name="Report List Group" dataDxfId="1981"/>
    <tableColumn id="2" name="Site" dataDxfId="1980"/>
    <tableColumn id="3" name="Campaign" dataDxfId="1979"/>
    <tableColumn id="11" name="Sub Campaign" dataDxfId="1978"/>
    <tableColumn id="4" name="Report Name" dataDxfId="1977"/>
    <tableColumn id="40" name="Delivery method" dataDxfId="1976"/>
    <tableColumn id="6" name="Frequency" dataDxfId="1975"/>
    <tableColumn id="14" name="Report Owner" dataDxfId="1974"/>
    <tableColumn id="15" name="Main Backup Person" dataDxfId="1973"/>
    <tableColumn id="7" name="NL" dataDxfId="1972"/>
    <tableColumn id="8" name="MS" dataDxfId="1971"/>
    <tableColumn id="9" name="BS" dataDxfId="1970"/>
    <tableColumn id="10" name="GK" dataDxfId="1969"/>
    <tableColumn id="22" name="IK" dataDxfId="1968"/>
    <tableColumn id="21" name="LG" dataDxfId="1967"/>
    <tableColumn id="29" name="VS" dataDxfId="1966"/>
    <tableColumn id="20" name="VI" dataDxfId="1965"/>
    <tableColumn id="19" name="ID" dataDxfId="1964"/>
    <tableColumn id="18" name="YF" dataDxfId="1963"/>
    <tableColumn id="13" name="KN" dataDxfId="1962"/>
    <tableColumn id="30" name="NA" dataDxfId="1961"/>
    <tableColumn id="27" name="DD" dataDxfId="1960"/>
    <tableColumn id="28" name="EA" dataDxfId="1959"/>
    <tableColumn id="32" name="SS" dataDxfId="1958"/>
    <tableColumn id="35" name="NN" dataDxfId="1957"/>
    <tableColumn id="36" name="BM" dataDxfId="1956"/>
    <tableColumn id="38" name="VA" dataDxfId="1955"/>
    <tableColumn id="31" name="ST" dataDxfId="1954"/>
    <tableColumn id="33" name="AY" dataDxfId="1953"/>
    <tableColumn id="34" name="PR" dataDxfId="1952"/>
    <tableColumn id="37" name="SP" dataDxfId="1951"/>
    <tableColumn id="39" name="NR" dataDxfId="1950"/>
    <tableColumn id="24" name="HK" dataDxfId="1949"/>
    <tableColumn id="16" name="Documentation" dataDxfId="1948"/>
    <tableColumn id="12" name="Documentation- ONE Note" dataDxfId="1947"/>
    <tableColumn id="17" name="Validation Date" dataDxfId="1946"/>
    <tableColumn id="23" name="Validation by" dataDxfId="1945"/>
    <tableColumn id="42" name="WI link" dataDxfId="1944"/>
    <tableColumn id="41" name="Report output link" dataDxfId="1943"/>
    <tableColumn id="43" name="Automation %" dataDxfId="1942"/>
    <tableColumn id="5" name="Comments" dataDxfId="1941"/>
  </tableColumns>
  <tableStyleInfo name="TableStyleLight20" showFirstColumn="0" showLastColumn="0" showRowStripes="1" showColumnStripes="0"/>
</table>
</file>

<file path=xl/tables/table2.xml><?xml version="1.0" encoding="utf-8"?>
<table xmlns="http://schemas.openxmlformats.org/spreadsheetml/2006/main" id="1" name="Table42" displayName="Table42" ref="B10:AB41" totalsRowShown="0" headerRowDxfId="1940">
  <autoFilter ref="B10:AB41"/>
  <tableColumns count="27">
    <tableColumn id="1" name="#" dataDxfId="1939">
      <calculatedColumnFormula>ROW()-10</calculatedColumnFormula>
    </tableColumn>
    <tableColumn id="25" name="Active" dataDxfId="1938"/>
    <tableColumn id="26" name="Tool Name" dataDxfId="1937"/>
    <tableColumn id="2" name="Site(s)" dataDxfId="1936"/>
    <tableColumn id="3" name="Campaign(s)" dataDxfId="1935"/>
    <tableColumn id="14" name="Tool Owner" dataDxfId="1934"/>
    <tableColumn id="15" name="Main Backup Person" dataDxfId="1933"/>
    <tableColumn id="7" name="NL" dataDxfId="1932"/>
    <tableColumn id="8" name="MS" dataDxfId="1931"/>
    <tableColumn id="9" name="BS" dataDxfId="1930"/>
    <tableColumn id="10" name="GK" dataDxfId="1929"/>
    <tableColumn id="22" name="IK" dataDxfId="1928"/>
    <tableColumn id="21" name="LG" dataDxfId="1927"/>
    <tableColumn id="20" name="VI" dataDxfId="1926"/>
    <tableColumn id="19" name="ID" dataDxfId="1925"/>
    <tableColumn id="18" name="YF" dataDxfId="1924"/>
    <tableColumn id="13" name="KN" dataDxfId="1923"/>
    <tableColumn id="4" name="SP" dataDxfId="1922"/>
    <tableColumn id="6" name="NR" dataDxfId="1921"/>
    <tableColumn id="27" name="HK" dataDxfId="1920"/>
    <tableColumn id="28" name="PR" dataDxfId="1919"/>
    <tableColumn id="16" name="Documentation" dataDxfId="1918"/>
    <tableColumn id="12" name="Documentation- ONE Note" dataDxfId="1917"/>
    <tableColumn id="17" name="Tool last modified" dataDxfId="1916"/>
    <tableColumn id="23" name="Validation by" dataDxfId="1915"/>
    <tableColumn id="11" name="WI link" dataDxfId="1914"/>
    <tableColumn id="5" name="Comments" dataDxfId="1913"/>
  </tableColumns>
  <tableStyleInfo name="TableStyleLight20" showFirstColumn="0" showLastColumn="0" showRowStripes="1" showColumnStripes="0"/>
</table>
</file>

<file path=xl/tables/table3.xml><?xml version="1.0" encoding="utf-8"?>
<table xmlns="http://schemas.openxmlformats.org/spreadsheetml/2006/main" id="5" name="Table5" displayName="Table5" ref="B11:V19" totalsRowShown="0" headerRowDxfId="1912" headerRowBorderDxfId="1911" tableBorderDxfId="1910">
  <autoFilter ref="B11:V19"/>
  <tableColumns count="21">
    <tableColumn id="1" name="#"/>
    <tableColumn id="2" name="Tool Name"/>
    <tableColumn id="3" name="DD"/>
    <tableColumn id="4" name="MS"/>
    <tableColumn id="5" name="BS"/>
    <tableColumn id="6" name="GK"/>
    <tableColumn id="7" name="IK"/>
    <tableColumn id="8" name="LG"/>
    <tableColumn id="9" name="VI"/>
    <tableColumn id="10" name="ID"/>
    <tableColumn id="11" name="YF"/>
    <tableColumn id="12" name="KN"/>
    <tableColumn id="13" name="SD"/>
    <tableColumn id="14" name="SP"/>
    <tableColumn id="15" name="EA"/>
    <tableColumn id="21" name="NA" dataDxfId="1909"/>
    <tableColumn id="20" name="NR" dataDxfId="1908"/>
    <tableColumn id="16" name="Documentation"/>
    <tableColumn id="17" name="Documentation- ONE Note"/>
    <tableColumn id="18" name="WI link" dataDxfId="1907"/>
    <tableColumn id="19" name="Comments"/>
  </tableColumns>
  <tableStyleInfo name="TableStyleLight16" showFirstColumn="0" showLastColumn="0" showRowStripes="1" showColumnStripes="0"/>
</table>
</file>

<file path=xl/tables/table4.xml><?xml version="1.0" encoding="utf-8"?>
<table xmlns="http://schemas.openxmlformats.org/spreadsheetml/2006/main" id="6" name="Table1" displayName="Table1" ref="A1:O231" totalsRowShown="0" dataDxfId="1906">
  <autoFilter ref="A1:O231"/>
  <tableColumns count="15">
    <tableColumn id="1" name="ID" dataDxfId="1905"/>
    <tableColumn id="14" name="Active" dataDxfId="1"/>
    <tableColumn id="2" name="BO Report Name" dataDxfId="1904"/>
    <tableColumn id="3" name="Report Location" dataDxfId="1903"/>
    <tableColumn id="4" name="Site" dataDxfId="1902"/>
    <tableColumn id="5" name="Campaign" dataDxfId="1901"/>
    <tableColumn id="6" name="Frequency" dataDxfId="1900"/>
    <tableColumn id="8" name="To" dataDxfId="1899"/>
    <tableColumn id="9" name="CC" dataDxfId="1898"/>
    <tableColumn id="7" name="Owner" dataDxfId="1897"/>
    <tableColumn id="10" name="Note" dataDxfId="1896"/>
    <tableColumn id="12" name="Task ID" dataDxfId="1895"/>
    <tableColumn id="11" name="Active2" dataDxfId="1894"/>
    <tableColumn id="13" name="Comment" dataDxfId="1893"/>
    <tableColumn id="15" name="Reviewed by" dataDxfId="0"/>
  </tableColumns>
  <tableStyleInfo name="TableStyleMedium2" showFirstColumn="0" showLastColumn="0" showRowStripes="1" showColumnStripes="0"/>
</table>
</file>

<file path=xl/tables/table5.xml><?xml version="1.0" encoding="utf-8"?>
<table xmlns="http://schemas.openxmlformats.org/spreadsheetml/2006/main" id="2" name="Table43" displayName="Table43" ref="B10:AN318" totalsRowShown="0" headerRowDxfId="1892">
  <tableColumns count="39">
    <tableColumn id="1" name="#" dataDxfId="1891">
      <calculatedColumnFormula>B10+1</calculatedColumnFormula>
    </tableColumn>
    <tableColumn id="25" name="Active" dataDxfId="1890"/>
    <tableColumn id="26" name="Report List Group" dataDxfId="1889"/>
    <tableColumn id="2" name="Site" dataDxfId="1888"/>
    <tableColumn id="3" name="Campaign" dataDxfId="1887"/>
    <tableColumn id="11" name="Sub Campaign" dataDxfId="1886"/>
    <tableColumn id="4" name="Report Name" dataDxfId="1885"/>
    <tableColumn id="6" name="Frequency" dataDxfId="1884"/>
    <tableColumn id="14" name="Report Owner" dataDxfId="1883"/>
    <tableColumn id="15" name="Main Backup Person" dataDxfId="1882"/>
    <tableColumn id="7" name="NL" dataDxfId="1881"/>
    <tableColumn id="8" name="MS" dataDxfId="1880"/>
    <tableColumn id="9" name="BS" dataDxfId="1879"/>
    <tableColumn id="10" name="GK" dataDxfId="1878"/>
    <tableColumn id="22" name="IK" dataDxfId="1877"/>
    <tableColumn id="21" name="LG" dataDxfId="1876"/>
    <tableColumn id="29" name="VS" dataDxfId="1875"/>
    <tableColumn id="20" name="VI" dataDxfId="1874"/>
    <tableColumn id="19" name="ID" dataDxfId="1873"/>
    <tableColumn id="18" name="YF" dataDxfId="1872"/>
    <tableColumn id="13" name="KN" dataDxfId="1871"/>
    <tableColumn id="24" name="SD" dataDxfId="1870"/>
    <tableColumn id="30" name="NA" dataDxfId="1869"/>
    <tableColumn id="27" name="DD" dataDxfId="1868"/>
    <tableColumn id="28" name="EA" dataDxfId="1867"/>
    <tableColumn id="32" name="SS" dataDxfId="1866"/>
    <tableColumn id="35" name="NN" dataDxfId="1865"/>
    <tableColumn id="36" name="BM" dataDxfId="1864"/>
    <tableColumn id="38" name="VA" dataDxfId="1863"/>
    <tableColumn id="31" name="ST" dataDxfId="1862"/>
    <tableColumn id="33" name="AY" dataDxfId="1861"/>
    <tableColumn id="34" name="PR" dataDxfId="1860"/>
    <tableColumn id="37" name="SP" dataDxfId="1859"/>
    <tableColumn id="39" name="NR" dataDxfId="1858"/>
    <tableColumn id="16" name="Documentation" dataDxfId="1857"/>
    <tableColumn id="12" name="Documentation- ONE Note" dataDxfId="1856"/>
    <tableColumn id="17" name="Validation Date" dataDxfId="1855"/>
    <tableColumn id="23" name="Validation by" dataDxfId="1854"/>
    <tableColumn id="5" name="Comments" dataDxfId="1853"/>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1.%20Projects/8.%20Sofia/3.%20Working%20Instructions/Sofia%20Manuals" TargetMode="External"/><Relationship Id="rId117" Type="http://schemas.openxmlformats.org/officeDocument/2006/relationships/hyperlink" Target="file:///\\DK266k12FPSVR01\CPHADCRPT$\OPS" TargetMode="External"/><Relationship Id="rId21" Type="http://schemas.openxmlformats.org/officeDocument/2006/relationships/hyperlink" Target="file:///\\10.17.25.15\Client$\JnJ\Data_JnJ\Private\Team_Manager\QBR" TargetMode="External"/><Relationship Id="rId42" Type="http://schemas.openxmlformats.org/officeDocument/2006/relationships/hyperlink" Target="file:///\\BG279K12FPS01\Client$\HMD\Data_HMD\Private\Team%20Manager\Reports\Reporting%20Templates\New%20Merging%20template\Global_Dashboards_Sofia_and_Bogota" TargetMode="External"/><Relationship Id="rId47" Type="http://schemas.openxmlformats.org/officeDocument/2006/relationships/hyperlink" Target="1.%20Projects/8.%20Sofia/4.%20Standard%20Reports/HMD%20Bonuses" TargetMode="External"/><Relationship Id="rId63" Type="http://schemas.openxmlformats.org/officeDocument/2006/relationships/hyperlink" Target="https://app.powerbi.com/links/WIm0Mn9dZ5?ctid=7f16c8b3-f0ef-45a1-aa81-9d5c90cb8ba5&amp;pbi_source=linkShare" TargetMode="External"/><Relationship Id="rId68" Type="http://schemas.openxmlformats.org/officeDocument/2006/relationships/hyperlink" Target="1.%20Projects/9.%20Varna/3.%20Working%20Instructions/Varna%20Manuals/Mobilcom%20and%20Klarmobil%20Manual.one" TargetMode="External"/><Relationship Id="rId84" Type="http://schemas.openxmlformats.org/officeDocument/2006/relationships/hyperlink" Target="file:///\\10.19.2.20\Client$\Ebay\Data_Ebay\Private\Learning%20Specialist\01.%20Reporting" TargetMode="External"/><Relationship Id="rId89" Type="http://schemas.openxmlformats.org/officeDocument/2006/relationships/hyperlink" Target="file:///\\10.17.25.15\Client$\Secret%20Escapes\Data_Secret%20Escapes\Private\Team%20Manager\Reporting%20and%20metrics" TargetMode="External"/><Relationship Id="rId112" Type="http://schemas.openxmlformats.org/officeDocument/2006/relationships/hyperlink" Target="file:///\\DK266k12FPSVR01\CPHADCRPT$\OPS" TargetMode="External"/><Relationship Id="rId16" Type="http://schemas.openxmlformats.org/officeDocument/2006/relationships/hyperlink" Target="file:///\\10.17.25.15\client$\MoneyGram\Data_Moneygram\Private\Team%20Manager\SKEP" TargetMode="External"/><Relationship Id="rId107" Type="http://schemas.openxmlformats.org/officeDocument/2006/relationships/hyperlink" Target="file:///\\DK266k12FPSVR01\CPHADCRPT$\OPS" TargetMode="External"/><Relationship Id="rId11" Type="http://schemas.openxmlformats.org/officeDocument/2006/relationships/hyperlink" Target="file:///\\10.17.25.15\client$\MoneyGram\Data_Moneygram\Private\Team%20Manager\Reporting\QA" TargetMode="External"/><Relationship Id="rId32" Type="http://schemas.openxmlformats.org/officeDocument/2006/relationships/hyperlink" Target="file:///\\BG279K12FPS01\Client$\HMD\Data_HMD\Private\Team%20Manager\Reports\Reporting%20Templates\New%20Merging%20template" TargetMode="External"/><Relationship Id="rId37" Type="http://schemas.openxmlformats.org/officeDocument/2006/relationships/hyperlink" Target="file:///\\BG279K12FPS01\Client$\HMD\Data_HMD\Private\Team%20Manager\Reports\Reporting%20Templates\New%20Merging%20template" TargetMode="External"/><Relationship Id="rId53" Type="http://schemas.openxmlformats.org/officeDocument/2006/relationships/hyperlink" Target="1.%20Projects/50.%20LifeScan/3.%20Standard%20reports/51.%20COMs%20with%20Escalations" TargetMode="External"/><Relationship Id="rId58" Type="http://schemas.openxmlformats.org/officeDocument/2006/relationships/hyperlink" Target="1.%20Projects/50.%20LifeScan/3.%20Standard%20reports/27.%20Alessandra%20report" TargetMode="External"/><Relationship Id="rId74" Type="http://schemas.openxmlformats.org/officeDocument/2006/relationships/hyperlink" Target="1.%20Projects/9.%20Varna/4.%20Standard%20Reports/2020%20Upload" TargetMode="External"/><Relationship Id="rId79" Type="http://schemas.openxmlformats.org/officeDocument/2006/relationships/hyperlink" Target="file:///\\10.19.2.20\Client$\Mobilcom\Data_Mobilcom\Private\Learning%20Specialist\Daily%20Performance\Monthly_Bonus_Files_MD" TargetMode="External"/><Relationship Id="rId102" Type="http://schemas.openxmlformats.org/officeDocument/2006/relationships/hyperlink" Target="https://app.powerbi.com/groups/me/apps/fcda6803-769f-49b0-876c-d48970302eee/reports/205c638f-b990-474e-a136-1043307b4d46/ReportSection1509ab1fa1b6034ab6db" TargetMode="External"/><Relationship Id="rId123" Type="http://schemas.openxmlformats.org/officeDocument/2006/relationships/vmlDrawing" Target="../drawings/vmlDrawing1.vml"/><Relationship Id="rId5" Type="http://schemas.openxmlformats.org/officeDocument/2006/relationships/hyperlink" Target="1.%20Projects/8.%20Sofia/3.%20Working%20Instructions/Sofia%20Manuals" TargetMode="External"/><Relationship Id="rId61" Type="http://schemas.openxmlformats.org/officeDocument/2006/relationships/hyperlink" Target="1.%20Projects/50.%20LifeScan/3.%20Standard%20reports/19.%20Send%20Campaign%20Calendar" TargetMode="External"/><Relationship Id="rId82" Type="http://schemas.openxmlformats.org/officeDocument/2006/relationships/hyperlink" Target="1.%20Projects/9.%20Varna/3.%20Working%20Instructions/Varna%20Manuals/Ebay%20Manual.one" TargetMode="External"/><Relationship Id="rId90" Type="http://schemas.openxmlformats.org/officeDocument/2006/relationships/hyperlink" Target="1.%20Projects/9.%20Varna/3.%20Working%20Instructions/Varna%20Manuals/Ebay%20Manual.one" TargetMode="External"/><Relationship Id="rId95" Type="http://schemas.openxmlformats.org/officeDocument/2006/relationships/hyperlink" Target="file:///\\10.17.25.15\client$\Epson\Data_Epson\Private\Team%20Manager\reports" TargetMode="External"/><Relationship Id="rId19" Type="http://schemas.openxmlformats.org/officeDocument/2006/relationships/hyperlink" Target="1.%20Projects/8.%20Sofia/4.%20Standard%20Reports/2020%20Upload" TargetMode="External"/><Relationship Id="rId14" Type="http://schemas.openxmlformats.org/officeDocument/2006/relationships/hyperlink" Target="file:///\\10.17.25.15\client$\MoneyGram\Data_Moneygram\Private\Team%20Manager\OPS\Business%20review\NEW%20MG%20Reporting" TargetMode="External"/><Relationship Id="rId22" Type="http://schemas.openxmlformats.org/officeDocument/2006/relationships/hyperlink" Target="../../../Payroll/Data_Payroll/Payroll_Shared/MoneyGram/Presence%20Form" TargetMode="External"/><Relationship Id="rId27" Type="http://schemas.openxmlformats.org/officeDocument/2006/relationships/hyperlink" Target="1.%20Projects/8.%20Sofia/3.%20Working%20Instructions/Sofia%20Manuals" TargetMode="External"/><Relationship Id="rId30" Type="http://schemas.openxmlformats.org/officeDocument/2006/relationships/hyperlink" Target="1.%20Projects/8.%20Sofia/3.%20Working%20Instructions/Sofia%20Manuals" TargetMode="External"/><Relationship Id="rId35" Type="http://schemas.openxmlformats.org/officeDocument/2006/relationships/hyperlink" Target="file:///\\BG279K12FPS01\Client$\HMD\Data_HMD\Private\Team%20Manager\Reports\Reporting%20Templates\New%20Merging%20template" TargetMode="External"/><Relationship Id="rId43" Type="http://schemas.openxmlformats.org/officeDocument/2006/relationships/hyperlink" Target="file:///\\eu974k16mft01\Teleservices" TargetMode="External"/><Relationship Id="rId48" Type="http://schemas.openxmlformats.org/officeDocument/2006/relationships/hyperlink" Target="1.%20Projects/50.%20LifeScan/3.%20Standard%20reports/44.%20EMEA%20Orders" TargetMode="External"/><Relationship Id="rId56" Type="http://schemas.openxmlformats.org/officeDocument/2006/relationships/hyperlink" Target="1.%20Projects/50.%20LifeScan/3.%20Standard%20reports/34.%20Back%20Office%20Dashboard/New%20Dashboard%20Version" TargetMode="External"/><Relationship Id="rId64" Type="http://schemas.openxmlformats.org/officeDocument/2006/relationships/hyperlink" Target="1.%20Projects/8.%20Sofia/3.%20Working%20Instructions/Sofia%20Manuals/Wyndham%20Dashboard.one" TargetMode="External"/><Relationship Id="rId69" Type="http://schemas.openxmlformats.org/officeDocument/2006/relationships/hyperlink" Target="file:///\\10.19.2.20\Client$\Mobilcom\Data_Mobilcom\Private\Learning%20Specialist\Daily%20Performance" TargetMode="External"/><Relationship Id="rId77" Type="http://schemas.openxmlformats.org/officeDocument/2006/relationships/hyperlink" Target="file:///\\10.19.2.20\Client$\Mobilcom\Data_Mobilcom\Private\Learning%20Specialist\Daily%20Performance" TargetMode="External"/><Relationship Id="rId100" Type="http://schemas.openxmlformats.org/officeDocument/2006/relationships/hyperlink" Target="1.%20Projects/8.%20Sofia/4.%20Standard%20Reports/2020%20Upload" TargetMode="External"/><Relationship Id="rId105" Type="http://schemas.openxmlformats.org/officeDocument/2006/relationships/hyperlink" Target="file:///\\DK266k12FPSVR01\BOReports$\Sonderborg" TargetMode="External"/><Relationship Id="rId113" Type="http://schemas.openxmlformats.org/officeDocument/2006/relationships/hyperlink" Target="file:///\\DK266k12FPSVR01\CPHADCRPT$\OPS" TargetMode="External"/><Relationship Id="rId118" Type="http://schemas.openxmlformats.org/officeDocument/2006/relationships/hyperlink" Target="file:///\\DK266k12FPSVR01\CPHADCRPT$\OPS" TargetMode="External"/><Relationship Id="rId8" Type="http://schemas.openxmlformats.org/officeDocument/2006/relationships/hyperlink" Target="1.%20Projects/8.%20Sofia/3.%20Working%20Instructions/Sofia%20Manuals" TargetMode="External"/><Relationship Id="rId51" Type="http://schemas.openxmlformats.org/officeDocument/2006/relationships/hyperlink" Target="1.%20Projects/50.%20LifeScan/3.%20Standard%20reports/36.%20DE%20Campaign%20Reports/DE-DE098" TargetMode="External"/><Relationship Id="rId72" Type="http://schemas.openxmlformats.org/officeDocument/2006/relationships/hyperlink" Target="file:///\\10.17.25.15\client$\Wyndham\Data_Wyndham\Private\Team_Manager\CORE%20REPORT" TargetMode="External"/><Relationship Id="rId80" Type="http://schemas.openxmlformats.org/officeDocument/2006/relationships/hyperlink" Target="1.%20Projects/9.%20Varna/3.%20Working%20Instructions/Varna%20Manuals/Ebay%20Manual.one" TargetMode="External"/><Relationship Id="rId85" Type="http://schemas.openxmlformats.org/officeDocument/2006/relationships/hyperlink" Target="file:///\\10.19.2.20\Client$\Ebay\Data_Ebay\Private\Learning%20Specialist\01.%20Reporting" TargetMode="External"/><Relationship Id="rId93" Type="http://schemas.openxmlformats.org/officeDocument/2006/relationships/hyperlink" Target="file:///\\10.19.2.20\Client$\Ebay\Data_Ebay\Private\Learning%20Specialist\01.%20Reporting" TargetMode="External"/><Relationship Id="rId98" Type="http://schemas.openxmlformats.org/officeDocument/2006/relationships/hyperlink" Target="file:///\\10.17.25.15\client$\Epson\Data_Epson\Private\Team%20Manager\reports" TargetMode="External"/><Relationship Id="rId121" Type="http://schemas.openxmlformats.org/officeDocument/2006/relationships/hyperlink" Target="file:///\\DK266k12FPSVR01\CPHADCRPT$\OPS\ADC%20Weekly%20Intraday" TargetMode="External"/><Relationship Id="rId3" Type="http://schemas.openxmlformats.org/officeDocument/2006/relationships/hyperlink" Target="file:///\\EU999K16FPSDE01\EU999_Johnson\JJ_Management_Shared_Berlin_Sofia\1.%20Dashboard%202021" TargetMode="External"/><Relationship Id="rId12" Type="http://schemas.openxmlformats.org/officeDocument/2006/relationships/hyperlink" Target="file:///\\10.17.25.15\client$\MoneyGram\Data_Moneygram\Private\Team%20Manager\OPS\Business%20review\NEW%20MG%20Reporting" TargetMode="External"/><Relationship Id="rId17" Type="http://schemas.openxmlformats.org/officeDocument/2006/relationships/hyperlink" Target="1.%20Projects/8.%20Sofia/4.%20Standard%20Reports/2020%20Upload" TargetMode="External"/><Relationship Id="rId25" Type="http://schemas.openxmlformats.org/officeDocument/2006/relationships/hyperlink" Target="1.%20Projects/8.%20Sofia/3.%20Working%20Instructions/Sofia%20Manuals" TargetMode="External"/><Relationship Id="rId33" Type="http://schemas.openxmlformats.org/officeDocument/2006/relationships/hyperlink" Target="file:///\\BG279K12FPS01\Client$\HMD\Data_HMD\Private\Team%20Manager\Reports\Reporting%20Templates\New%20Merging%20template" TargetMode="External"/><Relationship Id="rId38" Type="http://schemas.openxmlformats.org/officeDocument/2006/relationships/hyperlink" Target="file:///\\BG279K12FPS01\Client$\HMD\Data_HMD\Private\Team%20Manager\Reports\Reporting%20Templates\New%20Merging%20template" TargetMode="External"/><Relationship Id="rId46" Type="http://schemas.openxmlformats.org/officeDocument/2006/relationships/hyperlink" Target="1.%20Projects/8.%20Sofia/3.%20Working%20Instructions/Sofia%20Manuals" TargetMode="External"/><Relationship Id="rId59" Type="http://schemas.openxmlformats.org/officeDocument/2006/relationships/hyperlink" Target="1.%20Projects/50.%20LifeScan/3.%20Standard%20reports/35.%20Quality%20Dashboard" TargetMode="External"/><Relationship Id="rId67" Type="http://schemas.openxmlformats.org/officeDocument/2006/relationships/hyperlink" Target="file:///\\10.19.2.20\Client$\Mobilcom\Data_Mobilcom\Private\Learning%20Specialist\Daily%20Performance" TargetMode="External"/><Relationship Id="rId103" Type="http://schemas.openxmlformats.org/officeDocument/2006/relationships/hyperlink" Target="1.%20Projects/8.%20Sofia/3.%20Working%20Instructions/Sofia%20Manuals/ZF.one" TargetMode="External"/><Relationship Id="rId108" Type="http://schemas.openxmlformats.org/officeDocument/2006/relationships/hyperlink" Target="file:///\\DK266k12FPSVR01\CPHADCRPT$\OPS" TargetMode="External"/><Relationship Id="rId116" Type="http://schemas.openxmlformats.org/officeDocument/2006/relationships/hyperlink" Target="file:///\\DK266k12FPSVR01\CPHADCRPT$\OPS" TargetMode="External"/><Relationship Id="rId124" Type="http://schemas.openxmlformats.org/officeDocument/2006/relationships/table" Target="../tables/table1.xml"/><Relationship Id="rId20" Type="http://schemas.openxmlformats.org/officeDocument/2006/relationships/hyperlink" Target="1.%20Projects/8.%20Sofia/3.%20Working%20Instructions/Sofia%20Manuals" TargetMode="External"/><Relationship Id="rId41" Type="http://schemas.openxmlformats.org/officeDocument/2006/relationships/hyperlink" Target="file:///\\BG279K12FPS01\Client$\HMD\Data_HMD\Private\Team%20Manager\Reports\Reporting%20Templates\New%20Merging%20template\Global_Dashboards_Sofia_and_Bogota" TargetMode="External"/><Relationship Id="rId54" Type="http://schemas.openxmlformats.org/officeDocument/2006/relationships/hyperlink" Target="1.%20Projects/50.%20LifeScan/3.%20Standard%20reports/31.%20HCP%20vs%20Customer" TargetMode="External"/><Relationship Id="rId62" Type="http://schemas.openxmlformats.org/officeDocument/2006/relationships/hyperlink" Target="https://app.powerbi.com/links/5ZOoPJ65US?ctid=7f16c8b3-f0ef-45a1-aa81-9d5c90cb8ba5&amp;pbi_source=linkShare" TargetMode="External"/><Relationship Id="rId70" Type="http://schemas.openxmlformats.org/officeDocument/2006/relationships/hyperlink" Target="1.%20Projects/8.%20Sofia/4.%20Standard%20Reports/Wyndham%20Invoice" TargetMode="External"/><Relationship Id="rId75" Type="http://schemas.openxmlformats.org/officeDocument/2006/relationships/hyperlink" Target="1.%20Projects/9.%20Varna/4.%20Standard%20Reports/2020%20Upload" TargetMode="External"/><Relationship Id="rId83" Type="http://schemas.openxmlformats.org/officeDocument/2006/relationships/hyperlink" Target="file:///\\10.19.2.20\Client$\Ebay\Data_Ebay\Private\Learning%20Specialist\01.%20Reporting" TargetMode="External"/><Relationship Id="rId88" Type="http://schemas.openxmlformats.org/officeDocument/2006/relationships/hyperlink" Target="1.%20Projects/8.%20Sofia/3.%20Working%20Instructions/Sofia%20Manuals/Secret%20Escapes%20Dashboard.one" TargetMode="External"/><Relationship Id="rId91" Type="http://schemas.openxmlformats.org/officeDocument/2006/relationships/hyperlink" Target="file:///\\10.19.2.20\Client$\Ebay\Data_Ebay\Private\Learning%20Specialist\01.%20Reporting" TargetMode="External"/><Relationship Id="rId96" Type="http://schemas.openxmlformats.org/officeDocument/2006/relationships/hyperlink" Target="1.%20Projects/8.%20Sofia/3.%20Working%20Instructions/Sofia%20Manuals/Epson%20Dashboard.one" TargetMode="External"/><Relationship Id="rId111" Type="http://schemas.openxmlformats.org/officeDocument/2006/relationships/hyperlink" Target="file:///\\DK266k12FPSVR01\BOReports$\Lateness" TargetMode="External"/><Relationship Id="rId1" Type="http://schemas.openxmlformats.org/officeDocument/2006/relationships/hyperlink" Target="1.%20Projects/8.%20Sofia/3.%20Working%20Instructions/Sofia%20Manuals" TargetMode="External"/><Relationship Id="rId6" Type="http://schemas.openxmlformats.org/officeDocument/2006/relationships/hyperlink" Target="file:///\\10.17.25.15\client$\Ring%20Central\Data_Ring%20Central\Private\Team%20Manager\Reporting" TargetMode="External"/><Relationship Id="rId15" Type="http://schemas.openxmlformats.org/officeDocument/2006/relationships/hyperlink" Target="file:///\\10.17.25.15\client$\MoneyGram\Data_Moneygram\Private\Team%20Manager\Reporting\Team" TargetMode="External"/><Relationship Id="rId23" Type="http://schemas.openxmlformats.org/officeDocument/2006/relationships/hyperlink" Target="1.%20Projects/8.%20Sofia/3.%20Working%20Instructions/Sofia%20Manuals" TargetMode="External"/><Relationship Id="rId28" Type="http://schemas.openxmlformats.org/officeDocument/2006/relationships/hyperlink" Target="1.%20Projects/8.%20Sofia/3.%20Working%20Instructions/Sofia%20Manuals" TargetMode="External"/><Relationship Id="rId36" Type="http://schemas.openxmlformats.org/officeDocument/2006/relationships/hyperlink" Target="file:///\\BG279K12FPS01\Client$\HMD\Data_HMD\Private\Team%20Manager\Reports\Reporting%20Templates\New%20Merging%20template" TargetMode="External"/><Relationship Id="rId49" Type="http://schemas.openxmlformats.org/officeDocument/2006/relationships/hyperlink" Target="1.%20Projects/50.%20LifeScan/3.%20Standard%20reports/24.%20Campaign%20Setup/FR-FR034" TargetMode="External"/><Relationship Id="rId57" Type="http://schemas.openxmlformats.org/officeDocument/2006/relationships/hyperlink" Target="1.%20Projects/50.%20LifeScan/3.%20Standard%20reports/6.%20MBR" TargetMode="External"/><Relationship Id="rId106" Type="http://schemas.openxmlformats.org/officeDocument/2006/relationships/hyperlink" Target="file:///\\DK266k12FPSVR01\BOReports$\Attrition" TargetMode="External"/><Relationship Id="rId114" Type="http://schemas.openxmlformats.org/officeDocument/2006/relationships/hyperlink" Target="file:///\\DK266k12FPSVR01\CPHADCRPT$\OPS" TargetMode="External"/><Relationship Id="rId119" Type="http://schemas.openxmlformats.org/officeDocument/2006/relationships/hyperlink" Target="file:///\\DK266k12FPSVR01\CPHADCRPT$\OPS" TargetMode="External"/><Relationship Id="rId10" Type="http://schemas.openxmlformats.org/officeDocument/2006/relationships/hyperlink" Target="file:///\\10.17.25.15\client$\Ring%20Central\Data_Ring%20Central\Private\Team%20Manager\Reporting" TargetMode="External"/><Relationship Id="rId31" Type="http://schemas.openxmlformats.org/officeDocument/2006/relationships/hyperlink" Target="1.%20Projects/8.%20Sofia/3.%20Working%20Instructions/Sofia%20Manuals" TargetMode="External"/><Relationship Id="rId44" Type="http://schemas.openxmlformats.org/officeDocument/2006/relationships/hyperlink" Target="1.%20Projects/8.%20Sofia/4.%20Standard%20Reports/2020%20Upload" TargetMode="External"/><Relationship Id="rId52" Type="http://schemas.openxmlformats.org/officeDocument/2006/relationships/hyperlink" Target="1.%20Projects/50.%20LifeScan/3.%20Standard%20reports/24.%20Campaign%20Setup/FR-FR033" TargetMode="External"/><Relationship Id="rId60" Type="http://schemas.openxmlformats.org/officeDocument/2006/relationships/hyperlink" Target="1.%20Projects/50.%20LifeScan/3.%20Standard%20reports/35.%20Quality%20Dashboard" TargetMode="External"/><Relationship Id="rId65" Type="http://schemas.openxmlformats.org/officeDocument/2006/relationships/hyperlink" Target="file:///\\10.17.25.15\client$\Wyndham\Data_Wyndham\Private\Team_Manager\CORE%20REPORT" TargetMode="External"/><Relationship Id="rId73" Type="http://schemas.openxmlformats.org/officeDocument/2006/relationships/hyperlink" Target="1.%20Projects/8.%20Sofia/4.%20Standard%20Reports/2020%20Upload" TargetMode="External"/><Relationship Id="rId78" Type="http://schemas.openxmlformats.org/officeDocument/2006/relationships/hyperlink" Target="file:///\\10.19.2.20\Client$\Mobilcom\Data_Mobilcom\Private\Learning%20Specialist\Daily%20Performance\Monthly_Bonus_Files_KM" TargetMode="External"/><Relationship Id="rId81" Type="http://schemas.openxmlformats.org/officeDocument/2006/relationships/hyperlink" Target="1.%20Projects/9.%20Varna/3.%20Working%20Instructions/Varna%20Manuals/Ebay%20Manual.one" TargetMode="External"/><Relationship Id="rId86" Type="http://schemas.openxmlformats.org/officeDocument/2006/relationships/hyperlink" Target="1.%20Projects/9.%20Varna/4.%20Standard%20Reports/2020%20Upload" TargetMode="External"/><Relationship Id="rId94" Type="http://schemas.openxmlformats.org/officeDocument/2006/relationships/hyperlink" Target="1.%20Projects/8.%20Sofia/3.%20Working%20Instructions/Sofia%20Manuals/Epson%20Dashboard.one" TargetMode="External"/><Relationship Id="rId99" Type="http://schemas.openxmlformats.org/officeDocument/2006/relationships/hyperlink" Target="file:///\\10.17.25.15\client$\Epson\Data_Epson\Private\Team%20Manager\reports" TargetMode="External"/><Relationship Id="rId101" Type="http://schemas.openxmlformats.org/officeDocument/2006/relationships/hyperlink" Target="1.%20Projects/9.%20Varna/3.%20Working%20Instructions/Varna%20Manuals/PG.one" TargetMode="External"/><Relationship Id="rId122" Type="http://schemas.openxmlformats.org/officeDocument/2006/relationships/printerSettings" Target="../printerSettings/printerSettings1.bin"/><Relationship Id="rId4" Type="http://schemas.openxmlformats.org/officeDocument/2006/relationships/hyperlink" Target="file:///\\EU999K16FPSDE01\EU999_Johnson\JJ_Management_Shared_Berlin_Sofia\1.%20Dashboard%202021\CSAT%20surveys" TargetMode="External"/><Relationship Id="rId9" Type="http://schemas.openxmlformats.org/officeDocument/2006/relationships/hyperlink" Target="file:///\\10.17.25.15\client$\Ring%20Central\Data_Ring%20Central\Private\Team%20Manager\Reporting" TargetMode="External"/><Relationship Id="rId13" Type="http://schemas.openxmlformats.org/officeDocument/2006/relationships/hyperlink" Target="file:///\\10.17.25.15\client$\MoneyGram\Data_Moneygram\Private\Team%20Manager\OPS\Business%20review\NEW%20MG%20Reporting" TargetMode="External"/><Relationship Id="rId18" Type="http://schemas.openxmlformats.org/officeDocument/2006/relationships/hyperlink" Target="1.%20Projects/8.%20Sofia/3.%20Working%20Instructions/Sofia%20Manuals" TargetMode="External"/><Relationship Id="rId39" Type="http://schemas.openxmlformats.org/officeDocument/2006/relationships/hyperlink" Target="file:///\\BG279K12FPS01\Client$\HMD\Data_HMD\Private\Team%20Manager\Reports\Reporting%20Templates\New%20Merging%20template" TargetMode="External"/><Relationship Id="rId109" Type="http://schemas.openxmlformats.org/officeDocument/2006/relationships/hyperlink" Target="file:///\\DK266k12FPSVR01\CPHADCRPT$\OPS" TargetMode="External"/><Relationship Id="rId34" Type="http://schemas.openxmlformats.org/officeDocument/2006/relationships/hyperlink" Target="file:///\\BG279K12FPS01\Client$\HMD\Data_HMD\Private\Team%20Manager\Reports\Reporting%20Templates\New%20Merging%20template" TargetMode="External"/><Relationship Id="rId50" Type="http://schemas.openxmlformats.org/officeDocument/2006/relationships/hyperlink" Target="1.%20Projects/50.%20LifeScan/3.%20Standard%20reports/24.%20Campaign%20Setup/BE-BE021" TargetMode="External"/><Relationship Id="rId55" Type="http://schemas.openxmlformats.org/officeDocument/2006/relationships/hyperlink" Target="1.%20Projects/50.%20LifeScan/3.%20Standard%20reports/36.%20DE%20Campaign%20Reports/DE-DE091%20New%20Report" TargetMode="External"/><Relationship Id="rId76" Type="http://schemas.openxmlformats.org/officeDocument/2006/relationships/hyperlink" Target="1.%20Projects/9.%20Varna/3.%20Working%20Instructions/Varna%20Manuals/Mobilcom%20and%20Klarmobil%20Manual.one" TargetMode="External"/><Relationship Id="rId97" Type="http://schemas.openxmlformats.org/officeDocument/2006/relationships/hyperlink" Target="1.%20Projects/8.%20Sofia/3.%20Working%20Instructions/Sofia%20Manuals/Epson%20Dashboard.one" TargetMode="External"/><Relationship Id="rId104" Type="http://schemas.openxmlformats.org/officeDocument/2006/relationships/hyperlink" Target="1.%20Projects/8.%20Sofia/3.%20Working%20Instructions/Sofia%20Manuals/ZF.one" TargetMode="External"/><Relationship Id="rId120" Type="http://schemas.openxmlformats.org/officeDocument/2006/relationships/hyperlink" Target="file:///\\DK266k12FPSVR01\CPHADCRPT$\OPS" TargetMode="External"/><Relationship Id="rId125" Type="http://schemas.openxmlformats.org/officeDocument/2006/relationships/comments" Target="../comments1.xml"/><Relationship Id="rId7" Type="http://schemas.openxmlformats.org/officeDocument/2006/relationships/hyperlink" Target="1.%20Projects/8.%20Sofia/3.%20Working%20Instructions/Sofia%20Manuals" TargetMode="External"/><Relationship Id="rId71" Type="http://schemas.openxmlformats.org/officeDocument/2006/relationships/hyperlink" Target="1.%20Projects/8.%20Sofia/3.%20Working%20Instructions/Sofia%20Manuals/Wyndham%20Dashboard.one" TargetMode="External"/><Relationship Id="rId92" Type="http://schemas.openxmlformats.org/officeDocument/2006/relationships/hyperlink" Target="1.%20Projects/9.%20Varna/3.%20Working%20Instructions/Varna%20Manuals/Ebay%20Manual.one" TargetMode="External"/><Relationship Id="rId2" Type="http://schemas.openxmlformats.org/officeDocument/2006/relationships/hyperlink" Target="1.%20Projects/8.%20Sofia/3.%20Working%20Instructions/Sofia%20Manuals" TargetMode="External"/><Relationship Id="rId29" Type="http://schemas.openxmlformats.org/officeDocument/2006/relationships/hyperlink" Target="1.%20Projects/8.%20Sofia/3.%20Working%20Instructions/Sofia%20Manuals" TargetMode="External"/><Relationship Id="rId24" Type="http://schemas.openxmlformats.org/officeDocument/2006/relationships/hyperlink" Target="1.%20Projects/8.%20Sofia/3.%20Working%20Instructions/Sofia%20Manuals" TargetMode="External"/><Relationship Id="rId40" Type="http://schemas.openxmlformats.org/officeDocument/2006/relationships/hyperlink" Target="file:///\\BG279K12FPS01\Client$\HMD\Data_HMD\Private\Team%20Manager\Reports\Reporting%20Templates\New%20Merging%20template\Global_Dashboards_Sofia_and_Bogota" TargetMode="External"/><Relationship Id="rId45" Type="http://schemas.openxmlformats.org/officeDocument/2006/relationships/hyperlink" Target="file:///\\BG279K12FPS01\Client$\HMD\Data_HMD\Private\Team%20Manager\Reports\Reporting%20Templates\New%20Merging%20template\Bonuses" TargetMode="External"/><Relationship Id="rId66" Type="http://schemas.openxmlformats.org/officeDocument/2006/relationships/hyperlink" Target="1.%20Projects/9.%20Varna/3.%20Working%20Instructions/Varna%20Manuals/Mobilcom%20and%20Klarmobil%20Manual.one" TargetMode="External"/><Relationship Id="rId87" Type="http://schemas.openxmlformats.org/officeDocument/2006/relationships/hyperlink" Target="file:///\\10.19.2.20\Client$\Ebay\Data_Ebay\Private\Learning%20Specialist\01.%20Reporting" TargetMode="External"/><Relationship Id="rId110" Type="http://schemas.openxmlformats.org/officeDocument/2006/relationships/hyperlink" Target="file:///\\DK266k12FPSVR01\CPHADCRPT$\OPS" TargetMode="External"/><Relationship Id="rId115" Type="http://schemas.openxmlformats.org/officeDocument/2006/relationships/hyperlink" Target="file:///\\DK266k12FPSVR01\CPHADCRPT$\OP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1.%20Projects/2.%20Exeter/3.%20Working%20Instructions/Exeter%20Manuals.onetoc2.lnk" TargetMode="External"/><Relationship Id="rId13" Type="http://schemas.openxmlformats.org/officeDocument/2006/relationships/hyperlink" Target="1.%20Projects/8.%20Sofia/3.%20Working%20Instructions/Sofia%20Manuals" TargetMode="External"/><Relationship Id="rId3" Type="http://schemas.openxmlformats.org/officeDocument/2006/relationships/hyperlink" Target="1.%20Projects/2.%20Exeter/3.%20Working%20Instructions/Exeter%20Manuals.onetoc2.lnk" TargetMode="External"/><Relationship Id="rId7" Type="http://schemas.openxmlformats.org/officeDocument/2006/relationships/hyperlink" Target="1.%20Projects/2.%20Exeter/3.%20Working%20Instructions/Exeter%20Manuals.onetoc2.lnk" TargetMode="External"/><Relationship Id="rId12" Type="http://schemas.openxmlformats.org/officeDocument/2006/relationships/hyperlink" Target="1.%20Projects\2.%20Exeter\3.%20Working%20Instructions\Exeter%20Manuals.onetoc2.lnk" TargetMode="External"/><Relationship Id="rId17" Type="http://schemas.openxmlformats.org/officeDocument/2006/relationships/table" Target="../tables/table2.xml"/><Relationship Id="rId2" Type="http://schemas.openxmlformats.org/officeDocument/2006/relationships/hyperlink" Target="1.%20Projects/2.%20Exeter/3.%20Working%20Instructions/Exeter%20Manuals.onetoc2.lnk" TargetMode="External"/><Relationship Id="rId16" Type="http://schemas.openxmlformats.org/officeDocument/2006/relationships/printerSettings" Target="../printerSettings/printerSettings2.bin"/><Relationship Id="rId1" Type="http://schemas.openxmlformats.org/officeDocument/2006/relationships/hyperlink" Target="1.%20Projects\2.%20Exeter\3.%20Working%20Instructions\Exeter%20Manuals.onetoc2.lnk" TargetMode="External"/><Relationship Id="rId6" Type="http://schemas.openxmlformats.org/officeDocument/2006/relationships/hyperlink" Target="1.%20Projects/2.%20Exeter/3.%20Working%20Instructions/Exeter%20Manuals.onetoc2.lnk" TargetMode="External"/><Relationship Id="rId11" Type="http://schemas.openxmlformats.org/officeDocument/2006/relationships/hyperlink" Target="1.%20Projects/2.%20Exeter/3.%20Working%20Instructions/Exeter%20Manuals.onetoc2.lnk" TargetMode="External"/><Relationship Id="rId5" Type="http://schemas.openxmlformats.org/officeDocument/2006/relationships/hyperlink" Target="1.%20Projects/2.%20Exeter/3.%20Working%20Instructions/Exeter%20Manuals.onetoc2.lnk" TargetMode="External"/><Relationship Id="rId15" Type="http://schemas.openxmlformats.org/officeDocument/2006/relationships/hyperlink" Target="1.%20Projects/8.%20Sofia/3.%20Working%20Instructions/Sofia%20Manuals" TargetMode="External"/><Relationship Id="rId10" Type="http://schemas.openxmlformats.org/officeDocument/2006/relationships/hyperlink" Target="1.%20Projects/2.%20Exeter/3.%20Working%20Instructions/Exeter%20Manuals.onetoc2.lnk" TargetMode="External"/><Relationship Id="rId4" Type="http://schemas.openxmlformats.org/officeDocument/2006/relationships/hyperlink" Target="1.%20Projects\2.%20Exeter\3.%20Working%20Instructions\Exeter%20Manuals.onetoc2.lnk" TargetMode="External"/><Relationship Id="rId9" Type="http://schemas.openxmlformats.org/officeDocument/2006/relationships/hyperlink" Target="1.%20Projects/2.%20Exeter/3.%20Working%20Instructions/Exeter%20Manuals.onetoc2.lnk" TargetMode="External"/><Relationship Id="rId14" Type="http://schemas.openxmlformats.org/officeDocument/2006/relationships/hyperlink" Target="1.%20Projects/8.%20Sofia/3.%20Working%20Instructions/Sofia%20Manual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3" Type="http://schemas.openxmlformats.org/officeDocument/2006/relationships/hyperlink" Target="mailto:crt_uk@sitel.com" TargetMode="External"/><Relationship Id="rId18" Type="http://schemas.openxmlformats.org/officeDocument/2006/relationships/hyperlink" Target="mailto:Emil.Atanassov@sitel.com;Diana.Dimitrova@sitel.com" TargetMode="External"/><Relationship Id="rId26" Type="http://schemas.openxmlformats.org/officeDocument/2006/relationships/hyperlink" Target="mailto:Emil.Atanassov@sitel.com;Diana.Dimitrova@sitel.com;Silviya.Todorova@sitel.com" TargetMode="External"/><Relationship Id="rId39" Type="http://schemas.openxmlformats.org/officeDocument/2006/relationships/hyperlink" Target="mailto:Emil.Atanassov@sitel.com" TargetMode="External"/><Relationship Id="rId3" Type="http://schemas.openxmlformats.org/officeDocument/2006/relationships/hyperlink" Target="mailto:crt_uk@sitel.com" TargetMode="External"/><Relationship Id="rId21" Type="http://schemas.openxmlformats.org/officeDocument/2006/relationships/hyperlink" Target="file:///\\10.7.16.12\ssis\Data%20Sources\BO_COR" TargetMode="External"/><Relationship Id="rId34" Type="http://schemas.openxmlformats.org/officeDocument/2006/relationships/hyperlink" Target="mailto:stephen.caffull@sitel.com;Emil.Atanassov@sitel.com;Diana.Dimitrova@sitel.com;resource.mi@sseenergyservices.com;Silviya.Todorova@sitel.com" TargetMode="External"/><Relationship Id="rId42" Type="http://schemas.openxmlformats.org/officeDocument/2006/relationships/hyperlink" Target="mailto:Payroll.Hub@sitel.com" TargetMode="External"/><Relationship Id="rId47" Type="http://schemas.openxmlformats.org/officeDocument/2006/relationships/hyperlink" Target="mailto:Heathrow-SitelManagers@sitel.com" TargetMode="External"/><Relationship Id="rId50" Type="http://schemas.openxmlformats.org/officeDocument/2006/relationships/hyperlink" Target="mailto:silviya.petrova@sitel.com" TargetMode="External"/><Relationship Id="rId7" Type="http://schemas.openxmlformats.org/officeDocument/2006/relationships/hyperlink" Target="mailto:crt_uk@sitel.com" TargetMode="External"/><Relationship Id="rId12" Type="http://schemas.openxmlformats.org/officeDocument/2006/relationships/hyperlink" Target="mailto:richard.goodchild@sitel.com" TargetMode="External"/><Relationship Id="rId17" Type="http://schemas.openxmlformats.org/officeDocument/2006/relationships/hyperlink" Target="mailto:Emil.Atanassov@sitel.com;Diana.Dimitrova@sitel.com" TargetMode="External"/><Relationship Id="rId25" Type="http://schemas.openxmlformats.org/officeDocument/2006/relationships/hyperlink" Target="mailto:Jonathan.Mcnelis@sitel.com" TargetMode="External"/><Relationship Id="rId33" Type="http://schemas.openxmlformats.org/officeDocument/2006/relationships/hyperlink" Target="file:///\\10.7.16.12\ssis\Data%20Sources\CS%20PSA" TargetMode="External"/><Relationship Id="rId38" Type="http://schemas.openxmlformats.org/officeDocument/2006/relationships/hyperlink" Target="mailto:Daniel.Piper@sitel.com" TargetMode="External"/><Relationship Id="rId46" Type="http://schemas.openxmlformats.org/officeDocument/2006/relationships/hyperlink" Target="mailto:David.Hitching@sitel.com" TargetMode="External"/><Relationship Id="rId2" Type="http://schemas.openxmlformats.org/officeDocument/2006/relationships/hyperlink" Target="mailto:crt_uk@sitel.com" TargetMode="External"/><Relationship Id="rId16" Type="http://schemas.openxmlformats.org/officeDocument/2006/relationships/hyperlink" Target="mailto:Sophia.anonatau@sitel.com" TargetMode="External"/><Relationship Id="rId20" Type="http://schemas.openxmlformats.org/officeDocument/2006/relationships/hyperlink" Target="file:///\\10.7.16.12\ssis\Data%20Sources\BO_COR" TargetMode="External"/><Relationship Id="rId29" Type="http://schemas.openxmlformats.org/officeDocument/2006/relationships/hyperlink" Target="mailto:jonathan.collins@sseenergyservices.com" TargetMode="External"/><Relationship Id="rId41" Type="http://schemas.openxmlformats.org/officeDocument/2006/relationships/hyperlink" Target="mailto:harry.alexander@sitel.com" TargetMode="External"/><Relationship Id="rId1" Type="http://schemas.openxmlformats.org/officeDocument/2006/relationships/hyperlink" Target="mailto:crt_uk@sitel.com" TargetMode="External"/><Relationship Id="rId6" Type="http://schemas.openxmlformats.org/officeDocument/2006/relationships/hyperlink" Target="mailto:kevin.carlin@sitel.com" TargetMode="External"/><Relationship Id="rId11" Type="http://schemas.openxmlformats.org/officeDocument/2006/relationships/hyperlink" Target="mailto:richard.goodchild@sitel.com" TargetMode="External"/><Relationship Id="rId24" Type="http://schemas.openxmlformats.org/officeDocument/2006/relationships/hyperlink" Target="mailto:Jonathan.Mcnelis@sitel.com" TargetMode="External"/><Relationship Id="rId32" Type="http://schemas.openxmlformats.org/officeDocument/2006/relationships/hyperlink" Target="mailto:richard.harris@sitel.com" TargetMode="External"/><Relationship Id="rId37" Type="http://schemas.openxmlformats.org/officeDocument/2006/relationships/hyperlink" Target="mailto:harry.alexander@sitel.com" TargetMode="External"/><Relationship Id="rId40" Type="http://schemas.openxmlformats.org/officeDocument/2006/relationships/hyperlink" Target="mailto:harry.alexander@sitel.com" TargetMode="External"/><Relationship Id="rId45" Type="http://schemas.openxmlformats.org/officeDocument/2006/relationships/hyperlink" Target="mailto:silviya.petrova@sitel.com" TargetMode="External"/><Relationship Id="rId53" Type="http://schemas.openxmlformats.org/officeDocument/2006/relationships/comments" Target="../comments2.xml"/><Relationship Id="rId5" Type="http://schemas.openxmlformats.org/officeDocument/2006/relationships/hyperlink" Target="mailto:crt_uk@sitel.com" TargetMode="External"/><Relationship Id="rId15" Type="http://schemas.openxmlformats.org/officeDocument/2006/relationships/hyperlink" Target="mailto:crt_uk@sitel.com" TargetMode="External"/><Relationship Id="rId23" Type="http://schemas.openxmlformats.org/officeDocument/2006/relationships/hyperlink" Target="file:///\\GB694K12FPS01\Client$\John%20Lewis\Team%20Manager" TargetMode="External"/><Relationship Id="rId28" Type="http://schemas.openxmlformats.org/officeDocument/2006/relationships/hyperlink" Target="mailto:jonathan.collins@sseenergyservices.com" TargetMode="External"/><Relationship Id="rId36" Type="http://schemas.openxmlformats.org/officeDocument/2006/relationships/hyperlink" Target="mailto:Emil.Atanassov@sitel.com;Diana.Dimitrova@sitel.com;Silviya.Todorova@sitel.com" TargetMode="External"/><Relationship Id="rId49" Type="http://schemas.openxmlformats.org/officeDocument/2006/relationships/hyperlink" Target="mailto:Tarrin.Reynolds@sitel.com" TargetMode="External"/><Relationship Id="rId10" Type="http://schemas.openxmlformats.org/officeDocument/2006/relationships/hyperlink" Target="mailto:sandeep.parsotam@ext.mpsa.com" TargetMode="External"/><Relationship Id="rId19" Type="http://schemas.openxmlformats.org/officeDocument/2006/relationships/hyperlink" Target="mailto:Emil.Atanassov@sitel.com;Diana.Dimitrova@sitel.com;stephen.may@sitel.com" TargetMode="External"/><Relationship Id="rId31" Type="http://schemas.openxmlformats.org/officeDocument/2006/relationships/hyperlink" Target="mailto:Daniel.Piper@sitel.com" TargetMode="External"/><Relationship Id="rId44" Type="http://schemas.openxmlformats.org/officeDocument/2006/relationships/hyperlink" Target="mailto:silviya.petrova@sitel.com" TargetMode="External"/><Relationship Id="rId52" Type="http://schemas.openxmlformats.org/officeDocument/2006/relationships/table" Target="../tables/table4.xml"/><Relationship Id="rId4" Type="http://schemas.openxmlformats.org/officeDocument/2006/relationships/hyperlink" Target="mailto:crt_uk@sitel.com" TargetMode="External"/><Relationship Id="rId9" Type="http://schemas.openxmlformats.org/officeDocument/2006/relationships/hyperlink" Target="mailto:daniel.abrehart-smith@sitel.com" TargetMode="External"/><Relationship Id="rId14" Type="http://schemas.openxmlformats.org/officeDocument/2006/relationships/hyperlink" Target="mailto:crt_uk@sitel.com" TargetMode="External"/><Relationship Id="rId22" Type="http://schemas.openxmlformats.org/officeDocument/2006/relationships/hyperlink" Target="mailto:Hayley.Barlow@sitel.com;" TargetMode="External"/><Relationship Id="rId27" Type="http://schemas.openxmlformats.org/officeDocument/2006/relationships/hyperlink" Target="mailto:stephen.caffull@sitel.com;Emil.Atanassov@sitel.com;Diana.Dimitrova@sitel.com;resource.mi@sseenergyservices.com;Silviya.Todorova@sitel.com" TargetMode="External"/><Relationship Id="rId30" Type="http://schemas.openxmlformats.org/officeDocument/2006/relationships/hyperlink" Target="mailto:michaela.young@sitel.com" TargetMode="External"/><Relationship Id="rId35" Type="http://schemas.openxmlformats.org/officeDocument/2006/relationships/hyperlink" Target="file:///\\10.7.16.12\ssis\Data%20Sources\CS%20JL" TargetMode="External"/><Relationship Id="rId43" Type="http://schemas.openxmlformats.org/officeDocument/2006/relationships/hyperlink" Target="mailto:diana.dimitrova@sitel.com" TargetMode="External"/><Relationship Id="rId48" Type="http://schemas.openxmlformats.org/officeDocument/2006/relationships/hyperlink" Target="mailto:olga.jaworska@sitel.com" TargetMode="External"/><Relationship Id="rId8" Type="http://schemas.openxmlformats.org/officeDocument/2006/relationships/hyperlink" Target="mailto:crt_uk@sitel.com" TargetMode="External"/><Relationship Id="rId5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AS360"/>
  <sheetViews>
    <sheetView showGridLines="0" tabSelected="1" zoomScale="70" zoomScaleNormal="70" workbookViewId="0">
      <selection activeCell="Z361" sqref="Z361"/>
    </sheetView>
  </sheetViews>
  <sheetFormatPr defaultRowHeight="14.4"/>
  <cols>
    <col min="1" max="1" width="4.44140625" customWidth="1"/>
    <col min="2" max="2" width="11.44140625" bestFit="1" customWidth="1"/>
    <col min="4" max="4" width="26.44140625" customWidth="1"/>
    <col min="5" max="5" width="21.44140625" bestFit="1" customWidth="1"/>
    <col min="6" max="6" width="32.44140625" customWidth="1"/>
    <col min="7" max="7" width="19.109375" customWidth="1"/>
    <col min="8" max="9" width="63" customWidth="1"/>
    <col min="10" max="10" width="20.33203125" bestFit="1" customWidth="1"/>
    <col min="11" max="11" width="12.44140625" customWidth="1"/>
    <col min="12" max="12" width="14" customWidth="1"/>
    <col min="13" max="36" width="5.44140625" customWidth="1"/>
    <col min="37" max="37" width="12.109375" customWidth="1"/>
    <col min="38" max="42" width="18.44140625" customWidth="1"/>
    <col min="43" max="43" width="23.6640625" customWidth="1"/>
    <col min="44" max="44" width="72.44140625" style="10" bestFit="1" customWidth="1"/>
  </cols>
  <sheetData>
    <row r="1" spans="2:44" ht="15.75" customHeight="1" thickBot="1">
      <c r="P1" s="4" t="s">
        <v>0</v>
      </c>
      <c r="Q1" s="155" t="s">
        <v>2</v>
      </c>
      <c r="R1" s="156"/>
      <c r="S1" s="156"/>
      <c r="T1" s="156"/>
      <c r="U1" s="25" t="s">
        <v>3</v>
      </c>
      <c r="V1" s="26"/>
      <c r="W1" s="26"/>
      <c r="X1" s="22"/>
      <c r="Y1" s="22"/>
      <c r="Z1" s="22"/>
      <c r="AA1" s="22"/>
      <c r="AB1" s="22"/>
      <c r="AC1" s="22"/>
      <c r="AD1" s="22"/>
      <c r="AE1" s="22"/>
      <c r="AF1" s="22"/>
      <c r="AG1" s="22"/>
      <c r="AH1" s="22"/>
      <c r="AI1" s="22"/>
      <c r="AJ1" s="26"/>
      <c r="AK1" s="26"/>
      <c r="AL1" s="14"/>
      <c r="AN1" s="4" t="s">
        <v>543</v>
      </c>
      <c r="AO1" s="149" t="s">
        <v>3</v>
      </c>
      <c r="AP1" s="150"/>
      <c r="AQ1" s="150"/>
      <c r="AR1"/>
    </row>
    <row r="2" spans="2:44" ht="15.75" customHeight="1" thickBot="1">
      <c r="P2" s="5">
        <v>0</v>
      </c>
      <c r="Q2" s="153" t="s">
        <v>5</v>
      </c>
      <c r="R2" s="154"/>
      <c r="S2" s="154"/>
      <c r="T2" s="154"/>
      <c r="U2" s="27" t="s">
        <v>6</v>
      </c>
      <c r="V2" s="28"/>
      <c r="W2" s="28"/>
      <c r="X2" s="23"/>
      <c r="Y2" s="23"/>
      <c r="Z2" s="23"/>
      <c r="AA2" s="23"/>
      <c r="AB2" s="23"/>
      <c r="AC2" s="23"/>
      <c r="AD2" s="23"/>
      <c r="AE2" s="23"/>
      <c r="AF2" s="23"/>
      <c r="AG2" s="23"/>
      <c r="AH2" s="23"/>
      <c r="AI2" s="23"/>
      <c r="AJ2" s="28"/>
      <c r="AK2" s="28"/>
      <c r="AL2" s="15"/>
      <c r="AN2" s="87">
        <v>0.5</v>
      </c>
      <c r="AO2" s="81" t="s">
        <v>547</v>
      </c>
      <c r="AP2" s="81"/>
      <c r="AQ2" s="81"/>
      <c r="AR2"/>
    </row>
    <row r="3" spans="2:44" ht="15.75" customHeight="1" thickBot="1">
      <c r="P3" s="6">
        <v>1</v>
      </c>
      <c r="Q3" s="151" t="s">
        <v>4</v>
      </c>
      <c r="R3" s="152"/>
      <c r="S3" s="152"/>
      <c r="T3" s="152"/>
      <c r="U3" s="29" t="s">
        <v>7</v>
      </c>
      <c r="V3" s="30"/>
      <c r="W3" s="30"/>
      <c r="X3" s="24"/>
      <c r="Y3" s="24"/>
      <c r="Z3" s="24"/>
      <c r="AA3" s="24"/>
      <c r="AB3" s="24"/>
      <c r="AC3" s="24"/>
      <c r="AD3" s="24"/>
      <c r="AE3" s="24"/>
      <c r="AF3" s="24"/>
      <c r="AG3" s="24"/>
      <c r="AH3" s="24"/>
      <c r="AI3" s="24"/>
      <c r="AJ3" s="30"/>
      <c r="AK3" s="30"/>
      <c r="AL3" s="16"/>
      <c r="AN3" s="84">
        <v>0.8</v>
      </c>
      <c r="AO3" s="80" t="s">
        <v>546</v>
      </c>
      <c r="AP3" s="80"/>
      <c r="AQ3" s="80"/>
      <c r="AR3"/>
    </row>
    <row r="4" spans="2:44" ht="15.75" customHeight="1" thickBot="1">
      <c r="E4" s="157" t="s">
        <v>232</v>
      </c>
      <c r="F4" s="157"/>
      <c r="G4" s="157"/>
      <c r="H4" s="157"/>
      <c r="I4" s="74"/>
      <c r="P4" s="7">
        <v>2</v>
      </c>
      <c r="Q4" s="158" t="s">
        <v>1</v>
      </c>
      <c r="R4" s="159"/>
      <c r="S4" s="159"/>
      <c r="T4" s="159"/>
      <c r="U4" s="31" t="s">
        <v>26</v>
      </c>
      <c r="V4" s="32"/>
      <c r="W4" s="32"/>
      <c r="X4" s="19"/>
      <c r="Y4" s="19"/>
      <c r="Z4" s="19"/>
      <c r="AA4" s="19"/>
      <c r="AB4" s="19"/>
      <c r="AC4" s="19"/>
      <c r="AD4" s="19"/>
      <c r="AE4" s="19"/>
      <c r="AF4" s="19"/>
      <c r="AG4" s="19"/>
      <c r="AH4" s="19"/>
      <c r="AI4" s="19"/>
      <c r="AJ4" s="32"/>
      <c r="AK4" s="32"/>
      <c r="AL4" s="11"/>
      <c r="AN4" s="86">
        <v>0.9</v>
      </c>
      <c r="AO4" s="83" t="s">
        <v>545</v>
      </c>
      <c r="AP4" s="83"/>
      <c r="AQ4" s="83"/>
      <c r="AR4"/>
    </row>
    <row r="5" spans="2:44" ht="15.75" customHeight="1" thickBot="1">
      <c r="E5" s="157"/>
      <c r="F5" s="157"/>
      <c r="G5" s="157"/>
      <c r="H5" s="157"/>
      <c r="I5" s="74"/>
      <c r="P5" s="8">
        <v>3</v>
      </c>
      <c r="Q5" s="160" t="s">
        <v>8</v>
      </c>
      <c r="R5" s="161"/>
      <c r="S5" s="161"/>
      <c r="T5" s="161"/>
      <c r="U5" s="33" t="s">
        <v>24</v>
      </c>
      <c r="V5" s="34"/>
      <c r="W5" s="34"/>
      <c r="X5" s="20"/>
      <c r="Y5" s="20"/>
      <c r="Z5" s="20"/>
      <c r="AA5" s="20"/>
      <c r="AB5" s="20"/>
      <c r="AC5" s="20"/>
      <c r="AD5" s="20"/>
      <c r="AE5" s="20"/>
      <c r="AF5" s="20"/>
      <c r="AG5" s="20"/>
      <c r="AH5" s="20"/>
      <c r="AI5" s="20"/>
      <c r="AJ5" s="34"/>
      <c r="AK5" s="34"/>
      <c r="AL5" s="12"/>
      <c r="AN5" s="85">
        <v>1</v>
      </c>
      <c r="AO5" s="78" t="s">
        <v>544</v>
      </c>
      <c r="AP5" s="78"/>
      <c r="AQ5" s="78"/>
      <c r="AR5"/>
    </row>
    <row r="6" spans="2:44" ht="15.75" customHeight="1" thickBot="1">
      <c r="E6" s="157"/>
      <c r="F6" s="157"/>
      <c r="G6" s="157"/>
      <c r="H6" s="157"/>
      <c r="I6" s="74"/>
      <c r="P6" s="9">
        <v>4</v>
      </c>
      <c r="Q6" s="162" t="s">
        <v>9</v>
      </c>
      <c r="R6" s="163"/>
      <c r="S6" s="163"/>
      <c r="T6" s="163"/>
      <c r="U6" s="35" t="s">
        <v>25</v>
      </c>
      <c r="V6" s="36"/>
      <c r="W6" s="36"/>
      <c r="X6" s="21"/>
      <c r="Y6" s="21"/>
      <c r="Z6" s="21"/>
      <c r="AA6" s="21"/>
      <c r="AB6" s="21"/>
      <c r="AC6" s="21"/>
      <c r="AD6" s="21"/>
      <c r="AE6" s="21"/>
      <c r="AF6" s="21"/>
      <c r="AG6" s="21"/>
      <c r="AH6" s="21"/>
      <c r="AI6" s="21"/>
      <c r="AJ6" s="36"/>
      <c r="AK6" s="36"/>
      <c r="AL6" s="13"/>
      <c r="AR6"/>
    </row>
    <row r="7" spans="2:44" ht="25.8">
      <c r="E7" s="157"/>
      <c r="F7" s="157"/>
      <c r="G7" s="157"/>
      <c r="H7" s="157"/>
      <c r="I7" s="74"/>
      <c r="AM7" s="10"/>
      <c r="AN7" s="10"/>
      <c r="AO7" s="10"/>
      <c r="AP7" s="10"/>
      <c r="AR7"/>
    </row>
    <row r="8" spans="2:44">
      <c r="AM8" s="10"/>
      <c r="AN8" s="10"/>
      <c r="AO8" s="10"/>
      <c r="AP8" s="10"/>
      <c r="AR8"/>
    </row>
    <row r="9" spans="2:44">
      <c r="AM9" s="10"/>
      <c r="AN9" s="10"/>
      <c r="AO9" s="10"/>
      <c r="AP9" s="10"/>
      <c r="AR9"/>
    </row>
    <row r="10" spans="2:44" ht="45.15" customHeight="1">
      <c r="B10" s="2" t="s">
        <v>18</v>
      </c>
      <c r="C10" s="2" t="s">
        <v>188</v>
      </c>
      <c r="D10" s="2" t="s">
        <v>183</v>
      </c>
      <c r="E10" s="2" t="s">
        <v>14</v>
      </c>
      <c r="F10" s="2" t="s">
        <v>15</v>
      </c>
      <c r="G10" s="2" t="s">
        <v>23</v>
      </c>
      <c r="H10" s="2" t="s">
        <v>16</v>
      </c>
      <c r="I10" s="2" t="s">
        <v>535</v>
      </c>
      <c r="J10" s="2" t="s">
        <v>84</v>
      </c>
      <c r="K10" s="2" t="s">
        <v>22</v>
      </c>
      <c r="L10" s="2" t="s">
        <v>20</v>
      </c>
      <c r="M10" s="2" t="s">
        <v>10</v>
      </c>
      <c r="N10" s="2" t="s">
        <v>11</v>
      </c>
      <c r="O10" s="2" t="s">
        <v>12</v>
      </c>
      <c r="P10" s="2" t="s">
        <v>13</v>
      </c>
      <c r="Q10" s="2" t="s">
        <v>94</v>
      </c>
      <c r="R10" s="2" t="s">
        <v>55</v>
      </c>
      <c r="S10" s="2" t="s">
        <v>331</v>
      </c>
      <c r="T10" s="2" t="s">
        <v>61</v>
      </c>
      <c r="U10" s="2" t="s">
        <v>62</v>
      </c>
      <c r="V10" s="2" t="s">
        <v>143</v>
      </c>
      <c r="W10" s="2" t="s">
        <v>165</v>
      </c>
      <c r="X10" s="2" t="s">
        <v>340</v>
      </c>
      <c r="Y10" s="2" t="s">
        <v>312</v>
      </c>
      <c r="Z10" s="2" t="s">
        <v>330</v>
      </c>
      <c r="AA10" s="2" t="s">
        <v>387</v>
      </c>
      <c r="AB10" s="2" t="s">
        <v>453</v>
      </c>
      <c r="AC10" s="2" t="s">
        <v>454</v>
      </c>
      <c r="AD10" s="2" t="s">
        <v>491</v>
      </c>
      <c r="AE10" s="2" t="s">
        <v>408</v>
      </c>
      <c r="AF10" s="2" t="s">
        <v>417</v>
      </c>
      <c r="AG10" s="2" t="s">
        <v>452</v>
      </c>
      <c r="AH10" s="2" t="s">
        <v>486</v>
      </c>
      <c r="AI10" s="2" t="s">
        <v>502</v>
      </c>
      <c r="AJ10" s="2" t="s">
        <v>1049</v>
      </c>
      <c r="AK10" s="59" t="s">
        <v>17</v>
      </c>
      <c r="AL10" s="2" t="s">
        <v>152</v>
      </c>
      <c r="AM10" s="2" t="s">
        <v>154</v>
      </c>
      <c r="AN10" s="2" t="s">
        <v>155</v>
      </c>
      <c r="AO10" s="2" t="s">
        <v>537</v>
      </c>
      <c r="AP10" s="2" t="s">
        <v>538</v>
      </c>
      <c r="AQ10" s="2" t="s">
        <v>543</v>
      </c>
      <c r="AR10" s="3" t="s">
        <v>27</v>
      </c>
    </row>
    <row r="11" spans="2:44" s="43" customFormat="1" ht="15" customHeight="1">
      <c r="B11" s="1">
        <v>1</v>
      </c>
      <c r="C11" s="1">
        <v>0</v>
      </c>
      <c r="D11" s="1"/>
      <c r="E11" s="1" t="s">
        <v>52</v>
      </c>
      <c r="F11" s="1" t="s">
        <v>54</v>
      </c>
      <c r="G11" s="1" t="s">
        <v>54</v>
      </c>
      <c r="H11" s="1" t="s">
        <v>53</v>
      </c>
      <c r="I11" s="1"/>
      <c r="J11" s="1" t="s">
        <v>87</v>
      </c>
      <c r="K11" s="1" t="s">
        <v>143</v>
      </c>
      <c r="L11" s="1" t="s">
        <v>62</v>
      </c>
      <c r="M11" s="1"/>
      <c r="N11" s="1">
        <v>4</v>
      </c>
      <c r="O11" s="1"/>
      <c r="P11" s="1">
        <v>4</v>
      </c>
      <c r="Q11" s="1">
        <v>1</v>
      </c>
      <c r="R11" s="1"/>
      <c r="S11" s="1"/>
      <c r="T11" s="1"/>
      <c r="U11" s="1"/>
      <c r="V11" s="1">
        <v>3</v>
      </c>
      <c r="W11" s="1">
        <v>0</v>
      </c>
      <c r="X11" s="1">
        <v>0</v>
      </c>
      <c r="Y11" s="1">
        <v>0</v>
      </c>
      <c r="Z11" s="1"/>
      <c r="AA11" s="1">
        <v>0</v>
      </c>
      <c r="AB11" s="1"/>
      <c r="AC11" s="1" t="s">
        <v>454</v>
      </c>
      <c r="AD11" s="1"/>
      <c r="AE11" s="1"/>
      <c r="AF11" s="1"/>
      <c r="AG11" s="1">
        <v>0</v>
      </c>
      <c r="AH11" s="1">
        <v>0</v>
      </c>
      <c r="AI11" s="1"/>
      <c r="AJ11" s="1">
        <v>0</v>
      </c>
      <c r="AK11" s="1" t="s">
        <v>21</v>
      </c>
      <c r="AL11" s="1"/>
      <c r="AM11" s="17">
        <v>43467</v>
      </c>
      <c r="AN11" s="18" t="s">
        <v>62</v>
      </c>
      <c r="AO11" s="18"/>
      <c r="AP11" s="18"/>
      <c r="AQ11" s="18"/>
      <c r="AR11" s="10" t="s">
        <v>163</v>
      </c>
    </row>
    <row r="12" spans="2:44" s="43" customFormat="1" ht="15" customHeight="1">
      <c r="B12" s="1">
        <f t="shared" ref="B12:B75" si="0">B11+1</f>
        <v>2</v>
      </c>
      <c r="C12" s="1">
        <v>0</v>
      </c>
      <c r="D12" s="1" t="s">
        <v>184</v>
      </c>
      <c r="E12" s="1" t="s">
        <v>52</v>
      </c>
      <c r="F12" s="1" t="s">
        <v>46</v>
      </c>
      <c r="G12" s="1" t="s">
        <v>66</v>
      </c>
      <c r="H12" s="1" t="s">
        <v>67</v>
      </c>
      <c r="I12" s="1"/>
      <c r="J12" s="1" t="s">
        <v>85</v>
      </c>
      <c r="K12" s="1" t="s">
        <v>143</v>
      </c>
      <c r="L12" s="1" t="s">
        <v>62</v>
      </c>
      <c r="M12" s="1">
        <v>4</v>
      </c>
      <c r="N12" s="1">
        <v>4</v>
      </c>
      <c r="O12" s="1">
        <v>3</v>
      </c>
      <c r="P12" s="1"/>
      <c r="Q12" s="1">
        <v>4</v>
      </c>
      <c r="R12" s="1"/>
      <c r="S12" s="1"/>
      <c r="T12" s="1"/>
      <c r="U12" s="1">
        <v>4</v>
      </c>
      <c r="V12" s="1">
        <v>3</v>
      </c>
      <c r="W12" s="1">
        <v>0</v>
      </c>
      <c r="X12" s="1">
        <v>0</v>
      </c>
      <c r="Y12" s="1">
        <v>0</v>
      </c>
      <c r="Z12" s="1"/>
      <c r="AA12" s="1">
        <v>0</v>
      </c>
      <c r="AB12" s="1"/>
      <c r="AC12" s="1"/>
      <c r="AD12" s="1"/>
      <c r="AE12" s="1"/>
      <c r="AF12" s="1"/>
      <c r="AG12" s="1">
        <v>0</v>
      </c>
      <c r="AH12" s="1">
        <v>0</v>
      </c>
      <c r="AI12" s="1"/>
      <c r="AJ12" s="1">
        <v>0</v>
      </c>
      <c r="AK12" s="1" t="s">
        <v>21</v>
      </c>
      <c r="AL12" s="1" t="s">
        <v>21</v>
      </c>
      <c r="AM12" s="17">
        <v>43467</v>
      </c>
      <c r="AN12" s="18" t="s">
        <v>62</v>
      </c>
      <c r="AO12" s="18"/>
      <c r="AP12" s="18"/>
      <c r="AQ12" s="18"/>
      <c r="AR12" s="10"/>
    </row>
    <row r="13" spans="2:44" s="43" customFormat="1" ht="15" customHeight="1">
      <c r="B13" s="1">
        <f t="shared" si="0"/>
        <v>3</v>
      </c>
      <c r="C13" s="1">
        <v>0</v>
      </c>
      <c r="D13" s="1" t="s">
        <v>184</v>
      </c>
      <c r="E13" s="1" t="s">
        <v>52</v>
      </c>
      <c r="F13" s="1" t="s">
        <v>46</v>
      </c>
      <c r="G13" s="1" t="s">
        <v>66</v>
      </c>
      <c r="H13" s="1" t="s">
        <v>68</v>
      </c>
      <c r="I13" s="1"/>
      <c r="J13" s="1" t="s">
        <v>85</v>
      </c>
      <c r="K13" s="1" t="s">
        <v>143</v>
      </c>
      <c r="L13" s="1" t="s">
        <v>62</v>
      </c>
      <c r="M13" s="1">
        <v>4</v>
      </c>
      <c r="N13" s="1">
        <v>4</v>
      </c>
      <c r="O13" s="1">
        <v>3</v>
      </c>
      <c r="P13" s="1"/>
      <c r="Q13" s="1">
        <v>4</v>
      </c>
      <c r="R13" s="1"/>
      <c r="S13" s="1"/>
      <c r="T13" s="1"/>
      <c r="U13" s="1">
        <v>4</v>
      </c>
      <c r="V13" s="1">
        <v>3</v>
      </c>
      <c r="W13" s="1">
        <v>0</v>
      </c>
      <c r="X13" s="1">
        <v>0</v>
      </c>
      <c r="Y13" s="1">
        <v>0</v>
      </c>
      <c r="Z13" s="1"/>
      <c r="AA13" s="1">
        <v>0</v>
      </c>
      <c r="AB13" s="1"/>
      <c r="AC13" s="1"/>
      <c r="AD13" s="1"/>
      <c r="AE13" s="1"/>
      <c r="AF13" s="1"/>
      <c r="AG13" s="1">
        <v>0</v>
      </c>
      <c r="AH13" s="1">
        <v>0</v>
      </c>
      <c r="AI13" s="1"/>
      <c r="AJ13" s="1">
        <v>0</v>
      </c>
      <c r="AK13" s="1" t="s">
        <v>21</v>
      </c>
      <c r="AL13" s="1" t="s">
        <v>21</v>
      </c>
      <c r="AM13" s="17">
        <v>43467</v>
      </c>
      <c r="AN13" s="18" t="s">
        <v>62</v>
      </c>
      <c r="AO13" s="18"/>
      <c r="AP13" s="18"/>
      <c r="AQ13" s="18"/>
      <c r="AR13" s="10"/>
    </row>
    <row r="14" spans="2:44" s="43" customFormat="1" ht="15" customHeight="1">
      <c r="B14" s="1">
        <f t="shared" si="0"/>
        <v>4</v>
      </c>
      <c r="C14" s="1">
        <v>0</v>
      </c>
      <c r="D14" s="1" t="s">
        <v>184</v>
      </c>
      <c r="E14" s="1" t="s">
        <v>52</v>
      </c>
      <c r="F14" s="1" t="s">
        <v>52</v>
      </c>
      <c r="G14" s="1" t="s">
        <v>52</v>
      </c>
      <c r="H14" s="1" t="s">
        <v>138</v>
      </c>
      <c r="I14" s="1"/>
      <c r="J14" s="1" t="s">
        <v>85</v>
      </c>
      <c r="K14" s="1" t="s">
        <v>143</v>
      </c>
      <c r="L14" s="1" t="s">
        <v>62</v>
      </c>
      <c r="M14" s="1">
        <v>4</v>
      </c>
      <c r="N14" s="1">
        <v>4</v>
      </c>
      <c r="O14" s="1">
        <v>3</v>
      </c>
      <c r="P14" s="1"/>
      <c r="Q14" s="1">
        <v>4</v>
      </c>
      <c r="R14" s="1"/>
      <c r="S14" s="1"/>
      <c r="T14" s="1"/>
      <c r="U14" s="1">
        <v>4</v>
      </c>
      <c r="V14" s="1">
        <v>3</v>
      </c>
      <c r="W14" s="1">
        <v>0</v>
      </c>
      <c r="X14" s="1">
        <v>0</v>
      </c>
      <c r="Y14" s="1">
        <v>0</v>
      </c>
      <c r="Z14" s="1"/>
      <c r="AA14" s="1">
        <v>0</v>
      </c>
      <c r="AB14" s="1"/>
      <c r="AC14" s="1"/>
      <c r="AD14" s="1"/>
      <c r="AE14" s="1"/>
      <c r="AF14" s="1"/>
      <c r="AG14" s="1">
        <v>0</v>
      </c>
      <c r="AH14" s="1">
        <v>0</v>
      </c>
      <c r="AI14" s="1"/>
      <c r="AJ14" s="1">
        <v>0</v>
      </c>
      <c r="AK14" s="1" t="s">
        <v>21</v>
      </c>
      <c r="AL14" s="1" t="s">
        <v>21</v>
      </c>
      <c r="AM14" s="17">
        <v>43467</v>
      </c>
      <c r="AN14" s="18" t="s">
        <v>62</v>
      </c>
      <c r="AO14" s="18"/>
      <c r="AP14" s="18"/>
      <c r="AQ14" s="18"/>
      <c r="AR14" s="10"/>
    </row>
    <row r="15" spans="2:44" s="43" customFormat="1" ht="15" customHeight="1">
      <c r="B15" s="1">
        <f t="shared" si="0"/>
        <v>5</v>
      </c>
      <c r="C15" s="1">
        <v>1</v>
      </c>
      <c r="D15" s="1" t="s">
        <v>219</v>
      </c>
      <c r="E15" s="1" t="s">
        <v>191</v>
      </c>
      <c r="F15" s="1" t="s">
        <v>43</v>
      </c>
      <c r="G15" s="1"/>
      <c r="H15" s="1" t="s">
        <v>31</v>
      </c>
      <c r="I15" s="1"/>
      <c r="J15" s="1" t="s">
        <v>85</v>
      </c>
      <c r="K15" s="1" t="s">
        <v>486</v>
      </c>
      <c r="L15" s="1" t="s">
        <v>62</v>
      </c>
      <c r="M15" s="1">
        <v>4</v>
      </c>
      <c r="N15" s="1">
        <v>3</v>
      </c>
      <c r="O15" s="1">
        <v>0</v>
      </c>
      <c r="P15" s="1">
        <v>0</v>
      </c>
      <c r="Q15" s="1">
        <v>0</v>
      </c>
      <c r="R15" s="1">
        <v>0</v>
      </c>
      <c r="S15" s="1"/>
      <c r="T15" s="1">
        <v>0</v>
      </c>
      <c r="U15" s="1">
        <v>4</v>
      </c>
      <c r="V15" s="1">
        <v>0</v>
      </c>
      <c r="W15" s="1">
        <v>0</v>
      </c>
      <c r="X15" s="1">
        <v>0</v>
      </c>
      <c r="Y15" s="1"/>
      <c r="Z15" s="1"/>
      <c r="AA15" s="1">
        <v>0</v>
      </c>
      <c r="AB15" s="1"/>
      <c r="AC15" s="1"/>
      <c r="AD15" s="1"/>
      <c r="AE15" s="1"/>
      <c r="AF15" s="1"/>
      <c r="AG15" s="1">
        <v>0</v>
      </c>
      <c r="AH15" s="1">
        <v>3</v>
      </c>
      <c r="AI15" s="1">
        <v>2</v>
      </c>
      <c r="AJ15" s="1">
        <v>0</v>
      </c>
      <c r="AK15" s="1" t="s">
        <v>32</v>
      </c>
      <c r="AL15" s="1" t="s">
        <v>32</v>
      </c>
      <c r="AM15" s="17"/>
      <c r="AN15" s="18"/>
      <c r="AO15" s="18"/>
      <c r="AP15" s="18"/>
      <c r="AQ15" s="75"/>
      <c r="AR15" s="10"/>
    </row>
    <row r="16" spans="2:44" s="43" customFormat="1" ht="15" customHeight="1">
      <c r="B16" s="1">
        <f t="shared" si="0"/>
        <v>6</v>
      </c>
      <c r="C16" s="1">
        <v>0</v>
      </c>
      <c r="D16" s="1" t="s">
        <v>220</v>
      </c>
      <c r="E16" s="1" t="s">
        <v>30</v>
      </c>
      <c r="F16" s="1" t="s">
        <v>34</v>
      </c>
      <c r="G16" s="1"/>
      <c r="H16" s="1" t="s">
        <v>33</v>
      </c>
      <c r="I16" s="1"/>
      <c r="J16" s="1" t="s">
        <v>87</v>
      </c>
      <c r="K16" s="1" t="s">
        <v>11</v>
      </c>
      <c r="L16" s="1" t="s">
        <v>62</v>
      </c>
      <c r="M16" s="1">
        <v>4</v>
      </c>
      <c r="N16" s="1">
        <v>4</v>
      </c>
      <c r="O16" s="1">
        <v>0</v>
      </c>
      <c r="P16" s="1">
        <v>0</v>
      </c>
      <c r="Q16" s="1">
        <v>0</v>
      </c>
      <c r="R16" s="1">
        <v>0</v>
      </c>
      <c r="S16" s="1"/>
      <c r="T16" s="1">
        <v>0</v>
      </c>
      <c r="U16" s="1">
        <v>4</v>
      </c>
      <c r="V16" s="1">
        <v>0</v>
      </c>
      <c r="W16" s="1">
        <v>0</v>
      </c>
      <c r="X16" s="1">
        <v>0</v>
      </c>
      <c r="Y16" s="1"/>
      <c r="Z16" s="1"/>
      <c r="AA16" s="1">
        <v>0</v>
      </c>
      <c r="AB16" s="1"/>
      <c r="AC16" s="1"/>
      <c r="AD16" s="1"/>
      <c r="AE16" s="1"/>
      <c r="AF16" s="1"/>
      <c r="AG16" s="1">
        <v>0</v>
      </c>
      <c r="AH16" s="1">
        <v>0</v>
      </c>
      <c r="AI16" s="1"/>
      <c r="AJ16" s="1">
        <v>0</v>
      </c>
      <c r="AK16" s="1" t="s">
        <v>21</v>
      </c>
      <c r="AL16" s="1" t="s">
        <v>21</v>
      </c>
      <c r="AM16" s="17"/>
      <c r="AN16" s="18"/>
      <c r="AO16" s="18"/>
      <c r="AP16" s="18"/>
      <c r="AQ16" s="18"/>
      <c r="AR16" s="10"/>
    </row>
    <row r="17" spans="2:44" s="43" customFormat="1" ht="15" customHeight="1">
      <c r="B17" s="1">
        <f t="shared" si="0"/>
        <v>7</v>
      </c>
      <c r="C17" s="1">
        <v>0</v>
      </c>
      <c r="D17" s="1" t="s">
        <v>185</v>
      </c>
      <c r="E17" s="1" t="s">
        <v>30</v>
      </c>
      <c r="F17" s="1" t="s">
        <v>36</v>
      </c>
      <c r="G17" s="1"/>
      <c r="H17" s="1" t="s">
        <v>35</v>
      </c>
      <c r="I17" s="1"/>
      <c r="J17" s="1" t="s">
        <v>85</v>
      </c>
      <c r="K17" s="1" t="s">
        <v>11</v>
      </c>
      <c r="L17" s="1" t="s">
        <v>62</v>
      </c>
      <c r="M17" s="1">
        <v>4</v>
      </c>
      <c r="N17" s="1">
        <v>4</v>
      </c>
      <c r="O17" s="1">
        <v>0</v>
      </c>
      <c r="P17" s="1">
        <v>0</v>
      </c>
      <c r="Q17" s="1">
        <v>0</v>
      </c>
      <c r="R17" s="1">
        <v>0</v>
      </c>
      <c r="S17" s="1"/>
      <c r="T17" s="1">
        <v>0</v>
      </c>
      <c r="U17" s="1">
        <v>1</v>
      </c>
      <c r="V17" s="1">
        <v>0</v>
      </c>
      <c r="W17" s="1">
        <v>0</v>
      </c>
      <c r="X17" s="1">
        <v>0</v>
      </c>
      <c r="Y17" s="1"/>
      <c r="Z17" s="1"/>
      <c r="AA17" s="1">
        <v>0</v>
      </c>
      <c r="AB17" s="1"/>
      <c r="AC17" s="1"/>
      <c r="AD17" s="1"/>
      <c r="AE17" s="1"/>
      <c r="AF17" s="1"/>
      <c r="AG17" s="1">
        <v>0</v>
      </c>
      <c r="AH17" s="1">
        <v>0</v>
      </c>
      <c r="AI17" s="1"/>
      <c r="AJ17" s="1">
        <v>0</v>
      </c>
      <c r="AK17" s="1" t="s">
        <v>32</v>
      </c>
      <c r="AL17" s="1"/>
      <c r="AM17" s="17"/>
      <c r="AN17" s="18"/>
      <c r="AO17" s="18"/>
      <c r="AP17" s="18"/>
      <c r="AQ17" s="18"/>
      <c r="AR17" s="10"/>
    </row>
    <row r="18" spans="2:44" s="43" customFormat="1" ht="15" customHeight="1">
      <c r="B18" s="1">
        <f t="shared" si="0"/>
        <v>8</v>
      </c>
      <c r="C18" s="1">
        <v>1</v>
      </c>
      <c r="D18" s="1" t="s">
        <v>220</v>
      </c>
      <c r="E18" s="1" t="s">
        <v>30</v>
      </c>
      <c r="F18" s="1" t="s">
        <v>113</v>
      </c>
      <c r="G18" s="1"/>
      <c r="H18" s="1" t="s">
        <v>192</v>
      </c>
      <c r="I18" s="1"/>
      <c r="J18" s="1" t="s">
        <v>85</v>
      </c>
      <c r="K18" s="1" t="s">
        <v>486</v>
      </c>
      <c r="L18" s="1" t="s">
        <v>62</v>
      </c>
      <c r="M18" s="1">
        <v>4</v>
      </c>
      <c r="N18" s="1">
        <v>4</v>
      </c>
      <c r="O18" s="1">
        <v>0</v>
      </c>
      <c r="P18" s="1">
        <v>0</v>
      </c>
      <c r="Q18" s="1">
        <v>0</v>
      </c>
      <c r="R18" s="1">
        <v>0</v>
      </c>
      <c r="S18" s="1"/>
      <c r="T18" s="1">
        <v>0</v>
      </c>
      <c r="U18" s="1">
        <v>4</v>
      </c>
      <c r="V18" s="1">
        <v>0</v>
      </c>
      <c r="W18" s="1">
        <v>0</v>
      </c>
      <c r="X18" s="1">
        <v>0</v>
      </c>
      <c r="Y18" s="1"/>
      <c r="Z18" s="1"/>
      <c r="AA18" s="1">
        <v>0</v>
      </c>
      <c r="AB18" s="1"/>
      <c r="AC18" s="1"/>
      <c r="AD18" s="1"/>
      <c r="AE18" s="1"/>
      <c r="AF18" s="1"/>
      <c r="AG18" s="1">
        <v>0</v>
      </c>
      <c r="AH18" s="1">
        <v>4</v>
      </c>
      <c r="AI18" s="1">
        <v>3</v>
      </c>
      <c r="AJ18" s="1">
        <v>0</v>
      </c>
      <c r="AK18" s="1" t="s">
        <v>21</v>
      </c>
      <c r="AL18" s="1" t="s">
        <v>21</v>
      </c>
      <c r="AM18" s="17"/>
      <c r="AN18" s="18"/>
      <c r="AO18" s="18"/>
      <c r="AP18" s="18"/>
      <c r="AQ18" s="18"/>
      <c r="AR18" s="10"/>
    </row>
    <row r="19" spans="2:44" s="43" customFormat="1" ht="15" customHeight="1">
      <c r="B19" s="1">
        <f t="shared" si="0"/>
        <v>9</v>
      </c>
      <c r="C19" s="1">
        <v>1</v>
      </c>
      <c r="D19" s="1" t="s">
        <v>220</v>
      </c>
      <c r="E19" s="1" t="s">
        <v>30</v>
      </c>
      <c r="F19" s="1" t="s">
        <v>38</v>
      </c>
      <c r="G19" s="1"/>
      <c r="H19" s="1" t="s">
        <v>37</v>
      </c>
      <c r="I19" s="1"/>
      <c r="J19" s="1" t="s">
        <v>85</v>
      </c>
      <c r="K19" s="1" t="s">
        <v>502</v>
      </c>
      <c r="L19" s="1" t="s">
        <v>486</v>
      </c>
      <c r="M19" s="1">
        <v>4</v>
      </c>
      <c r="N19" s="1">
        <v>4</v>
      </c>
      <c r="O19" s="1">
        <v>0</v>
      </c>
      <c r="P19" s="1">
        <v>0</v>
      </c>
      <c r="Q19" s="1">
        <v>0</v>
      </c>
      <c r="R19" s="1">
        <v>0</v>
      </c>
      <c r="S19" s="1"/>
      <c r="T19" s="1">
        <v>0</v>
      </c>
      <c r="U19" s="1">
        <v>4</v>
      </c>
      <c r="V19" s="1">
        <v>0</v>
      </c>
      <c r="W19" s="1">
        <v>0</v>
      </c>
      <c r="X19" s="1">
        <v>0</v>
      </c>
      <c r="Y19" s="1"/>
      <c r="Z19" s="1"/>
      <c r="AA19" s="1">
        <v>0</v>
      </c>
      <c r="AB19" s="1"/>
      <c r="AC19" s="1"/>
      <c r="AD19" s="1"/>
      <c r="AE19" s="1"/>
      <c r="AF19" s="1"/>
      <c r="AG19" s="1">
        <v>0</v>
      </c>
      <c r="AH19" s="1">
        <v>4</v>
      </c>
      <c r="AI19" s="1">
        <v>2</v>
      </c>
      <c r="AJ19" s="1">
        <v>0</v>
      </c>
      <c r="AK19" s="1" t="s">
        <v>21</v>
      </c>
      <c r="AL19" s="1" t="s">
        <v>21</v>
      </c>
      <c r="AM19" s="17"/>
      <c r="AN19" s="18"/>
      <c r="AO19" s="18"/>
      <c r="AP19" s="18"/>
      <c r="AQ19" s="18"/>
      <c r="AR19" s="10"/>
    </row>
    <row r="20" spans="2:44" s="43" customFormat="1" ht="15" customHeight="1">
      <c r="B20" s="1">
        <f t="shared" si="0"/>
        <v>10</v>
      </c>
      <c r="C20" s="1">
        <v>1</v>
      </c>
      <c r="D20" s="1" t="s">
        <v>220</v>
      </c>
      <c r="E20" s="1" t="s">
        <v>191</v>
      </c>
      <c r="F20" s="1" t="s">
        <v>113</v>
      </c>
      <c r="G20" s="1"/>
      <c r="H20" s="1" t="s">
        <v>193</v>
      </c>
      <c r="I20" s="1"/>
      <c r="J20" s="1" t="s">
        <v>85</v>
      </c>
      <c r="K20" s="1" t="s">
        <v>502</v>
      </c>
      <c r="L20" s="1" t="s">
        <v>486</v>
      </c>
      <c r="M20" s="1">
        <v>4</v>
      </c>
      <c r="N20" s="1">
        <v>4</v>
      </c>
      <c r="O20" s="1">
        <v>0</v>
      </c>
      <c r="P20" s="1">
        <v>0</v>
      </c>
      <c r="Q20" s="1">
        <v>0</v>
      </c>
      <c r="R20" s="1">
        <v>0</v>
      </c>
      <c r="S20" s="1"/>
      <c r="T20" s="1">
        <v>0</v>
      </c>
      <c r="U20" s="1">
        <v>4</v>
      </c>
      <c r="V20" s="1">
        <v>0</v>
      </c>
      <c r="W20" s="1">
        <v>0</v>
      </c>
      <c r="X20" s="1">
        <v>0</v>
      </c>
      <c r="Y20" s="1"/>
      <c r="Z20" s="1"/>
      <c r="AA20" s="1">
        <v>0</v>
      </c>
      <c r="AB20" s="1"/>
      <c r="AC20" s="1"/>
      <c r="AD20" s="1"/>
      <c r="AE20" s="1"/>
      <c r="AF20" s="1"/>
      <c r="AG20" s="1">
        <v>0</v>
      </c>
      <c r="AH20" s="1">
        <v>4</v>
      </c>
      <c r="AI20" s="1">
        <v>2</v>
      </c>
      <c r="AJ20" s="1">
        <v>0</v>
      </c>
      <c r="AK20" s="1" t="s">
        <v>21</v>
      </c>
      <c r="AL20" s="1" t="s">
        <v>21</v>
      </c>
      <c r="AM20" s="17"/>
      <c r="AN20" s="18"/>
      <c r="AO20" s="18"/>
      <c r="AP20" s="18"/>
      <c r="AQ20" s="18"/>
      <c r="AR20" s="10"/>
    </row>
    <row r="21" spans="2:44" s="43" customFormat="1" ht="15" customHeight="1">
      <c r="B21" s="1">
        <f t="shared" si="0"/>
        <v>11</v>
      </c>
      <c r="C21" s="1">
        <v>0</v>
      </c>
      <c r="D21" s="1" t="s">
        <v>185</v>
      </c>
      <c r="E21" s="1" t="s">
        <v>30</v>
      </c>
      <c r="F21" s="1" t="s">
        <v>44</v>
      </c>
      <c r="G21" s="1"/>
      <c r="H21" s="1" t="s">
        <v>39</v>
      </c>
      <c r="I21" s="1"/>
      <c r="J21" s="1" t="s">
        <v>85</v>
      </c>
      <c r="K21" s="1" t="s">
        <v>11</v>
      </c>
      <c r="L21" s="1" t="s">
        <v>62</v>
      </c>
      <c r="M21" s="1">
        <v>4</v>
      </c>
      <c r="N21" s="1">
        <v>4</v>
      </c>
      <c r="O21" s="1">
        <v>0</v>
      </c>
      <c r="P21" s="1">
        <v>0</v>
      </c>
      <c r="Q21" s="1">
        <v>0</v>
      </c>
      <c r="R21" s="1">
        <v>0</v>
      </c>
      <c r="S21" s="1"/>
      <c r="T21" s="1">
        <v>0</v>
      </c>
      <c r="U21" s="1">
        <v>1</v>
      </c>
      <c r="V21" s="1">
        <v>0</v>
      </c>
      <c r="W21" s="1">
        <v>0</v>
      </c>
      <c r="X21" s="1">
        <v>0</v>
      </c>
      <c r="Y21" s="1"/>
      <c r="Z21" s="1"/>
      <c r="AA21" s="1">
        <v>0</v>
      </c>
      <c r="AB21" s="1"/>
      <c r="AC21" s="1"/>
      <c r="AD21" s="1"/>
      <c r="AE21" s="1"/>
      <c r="AF21" s="1"/>
      <c r="AG21" s="1">
        <v>0</v>
      </c>
      <c r="AH21" s="1">
        <v>0</v>
      </c>
      <c r="AI21" s="1"/>
      <c r="AJ21" s="1">
        <v>0</v>
      </c>
      <c r="AK21" s="1" t="s">
        <v>32</v>
      </c>
      <c r="AL21" s="1" t="s">
        <v>32</v>
      </c>
      <c r="AM21" s="17"/>
      <c r="AN21" s="18"/>
      <c r="AO21" s="18"/>
      <c r="AP21" s="18"/>
      <c r="AQ21" s="18"/>
      <c r="AR21" s="10"/>
    </row>
    <row r="22" spans="2:44" s="43" customFormat="1" ht="15" customHeight="1">
      <c r="B22" s="1">
        <f t="shared" si="0"/>
        <v>12</v>
      </c>
      <c r="C22" s="1">
        <v>1</v>
      </c>
      <c r="D22" s="1" t="s">
        <v>220</v>
      </c>
      <c r="E22" s="1" t="s">
        <v>30</v>
      </c>
      <c r="F22" s="1" t="s">
        <v>43</v>
      </c>
      <c r="G22" s="1"/>
      <c r="H22" s="1" t="s">
        <v>194</v>
      </c>
      <c r="I22" s="1"/>
      <c r="J22" s="1" t="s">
        <v>85</v>
      </c>
      <c r="K22" s="1" t="s">
        <v>502</v>
      </c>
      <c r="L22" s="1" t="s">
        <v>486</v>
      </c>
      <c r="M22" s="1">
        <v>4</v>
      </c>
      <c r="N22" s="1">
        <v>4</v>
      </c>
      <c r="O22" s="1">
        <v>0</v>
      </c>
      <c r="P22" s="1">
        <v>0</v>
      </c>
      <c r="Q22" s="1">
        <v>0</v>
      </c>
      <c r="R22" s="1">
        <v>0</v>
      </c>
      <c r="S22" s="1"/>
      <c r="T22" s="1">
        <v>0</v>
      </c>
      <c r="U22" s="1">
        <v>4</v>
      </c>
      <c r="V22" s="1">
        <v>0</v>
      </c>
      <c r="W22" s="1">
        <v>0</v>
      </c>
      <c r="X22" s="1">
        <v>0</v>
      </c>
      <c r="Y22" s="1"/>
      <c r="Z22" s="1"/>
      <c r="AA22" s="1">
        <v>0</v>
      </c>
      <c r="AB22" s="1"/>
      <c r="AC22" s="1"/>
      <c r="AD22" s="1"/>
      <c r="AE22" s="1"/>
      <c r="AF22" s="1"/>
      <c r="AG22" s="1">
        <v>0</v>
      </c>
      <c r="AH22" s="1">
        <v>4</v>
      </c>
      <c r="AI22" s="1">
        <v>2</v>
      </c>
      <c r="AJ22" s="1">
        <v>0</v>
      </c>
      <c r="AK22" s="1" t="s">
        <v>21</v>
      </c>
      <c r="AL22" s="1" t="s">
        <v>21</v>
      </c>
      <c r="AM22" s="17">
        <v>44594</v>
      </c>
      <c r="AN22" s="18" t="s">
        <v>486</v>
      </c>
      <c r="AO22" s="18"/>
      <c r="AP22" s="18"/>
      <c r="AQ22" s="18"/>
      <c r="AR22" s="10"/>
    </row>
    <row r="23" spans="2:44" s="43" customFormat="1" ht="15" customHeight="1">
      <c r="B23" s="1">
        <f t="shared" si="0"/>
        <v>13</v>
      </c>
      <c r="C23" s="1">
        <v>0</v>
      </c>
      <c r="D23" s="1" t="s">
        <v>185</v>
      </c>
      <c r="E23" s="1" t="s">
        <v>30</v>
      </c>
      <c r="F23" s="1" t="s">
        <v>195</v>
      </c>
      <c r="G23" s="1"/>
      <c r="H23" s="1" t="s">
        <v>41</v>
      </c>
      <c r="I23" s="1"/>
      <c r="J23" s="1" t="s">
        <v>85</v>
      </c>
      <c r="K23" s="1" t="s">
        <v>11</v>
      </c>
      <c r="L23" s="1" t="s">
        <v>62</v>
      </c>
      <c r="M23" s="1">
        <v>4</v>
      </c>
      <c r="N23" s="1">
        <v>4</v>
      </c>
      <c r="O23" s="1">
        <v>0</v>
      </c>
      <c r="P23" s="1">
        <v>0</v>
      </c>
      <c r="Q23" s="1">
        <v>0</v>
      </c>
      <c r="R23" s="1">
        <v>0</v>
      </c>
      <c r="S23" s="1"/>
      <c r="T23" s="1">
        <v>0</v>
      </c>
      <c r="U23" s="1">
        <v>2</v>
      </c>
      <c r="V23" s="1">
        <v>0</v>
      </c>
      <c r="W23" s="1">
        <v>0</v>
      </c>
      <c r="X23" s="1">
        <v>0</v>
      </c>
      <c r="Y23" s="1"/>
      <c r="Z23" s="1"/>
      <c r="AA23" s="1">
        <v>0</v>
      </c>
      <c r="AB23" s="1"/>
      <c r="AC23" s="1"/>
      <c r="AD23" s="1"/>
      <c r="AE23" s="1"/>
      <c r="AF23" s="1"/>
      <c r="AG23" s="1">
        <v>0</v>
      </c>
      <c r="AH23" s="1">
        <v>3</v>
      </c>
      <c r="AI23" s="1"/>
      <c r="AJ23" s="1">
        <v>0</v>
      </c>
      <c r="AK23" s="1" t="s">
        <v>21</v>
      </c>
      <c r="AL23" s="1" t="s">
        <v>21</v>
      </c>
      <c r="AM23" s="17"/>
      <c r="AN23" s="18"/>
      <c r="AO23" s="18"/>
      <c r="AP23" s="18"/>
      <c r="AQ23" s="18"/>
      <c r="AR23" s="10"/>
    </row>
    <row r="24" spans="2:44" s="43" customFormat="1" ht="15" customHeight="1">
      <c r="B24" s="1">
        <f t="shared" si="0"/>
        <v>14</v>
      </c>
      <c r="C24" s="1">
        <v>0</v>
      </c>
      <c r="D24" s="1" t="s">
        <v>185</v>
      </c>
      <c r="E24" s="1" t="s">
        <v>30</v>
      </c>
      <c r="F24" s="1" t="s">
        <v>36</v>
      </c>
      <c r="G24" s="1"/>
      <c r="H24" s="1" t="s">
        <v>42</v>
      </c>
      <c r="I24" s="1"/>
      <c r="J24" s="1" t="s">
        <v>87</v>
      </c>
      <c r="K24" s="1" t="s">
        <v>11</v>
      </c>
      <c r="L24" s="1" t="s">
        <v>62</v>
      </c>
      <c r="M24" s="1">
        <v>4</v>
      </c>
      <c r="N24" s="1">
        <v>2</v>
      </c>
      <c r="O24" s="1">
        <v>0</v>
      </c>
      <c r="P24" s="1">
        <v>0</v>
      </c>
      <c r="Q24" s="1">
        <v>0</v>
      </c>
      <c r="R24" s="1">
        <v>0</v>
      </c>
      <c r="S24" s="1"/>
      <c r="T24" s="1">
        <v>0</v>
      </c>
      <c r="U24" s="1">
        <v>1</v>
      </c>
      <c r="V24" s="1">
        <v>0</v>
      </c>
      <c r="W24" s="1">
        <v>0</v>
      </c>
      <c r="X24" s="1">
        <v>0</v>
      </c>
      <c r="Y24" s="1"/>
      <c r="Z24" s="1"/>
      <c r="AA24" s="1">
        <v>0</v>
      </c>
      <c r="AB24" s="1"/>
      <c r="AC24" s="1"/>
      <c r="AD24" s="1"/>
      <c r="AE24" s="1"/>
      <c r="AF24" s="1"/>
      <c r="AG24" s="1">
        <v>0</v>
      </c>
      <c r="AH24" s="1">
        <v>0</v>
      </c>
      <c r="AI24" s="1"/>
      <c r="AJ24" s="1">
        <v>0</v>
      </c>
      <c r="AK24" s="1" t="s">
        <v>32</v>
      </c>
      <c r="AL24" s="1"/>
      <c r="AM24" s="17"/>
      <c r="AN24" s="18"/>
      <c r="AO24" s="18"/>
      <c r="AP24" s="18"/>
      <c r="AQ24" s="18"/>
      <c r="AR24" s="10"/>
    </row>
    <row r="25" spans="2:44" s="43" customFormat="1" ht="15" customHeight="1">
      <c r="B25" s="1">
        <f t="shared" si="0"/>
        <v>15</v>
      </c>
      <c r="C25" s="1">
        <v>1</v>
      </c>
      <c r="D25" s="1" t="s">
        <v>220</v>
      </c>
      <c r="E25" s="1" t="s">
        <v>196</v>
      </c>
      <c r="F25" s="1" t="s">
        <v>43</v>
      </c>
      <c r="G25" s="1"/>
      <c r="H25" s="1" t="s">
        <v>197</v>
      </c>
      <c r="I25" s="1"/>
      <c r="J25" s="1" t="s">
        <v>85</v>
      </c>
      <c r="K25" s="1" t="s">
        <v>502</v>
      </c>
      <c r="L25" s="1" t="s">
        <v>486</v>
      </c>
      <c r="M25" s="1">
        <v>4</v>
      </c>
      <c r="N25" s="1">
        <v>4</v>
      </c>
      <c r="O25" s="1">
        <v>0</v>
      </c>
      <c r="P25" s="1">
        <v>0</v>
      </c>
      <c r="Q25" s="1">
        <v>0</v>
      </c>
      <c r="R25" s="1">
        <v>0</v>
      </c>
      <c r="S25" s="1"/>
      <c r="T25" s="1">
        <v>0</v>
      </c>
      <c r="U25" s="1">
        <v>4</v>
      </c>
      <c r="V25" s="1">
        <v>0</v>
      </c>
      <c r="W25" s="1">
        <v>0</v>
      </c>
      <c r="X25" s="1">
        <v>0</v>
      </c>
      <c r="Y25" s="1"/>
      <c r="Z25" s="1"/>
      <c r="AA25" s="1">
        <v>0</v>
      </c>
      <c r="AB25" s="1"/>
      <c r="AC25" s="1"/>
      <c r="AD25" s="1"/>
      <c r="AE25" s="1"/>
      <c r="AF25" s="1"/>
      <c r="AG25" s="1">
        <v>0</v>
      </c>
      <c r="AH25" s="1">
        <v>4</v>
      </c>
      <c r="AI25" s="1">
        <v>3</v>
      </c>
      <c r="AJ25" s="1">
        <v>0</v>
      </c>
      <c r="AK25" s="1" t="s">
        <v>21</v>
      </c>
      <c r="AL25" s="1" t="s">
        <v>21</v>
      </c>
      <c r="AM25" s="17"/>
      <c r="AN25" s="18"/>
      <c r="AO25" s="18"/>
      <c r="AP25" s="18"/>
      <c r="AQ25" s="18"/>
      <c r="AR25" s="10"/>
    </row>
    <row r="26" spans="2:44" s="43" customFormat="1" ht="15" customHeight="1">
      <c r="B26" s="1">
        <f t="shared" si="0"/>
        <v>16</v>
      </c>
      <c r="C26" s="1">
        <v>0</v>
      </c>
      <c r="D26" s="1" t="s">
        <v>185</v>
      </c>
      <c r="E26" s="1" t="s">
        <v>30</v>
      </c>
      <c r="F26" s="1" t="s">
        <v>36</v>
      </c>
      <c r="G26" s="1"/>
      <c r="H26" s="1" t="s">
        <v>47</v>
      </c>
      <c r="I26" s="1"/>
      <c r="J26" s="1" t="s">
        <v>85</v>
      </c>
      <c r="K26" s="1" t="s">
        <v>11</v>
      </c>
      <c r="L26" s="1" t="s">
        <v>62</v>
      </c>
      <c r="M26" s="1">
        <v>4</v>
      </c>
      <c r="N26" s="1">
        <v>4</v>
      </c>
      <c r="O26" s="1">
        <v>0</v>
      </c>
      <c r="P26" s="1">
        <v>0</v>
      </c>
      <c r="Q26" s="1">
        <v>0</v>
      </c>
      <c r="R26" s="1">
        <v>0</v>
      </c>
      <c r="S26" s="1"/>
      <c r="T26" s="1">
        <v>0</v>
      </c>
      <c r="U26" s="1">
        <v>1</v>
      </c>
      <c r="V26" s="1">
        <v>0</v>
      </c>
      <c r="W26" s="1">
        <v>0</v>
      </c>
      <c r="X26" s="1">
        <v>0</v>
      </c>
      <c r="Y26" s="1"/>
      <c r="Z26" s="1"/>
      <c r="AA26" s="1">
        <v>0</v>
      </c>
      <c r="AB26" s="1"/>
      <c r="AC26" s="1"/>
      <c r="AD26" s="1"/>
      <c r="AE26" s="1"/>
      <c r="AF26" s="1"/>
      <c r="AG26" s="1">
        <v>0</v>
      </c>
      <c r="AH26" s="1">
        <v>0</v>
      </c>
      <c r="AI26" s="1"/>
      <c r="AJ26" s="1">
        <v>0</v>
      </c>
      <c r="AK26" s="1" t="s">
        <v>32</v>
      </c>
      <c r="AL26" s="1"/>
      <c r="AM26" s="17"/>
      <c r="AN26" s="18"/>
      <c r="AO26" s="18"/>
      <c r="AP26" s="18"/>
      <c r="AQ26" s="18"/>
      <c r="AR26" s="10"/>
    </row>
    <row r="27" spans="2:44" s="43" customFormat="1" ht="15" customHeight="1">
      <c r="B27" s="1">
        <f t="shared" si="0"/>
        <v>17</v>
      </c>
      <c r="C27" s="1">
        <v>0</v>
      </c>
      <c r="D27" s="1" t="s">
        <v>185</v>
      </c>
      <c r="E27" s="1" t="s">
        <v>30</v>
      </c>
      <c r="F27" s="1" t="s">
        <v>50</v>
      </c>
      <c r="G27" s="1"/>
      <c r="H27" s="1" t="s">
        <v>48</v>
      </c>
      <c r="I27" s="1"/>
      <c r="J27" s="1" t="s">
        <v>54</v>
      </c>
      <c r="K27" s="1" t="s">
        <v>11</v>
      </c>
      <c r="L27" s="1" t="s">
        <v>62</v>
      </c>
      <c r="M27" s="1">
        <v>4</v>
      </c>
      <c r="N27" s="1">
        <v>2</v>
      </c>
      <c r="O27" s="1">
        <v>0</v>
      </c>
      <c r="P27" s="1">
        <v>0</v>
      </c>
      <c r="Q27" s="1">
        <v>0</v>
      </c>
      <c r="R27" s="1">
        <v>0</v>
      </c>
      <c r="S27" s="1"/>
      <c r="T27" s="1">
        <v>0</v>
      </c>
      <c r="U27" s="1">
        <v>1</v>
      </c>
      <c r="V27" s="1">
        <v>0</v>
      </c>
      <c r="W27" s="1">
        <v>0</v>
      </c>
      <c r="X27" s="1">
        <v>0</v>
      </c>
      <c r="Y27" s="1"/>
      <c r="Z27" s="1"/>
      <c r="AA27" s="1">
        <v>0</v>
      </c>
      <c r="AB27" s="1"/>
      <c r="AC27" s="1"/>
      <c r="AD27" s="1"/>
      <c r="AE27" s="1"/>
      <c r="AF27" s="1"/>
      <c r="AG27" s="1">
        <v>0</v>
      </c>
      <c r="AH27" s="1">
        <v>0</v>
      </c>
      <c r="AI27" s="1"/>
      <c r="AJ27" s="1">
        <v>0</v>
      </c>
      <c r="AK27" s="1" t="s">
        <v>32</v>
      </c>
      <c r="AL27" s="1"/>
      <c r="AM27" s="17"/>
      <c r="AN27" s="18"/>
      <c r="AO27" s="18"/>
      <c r="AP27" s="18"/>
      <c r="AQ27" s="18"/>
      <c r="AR27" s="10"/>
    </row>
    <row r="28" spans="2:44" s="43" customFormat="1" ht="15" customHeight="1">
      <c r="B28" s="1">
        <f t="shared" si="0"/>
        <v>18</v>
      </c>
      <c r="C28" s="1">
        <v>0</v>
      </c>
      <c r="D28" s="1" t="s">
        <v>185</v>
      </c>
      <c r="E28" s="1" t="s">
        <v>30</v>
      </c>
      <c r="F28" s="1" t="s">
        <v>36</v>
      </c>
      <c r="G28" s="1"/>
      <c r="H28" s="1" t="s">
        <v>51</v>
      </c>
      <c r="I28" s="1"/>
      <c r="J28" s="1" t="s">
        <v>90</v>
      </c>
      <c r="K28" s="1" t="s">
        <v>11</v>
      </c>
      <c r="L28" s="1" t="s">
        <v>62</v>
      </c>
      <c r="M28" s="1">
        <v>4</v>
      </c>
      <c r="N28" s="1">
        <v>4</v>
      </c>
      <c r="O28" s="1">
        <v>0</v>
      </c>
      <c r="P28" s="1">
        <v>0</v>
      </c>
      <c r="Q28" s="1">
        <v>0</v>
      </c>
      <c r="R28" s="1">
        <v>0</v>
      </c>
      <c r="S28" s="1"/>
      <c r="T28" s="1">
        <v>0</v>
      </c>
      <c r="U28" s="1">
        <v>1</v>
      </c>
      <c r="V28" s="1">
        <v>0</v>
      </c>
      <c r="W28" s="1">
        <v>0</v>
      </c>
      <c r="X28" s="1">
        <v>0</v>
      </c>
      <c r="Y28" s="1"/>
      <c r="Z28" s="1"/>
      <c r="AA28" s="1">
        <v>0</v>
      </c>
      <c r="AB28" s="1"/>
      <c r="AC28" s="1"/>
      <c r="AD28" s="1"/>
      <c r="AE28" s="1"/>
      <c r="AF28" s="1"/>
      <c r="AG28" s="1">
        <v>0</v>
      </c>
      <c r="AH28" s="1">
        <v>0</v>
      </c>
      <c r="AI28" s="1"/>
      <c r="AJ28" s="1">
        <v>0</v>
      </c>
      <c r="AK28" s="1" t="s">
        <v>32</v>
      </c>
      <c r="AL28" s="1"/>
      <c r="AM28" s="17"/>
      <c r="AN28" s="18"/>
      <c r="AO28" s="18"/>
      <c r="AP28" s="18"/>
      <c r="AQ28" s="18"/>
      <c r="AR28" s="10"/>
    </row>
    <row r="29" spans="2:44" s="43" customFormat="1" ht="15" customHeight="1">
      <c r="B29" s="1">
        <f t="shared" si="0"/>
        <v>19</v>
      </c>
      <c r="C29" s="1">
        <v>0</v>
      </c>
      <c r="D29" s="1" t="s">
        <v>185</v>
      </c>
      <c r="E29" s="1" t="s">
        <v>30</v>
      </c>
      <c r="F29" s="1" t="s">
        <v>113</v>
      </c>
      <c r="G29" s="1"/>
      <c r="H29" s="1" t="s">
        <v>200</v>
      </c>
      <c r="I29" s="1"/>
      <c r="J29" s="1" t="s">
        <v>86</v>
      </c>
      <c r="K29" s="1" t="s">
        <v>62</v>
      </c>
      <c r="L29" s="1" t="s">
        <v>11</v>
      </c>
      <c r="M29" s="1">
        <v>4</v>
      </c>
      <c r="N29" s="1">
        <v>4</v>
      </c>
      <c r="O29" s="1">
        <v>0</v>
      </c>
      <c r="P29" s="1">
        <v>0</v>
      </c>
      <c r="Q29" s="1">
        <v>0</v>
      </c>
      <c r="R29" s="1">
        <v>0</v>
      </c>
      <c r="S29" s="1"/>
      <c r="T29" s="1">
        <v>0</v>
      </c>
      <c r="U29" s="1">
        <v>4</v>
      </c>
      <c r="V29" s="1">
        <v>0</v>
      </c>
      <c r="W29" s="1">
        <v>0</v>
      </c>
      <c r="X29" s="1">
        <v>0</v>
      </c>
      <c r="Y29" s="1"/>
      <c r="Z29" s="1"/>
      <c r="AA29" s="1">
        <v>0</v>
      </c>
      <c r="AB29" s="1"/>
      <c r="AC29" s="1"/>
      <c r="AD29" s="1"/>
      <c r="AE29" s="1"/>
      <c r="AF29" s="1"/>
      <c r="AG29" s="1">
        <v>0</v>
      </c>
      <c r="AH29" s="1"/>
      <c r="AI29" s="1"/>
      <c r="AJ29" s="1">
        <v>0</v>
      </c>
      <c r="AK29" s="1" t="s">
        <v>21</v>
      </c>
      <c r="AL29" s="1" t="s">
        <v>21</v>
      </c>
      <c r="AM29" s="17">
        <v>43472</v>
      </c>
      <c r="AN29" s="18" t="s">
        <v>11</v>
      </c>
      <c r="AO29" s="18"/>
      <c r="AP29" s="18"/>
      <c r="AQ29" s="18"/>
      <c r="AR29" s="10"/>
    </row>
    <row r="30" spans="2:44" s="43" customFormat="1" ht="15" customHeight="1">
      <c r="B30" s="1">
        <f t="shared" si="0"/>
        <v>20</v>
      </c>
      <c r="C30" s="1">
        <v>0</v>
      </c>
      <c r="D30" s="1" t="s">
        <v>220</v>
      </c>
      <c r="E30" s="1" t="s">
        <v>30</v>
      </c>
      <c r="F30" s="1" t="s">
        <v>43</v>
      </c>
      <c r="G30" s="1"/>
      <c r="H30" s="1" t="s">
        <v>70</v>
      </c>
      <c r="I30" s="1"/>
      <c r="J30" s="1" t="s">
        <v>85</v>
      </c>
      <c r="K30" s="1" t="s">
        <v>11</v>
      </c>
      <c r="L30" s="1" t="s">
        <v>62</v>
      </c>
      <c r="M30" s="1">
        <v>4</v>
      </c>
      <c r="N30" s="1">
        <v>4</v>
      </c>
      <c r="O30" s="1">
        <v>0</v>
      </c>
      <c r="P30" s="1">
        <v>0</v>
      </c>
      <c r="Q30" s="1">
        <v>0</v>
      </c>
      <c r="R30" s="1">
        <v>0</v>
      </c>
      <c r="S30" s="1"/>
      <c r="T30" s="1">
        <v>0</v>
      </c>
      <c r="U30" s="1">
        <v>4</v>
      </c>
      <c r="V30" s="1">
        <v>0</v>
      </c>
      <c r="W30" s="1">
        <v>0</v>
      </c>
      <c r="X30" s="1">
        <v>0</v>
      </c>
      <c r="Y30" s="1"/>
      <c r="Z30" s="1"/>
      <c r="AA30" s="1">
        <v>0</v>
      </c>
      <c r="AB30" s="1"/>
      <c r="AC30" s="1"/>
      <c r="AD30" s="1"/>
      <c r="AE30" s="1"/>
      <c r="AF30" s="1"/>
      <c r="AG30" s="1">
        <v>0</v>
      </c>
      <c r="AH30" s="1">
        <v>2</v>
      </c>
      <c r="AI30" s="1"/>
      <c r="AJ30" s="1">
        <v>0</v>
      </c>
      <c r="AK30" s="1" t="s">
        <v>21</v>
      </c>
      <c r="AL30" s="1" t="s">
        <v>21</v>
      </c>
      <c r="AM30" s="17"/>
      <c r="AN30" s="18"/>
      <c r="AO30" s="18"/>
      <c r="AP30" s="18"/>
      <c r="AQ30" s="18"/>
      <c r="AR30" s="10"/>
    </row>
    <row r="31" spans="2:44" s="43" customFormat="1" ht="15" customHeight="1">
      <c r="B31" s="1">
        <f t="shared" si="0"/>
        <v>21</v>
      </c>
      <c r="C31" s="1">
        <v>1</v>
      </c>
      <c r="D31" s="1" t="s">
        <v>220</v>
      </c>
      <c r="E31" s="1" t="s">
        <v>30</v>
      </c>
      <c r="F31" s="1" t="s">
        <v>71</v>
      </c>
      <c r="G31" s="1"/>
      <c r="H31" s="1" t="s">
        <v>72</v>
      </c>
      <c r="I31" s="1"/>
      <c r="J31" s="1" t="s">
        <v>85</v>
      </c>
      <c r="K31" s="1" t="s">
        <v>502</v>
      </c>
      <c r="L31" s="1" t="s">
        <v>486</v>
      </c>
      <c r="M31" s="1">
        <v>4</v>
      </c>
      <c r="N31" s="1">
        <v>4</v>
      </c>
      <c r="O31" s="1">
        <v>0</v>
      </c>
      <c r="P31" s="1">
        <v>0</v>
      </c>
      <c r="Q31" s="1">
        <v>0</v>
      </c>
      <c r="R31" s="1">
        <v>0</v>
      </c>
      <c r="S31" s="1"/>
      <c r="T31" s="1">
        <v>0</v>
      </c>
      <c r="U31" s="1">
        <v>4</v>
      </c>
      <c r="V31" s="1">
        <v>0</v>
      </c>
      <c r="W31" s="1">
        <v>0</v>
      </c>
      <c r="X31" s="1">
        <v>0</v>
      </c>
      <c r="Y31" s="1"/>
      <c r="Z31" s="1"/>
      <c r="AA31" s="1">
        <v>0</v>
      </c>
      <c r="AB31" s="1"/>
      <c r="AC31" s="1"/>
      <c r="AD31" s="1"/>
      <c r="AE31" s="1"/>
      <c r="AF31" s="1"/>
      <c r="AG31" s="1">
        <v>0</v>
      </c>
      <c r="AH31" s="1">
        <v>4</v>
      </c>
      <c r="AI31" s="1">
        <v>2</v>
      </c>
      <c r="AJ31" s="1">
        <v>0</v>
      </c>
      <c r="AK31" s="1" t="s">
        <v>21</v>
      </c>
      <c r="AL31" s="1" t="s">
        <v>21</v>
      </c>
      <c r="AM31" s="17"/>
      <c r="AN31" s="18"/>
      <c r="AO31" s="18"/>
      <c r="AP31" s="18"/>
      <c r="AQ31" s="18"/>
      <c r="AR31" s="10"/>
    </row>
    <row r="32" spans="2:44" s="43" customFormat="1" ht="15" customHeight="1">
      <c r="B32" s="1">
        <f t="shared" si="0"/>
        <v>22</v>
      </c>
      <c r="C32" s="1">
        <v>0</v>
      </c>
      <c r="D32" s="1" t="s">
        <v>185</v>
      </c>
      <c r="E32" s="1" t="s">
        <v>30</v>
      </c>
      <c r="F32" s="1" t="s">
        <v>73</v>
      </c>
      <c r="G32" s="1"/>
      <c r="H32" s="1" t="s">
        <v>74</v>
      </c>
      <c r="I32" s="1"/>
      <c r="J32" s="1" t="s">
        <v>87</v>
      </c>
      <c r="K32" s="1" t="s">
        <v>11</v>
      </c>
      <c r="L32" s="1" t="s">
        <v>62</v>
      </c>
      <c r="M32" s="1">
        <v>4</v>
      </c>
      <c r="N32" s="1">
        <v>4</v>
      </c>
      <c r="O32" s="1">
        <v>0</v>
      </c>
      <c r="P32" s="1">
        <v>0</v>
      </c>
      <c r="Q32" s="1">
        <v>0</v>
      </c>
      <c r="R32" s="1">
        <v>0</v>
      </c>
      <c r="S32" s="1"/>
      <c r="T32" s="1">
        <v>0</v>
      </c>
      <c r="U32" s="1">
        <v>1</v>
      </c>
      <c r="V32" s="1">
        <v>0</v>
      </c>
      <c r="W32" s="1">
        <v>0</v>
      </c>
      <c r="X32" s="1">
        <v>0</v>
      </c>
      <c r="Y32" s="1"/>
      <c r="Z32" s="1"/>
      <c r="AA32" s="1">
        <v>0</v>
      </c>
      <c r="AB32" s="1"/>
      <c r="AC32" s="1"/>
      <c r="AD32" s="1"/>
      <c r="AE32" s="1"/>
      <c r="AF32" s="1"/>
      <c r="AG32" s="1">
        <v>0</v>
      </c>
      <c r="AH32" s="1">
        <v>0</v>
      </c>
      <c r="AI32" s="1"/>
      <c r="AJ32" s="1">
        <v>0</v>
      </c>
      <c r="AK32" s="1" t="s">
        <v>32</v>
      </c>
      <c r="AL32" s="1"/>
      <c r="AM32" s="17"/>
      <c r="AN32" s="18"/>
      <c r="AO32" s="18"/>
      <c r="AP32" s="18"/>
      <c r="AQ32" s="18"/>
      <c r="AR32" s="10"/>
    </row>
    <row r="33" spans="2:44" s="43" customFormat="1" ht="15" customHeight="1">
      <c r="B33" s="1">
        <f t="shared" si="0"/>
        <v>23</v>
      </c>
      <c r="C33" s="1">
        <v>0</v>
      </c>
      <c r="D33" s="1" t="s">
        <v>185</v>
      </c>
      <c r="E33" s="1" t="s">
        <v>30</v>
      </c>
      <c r="F33" s="1" t="s">
        <v>73</v>
      </c>
      <c r="G33" s="1"/>
      <c r="H33" s="1" t="s">
        <v>75</v>
      </c>
      <c r="I33" s="1"/>
      <c r="J33" s="1" t="s">
        <v>87</v>
      </c>
      <c r="K33" s="1" t="s">
        <v>11</v>
      </c>
      <c r="L33" s="1" t="s">
        <v>62</v>
      </c>
      <c r="M33" s="1">
        <v>4</v>
      </c>
      <c r="N33" s="1">
        <v>4</v>
      </c>
      <c r="O33" s="1">
        <v>0</v>
      </c>
      <c r="P33" s="1">
        <v>0</v>
      </c>
      <c r="Q33" s="1">
        <v>0</v>
      </c>
      <c r="R33" s="1">
        <v>0</v>
      </c>
      <c r="S33" s="1"/>
      <c r="T33" s="1">
        <v>0</v>
      </c>
      <c r="U33" s="1">
        <v>1</v>
      </c>
      <c r="V33" s="1">
        <v>0</v>
      </c>
      <c r="W33" s="1">
        <v>0</v>
      </c>
      <c r="X33" s="1">
        <v>0</v>
      </c>
      <c r="Y33" s="1"/>
      <c r="Z33" s="1"/>
      <c r="AA33" s="1">
        <v>0</v>
      </c>
      <c r="AB33" s="1"/>
      <c r="AC33" s="1"/>
      <c r="AD33" s="1"/>
      <c r="AE33" s="1"/>
      <c r="AF33" s="1"/>
      <c r="AG33" s="1">
        <v>0</v>
      </c>
      <c r="AH33" s="1">
        <v>0</v>
      </c>
      <c r="AI33" s="1"/>
      <c r="AJ33" s="1">
        <v>0</v>
      </c>
      <c r="AK33" s="1" t="s">
        <v>32</v>
      </c>
      <c r="AL33" s="1"/>
      <c r="AM33" s="17"/>
      <c r="AN33" s="18"/>
      <c r="AO33" s="18"/>
      <c r="AP33" s="18"/>
      <c r="AQ33" s="18"/>
      <c r="AR33" s="10"/>
    </row>
    <row r="34" spans="2:44" s="43" customFormat="1" ht="15" customHeight="1">
      <c r="B34" s="1">
        <f t="shared" si="0"/>
        <v>24</v>
      </c>
      <c r="C34" s="1">
        <v>0</v>
      </c>
      <c r="D34" s="1" t="s">
        <v>185</v>
      </c>
      <c r="E34" s="1" t="s">
        <v>30</v>
      </c>
      <c r="F34" s="1" t="s">
        <v>226</v>
      </c>
      <c r="G34" s="1" t="s">
        <v>54</v>
      </c>
      <c r="H34" s="1">
        <v>2020</v>
      </c>
      <c r="I34" s="1"/>
      <c r="J34" s="1" t="s">
        <v>87</v>
      </c>
      <c r="K34" s="1" t="s">
        <v>11</v>
      </c>
      <c r="L34" s="1" t="s">
        <v>11</v>
      </c>
      <c r="M34" s="1">
        <v>4</v>
      </c>
      <c r="N34" s="1">
        <v>4</v>
      </c>
      <c r="O34" s="1">
        <v>4</v>
      </c>
      <c r="P34" s="1">
        <v>4</v>
      </c>
      <c r="Q34" s="1">
        <v>1</v>
      </c>
      <c r="R34" s="1">
        <v>1</v>
      </c>
      <c r="S34" s="1"/>
      <c r="T34" s="1">
        <v>1</v>
      </c>
      <c r="U34" s="1">
        <v>1</v>
      </c>
      <c r="V34" s="1">
        <v>1</v>
      </c>
      <c r="W34" s="1">
        <v>0</v>
      </c>
      <c r="X34" s="1">
        <v>0</v>
      </c>
      <c r="Y34" s="1"/>
      <c r="Z34" s="1"/>
      <c r="AA34" s="1">
        <v>0</v>
      </c>
      <c r="AB34" s="1"/>
      <c r="AC34" s="1"/>
      <c r="AD34" s="1"/>
      <c r="AE34" s="1"/>
      <c r="AF34" s="1"/>
      <c r="AG34" s="1">
        <v>0</v>
      </c>
      <c r="AH34" s="1">
        <v>0</v>
      </c>
      <c r="AI34" s="1"/>
      <c r="AJ34" s="1">
        <v>0</v>
      </c>
      <c r="AK34" s="1" t="s">
        <v>32</v>
      </c>
      <c r="AL34" s="1"/>
      <c r="AM34" s="17"/>
      <c r="AN34" s="18"/>
      <c r="AO34" s="18"/>
      <c r="AP34" s="18"/>
      <c r="AQ34" s="18"/>
      <c r="AR34" s="10" t="s">
        <v>76</v>
      </c>
    </row>
    <row r="35" spans="2:44" s="43" customFormat="1" ht="15" customHeight="1">
      <c r="B35" s="1">
        <f t="shared" si="0"/>
        <v>25</v>
      </c>
      <c r="C35" s="1">
        <v>0</v>
      </c>
      <c r="D35" s="1" t="s">
        <v>186</v>
      </c>
      <c r="E35" s="1" t="s">
        <v>186</v>
      </c>
      <c r="F35" s="1" t="s">
        <v>19</v>
      </c>
      <c r="G35" s="1"/>
      <c r="H35" s="1" t="s">
        <v>130</v>
      </c>
      <c r="I35" s="1"/>
      <c r="J35" s="1" t="s">
        <v>85</v>
      </c>
      <c r="K35" s="1" t="s">
        <v>408</v>
      </c>
      <c r="L35" s="1" t="s">
        <v>340</v>
      </c>
      <c r="M35" s="1">
        <v>0</v>
      </c>
      <c r="N35" s="1">
        <v>4</v>
      </c>
      <c r="O35" s="1">
        <v>0</v>
      </c>
      <c r="P35" s="1">
        <v>3</v>
      </c>
      <c r="Q35" s="1">
        <v>0</v>
      </c>
      <c r="R35" s="1">
        <v>0</v>
      </c>
      <c r="S35" s="1"/>
      <c r="T35" s="1">
        <v>0</v>
      </c>
      <c r="U35" s="1">
        <v>3</v>
      </c>
      <c r="V35" s="1">
        <v>0</v>
      </c>
      <c r="W35" s="1">
        <v>0</v>
      </c>
      <c r="X35" s="1">
        <v>4</v>
      </c>
      <c r="Y35" s="1">
        <v>0</v>
      </c>
      <c r="Z35" s="1">
        <v>4</v>
      </c>
      <c r="AA35" s="1">
        <v>0</v>
      </c>
      <c r="AB35" s="1"/>
      <c r="AC35" s="1"/>
      <c r="AD35" s="1"/>
      <c r="AE35" s="1">
        <v>4</v>
      </c>
      <c r="AF35" s="1">
        <v>0</v>
      </c>
      <c r="AG35" s="1">
        <v>0</v>
      </c>
      <c r="AH35" s="1">
        <v>0</v>
      </c>
      <c r="AI35" s="1"/>
      <c r="AJ35" s="1">
        <v>0</v>
      </c>
      <c r="AK35" s="1" t="s">
        <v>21</v>
      </c>
      <c r="AL35" s="1" t="s">
        <v>21</v>
      </c>
      <c r="AM35" s="17">
        <v>44167</v>
      </c>
      <c r="AN35" s="18" t="s">
        <v>330</v>
      </c>
      <c r="AO35" s="18"/>
      <c r="AP35" s="18"/>
      <c r="AQ35" s="18"/>
      <c r="AR35" s="10"/>
    </row>
    <row r="36" spans="2:44" s="43" customFormat="1" ht="15" customHeight="1">
      <c r="B36" s="1">
        <f t="shared" si="0"/>
        <v>26</v>
      </c>
      <c r="C36" s="1">
        <v>1</v>
      </c>
      <c r="D36" s="1" t="s">
        <v>186</v>
      </c>
      <c r="E36" s="1" t="s">
        <v>186</v>
      </c>
      <c r="F36" s="1" t="s">
        <v>19</v>
      </c>
      <c r="G36" s="1"/>
      <c r="H36" s="1" t="s">
        <v>401</v>
      </c>
      <c r="I36" s="1"/>
      <c r="J36" s="1" t="s">
        <v>86</v>
      </c>
      <c r="K36" s="1" t="s">
        <v>340</v>
      </c>
      <c r="L36" s="1" t="s">
        <v>408</v>
      </c>
      <c r="M36" s="1">
        <v>0</v>
      </c>
      <c r="N36" s="1">
        <v>4</v>
      </c>
      <c r="O36" s="1">
        <v>0</v>
      </c>
      <c r="P36" s="1">
        <v>3</v>
      </c>
      <c r="Q36" s="1">
        <v>0</v>
      </c>
      <c r="R36" s="1">
        <v>0</v>
      </c>
      <c r="S36" s="1"/>
      <c r="T36" s="1">
        <v>0</v>
      </c>
      <c r="U36" s="1">
        <v>3</v>
      </c>
      <c r="V36" s="1">
        <v>0</v>
      </c>
      <c r="W36" s="1">
        <v>0</v>
      </c>
      <c r="X36" s="1">
        <v>4</v>
      </c>
      <c r="Y36" s="1">
        <v>0</v>
      </c>
      <c r="Z36" s="1">
        <v>0</v>
      </c>
      <c r="AA36" s="1">
        <v>0</v>
      </c>
      <c r="AB36" s="1"/>
      <c r="AC36" s="1"/>
      <c r="AD36" s="1"/>
      <c r="AE36" s="1">
        <v>3</v>
      </c>
      <c r="AF36" s="1">
        <v>0</v>
      </c>
      <c r="AG36" s="1">
        <v>0</v>
      </c>
      <c r="AH36" s="1">
        <v>0</v>
      </c>
      <c r="AI36" s="1"/>
      <c r="AJ36" s="1">
        <v>0</v>
      </c>
      <c r="AK36" s="1" t="s">
        <v>21</v>
      </c>
      <c r="AL36" s="1" t="s">
        <v>21</v>
      </c>
      <c r="AM36" s="17">
        <v>43467</v>
      </c>
      <c r="AN36" s="18" t="s">
        <v>62</v>
      </c>
      <c r="AO36" s="18"/>
      <c r="AP36" s="18"/>
      <c r="AQ36" s="18"/>
      <c r="AR36" s="10"/>
    </row>
    <row r="37" spans="2:44" s="43" customFormat="1" ht="15" customHeight="1">
      <c r="B37" s="1">
        <f t="shared" si="0"/>
        <v>27</v>
      </c>
      <c r="C37" s="1">
        <v>0</v>
      </c>
      <c r="D37" s="1" t="s">
        <v>186</v>
      </c>
      <c r="E37" s="1" t="s">
        <v>186</v>
      </c>
      <c r="F37" s="1" t="s">
        <v>29</v>
      </c>
      <c r="G37" s="1"/>
      <c r="H37" s="1" t="s">
        <v>129</v>
      </c>
      <c r="I37" s="1"/>
      <c r="J37" s="1" t="s">
        <v>85</v>
      </c>
      <c r="K37" s="1" t="s">
        <v>13</v>
      </c>
      <c r="L37" s="1" t="s">
        <v>62</v>
      </c>
      <c r="M37" s="1">
        <v>4</v>
      </c>
      <c r="N37" s="1">
        <v>4</v>
      </c>
      <c r="O37" s="1">
        <v>1</v>
      </c>
      <c r="P37" s="1">
        <v>4</v>
      </c>
      <c r="Q37" s="1">
        <v>1</v>
      </c>
      <c r="R37" s="1">
        <v>0</v>
      </c>
      <c r="S37" s="1"/>
      <c r="T37" s="1">
        <v>4</v>
      </c>
      <c r="U37" s="1">
        <v>4</v>
      </c>
      <c r="V37" s="1">
        <v>0</v>
      </c>
      <c r="W37" s="1">
        <v>0</v>
      </c>
      <c r="X37" s="1">
        <v>0</v>
      </c>
      <c r="Y37" s="1"/>
      <c r="Z37" s="1"/>
      <c r="AA37" s="1">
        <v>0</v>
      </c>
      <c r="AB37" s="1"/>
      <c r="AC37" s="1"/>
      <c r="AD37" s="1"/>
      <c r="AE37" s="1"/>
      <c r="AF37" s="1"/>
      <c r="AG37" s="1">
        <v>0</v>
      </c>
      <c r="AH37" s="1">
        <v>0</v>
      </c>
      <c r="AI37" s="1"/>
      <c r="AJ37" s="1">
        <v>0</v>
      </c>
      <c r="AK37" s="1" t="s">
        <v>21</v>
      </c>
      <c r="AL37" s="1"/>
      <c r="AM37" s="17">
        <v>43467</v>
      </c>
      <c r="AN37" s="18" t="s">
        <v>62</v>
      </c>
      <c r="AO37" s="18"/>
      <c r="AP37" s="18"/>
      <c r="AQ37" s="18"/>
      <c r="AR37" s="10" t="s">
        <v>163</v>
      </c>
    </row>
    <row r="38" spans="2:44" s="43" customFormat="1" ht="15" customHeight="1">
      <c r="B38" s="1">
        <f t="shared" si="0"/>
        <v>28</v>
      </c>
      <c r="C38" s="1">
        <v>0</v>
      </c>
      <c r="D38" s="1" t="s">
        <v>186</v>
      </c>
      <c r="E38" s="1" t="s">
        <v>186</v>
      </c>
      <c r="F38" s="1" t="s">
        <v>29</v>
      </c>
      <c r="G38" s="1"/>
      <c r="H38" s="1" t="s">
        <v>128</v>
      </c>
      <c r="I38" s="1"/>
      <c r="J38" s="1" t="s">
        <v>89</v>
      </c>
      <c r="K38" s="1" t="s">
        <v>13</v>
      </c>
      <c r="L38" s="1" t="s">
        <v>62</v>
      </c>
      <c r="M38" s="1">
        <v>4</v>
      </c>
      <c r="N38" s="1">
        <v>4</v>
      </c>
      <c r="O38" s="1">
        <v>1</v>
      </c>
      <c r="P38" s="1">
        <v>4</v>
      </c>
      <c r="Q38" s="1">
        <v>1</v>
      </c>
      <c r="R38" s="1">
        <v>0</v>
      </c>
      <c r="S38" s="1"/>
      <c r="T38" s="1">
        <v>4</v>
      </c>
      <c r="U38" s="1">
        <v>4</v>
      </c>
      <c r="V38" s="1">
        <v>0</v>
      </c>
      <c r="W38" s="1">
        <v>0</v>
      </c>
      <c r="X38" s="1">
        <v>0</v>
      </c>
      <c r="Y38" s="1"/>
      <c r="Z38" s="1"/>
      <c r="AA38" s="1">
        <v>0</v>
      </c>
      <c r="AB38" s="1"/>
      <c r="AC38" s="1"/>
      <c r="AD38" s="1"/>
      <c r="AE38" s="1"/>
      <c r="AF38" s="1"/>
      <c r="AG38" s="1">
        <v>0</v>
      </c>
      <c r="AH38" s="1">
        <v>0</v>
      </c>
      <c r="AI38" s="1"/>
      <c r="AJ38" s="1">
        <v>0</v>
      </c>
      <c r="AK38" s="1" t="s">
        <v>21</v>
      </c>
      <c r="AL38" s="1"/>
      <c r="AM38" s="17">
        <v>43467</v>
      </c>
      <c r="AN38" s="18" t="s">
        <v>62</v>
      </c>
      <c r="AO38" s="18"/>
      <c r="AP38" s="18"/>
      <c r="AQ38" s="18"/>
      <c r="AR38" s="10" t="s">
        <v>163</v>
      </c>
    </row>
    <row r="39" spans="2:44" s="43" customFormat="1" ht="15" customHeight="1">
      <c r="B39" s="1">
        <f t="shared" si="0"/>
        <v>29</v>
      </c>
      <c r="C39" s="1">
        <v>0</v>
      </c>
      <c r="D39" s="1" t="s">
        <v>186</v>
      </c>
      <c r="E39" s="1" t="s">
        <v>186</v>
      </c>
      <c r="F39" s="1" t="s">
        <v>29</v>
      </c>
      <c r="G39" s="1"/>
      <c r="H39" s="1" t="s">
        <v>124</v>
      </c>
      <c r="I39" s="1"/>
      <c r="J39" s="1" t="s">
        <v>85</v>
      </c>
      <c r="K39" s="1" t="s">
        <v>13</v>
      </c>
      <c r="L39" s="1" t="s">
        <v>62</v>
      </c>
      <c r="M39" s="1">
        <v>4</v>
      </c>
      <c r="N39" s="1">
        <v>4</v>
      </c>
      <c r="O39" s="1">
        <v>1</v>
      </c>
      <c r="P39" s="1">
        <v>4</v>
      </c>
      <c r="Q39" s="1">
        <v>1</v>
      </c>
      <c r="R39" s="1">
        <v>0</v>
      </c>
      <c r="S39" s="1"/>
      <c r="T39" s="1">
        <v>4</v>
      </c>
      <c r="U39" s="1">
        <v>4</v>
      </c>
      <c r="V39" s="1">
        <v>0</v>
      </c>
      <c r="W39" s="1">
        <v>0</v>
      </c>
      <c r="X39" s="1">
        <v>0</v>
      </c>
      <c r="Y39" s="1"/>
      <c r="Z39" s="1"/>
      <c r="AA39" s="1">
        <v>0</v>
      </c>
      <c r="AB39" s="1"/>
      <c r="AC39" s="1"/>
      <c r="AD39" s="1"/>
      <c r="AE39" s="1"/>
      <c r="AF39" s="1"/>
      <c r="AG39" s="1">
        <v>0</v>
      </c>
      <c r="AH39" s="1">
        <v>0</v>
      </c>
      <c r="AI39" s="1"/>
      <c r="AJ39" s="1">
        <v>0</v>
      </c>
      <c r="AK39" s="1" t="s">
        <v>95</v>
      </c>
      <c r="AL39" s="1"/>
      <c r="AM39" s="17">
        <v>43467</v>
      </c>
      <c r="AN39" s="18" t="s">
        <v>62</v>
      </c>
      <c r="AO39" s="18"/>
      <c r="AP39" s="18"/>
      <c r="AQ39" s="18"/>
      <c r="AR39" s="10" t="s">
        <v>163</v>
      </c>
    </row>
    <row r="40" spans="2:44" s="43" customFormat="1" ht="15" customHeight="1">
      <c r="B40" s="1">
        <f t="shared" si="0"/>
        <v>30</v>
      </c>
      <c r="C40" s="1">
        <v>0</v>
      </c>
      <c r="D40" s="1" t="s">
        <v>186</v>
      </c>
      <c r="E40" s="1" t="s">
        <v>186</v>
      </c>
      <c r="F40" s="1" t="s">
        <v>29</v>
      </c>
      <c r="G40" s="1"/>
      <c r="H40" s="1" t="s">
        <v>28</v>
      </c>
      <c r="I40" s="1"/>
      <c r="J40" s="1" t="s">
        <v>86</v>
      </c>
      <c r="K40" s="1" t="s">
        <v>13</v>
      </c>
      <c r="L40" s="1" t="s">
        <v>62</v>
      </c>
      <c r="M40" s="1">
        <v>4</v>
      </c>
      <c r="N40" s="1">
        <v>4</v>
      </c>
      <c r="O40" s="1">
        <v>1</v>
      </c>
      <c r="P40" s="1">
        <v>4</v>
      </c>
      <c r="Q40" s="1">
        <v>1</v>
      </c>
      <c r="R40" s="1">
        <v>0</v>
      </c>
      <c r="S40" s="1"/>
      <c r="T40" s="1">
        <v>0</v>
      </c>
      <c r="U40" s="1">
        <v>2</v>
      </c>
      <c r="V40" s="1">
        <v>0</v>
      </c>
      <c r="W40" s="1">
        <v>0</v>
      </c>
      <c r="X40" s="1">
        <v>0</v>
      </c>
      <c r="Y40" s="1"/>
      <c r="Z40" s="1"/>
      <c r="AA40" s="1">
        <v>0</v>
      </c>
      <c r="AB40" s="1"/>
      <c r="AC40" s="1"/>
      <c r="AD40" s="1"/>
      <c r="AE40" s="1"/>
      <c r="AF40" s="1"/>
      <c r="AG40" s="1">
        <v>0</v>
      </c>
      <c r="AH40" s="1">
        <v>0</v>
      </c>
      <c r="AI40" s="1"/>
      <c r="AJ40" s="1">
        <v>0</v>
      </c>
      <c r="AK40" s="1" t="s">
        <v>54</v>
      </c>
      <c r="AL40" s="1"/>
      <c r="AM40" s="17">
        <v>43467</v>
      </c>
      <c r="AN40" s="18" t="s">
        <v>62</v>
      </c>
      <c r="AO40" s="18"/>
      <c r="AP40" s="18"/>
      <c r="AQ40" s="18"/>
      <c r="AR40" s="10" t="s">
        <v>146</v>
      </c>
    </row>
    <row r="41" spans="2:44" s="43" customFormat="1" ht="15" customHeight="1">
      <c r="B41" s="1">
        <f t="shared" si="0"/>
        <v>31</v>
      </c>
      <c r="C41" s="1">
        <v>0</v>
      </c>
      <c r="D41" s="1" t="s">
        <v>186</v>
      </c>
      <c r="E41" s="1" t="s">
        <v>186</v>
      </c>
      <c r="F41" s="1" t="s">
        <v>19</v>
      </c>
      <c r="G41" s="1"/>
      <c r="H41" s="1" t="s">
        <v>131</v>
      </c>
      <c r="I41" s="1"/>
      <c r="J41" s="1" t="s">
        <v>87</v>
      </c>
      <c r="K41" s="1" t="s">
        <v>408</v>
      </c>
      <c r="L41" s="1" t="s">
        <v>340</v>
      </c>
      <c r="M41" s="1">
        <v>0</v>
      </c>
      <c r="N41" s="1">
        <v>4</v>
      </c>
      <c r="O41" s="1">
        <v>0</v>
      </c>
      <c r="P41" s="1">
        <v>3</v>
      </c>
      <c r="Q41" s="1">
        <v>0</v>
      </c>
      <c r="R41" s="1">
        <v>0</v>
      </c>
      <c r="S41" s="1"/>
      <c r="T41" s="1">
        <v>0</v>
      </c>
      <c r="U41" s="1">
        <v>3</v>
      </c>
      <c r="V41" s="1">
        <v>0</v>
      </c>
      <c r="W41" s="1">
        <v>0</v>
      </c>
      <c r="X41" s="1">
        <v>4</v>
      </c>
      <c r="Y41" s="1">
        <v>0</v>
      </c>
      <c r="Z41" s="1">
        <v>3</v>
      </c>
      <c r="AA41" s="1">
        <v>0</v>
      </c>
      <c r="AB41" s="1"/>
      <c r="AC41" s="1"/>
      <c r="AD41" s="1"/>
      <c r="AE41" s="1">
        <v>4</v>
      </c>
      <c r="AF41" s="1">
        <v>0</v>
      </c>
      <c r="AG41" s="1">
        <v>0</v>
      </c>
      <c r="AH41" s="1">
        <v>0</v>
      </c>
      <c r="AI41" s="1">
        <v>0</v>
      </c>
      <c r="AJ41" s="1">
        <v>0</v>
      </c>
      <c r="AK41" s="1" t="s">
        <v>21</v>
      </c>
      <c r="AL41" s="1" t="s">
        <v>21</v>
      </c>
      <c r="AM41" s="17">
        <v>44167</v>
      </c>
      <c r="AN41" s="18" t="s">
        <v>330</v>
      </c>
      <c r="AO41" s="18"/>
      <c r="AP41" s="18"/>
      <c r="AQ41" s="18"/>
      <c r="AR41" s="10"/>
    </row>
    <row r="42" spans="2:44" s="43" customFormat="1" ht="15" customHeight="1">
      <c r="B42" s="1">
        <f t="shared" si="0"/>
        <v>32</v>
      </c>
      <c r="C42" s="1">
        <v>0</v>
      </c>
      <c r="D42" s="1" t="s">
        <v>186</v>
      </c>
      <c r="E42" s="1" t="s">
        <v>186</v>
      </c>
      <c r="F42" s="1" t="s">
        <v>134</v>
      </c>
      <c r="G42" s="1"/>
      <c r="H42" s="1" t="s">
        <v>133</v>
      </c>
      <c r="I42" s="1"/>
      <c r="J42" s="1" t="s">
        <v>86</v>
      </c>
      <c r="K42" s="1" t="s">
        <v>13</v>
      </c>
      <c r="L42" s="1" t="s">
        <v>62</v>
      </c>
      <c r="M42" s="1">
        <v>4</v>
      </c>
      <c r="N42" s="1">
        <v>4</v>
      </c>
      <c r="O42" s="1">
        <v>1</v>
      </c>
      <c r="P42" s="1">
        <v>4</v>
      </c>
      <c r="Q42" s="1">
        <v>2</v>
      </c>
      <c r="R42" s="1">
        <v>0</v>
      </c>
      <c r="S42" s="1"/>
      <c r="T42" s="1">
        <v>0</v>
      </c>
      <c r="U42" s="1">
        <v>4</v>
      </c>
      <c r="V42" s="1">
        <v>0</v>
      </c>
      <c r="W42" s="1">
        <v>0</v>
      </c>
      <c r="X42" s="1">
        <v>0</v>
      </c>
      <c r="Y42" s="1"/>
      <c r="Z42" s="1"/>
      <c r="AA42" s="1">
        <v>0</v>
      </c>
      <c r="AB42" s="1"/>
      <c r="AC42" s="1"/>
      <c r="AD42" s="1"/>
      <c r="AE42" s="1"/>
      <c r="AF42" s="1"/>
      <c r="AG42" s="1">
        <v>0</v>
      </c>
      <c r="AH42" s="1">
        <v>0</v>
      </c>
      <c r="AI42" s="1"/>
      <c r="AJ42" s="1">
        <v>0</v>
      </c>
      <c r="AK42" s="1" t="s">
        <v>95</v>
      </c>
      <c r="AL42" s="1"/>
      <c r="AM42" s="17">
        <v>43467</v>
      </c>
      <c r="AN42" s="18" t="s">
        <v>62</v>
      </c>
      <c r="AO42" s="18"/>
      <c r="AP42" s="18"/>
      <c r="AQ42" s="18"/>
      <c r="AR42" s="10" t="s">
        <v>146</v>
      </c>
    </row>
    <row r="43" spans="2:44" s="43" customFormat="1" ht="15" customHeight="1">
      <c r="B43" s="1">
        <f t="shared" si="0"/>
        <v>33</v>
      </c>
      <c r="C43" s="1">
        <v>0</v>
      </c>
      <c r="D43" s="1" t="s">
        <v>186</v>
      </c>
      <c r="E43" s="1" t="s">
        <v>186</v>
      </c>
      <c r="F43" s="1" t="s">
        <v>19</v>
      </c>
      <c r="G43" s="1"/>
      <c r="H43" s="1" t="s">
        <v>132</v>
      </c>
      <c r="I43" s="1"/>
      <c r="J43" s="1" t="s">
        <v>87</v>
      </c>
      <c r="K43" s="58" t="s">
        <v>13</v>
      </c>
      <c r="L43" s="1" t="s">
        <v>62</v>
      </c>
      <c r="M43" s="1">
        <v>0</v>
      </c>
      <c r="N43" s="1">
        <v>4</v>
      </c>
      <c r="O43" s="1">
        <v>0</v>
      </c>
      <c r="P43" s="1">
        <v>4</v>
      </c>
      <c r="Q43" s="1">
        <v>0</v>
      </c>
      <c r="R43" s="1">
        <v>0</v>
      </c>
      <c r="S43" s="1"/>
      <c r="T43" s="1">
        <v>0</v>
      </c>
      <c r="U43" s="1">
        <v>4</v>
      </c>
      <c r="V43" s="1">
        <v>0</v>
      </c>
      <c r="W43" s="1">
        <v>0</v>
      </c>
      <c r="X43" s="1">
        <v>0</v>
      </c>
      <c r="Y43" s="1"/>
      <c r="Z43" s="1"/>
      <c r="AA43" s="1">
        <v>0</v>
      </c>
      <c r="AB43" s="1"/>
      <c r="AC43" s="1"/>
      <c r="AD43" s="1"/>
      <c r="AE43" s="1"/>
      <c r="AF43" s="1"/>
      <c r="AG43" s="1">
        <v>0</v>
      </c>
      <c r="AH43" s="1">
        <v>0</v>
      </c>
      <c r="AI43" s="1">
        <v>0</v>
      </c>
      <c r="AJ43" s="1">
        <v>0</v>
      </c>
      <c r="AK43" s="1" t="s">
        <v>54</v>
      </c>
      <c r="AL43" s="1"/>
      <c r="AM43" s="17">
        <v>43467</v>
      </c>
      <c r="AN43" s="18" t="s">
        <v>62</v>
      </c>
      <c r="AO43" s="18"/>
      <c r="AP43" s="18"/>
      <c r="AQ43" s="18"/>
      <c r="AR43" s="10" t="s">
        <v>145</v>
      </c>
    </row>
    <row r="44" spans="2:44" s="43" customFormat="1" ht="15" customHeight="1">
      <c r="B44" s="1">
        <f t="shared" si="0"/>
        <v>34</v>
      </c>
      <c r="C44" s="1">
        <v>1</v>
      </c>
      <c r="D44" s="54" t="s">
        <v>386</v>
      </c>
      <c r="E44" s="1" t="s">
        <v>294</v>
      </c>
      <c r="F44" s="1" t="s">
        <v>57</v>
      </c>
      <c r="G44" s="1"/>
      <c r="H44" s="54" t="s">
        <v>1185</v>
      </c>
      <c r="I44" s="54"/>
      <c r="J44" s="1" t="s">
        <v>85</v>
      </c>
      <c r="K44" s="1" t="s">
        <v>12</v>
      </c>
      <c r="L44" s="1" t="s">
        <v>453</v>
      </c>
      <c r="M44" s="1">
        <v>0</v>
      </c>
      <c r="N44" s="1">
        <v>0</v>
      </c>
      <c r="O44" s="1">
        <v>4</v>
      </c>
      <c r="P44" s="1">
        <v>0</v>
      </c>
      <c r="Q44" s="1">
        <v>0</v>
      </c>
      <c r="R44" s="1">
        <v>0</v>
      </c>
      <c r="S44" s="1">
        <v>0</v>
      </c>
      <c r="T44" s="1">
        <v>0</v>
      </c>
      <c r="U44" s="1">
        <v>0</v>
      </c>
      <c r="V44" s="1">
        <v>0</v>
      </c>
      <c r="W44" s="1">
        <v>0</v>
      </c>
      <c r="X44" s="1">
        <v>0</v>
      </c>
      <c r="Y44" s="1">
        <v>0</v>
      </c>
      <c r="Z44" s="1">
        <v>0</v>
      </c>
      <c r="AA44" s="1">
        <v>0</v>
      </c>
      <c r="AB44" s="1">
        <v>4</v>
      </c>
      <c r="AC44" s="1">
        <v>0</v>
      </c>
      <c r="AD44" s="1">
        <v>0</v>
      </c>
      <c r="AE44" s="1">
        <v>0</v>
      </c>
      <c r="AF44" s="1">
        <v>0</v>
      </c>
      <c r="AG44" s="1">
        <v>0</v>
      </c>
      <c r="AH44" s="1">
        <v>0</v>
      </c>
      <c r="AI44" s="1">
        <v>0</v>
      </c>
      <c r="AJ44" s="1">
        <v>0</v>
      </c>
      <c r="AK44" s="1" t="s">
        <v>21</v>
      </c>
      <c r="AL44" s="1" t="s">
        <v>21</v>
      </c>
      <c r="AM44" s="17"/>
      <c r="AN44" s="18"/>
      <c r="AO44" s="18"/>
      <c r="AP44" s="18"/>
      <c r="AQ44" s="146">
        <v>0.9</v>
      </c>
      <c r="AR44" s="10" t="s">
        <v>77</v>
      </c>
    </row>
    <row r="45" spans="2:44" s="43" customFormat="1" ht="15" customHeight="1">
      <c r="B45" s="1">
        <f t="shared" si="0"/>
        <v>35</v>
      </c>
      <c r="C45" s="1">
        <v>0</v>
      </c>
      <c r="D45" s="54" t="s">
        <v>386</v>
      </c>
      <c r="E45" s="1" t="s">
        <v>294</v>
      </c>
      <c r="F45" s="1" t="s">
        <v>57</v>
      </c>
      <c r="G45" s="1"/>
      <c r="H45" s="54" t="s">
        <v>108</v>
      </c>
      <c r="I45" s="54"/>
      <c r="J45" s="1" t="s">
        <v>87</v>
      </c>
      <c r="K45" s="1" t="s">
        <v>12</v>
      </c>
      <c r="L45" s="1" t="s">
        <v>331</v>
      </c>
      <c r="M45" s="1">
        <v>0</v>
      </c>
      <c r="N45" s="1">
        <v>0</v>
      </c>
      <c r="O45" s="1">
        <v>4</v>
      </c>
      <c r="P45" s="1">
        <v>0</v>
      </c>
      <c r="Q45" s="1">
        <v>0</v>
      </c>
      <c r="R45" s="1">
        <v>0</v>
      </c>
      <c r="S45" s="1">
        <v>0</v>
      </c>
      <c r="T45" s="1">
        <v>0</v>
      </c>
      <c r="U45" s="1">
        <v>0</v>
      </c>
      <c r="V45" s="1">
        <v>0</v>
      </c>
      <c r="W45" s="1">
        <v>0</v>
      </c>
      <c r="X45" s="1">
        <v>0</v>
      </c>
      <c r="Y45" s="1">
        <v>0</v>
      </c>
      <c r="Z45" s="1">
        <v>0</v>
      </c>
      <c r="AA45" s="1">
        <v>0</v>
      </c>
      <c r="AB45" s="1">
        <v>0</v>
      </c>
      <c r="AC45" s="1">
        <v>0</v>
      </c>
      <c r="AD45" s="1">
        <v>0</v>
      </c>
      <c r="AE45" s="1">
        <v>0</v>
      </c>
      <c r="AF45" s="1">
        <v>0</v>
      </c>
      <c r="AG45" s="1">
        <v>0</v>
      </c>
      <c r="AH45" s="1">
        <v>0</v>
      </c>
      <c r="AI45" s="1">
        <v>0</v>
      </c>
      <c r="AJ45" s="1">
        <v>0</v>
      </c>
      <c r="AK45" s="1" t="s">
        <v>21</v>
      </c>
      <c r="AL45" s="1" t="s">
        <v>21</v>
      </c>
      <c r="AM45" s="17">
        <v>43369</v>
      </c>
      <c r="AN45" s="18" t="s">
        <v>12</v>
      </c>
      <c r="AO45" s="18"/>
      <c r="AP45" s="18"/>
      <c r="AQ45" s="18"/>
      <c r="AR45" s="10" t="s">
        <v>78</v>
      </c>
    </row>
    <row r="46" spans="2:44" s="43" customFormat="1" ht="15" customHeight="1">
      <c r="B46" s="1">
        <f t="shared" si="0"/>
        <v>36</v>
      </c>
      <c r="C46" s="1">
        <v>1</v>
      </c>
      <c r="D46" s="54" t="s">
        <v>386</v>
      </c>
      <c r="E46" s="1" t="s">
        <v>294</v>
      </c>
      <c r="F46" s="1" t="s">
        <v>57</v>
      </c>
      <c r="G46" s="1"/>
      <c r="H46" s="54" t="s">
        <v>58</v>
      </c>
      <c r="I46" s="54"/>
      <c r="J46" s="1" t="s">
        <v>87</v>
      </c>
      <c r="K46" s="1" t="s">
        <v>12</v>
      </c>
      <c r="L46" s="1" t="s">
        <v>453</v>
      </c>
      <c r="M46" s="1">
        <v>0</v>
      </c>
      <c r="N46" s="1">
        <v>0</v>
      </c>
      <c r="O46" s="1">
        <v>4</v>
      </c>
      <c r="P46" s="1">
        <v>0</v>
      </c>
      <c r="Q46" s="1">
        <v>0</v>
      </c>
      <c r="R46" s="1">
        <v>0</v>
      </c>
      <c r="S46" s="1">
        <v>0</v>
      </c>
      <c r="T46" s="1">
        <v>0</v>
      </c>
      <c r="U46" s="1">
        <v>0</v>
      </c>
      <c r="V46" s="1">
        <v>0</v>
      </c>
      <c r="W46" s="1">
        <v>0</v>
      </c>
      <c r="X46" s="1">
        <v>0</v>
      </c>
      <c r="Y46" s="1">
        <v>0</v>
      </c>
      <c r="Z46" s="1">
        <v>0</v>
      </c>
      <c r="AA46" s="1">
        <v>0</v>
      </c>
      <c r="AB46" s="1">
        <v>3</v>
      </c>
      <c r="AC46" s="1">
        <v>0</v>
      </c>
      <c r="AD46" s="1">
        <v>0</v>
      </c>
      <c r="AE46" s="1">
        <v>0</v>
      </c>
      <c r="AF46" s="1">
        <v>0</v>
      </c>
      <c r="AG46" s="1">
        <v>0</v>
      </c>
      <c r="AH46" s="1">
        <v>0</v>
      </c>
      <c r="AI46" s="1">
        <v>0</v>
      </c>
      <c r="AJ46" s="1">
        <v>0</v>
      </c>
      <c r="AK46" s="1" t="s">
        <v>21</v>
      </c>
      <c r="AL46" s="1"/>
      <c r="AM46" s="17"/>
      <c r="AN46" s="18"/>
      <c r="AO46" s="18"/>
      <c r="AP46" s="18"/>
      <c r="AQ46" s="146">
        <v>0.9</v>
      </c>
      <c r="AR46" s="10" t="s">
        <v>79</v>
      </c>
    </row>
    <row r="47" spans="2:44" s="43" customFormat="1" ht="15" customHeight="1">
      <c r="B47" s="1">
        <f t="shared" si="0"/>
        <v>37</v>
      </c>
      <c r="C47" s="1">
        <v>1</v>
      </c>
      <c r="D47" s="54" t="s">
        <v>386</v>
      </c>
      <c r="E47" s="1" t="s">
        <v>294</v>
      </c>
      <c r="F47" s="1" t="s">
        <v>57</v>
      </c>
      <c r="G47" s="1"/>
      <c r="H47" s="54" t="s">
        <v>1180</v>
      </c>
      <c r="I47" s="54"/>
      <c r="J47" s="1" t="s">
        <v>86</v>
      </c>
      <c r="K47" s="1" t="s">
        <v>12</v>
      </c>
      <c r="L47" s="1" t="s">
        <v>453</v>
      </c>
      <c r="M47" s="1">
        <v>0</v>
      </c>
      <c r="N47" s="1">
        <v>0</v>
      </c>
      <c r="O47" s="1">
        <v>4</v>
      </c>
      <c r="P47" s="1">
        <v>0</v>
      </c>
      <c r="Q47" s="1">
        <v>0</v>
      </c>
      <c r="R47" s="1">
        <v>0</v>
      </c>
      <c r="S47" s="1">
        <v>0</v>
      </c>
      <c r="T47" s="1">
        <v>0</v>
      </c>
      <c r="U47" s="1">
        <v>0</v>
      </c>
      <c r="V47" s="1">
        <v>0</v>
      </c>
      <c r="W47" s="1">
        <v>0</v>
      </c>
      <c r="X47" s="1">
        <v>0</v>
      </c>
      <c r="Y47" s="1">
        <v>0</v>
      </c>
      <c r="Z47" s="1">
        <v>0</v>
      </c>
      <c r="AA47" s="1">
        <v>0</v>
      </c>
      <c r="AB47" s="1">
        <v>3</v>
      </c>
      <c r="AC47" s="1">
        <v>0</v>
      </c>
      <c r="AD47" s="1">
        <v>0</v>
      </c>
      <c r="AE47" s="1">
        <v>0</v>
      </c>
      <c r="AF47" s="1">
        <v>0</v>
      </c>
      <c r="AG47" s="1">
        <v>0</v>
      </c>
      <c r="AH47" s="1">
        <v>0</v>
      </c>
      <c r="AI47" s="1">
        <v>0</v>
      </c>
      <c r="AJ47" s="1">
        <v>0</v>
      </c>
      <c r="AK47" s="1" t="s">
        <v>21</v>
      </c>
      <c r="AL47" s="1"/>
      <c r="AM47" s="17"/>
      <c r="AN47" s="18"/>
      <c r="AO47" s="18"/>
      <c r="AP47" s="18"/>
      <c r="AQ47" s="145">
        <v>0.5</v>
      </c>
      <c r="AR47" s="10" t="s">
        <v>83</v>
      </c>
    </row>
    <row r="48" spans="2:44" s="43" customFormat="1" ht="15" customHeight="1">
      <c r="B48" s="1">
        <f t="shared" si="0"/>
        <v>38</v>
      </c>
      <c r="C48" s="1">
        <v>0</v>
      </c>
      <c r="D48" s="54" t="s">
        <v>386</v>
      </c>
      <c r="E48" s="1" t="s">
        <v>294</v>
      </c>
      <c r="F48" s="1" t="s">
        <v>57</v>
      </c>
      <c r="G48" s="1"/>
      <c r="H48" s="54" t="s">
        <v>60</v>
      </c>
      <c r="I48" s="54"/>
      <c r="J48" s="1" t="s">
        <v>86</v>
      </c>
      <c r="K48" s="1" t="s">
        <v>12</v>
      </c>
      <c r="L48" s="1" t="s">
        <v>331</v>
      </c>
      <c r="M48" s="1">
        <v>0</v>
      </c>
      <c r="N48" s="1">
        <v>0</v>
      </c>
      <c r="O48" s="1">
        <v>4</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t="s">
        <v>32</v>
      </c>
      <c r="AL48" s="1"/>
      <c r="AM48" s="17"/>
      <c r="AN48" s="18"/>
      <c r="AO48" s="18"/>
      <c r="AP48" s="18"/>
      <c r="AQ48" s="18"/>
      <c r="AR48" s="10" t="s">
        <v>80</v>
      </c>
    </row>
    <row r="49" spans="2:44" s="43" customFormat="1" ht="15" customHeight="1">
      <c r="B49" s="1">
        <f t="shared" si="0"/>
        <v>39</v>
      </c>
      <c r="C49" s="1">
        <v>0</v>
      </c>
      <c r="D49" s="54" t="s">
        <v>386</v>
      </c>
      <c r="E49" s="1" t="s">
        <v>294</v>
      </c>
      <c r="F49" s="1" t="s">
        <v>57</v>
      </c>
      <c r="G49" s="1"/>
      <c r="H49" s="54" t="s">
        <v>69</v>
      </c>
      <c r="I49" s="54"/>
      <c r="J49" s="1" t="s">
        <v>86</v>
      </c>
      <c r="K49" s="1" t="s">
        <v>12</v>
      </c>
      <c r="L49" s="1" t="s">
        <v>331</v>
      </c>
      <c r="M49" s="1">
        <v>0</v>
      </c>
      <c r="N49" s="1">
        <v>0</v>
      </c>
      <c r="O49" s="1">
        <v>4</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t="s">
        <v>21</v>
      </c>
      <c r="AL49" s="1"/>
      <c r="AM49" s="17"/>
      <c r="AN49" s="18"/>
      <c r="AO49" s="18"/>
      <c r="AP49" s="18"/>
      <c r="AQ49" s="18"/>
      <c r="AR49" s="10" t="s">
        <v>80</v>
      </c>
    </row>
    <row r="50" spans="2:44" s="43" customFormat="1" ht="15" customHeight="1">
      <c r="B50" s="1">
        <f t="shared" si="0"/>
        <v>40</v>
      </c>
      <c r="C50" s="1">
        <v>1</v>
      </c>
      <c r="D50" s="54" t="s">
        <v>386</v>
      </c>
      <c r="E50" s="1" t="s">
        <v>294</v>
      </c>
      <c r="F50" s="1" t="s">
        <v>57</v>
      </c>
      <c r="G50" s="1"/>
      <c r="H50" s="54" t="s">
        <v>1181</v>
      </c>
      <c r="I50" s="54"/>
      <c r="J50" s="1" t="s">
        <v>88</v>
      </c>
      <c r="K50" s="1" t="s">
        <v>12</v>
      </c>
      <c r="L50" s="1" t="s">
        <v>453</v>
      </c>
      <c r="M50" s="1">
        <v>0</v>
      </c>
      <c r="N50" s="1">
        <v>0</v>
      </c>
      <c r="O50" s="1">
        <v>4</v>
      </c>
      <c r="P50" s="1">
        <v>0</v>
      </c>
      <c r="Q50" s="1">
        <v>0</v>
      </c>
      <c r="R50" s="1">
        <v>0</v>
      </c>
      <c r="S50" s="1">
        <v>0</v>
      </c>
      <c r="T50" s="1">
        <v>0</v>
      </c>
      <c r="U50" s="1">
        <v>0</v>
      </c>
      <c r="V50" s="1">
        <v>0</v>
      </c>
      <c r="W50" s="1">
        <v>0</v>
      </c>
      <c r="X50" s="1">
        <v>0</v>
      </c>
      <c r="Y50" s="1">
        <v>0</v>
      </c>
      <c r="Z50" s="1">
        <v>0</v>
      </c>
      <c r="AA50" s="1">
        <v>0</v>
      </c>
      <c r="AB50" s="1">
        <v>3</v>
      </c>
      <c r="AC50" s="1">
        <v>0</v>
      </c>
      <c r="AD50" s="1">
        <v>0</v>
      </c>
      <c r="AE50" s="1">
        <v>0</v>
      </c>
      <c r="AF50" s="1">
        <v>0</v>
      </c>
      <c r="AG50" s="1">
        <v>0</v>
      </c>
      <c r="AH50" s="1">
        <v>0</v>
      </c>
      <c r="AI50" s="1">
        <v>0</v>
      </c>
      <c r="AJ50" s="1">
        <v>0</v>
      </c>
      <c r="AK50" s="1" t="s">
        <v>21</v>
      </c>
      <c r="AL50" s="1"/>
      <c r="AM50" s="17"/>
      <c r="AN50" s="18"/>
      <c r="AO50" s="18"/>
      <c r="AP50" s="18"/>
      <c r="AQ50" s="145">
        <v>0.5</v>
      </c>
      <c r="AR50" s="10"/>
    </row>
    <row r="51" spans="2:44" s="43" customFormat="1" ht="15" customHeight="1">
      <c r="B51" s="1">
        <f t="shared" si="0"/>
        <v>41</v>
      </c>
      <c r="C51" s="1">
        <v>1</v>
      </c>
      <c r="D51" s="54" t="s">
        <v>386</v>
      </c>
      <c r="E51" s="1" t="s">
        <v>294</v>
      </c>
      <c r="F51" s="1" t="s">
        <v>57</v>
      </c>
      <c r="G51" s="1"/>
      <c r="H51" s="54" t="s">
        <v>1182</v>
      </c>
      <c r="I51" s="54"/>
      <c r="J51" s="1" t="s">
        <v>86</v>
      </c>
      <c r="K51" s="1" t="s">
        <v>12</v>
      </c>
      <c r="L51" s="1" t="s">
        <v>453</v>
      </c>
      <c r="M51" s="1">
        <v>0</v>
      </c>
      <c r="N51" s="1">
        <v>0</v>
      </c>
      <c r="O51" s="1">
        <v>4</v>
      </c>
      <c r="P51" s="1">
        <v>0</v>
      </c>
      <c r="Q51" s="1">
        <v>0</v>
      </c>
      <c r="R51" s="1">
        <v>0</v>
      </c>
      <c r="S51" s="1">
        <v>0</v>
      </c>
      <c r="T51" s="1">
        <v>0</v>
      </c>
      <c r="U51" s="1">
        <v>0</v>
      </c>
      <c r="V51" s="1">
        <v>0</v>
      </c>
      <c r="W51" s="1">
        <v>0</v>
      </c>
      <c r="X51" s="1">
        <v>0</v>
      </c>
      <c r="Y51" s="1">
        <v>0</v>
      </c>
      <c r="Z51" s="1">
        <v>0</v>
      </c>
      <c r="AA51" s="1">
        <v>0</v>
      </c>
      <c r="AB51" s="1">
        <v>3</v>
      </c>
      <c r="AC51" s="1">
        <v>0</v>
      </c>
      <c r="AD51" s="1">
        <v>0</v>
      </c>
      <c r="AE51" s="1">
        <v>0</v>
      </c>
      <c r="AF51" s="1">
        <v>0</v>
      </c>
      <c r="AG51" s="1">
        <v>0</v>
      </c>
      <c r="AH51" s="1">
        <v>0</v>
      </c>
      <c r="AI51" s="1">
        <v>0</v>
      </c>
      <c r="AJ51" s="1">
        <v>0</v>
      </c>
      <c r="AK51" s="1" t="s">
        <v>21</v>
      </c>
      <c r="AL51" s="1"/>
      <c r="AM51" s="17"/>
      <c r="AN51" s="18"/>
      <c r="AO51" s="18"/>
      <c r="AP51" s="18"/>
      <c r="AQ51" s="145">
        <v>0.5</v>
      </c>
      <c r="AR51" s="10"/>
    </row>
    <row r="52" spans="2:44" s="43" customFormat="1" ht="15" customHeight="1">
      <c r="B52" s="1">
        <f t="shared" si="0"/>
        <v>42</v>
      </c>
      <c r="C52" s="1">
        <v>1</v>
      </c>
      <c r="D52" s="54" t="s">
        <v>386</v>
      </c>
      <c r="E52" s="1" t="s">
        <v>294</v>
      </c>
      <c r="F52" s="1" t="s">
        <v>57</v>
      </c>
      <c r="G52" s="1"/>
      <c r="H52" s="54" t="s">
        <v>332</v>
      </c>
      <c r="I52" s="54"/>
      <c r="J52" s="1" t="s">
        <v>86</v>
      </c>
      <c r="K52" s="1" t="s">
        <v>12</v>
      </c>
      <c r="L52" s="1" t="s">
        <v>453</v>
      </c>
      <c r="M52" s="1">
        <v>0</v>
      </c>
      <c r="N52" s="1">
        <v>0</v>
      </c>
      <c r="O52" s="1">
        <v>4</v>
      </c>
      <c r="P52" s="1">
        <v>0</v>
      </c>
      <c r="Q52" s="1">
        <v>0</v>
      </c>
      <c r="R52" s="1">
        <v>0</v>
      </c>
      <c r="S52" s="1">
        <v>0</v>
      </c>
      <c r="T52" s="1">
        <v>0</v>
      </c>
      <c r="U52" s="1">
        <v>0</v>
      </c>
      <c r="V52" s="1">
        <v>0</v>
      </c>
      <c r="W52" s="1">
        <v>0</v>
      </c>
      <c r="X52" s="1">
        <v>0</v>
      </c>
      <c r="Y52" s="1">
        <v>0</v>
      </c>
      <c r="Z52" s="1">
        <v>0</v>
      </c>
      <c r="AA52" s="1">
        <v>0</v>
      </c>
      <c r="AB52" s="1">
        <v>2</v>
      </c>
      <c r="AC52" s="1">
        <v>0</v>
      </c>
      <c r="AD52" s="1">
        <v>0</v>
      </c>
      <c r="AE52" s="1">
        <v>0</v>
      </c>
      <c r="AF52" s="1">
        <v>0</v>
      </c>
      <c r="AG52" s="1">
        <v>0</v>
      </c>
      <c r="AH52" s="1">
        <v>0</v>
      </c>
      <c r="AI52" s="1">
        <v>0</v>
      </c>
      <c r="AJ52" s="1">
        <v>0</v>
      </c>
      <c r="AK52" s="1" t="s">
        <v>21</v>
      </c>
      <c r="AL52" s="1"/>
      <c r="AM52" s="17"/>
      <c r="AN52" s="18"/>
      <c r="AO52" s="18"/>
      <c r="AP52" s="18"/>
      <c r="AQ52" s="145">
        <v>0.3</v>
      </c>
      <c r="AR52" s="10" t="s">
        <v>81</v>
      </c>
    </row>
    <row r="53" spans="2:44" s="43" customFormat="1" ht="15" customHeight="1">
      <c r="B53" s="1">
        <f t="shared" si="0"/>
        <v>43</v>
      </c>
      <c r="C53" s="1">
        <v>1</v>
      </c>
      <c r="D53" s="54" t="s">
        <v>386</v>
      </c>
      <c r="E53" s="1" t="s">
        <v>294</v>
      </c>
      <c r="F53" s="1" t="s">
        <v>57</v>
      </c>
      <c r="G53" s="1"/>
      <c r="H53" s="54" t="s">
        <v>65</v>
      </c>
      <c r="I53" s="54"/>
      <c r="J53" s="1" t="s">
        <v>86</v>
      </c>
      <c r="K53" s="1" t="s">
        <v>12</v>
      </c>
      <c r="L53" s="1" t="s">
        <v>453</v>
      </c>
      <c r="M53" s="1">
        <v>0</v>
      </c>
      <c r="N53" s="1">
        <v>0</v>
      </c>
      <c r="O53" s="1">
        <v>4</v>
      </c>
      <c r="P53" s="1">
        <v>0</v>
      </c>
      <c r="Q53" s="1">
        <v>0</v>
      </c>
      <c r="R53" s="1">
        <v>0</v>
      </c>
      <c r="S53" s="1">
        <v>0</v>
      </c>
      <c r="T53" s="1">
        <v>0</v>
      </c>
      <c r="U53" s="1">
        <v>0</v>
      </c>
      <c r="V53" s="1">
        <v>0</v>
      </c>
      <c r="W53" s="1">
        <v>0</v>
      </c>
      <c r="X53" s="1">
        <v>0</v>
      </c>
      <c r="Y53" s="1">
        <v>0</v>
      </c>
      <c r="Z53" s="1">
        <v>0</v>
      </c>
      <c r="AA53" s="1">
        <v>0</v>
      </c>
      <c r="AB53" s="1">
        <v>4</v>
      </c>
      <c r="AC53" s="1">
        <v>0</v>
      </c>
      <c r="AD53" s="1">
        <v>0</v>
      </c>
      <c r="AE53" s="1">
        <v>0</v>
      </c>
      <c r="AF53" s="1">
        <v>0</v>
      </c>
      <c r="AG53" s="1">
        <v>0</v>
      </c>
      <c r="AH53" s="1">
        <v>0</v>
      </c>
      <c r="AI53" s="1">
        <v>0</v>
      </c>
      <c r="AJ53" s="1">
        <v>0</v>
      </c>
      <c r="AK53" s="1" t="s">
        <v>21</v>
      </c>
      <c r="AL53" s="1"/>
      <c r="AM53" s="17"/>
      <c r="AN53" s="18"/>
      <c r="AO53" s="18"/>
      <c r="AP53" s="18"/>
      <c r="AQ53" s="84">
        <v>0.8</v>
      </c>
      <c r="AR53" s="10" t="s">
        <v>82</v>
      </c>
    </row>
    <row r="54" spans="2:44" s="43" customFormat="1" ht="15" customHeight="1">
      <c r="B54" s="1">
        <f t="shared" si="0"/>
        <v>44</v>
      </c>
      <c r="C54" s="1">
        <v>0</v>
      </c>
      <c r="D54" s="1" t="s">
        <v>186</v>
      </c>
      <c r="E54" s="1" t="s">
        <v>186</v>
      </c>
      <c r="F54" s="1" t="s">
        <v>29</v>
      </c>
      <c r="G54" s="1"/>
      <c r="H54" s="1" t="s">
        <v>127</v>
      </c>
      <c r="I54" s="1"/>
      <c r="J54" s="1" t="s">
        <v>87</v>
      </c>
      <c r="K54" s="1" t="s">
        <v>13</v>
      </c>
      <c r="L54" s="1" t="s">
        <v>62</v>
      </c>
      <c r="M54" s="1">
        <v>1</v>
      </c>
      <c r="N54" s="1">
        <v>4</v>
      </c>
      <c r="O54" s="1">
        <v>1</v>
      </c>
      <c r="P54" s="1">
        <v>4</v>
      </c>
      <c r="Q54" s="1">
        <v>1</v>
      </c>
      <c r="R54" s="1">
        <v>0</v>
      </c>
      <c r="S54" s="1"/>
      <c r="T54" s="1">
        <v>0</v>
      </c>
      <c r="U54" s="1">
        <v>4</v>
      </c>
      <c r="V54" s="1">
        <v>0</v>
      </c>
      <c r="W54" s="1">
        <v>0</v>
      </c>
      <c r="X54" s="1">
        <v>0</v>
      </c>
      <c r="Y54" s="1"/>
      <c r="Z54" s="1"/>
      <c r="AA54" s="1">
        <v>0</v>
      </c>
      <c r="AB54" s="1"/>
      <c r="AC54" s="1"/>
      <c r="AD54" s="1"/>
      <c r="AE54" s="1"/>
      <c r="AF54" s="1"/>
      <c r="AG54" s="1">
        <v>0</v>
      </c>
      <c r="AH54" s="1">
        <v>0</v>
      </c>
      <c r="AI54" s="1"/>
      <c r="AJ54" s="1">
        <v>0</v>
      </c>
      <c r="AK54" s="1" t="s">
        <v>21</v>
      </c>
      <c r="AL54" s="1"/>
      <c r="AM54" s="17">
        <v>43467</v>
      </c>
      <c r="AN54" s="18" t="s">
        <v>62</v>
      </c>
      <c r="AO54" s="18"/>
      <c r="AP54" s="18"/>
      <c r="AQ54" s="18"/>
      <c r="AR54" s="10" t="s">
        <v>163</v>
      </c>
    </row>
    <row r="55" spans="2:44" s="51" customFormat="1" ht="15" customHeight="1">
      <c r="B55" s="1">
        <f t="shared" si="0"/>
        <v>45</v>
      </c>
      <c r="C55" s="47">
        <v>1</v>
      </c>
      <c r="D55" s="47" t="s">
        <v>187</v>
      </c>
      <c r="E55" s="47" t="s">
        <v>347</v>
      </c>
      <c r="F55" s="47" t="s">
        <v>45</v>
      </c>
      <c r="G55" s="47" t="s">
        <v>488</v>
      </c>
      <c r="H55" s="47" t="s">
        <v>500</v>
      </c>
      <c r="I55" s="47"/>
      <c r="J55" s="47" t="s">
        <v>85</v>
      </c>
      <c r="K55" s="47" t="s">
        <v>312</v>
      </c>
      <c r="L55" s="47" t="s">
        <v>408</v>
      </c>
      <c r="M55" s="47">
        <v>3</v>
      </c>
      <c r="N55" s="47">
        <v>2</v>
      </c>
      <c r="O55" s="47">
        <v>4</v>
      </c>
      <c r="P55" s="47">
        <v>2</v>
      </c>
      <c r="Q55" s="47">
        <v>1</v>
      </c>
      <c r="R55" s="47">
        <v>3</v>
      </c>
      <c r="S55" s="47"/>
      <c r="T55" s="47">
        <v>2</v>
      </c>
      <c r="U55" s="47">
        <v>1</v>
      </c>
      <c r="V55" s="47">
        <v>3</v>
      </c>
      <c r="W55" s="47">
        <v>3</v>
      </c>
      <c r="X55" s="1"/>
      <c r="Y55" s="47">
        <v>4</v>
      </c>
      <c r="Z55" s="47">
        <v>3</v>
      </c>
      <c r="AA55" s="1"/>
      <c r="AB55" s="1"/>
      <c r="AC55" s="1"/>
      <c r="AD55" s="1"/>
      <c r="AE55" s="1">
        <v>3</v>
      </c>
      <c r="AF55" s="1"/>
      <c r="AG55" s="1"/>
      <c r="AH55" s="1">
        <v>0</v>
      </c>
      <c r="AI55" s="1">
        <v>0</v>
      </c>
      <c r="AJ55" s="1">
        <v>0</v>
      </c>
      <c r="AK55" s="47" t="s">
        <v>21</v>
      </c>
      <c r="AL55" s="47" t="s">
        <v>21</v>
      </c>
      <c r="AM55" s="17" t="s">
        <v>531</v>
      </c>
      <c r="AN55" s="49" t="s">
        <v>410</v>
      </c>
      <c r="AO55" s="49"/>
      <c r="AP55" s="49"/>
      <c r="AQ55" s="49"/>
      <c r="AR55" s="61" t="s">
        <v>495</v>
      </c>
    </row>
    <row r="56" spans="2:44" s="51" customFormat="1" ht="15" customHeight="1">
      <c r="B56" s="71">
        <f t="shared" si="0"/>
        <v>46</v>
      </c>
      <c r="C56" s="72">
        <v>0</v>
      </c>
      <c r="D56" s="72" t="s">
        <v>187</v>
      </c>
      <c r="E56" s="72" t="s">
        <v>347</v>
      </c>
      <c r="F56" s="72" t="s">
        <v>45</v>
      </c>
      <c r="G56" s="72" t="s">
        <v>140</v>
      </c>
      <c r="H56" s="72" t="s">
        <v>444</v>
      </c>
      <c r="I56" s="72"/>
      <c r="J56" s="72" t="s">
        <v>85</v>
      </c>
      <c r="K56" s="72" t="s">
        <v>312</v>
      </c>
      <c r="L56" s="72" t="s">
        <v>408</v>
      </c>
      <c r="M56" s="47">
        <v>3</v>
      </c>
      <c r="N56" s="47">
        <v>2</v>
      </c>
      <c r="O56" s="47">
        <v>4</v>
      </c>
      <c r="P56" s="47">
        <v>2</v>
      </c>
      <c r="Q56" s="47">
        <v>1</v>
      </c>
      <c r="R56" s="47">
        <v>3</v>
      </c>
      <c r="S56" s="47"/>
      <c r="T56" s="47">
        <v>2</v>
      </c>
      <c r="U56" s="47">
        <v>1</v>
      </c>
      <c r="V56" s="47">
        <v>3</v>
      </c>
      <c r="W56" s="47">
        <v>3</v>
      </c>
      <c r="X56" s="1"/>
      <c r="Y56" s="47">
        <v>4</v>
      </c>
      <c r="Z56" s="47">
        <v>3</v>
      </c>
      <c r="AA56" s="1"/>
      <c r="AB56" s="1"/>
      <c r="AC56" s="1"/>
      <c r="AD56" s="1"/>
      <c r="AE56" s="1">
        <v>3</v>
      </c>
      <c r="AF56" s="1"/>
      <c r="AG56" s="1"/>
      <c r="AH56" s="1">
        <v>0</v>
      </c>
      <c r="AI56" s="1"/>
      <c r="AJ56" s="1">
        <v>0</v>
      </c>
      <c r="AK56" s="47" t="s">
        <v>21</v>
      </c>
      <c r="AL56" s="47" t="s">
        <v>21</v>
      </c>
      <c r="AM56" s="48" t="s">
        <v>411</v>
      </c>
      <c r="AN56" s="49" t="s">
        <v>410</v>
      </c>
      <c r="AO56" s="49"/>
      <c r="AP56" s="49"/>
      <c r="AQ56" s="49"/>
      <c r="AR56" s="50" t="s">
        <v>413</v>
      </c>
    </row>
    <row r="57" spans="2:44" s="43" customFormat="1" ht="15" customHeight="1">
      <c r="B57" s="1">
        <f t="shared" si="0"/>
        <v>47</v>
      </c>
      <c r="C57" s="44">
        <v>0</v>
      </c>
      <c r="D57" s="44" t="s">
        <v>402</v>
      </c>
      <c r="E57" s="44" t="s">
        <v>403</v>
      </c>
      <c r="F57" s="44" t="s">
        <v>404</v>
      </c>
      <c r="G57" s="44" t="s">
        <v>303</v>
      </c>
      <c r="H57" s="44" t="s">
        <v>313</v>
      </c>
      <c r="I57" s="44"/>
      <c r="J57" s="44" t="s">
        <v>85</v>
      </c>
      <c r="K57" s="44" t="s">
        <v>312</v>
      </c>
      <c r="L57" s="44" t="s">
        <v>408</v>
      </c>
      <c r="M57" s="44">
        <v>3</v>
      </c>
      <c r="N57" s="44">
        <v>2</v>
      </c>
      <c r="O57" s="44">
        <v>4</v>
      </c>
      <c r="P57" s="44">
        <v>2</v>
      </c>
      <c r="Q57" s="44">
        <v>1</v>
      </c>
      <c r="R57" s="44">
        <v>3</v>
      </c>
      <c r="S57" s="44"/>
      <c r="T57" s="44">
        <v>2</v>
      </c>
      <c r="U57" s="44">
        <v>1</v>
      </c>
      <c r="V57" s="44">
        <v>3</v>
      </c>
      <c r="W57" s="44">
        <v>3</v>
      </c>
      <c r="X57" s="44"/>
      <c r="Y57" s="44">
        <v>4</v>
      </c>
      <c r="Z57" s="44">
        <v>3</v>
      </c>
      <c r="AA57" s="44"/>
      <c r="AB57" s="44"/>
      <c r="AC57" s="44"/>
      <c r="AD57" s="44"/>
      <c r="AE57" s="44">
        <v>0</v>
      </c>
      <c r="AF57" s="44"/>
      <c r="AG57" s="1"/>
      <c r="AH57" s="1">
        <v>0</v>
      </c>
      <c r="AI57" s="1"/>
      <c r="AJ57" s="1">
        <v>0</v>
      </c>
      <c r="AK57" s="44" t="s">
        <v>21</v>
      </c>
      <c r="AL57" s="44" t="s">
        <v>21</v>
      </c>
      <c r="AM57" s="45">
        <v>44133</v>
      </c>
      <c r="AN57" s="44" t="s">
        <v>330</v>
      </c>
      <c r="AO57" s="44"/>
      <c r="AP57" s="44"/>
      <c r="AQ57" s="44"/>
      <c r="AR57" s="46" t="s">
        <v>529</v>
      </c>
    </row>
    <row r="58" spans="2:44" s="51" customFormat="1" ht="15" customHeight="1">
      <c r="B58" s="1">
        <f t="shared" si="0"/>
        <v>48</v>
      </c>
      <c r="C58" s="47">
        <v>1</v>
      </c>
      <c r="D58" s="47" t="s">
        <v>187</v>
      </c>
      <c r="E58" s="47" t="s">
        <v>347</v>
      </c>
      <c r="F58" s="47" t="s">
        <v>504</v>
      </c>
      <c r="G58" s="47"/>
      <c r="H58" s="47" t="s">
        <v>139</v>
      </c>
      <c r="I58" s="47"/>
      <c r="J58" s="47" t="s">
        <v>87</v>
      </c>
      <c r="K58" s="47" t="s">
        <v>312</v>
      </c>
      <c r="L58" s="47" t="s">
        <v>408</v>
      </c>
      <c r="M58" s="47">
        <v>2</v>
      </c>
      <c r="N58" s="47">
        <v>1</v>
      </c>
      <c r="O58" s="47">
        <v>4</v>
      </c>
      <c r="P58" s="47">
        <v>2</v>
      </c>
      <c r="Q58" s="47">
        <v>1</v>
      </c>
      <c r="R58" s="47">
        <v>3</v>
      </c>
      <c r="S58" s="47"/>
      <c r="T58" s="47">
        <v>1</v>
      </c>
      <c r="U58" s="47">
        <v>1</v>
      </c>
      <c r="V58" s="47">
        <v>4</v>
      </c>
      <c r="W58" s="47">
        <v>2</v>
      </c>
      <c r="X58" s="1"/>
      <c r="Y58" s="47">
        <v>4</v>
      </c>
      <c r="Z58" s="47">
        <v>3</v>
      </c>
      <c r="AA58" s="1"/>
      <c r="AB58" s="1"/>
      <c r="AC58" s="1"/>
      <c r="AD58" s="1"/>
      <c r="AE58" s="1">
        <v>3</v>
      </c>
      <c r="AF58" s="1"/>
      <c r="AG58" s="1"/>
      <c r="AH58" s="1">
        <v>0</v>
      </c>
      <c r="AI58" s="1">
        <v>0</v>
      </c>
      <c r="AJ58" s="1">
        <v>0</v>
      </c>
      <c r="AK58" s="47" t="s">
        <v>21</v>
      </c>
      <c r="AL58" s="47" t="s">
        <v>21</v>
      </c>
      <c r="AM58" s="17" t="s">
        <v>505</v>
      </c>
      <c r="AN58" s="49" t="s">
        <v>410</v>
      </c>
      <c r="AO58" s="49"/>
      <c r="AP58" s="49"/>
      <c r="AQ58" s="49"/>
      <c r="AR58" s="61" t="s">
        <v>503</v>
      </c>
    </row>
    <row r="59" spans="2:44" s="43" customFormat="1" ht="15" customHeight="1">
      <c r="B59" s="1">
        <f t="shared" si="0"/>
        <v>49</v>
      </c>
      <c r="C59" s="1">
        <v>0</v>
      </c>
      <c r="D59" s="1" t="s">
        <v>185</v>
      </c>
      <c r="E59" s="1" t="s">
        <v>196</v>
      </c>
      <c r="F59" s="1" t="s">
        <v>43</v>
      </c>
      <c r="G59" s="1"/>
      <c r="H59" s="1" t="s">
        <v>198</v>
      </c>
      <c r="I59" s="1"/>
      <c r="J59" s="1" t="s">
        <v>86</v>
      </c>
      <c r="K59" s="1" t="s">
        <v>11</v>
      </c>
      <c r="L59" s="1" t="s">
        <v>62</v>
      </c>
      <c r="M59" s="1">
        <v>4</v>
      </c>
      <c r="N59" s="1">
        <v>4</v>
      </c>
      <c r="O59" s="1">
        <v>0</v>
      </c>
      <c r="P59" s="1">
        <v>0</v>
      </c>
      <c r="Q59" s="1">
        <v>0</v>
      </c>
      <c r="R59" s="1">
        <v>0</v>
      </c>
      <c r="S59" s="1"/>
      <c r="T59" s="1">
        <v>0</v>
      </c>
      <c r="U59" s="1">
        <v>4</v>
      </c>
      <c r="V59" s="1">
        <v>0</v>
      </c>
      <c r="W59" s="1">
        <v>0</v>
      </c>
      <c r="X59" s="1">
        <v>0</v>
      </c>
      <c r="Y59" s="1"/>
      <c r="Z59" s="1"/>
      <c r="AA59" s="1">
        <v>0</v>
      </c>
      <c r="AB59" s="1"/>
      <c r="AC59" s="1"/>
      <c r="AD59" s="1"/>
      <c r="AE59" s="1"/>
      <c r="AF59" s="1"/>
      <c r="AG59" s="1">
        <v>0</v>
      </c>
      <c r="AH59" s="1">
        <v>0</v>
      </c>
      <c r="AI59" s="1"/>
      <c r="AJ59" s="1">
        <v>0</v>
      </c>
      <c r="AK59" s="1" t="s">
        <v>32</v>
      </c>
      <c r="AL59" s="1"/>
      <c r="AM59" s="17"/>
      <c r="AN59" s="18"/>
      <c r="AO59" s="18"/>
      <c r="AP59" s="18"/>
      <c r="AQ59" s="18"/>
      <c r="AR59" s="10"/>
    </row>
    <row r="60" spans="2:44" s="43" customFormat="1" ht="15" customHeight="1">
      <c r="B60" s="1">
        <f t="shared" si="0"/>
        <v>50</v>
      </c>
      <c r="C60" s="1">
        <v>0</v>
      </c>
      <c r="D60" s="1" t="s">
        <v>185</v>
      </c>
      <c r="E60" s="1" t="s">
        <v>196</v>
      </c>
      <c r="F60" s="1" t="s">
        <v>43</v>
      </c>
      <c r="G60" s="1"/>
      <c r="H60" s="1" t="s">
        <v>35</v>
      </c>
      <c r="I60" s="1"/>
      <c r="J60" s="1" t="s">
        <v>85</v>
      </c>
      <c r="K60" s="1" t="s">
        <v>11</v>
      </c>
      <c r="L60" s="1" t="s">
        <v>62</v>
      </c>
      <c r="M60" s="1">
        <v>4</v>
      </c>
      <c r="N60" s="1">
        <v>4</v>
      </c>
      <c r="O60" s="1">
        <v>0</v>
      </c>
      <c r="P60" s="1">
        <v>0</v>
      </c>
      <c r="Q60" s="1">
        <v>0</v>
      </c>
      <c r="R60" s="1">
        <v>0</v>
      </c>
      <c r="S60" s="1"/>
      <c r="T60" s="1">
        <v>0</v>
      </c>
      <c r="U60" s="1">
        <v>1</v>
      </c>
      <c r="V60" s="1">
        <v>0</v>
      </c>
      <c r="W60" s="1">
        <v>0</v>
      </c>
      <c r="X60" s="1">
        <v>0</v>
      </c>
      <c r="Y60" s="1"/>
      <c r="Z60" s="1"/>
      <c r="AA60" s="1">
        <v>0</v>
      </c>
      <c r="AB60" s="1"/>
      <c r="AC60" s="1"/>
      <c r="AD60" s="1"/>
      <c r="AE60" s="1"/>
      <c r="AF60" s="1"/>
      <c r="AG60" s="1">
        <v>0</v>
      </c>
      <c r="AH60" s="1">
        <v>1</v>
      </c>
      <c r="AI60" s="1"/>
      <c r="AJ60" s="1">
        <v>0</v>
      </c>
      <c r="AK60" s="1" t="s">
        <v>32</v>
      </c>
      <c r="AL60" s="1"/>
      <c r="AM60" s="17"/>
      <c r="AN60" s="18"/>
      <c r="AO60" s="18"/>
      <c r="AP60" s="18"/>
      <c r="AQ60" s="18"/>
      <c r="AR60" s="10"/>
    </row>
    <row r="61" spans="2:44" s="43" customFormat="1" ht="15" customHeight="1">
      <c r="B61" s="1">
        <f t="shared" si="0"/>
        <v>51</v>
      </c>
      <c r="C61" s="1">
        <v>1</v>
      </c>
      <c r="D61" s="1" t="s">
        <v>220</v>
      </c>
      <c r="E61" s="1" t="s">
        <v>196</v>
      </c>
      <c r="F61" s="1" t="s">
        <v>113</v>
      </c>
      <c r="G61" s="1"/>
      <c r="H61" s="1" t="s">
        <v>192</v>
      </c>
      <c r="I61" s="1"/>
      <c r="J61" s="1" t="s">
        <v>85</v>
      </c>
      <c r="K61" s="1" t="s">
        <v>486</v>
      </c>
      <c r="L61" s="1" t="s">
        <v>62</v>
      </c>
      <c r="M61" s="1">
        <v>4</v>
      </c>
      <c r="N61" s="1">
        <v>4</v>
      </c>
      <c r="O61" s="1">
        <v>0</v>
      </c>
      <c r="P61" s="1">
        <v>0</v>
      </c>
      <c r="Q61" s="1">
        <v>0</v>
      </c>
      <c r="R61" s="1">
        <v>0</v>
      </c>
      <c r="S61" s="1"/>
      <c r="T61" s="1">
        <v>0</v>
      </c>
      <c r="U61" s="1">
        <v>4</v>
      </c>
      <c r="V61" s="1">
        <v>0</v>
      </c>
      <c r="W61" s="1">
        <v>0</v>
      </c>
      <c r="X61" s="1">
        <v>0</v>
      </c>
      <c r="Y61" s="1"/>
      <c r="Z61" s="1"/>
      <c r="AA61" s="1">
        <v>0</v>
      </c>
      <c r="AB61" s="1"/>
      <c r="AC61" s="1"/>
      <c r="AD61" s="1"/>
      <c r="AE61" s="1"/>
      <c r="AF61" s="1"/>
      <c r="AG61" s="1">
        <v>0</v>
      </c>
      <c r="AH61" s="1">
        <v>4</v>
      </c>
      <c r="AI61" s="1">
        <v>3</v>
      </c>
      <c r="AJ61" s="1">
        <v>0</v>
      </c>
      <c r="AK61" s="1" t="s">
        <v>21</v>
      </c>
      <c r="AL61" s="1" t="s">
        <v>21</v>
      </c>
      <c r="AM61" s="17"/>
      <c r="AN61" s="18"/>
      <c r="AO61" s="18"/>
      <c r="AP61" s="18"/>
      <c r="AQ61" s="18"/>
      <c r="AR61" s="10"/>
    </row>
    <row r="62" spans="2:44" s="43" customFormat="1" ht="15" customHeight="1">
      <c r="B62" s="1">
        <f t="shared" si="0"/>
        <v>52</v>
      </c>
      <c r="C62" s="1">
        <v>0</v>
      </c>
      <c r="D62" s="1" t="s">
        <v>185</v>
      </c>
      <c r="E62" s="1" t="s">
        <v>196</v>
      </c>
      <c r="F62" s="1" t="s">
        <v>43</v>
      </c>
      <c r="G62" s="1"/>
      <c r="H62" s="1" t="s">
        <v>40</v>
      </c>
      <c r="I62" s="1"/>
      <c r="J62" s="1" t="s">
        <v>85</v>
      </c>
      <c r="K62" s="1" t="s">
        <v>11</v>
      </c>
      <c r="L62" s="1" t="s">
        <v>62</v>
      </c>
      <c r="M62" s="1">
        <v>4</v>
      </c>
      <c r="N62" s="1">
        <v>4</v>
      </c>
      <c r="O62" s="1">
        <v>0</v>
      </c>
      <c r="P62" s="1">
        <v>0</v>
      </c>
      <c r="Q62" s="1">
        <v>0</v>
      </c>
      <c r="R62" s="1">
        <v>0</v>
      </c>
      <c r="S62" s="1"/>
      <c r="T62" s="1">
        <v>0</v>
      </c>
      <c r="U62" s="1">
        <v>1</v>
      </c>
      <c r="V62" s="1">
        <v>0</v>
      </c>
      <c r="W62" s="1">
        <v>0</v>
      </c>
      <c r="X62" s="1">
        <v>0</v>
      </c>
      <c r="Y62" s="1"/>
      <c r="Z62" s="1"/>
      <c r="AA62" s="1">
        <v>0</v>
      </c>
      <c r="AB62" s="1"/>
      <c r="AC62" s="1"/>
      <c r="AD62" s="1"/>
      <c r="AE62" s="1"/>
      <c r="AF62" s="1"/>
      <c r="AG62" s="1">
        <v>0</v>
      </c>
      <c r="AH62" s="1">
        <v>2</v>
      </c>
      <c r="AI62" s="1"/>
      <c r="AJ62" s="1">
        <v>0</v>
      </c>
      <c r="AK62" s="1" t="s">
        <v>32</v>
      </c>
      <c r="AL62" s="1"/>
      <c r="AM62" s="17"/>
      <c r="AN62" s="18"/>
      <c r="AO62" s="18"/>
      <c r="AP62" s="18"/>
      <c r="AQ62" s="18"/>
      <c r="AR62" s="10"/>
    </row>
    <row r="63" spans="2:44" s="43" customFormat="1" ht="15" customHeight="1">
      <c r="B63" s="1">
        <f t="shared" si="0"/>
        <v>53</v>
      </c>
      <c r="C63" s="1">
        <v>0</v>
      </c>
      <c r="D63" s="1" t="s">
        <v>212</v>
      </c>
      <c r="E63" s="1" t="s">
        <v>91</v>
      </c>
      <c r="F63" s="1" t="s">
        <v>92</v>
      </c>
      <c r="G63" s="1" t="s">
        <v>92</v>
      </c>
      <c r="H63" s="1" t="s">
        <v>93</v>
      </c>
      <c r="I63" s="1"/>
      <c r="J63" s="1" t="s">
        <v>85</v>
      </c>
      <c r="K63" s="1" t="s">
        <v>452</v>
      </c>
      <c r="L63" s="1" t="s">
        <v>452</v>
      </c>
      <c r="M63" s="1">
        <v>0</v>
      </c>
      <c r="N63" s="1">
        <v>0</v>
      </c>
      <c r="O63" s="1">
        <v>0</v>
      </c>
      <c r="P63" s="1">
        <v>0</v>
      </c>
      <c r="Q63" s="1">
        <v>0</v>
      </c>
      <c r="R63" s="1">
        <v>0</v>
      </c>
      <c r="S63" s="1"/>
      <c r="T63" s="1">
        <v>4</v>
      </c>
      <c r="U63" s="1">
        <v>0</v>
      </c>
      <c r="V63" s="1">
        <v>0</v>
      </c>
      <c r="W63" s="1">
        <v>2</v>
      </c>
      <c r="X63" s="1">
        <v>0</v>
      </c>
      <c r="Y63" s="1">
        <v>2</v>
      </c>
      <c r="Z63" s="1"/>
      <c r="AA63" s="1">
        <v>0</v>
      </c>
      <c r="AB63" s="1"/>
      <c r="AC63" s="1"/>
      <c r="AD63" s="1"/>
      <c r="AE63" s="1"/>
      <c r="AF63" s="1">
        <v>4</v>
      </c>
      <c r="AG63" s="1">
        <v>4</v>
      </c>
      <c r="AH63" s="1">
        <v>0</v>
      </c>
      <c r="AI63" s="1">
        <v>0</v>
      </c>
      <c r="AJ63" s="1">
        <v>2</v>
      </c>
      <c r="AK63" s="1" t="s">
        <v>21</v>
      </c>
      <c r="AL63" s="1" t="s">
        <v>21</v>
      </c>
      <c r="AM63" s="17">
        <v>44967</v>
      </c>
      <c r="AN63" s="18" t="s">
        <v>417</v>
      </c>
      <c r="AO63" s="140" t="s">
        <v>1126</v>
      </c>
      <c r="AP63" s="140" t="s">
        <v>1127</v>
      </c>
      <c r="AQ63" s="75">
        <v>0.9</v>
      </c>
      <c r="AR63" s="10" t="s">
        <v>1203</v>
      </c>
    </row>
    <row r="64" spans="2:44" s="43" customFormat="1" ht="15" customHeight="1">
      <c r="B64" s="1">
        <f t="shared" si="0"/>
        <v>54</v>
      </c>
      <c r="C64" s="1">
        <v>0</v>
      </c>
      <c r="D64" s="1" t="s">
        <v>186</v>
      </c>
      <c r="E64" s="1" t="s">
        <v>186</v>
      </c>
      <c r="F64" s="1" t="s">
        <v>29</v>
      </c>
      <c r="G64" s="1"/>
      <c r="H64" s="1" t="s">
        <v>123</v>
      </c>
      <c r="I64" s="1"/>
      <c r="J64" s="1" t="s">
        <v>85</v>
      </c>
      <c r="K64" s="1" t="s">
        <v>13</v>
      </c>
      <c r="L64" s="1" t="s">
        <v>62</v>
      </c>
      <c r="M64" s="1">
        <v>1</v>
      </c>
      <c r="N64" s="1">
        <v>3</v>
      </c>
      <c r="O64" s="1">
        <v>1</v>
      </c>
      <c r="P64" s="1">
        <v>4</v>
      </c>
      <c r="Q64" s="1">
        <v>1</v>
      </c>
      <c r="R64" s="1">
        <v>0</v>
      </c>
      <c r="S64" s="1"/>
      <c r="T64" s="1">
        <v>0</v>
      </c>
      <c r="U64" s="1">
        <v>4</v>
      </c>
      <c r="V64" s="1">
        <v>0</v>
      </c>
      <c r="W64" s="1">
        <v>0</v>
      </c>
      <c r="X64" s="1">
        <v>0</v>
      </c>
      <c r="Y64" s="1"/>
      <c r="Z64" s="1"/>
      <c r="AA64" s="1">
        <v>0</v>
      </c>
      <c r="AB64" s="1"/>
      <c r="AC64" s="1"/>
      <c r="AD64" s="1"/>
      <c r="AE64" s="1"/>
      <c r="AF64" s="1"/>
      <c r="AG64" s="1">
        <v>0</v>
      </c>
      <c r="AH64" s="1">
        <v>1</v>
      </c>
      <c r="AI64" s="1"/>
      <c r="AJ64" s="1">
        <v>0</v>
      </c>
      <c r="AK64" s="1" t="s">
        <v>21</v>
      </c>
      <c r="AL64" s="1"/>
      <c r="AM64" s="17">
        <v>43467</v>
      </c>
      <c r="AN64" s="18" t="s">
        <v>62</v>
      </c>
      <c r="AO64" s="18"/>
      <c r="AP64" s="18"/>
      <c r="AQ64" s="18"/>
      <c r="AR64" s="10" t="s">
        <v>163</v>
      </c>
    </row>
    <row r="65" spans="2:44" s="43" customFormat="1" ht="15" customHeight="1">
      <c r="B65" s="1">
        <f t="shared" si="0"/>
        <v>55</v>
      </c>
      <c r="C65" s="1">
        <v>0</v>
      </c>
      <c r="D65" s="1" t="s">
        <v>186</v>
      </c>
      <c r="E65" s="1" t="s">
        <v>186</v>
      </c>
      <c r="F65" s="1" t="s">
        <v>29</v>
      </c>
      <c r="G65" s="1"/>
      <c r="H65" s="1" t="s">
        <v>126</v>
      </c>
      <c r="I65" s="1"/>
      <c r="J65" s="1" t="s">
        <v>85</v>
      </c>
      <c r="K65" s="1" t="s">
        <v>13</v>
      </c>
      <c r="L65" s="1" t="s">
        <v>62</v>
      </c>
      <c r="M65" s="1">
        <v>1</v>
      </c>
      <c r="N65" s="1">
        <v>3</v>
      </c>
      <c r="O65" s="1">
        <v>1</v>
      </c>
      <c r="P65" s="1">
        <v>4</v>
      </c>
      <c r="Q65" s="1">
        <v>1</v>
      </c>
      <c r="R65" s="1">
        <v>0</v>
      </c>
      <c r="S65" s="1"/>
      <c r="T65" s="1">
        <v>0</v>
      </c>
      <c r="U65" s="1">
        <v>4</v>
      </c>
      <c r="V65" s="1">
        <v>0</v>
      </c>
      <c r="W65" s="1">
        <v>0</v>
      </c>
      <c r="X65" s="1">
        <v>0</v>
      </c>
      <c r="Y65" s="1"/>
      <c r="Z65" s="1"/>
      <c r="AA65" s="1">
        <v>0</v>
      </c>
      <c r="AB65" s="1"/>
      <c r="AC65" s="1"/>
      <c r="AD65" s="1"/>
      <c r="AE65" s="1"/>
      <c r="AF65" s="1"/>
      <c r="AG65" s="1">
        <v>0</v>
      </c>
      <c r="AH65" s="1">
        <v>1</v>
      </c>
      <c r="AI65" s="1"/>
      <c r="AJ65" s="1">
        <v>0</v>
      </c>
      <c r="AK65" s="1" t="s">
        <v>21</v>
      </c>
      <c r="AL65" s="1"/>
      <c r="AM65" s="17">
        <v>43467</v>
      </c>
      <c r="AN65" s="18" t="s">
        <v>62</v>
      </c>
      <c r="AO65" s="18"/>
      <c r="AP65" s="18"/>
      <c r="AQ65" s="18"/>
      <c r="AR65" s="10" t="s">
        <v>163</v>
      </c>
    </row>
    <row r="66" spans="2:44" s="43" customFormat="1" ht="15" customHeight="1">
      <c r="B66" s="1">
        <f t="shared" si="0"/>
        <v>56</v>
      </c>
      <c r="C66" s="1">
        <v>0</v>
      </c>
      <c r="D66" s="1" t="s">
        <v>186</v>
      </c>
      <c r="E66" s="1" t="s">
        <v>186</v>
      </c>
      <c r="F66" s="1" t="s">
        <v>29</v>
      </c>
      <c r="G66" s="1"/>
      <c r="H66" s="1" t="s">
        <v>125</v>
      </c>
      <c r="I66" s="1"/>
      <c r="J66" s="1" t="s">
        <v>85</v>
      </c>
      <c r="K66" s="1" t="s">
        <v>13</v>
      </c>
      <c r="L66" s="1" t="s">
        <v>62</v>
      </c>
      <c r="M66" s="1">
        <v>1</v>
      </c>
      <c r="N66" s="1">
        <v>3</v>
      </c>
      <c r="O66" s="1">
        <v>1</v>
      </c>
      <c r="P66" s="1">
        <v>4</v>
      </c>
      <c r="Q66" s="1">
        <v>1</v>
      </c>
      <c r="R66" s="1">
        <v>0</v>
      </c>
      <c r="S66" s="1"/>
      <c r="T66" s="1">
        <v>0</v>
      </c>
      <c r="U66" s="1">
        <v>4</v>
      </c>
      <c r="V66" s="1">
        <v>0</v>
      </c>
      <c r="W66" s="1">
        <v>0</v>
      </c>
      <c r="X66" s="1">
        <v>0</v>
      </c>
      <c r="Y66" s="1"/>
      <c r="Z66" s="1"/>
      <c r="AA66" s="1">
        <v>0</v>
      </c>
      <c r="AB66" s="1"/>
      <c r="AC66" s="1"/>
      <c r="AD66" s="1"/>
      <c r="AE66" s="1"/>
      <c r="AF66" s="1"/>
      <c r="AG66" s="1">
        <v>0</v>
      </c>
      <c r="AH66" s="1">
        <v>1</v>
      </c>
      <c r="AI66" s="1"/>
      <c r="AJ66" s="1">
        <v>0</v>
      </c>
      <c r="AK66" s="1" t="s">
        <v>21</v>
      </c>
      <c r="AL66" s="1"/>
      <c r="AM66" s="17">
        <v>43467</v>
      </c>
      <c r="AN66" s="18" t="s">
        <v>62</v>
      </c>
      <c r="AO66" s="18"/>
      <c r="AP66" s="18"/>
      <c r="AQ66" s="18"/>
      <c r="AR66" s="10" t="s">
        <v>163</v>
      </c>
    </row>
    <row r="67" spans="2:44" s="43" customFormat="1" ht="15" customHeight="1">
      <c r="B67" s="1">
        <f t="shared" si="0"/>
        <v>57</v>
      </c>
      <c r="C67" s="1">
        <v>0</v>
      </c>
      <c r="D67" s="1" t="s">
        <v>186</v>
      </c>
      <c r="E67" s="1" t="s">
        <v>186</v>
      </c>
      <c r="F67" s="1" t="s">
        <v>29</v>
      </c>
      <c r="G67" s="1"/>
      <c r="H67" s="1" t="s">
        <v>153</v>
      </c>
      <c r="I67" s="1"/>
      <c r="J67" s="1" t="s">
        <v>87</v>
      </c>
      <c r="K67" s="1" t="s">
        <v>13</v>
      </c>
      <c r="L67" s="1" t="s">
        <v>62</v>
      </c>
      <c r="M67" s="1">
        <v>1</v>
      </c>
      <c r="N67" s="1">
        <v>1</v>
      </c>
      <c r="O67" s="1">
        <v>1</v>
      </c>
      <c r="P67" s="1">
        <v>4</v>
      </c>
      <c r="Q67" s="1">
        <v>1</v>
      </c>
      <c r="R67" s="1">
        <v>0</v>
      </c>
      <c r="S67" s="1"/>
      <c r="T67" s="1">
        <v>0</v>
      </c>
      <c r="U67" s="1">
        <v>3</v>
      </c>
      <c r="V67" s="1">
        <v>0</v>
      </c>
      <c r="W67" s="1">
        <v>0</v>
      </c>
      <c r="X67" s="1">
        <v>0</v>
      </c>
      <c r="Y67" s="1"/>
      <c r="Z67" s="1"/>
      <c r="AA67" s="1">
        <v>0</v>
      </c>
      <c r="AB67" s="1"/>
      <c r="AC67" s="1"/>
      <c r="AD67" s="1"/>
      <c r="AE67" s="1"/>
      <c r="AF67" s="1"/>
      <c r="AG67" s="1">
        <v>0</v>
      </c>
      <c r="AH67" s="1">
        <v>1</v>
      </c>
      <c r="AI67" s="1"/>
      <c r="AJ67" s="1">
        <v>0</v>
      </c>
      <c r="AK67" s="1" t="s">
        <v>21</v>
      </c>
      <c r="AL67" s="1"/>
      <c r="AM67" s="17"/>
      <c r="AN67" s="18"/>
      <c r="AO67" s="18"/>
      <c r="AP67" s="18"/>
      <c r="AQ67" s="18"/>
      <c r="AR67" s="10" t="s">
        <v>163</v>
      </c>
    </row>
    <row r="68" spans="2:44" s="43" customFormat="1" ht="15" customHeight="1">
      <c r="B68" s="1">
        <f t="shared" si="0"/>
        <v>58</v>
      </c>
      <c r="C68" s="1">
        <v>1</v>
      </c>
      <c r="D68" s="1" t="s">
        <v>212</v>
      </c>
      <c r="E68" s="1" t="s">
        <v>91</v>
      </c>
      <c r="F68" s="1" t="s">
        <v>98</v>
      </c>
      <c r="G68" s="1" t="s">
        <v>98</v>
      </c>
      <c r="H68" s="1" t="s">
        <v>100</v>
      </c>
      <c r="I68" s="1"/>
      <c r="J68" s="1" t="s">
        <v>85</v>
      </c>
      <c r="K68" s="1" t="s">
        <v>1049</v>
      </c>
      <c r="L68" s="1" t="s">
        <v>452</v>
      </c>
      <c r="M68" s="1">
        <v>0</v>
      </c>
      <c r="N68" s="1">
        <v>0</v>
      </c>
      <c r="O68" s="1">
        <v>0</v>
      </c>
      <c r="P68" s="1">
        <v>0</v>
      </c>
      <c r="Q68" s="1">
        <v>0</v>
      </c>
      <c r="R68" s="1">
        <v>0</v>
      </c>
      <c r="S68" s="1"/>
      <c r="T68" s="1">
        <v>4</v>
      </c>
      <c r="U68" s="1">
        <v>0</v>
      </c>
      <c r="V68" s="1">
        <v>0</v>
      </c>
      <c r="W68" s="1">
        <v>2</v>
      </c>
      <c r="X68" s="1">
        <v>0</v>
      </c>
      <c r="Y68" s="1">
        <v>2</v>
      </c>
      <c r="Z68" s="1"/>
      <c r="AA68" s="1">
        <v>0</v>
      </c>
      <c r="AB68" s="1"/>
      <c r="AC68" s="1"/>
      <c r="AD68" s="1"/>
      <c r="AE68" s="1"/>
      <c r="AF68" s="1">
        <v>4</v>
      </c>
      <c r="AG68" s="1">
        <v>4</v>
      </c>
      <c r="AH68" s="1">
        <v>0</v>
      </c>
      <c r="AI68" s="1">
        <v>0</v>
      </c>
      <c r="AJ68" s="1">
        <v>4</v>
      </c>
      <c r="AK68" s="1" t="s">
        <v>21</v>
      </c>
      <c r="AL68" s="1" t="s">
        <v>21</v>
      </c>
      <c r="AM68" s="17">
        <v>44967</v>
      </c>
      <c r="AN68" s="18" t="s">
        <v>417</v>
      </c>
      <c r="AO68" s="140" t="s">
        <v>1051</v>
      </c>
      <c r="AP68" s="140" t="s">
        <v>1061</v>
      </c>
      <c r="AQ68" s="75">
        <v>0.8</v>
      </c>
      <c r="AR68" s="10"/>
    </row>
    <row r="69" spans="2:44" s="43" customFormat="1" ht="15" customHeight="1">
      <c r="B69" s="1">
        <f t="shared" si="0"/>
        <v>59</v>
      </c>
      <c r="C69" s="1">
        <v>1</v>
      </c>
      <c r="D69" s="1" t="s">
        <v>212</v>
      </c>
      <c r="E69" s="1" t="s">
        <v>91</v>
      </c>
      <c r="F69" s="1" t="s">
        <v>98</v>
      </c>
      <c r="G69" s="1" t="s">
        <v>98</v>
      </c>
      <c r="H69" s="1" t="s">
        <v>99</v>
      </c>
      <c r="I69" s="1"/>
      <c r="J69" s="1" t="s">
        <v>85</v>
      </c>
      <c r="K69" s="1" t="s">
        <v>1049</v>
      </c>
      <c r="L69" s="1" t="s">
        <v>452</v>
      </c>
      <c r="M69" s="1">
        <v>0</v>
      </c>
      <c r="N69" s="1">
        <v>0</v>
      </c>
      <c r="O69" s="1">
        <v>0</v>
      </c>
      <c r="P69" s="1">
        <v>0</v>
      </c>
      <c r="Q69" s="1">
        <v>0</v>
      </c>
      <c r="R69" s="1">
        <v>0</v>
      </c>
      <c r="S69" s="1"/>
      <c r="T69" s="1">
        <v>4</v>
      </c>
      <c r="U69" s="1">
        <v>0</v>
      </c>
      <c r="V69" s="1">
        <v>0</v>
      </c>
      <c r="W69" s="1">
        <v>2</v>
      </c>
      <c r="X69" s="1">
        <v>0</v>
      </c>
      <c r="Y69" s="1">
        <v>2</v>
      </c>
      <c r="Z69" s="1"/>
      <c r="AA69" s="1">
        <v>0</v>
      </c>
      <c r="AB69" s="1"/>
      <c r="AC69" s="1"/>
      <c r="AD69" s="1"/>
      <c r="AE69" s="1"/>
      <c r="AF69" s="1">
        <v>4</v>
      </c>
      <c r="AG69" s="1">
        <v>4</v>
      </c>
      <c r="AH69" s="1">
        <v>0</v>
      </c>
      <c r="AI69" s="1">
        <v>0</v>
      </c>
      <c r="AJ69" s="1">
        <v>4</v>
      </c>
      <c r="AK69" s="1" t="s">
        <v>21</v>
      </c>
      <c r="AL69" s="1" t="s">
        <v>21</v>
      </c>
      <c r="AM69" s="17">
        <v>44967</v>
      </c>
      <c r="AN69" s="18" t="s">
        <v>417</v>
      </c>
      <c r="AO69" s="140" t="s">
        <v>1051</v>
      </c>
      <c r="AP69" s="140" t="s">
        <v>1060</v>
      </c>
      <c r="AQ69" s="75">
        <v>0.8</v>
      </c>
      <c r="AR69" s="10"/>
    </row>
    <row r="70" spans="2:44" s="43" customFormat="1" ht="15" customHeight="1">
      <c r="B70" s="1">
        <f t="shared" si="0"/>
        <v>60</v>
      </c>
      <c r="C70" s="1">
        <v>1</v>
      </c>
      <c r="D70" s="1" t="s">
        <v>212</v>
      </c>
      <c r="E70" s="1" t="s">
        <v>91</v>
      </c>
      <c r="F70" s="1" t="s">
        <v>96</v>
      </c>
      <c r="G70" s="1" t="s">
        <v>96</v>
      </c>
      <c r="H70" s="1" t="s">
        <v>97</v>
      </c>
      <c r="I70" s="1"/>
      <c r="J70" s="1" t="s">
        <v>85</v>
      </c>
      <c r="K70" s="1" t="s">
        <v>1049</v>
      </c>
      <c r="L70" s="1" t="s">
        <v>452</v>
      </c>
      <c r="M70" s="1">
        <v>0</v>
      </c>
      <c r="N70" s="1">
        <v>0</v>
      </c>
      <c r="O70" s="1">
        <v>0</v>
      </c>
      <c r="P70" s="1">
        <v>0</v>
      </c>
      <c r="Q70" s="1">
        <v>0</v>
      </c>
      <c r="R70" s="1">
        <v>0</v>
      </c>
      <c r="S70" s="1"/>
      <c r="T70" s="1">
        <v>4</v>
      </c>
      <c r="U70" s="1">
        <v>0</v>
      </c>
      <c r="V70" s="1">
        <v>0</v>
      </c>
      <c r="W70" s="1">
        <v>2</v>
      </c>
      <c r="X70" s="1">
        <v>0</v>
      </c>
      <c r="Y70" s="1">
        <v>1</v>
      </c>
      <c r="Z70" s="1"/>
      <c r="AA70" s="1">
        <v>0</v>
      </c>
      <c r="AB70" s="1"/>
      <c r="AC70" s="1"/>
      <c r="AD70" s="1"/>
      <c r="AE70" s="1"/>
      <c r="AF70" s="1">
        <v>3</v>
      </c>
      <c r="AG70" s="1">
        <v>4</v>
      </c>
      <c r="AH70" s="1">
        <v>0</v>
      </c>
      <c r="AI70" s="1">
        <v>0</v>
      </c>
      <c r="AJ70" s="1">
        <v>4</v>
      </c>
      <c r="AK70" s="1" t="s">
        <v>21</v>
      </c>
      <c r="AL70" s="1" t="s">
        <v>32</v>
      </c>
      <c r="AM70" s="17">
        <v>43369</v>
      </c>
      <c r="AN70" s="18" t="s">
        <v>417</v>
      </c>
      <c r="AO70" s="140" t="s">
        <v>1051</v>
      </c>
      <c r="AP70" s="140" t="s">
        <v>1075</v>
      </c>
      <c r="AQ70" s="75">
        <v>1</v>
      </c>
      <c r="AR70" s="10"/>
    </row>
    <row r="71" spans="2:44" s="43" customFormat="1" ht="15" customHeight="1">
      <c r="B71" s="1">
        <f t="shared" si="0"/>
        <v>61</v>
      </c>
      <c r="C71" s="1">
        <v>1</v>
      </c>
      <c r="D71" s="1" t="s">
        <v>212</v>
      </c>
      <c r="E71" s="1" t="s">
        <v>101</v>
      </c>
      <c r="F71" s="1" t="s">
        <v>105</v>
      </c>
      <c r="G71" s="1" t="s">
        <v>102</v>
      </c>
      <c r="H71" s="1" t="s">
        <v>103</v>
      </c>
      <c r="I71" s="1"/>
      <c r="J71" s="1" t="s">
        <v>85</v>
      </c>
      <c r="K71" s="1" t="s">
        <v>452</v>
      </c>
      <c r="L71" s="1" t="s">
        <v>1049</v>
      </c>
      <c r="M71" s="1">
        <v>0</v>
      </c>
      <c r="N71" s="1">
        <v>0</v>
      </c>
      <c r="O71" s="1">
        <v>0</v>
      </c>
      <c r="P71" s="1">
        <v>0</v>
      </c>
      <c r="Q71" s="1">
        <v>0</v>
      </c>
      <c r="R71" s="1">
        <v>0</v>
      </c>
      <c r="S71" s="1">
        <v>0</v>
      </c>
      <c r="T71" s="1">
        <v>4</v>
      </c>
      <c r="U71" s="1">
        <v>0</v>
      </c>
      <c r="V71" s="1">
        <v>0</v>
      </c>
      <c r="W71" s="1">
        <v>2</v>
      </c>
      <c r="X71" s="1">
        <v>0</v>
      </c>
      <c r="Y71" s="1">
        <v>2</v>
      </c>
      <c r="Z71" s="1">
        <v>0</v>
      </c>
      <c r="AA71" s="1">
        <v>0</v>
      </c>
      <c r="AB71" s="1"/>
      <c r="AC71" s="1"/>
      <c r="AD71" s="1"/>
      <c r="AE71" s="1"/>
      <c r="AF71" s="1">
        <v>4</v>
      </c>
      <c r="AG71" s="1">
        <v>4</v>
      </c>
      <c r="AH71" s="1">
        <v>0</v>
      </c>
      <c r="AI71" s="1">
        <v>0</v>
      </c>
      <c r="AJ71" s="1">
        <v>3</v>
      </c>
      <c r="AK71" s="1" t="s">
        <v>21</v>
      </c>
      <c r="AL71" s="1" t="s">
        <v>21</v>
      </c>
      <c r="AM71" s="17">
        <v>44967</v>
      </c>
      <c r="AN71" s="18" t="s">
        <v>417</v>
      </c>
      <c r="AO71" s="140" t="s">
        <v>1128</v>
      </c>
      <c r="AP71" s="140" t="s">
        <v>1129</v>
      </c>
      <c r="AQ71" s="75">
        <v>0.8</v>
      </c>
      <c r="AR71" s="10"/>
    </row>
    <row r="72" spans="2:44" s="43" customFormat="1" ht="15" customHeight="1">
      <c r="B72" s="1">
        <f t="shared" si="0"/>
        <v>62</v>
      </c>
      <c r="C72" s="1">
        <v>1</v>
      </c>
      <c r="D72" s="1" t="s">
        <v>212</v>
      </c>
      <c r="E72" s="1" t="s">
        <v>101</v>
      </c>
      <c r="F72" s="1" t="s">
        <v>105</v>
      </c>
      <c r="G72" s="1" t="s">
        <v>104</v>
      </c>
      <c r="H72" s="1" t="s">
        <v>106</v>
      </c>
      <c r="I72" s="1"/>
      <c r="J72" s="1" t="s">
        <v>85</v>
      </c>
      <c r="K72" s="1" t="s">
        <v>452</v>
      </c>
      <c r="L72" s="1" t="s">
        <v>452</v>
      </c>
      <c r="M72" s="1">
        <v>0</v>
      </c>
      <c r="N72" s="1">
        <v>0</v>
      </c>
      <c r="O72" s="1">
        <v>0</v>
      </c>
      <c r="P72" s="1">
        <v>0</v>
      </c>
      <c r="Q72" s="1">
        <v>0</v>
      </c>
      <c r="R72" s="1">
        <v>0</v>
      </c>
      <c r="S72" s="1">
        <v>0</v>
      </c>
      <c r="T72" s="1">
        <v>4</v>
      </c>
      <c r="U72" s="1">
        <v>0</v>
      </c>
      <c r="V72" s="1">
        <v>0</v>
      </c>
      <c r="W72" s="1">
        <v>2</v>
      </c>
      <c r="X72" s="1">
        <v>0</v>
      </c>
      <c r="Y72" s="1">
        <v>1</v>
      </c>
      <c r="Z72" s="1">
        <v>0</v>
      </c>
      <c r="AA72" s="1">
        <v>0</v>
      </c>
      <c r="AB72" s="1"/>
      <c r="AC72" s="1"/>
      <c r="AD72" s="1"/>
      <c r="AE72" s="1"/>
      <c r="AF72" s="1">
        <v>2</v>
      </c>
      <c r="AG72" s="1">
        <v>4</v>
      </c>
      <c r="AH72" s="1">
        <v>0</v>
      </c>
      <c r="AI72" s="1">
        <v>0</v>
      </c>
      <c r="AJ72" s="1">
        <v>2</v>
      </c>
      <c r="AK72" s="1" t="s">
        <v>21</v>
      </c>
      <c r="AL72" s="1" t="s">
        <v>21</v>
      </c>
      <c r="AM72" s="17">
        <v>44984</v>
      </c>
      <c r="AN72" s="18" t="s">
        <v>417</v>
      </c>
      <c r="AO72" s="140" t="s">
        <v>1128</v>
      </c>
      <c r="AP72" s="140" t="s">
        <v>1129</v>
      </c>
      <c r="AQ72" s="75">
        <v>0.8</v>
      </c>
      <c r="AR72" s="10"/>
    </row>
    <row r="73" spans="2:44" s="51" customFormat="1" ht="15" customHeight="1">
      <c r="B73" s="1">
        <f t="shared" si="0"/>
        <v>63</v>
      </c>
      <c r="C73" s="47">
        <v>1</v>
      </c>
      <c r="D73" s="47" t="s">
        <v>187</v>
      </c>
      <c r="E73" s="47" t="s">
        <v>347</v>
      </c>
      <c r="F73" s="47" t="s">
        <v>45</v>
      </c>
      <c r="G73" s="47" t="s">
        <v>295</v>
      </c>
      <c r="H73" s="47" t="s">
        <v>443</v>
      </c>
      <c r="I73" s="47"/>
      <c r="J73" s="47" t="s">
        <v>85</v>
      </c>
      <c r="K73" s="47" t="s">
        <v>312</v>
      </c>
      <c r="L73" s="47" t="s">
        <v>408</v>
      </c>
      <c r="M73" s="47">
        <v>1</v>
      </c>
      <c r="N73" s="47">
        <v>1</v>
      </c>
      <c r="O73" s="47">
        <v>4</v>
      </c>
      <c r="P73" s="47">
        <v>0</v>
      </c>
      <c r="Q73" s="47">
        <v>0</v>
      </c>
      <c r="R73" s="47">
        <v>0</v>
      </c>
      <c r="S73" s="47"/>
      <c r="T73" s="47">
        <v>1</v>
      </c>
      <c r="U73" s="47">
        <v>0</v>
      </c>
      <c r="V73" s="47">
        <v>3</v>
      </c>
      <c r="W73" s="47">
        <v>3</v>
      </c>
      <c r="X73" s="1"/>
      <c r="Y73" s="47">
        <v>4</v>
      </c>
      <c r="Z73" s="47">
        <v>3</v>
      </c>
      <c r="AA73" s="1"/>
      <c r="AB73" s="1"/>
      <c r="AC73" s="1"/>
      <c r="AD73" s="1"/>
      <c r="AE73" s="1">
        <v>3</v>
      </c>
      <c r="AF73" s="1"/>
      <c r="AG73" s="1"/>
      <c r="AH73" s="1">
        <v>0</v>
      </c>
      <c r="AI73" s="1">
        <v>0</v>
      </c>
      <c r="AJ73" s="1">
        <v>0</v>
      </c>
      <c r="AK73" s="47" t="s">
        <v>21</v>
      </c>
      <c r="AL73" s="47" t="s">
        <v>21</v>
      </c>
      <c r="AM73" s="48" t="s">
        <v>409</v>
      </c>
      <c r="AN73" s="49" t="s">
        <v>410</v>
      </c>
      <c r="AO73" s="49"/>
      <c r="AP73" s="49"/>
      <c r="AQ73" s="49"/>
      <c r="AR73" s="50" t="s">
        <v>414</v>
      </c>
    </row>
    <row r="74" spans="2:44" s="43" customFormat="1" ht="15" customHeight="1">
      <c r="B74" s="1">
        <f t="shared" si="0"/>
        <v>64</v>
      </c>
      <c r="C74" s="1">
        <v>1</v>
      </c>
      <c r="D74" s="1" t="s">
        <v>212</v>
      </c>
      <c r="E74" s="1" t="s">
        <v>91</v>
      </c>
      <c r="F74" s="1" t="s">
        <v>98</v>
      </c>
      <c r="G74" s="1" t="s">
        <v>98</v>
      </c>
      <c r="H74" s="1" t="s">
        <v>107</v>
      </c>
      <c r="I74" s="1"/>
      <c r="J74" s="1" t="s">
        <v>87</v>
      </c>
      <c r="K74" s="1" t="s">
        <v>1049</v>
      </c>
      <c r="L74" s="1" t="s">
        <v>452</v>
      </c>
      <c r="M74" s="1">
        <v>0</v>
      </c>
      <c r="N74" s="1">
        <v>0</v>
      </c>
      <c r="O74" s="1">
        <v>0</v>
      </c>
      <c r="P74" s="1">
        <v>0</v>
      </c>
      <c r="Q74" s="1">
        <v>0</v>
      </c>
      <c r="R74" s="1">
        <v>0</v>
      </c>
      <c r="S74" s="1"/>
      <c r="T74" s="1">
        <v>4</v>
      </c>
      <c r="U74" s="1">
        <v>0</v>
      </c>
      <c r="V74" s="1">
        <v>0</v>
      </c>
      <c r="W74" s="1">
        <v>2</v>
      </c>
      <c r="X74" s="1">
        <v>0</v>
      </c>
      <c r="Y74" s="1">
        <v>2</v>
      </c>
      <c r="Z74" s="1"/>
      <c r="AA74" s="1">
        <v>0</v>
      </c>
      <c r="AB74" s="1"/>
      <c r="AC74" s="1"/>
      <c r="AD74" s="1"/>
      <c r="AE74" s="1"/>
      <c r="AF74" s="1">
        <v>4</v>
      </c>
      <c r="AG74" s="1">
        <v>4</v>
      </c>
      <c r="AH74" s="1">
        <v>0</v>
      </c>
      <c r="AI74" s="1">
        <v>0</v>
      </c>
      <c r="AJ74" s="1">
        <v>4</v>
      </c>
      <c r="AK74" s="1" t="s">
        <v>21</v>
      </c>
      <c r="AL74" s="1" t="s">
        <v>21</v>
      </c>
      <c r="AM74" s="17">
        <v>44967</v>
      </c>
      <c r="AN74" s="18" t="s">
        <v>417</v>
      </c>
      <c r="AO74" s="140" t="s">
        <v>1051</v>
      </c>
      <c r="AP74" s="140" t="s">
        <v>1059</v>
      </c>
      <c r="AQ74" s="75">
        <v>0.8</v>
      </c>
      <c r="AR74" s="10"/>
    </row>
    <row r="75" spans="2:44" s="43" customFormat="1" ht="15" customHeight="1">
      <c r="B75" s="1">
        <f t="shared" si="0"/>
        <v>65</v>
      </c>
      <c r="C75" s="1">
        <v>0</v>
      </c>
      <c r="D75" s="1" t="s">
        <v>186</v>
      </c>
      <c r="E75" s="1" t="s">
        <v>186</v>
      </c>
      <c r="F75" s="1" t="s">
        <v>109</v>
      </c>
      <c r="G75" s="1"/>
      <c r="H75" s="1" t="s">
        <v>136</v>
      </c>
      <c r="I75" s="1"/>
      <c r="J75" s="1" t="s">
        <v>85</v>
      </c>
      <c r="K75" s="1" t="s">
        <v>408</v>
      </c>
      <c r="L75" s="1" t="s">
        <v>340</v>
      </c>
      <c r="M75" s="1">
        <v>0</v>
      </c>
      <c r="N75" s="1">
        <v>4</v>
      </c>
      <c r="O75" s="1">
        <v>0</v>
      </c>
      <c r="P75" s="1">
        <v>3</v>
      </c>
      <c r="Q75" s="1">
        <v>0</v>
      </c>
      <c r="R75" s="1">
        <v>0</v>
      </c>
      <c r="S75" s="1"/>
      <c r="T75" s="1">
        <v>0</v>
      </c>
      <c r="U75" s="1">
        <v>3</v>
      </c>
      <c r="V75" s="1">
        <v>0</v>
      </c>
      <c r="W75" s="1">
        <v>0</v>
      </c>
      <c r="X75" s="1">
        <v>4</v>
      </c>
      <c r="Y75" s="1">
        <v>0</v>
      </c>
      <c r="Z75" s="1">
        <v>4</v>
      </c>
      <c r="AA75" s="1">
        <v>0</v>
      </c>
      <c r="AB75" s="1"/>
      <c r="AC75" s="1"/>
      <c r="AD75" s="1"/>
      <c r="AE75" s="1">
        <v>4</v>
      </c>
      <c r="AF75" s="1">
        <v>0</v>
      </c>
      <c r="AG75" s="1">
        <v>0</v>
      </c>
      <c r="AH75" s="1">
        <v>0</v>
      </c>
      <c r="AI75" s="1">
        <v>0</v>
      </c>
      <c r="AJ75" s="1">
        <v>0</v>
      </c>
      <c r="AK75" s="1" t="s">
        <v>21</v>
      </c>
      <c r="AL75" s="1" t="s">
        <v>21</v>
      </c>
      <c r="AM75" s="17">
        <v>44162</v>
      </c>
      <c r="AN75" s="18" t="s">
        <v>330</v>
      </c>
      <c r="AO75" s="18"/>
      <c r="AP75" s="18"/>
      <c r="AQ75" s="18"/>
      <c r="AR75" s="10"/>
    </row>
    <row r="76" spans="2:44" s="43" customFormat="1" ht="15" customHeight="1">
      <c r="B76" s="1">
        <f t="shared" ref="B76:B139" si="1">B75+1</f>
        <v>66</v>
      </c>
      <c r="C76" s="1">
        <v>0</v>
      </c>
      <c r="D76" s="1" t="s">
        <v>186</v>
      </c>
      <c r="E76" s="1" t="s">
        <v>186</v>
      </c>
      <c r="F76" s="1" t="s">
        <v>110</v>
      </c>
      <c r="G76" s="1"/>
      <c r="H76" s="1" t="s">
        <v>137</v>
      </c>
      <c r="I76" s="1"/>
      <c r="J76" s="1" t="s">
        <v>85</v>
      </c>
      <c r="K76" s="1" t="s">
        <v>13</v>
      </c>
      <c r="L76" s="1" t="s">
        <v>62</v>
      </c>
      <c r="M76" s="1">
        <v>0</v>
      </c>
      <c r="N76" s="1">
        <v>4</v>
      </c>
      <c r="O76" s="1">
        <v>0</v>
      </c>
      <c r="P76" s="1">
        <v>4</v>
      </c>
      <c r="Q76" s="1">
        <v>0</v>
      </c>
      <c r="R76" s="1">
        <v>0</v>
      </c>
      <c r="S76" s="1"/>
      <c r="T76" s="1">
        <v>0</v>
      </c>
      <c r="U76" s="1">
        <v>4</v>
      </c>
      <c r="V76" s="1">
        <v>0</v>
      </c>
      <c r="W76" s="1">
        <v>0</v>
      </c>
      <c r="X76" s="1">
        <v>0</v>
      </c>
      <c r="Y76" s="1"/>
      <c r="Z76" s="1"/>
      <c r="AA76" s="1">
        <v>0</v>
      </c>
      <c r="AB76" s="1"/>
      <c r="AC76" s="1"/>
      <c r="AD76" s="1"/>
      <c r="AE76" s="1"/>
      <c r="AF76" s="1"/>
      <c r="AG76" s="1">
        <v>0</v>
      </c>
      <c r="AH76" s="1">
        <v>1</v>
      </c>
      <c r="AI76" s="1"/>
      <c r="AJ76" s="1">
        <v>0</v>
      </c>
      <c r="AK76" s="1" t="s">
        <v>21</v>
      </c>
      <c r="AL76" s="1" t="s">
        <v>95</v>
      </c>
      <c r="AM76" s="17"/>
      <c r="AN76" s="18"/>
      <c r="AO76" s="18"/>
      <c r="AP76" s="18"/>
      <c r="AQ76" s="18"/>
      <c r="AR76" s="10" t="s">
        <v>308</v>
      </c>
    </row>
    <row r="77" spans="2:44" s="43" customFormat="1" ht="15" customHeight="1">
      <c r="B77" s="1">
        <f t="shared" si="1"/>
        <v>67</v>
      </c>
      <c r="C77" s="1">
        <v>0</v>
      </c>
      <c r="D77" s="1" t="s">
        <v>228</v>
      </c>
      <c r="E77" s="1" t="s">
        <v>187</v>
      </c>
      <c r="F77" s="1" t="s">
        <v>43</v>
      </c>
      <c r="G77" s="1"/>
      <c r="H77" s="1" t="s">
        <v>141</v>
      </c>
      <c r="I77" s="1"/>
      <c r="J77" s="1" t="s">
        <v>85</v>
      </c>
      <c r="K77" s="1" t="s">
        <v>12</v>
      </c>
      <c r="L77" s="1" t="s">
        <v>11</v>
      </c>
      <c r="M77" s="1">
        <v>4</v>
      </c>
      <c r="N77" s="1">
        <v>4</v>
      </c>
      <c r="O77" s="1">
        <v>4</v>
      </c>
      <c r="P77" s="1">
        <v>0</v>
      </c>
      <c r="Q77" s="1">
        <v>0</v>
      </c>
      <c r="R77" s="1">
        <v>0</v>
      </c>
      <c r="S77" s="1">
        <v>0</v>
      </c>
      <c r="T77" s="1">
        <v>0</v>
      </c>
      <c r="U77" s="1">
        <v>0</v>
      </c>
      <c r="V77" s="1">
        <v>0</v>
      </c>
      <c r="W77" s="1">
        <v>0</v>
      </c>
      <c r="X77" s="1">
        <v>0</v>
      </c>
      <c r="Y77" s="1">
        <v>0</v>
      </c>
      <c r="Z77" s="1">
        <v>0</v>
      </c>
      <c r="AA77" s="1">
        <v>0</v>
      </c>
      <c r="AB77" s="1">
        <v>0</v>
      </c>
      <c r="AC77" s="1">
        <v>0</v>
      </c>
      <c r="AD77" s="1">
        <v>0</v>
      </c>
      <c r="AE77" s="1">
        <v>0</v>
      </c>
      <c r="AF77" s="1">
        <v>0</v>
      </c>
      <c r="AG77" s="1">
        <v>0</v>
      </c>
      <c r="AH77" s="1">
        <v>0</v>
      </c>
      <c r="AI77" s="1">
        <v>0</v>
      </c>
      <c r="AJ77" s="1">
        <v>0</v>
      </c>
      <c r="AK77" s="1" t="s">
        <v>21</v>
      </c>
      <c r="AL77" s="1"/>
      <c r="AM77" s="17"/>
      <c r="AN77" s="18"/>
      <c r="AO77" s="18"/>
      <c r="AP77" s="18"/>
      <c r="AQ77" s="18"/>
      <c r="AR77" s="10"/>
    </row>
    <row r="78" spans="2:44" s="43" customFormat="1" ht="15" customHeight="1">
      <c r="B78" s="1">
        <f t="shared" si="1"/>
        <v>68</v>
      </c>
      <c r="C78" s="1">
        <v>0</v>
      </c>
      <c r="D78" s="1" t="s">
        <v>228</v>
      </c>
      <c r="E78" s="1" t="s">
        <v>187</v>
      </c>
      <c r="F78" s="1" t="s">
        <v>43</v>
      </c>
      <c r="G78" s="1"/>
      <c r="H78" s="1" t="s">
        <v>142</v>
      </c>
      <c r="I78" s="1"/>
      <c r="J78" s="1" t="s">
        <v>85</v>
      </c>
      <c r="K78" s="1" t="s">
        <v>12</v>
      </c>
      <c r="L78" s="1" t="s">
        <v>11</v>
      </c>
      <c r="M78" s="1">
        <v>4</v>
      </c>
      <c r="N78" s="1">
        <v>4</v>
      </c>
      <c r="O78" s="1">
        <v>4</v>
      </c>
      <c r="P78" s="1">
        <v>0</v>
      </c>
      <c r="Q78" s="1">
        <v>0</v>
      </c>
      <c r="R78" s="1">
        <v>0</v>
      </c>
      <c r="S78" s="1">
        <v>0</v>
      </c>
      <c r="T78" s="1">
        <v>0</v>
      </c>
      <c r="U78" s="1">
        <v>0</v>
      </c>
      <c r="V78" s="1">
        <v>0</v>
      </c>
      <c r="W78" s="1">
        <v>0</v>
      </c>
      <c r="X78" s="1">
        <v>0</v>
      </c>
      <c r="Y78" s="1">
        <v>0</v>
      </c>
      <c r="Z78" s="1">
        <v>0</v>
      </c>
      <c r="AA78" s="1">
        <v>0</v>
      </c>
      <c r="AB78" s="1">
        <v>0</v>
      </c>
      <c r="AC78" s="1">
        <v>0</v>
      </c>
      <c r="AD78" s="1">
        <v>0</v>
      </c>
      <c r="AE78" s="1">
        <v>0</v>
      </c>
      <c r="AF78" s="1">
        <v>0</v>
      </c>
      <c r="AG78" s="1">
        <v>0</v>
      </c>
      <c r="AH78" s="1">
        <v>0</v>
      </c>
      <c r="AI78" s="1">
        <v>0</v>
      </c>
      <c r="AJ78" s="1">
        <v>0</v>
      </c>
      <c r="AK78" s="1" t="s">
        <v>21</v>
      </c>
      <c r="AL78" s="1"/>
      <c r="AM78" s="17"/>
      <c r="AN78" s="18"/>
      <c r="AO78" s="18"/>
      <c r="AP78" s="18"/>
      <c r="AQ78" s="18"/>
      <c r="AR78" s="10"/>
    </row>
    <row r="79" spans="2:44" s="43" customFormat="1" ht="15" customHeight="1">
      <c r="B79" s="1">
        <f t="shared" si="1"/>
        <v>69</v>
      </c>
      <c r="C79" s="1">
        <v>0</v>
      </c>
      <c r="D79" s="1" t="s">
        <v>220</v>
      </c>
      <c r="E79" s="1" t="s">
        <v>30</v>
      </c>
      <c r="F79" s="1" t="s">
        <v>43</v>
      </c>
      <c r="G79" s="1"/>
      <c r="H79" s="1" t="s">
        <v>199</v>
      </c>
      <c r="I79" s="1"/>
      <c r="J79" s="1" t="s">
        <v>85</v>
      </c>
      <c r="K79" s="1" t="s">
        <v>11</v>
      </c>
      <c r="L79" s="1" t="s">
        <v>62</v>
      </c>
      <c r="M79" s="1">
        <v>4</v>
      </c>
      <c r="N79" s="1">
        <v>4</v>
      </c>
      <c r="O79" s="1">
        <v>0</v>
      </c>
      <c r="P79" s="1">
        <v>0</v>
      </c>
      <c r="Q79" s="1">
        <v>0</v>
      </c>
      <c r="R79" s="1">
        <v>0</v>
      </c>
      <c r="S79" s="1"/>
      <c r="T79" s="1">
        <v>0</v>
      </c>
      <c r="U79" s="1">
        <v>2</v>
      </c>
      <c r="V79" s="1">
        <v>0</v>
      </c>
      <c r="W79" s="1">
        <v>0</v>
      </c>
      <c r="X79" s="1">
        <v>0</v>
      </c>
      <c r="Y79" s="1"/>
      <c r="Z79" s="1"/>
      <c r="AA79" s="1">
        <v>0</v>
      </c>
      <c r="AB79" s="1"/>
      <c r="AC79" s="1"/>
      <c r="AD79" s="1"/>
      <c r="AE79" s="1"/>
      <c r="AF79" s="1"/>
      <c r="AG79" s="1">
        <v>0</v>
      </c>
      <c r="AH79" s="1">
        <v>0</v>
      </c>
      <c r="AI79" s="1"/>
      <c r="AJ79" s="1">
        <v>0</v>
      </c>
      <c r="AK79" s="1" t="s">
        <v>21</v>
      </c>
      <c r="AL79" s="1" t="s">
        <v>21</v>
      </c>
      <c r="AM79" s="17"/>
      <c r="AN79" s="18"/>
      <c r="AO79" s="18"/>
      <c r="AP79" s="18"/>
      <c r="AQ79" s="18"/>
      <c r="AR79" s="10"/>
    </row>
    <row r="80" spans="2:44" s="43" customFormat="1" ht="15" customHeight="1">
      <c r="B80" s="1">
        <f t="shared" si="1"/>
        <v>70</v>
      </c>
      <c r="C80" s="1">
        <v>0</v>
      </c>
      <c r="D80" s="1" t="s">
        <v>220</v>
      </c>
      <c r="E80" s="1" t="s">
        <v>30</v>
      </c>
      <c r="F80" s="1" t="s">
        <v>43</v>
      </c>
      <c r="G80" s="1"/>
      <c r="H80" s="1" t="s">
        <v>111</v>
      </c>
      <c r="I80" s="1"/>
      <c r="J80" s="1" t="s">
        <v>85</v>
      </c>
      <c r="K80" s="1" t="s">
        <v>11</v>
      </c>
      <c r="L80" s="1" t="s">
        <v>62</v>
      </c>
      <c r="M80" s="1">
        <v>4</v>
      </c>
      <c r="N80" s="1">
        <v>4</v>
      </c>
      <c r="O80" s="1">
        <v>0</v>
      </c>
      <c r="P80" s="1">
        <v>0</v>
      </c>
      <c r="Q80" s="1">
        <v>0</v>
      </c>
      <c r="R80" s="1">
        <v>0</v>
      </c>
      <c r="S80" s="1"/>
      <c r="T80" s="1">
        <v>0</v>
      </c>
      <c r="U80" s="1">
        <v>0</v>
      </c>
      <c r="V80" s="1">
        <v>0</v>
      </c>
      <c r="W80" s="1">
        <v>0</v>
      </c>
      <c r="X80" s="1">
        <v>0</v>
      </c>
      <c r="Y80" s="1"/>
      <c r="Z80" s="1"/>
      <c r="AA80" s="1">
        <v>0</v>
      </c>
      <c r="AB80" s="1"/>
      <c r="AC80" s="1"/>
      <c r="AD80" s="1"/>
      <c r="AE80" s="1"/>
      <c r="AF80" s="1"/>
      <c r="AG80" s="1">
        <v>0</v>
      </c>
      <c r="AH80" s="1">
        <v>0</v>
      </c>
      <c r="AI80" s="1"/>
      <c r="AJ80" s="1">
        <v>0</v>
      </c>
      <c r="AK80" s="1" t="s">
        <v>32</v>
      </c>
      <c r="AL80" s="1"/>
      <c r="AM80" s="17"/>
      <c r="AN80" s="18"/>
      <c r="AO80" s="18"/>
      <c r="AP80" s="18"/>
      <c r="AQ80" s="18"/>
      <c r="AR80" s="10"/>
    </row>
    <row r="81" spans="1:44" s="43" customFormat="1" ht="15" customHeight="1">
      <c r="B81" s="1">
        <f t="shared" si="1"/>
        <v>71</v>
      </c>
      <c r="C81" s="1">
        <v>0</v>
      </c>
      <c r="D81" s="1" t="s">
        <v>220</v>
      </c>
      <c r="E81" s="1" t="s">
        <v>196</v>
      </c>
      <c r="F81" s="1" t="s">
        <v>43</v>
      </c>
      <c r="G81" s="1"/>
      <c r="H81" s="1" t="s">
        <v>112</v>
      </c>
      <c r="I81" s="1"/>
      <c r="J81" s="1" t="s">
        <v>85</v>
      </c>
      <c r="K81" s="1" t="s">
        <v>11</v>
      </c>
      <c r="L81" s="1" t="s">
        <v>62</v>
      </c>
      <c r="M81" s="1">
        <v>4</v>
      </c>
      <c r="N81" s="1">
        <v>4</v>
      </c>
      <c r="O81" s="1">
        <v>0</v>
      </c>
      <c r="P81" s="1">
        <v>0</v>
      </c>
      <c r="Q81" s="1">
        <v>0</v>
      </c>
      <c r="R81" s="1">
        <v>0</v>
      </c>
      <c r="S81" s="1"/>
      <c r="T81" s="1">
        <v>0</v>
      </c>
      <c r="U81" s="1">
        <v>0</v>
      </c>
      <c r="V81" s="1">
        <v>0</v>
      </c>
      <c r="W81" s="1">
        <v>0</v>
      </c>
      <c r="X81" s="1">
        <v>0</v>
      </c>
      <c r="Y81" s="1"/>
      <c r="Z81" s="1"/>
      <c r="AA81" s="1">
        <v>0</v>
      </c>
      <c r="AB81" s="1"/>
      <c r="AC81" s="1"/>
      <c r="AD81" s="1"/>
      <c r="AE81" s="1"/>
      <c r="AF81" s="1"/>
      <c r="AG81" s="1">
        <v>0</v>
      </c>
      <c r="AH81" s="1">
        <v>0</v>
      </c>
      <c r="AI81" s="1"/>
      <c r="AJ81" s="1">
        <v>0</v>
      </c>
      <c r="AK81" s="1" t="s">
        <v>32</v>
      </c>
      <c r="AL81" s="1"/>
      <c r="AM81" s="17"/>
      <c r="AN81" s="18"/>
      <c r="AO81" s="18"/>
      <c r="AP81" s="18"/>
      <c r="AQ81" s="18"/>
      <c r="AR81" s="10"/>
    </row>
    <row r="82" spans="1:44" s="43" customFormat="1" ht="15" customHeight="1">
      <c r="B82" s="1">
        <f t="shared" si="1"/>
        <v>72</v>
      </c>
      <c r="C82" s="1">
        <v>0</v>
      </c>
      <c r="D82" s="1" t="s">
        <v>185</v>
      </c>
      <c r="E82" s="1" t="s">
        <v>196</v>
      </c>
      <c r="F82" s="1" t="s">
        <v>113</v>
      </c>
      <c r="G82" s="1"/>
      <c r="H82" s="1" t="s">
        <v>114</v>
      </c>
      <c r="I82" s="1"/>
      <c r="J82" s="1" t="s">
        <v>86</v>
      </c>
      <c r="K82" s="1" t="s">
        <v>62</v>
      </c>
      <c r="L82" s="1" t="s">
        <v>11</v>
      </c>
      <c r="M82" s="1">
        <v>4</v>
      </c>
      <c r="N82" s="1">
        <v>4</v>
      </c>
      <c r="O82" s="1">
        <v>0</v>
      </c>
      <c r="P82" s="1">
        <v>0</v>
      </c>
      <c r="Q82" s="1">
        <v>0</v>
      </c>
      <c r="R82" s="1">
        <v>0</v>
      </c>
      <c r="S82" s="1"/>
      <c r="T82" s="1">
        <v>0</v>
      </c>
      <c r="U82" s="1">
        <v>3</v>
      </c>
      <c r="V82" s="1">
        <v>0</v>
      </c>
      <c r="W82" s="1">
        <v>0</v>
      </c>
      <c r="X82" s="1">
        <v>0</v>
      </c>
      <c r="Y82" s="1"/>
      <c r="Z82" s="1"/>
      <c r="AA82" s="1">
        <v>0</v>
      </c>
      <c r="AB82" s="1"/>
      <c r="AC82" s="1"/>
      <c r="AD82" s="1"/>
      <c r="AE82" s="1"/>
      <c r="AF82" s="1"/>
      <c r="AG82" s="1">
        <v>0</v>
      </c>
      <c r="AH82" s="1"/>
      <c r="AI82" s="1"/>
      <c r="AJ82" s="1">
        <v>0</v>
      </c>
      <c r="AK82" s="1" t="s">
        <v>21</v>
      </c>
      <c r="AL82" s="1" t="s">
        <v>21</v>
      </c>
      <c r="AM82" s="17"/>
      <c r="AN82" s="18"/>
      <c r="AO82" s="18"/>
      <c r="AP82" s="18"/>
      <c r="AQ82" s="18"/>
      <c r="AR82" s="10"/>
    </row>
    <row r="83" spans="1:44" s="43" customFormat="1" ht="15" customHeight="1">
      <c r="B83" s="1">
        <f t="shared" si="1"/>
        <v>73</v>
      </c>
      <c r="C83" s="1">
        <v>1</v>
      </c>
      <c r="D83" s="1" t="s">
        <v>220</v>
      </c>
      <c r="E83" s="1" t="s">
        <v>191</v>
      </c>
      <c r="F83" s="1" t="s">
        <v>113</v>
      </c>
      <c r="G83" s="1"/>
      <c r="H83" s="1" t="s">
        <v>115</v>
      </c>
      <c r="I83" s="1"/>
      <c r="J83" s="1" t="s">
        <v>85</v>
      </c>
      <c r="K83" s="1" t="s">
        <v>502</v>
      </c>
      <c r="L83" s="1" t="s">
        <v>486</v>
      </c>
      <c r="M83" s="1">
        <v>4</v>
      </c>
      <c r="N83" s="1">
        <v>4</v>
      </c>
      <c r="O83" s="1">
        <v>0</v>
      </c>
      <c r="P83" s="1">
        <v>0</v>
      </c>
      <c r="Q83" s="1">
        <v>0</v>
      </c>
      <c r="R83" s="1">
        <v>0</v>
      </c>
      <c r="S83" s="1"/>
      <c r="T83" s="1">
        <v>0</v>
      </c>
      <c r="U83" s="1">
        <v>4</v>
      </c>
      <c r="V83" s="1">
        <v>0</v>
      </c>
      <c r="W83" s="1">
        <v>0</v>
      </c>
      <c r="X83" s="1">
        <v>0</v>
      </c>
      <c r="Y83" s="1"/>
      <c r="Z83" s="1"/>
      <c r="AA83" s="1">
        <v>0</v>
      </c>
      <c r="AB83" s="1"/>
      <c r="AC83" s="1"/>
      <c r="AD83" s="1"/>
      <c r="AE83" s="1"/>
      <c r="AF83" s="1"/>
      <c r="AG83" s="1">
        <v>0</v>
      </c>
      <c r="AH83" s="1">
        <v>4</v>
      </c>
      <c r="AI83" s="1">
        <v>3</v>
      </c>
      <c r="AJ83" s="1">
        <v>0</v>
      </c>
      <c r="AK83" s="1" t="s">
        <v>21</v>
      </c>
      <c r="AL83" s="1" t="s">
        <v>21</v>
      </c>
      <c r="AM83" s="17"/>
      <c r="AN83" s="18"/>
      <c r="AO83" s="18"/>
      <c r="AP83" s="18"/>
      <c r="AQ83" s="18"/>
      <c r="AR83" s="10"/>
    </row>
    <row r="84" spans="1:44" s="43" customFormat="1" ht="15" customHeight="1">
      <c r="B84" s="1">
        <f t="shared" si="1"/>
        <v>74</v>
      </c>
      <c r="C84" s="1">
        <v>0</v>
      </c>
      <c r="D84" s="1" t="s">
        <v>220</v>
      </c>
      <c r="E84" s="1" t="s">
        <v>191</v>
      </c>
      <c r="F84" s="1" t="s">
        <v>113</v>
      </c>
      <c r="G84" s="1"/>
      <c r="H84" s="1" t="s">
        <v>116</v>
      </c>
      <c r="I84" s="1"/>
      <c r="J84" s="1" t="s">
        <v>85</v>
      </c>
      <c r="K84" s="1" t="s">
        <v>11</v>
      </c>
      <c r="L84" s="1" t="s">
        <v>62</v>
      </c>
      <c r="M84" s="1">
        <v>4</v>
      </c>
      <c r="N84" s="1">
        <v>4</v>
      </c>
      <c r="O84" s="1">
        <v>0</v>
      </c>
      <c r="P84" s="1">
        <v>0</v>
      </c>
      <c r="Q84" s="1">
        <v>0</v>
      </c>
      <c r="R84" s="1">
        <v>0</v>
      </c>
      <c r="S84" s="1"/>
      <c r="T84" s="1">
        <v>0</v>
      </c>
      <c r="U84" s="1">
        <v>0</v>
      </c>
      <c r="V84" s="1">
        <v>0</v>
      </c>
      <c r="W84" s="1">
        <v>0</v>
      </c>
      <c r="X84" s="1">
        <v>0</v>
      </c>
      <c r="Y84" s="1"/>
      <c r="Z84" s="1"/>
      <c r="AA84" s="1">
        <v>0</v>
      </c>
      <c r="AB84" s="1"/>
      <c r="AC84" s="1"/>
      <c r="AD84" s="1"/>
      <c r="AE84" s="1"/>
      <c r="AF84" s="1"/>
      <c r="AG84" s="1">
        <v>0</v>
      </c>
      <c r="AH84" s="1">
        <v>1</v>
      </c>
      <c r="AI84" s="1"/>
      <c r="AJ84" s="1">
        <v>0</v>
      </c>
      <c r="AK84" s="1" t="s">
        <v>32</v>
      </c>
      <c r="AL84" s="1"/>
      <c r="AM84" s="17"/>
      <c r="AN84" s="18"/>
      <c r="AO84" s="18"/>
      <c r="AP84" s="18"/>
      <c r="AQ84" s="18"/>
      <c r="AR84" s="10"/>
    </row>
    <row r="85" spans="1:44" s="43" customFormat="1" ht="15" customHeight="1">
      <c r="B85" s="1">
        <f t="shared" si="1"/>
        <v>75</v>
      </c>
      <c r="C85" s="1">
        <v>0</v>
      </c>
      <c r="D85" s="1" t="s">
        <v>212</v>
      </c>
      <c r="E85" s="1" t="s">
        <v>91</v>
      </c>
      <c r="F85" s="1" t="s">
        <v>92</v>
      </c>
      <c r="G85" s="1" t="s">
        <v>92</v>
      </c>
      <c r="H85" s="1" t="s">
        <v>117</v>
      </c>
      <c r="I85" s="1"/>
      <c r="J85" s="1" t="s">
        <v>86</v>
      </c>
      <c r="K85" s="1" t="s">
        <v>452</v>
      </c>
      <c r="L85" s="1" t="s">
        <v>452</v>
      </c>
      <c r="M85" s="1">
        <v>0</v>
      </c>
      <c r="N85" s="1">
        <v>0</v>
      </c>
      <c r="O85" s="1">
        <v>0</v>
      </c>
      <c r="P85" s="1">
        <v>0</v>
      </c>
      <c r="Q85" s="1">
        <v>0</v>
      </c>
      <c r="R85" s="1">
        <v>0</v>
      </c>
      <c r="S85" s="1"/>
      <c r="T85" s="1">
        <v>4</v>
      </c>
      <c r="U85" s="1">
        <v>0</v>
      </c>
      <c r="V85" s="1">
        <v>0</v>
      </c>
      <c r="W85" s="1">
        <v>0</v>
      </c>
      <c r="X85" s="1">
        <v>0</v>
      </c>
      <c r="Y85" s="1">
        <v>2</v>
      </c>
      <c r="Z85" s="1"/>
      <c r="AA85" s="1">
        <v>0</v>
      </c>
      <c r="AB85" s="1"/>
      <c r="AC85" s="1"/>
      <c r="AD85" s="1"/>
      <c r="AE85" s="1"/>
      <c r="AF85" s="1">
        <v>3</v>
      </c>
      <c r="AG85" s="1">
        <v>4</v>
      </c>
      <c r="AH85" s="1">
        <v>0</v>
      </c>
      <c r="AI85" s="1">
        <v>0</v>
      </c>
      <c r="AJ85" s="1">
        <v>2</v>
      </c>
      <c r="AK85" s="1" t="s">
        <v>32</v>
      </c>
      <c r="AL85" s="1" t="s">
        <v>32</v>
      </c>
      <c r="AM85" s="17">
        <v>44967</v>
      </c>
      <c r="AN85" s="18" t="s">
        <v>417</v>
      </c>
      <c r="AO85" s="18"/>
      <c r="AP85" s="140" t="s">
        <v>1130</v>
      </c>
      <c r="AQ85" s="75">
        <v>0.5</v>
      </c>
      <c r="AR85" s="10" t="s">
        <v>1203</v>
      </c>
    </row>
    <row r="86" spans="1:44" s="43" customFormat="1">
      <c r="B86" s="1">
        <f t="shared" si="1"/>
        <v>76</v>
      </c>
      <c r="C86" s="1">
        <v>0</v>
      </c>
      <c r="D86" s="1" t="s">
        <v>212</v>
      </c>
      <c r="E86" s="1" t="s">
        <v>101</v>
      </c>
      <c r="F86" s="1" t="s">
        <v>118</v>
      </c>
      <c r="G86" s="1" t="s">
        <v>118</v>
      </c>
      <c r="H86" s="1" t="s">
        <v>119</v>
      </c>
      <c r="I86" s="1"/>
      <c r="J86" s="1" t="s">
        <v>85</v>
      </c>
      <c r="K86" s="54" t="s">
        <v>170</v>
      </c>
      <c r="L86" s="1" t="s">
        <v>452</v>
      </c>
      <c r="M86" s="1">
        <v>0</v>
      </c>
      <c r="N86" s="1">
        <v>0</v>
      </c>
      <c r="O86" s="1">
        <v>0</v>
      </c>
      <c r="P86" s="1">
        <v>0</v>
      </c>
      <c r="Q86" s="1">
        <v>0</v>
      </c>
      <c r="R86" s="1">
        <v>0</v>
      </c>
      <c r="S86" s="1">
        <v>0</v>
      </c>
      <c r="T86" s="1">
        <v>4</v>
      </c>
      <c r="U86" s="1">
        <v>0</v>
      </c>
      <c r="V86" s="1">
        <v>0</v>
      </c>
      <c r="W86" s="1">
        <v>2</v>
      </c>
      <c r="X86" s="1">
        <v>0</v>
      </c>
      <c r="Y86" s="1">
        <v>0</v>
      </c>
      <c r="Z86" s="1">
        <v>0</v>
      </c>
      <c r="AA86" s="1">
        <v>0</v>
      </c>
      <c r="AB86" s="1"/>
      <c r="AC86" s="1"/>
      <c r="AD86" s="1"/>
      <c r="AE86" s="1"/>
      <c r="AF86" s="1">
        <v>4</v>
      </c>
      <c r="AG86" s="1">
        <v>1</v>
      </c>
      <c r="AH86" s="1">
        <v>0</v>
      </c>
      <c r="AI86" s="1">
        <v>0</v>
      </c>
      <c r="AJ86" s="1">
        <v>0</v>
      </c>
      <c r="AK86" s="1" t="s">
        <v>21</v>
      </c>
      <c r="AL86" s="1" t="s">
        <v>21</v>
      </c>
      <c r="AM86" s="17"/>
      <c r="AN86" s="18"/>
      <c r="AO86" s="18"/>
      <c r="AP86" s="18"/>
      <c r="AQ86" s="18"/>
      <c r="AR86" s="10"/>
    </row>
    <row r="87" spans="1:44" s="43" customFormat="1">
      <c r="B87" s="1">
        <f t="shared" si="1"/>
        <v>77</v>
      </c>
      <c r="C87" s="1">
        <v>0</v>
      </c>
      <c r="D87" s="1" t="s">
        <v>212</v>
      </c>
      <c r="E87" s="1" t="s">
        <v>101</v>
      </c>
      <c r="F87" s="1" t="s">
        <v>118</v>
      </c>
      <c r="G87" s="1" t="s">
        <v>118</v>
      </c>
      <c r="H87" s="1" t="s">
        <v>120</v>
      </c>
      <c r="I87" s="1"/>
      <c r="J87" s="1" t="s">
        <v>85</v>
      </c>
      <c r="K87" s="54" t="s">
        <v>170</v>
      </c>
      <c r="L87" s="1" t="s">
        <v>452</v>
      </c>
      <c r="M87" s="1">
        <v>0</v>
      </c>
      <c r="N87" s="1">
        <v>0</v>
      </c>
      <c r="O87" s="1">
        <v>0</v>
      </c>
      <c r="P87" s="69">
        <v>0</v>
      </c>
      <c r="Q87" s="1">
        <v>0</v>
      </c>
      <c r="R87" s="1">
        <v>0</v>
      </c>
      <c r="S87" s="1">
        <v>0</v>
      </c>
      <c r="T87" s="1">
        <v>4</v>
      </c>
      <c r="U87" s="1">
        <v>0</v>
      </c>
      <c r="V87" s="1">
        <v>0</v>
      </c>
      <c r="W87" s="1">
        <v>2</v>
      </c>
      <c r="X87" s="1">
        <v>0</v>
      </c>
      <c r="Y87" s="1">
        <v>0</v>
      </c>
      <c r="Z87" s="1">
        <v>0</v>
      </c>
      <c r="AA87" s="1">
        <v>0</v>
      </c>
      <c r="AB87" s="1"/>
      <c r="AC87" s="1"/>
      <c r="AD87" s="1"/>
      <c r="AE87" s="1"/>
      <c r="AF87" s="1">
        <v>4</v>
      </c>
      <c r="AG87" s="1">
        <v>1</v>
      </c>
      <c r="AH87" s="1">
        <v>0</v>
      </c>
      <c r="AI87" s="1">
        <v>0</v>
      </c>
      <c r="AJ87" s="1">
        <v>0</v>
      </c>
      <c r="AK87" s="1" t="s">
        <v>21</v>
      </c>
      <c r="AL87" s="1" t="s">
        <v>21</v>
      </c>
      <c r="AM87" s="17"/>
      <c r="AN87" s="18"/>
      <c r="AO87" s="18"/>
      <c r="AP87" s="18"/>
      <c r="AQ87" s="18"/>
      <c r="AR87" s="10"/>
    </row>
    <row r="88" spans="1:44" s="43" customFormat="1">
      <c r="B88" s="1">
        <f t="shared" si="1"/>
        <v>78</v>
      </c>
      <c r="C88" s="1">
        <v>0</v>
      </c>
      <c r="D88" s="1" t="s">
        <v>212</v>
      </c>
      <c r="E88" s="1" t="s">
        <v>101</v>
      </c>
      <c r="F88" s="1" t="s">
        <v>118</v>
      </c>
      <c r="G88" s="1" t="s">
        <v>118</v>
      </c>
      <c r="H88" s="1" t="s">
        <v>121</v>
      </c>
      <c r="I88" s="1"/>
      <c r="J88" s="1" t="s">
        <v>85</v>
      </c>
      <c r="K88" s="1" t="s">
        <v>61</v>
      </c>
      <c r="L88" s="1" t="s">
        <v>170</v>
      </c>
      <c r="M88" s="1">
        <v>0</v>
      </c>
      <c r="N88" s="1">
        <v>0</v>
      </c>
      <c r="O88" s="1">
        <v>0</v>
      </c>
      <c r="P88" s="69">
        <v>0</v>
      </c>
      <c r="Q88" s="1">
        <v>0</v>
      </c>
      <c r="R88" s="1">
        <v>0</v>
      </c>
      <c r="S88" s="1">
        <v>0</v>
      </c>
      <c r="T88" s="1">
        <v>4</v>
      </c>
      <c r="U88" s="1">
        <v>0</v>
      </c>
      <c r="V88" s="1">
        <v>0</v>
      </c>
      <c r="W88" s="1">
        <v>2</v>
      </c>
      <c r="X88" s="1">
        <v>0</v>
      </c>
      <c r="Y88" s="1">
        <v>0</v>
      </c>
      <c r="Z88" s="1">
        <v>0</v>
      </c>
      <c r="AA88" s="1">
        <v>0</v>
      </c>
      <c r="AB88" s="1"/>
      <c r="AC88" s="1"/>
      <c r="AD88" s="1"/>
      <c r="AE88" s="1"/>
      <c r="AF88" s="1"/>
      <c r="AG88" s="1">
        <v>1</v>
      </c>
      <c r="AH88" s="1">
        <v>0</v>
      </c>
      <c r="AI88" s="1"/>
      <c r="AJ88" s="1">
        <v>0</v>
      </c>
      <c r="AK88" s="1" t="s">
        <v>21</v>
      </c>
      <c r="AL88" s="1" t="s">
        <v>21</v>
      </c>
      <c r="AM88" s="17"/>
      <c r="AN88" s="18"/>
      <c r="AO88" s="18"/>
      <c r="AP88" s="18"/>
      <c r="AQ88" s="18"/>
      <c r="AR88" s="10"/>
    </row>
    <row r="89" spans="1:44" s="43" customFormat="1">
      <c r="B89" s="1">
        <f t="shared" si="1"/>
        <v>79</v>
      </c>
      <c r="C89" s="1">
        <v>0</v>
      </c>
      <c r="D89" s="1" t="s">
        <v>212</v>
      </c>
      <c r="E89" s="1" t="s">
        <v>101</v>
      </c>
      <c r="F89" s="1" t="s">
        <v>118</v>
      </c>
      <c r="G89" s="1" t="s">
        <v>118</v>
      </c>
      <c r="H89" s="1" t="s">
        <v>122</v>
      </c>
      <c r="I89" s="1"/>
      <c r="J89" s="1" t="s">
        <v>85</v>
      </c>
      <c r="K89" s="1" t="s">
        <v>61</v>
      </c>
      <c r="L89" s="1" t="s">
        <v>170</v>
      </c>
      <c r="M89" s="1">
        <v>0</v>
      </c>
      <c r="N89" s="1">
        <v>0</v>
      </c>
      <c r="O89" s="1">
        <v>0</v>
      </c>
      <c r="P89" s="69">
        <v>0</v>
      </c>
      <c r="Q89" s="1">
        <v>0</v>
      </c>
      <c r="R89" s="1">
        <v>0</v>
      </c>
      <c r="S89" s="1"/>
      <c r="T89" s="1">
        <v>4</v>
      </c>
      <c r="U89" s="1">
        <v>0</v>
      </c>
      <c r="V89" s="1">
        <v>0</v>
      </c>
      <c r="W89" s="1">
        <v>2</v>
      </c>
      <c r="X89" s="1">
        <v>0</v>
      </c>
      <c r="Y89" s="1"/>
      <c r="Z89" s="1"/>
      <c r="AA89" s="1">
        <v>0</v>
      </c>
      <c r="AB89" s="1"/>
      <c r="AC89" s="1"/>
      <c r="AD89" s="1"/>
      <c r="AE89" s="1"/>
      <c r="AF89" s="1"/>
      <c r="AG89" s="1">
        <v>1</v>
      </c>
      <c r="AH89" s="1">
        <v>0</v>
      </c>
      <c r="AI89" s="1"/>
      <c r="AJ89" s="1">
        <v>0</v>
      </c>
      <c r="AK89" s="1" t="s">
        <v>21</v>
      </c>
      <c r="AL89" s="1" t="s">
        <v>21</v>
      </c>
      <c r="AM89" s="17"/>
      <c r="AN89" s="18"/>
      <c r="AO89" s="18"/>
      <c r="AP89" s="18"/>
      <c r="AQ89" s="18"/>
      <c r="AR89" s="10"/>
    </row>
    <row r="90" spans="1:44" s="43" customFormat="1">
      <c r="B90" s="1">
        <f t="shared" si="1"/>
        <v>80</v>
      </c>
      <c r="C90" s="1">
        <v>0</v>
      </c>
      <c r="D90" s="1" t="s">
        <v>212</v>
      </c>
      <c r="E90" s="1" t="s">
        <v>101</v>
      </c>
      <c r="F90" s="1" t="s">
        <v>118</v>
      </c>
      <c r="G90" s="1" t="s">
        <v>118</v>
      </c>
      <c r="H90" s="1" t="s">
        <v>135</v>
      </c>
      <c r="I90" s="1"/>
      <c r="J90" s="1" t="s">
        <v>85</v>
      </c>
      <c r="K90" s="54" t="s">
        <v>170</v>
      </c>
      <c r="L90" s="1" t="s">
        <v>452</v>
      </c>
      <c r="M90" s="1">
        <v>0</v>
      </c>
      <c r="N90" s="1">
        <v>0</v>
      </c>
      <c r="O90" s="1">
        <v>0</v>
      </c>
      <c r="P90" s="1">
        <v>0</v>
      </c>
      <c r="Q90" s="1">
        <v>0</v>
      </c>
      <c r="R90" s="1">
        <v>0</v>
      </c>
      <c r="S90" s="1">
        <v>0</v>
      </c>
      <c r="T90" s="1">
        <v>4</v>
      </c>
      <c r="U90" s="1">
        <v>0</v>
      </c>
      <c r="V90" s="1">
        <v>0</v>
      </c>
      <c r="W90" s="1">
        <v>2</v>
      </c>
      <c r="X90" s="1">
        <v>0</v>
      </c>
      <c r="Y90" s="1">
        <v>0</v>
      </c>
      <c r="Z90" s="1">
        <v>0</v>
      </c>
      <c r="AA90" s="1">
        <v>0</v>
      </c>
      <c r="AB90" s="1"/>
      <c r="AC90" s="1"/>
      <c r="AD90" s="1"/>
      <c r="AE90" s="1"/>
      <c r="AF90" s="1">
        <v>4</v>
      </c>
      <c r="AG90" s="1">
        <v>1</v>
      </c>
      <c r="AH90" s="1">
        <v>0</v>
      </c>
      <c r="AI90" s="1">
        <v>0</v>
      </c>
      <c r="AJ90" s="1">
        <v>0</v>
      </c>
      <c r="AK90" s="1" t="s">
        <v>21</v>
      </c>
      <c r="AL90" s="1" t="s">
        <v>21</v>
      </c>
      <c r="AM90" s="17"/>
      <c r="AN90" s="18"/>
      <c r="AO90" s="18"/>
      <c r="AP90" s="18"/>
      <c r="AQ90" s="18"/>
      <c r="AR90" s="10"/>
    </row>
    <row r="91" spans="1:44" s="43" customFormat="1" ht="15" customHeight="1">
      <c r="B91" s="1">
        <f t="shared" si="1"/>
        <v>81</v>
      </c>
      <c r="C91" s="1">
        <v>0</v>
      </c>
      <c r="D91" s="1" t="s">
        <v>212</v>
      </c>
      <c r="E91" s="1" t="s">
        <v>91</v>
      </c>
      <c r="F91" s="1" t="s">
        <v>96</v>
      </c>
      <c r="G91" s="1" t="s">
        <v>96</v>
      </c>
      <c r="H91" s="1" t="s">
        <v>144</v>
      </c>
      <c r="I91" s="1"/>
      <c r="J91" s="1" t="s">
        <v>85</v>
      </c>
      <c r="K91" s="54" t="s">
        <v>170</v>
      </c>
      <c r="L91" s="1" t="s">
        <v>452</v>
      </c>
      <c r="M91" s="1">
        <v>0</v>
      </c>
      <c r="N91" s="1">
        <v>0</v>
      </c>
      <c r="O91" s="1">
        <v>0</v>
      </c>
      <c r="P91" s="69">
        <v>0</v>
      </c>
      <c r="Q91" s="1">
        <v>0</v>
      </c>
      <c r="R91" s="1">
        <v>0</v>
      </c>
      <c r="S91" s="1"/>
      <c r="T91" s="1">
        <v>4</v>
      </c>
      <c r="U91" s="1">
        <v>0</v>
      </c>
      <c r="V91" s="1">
        <v>0</v>
      </c>
      <c r="W91" s="1">
        <v>2</v>
      </c>
      <c r="X91" s="1">
        <v>0</v>
      </c>
      <c r="Y91" s="1"/>
      <c r="Z91" s="1"/>
      <c r="AA91" s="1">
        <v>0</v>
      </c>
      <c r="AB91" s="1"/>
      <c r="AC91" s="1"/>
      <c r="AD91" s="1"/>
      <c r="AE91" s="1"/>
      <c r="AF91" s="1">
        <v>4</v>
      </c>
      <c r="AG91" s="1">
        <v>1</v>
      </c>
      <c r="AH91" s="1">
        <v>0</v>
      </c>
      <c r="AI91" s="1">
        <v>0</v>
      </c>
      <c r="AJ91" s="1">
        <v>0</v>
      </c>
      <c r="AK91" s="1" t="s">
        <v>21</v>
      </c>
      <c r="AL91" s="1" t="s">
        <v>21</v>
      </c>
      <c r="AM91" s="17">
        <v>43369</v>
      </c>
      <c r="AN91" s="18" t="s">
        <v>12</v>
      </c>
      <c r="AO91" s="18"/>
      <c r="AP91" s="18"/>
      <c r="AQ91" s="18"/>
      <c r="AR91" s="10"/>
    </row>
    <row r="92" spans="1:44" s="43" customFormat="1" ht="15" customHeight="1">
      <c r="B92" s="1">
        <f t="shared" si="1"/>
        <v>82</v>
      </c>
      <c r="C92" s="1">
        <v>1</v>
      </c>
      <c r="D92" s="1" t="s">
        <v>212</v>
      </c>
      <c r="E92" s="1" t="s">
        <v>91</v>
      </c>
      <c r="F92" s="1" t="s">
        <v>96</v>
      </c>
      <c r="G92" s="1" t="s">
        <v>96</v>
      </c>
      <c r="H92" s="1" t="s">
        <v>147</v>
      </c>
      <c r="I92" s="1"/>
      <c r="J92" s="1" t="s">
        <v>85</v>
      </c>
      <c r="K92" s="54" t="s">
        <v>1049</v>
      </c>
      <c r="L92" s="1" t="s">
        <v>452</v>
      </c>
      <c r="M92" s="1">
        <v>0</v>
      </c>
      <c r="N92" s="1">
        <v>0</v>
      </c>
      <c r="O92" s="1">
        <v>0</v>
      </c>
      <c r="P92" s="1">
        <v>0</v>
      </c>
      <c r="Q92" s="1">
        <v>0</v>
      </c>
      <c r="R92" s="1">
        <v>0</v>
      </c>
      <c r="S92" s="1"/>
      <c r="T92" s="1">
        <v>4</v>
      </c>
      <c r="U92" s="1">
        <v>0</v>
      </c>
      <c r="V92" s="1">
        <v>0</v>
      </c>
      <c r="W92" s="1">
        <v>2</v>
      </c>
      <c r="X92" s="1">
        <v>0</v>
      </c>
      <c r="Y92" s="1">
        <v>1</v>
      </c>
      <c r="Z92" s="1"/>
      <c r="AA92" s="1">
        <v>0</v>
      </c>
      <c r="AB92" s="1"/>
      <c r="AC92" s="1"/>
      <c r="AD92" s="1"/>
      <c r="AE92" s="1"/>
      <c r="AF92" s="1">
        <v>3</v>
      </c>
      <c r="AG92" s="1">
        <v>4</v>
      </c>
      <c r="AH92" s="1">
        <v>0</v>
      </c>
      <c r="AI92" s="1">
        <v>0</v>
      </c>
      <c r="AJ92" s="1">
        <v>4</v>
      </c>
      <c r="AK92" s="1" t="s">
        <v>21</v>
      </c>
      <c r="AL92" s="1" t="s">
        <v>32</v>
      </c>
      <c r="AM92" s="17">
        <v>43369</v>
      </c>
      <c r="AN92" s="18" t="s">
        <v>417</v>
      </c>
      <c r="AO92" s="140" t="s">
        <v>1051</v>
      </c>
      <c r="AP92" s="140" t="s">
        <v>1075</v>
      </c>
      <c r="AQ92" s="75">
        <v>1</v>
      </c>
      <c r="AR92" s="10"/>
    </row>
    <row r="93" spans="1:44" s="43" customFormat="1" ht="15" customHeight="1">
      <c r="B93" s="1">
        <f t="shared" si="1"/>
        <v>83</v>
      </c>
      <c r="C93" s="44">
        <v>0</v>
      </c>
      <c r="D93" s="44" t="s">
        <v>228</v>
      </c>
      <c r="E93" s="44" t="s">
        <v>187</v>
      </c>
      <c r="F93" s="44" t="s">
        <v>148</v>
      </c>
      <c r="G93" s="44" t="s">
        <v>149</v>
      </c>
      <c r="H93" s="44" t="s">
        <v>150</v>
      </c>
      <c r="I93" s="44"/>
      <c r="J93" s="44" t="s">
        <v>85</v>
      </c>
      <c r="K93" s="44" t="s">
        <v>143</v>
      </c>
      <c r="L93" s="44" t="s">
        <v>12</v>
      </c>
      <c r="M93" s="44">
        <v>0</v>
      </c>
      <c r="N93" s="44">
        <v>0</v>
      </c>
      <c r="O93" s="44">
        <v>4</v>
      </c>
      <c r="P93" s="44">
        <v>0</v>
      </c>
      <c r="Q93" s="44">
        <v>0</v>
      </c>
      <c r="R93" s="44">
        <v>4</v>
      </c>
      <c r="S93" s="44"/>
      <c r="T93" s="44">
        <v>0</v>
      </c>
      <c r="U93" s="44">
        <v>0</v>
      </c>
      <c r="V93" s="44">
        <v>3</v>
      </c>
      <c r="W93" s="44">
        <v>3</v>
      </c>
      <c r="X93" s="1">
        <v>0</v>
      </c>
      <c r="Y93" s="44"/>
      <c r="Z93" s="44"/>
      <c r="AA93" s="1">
        <v>0</v>
      </c>
      <c r="AB93" s="1"/>
      <c r="AC93" s="1"/>
      <c r="AD93" s="1"/>
      <c r="AE93" s="1"/>
      <c r="AF93" s="1"/>
      <c r="AG93" s="1">
        <v>0</v>
      </c>
      <c r="AH93" s="1">
        <v>0</v>
      </c>
      <c r="AI93" s="1"/>
      <c r="AJ93" s="1">
        <v>0</v>
      </c>
      <c r="AK93" s="44" t="s">
        <v>21</v>
      </c>
      <c r="AL93" s="44" t="s">
        <v>21</v>
      </c>
      <c r="AM93" s="45">
        <v>43369</v>
      </c>
      <c r="AN93" s="44" t="s">
        <v>12</v>
      </c>
      <c r="AO93" s="44"/>
      <c r="AP93" s="44"/>
      <c r="AQ93" s="44"/>
      <c r="AR93" s="46"/>
    </row>
    <row r="94" spans="1:44" s="65" customFormat="1" ht="15" customHeight="1">
      <c r="A94" s="51"/>
      <c r="B94" s="62">
        <f t="shared" si="1"/>
        <v>84</v>
      </c>
      <c r="C94" s="62">
        <v>0</v>
      </c>
      <c r="D94" s="62" t="s">
        <v>187</v>
      </c>
      <c r="E94" s="62" t="s">
        <v>347</v>
      </c>
      <c r="F94" s="62" t="s">
        <v>148</v>
      </c>
      <c r="G94" s="62" t="s">
        <v>148</v>
      </c>
      <c r="H94" s="62" t="s">
        <v>151</v>
      </c>
      <c r="I94" s="62"/>
      <c r="J94" s="62" t="s">
        <v>87</v>
      </c>
      <c r="K94" s="62" t="s">
        <v>312</v>
      </c>
      <c r="L94" s="62" t="s">
        <v>408</v>
      </c>
      <c r="M94" s="62">
        <v>0</v>
      </c>
      <c r="N94" s="62">
        <v>0</v>
      </c>
      <c r="O94" s="62">
        <v>4</v>
      </c>
      <c r="P94" s="62">
        <v>0</v>
      </c>
      <c r="Q94" s="62">
        <v>0</v>
      </c>
      <c r="R94" s="62">
        <v>4</v>
      </c>
      <c r="S94" s="62"/>
      <c r="T94" s="62">
        <v>0</v>
      </c>
      <c r="U94" s="62">
        <v>0</v>
      </c>
      <c r="V94" s="62">
        <v>3</v>
      </c>
      <c r="W94" s="62">
        <v>3</v>
      </c>
      <c r="X94" s="55"/>
      <c r="Y94" s="62">
        <v>4</v>
      </c>
      <c r="Z94" s="62">
        <v>3</v>
      </c>
      <c r="AA94" s="55"/>
      <c r="AB94" s="55"/>
      <c r="AC94" s="55"/>
      <c r="AD94" s="55"/>
      <c r="AE94" s="55">
        <v>1</v>
      </c>
      <c r="AF94" s="55"/>
      <c r="AG94" s="1"/>
      <c r="AH94" s="1">
        <v>0</v>
      </c>
      <c r="AI94" s="1"/>
      <c r="AJ94" s="1">
        <v>0</v>
      </c>
      <c r="AK94" s="62" t="s">
        <v>21</v>
      </c>
      <c r="AL94" s="62" t="s">
        <v>21</v>
      </c>
      <c r="AM94" s="63">
        <v>44133</v>
      </c>
      <c r="AN94" s="62" t="s">
        <v>330</v>
      </c>
      <c r="AO94" s="62"/>
      <c r="AP94" s="62"/>
      <c r="AQ94" s="62"/>
      <c r="AR94" s="64" t="s">
        <v>490</v>
      </c>
    </row>
    <row r="95" spans="1:44" s="43" customFormat="1" ht="15" customHeight="1">
      <c r="B95" s="1">
        <f t="shared" si="1"/>
        <v>85</v>
      </c>
      <c r="C95" s="1">
        <v>0</v>
      </c>
      <c r="D95" s="1" t="s">
        <v>184</v>
      </c>
      <c r="E95" s="1" t="s">
        <v>184</v>
      </c>
      <c r="F95" s="1" t="s">
        <v>46</v>
      </c>
      <c r="G95" s="1" t="s">
        <v>46</v>
      </c>
      <c r="H95" s="1" t="s">
        <v>156</v>
      </c>
      <c r="I95" s="1"/>
      <c r="J95" s="1" t="s">
        <v>157</v>
      </c>
      <c r="K95" s="1" t="s">
        <v>143</v>
      </c>
      <c r="L95" s="1" t="s">
        <v>62</v>
      </c>
      <c r="M95" s="1">
        <v>0</v>
      </c>
      <c r="N95" s="1">
        <v>0</v>
      </c>
      <c r="O95" s="1">
        <v>0</v>
      </c>
      <c r="P95" s="1">
        <v>0</v>
      </c>
      <c r="Q95" s="1">
        <v>4</v>
      </c>
      <c r="R95" s="1">
        <v>0</v>
      </c>
      <c r="S95" s="1"/>
      <c r="T95" s="1">
        <v>0</v>
      </c>
      <c r="U95" s="1">
        <v>4</v>
      </c>
      <c r="V95" s="1">
        <v>3</v>
      </c>
      <c r="W95" s="1">
        <v>0</v>
      </c>
      <c r="X95" s="1">
        <v>0</v>
      </c>
      <c r="Y95" s="1"/>
      <c r="Z95" s="1"/>
      <c r="AA95" s="1">
        <v>0</v>
      </c>
      <c r="AB95" s="1"/>
      <c r="AC95" s="1"/>
      <c r="AD95" s="1"/>
      <c r="AE95" s="1"/>
      <c r="AF95" s="1"/>
      <c r="AG95" s="1">
        <v>0</v>
      </c>
      <c r="AH95" s="1">
        <v>0</v>
      </c>
      <c r="AI95" s="1"/>
      <c r="AJ95" s="1">
        <v>0</v>
      </c>
      <c r="AK95" s="1" t="s">
        <v>21</v>
      </c>
      <c r="AL95" s="1" t="s">
        <v>21</v>
      </c>
      <c r="AM95" s="17">
        <v>43417</v>
      </c>
      <c r="AN95" s="18" t="s">
        <v>62</v>
      </c>
      <c r="AO95" s="18"/>
      <c r="AP95" s="18"/>
      <c r="AQ95" s="18"/>
      <c r="AR95" s="10"/>
    </row>
    <row r="96" spans="1:44" s="43" customFormat="1" ht="15" customHeight="1">
      <c r="B96" s="1">
        <f t="shared" si="1"/>
        <v>86</v>
      </c>
      <c r="C96" s="1">
        <v>0</v>
      </c>
      <c r="D96" s="1" t="s">
        <v>184</v>
      </c>
      <c r="E96" s="1" t="s">
        <v>184</v>
      </c>
      <c r="F96" s="1" t="s">
        <v>46</v>
      </c>
      <c r="G96" s="1" t="s">
        <v>46</v>
      </c>
      <c r="H96" s="1" t="s">
        <v>158</v>
      </c>
      <c r="I96" s="1"/>
      <c r="J96" s="1" t="s">
        <v>157</v>
      </c>
      <c r="K96" s="1" t="s">
        <v>143</v>
      </c>
      <c r="L96" s="1" t="s">
        <v>62</v>
      </c>
      <c r="M96" s="1">
        <v>0</v>
      </c>
      <c r="N96" s="1">
        <v>0</v>
      </c>
      <c r="O96" s="1">
        <v>0</v>
      </c>
      <c r="P96" s="1">
        <v>0</v>
      </c>
      <c r="Q96" s="1">
        <v>4</v>
      </c>
      <c r="R96" s="1">
        <v>0</v>
      </c>
      <c r="S96" s="1"/>
      <c r="T96" s="1">
        <v>0</v>
      </c>
      <c r="U96" s="1">
        <v>4</v>
      </c>
      <c r="V96" s="1">
        <v>3</v>
      </c>
      <c r="W96" s="1">
        <v>0</v>
      </c>
      <c r="X96" s="1">
        <v>0</v>
      </c>
      <c r="Y96" s="1"/>
      <c r="Z96" s="1"/>
      <c r="AA96" s="1">
        <v>0</v>
      </c>
      <c r="AB96" s="1"/>
      <c r="AC96" s="1"/>
      <c r="AD96" s="1"/>
      <c r="AE96" s="1"/>
      <c r="AF96" s="1"/>
      <c r="AG96" s="1">
        <v>0</v>
      </c>
      <c r="AH96" s="1">
        <v>1</v>
      </c>
      <c r="AI96" s="1"/>
      <c r="AJ96" s="1">
        <v>0</v>
      </c>
      <c r="AK96" s="1" t="s">
        <v>21</v>
      </c>
      <c r="AL96" s="1" t="s">
        <v>21</v>
      </c>
      <c r="AM96" s="17">
        <v>43417</v>
      </c>
      <c r="AN96" s="18" t="s">
        <v>62</v>
      </c>
      <c r="AO96" s="18"/>
      <c r="AP96" s="18"/>
      <c r="AQ96" s="18"/>
      <c r="AR96" s="10"/>
    </row>
    <row r="97" spans="2:44" s="43" customFormat="1" ht="15" customHeight="1">
      <c r="B97" s="1">
        <f t="shared" si="1"/>
        <v>87</v>
      </c>
      <c r="C97" s="1">
        <v>1</v>
      </c>
      <c r="D97" s="1" t="s">
        <v>223</v>
      </c>
      <c r="E97" s="1" t="s">
        <v>30</v>
      </c>
      <c r="F97" s="1" t="s">
        <v>43</v>
      </c>
      <c r="G97" s="1" t="s">
        <v>43</v>
      </c>
      <c r="H97" s="1" t="s">
        <v>159</v>
      </c>
      <c r="I97" s="1"/>
      <c r="J97" s="1" t="s">
        <v>160</v>
      </c>
      <c r="K97" s="1" t="s">
        <v>502</v>
      </c>
      <c r="L97" s="1" t="s">
        <v>486</v>
      </c>
      <c r="M97" s="1">
        <v>0</v>
      </c>
      <c r="N97" s="1">
        <v>4</v>
      </c>
      <c r="O97" s="1">
        <v>0</v>
      </c>
      <c r="P97" s="1">
        <v>2</v>
      </c>
      <c r="Q97" s="1">
        <v>0</v>
      </c>
      <c r="R97" s="1">
        <v>0</v>
      </c>
      <c r="S97" s="1"/>
      <c r="T97" s="1">
        <v>0</v>
      </c>
      <c r="U97" s="1">
        <v>4</v>
      </c>
      <c r="V97" s="1">
        <v>0</v>
      </c>
      <c r="W97" s="1">
        <v>0</v>
      </c>
      <c r="X97" s="1">
        <v>0</v>
      </c>
      <c r="Y97" s="1"/>
      <c r="Z97" s="1"/>
      <c r="AA97" s="1">
        <v>0</v>
      </c>
      <c r="AB97" s="1"/>
      <c r="AC97" s="1"/>
      <c r="AD97" s="1"/>
      <c r="AE97" s="1"/>
      <c r="AF97" s="1"/>
      <c r="AG97" s="1">
        <v>0</v>
      </c>
      <c r="AH97" s="1">
        <v>3</v>
      </c>
      <c r="AI97" s="1">
        <v>3</v>
      </c>
      <c r="AJ97" s="1">
        <v>0</v>
      </c>
      <c r="AK97" s="1" t="s">
        <v>21</v>
      </c>
      <c r="AL97" s="1" t="s">
        <v>21</v>
      </c>
      <c r="AM97" s="17">
        <v>44594</v>
      </c>
      <c r="AN97" s="18" t="s">
        <v>486</v>
      </c>
      <c r="AO97" s="18"/>
      <c r="AP97" s="18"/>
      <c r="AQ97" s="18"/>
      <c r="AR97" s="10"/>
    </row>
    <row r="98" spans="2:44" s="43" customFormat="1" ht="15" customHeight="1">
      <c r="B98" s="1">
        <f t="shared" si="1"/>
        <v>88</v>
      </c>
      <c r="C98" s="1">
        <v>1</v>
      </c>
      <c r="D98" s="1" t="s">
        <v>223</v>
      </c>
      <c r="E98" s="1" t="s">
        <v>30</v>
      </c>
      <c r="F98" s="1" t="s">
        <v>43</v>
      </c>
      <c r="G98" s="1" t="s">
        <v>43</v>
      </c>
      <c r="H98" s="1" t="s">
        <v>161</v>
      </c>
      <c r="I98" s="1"/>
      <c r="J98" s="1" t="s">
        <v>160</v>
      </c>
      <c r="K98" s="1" t="s">
        <v>502</v>
      </c>
      <c r="L98" s="1" t="s">
        <v>486</v>
      </c>
      <c r="M98" s="1">
        <v>0</v>
      </c>
      <c r="N98" s="1">
        <v>4</v>
      </c>
      <c r="O98" s="1">
        <v>0</v>
      </c>
      <c r="P98" s="1">
        <v>2</v>
      </c>
      <c r="Q98" s="1">
        <v>0</v>
      </c>
      <c r="R98" s="1">
        <v>0</v>
      </c>
      <c r="S98" s="1"/>
      <c r="T98" s="1">
        <v>0</v>
      </c>
      <c r="U98" s="1">
        <v>4</v>
      </c>
      <c r="V98" s="1">
        <v>0</v>
      </c>
      <c r="W98" s="1">
        <v>0</v>
      </c>
      <c r="X98" s="1">
        <v>0</v>
      </c>
      <c r="Y98" s="1"/>
      <c r="Z98" s="1"/>
      <c r="AA98" s="1">
        <v>0</v>
      </c>
      <c r="AB98" s="1"/>
      <c r="AC98" s="1"/>
      <c r="AD98" s="1"/>
      <c r="AE98" s="1"/>
      <c r="AF98" s="1"/>
      <c r="AG98" s="1">
        <v>0</v>
      </c>
      <c r="AH98" s="1">
        <v>3</v>
      </c>
      <c r="AI98" s="1">
        <v>3</v>
      </c>
      <c r="AJ98" s="1">
        <v>0</v>
      </c>
      <c r="AK98" s="1" t="s">
        <v>21</v>
      </c>
      <c r="AL98" s="1" t="s">
        <v>21</v>
      </c>
      <c r="AM98" s="17">
        <v>44594</v>
      </c>
      <c r="AN98" s="18" t="s">
        <v>486</v>
      </c>
      <c r="AO98" s="18"/>
      <c r="AP98" s="18"/>
      <c r="AQ98" s="18"/>
      <c r="AR98" s="10"/>
    </row>
    <row r="99" spans="2:44" s="43" customFormat="1" ht="15" customHeight="1">
      <c r="B99" s="1">
        <f t="shared" si="1"/>
        <v>89</v>
      </c>
      <c r="C99" s="1">
        <v>1</v>
      </c>
      <c r="D99" s="1" t="s">
        <v>223</v>
      </c>
      <c r="E99" s="1" t="s">
        <v>30</v>
      </c>
      <c r="F99" s="1" t="s">
        <v>43</v>
      </c>
      <c r="G99" s="1" t="s">
        <v>43</v>
      </c>
      <c r="H99" s="1" t="s">
        <v>162</v>
      </c>
      <c r="I99" s="1"/>
      <c r="J99" s="1" t="s">
        <v>160</v>
      </c>
      <c r="K99" s="1" t="s">
        <v>62</v>
      </c>
      <c r="L99" s="1" t="s">
        <v>11</v>
      </c>
      <c r="M99" s="1">
        <v>0</v>
      </c>
      <c r="N99" s="1">
        <v>4</v>
      </c>
      <c r="O99" s="1">
        <v>0</v>
      </c>
      <c r="P99" s="1">
        <v>2</v>
      </c>
      <c r="Q99" s="1">
        <v>0</v>
      </c>
      <c r="R99" s="1">
        <v>0</v>
      </c>
      <c r="S99" s="1"/>
      <c r="T99" s="1">
        <v>0</v>
      </c>
      <c r="U99" s="1">
        <v>4</v>
      </c>
      <c r="V99" s="1">
        <v>0</v>
      </c>
      <c r="W99" s="1">
        <v>0</v>
      </c>
      <c r="X99" s="1">
        <v>0</v>
      </c>
      <c r="Y99" s="1"/>
      <c r="Z99" s="1"/>
      <c r="AA99" s="1">
        <v>0</v>
      </c>
      <c r="AB99" s="1"/>
      <c r="AC99" s="1"/>
      <c r="AD99" s="1"/>
      <c r="AE99" s="1"/>
      <c r="AF99" s="1"/>
      <c r="AG99" s="1">
        <v>0</v>
      </c>
      <c r="AH99" s="1">
        <v>3</v>
      </c>
      <c r="AI99" s="1">
        <v>0</v>
      </c>
      <c r="AJ99" s="1">
        <v>0</v>
      </c>
      <c r="AK99" s="1" t="s">
        <v>21</v>
      </c>
      <c r="AL99" s="1" t="s">
        <v>21</v>
      </c>
      <c r="AM99" s="17">
        <v>44112</v>
      </c>
      <c r="AN99" s="18" t="s">
        <v>11</v>
      </c>
      <c r="AO99" s="18"/>
      <c r="AP99" s="18"/>
      <c r="AQ99" s="18"/>
      <c r="AR99" s="10"/>
    </row>
    <row r="100" spans="2:44" s="43" customFormat="1" ht="15" customHeight="1">
      <c r="B100" s="1">
        <f t="shared" si="1"/>
        <v>90</v>
      </c>
      <c r="C100" s="1">
        <v>0</v>
      </c>
      <c r="D100" s="1" t="s">
        <v>186</v>
      </c>
      <c r="E100" s="1" t="s">
        <v>186</v>
      </c>
      <c r="F100" s="1" t="s">
        <v>19</v>
      </c>
      <c r="G100" s="1"/>
      <c r="H100" s="1" t="s">
        <v>164</v>
      </c>
      <c r="I100" s="1"/>
      <c r="J100" s="1" t="s">
        <v>85</v>
      </c>
      <c r="K100" s="1" t="s">
        <v>408</v>
      </c>
      <c r="L100" s="1" t="s">
        <v>340</v>
      </c>
      <c r="M100" s="1">
        <v>0</v>
      </c>
      <c r="N100" s="1">
        <v>4</v>
      </c>
      <c r="O100" s="1">
        <v>0</v>
      </c>
      <c r="P100" s="1">
        <v>3</v>
      </c>
      <c r="Q100" s="1">
        <v>0</v>
      </c>
      <c r="R100" s="1">
        <v>0</v>
      </c>
      <c r="S100" s="1"/>
      <c r="T100" s="1">
        <v>0</v>
      </c>
      <c r="U100" s="1">
        <v>3</v>
      </c>
      <c r="V100" s="1">
        <v>0</v>
      </c>
      <c r="W100" s="1">
        <v>0</v>
      </c>
      <c r="X100" s="1">
        <v>4</v>
      </c>
      <c r="Y100" s="1">
        <v>0</v>
      </c>
      <c r="Z100" s="1">
        <v>4</v>
      </c>
      <c r="AA100" s="1">
        <v>0</v>
      </c>
      <c r="AB100" s="1"/>
      <c r="AC100" s="1"/>
      <c r="AD100" s="1"/>
      <c r="AE100" s="1">
        <v>4</v>
      </c>
      <c r="AF100" s="1">
        <v>0</v>
      </c>
      <c r="AG100" s="1">
        <v>0</v>
      </c>
      <c r="AH100" s="1">
        <v>0</v>
      </c>
      <c r="AI100" s="1">
        <v>0</v>
      </c>
      <c r="AJ100" s="1">
        <v>0</v>
      </c>
      <c r="AK100" s="1" t="s">
        <v>21</v>
      </c>
      <c r="AL100" s="1" t="s">
        <v>21</v>
      </c>
      <c r="AM100" s="17">
        <v>44162</v>
      </c>
      <c r="AN100" s="18" t="s">
        <v>330</v>
      </c>
      <c r="AO100" s="18"/>
      <c r="AP100" s="18"/>
      <c r="AQ100" s="18"/>
      <c r="AR100" s="10"/>
    </row>
    <row r="101" spans="2:44" s="43" customFormat="1" ht="15" customHeight="1">
      <c r="B101" s="1">
        <f t="shared" si="1"/>
        <v>91</v>
      </c>
      <c r="C101" s="1">
        <v>0</v>
      </c>
      <c r="D101" s="1" t="s">
        <v>185</v>
      </c>
      <c r="E101" s="1" t="s">
        <v>196</v>
      </c>
      <c r="F101" s="1" t="s">
        <v>113</v>
      </c>
      <c r="G101" s="1"/>
      <c r="H101" s="1" t="s">
        <v>200</v>
      </c>
      <c r="I101" s="1"/>
      <c r="J101" s="1" t="s">
        <v>86</v>
      </c>
      <c r="K101" s="1" t="s">
        <v>62</v>
      </c>
      <c r="L101" s="1" t="s">
        <v>11</v>
      </c>
      <c r="M101" s="1">
        <v>4</v>
      </c>
      <c r="N101" s="1">
        <v>4</v>
      </c>
      <c r="O101" s="1">
        <v>0</v>
      </c>
      <c r="P101" s="1">
        <v>0</v>
      </c>
      <c r="Q101" s="1">
        <v>0</v>
      </c>
      <c r="R101" s="1">
        <v>0</v>
      </c>
      <c r="S101" s="1"/>
      <c r="T101" s="1">
        <v>0</v>
      </c>
      <c r="U101" s="1">
        <v>4</v>
      </c>
      <c r="V101" s="1">
        <v>0</v>
      </c>
      <c r="W101" s="1">
        <v>0</v>
      </c>
      <c r="X101" s="1">
        <v>0</v>
      </c>
      <c r="Y101" s="1"/>
      <c r="Z101" s="1"/>
      <c r="AA101" s="1">
        <v>0</v>
      </c>
      <c r="AB101" s="1"/>
      <c r="AC101" s="1"/>
      <c r="AD101" s="1"/>
      <c r="AE101" s="1"/>
      <c r="AF101" s="1"/>
      <c r="AG101" s="1">
        <v>0</v>
      </c>
      <c r="AH101" s="1"/>
      <c r="AI101" s="1"/>
      <c r="AJ101" s="1">
        <v>0</v>
      </c>
      <c r="AK101" s="1" t="s">
        <v>21</v>
      </c>
      <c r="AL101" s="1" t="s">
        <v>21</v>
      </c>
      <c r="AM101" s="17">
        <v>43472</v>
      </c>
      <c r="AN101" s="18" t="s">
        <v>11</v>
      </c>
      <c r="AO101" s="18"/>
      <c r="AP101" s="18"/>
      <c r="AQ101" s="18"/>
      <c r="AR101" s="10"/>
    </row>
    <row r="102" spans="2:44" s="51" customFormat="1" ht="15" customHeight="1">
      <c r="B102" s="1">
        <f t="shared" si="1"/>
        <v>92</v>
      </c>
      <c r="C102" s="47">
        <v>1</v>
      </c>
      <c r="D102" s="47" t="s">
        <v>283</v>
      </c>
      <c r="E102" s="47" t="s">
        <v>52</v>
      </c>
      <c r="F102" s="47" t="s">
        <v>166</v>
      </c>
      <c r="G102" s="47" t="s">
        <v>166</v>
      </c>
      <c r="H102" s="47" t="s">
        <v>492</v>
      </c>
      <c r="I102" s="47"/>
      <c r="J102" s="47" t="s">
        <v>85</v>
      </c>
      <c r="K102" s="47" t="s">
        <v>312</v>
      </c>
      <c r="L102" s="47" t="s">
        <v>408</v>
      </c>
      <c r="M102" s="47">
        <v>0</v>
      </c>
      <c r="N102" s="47">
        <v>0</v>
      </c>
      <c r="O102" s="47">
        <v>4</v>
      </c>
      <c r="P102" s="47">
        <v>0</v>
      </c>
      <c r="Q102" s="47">
        <v>0</v>
      </c>
      <c r="R102" s="47">
        <v>3</v>
      </c>
      <c r="S102" s="47"/>
      <c r="T102" s="47">
        <v>0</v>
      </c>
      <c r="U102" s="47">
        <v>0</v>
      </c>
      <c r="V102" s="47">
        <v>3</v>
      </c>
      <c r="W102" s="47">
        <v>3</v>
      </c>
      <c r="X102" s="1"/>
      <c r="Y102" s="47">
        <v>4</v>
      </c>
      <c r="Z102" s="47">
        <v>3</v>
      </c>
      <c r="AA102" s="1"/>
      <c r="AB102" s="1"/>
      <c r="AC102" s="1"/>
      <c r="AD102" s="1"/>
      <c r="AE102" s="1">
        <v>3</v>
      </c>
      <c r="AF102" s="1"/>
      <c r="AG102" s="1"/>
      <c r="AH102" s="1">
        <v>0</v>
      </c>
      <c r="AI102" s="1">
        <v>0</v>
      </c>
      <c r="AJ102" s="1">
        <v>0</v>
      </c>
      <c r="AK102" s="47" t="s">
        <v>21</v>
      </c>
      <c r="AL102" s="47" t="s">
        <v>21</v>
      </c>
      <c r="AM102" s="48" t="s">
        <v>532</v>
      </c>
      <c r="AN102" s="49" t="s">
        <v>410</v>
      </c>
      <c r="AO102" s="49"/>
      <c r="AP102" s="49"/>
      <c r="AQ102" s="49"/>
      <c r="AR102" s="50" t="s">
        <v>496</v>
      </c>
    </row>
    <row r="103" spans="2:44" s="43" customFormat="1" ht="15" customHeight="1">
      <c r="B103" s="1">
        <f t="shared" si="1"/>
        <v>93</v>
      </c>
      <c r="C103" s="1">
        <v>0</v>
      </c>
      <c r="D103" s="54" t="s">
        <v>386</v>
      </c>
      <c r="E103" s="1" t="s">
        <v>294</v>
      </c>
      <c r="F103" s="1" t="s">
        <v>57</v>
      </c>
      <c r="G103" s="1"/>
      <c r="H103" s="147" t="s">
        <v>1183</v>
      </c>
      <c r="I103" s="18"/>
      <c r="J103" s="1" t="s">
        <v>87</v>
      </c>
      <c r="K103" s="1" t="s">
        <v>12</v>
      </c>
      <c r="L103" s="1" t="s">
        <v>331</v>
      </c>
      <c r="M103" s="1">
        <v>0</v>
      </c>
      <c r="N103" s="1">
        <v>0</v>
      </c>
      <c r="O103" s="1">
        <v>4</v>
      </c>
      <c r="P103" s="1">
        <v>0</v>
      </c>
      <c r="Q103" s="1">
        <v>0</v>
      </c>
      <c r="R103" s="1">
        <v>0</v>
      </c>
      <c r="S103" s="1">
        <v>0</v>
      </c>
      <c r="T103" s="1">
        <v>0</v>
      </c>
      <c r="U103" s="1">
        <v>0</v>
      </c>
      <c r="V103" s="1">
        <v>0</v>
      </c>
      <c r="W103" s="1">
        <v>0</v>
      </c>
      <c r="X103" s="1">
        <v>0</v>
      </c>
      <c r="Y103" s="1">
        <v>0</v>
      </c>
      <c r="Z103" s="1">
        <v>0</v>
      </c>
      <c r="AA103" s="1">
        <v>0</v>
      </c>
      <c r="AB103" s="1">
        <v>0</v>
      </c>
      <c r="AC103" s="1">
        <v>0</v>
      </c>
      <c r="AD103" s="1">
        <v>0</v>
      </c>
      <c r="AE103" s="1">
        <v>0</v>
      </c>
      <c r="AF103" s="1">
        <v>0</v>
      </c>
      <c r="AG103" s="1">
        <v>0</v>
      </c>
      <c r="AH103" s="1">
        <v>0</v>
      </c>
      <c r="AI103" s="1">
        <v>0</v>
      </c>
      <c r="AJ103" s="1">
        <v>0</v>
      </c>
      <c r="AK103" s="1" t="s">
        <v>32</v>
      </c>
      <c r="AL103" s="1" t="s">
        <v>21</v>
      </c>
      <c r="AM103" s="17">
        <v>43579</v>
      </c>
      <c r="AN103" s="18" t="s">
        <v>12</v>
      </c>
      <c r="AO103" s="18"/>
      <c r="AP103" s="18"/>
      <c r="AQ103" s="18"/>
      <c r="AR103" s="10" t="s">
        <v>76</v>
      </c>
    </row>
    <row r="104" spans="2:44" s="51" customFormat="1" ht="15" customHeight="1">
      <c r="B104" s="1">
        <f t="shared" si="1"/>
        <v>94</v>
      </c>
      <c r="C104" s="47">
        <v>1</v>
      </c>
      <c r="D104" s="47" t="s">
        <v>187</v>
      </c>
      <c r="E104" s="47" t="s">
        <v>347</v>
      </c>
      <c r="F104" s="47" t="s">
        <v>45</v>
      </c>
      <c r="G104" s="47" t="s">
        <v>45</v>
      </c>
      <c r="H104" s="47" t="s">
        <v>445</v>
      </c>
      <c r="I104" s="47"/>
      <c r="J104" s="47" t="s">
        <v>85</v>
      </c>
      <c r="K104" s="47" t="s">
        <v>312</v>
      </c>
      <c r="L104" s="47" t="s">
        <v>408</v>
      </c>
      <c r="M104" s="47"/>
      <c r="N104" s="47"/>
      <c r="O104" s="47"/>
      <c r="P104" s="47"/>
      <c r="Q104" s="47"/>
      <c r="R104" s="47"/>
      <c r="S104" s="47"/>
      <c r="T104" s="47"/>
      <c r="U104" s="47"/>
      <c r="V104" s="47"/>
      <c r="W104" s="47"/>
      <c r="X104" s="1"/>
      <c r="Y104" s="47">
        <v>4</v>
      </c>
      <c r="Z104" s="47">
        <v>3</v>
      </c>
      <c r="AA104" s="1"/>
      <c r="AB104" s="1"/>
      <c r="AC104" s="1"/>
      <c r="AD104" s="1"/>
      <c r="AE104" s="1">
        <v>3</v>
      </c>
      <c r="AF104" s="1"/>
      <c r="AG104" s="1"/>
      <c r="AH104" s="1"/>
      <c r="AI104" s="1">
        <v>0</v>
      </c>
      <c r="AJ104" s="1">
        <v>0</v>
      </c>
      <c r="AK104" s="47" t="s">
        <v>32</v>
      </c>
      <c r="AL104" s="47" t="s">
        <v>21</v>
      </c>
      <c r="AM104" s="48" t="s">
        <v>451</v>
      </c>
      <c r="AN104" s="49" t="s">
        <v>410</v>
      </c>
      <c r="AO104" s="49"/>
      <c r="AP104" s="49"/>
      <c r="AQ104" s="49"/>
      <c r="AR104" s="50"/>
    </row>
    <row r="105" spans="2:44" s="43" customFormat="1" ht="15" customHeight="1">
      <c r="B105" s="1">
        <f t="shared" si="1"/>
        <v>95</v>
      </c>
      <c r="C105" s="1">
        <v>1</v>
      </c>
      <c r="D105" s="1" t="s">
        <v>212</v>
      </c>
      <c r="E105" s="1" t="s">
        <v>91</v>
      </c>
      <c r="F105" s="1" t="s">
        <v>96</v>
      </c>
      <c r="G105" s="1" t="s">
        <v>96</v>
      </c>
      <c r="H105" s="1" t="s">
        <v>167</v>
      </c>
      <c r="I105" s="1"/>
      <c r="J105" s="1" t="s">
        <v>85</v>
      </c>
      <c r="K105" s="54" t="s">
        <v>1049</v>
      </c>
      <c r="L105" s="1" t="s">
        <v>452</v>
      </c>
      <c r="M105" s="1">
        <v>0</v>
      </c>
      <c r="N105" s="1">
        <v>0</v>
      </c>
      <c r="O105" s="1">
        <v>0</v>
      </c>
      <c r="P105" s="1">
        <v>0</v>
      </c>
      <c r="Q105" s="1">
        <v>0</v>
      </c>
      <c r="R105" s="1">
        <v>0</v>
      </c>
      <c r="S105" s="1"/>
      <c r="T105" s="1">
        <v>4</v>
      </c>
      <c r="U105" s="1">
        <v>0</v>
      </c>
      <c r="V105" s="1">
        <v>0</v>
      </c>
      <c r="W105" s="1">
        <v>2</v>
      </c>
      <c r="X105" s="1">
        <v>0</v>
      </c>
      <c r="Y105" s="1">
        <v>1</v>
      </c>
      <c r="Z105" s="1"/>
      <c r="AA105" s="1">
        <v>0</v>
      </c>
      <c r="AB105" s="1"/>
      <c r="AC105" s="1"/>
      <c r="AD105" s="1"/>
      <c r="AE105" s="1"/>
      <c r="AF105" s="1">
        <v>3</v>
      </c>
      <c r="AG105" s="1">
        <v>4</v>
      </c>
      <c r="AH105" s="1">
        <v>0</v>
      </c>
      <c r="AI105" s="1">
        <v>0</v>
      </c>
      <c r="AJ105" s="1">
        <v>4</v>
      </c>
      <c r="AK105" s="1" t="s">
        <v>21</v>
      </c>
      <c r="AL105" s="1" t="s">
        <v>32</v>
      </c>
      <c r="AM105" s="17" t="s">
        <v>1052</v>
      </c>
      <c r="AN105" s="18" t="s">
        <v>417</v>
      </c>
      <c r="AO105" s="140" t="s">
        <v>1051</v>
      </c>
      <c r="AP105" s="140" t="s">
        <v>1076</v>
      </c>
      <c r="AQ105" s="75">
        <v>1</v>
      </c>
      <c r="AR105" s="10"/>
    </row>
    <row r="106" spans="2:44" s="43" customFormat="1" ht="15" customHeight="1">
      <c r="B106" s="1">
        <f t="shared" si="1"/>
        <v>96</v>
      </c>
      <c r="C106" s="1">
        <v>1</v>
      </c>
      <c r="D106" s="1" t="s">
        <v>212</v>
      </c>
      <c r="E106" s="1" t="s">
        <v>91</v>
      </c>
      <c r="F106" s="1" t="s">
        <v>96</v>
      </c>
      <c r="G106" s="1" t="s">
        <v>96</v>
      </c>
      <c r="H106" s="1" t="s">
        <v>168</v>
      </c>
      <c r="I106" s="1"/>
      <c r="J106" s="1" t="s">
        <v>85</v>
      </c>
      <c r="K106" s="54" t="s">
        <v>1049</v>
      </c>
      <c r="L106" s="1" t="s">
        <v>452</v>
      </c>
      <c r="M106" s="1">
        <v>0</v>
      </c>
      <c r="N106" s="1">
        <v>0</v>
      </c>
      <c r="O106" s="1">
        <v>0</v>
      </c>
      <c r="P106" s="1">
        <v>0</v>
      </c>
      <c r="Q106" s="1">
        <v>0</v>
      </c>
      <c r="R106" s="1">
        <v>0</v>
      </c>
      <c r="S106" s="1"/>
      <c r="T106" s="1">
        <v>4</v>
      </c>
      <c r="U106" s="1">
        <v>0</v>
      </c>
      <c r="V106" s="1">
        <v>0</v>
      </c>
      <c r="W106" s="1">
        <v>2</v>
      </c>
      <c r="X106" s="1">
        <v>0</v>
      </c>
      <c r="Y106" s="1">
        <v>1</v>
      </c>
      <c r="Z106" s="1"/>
      <c r="AA106" s="1">
        <v>0</v>
      </c>
      <c r="AB106" s="1"/>
      <c r="AC106" s="1"/>
      <c r="AD106" s="1"/>
      <c r="AE106" s="1"/>
      <c r="AF106" s="1">
        <v>3</v>
      </c>
      <c r="AG106" s="1">
        <v>4</v>
      </c>
      <c r="AH106" s="1">
        <v>0</v>
      </c>
      <c r="AI106" s="1">
        <v>0</v>
      </c>
      <c r="AJ106" s="1">
        <v>4</v>
      </c>
      <c r="AK106" s="1" t="s">
        <v>21</v>
      </c>
      <c r="AL106" s="1" t="s">
        <v>32</v>
      </c>
      <c r="AM106" s="17" t="s">
        <v>1052</v>
      </c>
      <c r="AN106" s="18" t="s">
        <v>417</v>
      </c>
      <c r="AO106" s="140" t="s">
        <v>1051</v>
      </c>
      <c r="AP106" s="140" t="s">
        <v>1076</v>
      </c>
      <c r="AQ106" s="75">
        <v>1</v>
      </c>
      <c r="AR106" s="10"/>
    </row>
    <row r="107" spans="2:44" s="43" customFormat="1" ht="15" customHeight="1">
      <c r="B107" s="1">
        <f t="shared" si="1"/>
        <v>97</v>
      </c>
      <c r="C107" s="1">
        <v>1</v>
      </c>
      <c r="D107" s="1" t="s">
        <v>212</v>
      </c>
      <c r="E107" s="1" t="s">
        <v>91</v>
      </c>
      <c r="F107" s="1" t="s">
        <v>96</v>
      </c>
      <c r="G107" s="1" t="s">
        <v>96</v>
      </c>
      <c r="H107" s="1" t="s">
        <v>169</v>
      </c>
      <c r="I107" s="1"/>
      <c r="J107" s="1" t="s">
        <v>85</v>
      </c>
      <c r="K107" s="54" t="s">
        <v>1049</v>
      </c>
      <c r="L107" s="1" t="s">
        <v>452</v>
      </c>
      <c r="M107" s="1">
        <v>0</v>
      </c>
      <c r="N107" s="1">
        <v>0</v>
      </c>
      <c r="O107" s="1">
        <v>0</v>
      </c>
      <c r="P107" s="1">
        <v>0</v>
      </c>
      <c r="Q107" s="1">
        <v>0</v>
      </c>
      <c r="R107" s="1">
        <v>0</v>
      </c>
      <c r="S107" s="1"/>
      <c r="T107" s="1">
        <v>4</v>
      </c>
      <c r="U107" s="1">
        <v>0</v>
      </c>
      <c r="V107" s="1">
        <v>0</v>
      </c>
      <c r="W107" s="1">
        <v>2</v>
      </c>
      <c r="X107" s="1">
        <v>0</v>
      </c>
      <c r="Y107" s="1">
        <v>1</v>
      </c>
      <c r="Z107" s="1"/>
      <c r="AA107" s="1">
        <v>0</v>
      </c>
      <c r="AB107" s="1"/>
      <c r="AC107" s="1"/>
      <c r="AD107" s="1"/>
      <c r="AE107" s="1"/>
      <c r="AF107" s="1">
        <v>3</v>
      </c>
      <c r="AG107" s="1">
        <v>4</v>
      </c>
      <c r="AH107" s="1">
        <v>0</v>
      </c>
      <c r="AI107" s="1">
        <v>0</v>
      </c>
      <c r="AJ107" s="1">
        <v>4</v>
      </c>
      <c r="AK107" s="1" t="s">
        <v>21</v>
      </c>
      <c r="AL107" s="1" t="s">
        <v>32</v>
      </c>
      <c r="AM107" s="17" t="s">
        <v>1052</v>
      </c>
      <c r="AN107" s="18" t="s">
        <v>417</v>
      </c>
      <c r="AO107" s="140" t="s">
        <v>1051</v>
      </c>
      <c r="AP107" s="140" t="s">
        <v>1077</v>
      </c>
      <c r="AQ107" s="75">
        <v>1</v>
      </c>
      <c r="AR107" s="10"/>
    </row>
    <row r="108" spans="2:44" s="43" customFormat="1" ht="15" customHeight="1">
      <c r="B108" s="1">
        <f t="shared" si="1"/>
        <v>98</v>
      </c>
      <c r="C108" s="1">
        <v>0</v>
      </c>
      <c r="D108" s="1" t="s">
        <v>212</v>
      </c>
      <c r="E108" s="1" t="s">
        <v>91</v>
      </c>
      <c r="F108" s="1" t="s">
        <v>92</v>
      </c>
      <c r="G108" s="1" t="s">
        <v>92</v>
      </c>
      <c r="H108" s="1" t="s">
        <v>468</v>
      </c>
      <c r="I108" s="1"/>
      <c r="J108" s="1" t="s">
        <v>85</v>
      </c>
      <c r="K108" s="1" t="s">
        <v>452</v>
      </c>
      <c r="L108" s="1" t="s">
        <v>452</v>
      </c>
      <c r="M108" s="1">
        <v>0</v>
      </c>
      <c r="N108" s="1">
        <v>0</v>
      </c>
      <c r="O108" s="1">
        <v>0</v>
      </c>
      <c r="P108" s="1">
        <v>0</v>
      </c>
      <c r="Q108" s="1">
        <v>0</v>
      </c>
      <c r="R108" s="1">
        <v>0</v>
      </c>
      <c r="S108" s="1"/>
      <c r="T108" s="1">
        <v>4</v>
      </c>
      <c r="U108" s="1">
        <v>0</v>
      </c>
      <c r="V108" s="1">
        <v>0</v>
      </c>
      <c r="W108" s="1">
        <v>0</v>
      </c>
      <c r="X108" s="1">
        <v>0</v>
      </c>
      <c r="Y108" s="1">
        <v>2</v>
      </c>
      <c r="Z108" s="1"/>
      <c r="AA108" s="1">
        <v>0</v>
      </c>
      <c r="AB108" s="1"/>
      <c r="AC108" s="1"/>
      <c r="AD108" s="1"/>
      <c r="AE108" s="1"/>
      <c r="AF108" s="1">
        <v>4</v>
      </c>
      <c r="AG108" s="1">
        <v>4</v>
      </c>
      <c r="AH108" s="1">
        <v>0</v>
      </c>
      <c r="AI108" s="1">
        <v>0</v>
      </c>
      <c r="AJ108" s="1">
        <v>2</v>
      </c>
      <c r="AK108" s="1" t="s">
        <v>21</v>
      </c>
      <c r="AL108" s="1" t="s">
        <v>21</v>
      </c>
      <c r="AM108" s="17">
        <v>44967</v>
      </c>
      <c r="AN108" s="18" t="s">
        <v>417</v>
      </c>
      <c r="AO108" s="140" t="s">
        <v>1126</v>
      </c>
      <c r="AP108" s="140" t="s">
        <v>1127</v>
      </c>
      <c r="AQ108" s="75">
        <v>0.9</v>
      </c>
      <c r="AR108" s="10" t="s">
        <v>1203</v>
      </c>
    </row>
    <row r="109" spans="2:44" s="43" customFormat="1" ht="15" customHeight="1">
      <c r="B109" s="1">
        <f t="shared" si="1"/>
        <v>99</v>
      </c>
      <c r="C109" s="1">
        <v>0</v>
      </c>
      <c r="D109" s="1" t="s">
        <v>212</v>
      </c>
      <c r="E109" s="1" t="s">
        <v>91</v>
      </c>
      <c r="F109" s="1" t="s">
        <v>92</v>
      </c>
      <c r="G109" s="1" t="s">
        <v>92</v>
      </c>
      <c r="H109" s="1" t="s">
        <v>288</v>
      </c>
      <c r="I109" s="1"/>
      <c r="J109" s="1" t="s">
        <v>87</v>
      </c>
      <c r="K109" s="1" t="s">
        <v>452</v>
      </c>
      <c r="L109" s="1" t="s">
        <v>452</v>
      </c>
      <c r="M109" s="1">
        <v>0</v>
      </c>
      <c r="N109" s="1">
        <v>0</v>
      </c>
      <c r="O109" s="1">
        <v>0</v>
      </c>
      <c r="P109" s="1">
        <v>0</v>
      </c>
      <c r="Q109" s="1">
        <v>0</v>
      </c>
      <c r="R109" s="1">
        <v>0</v>
      </c>
      <c r="S109" s="1"/>
      <c r="T109" s="1">
        <v>4</v>
      </c>
      <c r="U109" s="1">
        <v>0</v>
      </c>
      <c r="V109" s="1">
        <v>0</v>
      </c>
      <c r="W109" s="1">
        <v>0</v>
      </c>
      <c r="X109" s="1">
        <v>0</v>
      </c>
      <c r="Y109" s="1">
        <v>2</v>
      </c>
      <c r="Z109" s="1"/>
      <c r="AA109" s="1">
        <v>0</v>
      </c>
      <c r="AB109" s="1"/>
      <c r="AC109" s="1"/>
      <c r="AD109" s="1"/>
      <c r="AE109" s="1"/>
      <c r="AF109" s="1">
        <v>4</v>
      </c>
      <c r="AG109" s="1">
        <v>4</v>
      </c>
      <c r="AH109" s="1">
        <v>0</v>
      </c>
      <c r="AI109" s="1">
        <v>0</v>
      </c>
      <c r="AJ109" s="1">
        <v>2</v>
      </c>
      <c r="AK109" s="1" t="s">
        <v>32</v>
      </c>
      <c r="AL109" s="1" t="s">
        <v>32</v>
      </c>
      <c r="AM109" s="17">
        <v>44967</v>
      </c>
      <c r="AN109" s="18" t="s">
        <v>417</v>
      </c>
      <c r="AO109" s="18"/>
      <c r="AP109" s="140" t="s">
        <v>1131</v>
      </c>
      <c r="AQ109" s="75">
        <v>0.9</v>
      </c>
      <c r="AR109" s="10" t="s">
        <v>1203</v>
      </c>
    </row>
    <row r="110" spans="2:44" s="43" customFormat="1" ht="15" customHeight="1">
      <c r="B110" s="1">
        <f t="shared" si="1"/>
        <v>100</v>
      </c>
      <c r="C110" s="1">
        <v>1</v>
      </c>
      <c r="D110" s="1" t="s">
        <v>212</v>
      </c>
      <c r="E110" s="1" t="s">
        <v>91</v>
      </c>
      <c r="F110" s="1" t="s">
        <v>96</v>
      </c>
      <c r="G110" s="1" t="s">
        <v>96</v>
      </c>
      <c r="H110" s="1" t="s">
        <v>289</v>
      </c>
      <c r="I110" s="1"/>
      <c r="J110" s="1" t="s">
        <v>87</v>
      </c>
      <c r="K110" s="54" t="s">
        <v>1049</v>
      </c>
      <c r="L110" s="1" t="s">
        <v>452</v>
      </c>
      <c r="M110" s="1">
        <v>0</v>
      </c>
      <c r="N110" s="1">
        <v>0</v>
      </c>
      <c r="O110" s="1">
        <v>0</v>
      </c>
      <c r="P110" s="1">
        <v>0</v>
      </c>
      <c r="Q110" s="1">
        <v>0</v>
      </c>
      <c r="R110" s="1">
        <v>0</v>
      </c>
      <c r="S110" s="1"/>
      <c r="T110" s="1">
        <v>4</v>
      </c>
      <c r="U110" s="1">
        <v>0</v>
      </c>
      <c r="V110" s="1">
        <v>0</v>
      </c>
      <c r="W110" s="1">
        <v>1</v>
      </c>
      <c r="X110" s="1">
        <v>0</v>
      </c>
      <c r="Y110" s="1">
        <v>1</v>
      </c>
      <c r="Z110" s="1"/>
      <c r="AA110" s="1">
        <v>0</v>
      </c>
      <c r="AB110" s="1"/>
      <c r="AC110" s="1"/>
      <c r="AD110" s="1"/>
      <c r="AE110" s="1"/>
      <c r="AF110" s="1">
        <v>3</v>
      </c>
      <c r="AG110" s="1">
        <v>4</v>
      </c>
      <c r="AH110" s="1">
        <v>0</v>
      </c>
      <c r="AI110" s="1">
        <v>0</v>
      </c>
      <c r="AJ110" s="1">
        <v>4</v>
      </c>
      <c r="AK110" s="1" t="s">
        <v>21</v>
      </c>
      <c r="AL110" s="1" t="s">
        <v>32</v>
      </c>
      <c r="AM110" s="17" t="s">
        <v>1052</v>
      </c>
      <c r="AN110" s="18" t="s">
        <v>417</v>
      </c>
      <c r="AO110" s="140" t="s">
        <v>1051</v>
      </c>
      <c r="AP110" s="140" t="s">
        <v>1063</v>
      </c>
      <c r="AQ110" s="75">
        <v>0.9</v>
      </c>
      <c r="AR110" s="10"/>
    </row>
    <row r="111" spans="2:44" s="43" customFormat="1" ht="15" customHeight="1">
      <c r="B111" s="1">
        <f t="shared" si="1"/>
        <v>101</v>
      </c>
      <c r="C111" s="1">
        <v>1</v>
      </c>
      <c r="D111" s="1" t="s">
        <v>212</v>
      </c>
      <c r="E111" s="1" t="s">
        <v>91</v>
      </c>
      <c r="F111" s="1" t="s">
        <v>98</v>
      </c>
      <c r="G111" s="1" t="s">
        <v>98</v>
      </c>
      <c r="H111" s="1" t="s">
        <v>290</v>
      </c>
      <c r="I111" s="1"/>
      <c r="J111" s="1" t="s">
        <v>87</v>
      </c>
      <c r="K111" s="54" t="s">
        <v>1049</v>
      </c>
      <c r="L111" s="1" t="s">
        <v>452</v>
      </c>
      <c r="M111" s="1">
        <v>0</v>
      </c>
      <c r="N111" s="1">
        <v>0</v>
      </c>
      <c r="O111" s="1">
        <v>0</v>
      </c>
      <c r="P111" s="1">
        <v>0</v>
      </c>
      <c r="Q111" s="1">
        <v>0</v>
      </c>
      <c r="R111" s="1">
        <v>0</v>
      </c>
      <c r="S111" s="1"/>
      <c r="T111" s="1">
        <v>4</v>
      </c>
      <c r="U111" s="1">
        <v>0</v>
      </c>
      <c r="V111" s="1">
        <v>0</v>
      </c>
      <c r="W111" s="1">
        <v>0</v>
      </c>
      <c r="X111" s="1">
        <v>0</v>
      </c>
      <c r="Y111" s="1">
        <v>2</v>
      </c>
      <c r="Z111" s="1"/>
      <c r="AA111" s="1">
        <v>0</v>
      </c>
      <c r="AB111" s="1"/>
      <c r="AC111" s="1"/>
      <c r="AD111" s="1"/>
      <c r="AE111" s="1"/>
      <c r="AF111" s="1">
        <v>4</v>
      </c>
      <c r="AG111" s="1">
        <v>4</v>
      </c>
      <c r="AH111" s="1">
        <v>0</v>
      </c>
      <c r="AI111" s="1">
        <v>0</v>
      </c>
      <c r="AJ111" s="1">
        <v>4</v>
      </c>
      <c r="AK111" s="1" t="s">
        <v>21</v>
      </c>
      <c r="AL111" s="1" t="s">
        <v>32</v>
      </c>
      <c r="AM111" s="17">
        <v>44967</v>
      </c>
      <c r="AN111" s="18" t="s">
        <v>417</v>
      </c>
      <c r="AO111" s="140" t="s">
        <v>1051</v>
      </c>
      <c r="AP111" s="140" t="s">
        <v>1063</v>
      </c>
      <c r="AQ111" s="75">
        <v>0.9</v>
      </c>
      <c r="AR111" s="10"/>
    </row>
    <row r="112" spans="2:44" s="43" customFormat="1" ht="15" customHeight="1">
      <c r="B112" s="1">
        <f t="shared" si="1"/>
        <v>102</v>
      </c>
      <c r="C112" s="1">
        <v>1</v>
      </c>
      <c r="D112" s="1" t="s">
        <v>212</v>
      </c>
      <c r="E112" s="1" t="s">
        <v>101</v>
      </c>
      <c r="F112" s="1" t="s">
        <v>105</v>
      </c>
      <c r="G112" s="1" t="s">
        <v>102</v>
      </c>
      <c r="H112" s="1" t="s">
        <v>291</v>
      </c>
      <c r="I112" s="1"/>
      <c r="J112" s="1" t="s">
        <v>87</v>
      </c>
      <c r="K112" s="1" t="s">
        <v>452</v>
      </c>
      <c r="L112" s="1" t="s">
        <v>1049</v>
      </c>
      <c r="M112" s="1">
        <v>0</v>
      </c>
      <c r="N112" s="1">
        <v>0</v>
      </c>
      <c r="O112" s="1">
        <v>0</v>
      </c>
      <c r="P112" s="1">
        <v>0</v>
      </c>
      <c r="Q112" s="1">
        <v>0</v>
      </c>
      <c r="R112" s="1">
        <v>0</v>
      </c>
      <c r="S112" s="1">
        <v>0</v>
      </c>
      <c r="T112" s="1">
        <v>4</v>
      </c>
      <c r="U112" s="1">
        <v>0</v>
      </c>
      <c r="V112" s="1">
        <v>0</v>
      </c>
      <c r="W112" s="1">
        <v>1</v>
      </c>
      <c r="X112" s="1">
        <v>0</v>
      </c>
      <c r="Y112" s="1">
        <v>2</v>
      </c>
      <c r="Z112" s="1">
        <v>0</v>
      </c>
      <c r="AA112" s="1">
        <v>0</v>
      </c>
      <c r="AB112" s="1"/>
      <c r="AC112" s="1"/>
      <c r="AD112" s="1"/>
      <c r="AE112" s="1"/>
      <c r="AF112" s="1">
        <v>4</v>
      </c>
      <c r="AG112" s="1">
        <v>4</v>
      </c>
      <c r="AH112" s="1">
        <v>0</v>
      </c>
      <c r="AI112" s="1">
        <v>0</v>
      </c>
      <c r="AJ112" s="1">
        <v>3</v>
      </c>
      <c r="AK112" s="1" t="s">
        <v>21</v>
      </c>
      <c r="AL112" s="1" t="s">
        <v>32</v>
      </c>
      <c r="AM112" s="17">
        <v>44967</v>
      </c>
      <c r="AN112" s="18" t="s">
        <v>417</v>
      </c>
      <c r="AO112" s="18"/>
      <c r="AP112" s="140" t="s">
        <v>1132</v>
      </c>
      <c r="AQ112" s="75">
        <v>0.9</v>
      </c>
      <c r="AR112" s="10"/>
    </row>
    <row r="113" spans="2:45" s="43" customFormat="1" ht="15" customHeight="1">
      <c r="B113" s="1">
        <f t="shared" si="1"/>
        <v>103</v>
      </c>
      <c r="C113" s="1">
        <v>1</v>
      </c>
      <c r="D113" s="1" t="s">
        <v>212</v>
      </c>
      <c r="E113" s="1" t="s">
        <v>101</v>
      </c>
      <c r="F113" s="1" t="s">
        <v>105</v>
      </c>
      <c r="G113" s="1" t="s">
        <v>104</v>
      </c>
      <c r="H113" s="1" t="s">
        <v>292</v>
      </c>
      <c r="I113" s="1"/>
      <c r="J113" s="1" t="s">
        <v>87</v>
      </c>
      <c r="K113" s="1" t="s">
        <v>452</v>
      </c>
      <c r="L113" s="1" t="s">
        <v>452</v>
      </c>
      <c r="M113" s="1">
        <v>0</v>
      </c>
      <c r="N113" s="1">
        <v>0</v>
      </c>
      <c r="O113" s="1">
        <v>0</v>
      </c>
      <c r="P113" s="1">
        <v>0</v>
      </c>
      <c r="Q113" s="1">
        <v>0</v>
      </c>
      <c r="R113" s="1">
        <v>0</v>
      </c>
      <c r="S113" s="1">
        <v>0</v>
      </c>
      <c r="T113" s="1">
        <v>4</v>
      </c>
      <c r="U113" s="1">
        <v>0</v>
      </c>
      <c r="V113" s="1">
        <v>0</v>
      </c>
      <c r="W113" s="1">
        <v>1</v>
      </c>
      <c r="X113" s="1">
        <v>0</v>
      </c>
      <c r="Y113" s="1">
        <v>1</v>
      </c>
      <c r="Z113" s="1">
        <v>0</v>
      </c>
      <c r="AA113" s="1">
        <v>0</v>
      </c>
      <c r="AB113" s="1"/>
      <c r="AC113" s="1"/>
      <c r="AD113" s="1"/>
      <c r="AE113" s="1"/>
      <c r="AF113" s="1">
        <v>2</v>
      </c>
      <c r="AG113" s="1">
        <v>4</v>
      </c>
      <c r="AH113" s="1">
        <v>0</v>
      </c>
      <c r="AI113" s="1">
        <v>0</v>
      </c>
      <c r="AJ113" s="1">
        <v>2</v>
      </c>
      <c r="AK113" s="1" t="s">
        <v>21</v>
      </c>
      <c r="AL113" s="1" t="s">
        <v>32</v>
      </c>
      <c r="AM113" s="17">
        <v>44984</v>
      </c>
      <c r="AN113" s="18" t="s">
        <v>417</v>
      </c>
      <c r="AO113" s="18"/>
      <c r="AP113" s="140" t="s">
        <v>1132</v>
      </c>
      <c r="AQ113" s="75">
        <v>0.9</v>
      </c>
      <c r="AR113" s="10"/>
    </row>
    <row r="114" spans="2:45" s="43" customFormat="1">
      <c r="B114" s="1">
        <f t="shared" si="1"/>
        <v>104</v>
      </c>
      <c r="C114" s="1">
        <v>0</v>
      </c>
      <c r="D114" s="1" t="s">
        <v>212</v>
      </c>
      <c r="E114" s="1" t="s">
        <v>101</v>
      </c>
      <c r="F114" s="1" t="s">
        <v>118</v>
      </c>
      <c r="G114" s="1" t="s">
        <v>118</v>
      </c>
      <c r="H114" s="1" t="s">
        <v>293</v>
      </c>
      <c r="I114" s="1"/>
      <c r="J114" s="1" t="s">
        <v>87</v>
      </c>
      <c r="K114" s="54" t="s">
        <v>170</v>
      </c>
      <c r="L114" s="1" t="s">
        <v>452</v>
      </c>
      <c r="M114" s="1">
        <v>0</v>
      </c>
      <c r="N114" s="1">
        <v>0</v>
      </c>
      <c r="O114" s="1">
        <v>0</v>
      </c>
      <c r="P114" s="1">
        <v>0</v>
      </c>
      <c r="Q114" s="1">
        <v>0</v>
      </c>
      <c r="R114" s="1">
        <v>0</v>
      </c>
      <c r="S114" s="1">
        <v>0</v>
      </c>
      <c r="T114" s="1">
        <v>4</v>
      </c>
      <c r="U114" s="1">
        <v>0</v>
      </c>
      <c r="V114" s="1">
        <v>0</v>
      </c>
      <c r="W114" s="1">
        <v>1</v>
      </c>
      <c r="X114" s="1">
        <v>0</v>
      </c>
      <c r="Y114" s="1">
        <v>0</v>
      </c>
      <c r="Z114" s="1">
        <v>0</v>
      </c>
      <c r="AA114" s="1">
        <v>0</v>
      </c>
      <c r="AB114" s="1"/>
      <c r="AC114" s="1"/>
      <c r="AD114" s="1"/>
      <c r="AE114" s="1"/>
      <c r="AF114" s="1">
        <v>4</v>
      </c>
      <c r="AG114" s="1">
        <v>3</v>
      </c>
      <c r="AH114" s="1">
        <v>0</v>
      </c>
      <c r="AI114" s="1">
        <v>0</v>
      </c>
      <c r="AJ114" s="1">
        <v>0</v>
      </c>
      <c r="AK114" s="1" t="s">
        <v>21</v>
      </c>
      <c r="AL114" s="1" t="s">
        <v>21</v>
      </c>
      <c r="AM114" s="17"/>
      <c r="AN114" s="18"/>
      <c r="AO114" s="18"/>
      <c r="AP114" s="18"/>
      <c r="AQ114" s="18"/>
      <c r="AR114" s="10"/>
    </row>
    <row r="115" spans="2:45" s="43" customFormat="1" ht="15" customHeight="1">
      <c r="B115" s="1">
        <f t="shared" si="1"/>
        <v>105</v>
      </c>
      <c r="C115" s="1">
        <v>0</v>
      </c>
      <c r="D115" s="1" t="s">
        <v>186</v>
      </c>
      <c r="E115" s="1" t="s">
        <v>186</v>
      </c>
      <c r="F115" s="1" t="s">
        <v>46</v>
      </c>
      <c r="G115" s="1" t="s">
        <v>46</v>
      </c>
      <c r="H115" s="1" t="s">
        <v>171</v>
      </c>
      <c r="I115" s="1"/>
      <c r="J115" s="1" t="s">
        <v>87</v>
      </c>
      <c r="K115" s="1" t="s">
        <v>13</v>
      </c>
      <c r="L115" s="1" t="s">
        <v>62</v>
      </c>
      <c r="M115" s="1">
        <v>0</v>
      </c>
      <c r="N115" s="1">
        <v>0</v>
      </c>
      <c r="O115" s="1">
        <v>0</v>
      </c>
      <c r="P115" s="1">
        <v>4</v>
      </c>
      <c r="Q115" s="1">
        <v>0</v>
      </c>
      <c r="R115" s="1">
        <v>0</v>
      </c>
      <c r="S115" s="1"/>
      <c r="T115" s="1">
        <v>0</v>
      </c>
      <c r="U115" s="1">
        <v>4</v>
      </c>
      <c r="V115" s="1">
        <v>0</v>
      </c>
      <c r="W115" s="1">
        <v>0</v>
      </c>
      <c r="X115" s="1">
        <v>0</v>
      </c>
      <c r="Y115" s="1"/>
      <c r="Z115" s="1"/>
      <c r="AA115" s="1">
        <v>0</v>
      </c>
      <c r="AB115" s="1"/>
      <c r="AC115" s="1"/>
      <c r="AD115" s="1"/>
      <c r="AE115" s="1"/>
      <c r="AF115" s="1"/>
      <c r="AG115" s="1">
        <v>0</v>
      </c>
      <c r="AH115" s="1">
        <v>1</v>
      </c>
      <c r="AI115" s="1"/>
      <c r="AJ115" s="1">
        <v>0</v>
      </c>
      <c r="AK115" s="1" t="s">
        <v>21</v>
      </c>
      <c r="AL115" s="1" t="s">
        <v>21</v>
      </c>
      <c r="AM115" s="17">
        <v>43572</v>
      </c>
      <c r="AN115" s="18" t="s">
        <v>13</v>
      </c>
      <c r="AO115" s="18"/>
      <c r="AP115" s="18"/>
      <c r="AQ115" s="18"/>
      <c r="AR115" s="10" t="s">
        <v>308</v>
      </c>
    </row>
    <row r="116" spans="2:45" s="43" customFormat="1" ht="15" customHeight="1">
      <c r="B116" s="1">
        <f t="shared" si="1"/>
        <v>106</v>
      </c>
      <c r="C116" s="1">
        <v>0</v>
      </c>
      <c r="D116" s="1" t="s">
        <v>186</v>
      </c>
      <c r="E116" s="1" t="s">
        <v>186</v>
      </c>
      <c r="F116" s="1" t="s">
        <v>46</v>
      </c>
      <c r="G116" s="1" t="s">
        <v>46</v>
      </c>
      <c r="H116" s="1" t="s">
        <v>172</v>
      </c>
      <c r="I116" s="1"/>
      <c r="J116" s="1" t="s">
        <v>85</v>
      </c>
      <c r="K116" s="1" t="s">
        <v>13</v>
      </c>
      <c r="L116" s="1" t="s">
        <v>62</v>
      </c>
      <c r="M116" s="1">
        <v>0</v>
      </c>
      <c r="N116" s="1">
        <v>0</v>
      </c>
      <c r="O116" s="1">
        <v>0</v>
      </c>
      <c r="P116" s="1">
        <v>4</v>
      </c>
      <c r="Q116" s="1">
        <v>0</v>
      </c>
      <c r="R116" s="1">
        <v>0</v>
      </c>
      <c r="S116" s="1"/>
      <c r="T116" s="1">
        <v>0</v>
      </c>
      <c r="U116" s="1">
        <v>4</v>
      </c>
      <c r="V116" s="1">
        <v>0</v>
      </c>
      <c r="W116" s="1">
        <v>0</v>
      </c>
      <c r="X116" s="1">
        <v>0</v>
      </c>
      <c r="Y116" s="1"/>
      <c r="Z116" s="1"/>
      <c r="AA116" s="1">
        <v>0</v>
      </c>
      <c r="AB116" s="1"/>
      <c r="AC116" s="1"/>
      <c r="AD116" s="1"/>
      <c r="AE116" s="1"/>
      <c r="AF116" s="1"/>
      <c r="AG116" s="1">
        <v>0</v>
      </c>
      <c r="AH116" s="1">
        <v>1</v>
      </c>
      <c r="AI116" s="1"/>
      <c r="AJ116" s="1">
        <v>0</v>
      </c>
      <c r="AK116" s="1" t="s">
        <v>21</v>
      </c>
      <c r="AL116" s="1" t="s">
        <v>21</v>
      </c>
      <c r="AM116" s="17">
        <v>43572</v>
      </c>
      <c r="AN116" s="18" t="s">
        <v>13</v>
      </c>
      <c r="AO116" s="18"/>
      <c r="AP116" s="18"/>
      <c r="AQ116" s="18"/>
      <c r="AR116" s="10" t="s">
        <v>308</v>
      </c>
    </row>
    <row r="117" spans="2:45" s="43" customFormat="1" ht="15" customHeight="1">
      <c r="B117" s="1">
        <f t="shared" si="1"/>
        <v>107</v>
      </c>
      <c r="C117" s="1">
        <v>0</v>
      </c>
      <c r="D117" s="1" t="s">
        <v>10</v>
      </c>
      <c r="E117" s="1" t="s">
        <v>224</v>
      </c>
      <c r="F117" s="1" t="s">
        <v>173</v>
      </c>
      <c r="G117" s="1" t="s">
        <v>173</v>
      </c>
      <c r="H117" s="1" t="s">
        <v>174</v>
      </c>
      <c r="I117" s="1"/>
      <c r="J117" s="1" t="s">
        <v>85</v>
      </c>
      <c r="K117" s="1" t="s">
        <v>94</v>
      </c>
      <c r="L117" s="1" t="s">
        <v>13</v>
      </c>
      <c r="M117" s="1">
        <v>4</v>
      </c>
      <c r="N117" s="1">
        <v>0</v>
      </c>
      <c r="O117" s="1">
        <v>0</v>
      </c>
      <c r="P117" s="1">
        <v>3</v>
      </c>
      <c r="Q117" s="1">
        <v>4</v>
      </c>
      <c r="R117" s="1">
        <v>0</v>
      </c>
      <c r="S117" s="1"/>
      <c r="T117" s="1">
        <v>0</v>
      </c>
      <c r="U117" s="1">
        <v>0</v>
      </c>
      <c r="V117" s="1">
        <v>0</v>
      </c>
      <c r="W117" s="1">
        <v>0</v>
      </c>
      <c r="X117" s="1">
        <v>0</v>
      </c>
      <c r="Y117" s="1"/>
      <c r="Z117" s="1"/>
      <c r="AA117" s="1">
        <v>0</v>
      </c>
      <c r="AB117" s="1"/>
      <c r="AC117" s="1"/>
      <c r="AD117" s="1"/>
      <c r="AE117" s="1"/>
      <c r="AF117" s="1"/>
      <c r="AG117" s="1">
        <v>0</v>
      </c>
      <c r="AH117" s="1">
        <v>0</v>
      </c>
      <c r="AI117" s="1"/>
      <c r="AJ117" s="1">
        <v>0</v>
      </c>
      <c r="AK117" s="1" t="s">
        <v>21</v>
      </c>
      <c r="AL117" s="1" t="s">
        <v>21</v>
      </c>
      <c r="AM117" s="17">
        <v>43572</v>
      </c>
      <c r="AN117" s="18" t="s">
        <v>13</v>
      </c>
      <c r="AO117" s="18"/>
      <c r="AP117" s="18"/>
      <c r="AQ117" s="18"/>
      <c r="AR117" s="10"/>
    </row>
    <row r="118" spans="2:45" s="43" customFormat="1" ht="15" customHeight="1">
      <c r="B118" s="1">
        <f t="shared" si="1"/>
        <v>108</v>
      </c>
      <c r="C118" s="1">
        <v>0</v>
      </c>
      <c r="D118" s="1" t="s">
        <v>10</v>
      </c>
      <c r="E118" s="1" t="s">
        <v>224</v>
      </c>
      <c r="F118" s="1" t="s">
        <v>173</v>
      </c>
      <c r="G118" s="1" t="s">
        <v>173</v>
      </c>
      <c r="H118" s="1" t="s">
        <v>175</v>
      </c>
      <c r="I118" s="1"/>
      <c r="J118" s="1" t="s">
        <v>85</v>
      </c>
      <c r="K118" s="1" t="s">
        <v>94</v>
      </c>
      <c r="L118" s="1" t="s">
        <v>13</v>
      </c>
      <c r="M118" s="1">
        <v>4</v>
      </c>
      <c r="N118" s="1">
        <v>0</v>
      </c>
      <c r="O118" s="1">
        <v>0</v>
      </c>
      <c r="P118" s="1">
        <v>3</v>
      </c>
      <c r="Q118" s="1">
        <v>4</v>
      </c>
      <c r="R118" s="1">
        <v>0</v>
      </c>
      <c r="S118" s="1"/>
      <c r="T118" s="1">
        <v>0</v>
      </c>
      <c r="U118" s="1">
        <v>0</v>
      </c>
      <c r="V118" s="1">
        <v>0</v>
      </c>
      <c r="W118" s="1">
        <v>0</v>
      </c>
      <c r="X118" s="1">
        <v>0</v>
      </c>
      <c r="Y118" s="1"/>
      <c r="Z118" s="1"/>
      <c r="AA118" s="1">
        <v>0</v>
      </c>
      <c r="AB118" s="1"/>
      <c r="AC118" s="1"/>
      <c r="AD118" s="1"/>
      <c r="AE118" s="1"/>
      <c r="AF118" s="1"/>
      <c r="AG118" s="1">
        <v>0</v>
      </c>
      <c r="AH118" s="1">
        <v>0</v>
      </c>
      <c r="AI118" s="1"/>
      <c r="AJ118" s="1">
        <v>0</v>
      </c>
      <c r="AK118" s="1" t="s">
        <v>21</v>
      </c>
      <c r="AL118" s="1" t="s">
        <v>21</v>
      </c>
      <c r="AM118" s="17">
        <v>43572</v>
      </c>
      <c r="AN118" s="18" t="s">
        <v>13</v>
      </c>
      <c r="AO118" s="18"/>
      <c r="AP118" s="18"/>
      <c r="AQ118" s="18"/>
      <c r="AR118" s="10"/>
    </row>
    <row r="119" spans="2:45" s="43" customFormat="1" ht="15" customHeight="1">
      <c r="B119" s="1">
        <f t="shared" si="1"/>
        <v>109</v>
      </c>
      <c r="C119" s="1">
        <v>0</v>
      </c>
      <c r="D119" s="1" t="s">
        <v>10</v>
      </c>
      <c r="E119" s="1" t="s">
        <v>224</v>
      </c>
      <c r="F119" s="1" t="s">
        <v>173</v>
      </c>
      <c r="G119" s="1" t="s">
        <v>173</v>
      </c>
      <c r="H119" s="1" t="s">
        <v>372</v>
      </c>
      <c r="I119" s="1"/>
      <c r="J119" s="1" t="s">
        <v>85</v>
      </c>
      <c r="K119" s="1" t="s">
        <v>94</v>
      </c>
      <c r="L119" s="1" t="s">
        <v>13</v>
      </c>
      <c r="M119" s="1">
        <v>4</v>
      </c>
      <c r="N119" s="1">
        <v>0</v>
      </c>
      <c r="O119" s="1">
        <v>0</v>
      </c>
      <c r="P119" s="1">
        <v>3</v>
      </c>
      <c r="Q119" s="1">
        <v>4</v>
      </c>
      <c r="R119" s="1">
        <v>0</v>
      </c>
      <c r="S119" s="1"/>
      <c r="T119" s="1">
        <v>0</v>
      </c>
      <c r="U119" s="1">
        <v>0</v>
      </c>
      <c r="V119" s="1">
        <v>0</v>
      </c>
      <c r="W119" s="1">
        <v>0</v>
      </c>
      <c r="X119" s="1">
        <v>0</v>
      </c>
      <c r="Y119" s="1"/>
      <c r="Z119" s="1"/>
      <c r="AA119" s="1">
        <v>0</v>
      </c>
      <c r="AB119" s="1"/>
      <c r="AC119" s="1"/>
      <c r="AD119" s="1"/>
      <c r="AE119" s="1"/>
      <c r="AF119" s="1"/>
      <c r="AG119" s="1">
        <v>0</v>
      </c>
      <c r="AH119" s="1">
        <v>0</v>
      </c>
      <c r="AI119" s="1"/>
      <c r="AJ119" s="1">
        <v>0</v>
      </c>
      <c r="AK119" s="1" t="s">
        <v>21</v>
      </c>
      <c r="AL119" s="1" t="s">
        <v>21</v>
      </c>
      <c r="AM119" s="17">
        <v>43572</v>
      </c>
      <c r="AN119" s="18" t="s">
        <v>13</v>
      </c>
      <c r="AO119" s="18"/>
      <c r="AP119" s="18"/>
      <c r="AQ119" s="18"/>
      <c r="AR119" s="10"/>
    </row>
    <row r="120" spans="2:45" s="43" customFormat="1" ht="15" customHeight="1">
      <c r="B120" s="1">
        <f t="shared" si="1"/>
        <v>110</v>
      </c>
      <c r="C120" s="1">
        <v>1</v>
      </c>
      <c r="D120" s="1" t="s">
        <v>177</v>
      </c>
      <c r="E120" s="1" t="s">
        <v>224</v>
      </c>
      <c r="F120" s="1" t="s">
        <v>176</v>
      </c>
      <c r="G120" s="1" t="s">
        <v>177</v>
      </c>
      <c r="H120" s="1" t="s">
        <v>363</v>
      </c>
      <c r="I120" s="1"/>
      <c r="J120" s="1" t="s">
        <v>85</v>
      </c>
      <c r="K120" s="1" t="s">
        <v>330</v>
      </c>
      <c r="L120" s="1" t="s">
        <v>340</v>
      </c>
      <c r="M120" s="1">
        <v>4</v>
      </c>
      <c r="N120" s="1">
        <v>0</v>
      </c>
      <c r="O120" s="1">
        <v>0</v>
      </c>
      <c r="P120" s="1">
        <v>4</v>
      </c>
      <c r="Q120" s="1">
        <v>4</v>
      </c>
      <c r="R120" s="1">
        <v>0</v>
      </c>
      <c r="S120" s="1"/>
      <c r="T120" s="1">
        <v>0</v>
      </c>
      <c r="U120" s="1">
        <v>0</v>
      </c>
      <c r="V120" s="1">
        <v>0</v>
      </c>
      <c r="W120" s="1">
        <v>0</v>
      </c>
      <c r="X120" s="1">
        <v>2</v>
      </c>
      <c r="Y120" s="1"/>
      <c r="Z120" s="1">
        <v>4</v>
      </c>
      <c r="AA120" s="1">
        <v>0</v>
      </c>
      <c r="AB120" s="1"/>
      <c r="AC120" s="1"/>
      <c r="AD120" s="1"/>
      <c r="AE120" s="1">
        <v>3</v>
      </c>
      <c r="AF120" s="1"/>
      <c r="AG120" s="1">
        <v>0</v>
      </c>
      <c r="AH120" s="1">
        <v>0</v>
      </c>
      <c r="AI120" s="1">
        <v>0</v>
      </c>
      <c r="AJ120" s="1">
        <v>0</v>
      </c>
      <c r="AK120" s="1" t="s">
        <v>21</v>
      </c>
      <c r="AL120" s="1" t="s">
        <v>21</v>
      </c>
      <c r="AM120" s="17">
        <v>44854</v>
      </c>
      <c r="AN120" s="18" t="s">
        <v>408</v>
      </c>
      <c r="AO120" s="18"/>
      <c r="AP120" s="18"/>
      <c r="AQ120" s="18"/>
      <c r="AR120" s="10"/>
    </row>
    <row r="121" spans="2:45" s="43" customFormat="1" ht="15" customHeight="1">
      <c r="B121" s="1">
        <f t="shared" si="1"/>
        <v>111</v>
      </c>
      <c r="C121" s="1">
        <v>1</v>
      </c>
      <c r="D121" s="1" t="s">
        <v>177</v>
      </c>
      <c r="E121" s="1" t="s">
        <v>224</v>
      </c>
      <c r="F121" s="1" t="s">
        <v>176</v>
      </c>
      <c r="G121" s="1" t="s">
        <v>177</v>
      </c>
      <c r="H121" s="1" t="s">
        <v>182</v>
      </c>
      <c r="I121" s="1"/>
      <c r="J121" s="1" t="s">
        <v>85</v>
      </c>
      <c r="K121" s="1" t="s">
        <v>330</v>
      </c>
      <c r="L121" s="1" t="s">
        <v>340</v>
      </c>
      <c r="M121" s="1">
        <v>4</v>
      </c>
      <c r="N121" s="1">
        <v>0</v>
      </c>
      <c r="O121" s="1">
        <v>0</v>
      </c>
      <c r="P121" s="1">
        <v>4</v>
      </c>
      <c r="Q121" s="1">
        <v>4</v>
      </c>
      <c r="R121" s="1">
        <v>0</v>
      </c>
      <c r="S121" s="1"/>
      <c r="T121" s="1">
        <v>0</v>
      </c>
      <c r="U121" s="1">
        <v>0</v>
      </c>
      <c r="V121" s="1">
        <v>0</v>
      </c>
      <c r="W121" s="1">
        <v>0</v>
      </c>
      <c r="X121" s="1">
        <v>2</v>
      </c>
      <c r="Y121" s="1"/>
      <c r="Z121" s="1">
        <v>4</v>
      </c>
      <c r="AA121" s="1">
        <v>0</v>
      </c>
      <c r="AB121" s="1"/>
      <c r="AC121" s="1"/>
      <c r="AD121" s="1"/>
      <c r="AE121" s="1">
        <v>3</v>
      </c>
      <c r="AF121" s="1"/>
      <c r="AG121" s="1">
        <v>0</v>
      </c>
      <c r="AH121" s="1">
        <v>0</v>
      </c>
      <c r="AI121" s="1">
        <v>0</v>
      </c>
      <c r="AJ121" s="1">
        <v>0</v>
      </c>
      <c r="AK121" s="1" t="s">
        <v>21</v>
      </c>
      <c r="AL121" s="1" t="s">
        <v>21</v>
      </c>
      <c r="AM121" s="17">
        <v>44854</v>
      </c>
      <c r="AN121" s="18" t="s">
        <v>408</v>
      </c>
      <c r="AO121" s="18"/>
      <c r="AP121" s="18"/>
      <c r="AQ121" s="18"/>
      <c r="AR121" s="10"/>
    </row>
    <row r="122" spans="2:45" s="43" customFormat="1" ht="15" customHeight="1">
      <c r="B122" s="1">
        <f t="shared" si="1"/>
        <v>112</v>
      </c>
      <c r="C122" s="1">
        <v>1</v>
      </c>
      <c r="D122" s="1" t="s">
        <v>10</v>
      </c>
      <c r="E122" s="1" t="s">
        <v>224</v>
      </c>
      <c r="F122" s="1" t="s">
        <v>533</v>
      </c>
      <c r="G122" s="1" t="s">
        <v>533</v>
      </c>
      <c r="H122" s="1" t="s">
        <v>179</v>
      </c>
      <c r="I122" s="1"/>
      <c r="J122" s="1" t="s">
        <v>85</v>
      </c>
      <c r="K122" s="1" t="s">
        <v>330</v>
      </c>
      <c r="L122" s="1" t="s">
        <v>340</v>
      </c>
      <c r="M122" s="1">
        <v>4</v>
      </c>
      <c r="N122" s="1">
        <v>0</v>
      </c>
      <c r="O122" s="1">
        <v>0</v>
      </c>
      <c r="P122" s="1">
        <v>4</v>
      </c>
      <c r="Q122" s="1">
        <v>4</v>
      </c>
      <c r="R122" s="1">
        <v>0</v>
      </c>
      <c r="S122" s="1"/>
      <c r="T122" s="1">
        <v>0</v>
      </c>
      <c r="U122" s="1">
        <v>0</v>
      </c>
      <c r="V122" s="1">
        <v>0</v>
      </c>
      <c r="W122" s="1">
        <v>0</v>
      </c>
      <c r="X122" s="1">
        <v>2</v>
      </c>
      <c r="Y122" s="1"/>
      <c r="Z122" s="1">
        <v>4</v>
      </c>
      <c r="AA122" s="1">
        <v>0</v>
      </c>
      <c r="AB122" s="1"/>
      <c r="AC122" s="1"/>
      <c r="AD122" s="1"/>
      <c r="AE122" s="1">
        <v>3</v>
      </c>
      <c r="AF122" s="1"/>
      <c r="AG122" s="1">
        <v>0</v>
      </c>
      <c r="AH122" s="1">
        <v>0</v>
      </c>
      <c r="AI122" s="1">
        <v>0</v>
      </c>
      <c r="AJ122" s="1">
        <v>0</v>
      </c>
      <c r="AK122" s="1" t="s">
        <v>21</v>
      </c>
      <c r="AL122" s="1" t="s">
        <v>21</v>
      </c>
      <c r="AM122" s="17">
        <v>44854</v>
      </c>
      <c r="AN122" s="18" t="s">
        <v>408</v>
      </c>
      <c r="AO122" s="18"/>
      <c r="AP122" s="18"/>
      <c r="AQ122" s="18"/>
      <c r="AR122" s="10"/>
    </row>
    <row r="123" spans="2:45" s="43" customFormat="1" ht="15" customHeight="1">
      <c r="B123" s="1">
        <f t="shared" si="1"/>
        <v>113</v>
      </c>
      <c r="C123" s="1">
        <v>1</v>
      </c>
      <c r="D123" s="1" t="s">
        <v>10</v>
      </c>
      <c r="E123" s="1" t="s">
        <v>224</v>
      </c>
      <c r="F123" s="1" t="s">
        <v>533</v>
      </c>
      <c r="G123" s="1" t="s">
        <v>533</v>
      </c>
      <c r="H123" s="1" t="s">
        <v>178</v>
      </c>
      <c r="I123" s="1"/>
      <c r="J123" s="1" t="s">
        <v>87</v>
      </c>
      <c r="K123" s="1" t="s">
        <v>330</v>
      </c>
      <c r="L123" s="1" t="s">
        <v>340</v>
      </c>
      <c r="M123" s="1">
        <v>4</v>
      </c>
      <c r="N123" s="1">
        <v>0</v>
      </c>
      <c r="O123" s="1">
        <v>0</v>
      </c>
      <c r="P123" s="1">
        <v>3</v>
      </c>
      <c r="Q123" s="1">
        <v>4</v>
      </c>
      <c r="R123" s="1">
        <v>0</v>
      </c>
      <c r="S123" s="1"/>
      <c r="T123" s="1">
        <v>0</v>
      </c>
      <c r="U123" s="1">
        <v>0</v>
      </c>
      <c r="V123" s="1">
        <v>0</v>
      </c>
      <c r="W123" s="1">
        <v>0</v>
      </c>
      <c r="X123" s="1">
        <v>2</v>
      </c>
      <c r="Y123" s="1"/>
      <c r="Z123" s="1">
        <v>4</v>
      </c>
      <c r="AA123" s="1">
        <v>0</v>
      </c>
      <c r="AB123" s="1"/>
      <c r="AC123" s="1"/>
      <c r="AD123" s="1"/>
      <c r="AE123" s="1">
        <v>3</v>
      </c>
      <c r="AF123" s="1"/>
      <c r="AG123" s="1">
        <v>0</v>
      </c>
      <c r="AH123" s="1">
        <v>0</v>
      </c>
      <c r="AI123" s="1">
        <v>0</v>
      </c>
      <c r="AJ123" s="1">
        <v>0</v>
      </c>
      <c r="AK123" s="1" t="s">
        <v>21</v>
      </c>
      <c r="AL123" s="1" t="s">
        <v>21</v>
      </c>
      <c r="AM123" s="17">
        <v>44854</v>
      </c>
      <c r="AN123" s="18" t="s">
        <v>408</v>
      </c>
      <c r="AO123" s="18"/>
      <c r="AP123" s="18"/>
      <c r="AQ123" s="18"/>
      <c r="AR123" s="10"/>
    </row>
    <row r="124" spans="2:45" s="43" customFormat="1" ht="15" customHeight="1">
      <c r="B124" s="1">
        <f t="shared" si="1"/>
        <v>114</v>
      </c>
      <c r="C124" s="1">
        <v>0</v>
      </c>
      <c r="D124" s="1" t="s">
        <v>10</v>
      </c>
      <c r="E124" s="1" t="s">
        <v>224</v>
      </c>
      <c r="F124" s="1" t="s">
        <v>180</v>
      </c>
      <c r="G124" s="1" t="s">
        <v>180</v>
      </c>
      <c r="H124" s="1" t="s">
        <v>180</v>
      </c>
      <c r="I124" s="1"/>
      <c r="J124" s="1" t="s">
        <v>86</v>
      </c>
      <c r="K124" s="1" t="s">
        <v>94</v>
      </c>
      <c r="L124" s="1" t="s">
        <v>13</v>
      </c>
      <c r="M124" s="1">
        <v>4</v>
      </c>
      <c r="N124" s="1">
        <v>0</v>
      </c>
      <c r="O124" s="1">
        <v>0</v>
      </c>
      <c r="P124" s="1">
        <v>2</v>
      </c>
      <c r="Q124" s="1">
        <v>4</v>
      </c>
      <c r="R124" s="1">
        <v>0</v>
      </c>
      <c r="S124" s="1"/>
      <c r="T124" s="1">
        <v>0</v>
      </c>
      <c r="U124" s="1">
        <v>0</v>
      </c>
      <c r="V124" s="1">
        <v>0</v>
      </c>
      <c r="W124" s="1">
        <v>0</v>
      </c>
      <c r="X124" s="1">
        <v>0</v>
      </c>
      <c r="Y124" s="1"/>
      <c r="Z124" s="1"/>
      <c r="AA124" s="1">
        <v>0</v>
      </c>
      <c r="AB124" s="1"/>
      <c r="AC124" s="1"/>
      <c r="AD124" s="1"/>
      <c r="AE124" s="1"/>
      <c r="AF124" s="1"/>
      <c r="AG124" s="1">
        <v>0</v>
      </c>
      <c r="AH124" s="1">
        <v>0</v>
      </c>
      <c r="AI124" s="1"/>
      <c r="AJ124" s="1">
        <v>0</v>
      </c>
      <c r="AK124" s="1" t="s">
        <v>21</v>
      </c>
      <c r="AL124" s="1" t="s">
        <v>21</v>
      </c>
      <c r="AM124" s="17"/>
      <c r="AN124" s="18"/>
      <c r="AO124" s="18"/>
      <c r="AP124" s="18"/>
      <c r="AQ124" s="18"/>
      <c r="AR124" s="10"/>
    </row>
    <row r="125" spans="2:45" s="43" customFormat="1" ht="15" customHeight="1">
      <c r="B125" s="1">
        <f t="shared" si="1"/>
        <v>115</v>
      </c>
      <c r="C125" s="1">
        <v>0</v>
      </c>
      <c r="D125" s="1" t="s">
        <v>177</v>
      </c>
      <c r="E125" s="1" t="s">
        <v>224</v>
      </c>
      <c r="F125" s="1" t="s">
        <v>176</v>
      </c>
      <c r="G125" s="1" t="s">
        <v>176</v>
      </c>
      <c r="H125" s="1" t="s">
        <v>364</v>
      </c>
      <c r="I125" s="1"/>
      <c r="J125" s="1" t="s">
        <v>87</v>
      </c>
      <c r="K125" s="1" t="s">
        <v>330</v>
      </c>
      <c r="L125" s="1" t="s">
        <v>340</v>
      </c>
      <c r="M125" s="1">
        <v>4</v>
      </c>
      <c r="N125" s="1">
        <v>0</v>
      </c>
      <c r="O125" s="1">
        <v>0</v>
      </c>
      <c r="P125" s="1">
        <v>4</v>
      </c>
      <c r="Q125" s="1">
        <v>4</v>
      </c>
      <c r="R125" s="1">
        <v>0</v>
      </c>
      <c r="S125" s="1"/>
      <c r="T125" s="1">
        <v>0</v>
      </c>
      <c r="U125" s="1">
        <v>0</v>
      </c>
      <c r="V125" s="1">
        <v>0</v>
      </c>
      <c r="W125" s="1">
        <v>0</v>
      </c>
      <c r="X125" s="1">
        <v>2</v>
      </c>
      <c r="Y125" s="1"/>
      <c r="Z125" s="1">
        <v>3</v>
      </c>
      <c r="AA125" s="1">
        <v>0</v>
      </c>
      <c r="AB125" s="1"/>
      <c r="AC125" s="1"/>
      <c r="AD125" s="1"/>
      <c r="AE125" s="1"/>
      <c r="AF125" s="1"/>
      <c r="AG125" s="1">
        <v>0</v>
      </c>
      <c r="AH125" s="1">
        <v>0</v>
      </c>
      <c r="AI125" s="1">
        <v>0</v>
      </c>
      <c r="AJ125" s="1">
        <v>0</v>
      </c>
      <c r="AK125" s="1" t="s">
        <v>21</v>
      </c>
      <c r="AL125" s="1" t="s">
        <v>21</v>
      </c>
      <c r="AM125" s="17">
        <v>44105</v>
      </c>
      <c r="AN125" s="18" t="s">
        <v>330</v>
      </c>
      <c r="AO125" s="18"/>
      <c r="AP125" s="18"/>
      <c r="AQ125" s="18"/>
      <c r="AR125" s="10"/>
    </row>
    <row r="126" spans="2:45" s="43" customFormat="1" ht="15" customHeight="1">
      <c r="B126" s="1">
        <f t="shared" si="1"/>
        <v>116</v>
      </c>
      <c r="C126" s="1">
        <v>0</v>
      </c>
      <c r="D126" s="1" t="s">
        <v>184</v>
      </c>
      <c r="E126" s="1" t="s">
        <v>52</v>
      </c>
      <c r="F126" s="1" t="s">
        <v>46</v>
      </c>
      <c r="G126" s="1" t="s">
        <v>46</v>
      </c>
      <c r="H126" s="1" t="s">
        <v>189</v>
      </c>
      <c r="I126" s="1"/>
      <c r="J126" s="1"/>
      <c r="K126" s="1" t="s">
        <v>143</v>
      </c>
      <c r="L126" s="1" t="s">
        <v>62</v>
      </c>
      <c r="M126" s="1">
        <v>0</v>
      </c>
      <c r="N126" s="1">
        <v>0</v>
      </c>
      <c r="O126" s="1">
        <v>0</v>
      </c>
      <c r="P126" s="1">
        <v>0</v>
      </c>
      <c r="Q126" s="1">
        <v>0</v>
      </c>
      <c r="R126" s="1">
        <v>0</v>
      </c>
      <c r="S126" s="1"/>
      <c r="T126" s="1">
        <v>0</v>
      </c>
      <c r="U126" s="1">
        <v>4</v>
      </c>
      <c r="V126" s="1">
        <v>3</v>
      </c>
      <c r="W126" s="1">
        <v>0</v>
      </c>
      <c r="X126" s="1">
        <v>0</v>
      </c>
      <c r="Y126" s="1"/>
      <c r="Z126" s="1"/>
      <c r="AA126" s="1">
        <v>0</v>
      </c>
      <c r="AB126" s="1"/>
      <c r="AC126" s="1"/>
      <c r="AD126" s="1"/>
      <c r="AE126" s="1"/>
      <c r="AF126" s="1"/>
      <c r="AG126" s="1">
        <v>0</v>
      </c>
      <c r="AH126" s="1">
        <v>1</v>
      </c>
      <c r="AI126" s="1"/>
      <c r="AJ126" s="1">
        <v>0</v>
      </c>
      <c r="AK126" s="1" t="s">
        <v>32</v>
      </c>
      <c r="AL126" s="1" t="s">
        <v>32</v>
      </c>
      <c r="AM126" s="17"/>
      <c r="AN126" s="18"/>
      <c r="AO126" s="18"/>
      <c r="AP126" s="18"/>
      <c r="AQ126" s="18"/>
      <c r="AR126" s="10" t="s">
        <v>190</v>
      </c>
    </row>
    <row r="127" spans="2:45" s="43" customFormat="1" ht="15" customHeight="1">
      <c r="B127" s="1">
        <f t="shared" si="1"/>
        <v>117</v>
      </c>
      <c r="C127" s="1">
        <v>0</v>
      </c>
      <c r="D127" s="1" t="s">
        <v>220</v>
      </c>
      <c r="E127" s="1" t="s">
        <v>30</v>
      </c>
      <c r="F127" s="1" t="s">
        <v>113</v>
      </c>
      <c r="G127" s="1"/>
      <c r="H127" s="1" t="s">
        <v>201</v>
      </c>
      <c r="I127" s="1"/>
      <c r="J127" s="1" t="s">
        <v>87</v>
      </c>
      <c r="K127" s="1" t="s">
        <v>486</v>
      </c>
      <c r="L127" s="1" t="s">
        <v>62</v>
      </c>
      <c r="M127" s="1">
        <v>4</v>
      </c>
      <c r="N127" s="1">
        <v>4</v>
      </c>
      <c r="O127" s="1">
        <v>0</v>
      </c>
      <c r="P127" s="1">
        <v>0</v>
      </c>
      <c r="Q127" s="1">
        <v>0</v>
      </c>
      <c r="R127" s="1">
        <v>0</v>
      </c>
      <c r="S127" s="1"/>
      <c r="T127" s="1">
        <v>0</v>
      </c>
      <c r="U127" s="1">
        <v>4</v>
      </c>
      <c r="V127" s="1">
        <v>0</v>
      </c>
      <c r="W127" s="1">
        <v>0</v>
      </c>
      <c r="X127" s="1">
        <v>0</v>
      </c>
      <c r="Y127" s="1"/>
      <c r="Z127" s="1"/>
      <c r="AA127" s="1">
        <v>0</v>
      </c>
      <c r="AB127" s="1"/>
      <c r="AC127" s="1"/>
      <c r="AD127" s="1"/>
      <c r="AE127" s="1"/>
      <c r="AF127" s="1"/>
      <c r="AG127" s="1">
        <v>0</v>
      </c>
      <c r="AH127" s="1">
        <v>4</v>
      </c>
      <c r="AI127" s="1">
        <v>2</v>
      </c>
      <c r="AJ127" s="1">
        <v>0</v>
      </c>
      <c r="AK127" s="1" t="s">
        <v>21</v>
      </c>
      <c r="AL127" s="1" t="s">
        <v>21</v>
      </c>
      <c r="AM127" s="17"/>
      <c r="AN127" s="18"/>
      <c r="AO127" s="18"/>
      <c r="AP127" s="18"/>
      <c r="AQ127" s="18"/>
      <c r="AR127" s="10"/>
    </row>
    <row r="128" spans="2:45" s="43" customFormat="1" ht="15" customHeight="1">
      <c r="B128" s="1">
        <f t="shared" si="1"/>
        <v>118</v>
      </c>
      <c r="C128" s="1">
        <v>1</v>
      </c>
      <c r="D128" s="1" t="s">
        <v>249</v>
      </c>
      <c r="E128" s="1" t="s">
        <v>30</v>
      </c>
      <c r="F128" s="1" t="s">
        <v>43</v>
      </c>
      <c r="G128" s="1"/>
      <c r="H128" s="1" t="s">
        <v>203</v>
      </c>
      <c r="I128" s="1"/>
      <c r="J128" s="1" t="s">
        <v>85</v>
      </c>
      <c r="K128" s="1" t="s">
        <v>502</v>
      </c>
      <c r="L128" s="1" t="s">
        <v>486</v>
      </c>
      <c r="M128" s="1">
        <v>4</v>
      </c>
      <c r="N128" s="1">
        <v>4</v>
      </c>
      <c r="O128" s="1">
        <v>0</v>
      </c>
      <c r="P128" s="1">
        <v>0</v>
      </c>
      <c r="Q128" s="1">
        <v>0</v>
      </c>
      <c r="R128" s="1">
        <v>0</v>
      </c>
      <c r="S128" s="1"/>
      <c r="T128" s="1">
        <v>0</v>
      </c>
      <c r="U128" s="1">
        <v>3</v>
      </c>
      <c r="V128" s="1">
        <v>0</v>
      </c>
      <c r="W128" s="1">
        <v>0</v>
      </c>
      <c r="X128" s="1">
        <v>0</v>
      </c>
      <c r="Y128" s="1"/>
      <c r="Z128" s="1"/>
      <c r="AA128" s="1">
        <v>0</v>
      </c>
      <c r="AB128" s="1"/>
      <c r="AC128" s="1"/>
      <c r="AD128" s="1"/>
      <c r="AE128" s="1"/>
      <c r="AF128" s="1"/>
      <c r="AG128" s="1">
        <v>0</v>
      </c>
      <c r="AH128" s="1">
        <v>4</v>
      </c>
      <c r="AI128" s="1">
        <v>2</v>
      </c>
      <c r="AJ128" s="1">
        <v>0</v>
      </c>
      <c r="AK128" s="1" t="s">
        <v>21</v>
      </c>
      <c r="AL128" s="1" t="s">
        <v>21</v>
      </c>
      <c r="AM128" s="17"/>
      <c r="AN128" s="18"/>
      <c r="AO128" s="18"/>
      <c r="AP128" s="18"/>
      <c r="AQ128" s="18"/>
      <c r="AR128" s="10"/>
      <c r="AS128" s="41"/>
    </row>
    <row r="129" spans="2:45" s="43" customFormat="1" ht="15" customHeight="1">
      <c r="B129" s="1">
        <f t="shared" si="1"/>
        <v>119</v>
      </c>
      <c r="C129" s="1">
        <v>1</v>
      </c>
      <c r="D129" s="1" t="s">
        <v>221</v>
      </c>
      <c r="E129" s="1" t="s">
        <v>30</v>
      </c>
      <c r="F129" s="1" t="s">
        <v>43</v>
      </c>
      <c r="G129" s="1"/>
      <c r="H129" s="1" t="s">
        <v>204</v>
      </c>
      <c r="I129" s="1"/>
      <c r="J129" s="1" t="s">
        <v>87</v>
      </c>
      <c r="K129" s="1" t="s">
        <v>502</v>
      </c>
      <c r="L129" s="1" t="s">
        <v>486</v>
      </c>
      <c r="M129" s="1">
        <v>4</v>
      </c>
      <c r="N129" s="1">
        <v>4</v>
      </c>
      <c r="O129" s="1">
        <v>0</v>
      </c>
      <c r="P129" s="1">
        <v>0</v>
      </c>
      <c r="Q129" s="1">
        <v>0</v>
      </c>
      <c r="R129" s="1">
        <v>0</v>
      </c>
      <c r="S129" s="1"/>
      <c r="T129" s="1">
        <v>0</v>
      </c>
      <c r="U129" s="1">
        <v>4</v>
      </c>
      <c r="V129" s="1">
        <v>0</v>
      </c>
      <c r="W129" s="1">
        <v>0</v>
      </c>
      <c r="X129" s="1">
        <v>0</v>
      </c>
      <c r="Y129" s="1"/>
      <c r="Z129" s="1"/>
      <c r="AA129" s="1">
        <v>0</v>
      </c>
      <c r="AB129" s="1"/>
      <c r="AC129" s="1"/>
      <c r="AD129" s="1"/>
      <c r="AE129" s="1"/>
      <c r="AF129" s="1"/>
      <c r="AG129" s="1">
        <v>0</v>
      </c>
      <c r="AH129" s="1">
        <v>4</v>
      </c>
      <c r="AI129" s="1">
        <v>4</v>
      </c>
      <c r="AJ129" s="1">
        <v>0</v>
      </c>
      <c r="AK129" s="1" t="s">
        <v>21</v>
      </c>
      <c r="AL129" s="1" t="s">
        <v>21</v>
      </c>
      <c r="AM129" s="17">
        <v>44594</v>
      </c>
      <c r="AN129" s="18" t="s">
        <v>486</v>
      </c>
      <c r="AO129" s="18"/>
      <c r="AP129" s="18"/>
      <c r="AQ129" s="18"/>
      <c r="AR129" s="10"/>
      <c r="AS129" s="41"/>
    </row>
    <row r="130" spans="2:45" s="43" customFormat="1" ht="15" customHeight="1">
      <c r="B130" s="1">
        <f t="shared" si="1"/>
        <v>120</v>
      </c>
      <c r="C130" s="1">
        <v>0</v>
      </c>
      <c r="D130" s="1" t="s">
        <v>218</v>
      </c>
      <c r="E130" s="1" t="s">
        <v>30</v>
      </c>
      <c r="F130" s="1" t="s">
        <v>43</v>
      </c>
      <c r="G130" s="1"/>
      <c r="H130" s="1" t="s">
        <v>205</v>
      </c>
      <c r="I130" s="1"/>
      <c r="J130" s="1" t="s">
        <v>87</v>
      </c>
      <c r="K130" s="1" t="s">
        <v>11</v>
      </c>
      <c r="L130" s="1" t="s">
        <v>62</v>
      </c>
      <c r="M130" s="1">
        <v>4</v>
      </c>
      <c r="N130" s="1">
        <v>4</v>
      </c>
      <c r="O130" s="1">
        <v>0</v>
      </c>
      <c r="P130" s="1">
        <v>0</v>
      </c>
      <c r="Q130" s="1">
        <v>0</v>
      </c>
      <c r="R130" s="1">
        <v>0</v>
      </c>
      <c r="S130" s="1"/>
      <c r="T130" s="1">
        <v>0</v>
      </c>
      <c r="U130" s="1">
        <v>3</v>
      </c>
      <c r="V130" s="1">
        <v>0</v>
      </c>
      <c r="W130" s="1">
        <v>0</v>
      </c>
      <c r="X130" s="1">
        <v>0</v>
      </c>
      <c r="Y130" s="1"/>
      <c r="Z130" s="1"/>
      <c r="AA130" s="1">
        <v>0</v>
      </c>
      <c r="AB130" s="1"/>
      <c r="AC130" s="1"/>
      <c r="AD130" s="1"/>
      <c r="AE130" s="1"/>
      <c r="AF130" s="1"/>
      <c r="AG130" s="1">
        <v>0</v>
      </c>
      <c r="AH130" s="1">
        <v>2</v>
      </c>
      <c r="AI130" s="1"/>
      <c r="AJ130" s="1">
        <v>0</v>
      </c>
      <c r="AK130" s="1" t="s">
        <v>21</v>
      </c>
      <c r="AL130" s="1" t="s">
        <v>21</v>
      </c>
      <c r="AM130" s="17"/>
      <c r="AN130" s="18"/>
      <c r="AO130" s="18"/>
      <c r="AP130" s="18"/>
      <c r="AQ130" s="18"/>
      <c r="AR130" s="10"/>
      <c r="AS130" s="41"/>
    </row>
    <row r="131" spans="2:45" s="43" customFormat="1" ht="15" customHeight="1">
      <c r="B131" s="1">
        <f t="shared" si="1"/>
        <v>121</v>
      </c>
      <c r="C131" s="1">
        <v>0</v>
      </c>
      <c r="D131" s="1" t="s">
        <v>220</v>
      </c>
      <c r="E131" s="1" t="s">
        <v>191</v>
      </c>
      <c r="F131" s="1" t="s">
        <v>113</v>
      </c>
      <c r="G131" s="1"/>
      <c r="H131" s="1" t="s">
        <v>206</v>
      </c>
      <c r="I131" s="1"/>
      <c r="J131" s="1" t="s">
        <v>85</v>
      </c>
      <c r="K131" s="1" t="s">
        <v>486</v>
      </c>
      <c r="L131" s="1" t="s">
        <v>62</v>
      </c>
      <c r="M131" s="1">
        <v>4</v>
      </c>
      <c r="N131" s="1">
        <v>4</v>
      </c>
      <c r="O131" s="1">
        <v>0</v>
      </c>
      <c r="P131" s="1">
        <v>0</v>
      </c>
      <c r="Q131" s="1">
        <v>0</v>
      </c>
      <c r="R131" s="1">
        <v>0</v>
      </c>
      <c r="S131" s="1"/>
      <c r="T131" s="1">
        <v>0</v>
      </c>
      <c r="U131" s="1">
        <v>4</v>
      </c>
      <c r="V131" s="1">
        <v>0</v>
      </c>
      <c r="W131" s="1">
        <v>0</v>
      </c>
      <c r="X131" s="1">
        <v>0</v>
      </c>
      <c r="Y131" s="1"/>
      <c r="Z131" s="1"/>
      <c r="AA131" s="1">
        <v>0</v>
      </c>
      <c r="AB131" s="1"/>
      <c r="AC131" s="1"/>
      <c r="AD131" s="1"/>
      <c r="AE131" s="1"/>
      <c r="AF131" s="1"/>
      <c r="AG131" s="1">
        <v>0</v>
      </c>
      <c r="AH131" s="1">
        <v>0</v>
      </c>
      <c r="AI131" s="1">
        <v>0</v>
      </c>
      <c r="AJ131" s="1">
        <v>0</v>
      </c>
      <c r="AK131" s="1" t="s">
        <v>21</v>
      </c>
      <c r="AL131" s="1" t="s">
        <v>21</v>
      </c>
      <c r="AM131" s="17"/>
      <c r="AN131" s="18"/>
      <c r="AO131" s="18"/>
      <c r="AP131" s="18"/>
      <c r="AQ131" s="18"/>
      <c r="AR131" s="10"/>
      <c r="AS131" s="41"/>
    </row>
    <row r="132" spans="2:45" s="43" customFormat="1" ht="15" customHeight="1">
      <c r="B132" s="1">
        <f t="shared" si="1"/>
        <v>122</v>
      </c>
      <c r="C132" s="1">
        <v>0</v>
      </c>
      <c r="D132" s="1" t="s">
        <v>222</v>
      </c>
      <c r="E132" s="1" t="s">
        <v>196</v>
      </c>
      <c r="F132" s="1" t="s">
        <v>207</v>
      </c>
      <c r="G132" s="1"/>
      <c r="H132" s="1" t="s">
        <v>208</v>
      </c>
      <c r="I132" s="1"/>
      <c r="J132" s="1" t="s">
        <v>85</v>
      </c>
      <c r="K132" s="1" t="s">
        <v>11</v>
      </c>
      <c r="L132" s="1" t="s">
        <v>62</v>
      </c>
      <c r="M132" s="1">
        <v>4</v>
      </c>
      <c r="N132" s="1">
        <v>4</v>
      </c>
      <c r="O132" s="1">
        <v>0</v>
      </c>
      <c r="P132" s="1">
        <v>0</v>
      </c>
      <c r="Q132" s="1">
        <v>4</v>
      </c>
      <c r="R132" s="1">
        <v>0</v>
      </c>
      <c r="S132" s="1"/>
      <c r="T132" s="1">
        <v>0</v>
      </c>
      <c r="U132" s="1">
        <v>3</v>
      </c>
      <c r="V132" s="1">
        <v>3</v>
      </c>
      <c r="W132" s="1">
        <v>0</v>
      </c>
      <c r="X132" s="1">
        <v>0</v>
      </c>
      <c r="Y132" s="1"/>
      <c r="Z132" s="1"/>
      <c r="AA132" s="1">
        <v>0</v>
      </c>
      <c r="AB132" s="1"/>
      <c r="AC132" s="1"/>
      <c r="AD132" s="1"/>
      <c r="AE132" s="1"/>
      <c r="AF132" s="1"/>
      <c r="AG132" s="1">
        <v>0</v>
      </c>
      <c r="AH132" s="1">
        <v>0</v>
      </c>
      <c r="AI132" s="1"/>
      <c r="AJ132" s="1">
        <v>0</v>
      </c>
      <c r="AK132" s="1" t="s">
        <v>21</v>
      </c>
      <c r="AL132" s="1" t="s">
        <v>21</v>
      </c>
      <c r="AM132" s="17"/>
      <c r="AN132" s="18"/>
      <c r="AO132" s="18"/>
      <c r="AP132" s="18"/>
      <c r="AQ132" s="18"/>
      <c r="AR132" s="10"/>
      <c r="AS132" s="41"/>
    </row>
    <row r="133" spans="2:45" s="43" customFormat="1" ht="15" customHeight="1">
      <c r="B133" s="1">
        <f t="shared" si="1"/>
        <v>123</v>
      </c>
      <c r="C133" s="1">
        <v>0</v>
      </c>
      <c r="D133" s="1" t="s">
        <v>220</v>
      </c>
      <c r="E133" s="1" t="s">
        <v>196</v>
      </c>
      <c r="F133" s="1" t="s">
        <v>113</v>
      </c>
      <c r="G133" s="1"/>
      <c r="H133" s="1" t="s">
        <v>209</v>
      </c>
      <c r="I133" s="1"/>
      <c r="J133" s="1" t="s">
        <v>87</v>
      </c>
      <c r="K133" s="1" t="s">
        <v>486</v>
      </c>
      <c r="L133" s="1" t="s">
        <v>62</v>
      </c>
      <c r="M133" s="1">
        <v>4</v>
      </c>
      <c r="N133" s="1">
        <v>4</v>
      </c>
      <c r="O133" s="1">
        <v>0</v>
      </c>
      <c r="P133" s="1">
        <v>0</v>
      </c>
      <c r="Q133" s="1">
        <v>0</v>
      </c>
      <c r="R133" s="1">
        <v>0</v>
      </c>
      <c r="S133" s="1"/>
      <c r="T133" s="1">
        <v>0</v>
      </c>
      <c r="U133" s="1">
        <v>3</v>
      </c>
      <c r="V133" s="1">
        <v>0</v>
      </c>
      <c r="W133" s="1">
        <v>0</v>
      </c>
      <c r="X133" s="1">
        <v>0</v>
      </c>
      <c r="Y133" s="1"/>
      <c r="Z133" s="1"/>
      <c r="AA133" s="1">
        <v>0</v>
      </c>
      <c r="AB133" s="1"/>
      <c r="AC133" s="1"/>
      <c r="AD133" s="1"/>
      <c r="AE133" s="1"/>
      <c r="AF133" s="1"/>
      <c r="AG133" s="1">
        <v>0</v>
      </c>
      <c r="AH133" s="1">
        <v>0</v>
      </c>
      <c r="AI133" s="1"/>
      <c r="AJ133" s="1">
        <v>0</v>
      </c>
      <c r="AK133" s="1" t="s">
        <v>21</v>
      </c>
      <c r="AL133" s="1" t="s">
        <v>21</v>
      </c>
      <c r="AM133" s="17"/>
      <c r="AN133" s="18"/>
      <c r="AO133" s="18"/>
      <c r="AP133" s="18"/>
      <c r="AQ133" s="18"/>
      <c r="AR133" s="10"/>
      <c r="AS133" s="41"/>
    </row>
    <row r="134" spans="2:45" s="43" customFormat="1" ht="15" customHeight="1">
      <c r="B134" s="1">
        <f t="shared" si="1"/>
        <v>124</v>
      </c>
      <c r="C134" s="1">
        <v>0</v>
      </c>
      <c r="D134" s="1" t="s">
        <v>220</v>
      </c>
      <c r="E134" s="1" t="s">
        <v>202</v>
      </c>
      <c r="F134" s="1" t="s">
        <v>113</v>
      </c>
      <c r="G134" s="1"/>
      <c r="H134" s="1" t="s">
        <v>210</v>
      </c>
      <c r="I134" s="1"/>
      <c r="J134" s="1" t="s">
        <v>87</v>
      </c>
      <c r="K134" s="1" t="s">
        <v>486</v>
      </c>
      <c r="L134" s="1" t="s">
        <v>62</v>
      </c>
      <c r="M134" s="1">
        <v>4</v>
      </c>
      <c r="N134" s="1">
        <v>4</v>
      </c>
      <c r="O134" s="1">
        <v>0</v>
      </c>
      <c r="P134" s="1">
        <v>0</v>
      </c>
      <c r="Q134" s="1">
        <v>0</v>
      </c>
      <c r="R134" s="1">
        <v>0</v>
      </c>
      <c r="S134" s="1"/>
      <c r="T134" s="1">
        <v>0</v>
      </c>
      <c r="U134" s="1">
        <v>3</v>
      </c>
      <c r="V134" s="1">
        <v>0</v>
      </c>
      <c r="W134" s="1">
        <v>0</v>
      </c>
      <c r="X134" s="1">
        <v>0</v>
      </c>
      <c r="Y134" s="1"/>
      <c r="Z134" s="1"/>
      <c r="AA134" s="1">
        <v>0</v>
      </c>
      <c r="AB134" s="1"/>
      <c r="AC134" s="1"/>
      <c r="AD134" s="1"/>
      <c r="AE134" s="1"/>
      <c r="AF134" s="1"/>
      <c r="AG134" s="1">
        <v>0</v>
      </c>
      <c r="AH134" s="1">
        <v>0</v>
      </c>
      <c r="AI134" s="1"/>
      <c r="AJ134" s="1">
        <v>0</v>
      </c>
      <c r="AK134" s="1" t="s">
        <v>21</v>
      </c>
      <c r="AL134" s="1" t="s">
        <v>21</v>
      </c>
      <c r="AM134" s="17"/>
      <c r="AN134" s="18"/>
      <c r="AO134" s="18"/>
      <c r="AP134" s="18"/>
      <c r="AQ134" s="18"/>
      <c r="AR134" s="10"/>
      <c r="AS134" s="41"/>
    </row>
    <row r="135" spans="2:45" s="43" customFormat="1" ht="15" customHeight="1">
      <c r="B135" s="1">
        <f t="shared" si="1"/>
        <v>125</v>
      </c>
      <c r="C135" s="1">
        <v>0</v>
      </c>
      <c r="D135" s="1" t="s">
        <v>220</v>
      </c>
      <c r="E135" s="1" t="s">
        <v>30</v>
      </c>
      <c r="F135" s="1" t="s">
        <v>113</v>
      </c>
      <c r="G135" s="1"/>
      <c r="H135" s="1" t="s">
        <v>211</v>
      </c>
      <c r="I135" s="1"/>
      <c r="J135" s="1" t="s">
        <v>87</v>
      </c>
      <c r="K135" s="1" t="s">
        <v>486</v>
      </c>
      <c r="L135" s="1" t="s">
        <v>62</v>
      </c>
      <c r="M135" s="1">
        <v>4</v>
      </c>
      <c r="N135" s="1">
        <v>4</v>
      </c>
      <c r="O135" s="1">
        <v>0</v>
      </c>
      <c r="P135" s="1">
        <v>0</v>
      </c>
      <c r="Q135" s="1">
        <v>0</v>
      </c>
      <c r="R135" s="1">
        <v>0</v>
      </c>
      <c r="S135" s="1"/>
      <c r="T135" s="1">
        <v>0</v>
      </c>
      <c r="U135" s="1">
        <v>3</v>
      </c>
      <c r="V135" s="1">
        <v>0</v>
      </c>
      <c r="W135" s="1">
        <v>0</v>
      </c>
      <c r="X135" s="1">
        <v>0</v>
      </c>
      <c r="Y135" s="1"/>
      <c r="Z135" s="1"/>
      <c r="AA135" s="1">
        <v>0</v>
      </c>
      <c r="AB135" s="1"/>
      <c r="AC135" s="1"/>
      <c r="AD135" s="1"/>
      <c r="AE135" s="1"/>
      <c r="AF135" s="1"/>
      <c r="AG135" s="1">
        <v>0</v>
      </c>
      <c r="AH135" s="1">
        <v>0</v>
      </c>
      <c r="AI135" s="1"/>
      <c r="AJ135" s="1">
        <v>0</v>
      </c>
      <c r="AK135" s="1" t="s">
        <v>21</v>
      </c>
      <c r="AL135" s="1" t="s">
        <v>21</v>
      </c>
      <c r="AM135" s="17"/>
      <c r="AN135" s="18"/>
      <c r="AO135" s="18"/>
      <c r="AP135" s="18"/>
      <c r="AQ135" s="18"/>
      <c r="AR135" s="10"/>
      <c r="AS135" s="41"/>
    </row>
    <row r="136" spans="2:45" s="43" customFormat="1" ht="15" customHeight="1">
      <c r="B136" s="1">
        <f t="shared" si="1"/>
        <v>126</v>
      </c>
      <c r="C136" s="1">
        <v>1</v>
      </c>
      <c r="D136" s="1" t="s">
        <v>212</v>
      </c>
      <c r="E136" s="1" t="s">
        <v>101</v>
      </c>
      <c r="F136" s="1" t="s">
        <v>105</v>
      </c>
      <c r="G136" s="1" t="s">
        <v>102</v>
      </c>
      <c r="H136" s="1" t="s">
        <v>213</v>
      </c>
      <c r="I136" s="1"/>
      <c r="J136" s="1" t="s">
        <v>85</v>
      </c>
      <c r="K136" s="1" t="s">
        <v>452</v>
      </c>
      <c r="L136" s="1" t="s">
        <v>1049</v>
      </c>
      <c r="M136" s="1">
        <v>0</v>
      </c>
      <c r="N136" s="1">
        <v>0</v>
      </c>
      <c r="O136" s="1">
        <v>0</v>
      </c>
      <c r="P136" s="1">
        <v>0</v>
      </c>
      <c r="Q136" s="1">
        <v>0</v>
      </c>
      <c r="R136" s="1">
        <v>0</v>
      </c>
      <c r="S136" s="1">
        <v>0</v>
      </c>
      <c r="T136" s="1">
        <v>4</v>
      </c>
      <c r="U136" s="1">
        <v>0</v>
      </c>
      <c r="V136" s="1">
        <v>0</v>
      </c>
      <c r="W136" s="1">
        <v>2</v>
      </c>
      <c r="X136" s="1">
        <v>0</v>
      </c>
      <c r="Y136" s="1">
        <v>2</v>
      </c>
      <c r="Z136" s="1">
        <v>0</v>
      </c>
      <c r="AA136" s="1">
        <v>0</v>
      </c>
      <c r="AB136" s="1"/>
      <c r="AC136" s="1"/>
      <c r="AD136" s="1"/>
      <c r="AE136" s="1"/>
      <c r="AF136" s="1">
        <v>4</v>
      </c>
      <c r="AG136" s="1">
        <v>4</v>
      </c>
      <c r="AH136" s="1">
        <v>0</v>
      </c>
      <c r="AI136" s="1">
        <v>0</v>
      </c>
      <c r="AJ136" s="1">
        <v>3</v>
      </c>
      <c r="AK136" s="1" t="s">
        <v>21</v>
      </c>
      <c r="AL136" s="1" t="s">
        <v>21</v>
      </c>
      <c r="AM136" s="17">
        <v>44967</v>
      </c>
      <c r="AN136" s="18" t="s">
        <v>417</v>
      </c>
      <c r="AO136" s="140" t="s">
        <v>1128</v>
      </c>
      <c r="AP136" s="140" t="s">
        <v>1129</v>
      </c>
      <c r="AQ136" s="75">
        <v>0.9</v>
      </c>
      <c r="AR136" s="10"/>
      <c r="AS136" s="41"/>
    </row>
    <row r="137" spans="2:45" s="43" customFormat="1">
      <c r="B137" s="1">
        <f t="shared" si="1"/>
        <v>127</v>
      </c>
      <c r="C137" s="1">
        <v>0</v>
      </c>
      <c r="D137" s="1" t="s">
        <v>212</v>
      </c>
      <c r="E137" s="1" t="s">
        <v>101</v>
      </c>
      <c r="F137" s="1" t="s">
        <v>118</v>
      </c>
      <c r="G137" s="1" t="s">
        <v>118</v>
      </c>
      <c r="H137" s="1" t="s">
        <v>214</v>
      </c>
      <c r="I137" s="1"/>
      <c r="J137" s="1" t="s">
        <v>85</v>
      </c>
      <c r="K137" s="1" t="s">
        <v>61</v>
      </c>
      <c r="L137" s="1" t="s">
        <v>170</v>
      </c>
      <c r="M137" s="1">
        <v>0</v>
      </c>
      <c r="N137" s="1">
        <v>0</v>
      </c>
      <c r="O137" s="1">
        <v>0</v>
      </c>
      <c r="P137" s="1">
        <v>0</v>
      </c>
      <c r="Q137" s="1">
        <v>0</v>
      </c>
      <c r="R137" s="1">
        <v>0</v>
      </c>
      <c r="S137" s="1"/>
      <c r="T137" s="1">
        <v>4</v>
      </c>
      <c r="U137" s="1">
        <v>0</v>
      </c>
      <c r="V137" s="1">
        <v>0</v>
      </c>
      <c r="W137" s="1">
        <v>2</v>
      </c>
      <c r="X137" s="1">
        <v>0</v>
      </c>
      <c r="Y137" s="1"/>
      <c r="Z137" s="1"/>
      <c r="AA137" s="1">
        <v>0</v>
      </c>
      <c r="AB137" s="1"/>
      <c r="AC137" s="1"/>
      <c r="AD137" s="1"/>
      <c r="AE137" s="1"/>
      <c r="AF137" s="1"/>
      <c r="AG137" s="1">
        <v>1</v>
      </c>
      <c r="AH137" s="1">
        <v>0</v>
      </c>
      <c r="AI137" s="1"/>
      <c r="AJ137" s="1">
        <v>0</v>
      </c>
      <c r="AK137" s="1" t="s">
        <v>32</v>
      </c>
      <c r="AL137" s="1" t="s">
        <v>32</v>
      </c>
      <c r="AM137" s="17"/>
      <c r="AN137" s="18"/>
      <c r="AO137" s="18"/>
      <c r="AP137" s="18"/>
      <c r="AQ137" s="18"/>
      <c r="AR137" s="10"/>
      <c r="AS137" s="41"/>
    </row>
    <row r="138" spans="2:45" s="43" customFormat="1" ht="15" customHeight="1">
      <c r="B138" s="1">
        <f t="shared" si="1"/>
        <v>128</v>
      </c>
      <c r="C138" s="1">
        <v>0</v>
      </c>
      <c r="D138" s="1" t="s">
        <v>212</v>
      </c>
      <c r="E138" s="1" t="s">
        <v>101</v>
      </c>
      <c r="F138" s="1" t="s">
        <v>105</v>
      </c>
      <c r="G138" s="1" t="s">
        <v>102</v>
      </c>
      <c r="H138" s="1" t="s">
        <v>215</v>
      </c>
      <c r="I138" s="1"/>
      <c r="J138" s="1" t="s">
        <v>85</v>
      </c>
      <c r="K138" s="1" t="s">
        <v>452</v>
      </c>
      <c r="L138" s="1" t="s">
        <v>170</v>
      </c>
      <c r="M138" s="1">
        <v>0</v>
      </c>
      <c r="N138" s="1">
        <v>0</v>
      </c>
      <c r="O138" s="1">
        <v>0</v>
      </c>
      <c r="P138" s="1">
        <v>0</v>
      </c>
      <c r="Q138" s="1">
        <v>0</v>
      </c>
      <c r="R138" s="1">
        <v>0</v>
      </c>
      <c r="S138" s="1"/>
      <c r="T138" s="1">
        <v>4</v>
      </c>
      <c r="U138" s="1">
        <v>0</v>
      </c>
      <c r="V138" s="1">
        <v>0</v>
      </c>
      <c r="W138" s="1">
        <v>2</v>
      </c>
      <c r="X138" s="1">
        <v>0</v>
      </c>
      <c r="Y138" s="1"/>
      <c r="Z138" s="1"/>
      <c r="AA138" s="1">
        <v>0</v>
      </c>
      <c r="AB138" s="1"/>
      <c r="AC138" s="1"/>
      <c r="AD138" s="1"/>
      <c r="AE138" s="1"/>
      <c r="AF138" s="1"/>
      <c r="AG138" s="1">
        <v>4</v>
      </c>
      <c r="AH138" s="1">
        <v>0</v>
      </c>
      <c r="AI138" s="1"/>
      <c r="AJ138" s="1">
        <v>0</v>
      </c>
      <c r="AK138" s="1" t="s">
        <v>21</v>
      </c>
      <c r="AL138" s="1" t="s">
        <v>21</v>
      </c>
      <c r="AM138" s="17"/>
      <c r="AN138" s="18"/>
      <c r="AO138" s="18"/>
      <c r="AP138" s="18"/>
      <c r="AQ138" s="18"/>
      <c r="AR138" s="10"/>
      <c r="AS138" s="41"/>
    </row>
    <row r="139" spans="2:45" s="43" customFormat="1" ht="15" customHeight="1">
      <c r="B139" s="1">
        <f t="shared" si="1"/>
        <v>129</v>
      </c>
      <c r="C139" s="1">
        <v>1</v>
      </c>
      <c r="D139" s="1" t="s">
        <v>185</v>
      </c>
      <c r="E139" s="1" t="s">
        <v>30</v>
      </c>
      <c r="F139" s="1" t="s">
        <v>113</v>
      </c>
      <c r="G139" s="1"/>
      <c r="H139" s="1" t="s">
        <v>216</v>
      </c>
      <c r="I139" s="1"/>
      <c r="J139" s="1" t="s">
        <v>86</v>
      </c>
      <c r="K139" s="1" t="s">
        <v>62</v>
      </c>
      <c r="L139" s="1" t="s">
        <v>11</v>
      </c>
      <c r="M139" s="1">
        <v>4</v>
      </c>
      <c r="N139" s="1">
        <v>4</v>
      </c>
      <c r="O139" s="1">
        <v>0</v>
      </c>
      <c r="P139" s="1">
        <v>0</v>
      </c>
      <c r="Q139" s="1">
        <v>4</v>
      </c>
      <c r="R139" s="1">
        <v>0</v>
      </c>
      <c r="S139" s="1"/>
      <c r="T139" s="1">
        <v>0</v>
      </c>
      <c r="U139" s="1">
        <v>4</v>
      </c>
      <c r="V139" s="1">
        <v>0</v>
      </c>
      <c r="W139" s="1">
        <v>0</v>
      </c>
      <c r="X139" s="1">
        <v>0</v>
      </c>
      <c r="Y139" s="1"/>
      <c r="Z139" s="1"/>
      <c r="AA139" s="1">
        <v>0</v>
      </c>
      <c r="AB139" s="1"/>
      <c r="AC139" s="1"/>
      <c r="AD139" s="1"/>
      <c r="AE139" s="1"/>
      <c r="AF139" s="1"/>
      <c r="AG139" s="1">
        <v>0</v>
      </c>
      <c r="AH139" s="1">
        <v>2</v>
      </c>
      <c r="AI139" s="1">
        <v>1</v>
      </c>
      <c r="AJ139" s="1">
        <v>0</v>
      </c>
      <c r="AK139" s="1" t="s">
        <v>21</v>
      </c>
      <c r="AL139" s="1" t="s">
        <v>21</v>
      </c>
      <c r="AM139" s="17">
        <v>44594</v>
      </c>
      <c r="AN139" s="18" t="s">
        <v>486</v>
      </c>
      <c r="AO139" s="18"/>
      <c r="AP139" s="18"/>
      <c r="AQ139" s="18"/>
      <c r="AR139" s="10"/>
      <c r="AS139" s="41"/>
    </row>
    <row r="140" spans="2:45" s="43" customFormat="1" ht="15" customHeight="1">
      <c r="B140" s="1">
        <f t="shared" ref="B140:B203" si="2">B139+1</f>
        <v>130</v>
      </c>
      <c r="C140" s="1">
        <v>1</v>
      </c>
      <c r="D140" s="54" t="s">
        <v>386</v>
      </c>
      <c r="E140" s="1" t="s">
        <v>294</v>
      </c>
      <c r="F140" s="1" t="s">
        <v>57</v>
      </c>
      <c r="G140" s="1"/>
      <c r="H140" s="54" t="s">
        <v>217</v>
      </c>
      <c r="I140" s="54"/>
      <c r="J140" s="1" t="s">
        <v>89</v>
      </c>
      <c r="K140" s="1" t="s">
        <v>12</v>
      </c>
      <c r="L140" s="1" t="s">
        <v>453</v>
      </c>
      <c r="M140" s="1">
        <v>0</v>
      </c>
      <c r="N140" s="1">
        <v>0</v>
      </c>
      <c r="O140" s="1">
        <v>4</v>
      </c>
      <c r="P140" s="1">
        <v>0</v>
      </c>
      <c r="Q140" s="1">
        <v>0</v>
      </c>
      <c r="R140" s="1">
        <v>0</v>
      </c>
      <c r="S140" s="1">
        <v>0</v>
      </c>
      <c r="T140" s="1">
        <v>0</v>
      </c>
      <c r="U140" s="1">
        <v>0</v>
      </c>
      <c r="V140" s="1">
        <v>0</v>
      </c>
      <c r="W140" s="1">
        <v>0</v>
      </c>
      <c r="X140" s="1">
        <v>0</v>
      </c>
      <c r="Y140" s="1">
        <v>0</v>
      </c>
      <c r="Z140" s="1">
        <v>0</v>
      </c>
      <c r="AA140" s="1">
        <v>0</v>
      </c>
      <c r="AB140" s="1">
        <v>4</v>
      </c>
      <c r="AC140" s="1">
        <v>0</v>
      </c>
      <c r="AD140" s="1">
        <v>0</v>
      </c>
      <c r="AE140" s="1">
        <v>0</v>
      </c>
      <c r="AF140" s="1">
        <v>0</v>
      </c>
      <c r="AG140" s="1">
        <v>0</v>
      </c>
      <c r="AH140" s="1">
        <v>0</v>
      </c>
      <c r="AI140" s="1">
        <v>0</v>
      </c>
      <c r="AJ140" s="1">
        <v>0</v>
      </c>
      <c r="AK140" s="1" t="s">
        <v>21</v>
      </c>
      <c r="AL140" s="1" t="s">
        <v>32</v>
      </c>
      <c r="AM140" s="17"/>
      <c r="AN140" s="18"/>
      <c r="AO140" s="18"/>
      <c r="AP140" s="18"/>
      <c r="AQ140" s="145">
        <v>0.5</v>
      </c>
      <c r="AR140" s="10"/>
      <c r="AS140" s="41"/>
    </row>
    <row r="141" spans="2:45" s="43" customFormat="1" ht="15" customHeight="1">
      <c r="B141" s="1">
        <f t="shared" si="2"/>
        <v>131</v>
      </c>
      <c r="C141" s="1">
        <v>1</v>
      </c>
      <c r="D141" s="1" t="s">
        <v>212</v>
      </c>
      <c r="E141" s="1" t="s">
        <v>91</v>
      </c>
      <c r="F141" s="1" t="s">
        <v>96</v>
      </c>
      <c r="G141" s="1" t="s">
        <v>96</v>
      </c>
      <c r="H141" s="1" t="s">
        <v>225</v>
      </c>
      <c r="I141" s="1"/>
      <c r="J141" s="1" t="s">
        <v>86</v>
      </c>
      <c r="K141" s="54" t="s">
        <v>452</v>
      </c>
      <c r="L141" s="1" t="s">
        <v>1049</v>
      </c>
      <c r="M141" s="1">
        <v>0</v>
      </c>
      <c r="N141" s="1">
        <v>0</v>
      </c>
      <c r="O141" s="1">
        <v>0</v>
      </c>
      <c r="P141" s="1">
        <v>0</v>
      </c>
      <c r="Q141" s="1">
        <v>0</v>
      </c>
      <c r="R141" s="1">
        <v>0</v>
      </c>
      <c r="S141" s="1"/>
      <c r="T141" s="1">
        <v>4</v>
      </c>
      <c r="U141" s="1">
        <v>0</v>
      </c>
      <c r="V141" s="1">
        <v>0</v>
      </c>
      <c r="W141" s="1">
        <v>0</v>
      </c>
      <c r="X141" s="1">
        <v>0</v>
      </c>
      <c r="Y141" s="1">
        <v>1</v>
      </c>
      <c r="Z141" s="1"/>
      <c r="AA141" s="1">
        <v>0</v>
      </c>
      <c r="AB141" s="1"/>
      <c r="AC141" s="1"/>
      <c r="AD141" s="1"/>
      <c r="AE141" s="1"/>
      <c r="AF141" s="1">
        <v>3</v>
      </c>
      <c r="AG141" s="1">
        <v>4</v>
      </c>
      <c r="AH141" s="1">
        <v>0</v>
      </c>
      <c r="AI141" s="1">
        <v>0</v>
      </c>
      <c r="AJ141" s="1">
        <v>2</v>
      </c>
      <c r="AK141" s="1" t="s">
        <v>21</v>
      </c>
      <c r="AL141" s="1" t="s">
        <v>32</v>
      </c>
      <c r="AM141" s="17" t="s">
        <v>1074</v>
      </c>
      <c r="AN141" s="18" t="s">
        <v>417</v>
      </c>
      <c r="AO141" s="140" t="s">
        <v>1051</v>
      </c>
      <c r="AP141" s="140" t="s">
        <v>1078</v>
      </c>
      <c r="AQ141" s="75">
        <v>0.5</v>
      </c>
      <c r="AR141" s="10"/>
      <c r="AS141" s="41"/>
    </row>
    <row r="142" spans="2:45" s="43" customFormat="1">
      <c r="B142" s="1">
        <f t="shared" si="2"/>
        <v>132</v>
      </c>
      <c r="C142" s="1">
        <v>0</v>
      </c>
      <c r="D142" s="1" t="s">
        <v>212</v>
      </c>
      <c r="E142" s="1" t="s">
        <v>101</v>
      </c>
      <c r="F142" s="1" t="s">
        <v>118</v>
      </c>
      <c r="G142" s="1" t="s">
        <v>118</v>
      </c>
      <c r="H142" s="1" t="s">
        <v>225</v>
      </c>
      <c r="I142" s="1"/>
      <c r="J142" s="1" t="s">
        <v>86</v>
      </c>
      <c r="K142" s="54" t="s">
        <v>170</v>
      </c>
      <c r="L142" s="1" t="s">
        <v>452</v>
      </c>
      <c r="M142" s="1">
        <v>0</v>
      </c>
      <c r="N142" s="1">
        <v>0</v>
      </c>
      <c r="O142" s="1">
        <v>0</v>
      </c>
      <c r="P142" s="1">
        <v>0</v>
      </c>
      <c r="Q142" s="1">
        <v>0</v>
      </c>
      <c r="R142" s="1">
        <v>0</v>
      </c>
      <c r="S142" s="1">
        <v>0</v>
      </c>
      <c r="T142" s="1">
        <v>4</v>
      </c>
      <c r="U142" s="1">
        <v>0</v>
      </c>
      <c r="V142" s="1">
        <v>0</v>
      </c>
      <c r="W142" s="1">
        <v>0</v>
      </c>
      <c r="X142" s="1">
        <v>0</v>
      </c>
      <c r="Y142" s="1">
        <v>0</v>
      </c>
      <c r="Z142" s="1">
        <v>0</v>
      </c>
      <c r="AA142" s="1">
        <v>0</v>
      </c>
      <c r="AB142" s="1"/>
      <c r="AC142" s="1"/>
      <c r="AD142" s="1"/>
      <c r="AE142" s="1"/>
      <c r="AF142" s="1">
        <v>4</v>
      </c>
      <c r="AG142" s="1">
        <v>1</v>
      </c>
      <c r="AH142" s="1">
        <v>0</v>
      </c>
      <c r="AI142" s="1">
        <v>0</v>
      </c>
      <c r="AJ142" s="1">
        <v>0</v>
      </c>
      <c r="AK142" s="1" t="s">
        <v>32</v>
      </c>
      <c r="AL142" s="1" t="s">
        <v>32</v>
      </c>
      <c r="AM142" s="17"/>
      <c r="AN142" s="18"/>
      <c r="AO142" s="18"/>
      <c r="AP142" s="18"/>
      <c r="AQ142" s="18"/>
      <c r="AR142" s="10"/>
      <c r="AS142" s="41"/>
    </row>
    <row r="143" spans="2:45" s="43" customFormat="1" ht="15" customHeight="1">
      <c r="B143" s="1">
        <f t="shared" si="2"/>
        <v>133</v>
      </c>
      <c r="C143" s="1">
        <v>1</v>
      </c>
      <c r="D143" s="1" t="s">
        <v>212</v>
      </c>
      <c r="E143" s="1" t="s">
        <v>101</v>
      </c>
      <c r="F143" s="1" t="s">
        <v>105</v>
      </c>
      <c r="G143" s="1" t="s">
        <v>102</v>
      </c>
      <c r="H143" s="1" t="s">
        <v>225</v>
      </c>
      <c r="I143" s="1"/>
      <c r="J143" s="1" t="s">
        <v>86</v>
      </c>
      <c r="K143" s="1" t="s">
        <v>452</v>
      </c>
      <c r="L143" s="1" t="s">
        <v>1049</v>
      </c>
      <c r="M143" s="1">
        <v>0</v>
      </c>
      <c r="N143" s="1">
        <v>0</v>
      </c>
      <c r="O143" s="1">
        <v>0</v>
      </c>
      <c r="P143" s="1">
        <v>0</v>
      </c>
      <c r="Q143" s="1">
        <v>0</v>
      </c>
      <c r="R143" s="1">
        <v>0</v>
      </c>
      <c r="S143" s="1">
        <v>0</v>
      </c>
      <c r="T143" s="1">
        <v>4</v>
      </c>
      <c r="U143" s="1">
        <v>0</v>
      </c>
      <c r="V143" s="1">
        <v>0</v>
      </c>
      <c r="W143" s="1">
        <v>0</v>
      </c>
      <c r="X143" s="1">
        <v>0</v>
      </c>
      <c r="Y143" s="1">
        <v>2</v>
      </c>
      <c r="Z143" s="1">
        <v>0</v>
      </c>
      <c r="AA143" s="1">
        <v>0</v>
      </c>
      <c r="AB143" s="1"/>
      <c r="AC143" s="1"/>
      <c r="AD143" s="1"/>
      <c r="AE143" s="1"/>
      <c r="AF143" s="1">
        <v>3</v>
      </c>
      <c r="AG143" s="1">
        <v>4</v>
      </c>
      <c r="AH143" s="1">
        <v>0</v>
      </c>
      <c r="AI143" s="1">
        <v>0</v>
      </c>
      <c r="AJ143" s="1">
        <v>3</v>
      </c>
      <c r="AK143" s="1" t="s">
        <v>21</v>
      </c>
      <c r="AL143" s="1" t="s">
        <v>32</v>
      </c>
      <c r="AM143" s="17">
        <v>44967</v>
      </c>
      <c r="AN143" s="18" t="s">
        <v>417</v>
      </c>
      <c r="AO143" s="18" t="s">
        <v>1133</v>
      </c>
      <c r="AP143" s="140" t="s">
        <v>1135</v>
      </c>
      <c r="AQ143" s="75">
        <v>0.8</v>
      </c>
      <c r="AR143" s="10"/>
      <c r="AS143" s="41"/>
    </row>
    <row r="144" spans="2:45" s="43" customFormat="1" ht="15" customHeight="1">
      <c r="B144" s="1">
        <f t="shared" si="2"/>
        <v>134</v>
      </c>
      <c r="C144" s="1">
        <v>1</v>
      </c>
      <c r="D144" s="1" t="s">
        <v>212</v>
      </c>
      <c r="E144" s="1" t="s">
        <v>101</v>
      </c>
      <c r="F144" s="1" t="s">
        <v>105</v>
      </c>
      <c r="G144" s="1" t="s">
        <v>104</v>
      </c>
      <c r="H144" s="1" t="s">
        <v>225</v>
      </c>
      <c r="I144" s="1"/>
      <c r="J144" s="1" t="s">
        <v>86</v>
      </c>
      <c r="K144" s="1" t="s">
        <v>452</v>
      </c>
      <c r="L144" s="1" t="s">
        <v>452</v>
      </c>
      <c r="M144" s="1">
        <v>0</v>
      </c>
      <c r="N144" s="1">
        <v>0</v>
      </c>
      <c r="O144" s="1">
        <v>0</v>
      </c>
      <c r="P144" s="1">
        <v>0</v>
      </c>
      <c r="Q144" s="1">
        <v>0</v>
      </c>
      <c r="R144" s="1">
        <v>0</v>
      </c>
      <c r="S144" s="1">
        <v>0</v>
      </c>
      <c r="T144" s="1">
        <v>4</v>
      </c>
      <c r="U144" s="1">
        <v>0</v>
      </c>
      <c r="V144" s="1">
        <v>0</v>
      </c>
      <c r="W144" s="1">
        <v>0</v>
      </c>
      <c r="X144" s="1">
        <v>0</v>
      </c>
      <c r="Y144" s="1">
        <v>1</v>
      </c>
      <c r="Z144" s="1">
        <v>0</v>
      </c>
      <c r="AA144" s="1">
        <v>0</v>
      </c>
      <c r="AB144" s="1"/>
      <c r="AC144" s="1"/>
      <c r="AD144" s="1"/>
      <c r="AE144" s="1"/>
      <c r="AF144" s="1">
        <v>2</v>
      </c>
      <c r="AG144" s="1">
        <v>4</v>
      </c>
      <c r="AH144" s="1">
        <v>0</v>
      </c>
      <c r="AI144" s="1">
        <v>0</v>
      </c>
      <c r="AJ144" s="1">
        <v>2</v>
      </c>
      <c r="AK144" s="1" t="s">
        <v>21</v>
      </c>
      <c r="AL144" s="1" t="s">
        <v>32</v>
      </c>
      <c r="AM144" s="17">
        <v>44984</v>
      </c>
      <c r="AN144" s="18" t="s">
        <v>417</v>
      </c>
      <c r="AO144" s="18" t="s">
        <v>1133</v>
      </c>
      <c r="AP144" s="140" t="s">
        <v>1134</v>
      </c>
      <c r="AQ144" s="75">
        <v>0.8</v>
      </c>
      <c r="AR144" s="10"/>
      <c r="AS144" s="41"/>
    </row>
    <row r="145" spans="2:45" s="43" customFormat="1" ht="15" customHeight="1">
      <c r="B145" s="1">
        <f t="shared" si="2"/>
        <v>135</v>
      </c>
      <c r="C145" s="1">
        <v>1</v>
      </c>
      <c r="D145" s="1" t="s">
        <v>212</v>
      </c>
      <c r="E145" s="1" t="s">
        <v>91</v>
      </c>
      <c r="F145" s="1" t="s">
        <v>96</v>
      </c>
      <c r="G145" s="1" t="s">
        <v>96</v>
      </c>
      <c r="H145" s="1" t="s">
        <v>227</v>
      </c>
      <c r="I145" s="1"/>
      <c r="J145" s="1" t="s">
        <v>85</v>
      </c>
      <c r="K145" s="54" t="s">
        <v>1049</v>
      </c>
      <c r="L145" s="1" t="s">
        <v>452</v>
      </c>
      <c r="M145" s="1">
        <v>0</v>
      </c>
      <c r="N145" s="1">
        <v>0</v>
      </c>
      <c r="O145" s="1">
        <v>0</v>
      </c>
      <c r="P145" s="1">
        <v>0</v>
      </c>
      <c r="Q145" s="1">
        <v>0</v>
      </c>
      <c r="R145" s="1">
        <v>0</v>
      </c>
      <c r="S145" s="1"/>
      <c r="T145" s="1">
        <v>4</v>
      </c>
      <c r="U145" s="1">
        <v>0</v>
      </c>
      <c r="V145" s="1">
        <v>0</v>
      </c>
      <c r="W145" s="1">
        <v>2</v>
      </c>
      <c r="X145" s="1">
        <v>0</v>
      </c>
      <c r="Y145" s="1">
        <v>1</v>
      </c>
      <c r="Z145" s="1"/>
      <c r="AA145" s="1">
        <v>0</v>
      </c>
      <c r="AB145" s="1"/>
      <c r="AC145" s="1"/>
      <c r="AD145" s="1"/>
      <c r="AE145" s="1"/>
      <c r="AF145" s="1">
        <v>3</v>
      </c>
      <c r="AG145" s="1">
        <v>4</v>
      </c>
      <c r="AH145" s="1">
        <v>0</v>
      </c>
      <c r="AI145" s="1">
        <v>0</v>
      </c>
      <c r="AJ145" s="1">
        <v>4</v>
      </c>
      <c r="AK145" s="1" t="s">
        <v>21</v>
      </c>
      <c r="AL145" s="1" t="s">
        <v>32</v>
      </c>
      <c r="AM145" s="17" t="s">
        <v>1052</v>
      </c>
      <c r="AN145" s="18" t="s">
        <v>417</v>
      </c>
      <c r="AO145" s="140" t="s">
        <v>1051</v>
      </c>
      <c r="AP145" s="140" t="s">
        <v>1075</v>
      </c>
      <c r="AQ145" s="75">
        <v>1</v>
      </c>
      <c r="AR145" s="10"/>
      <c r="AS145" s="41"/>
    </row>
    <row r="146" spans="2:45" s="43" customFormat="1" ht="15" customHeight="1">
      <c r="B146" s="1">
        <f t="shared" si="2"/>
        <v>136</v>
      </c>
      <c r="C146" s="1">
        <v>0</v>
      </c>
      <c r="D146" s="1" t="s">
        <v>177</v>
      </c>
      <c r="E146" s="1" t="s">
        <v>224</v>
      </c>
      <c r="F146" s="1" t="s">
        <v>176</v>
      </c>
      <c r="G146" s="1" t="s">
        <v>176</v>
      </c>
      <c r="H146" s="1" t="s">
        <v>534</v>
      </c>
      <c r="I146" s="1"/>
      <c r="J146" s="1" t="s">
        <v>87</v>
      </c>
      <c r="K146" s="1" t="s">
        <v>330</v>
      </c>
      <c r="L146" s="1" t="s">
        <v>340</v>
      </c>
      <c r="M146" s="1">
        <v>4</v>
      </c>
      <c r="N146" s="1">
        <v>0</v>
      </c>
      <c r="O146" s="1">
        <v>0</v>
      </c>
      <c r="P146" s="1">
        <v>4</v>
      </c>
      <c r="Q146" s="1">
        <v>4</v>
      </c>
      <c r="R146" s="1">
        <v>0</v>
      </c>
      <c r="S146" s="1"/>
      <c r="T146" s="1">
        <v>0</v>
      </c>
      <c r="U146" s="1">
        <v>0</v>
      </c>
      <c r="V146" s="1">
        <v>0</v>
      </c>
      <c r="W146" s="1">
        <v>0</v>
      </c>
      <c r="X146" s="1">
        <v>2</v>
      </c>
      <c r="Y146" s="1"/>
      <c r="Z146" s="1">
        <v>4</v>
      </c>
      <c r="AA146" s="1">
        <v>0</v>
      </c>
      <c r="AB146" s="1"/>
      <c r="AC146" s="1"/>
      <c r="AD146" s="1"/>
      <c r="AE146" s="1">
        <v>3</v>
      </c>
      <c r="AF146" s="1"/>
      <c r="AG146" s="1">
        <v>0</v>
      </c>
      <c r="AH146" s="1">
        <v>0</v>
      </c>
      <c r="AI146" s="1">
        <v>0</v>
      </c>
      <c r="AJ146" s="1">
        <v>0</v>
      </c>
      <c r="AK146" s="1" t="s">
        <v>21</v>
      </c>
      <c r="AL146" s="1" t="s">
        <v>21</v>
      </c>
      <c r="AM146" s="17"/>
      <c r="AN146" s="18" t="s">
        <v>408</v>
      </c>
      <c r="AO146" s="18"/>
      <c r="AP146" s="18"/>
      <c r="AQ146" s="18"/>
      <c r="AR146" s="10"/>
    </row>
    <row r="147" spans="2:45" s="43" customFormat="1" ht="15" customHeight="1">
      <c r="B147" s="1">
        <f t="shared" si="2"/>
        <v>137</v>
      </c>
      <c r="C147" s="1">
        <v>0</v>
      </c>
      <c r="D147" s="1" t="s">
        <v>177</v>
      </c>
      <c r="E147" s="1" t="s">
        <v>224</v>
      </c>
      <c r="F147" s="1" t="s">
        <v>176</v>
      </c>
      <c r="G147" s="1" t="s">
        <v>177</v>
      </c>
      <c r="H147" s="1" t="s">
        <v>365</v>
      </c>
      <c r="I147" s="1"/>
      <c r="J147" s="1" t="s">
        <v>87</v>
      </c>
      <c r="K147" s="1" t="s">
        <v>330</v>
      </c>
      <c r="L147" s="1" t="s">
        <v>340</v>
      </c>
      <c r="M147" s="1">
        <v>4</v>
      </c>
      <c r="N147" s="1">
        <v>0</v>
      </c>
      <c r="O147" s="1">
        <v>0</v>
      </c>
      <c r="P147" s="1">
        <v>4</v>
      </c>
      <c r="Q147" s="1">
        <v>4</v>
      </c>
      <c r="R147" s="1">
        <v>0</v>
      </c>
      <c r="S147" s="1"/>
      <c r="T147" s="1">
        <v>0</v>
      </c>
      <c r="U147" s="1">
        <v>0</v>
      </c>
      <c r="V147" s="1">
        <v>0</v>
      </c>
      <c r="W147" s="1">
        <v>0</v>
      </c>
      <c r="X147" s="1">
        <v>2</v>
      </c>
      <c r="Y147" s="1"/>
      <c r="Z147" s="1">
        <v>3</v>
      </c>
      <c r="AA147" s="1">
        <v>0</v>
      </c>
      <c r="AB147" s="1"/>
      <c r="AC147" s="1"/>
      <c r="AD147" s="1"/>
      <c r="AE147" s="1"/>
      <c r="AF147" s="1"/>
      <c r="AG147" s="1">
        <v>0</v>
      </c>
      <c r="AH147" s="1">
        <v>0</v>
      </c>
      <c r="AI147" s="1">
        <v>0</v>
      </c>
      <c r="AJ147" s="1">
        <v>0</v>
      </c>
      <c r="AK147" s="1" t="s">
        <v>21</v>
      </c>
      <c r="AL147" s="1" t="s">
        <v>21</v>
      </c>
      <c r="AM147" s="17">
        <v>44105</v>
      </c>
      <c r="AN147" s="18" t="s">
        <v>330</v>
      </c>
      <c r="AO147" s="18"/>
      <c r="AP147" s="18"/>
      <c r="AQ147" s="18"/>
      <c r="AR147" s="10"/>
    </row>
    <row r="148" spans="2:45" s="43" customFormat="1">
      <c r="B148" s="1">
        <f t="shared" si="2"/>
        <v>138</v>
      </c>
      <c r="C148" s="1">
        <v>0</v>
      </c>
      <c r="D148" s="1" t="s">
        <v>212</v>
      </c>
      <c r="E148" s="1" t="s">
        <v>101</v>
      </c>
      <c r="F148" s="1" t="s">
        <v>118</v>
      </c>
      <c r="G148" s="1" t="s">
        <v>118</v>
      </c>
      <c r="H148" s="1" t="s">
        <v>248</v>
      </c>
      <c r="I148" s="1"/>
      <c r="J148" s="1" t="s">
        <v>85</v>
      </c>
      <c r="K148" s="1" t="s">
        <v>61</v>
      </c>
      <c r="L148" s="1" t="s">
        <v>170</v>
      </c>
      <c r="M148" s="1">
        <v>0</v>
      </c>
      <c r="N148" s="1">
        <v>0</v>
      </c>
      <c r="O148" s="1">
        <v>0</v>
      </c>
      <c r="P148" s="1">
        <v>0</v>
      </c>
      <c r="Q148" s="1">
        <v>0</v>
      </c>
      <c r="R148" s="1">
        <v>0</v>
      </c>
      <c r="S148" s="1"/>
      <c r="T148" s="1">
        <v>4</v>
      </c>
      <c r="U148" s="1">
        <v>0</v>
      </c>
      <c r="V148" s="1">
        <v>0</v>
      </c>
      <c r="W148" s="1">
        <v>2</v>
      </c>
      <c r="X148" s="1">
        <v>0</v>
      </c>
      <c r="Y148" s="1"/>
      <c r="Z148" s="1"/>
      <c r="AA148" s="1">
        <v>0</v>
      </c>
      <c r="AB148" s="1"/>
      <c r="AC148" s="1"/>
      <c r="AD148" s="1"/>
      <c r="AE148" s="1"/>
      <c r="AF148" s="1"/>
      <c r="AG148" s="1">
        <v>0</v>
      </c>
      <c r="AH148" s="1">
        <v>0</v>
      </c>
      <c r="AI148" s="1"/>
      <c r="AJ148" s="1">
        <v>0</v>
      </c>
      <c r="AK148" s="1" t="s">
        <v>21</v>
      </c>
      <c r="AL148" s="1" t="s">
        <v>21</v>
      </c>
      <c r="AM148" s="17"/>
      <c r="AN148" s="18"/>
      <c r="AO148" s="18"/>
      <c r="AP148" s="18"/>
      <c r="AQ148" s="18"/>
      <c r="AR148" s="10"/>
      <c r="AS148" s="41"/>
    </row>
    <row r="149" spans="2:45" s="43" customFormat="1" ht="15" customHeight="1">
      <c r="B149" s="1">
        <f t="shared" si="2"/>
        <v>139</v>
      </c>
      <c r="C149" s="1">
        <v>0</v>
      </c>
      <c r="D149" s="54" t="s">
        <v>386</v>
      </c>
      <c r="E149" s="1" t="s">
        <v>294</v>
      </c>
      <c r="F149" s="1" t="s">
        <v>57</v>
      </c>
      <c r="G149" s="1" t="s">
        <v>250</v>
      </c>
      <c r="H149" s="18" t="s">
        <v>251</v>
      </c>
      <c r="I149" s="18"/>
      <c r="J149" s="1" t="s">
        <v>87</v>
      </c>
      <c r="K149" s="1" t="s">
        <v>331</v>
      </c>
      <c r="L149" s="1" t="s">
        <v>12</v>
      </c>
      <c r="M149" s="1">
        <v>0</v>
      </c>
      <c r="N149" s="1">
        <v>0</v>
      </c>
      <c r="O149" s="1">
        <v>2</v>
      </c>
      <c r="P149" s="1">
        <v>0</v>
      </c>
      <c r="Q149" s="1">
        <v>0</v>
      </c>
      <c r="R149" s="60">
        <v>4</v>
      </c>
      <c r="S149" s="1">
        <v>4</v>
      </c>
      <c r="T149" s="1">
        <v>0</v>
      </c>
      <c r="U149" s="1">
        <v>0</v>
      </c>
      <c r="V149" s="1">
        <v>0</v>
      </c>
      <c r="W149" s="1">
        <v>0</v>
      </c>
      <c r="X149" s="1">
        <v>0</v>
      </c>
      <c r="Y149" s="1">
        <v>0</v>
      </c>
      <c r="Z149" s="1">
        <v>0</v>
      </c>
      <c r="AA149" s="1">
        <v>0</v>
      </c>
      <c r="AB149" s="1">
        <v>3</v>
      </c>
      <c r="AC149" s="1"/>
      <c r="AD149" s="1"/>
      <c r="AE149" s="1"/>
      <c r="AF149" s="1"/>
      <c r="AG149" s="1">
        <v>0</v>
      </c>
      <c r="AH149" s="1">
        <v>0</v>
      </c>
      <c r="AI149" s="1">
        <v>0</v>
      </c>
      <c r="AJ149" s="1">
        <v>0</v>
      </c>
      <c r="AK149" s="1" t="s">
        <v>21</v>
      </c>
      <c r="AL149" s="1" t="s">
        <v>21</v>
      </c>
      <c r="AM149" s="17"/>
      <c r="AN149" s="18"/>
      <c r="AO149" s="18"/>
      <c r="AP149" s="18"/>
      <c r="AQ149" s="18"/>
      <c r="AR149" s="10"/>
      <c r="AS149" s="41"/>
    </row>
    <row r="150" spans="2:45" s="43" customFormat="1" ht="15" customHeight="1">
      <c r="B150" s="1">
        <f t="shared" si="2"/>
        <v>140</v>
      </c>
      <c r="C150" s="1">
        <v>1</v>
      </c>
      <c r="D150" s="54" t="s">
        <v>386</v>
      </c>
      <c r="E150" s="1" t="s">
        <v>294</v>
      </c>
      <c r="F150" s="1" t="s">
        <v>57</v>
      </c>
      <c r="G150" s="1" t="s">
        <v>250</v>
      </c>
      <c r="H150" s="1" t="s">
        <v>1101</v>
      </c>
      <c r="I150" s="1"/>
      <c r="J150" s="1" t="s">
        <v>86</v>
      </c>
      <c r="K150" s="1" t="s">
        <v>453</v>
      </c>
      <c r="L150" s="1" t="s">
        <v>12</v>
      </c>
      <c r="M150" s="1">
        <v>0</v>
      </c>
      <c r="N150" s="1">
        <v>0</v>
      </c>
      <c r="O150" s="1">
        <v>2</v>
      </c>
      <c r="P150" s="1">
        <v>0</v>
      </c>
      <c r="Q150" s="1">
        <v>0</v>
      </c>
      <c r="R150" s="60">
        <v>4</v>
      </c>
      <c r="S150" s="1">
        <v>4</v>
      </c>
      <c r="T150" s="1">
        <v>0</v>
      </c>
      <c r="U150" s="1">
        <v>0</v>
      </c>
      <c r="V150" s="1">
        <v>0</v>
      </c>
      <c r="W150" s="1">
        <v>0</v>
      </c>
      <c r="X150" s="1">
        <v>0</v>
      </c>
      <c r="Y150" s="1">
        <v>0</v>
      </c>
      <c r="Z150" s="1">
        <v>0</v>
      </c>
      <c r="AA150" s="1">
        <v>0</v>
      </c>
      <c r="AB150" s="1">
        <v>0</v>
      </c>
      <c r="AC150" s="1"/>
      <c r="AD150" s="1"/>
      <c r="AE150" s="1"/>
      <c r="AF150" s="1"/>
      <c r="AG150" s="1">
        <v>0</v>
      </c>
      <c r="AH150" s="1">
        <v>0</v>
      </c>
      <c r="AI150" s="1">
        <v>0</v>
      </c>
      <c r="AJ150" s="1">
        <v>0</v>
      </c>
      <c r="AK150" s="1" t="s">
        <v>21</v>
      </c>
      <c r="AL150" s="1" t="s">
        <v>21</v>
      </c>
      <c r="AM150" s="17"/>
      <c r="AN150" s="18"/>
      <c r="AO150" s="18"/>
      <c r="AP150" s="18"/>
      <c r="AQ150" s="146">
        <v>1</v>
      </c>
      <c r="AR150" s="10" t="s">
        <v>1102</v>
      </c>
      <c r="AS150" s="41"/>
    </row>
    <row r="151" spans="2:45" s="43" customFormat="1" ht="15" customHeight="1">
      <c r="B151" s="1">
        <f t="shared" si="2"/>
        <v>141</v>
      </c>
      <c r="C151" s="1">
        <v>1</v>
      </c>
      <c r="D151" s="54" t="s">
        <v>386</v>
      </c>
      <c r="E151" s="1" t="s">
        <v>294</v>
      </c>
      <c r="F151" s="1" t="s">
        <v>57</v>
      </c>
      <c r="G151" s="1" t="s">
        <v>250</v>
      </c>
      <c r="H151" s="1" t="s">
        <v>253</v>
      </c>
      <c r="I151" s="1"/>
      <c r="J151" s="1" t="s">
        <v>85</v>
      </c>
      <c r="K151" s="1" t="s">
        <v>453</v>
      </c>
      <c r="L151" s="1" t="s">
        <v>12</v>
      </c>
      <c r="M151" s="1">
        <v>0</v>
      </c>
      <c r="N151" s="1">
        <v>0</v>
      </c>
      <c r="O151" s="1">
        <v>2</v>
      </c>
      <c r="P151" s="1">
        <v>0</v>
      </c>
      <c r="Q151" s="1">
        <v>0</v>
      </c>
      <c r="R151" s="60">
        <v>4</v>
      </c>
      <c r="S151" s="1">
        <v>4</v>
      </c>
      <c r="T151" s="1">
        <v>0</v>
      </c>
      <c r="U151" s="1">
        <v>0</v>
      </c>
      <c r="V151" s="1">
        <v>0</v>
      </c>
      <c r="W151" s="1">
        <v>0</v>
      </c>
      <c r="X151" s="1">
        <v>0</v>
      </c>
      <c r="Y151" s="1">
        <v>0</v>
      </c>
      <c r="Z151" s="1">
        <v>0</v>
      </c>
      <c r="AA151" s="1">
        <v>0</v>
      </c>
      <c r="AB151" s="1">
        <v>3</v>
      </c>
      <c r="AC151" s="1"/>
      <c r="AD151" s="1"/>
      <c r="AE151" s="1"/>
      <c r="AF151" s="1"/>
      <c r="AG151" s="1">
        <v>0</v>
      </c>
      <c r="AH151" s="1">
        <v>0</v>
      </c>
      <c r="AI151" s="1">
        <v>0</v>
      </c>
      <c r="AJ151" s="1">
        <v>0</v>
      </c>
      <c r="AK151" s="1" t="s">
        <v>21</v>
      </c>
      <c r="AL151" s="1" t="s">
        <v>21</v>
      </c>
      <c r="AM151" s="17"/>
      <c r="AN151" s="18"/>
      <c r="AO151" s="18"/>
      <c r="AP151" s="18"/>
      <c r="AQ151" s="145">
        <v>0.3</v>
      </c>
      <c r="AR151" s="10" t="s">
        <v>1103</v>
      </c>
      <c r="AS151" s="41"/>
    </row>
    <row r="152" spans="2:45" s="43" customFormat="1" ht="15" customHeight="1">
      <c r="B152" s="1">
        <f t="shared" si="2"/>
        <v>142</v>
      </c>
      <c r="C152" s="1">
        <v>0</v>
      </c>
      <c r="D152" s="60" t="s">
        <v>186</v>
      </c>
      <c r="E152" s="1" t="s">
        <v>294</v>
      </c>
      <c r="F152" s="1" t="s">
        <v>57</v>
      </c>
      <c r="G152" s="1" t="s">
        <v>250</v>
      </c>
      <c r="H152" s="1" t="s">
        <v>254</v>
      </c>
      <c r="I152" s="1"/>
      <c r="J152" s="1" t="s">
        <v>86</v>
      </c>
      <c r="K152" s="1" t="s">
        <v>331</v>
      </c>
      <c r="L152" s="1" t="s">
        <v>12</v>
      </c>
      <c r="M152" s="1">
        <v>0</v>
      </c>
      <c r="N152" s="1">
        <v>0</v>
      </c>
      <c r="O152" s="1">
        <v>2</v>
      </c>
      <c r="P152" s="1">
        <v>0</v>
      </c>
      <c r="Q152" s="1">
        <v>0</v>
      </c>
      <c r="R152" s="60">
        <v>4</v>
      </c>
      <c r="S152" s="1">
        <v>4</v>
      </c>
      <c r="T152" s="1">
        <v>0</v>
      </c>
      <c r="U152" s="1">
        <v>0</v>
      </c>
      <c r="V152" s="1">
        <v>0</v>
      </c>
      <c r="W152" s="1">
        <v>0</v>
      </c>
      <c r="X152" s="1">
        <v>0</v>
      </c>
      <c r="Y152" s="1">
        <v>0</v>
      </c>
      <c r="Z152" s="1">
        <v>0</v>
      </c>
      <c r="AA152" s="1">
        <v>0</v>
      </c>
      <c r="AB152" s="1">
        <v>0</v>
      </c>
      <c r="AC152" s="1"/>
      <c r="AD152" s="1"/>
      <c r="AE152" s="1"/>
      <c r="AF152" s="1"/>
      <c r="AG152" s="1">
        <v>0</v>
      </c>
      <c r="AH152" s="1">
        <v>0</v>
      </c>
      <c r="AI152" s="1"/>
      <c r="AJ152" s="1">
        <v>0</v>
      </c>
      <c r="AK152" s="1" t="s">
        <v>21</v>
      </c>
      <c r="AL152" s="1" t="s">
        <v>21</v>
      </c>
      <c r="AM152" s="17"/>
      <c r="AN152" s="18"/>
      <c r="AO152" s="18"/>
      <c r="AP152" s="18"/>
      <c r="AQ152" s="18"/>
      <c r="AR152" s="68" t="s">
        <v>80</v>
      </c>
      <c r="AS152" s="41"/>
    </row>
    <row r="153" spans="2:45" s="43" customFormat="1" ht="15" customHeight="1">
      <c r="B153" s="1">
        <f t="shared" si="2"/>
        <v>143</v>
      </c>
      <c r="C153" s="1">
        <v>0</v>
      </c>
      <c r="D153" s="1" t="s">
        <v>186</v>
      </c>
      <c r="E153" s="1" t="s">
        <v>186</v>
      </c>
      <c r="F153" s="1" t="s">
        <v>57</v>
      </c>
      <c r="G153" s="1" t="s">
        <v>250</v>
      </c>
      <c r="H153" s="1" t="s">
        <v>255</v>
      </c>
      <c r="I153" s="1"/>
      <c r="J153" s="1" t="s">
        <v>86</v>
      </c>
      <c r="K153" s="1" t="s">
        <v>331</v>
      </c>
      <c r="L153" s="1" t="s">
        <v>12</v>
      </c>
      <c r="M153" s="1">
        <v>0</v>
      </c>
      <c r="N153" s="1">
        <v>0</v>
      </c>
      <c r="O153" s="1">
        <v>0</v>
      </c>
      <c r="P153" s="1">
        <v>0</v>
      </c>
      <c r="Q153" s="1">
        <v>0</v>
      </c>
      <c r="R153" s="1">
        <v>4</v>
      </c>
      <c r="S153" s="1">
        <v>4</v>
      </c>
      <c r="T153" s="1">
        <v>0</v>
      </c>
      <c r="U153" s="1">
        <v>0</v>
      </c>
      <c r="V153" s="1">
        <v>0</v>
      </c>
      <c r="W153" s="1">
        <v>0</v>
      </c>
      <c r="X153" s="1">
        <v>0</v>
      </c>
      <c r="Y153" s="1"/>
      <c r="Z153" s="1"/>
      <c r="AA153" s="1">
        <v>0</v>
      </c>
      <c r="AB153" s="1">
        <v>0</v>
      </c>
      <c r="AC153" s="1"/>
      <c r="AD153" s="1"/>
      <c r="AE153" s="1"/>
      <c r="AF153" s="1"/>
      <c r="AG153" s="1">
        <v>0</v>
      </c>
      <c r="AH153" s="1">
        <v>0</v>
      </c>
      <c r="AI153" s="1"/>
      <c r="AJ153" s="1">
        <v>0</v>
      </c>
      <c r="AK153" s="1" t="s">
        <v>21</v>
      </c>
      <c r="AL153" s="1" t="s">
        <v>21</v>
      </c>
      <c r="AM153" s="17"/>
      <c r="AN153" s="18"/>
      <c r="AO153" s="18"/>
      <c r="AP153" s="18"/>
      <c r="AQ153" s="18"/>
      <c r="AR153" s="68" t="s">
        <v>80</v>
      </c>
      <c r="AS153" s="41"/>
    </row>
    <row r="154" spans="2:45" s="43" customFormat="1" ht="15" customHeight="1">
      <c r="B154" s="1">
        <f t="shared" si="2"/>
        <v>144</v>
      </c>
      <c r="C154" s="1">
        <v>0</v>
      </c>
      <c r="D154" s="1" t="s">
        <v>186</v>
      </c>
      <c r="E154" s="1" t="s">
        <v>186</v>
      </c>
      <c r="F154" s="1" t="s">
        <v>57</v>
      </c>
      <c r="G154" s="1" t="s">
        <v>250</v>
      </c>
      <c r="H154" s="1" t="s">
        <v>256</v>
      </c>
      <c r="I154" s="1"/>
      <c r="J154" s="1" t="s">
        <v>86</v>
      </c>
      <c r="K154" s="1" t="s">
        <v>331</v>
      </c>
      <c r="L154" s="1" t="s">
        <v>12</v>
      </c>
      <c r="M154" s="1">
        <v>0</v>
      </c>
      <c r="N154" s="1">
        <v>0</v>
      </c>
      <c r="O154" s="1">
        <v>0</v>
      </c>
      <c r="P154" s="1">
        <v>0</v>
      </c>
      <c r="Q154" s="1">
        <v>0</v>
      </c>
      <c r="R154" s="1">
        <v>4</v>
      </c>
      <c r="S154" s="1">
        <v>4</v>
      </c>
      <c r="T154" s="1">
        <v>0</v>
      </c>
      <c r="U154" s="1">
        <v>0</v>
      </c>
      <c r="V154" s="1">
        <v>0</v>
      </c>
      <c r="W154" s="1">
        <v>0</v>
      </c>
      <c r="X154" s="1">
        <v>0</v>
      </c>
      <c r="Y154" s="1"/>
      <c r="Z154" s="1"/>
      <c r="AA154" s="1">
        <v>0</v>
      </c>
      <c r="AB154" s="1">
        <v>0</v>
      </c>
      <c r="AC154" s="1"/>
      <c r="AD154" s="1"/>
      <c r="AE154" s="1"/>
      <c r="AF154" s="1"/>
      <c r="AG154" s="1">
        <v>0</v>
      </c>
      <c r="AH154" s="1">
        <v>0</v>
      </c>
      <c r="AI154" s="1"/>
      <c r="AJ154" s="1">
        <v>0</v>
      </c>
      <c r="AK154" s="1" t="s">
        <v>21</v>
      </c>
      <c r="AL154" s="1" t="s">
        <v>21</v>
      </c>
      <c r="AM154" s="17"/>
      <c r="AN154" s="18"/>
      <c r="AO154" s="18"/>
      <c r="AP154" s="18"/>
      <c r="AQ154" s="18"/>
      <c r="AR154" s="68" t="s">
        <v>80</v>
      </c>
      <c r="AS154" s="41"/>
    </row>
    <row r="155" spans="2:45" s="43" customFormat="1" ht="15" customHeight="1">
      <c r="B155" s="66">
        <f t="shared" si="2"/>
        <v>145</v>
      </c>
      <c r="C155" s="66">
        <v>1</v>
      </c>
      <c r="D155" s="66" t="s">
        <v>386</v>
      </c>
      <c r="E155" s="66" t="s">
        <v>294</v>
      </c>
      <c r="F155" s="66" t="s">
        <v>57</v>
      </c>
      <c r="G155" s="66" t="s">
        <v>250</v>
      </c>
      <c r="H155" s="66" t="s">
        <v>257</v>
      </c>
      <c r="I155" s="66"/>
      <c r="J155" s="66" t="s">
        <v>86</v>
      </c>
      <c r="K155" s="66" t="s">
        <v>331</v>
      </c>
      <c r="L155" s="66" t="s">
        <v>12</v>
      </c>
      <c r="M155" s="66">
        <v>0</v>
      </c>
      <c r="N155" s="66">
        <v>0</v>
      </c>
      <c r="O155" s="66">
        <v>2</v>
      </c>
      <c r="P155" s="66">
        <v>0</v>
      </c>
      <c r="Q155" s="66">
        <v>0</v>
      </c>
      <c r="R155" s="66">
        <v>4</v>
      </c>
      <c r="S155" s="66">
        <v>4</v>
      </c>
      <c r="T155" s="66">
        <v>0</v>
      </c>
      <c r="U155" s="66">
        <v>0</v>
      </c>
      <c r="V155" s="66">
        <v>0</v>
      </c>
      <c r="W155" s="66">
        <v>0</v>
      </c>
      <c r="X155" s="66">
        <v>0</v>
      </c>
      <c r="Y155" s="66">
        <v>0</v>
      </c>
      <c r="Z155" s="66">
        <v>0</v>
      </c>
      <c r="AA155" s="66">
        <v>0</v>
      </c>
      <c r="AB155" s="66">
        <v>0</v>
      </c>
      <c r="AC155" s="66"/>
      <c r="AD155" s="66"/>
      <c r="AE155" s="66"/>
      <c r="AF155" s="66"/>
      <c r="AG155" s="66">
        <v>0</v>
      </c>
      <c r="AH155" s="66">
        <v>0</v>
      </c>
      <c r="AI155" s="66"/>
      <c r="AJ155" s="1">
        <v>0</v>
      </c>
      <c r="AK155" s="66" t="s">
        <v>21</v>
      </c>
      <c r="AL155" s="66" t="s">
        <v>21</v>
      </c>
      <c r="AM155" s="67"/>
      <c r="AN155" s="66"/>
      <c r="AO155" s="66"/>
      <c r="AP155" s="66"/>
      <c r="AQ155" s="66"/>
      <c r="AR155" s="68" t="s">
        <v>80</v>
      </c>
      <c r="AS155" s="41"/>
    </row>
    <row r="156" spans="2:45" s="43" customFormat="1" ht="15" customHeight="1">
      <c r="B156" s="66">
        <f t="shared" si="2"/>
        <v>146</v>
      </c>
      <c r="C156" s="66">
        <v>1</v>
      </c>
      <c r="D156" s="66" t="s">
        <v>386</v>
      </c>
      <c r="E156" s="66" t="s">
        <v>294</v>
      </c>
      <c r="F156" s="66" t="s">
        <v>57</v>
      </c>
      <c r="G156" s="66" t="s">
        <v>250</v>
      </c>
      <c r="H156" s="66" t="s">
        <v>264</v>
      </c>
      <c r="I156" s="66"/>
      <c r="J156" s="66" t="s">
        <v>86</v>
      </c>
      <c r="K156" s="66" t="s">
        <v>331</v>
      </c>
      <c r="L156" s="66" t="s">
        <v>12</v>
      </c>
      <c r="M156" s="66">
        <v>0</v>
      </c>
      <c r="N156" s="66">
        <v>0</v>
      </c>
      <c r="O156" s="66">
        <v>3</v>
      </c>
      <c r="P156" s="66">
        <v>0</v>
      </c>
      <c r="Q156" s="66">
        <v>0</v>
      </c>
      <c r="R156" s="66">
        <v>4</v>
      </c>
      <c r="S156" s="66">
        <v>4</v>
      </c>
      <c r="T156" s="66">
        <v>0</v>
      </c>
      <c r="U156" s="66">
        <v>0</v>
      </c>
      <c r="V156" s="66">
        <v>0</v>
      </c>
      <c r="W156" s="66">
        <v>0</v>
      </c>
      <c r="X156" s="66">
        <v>0</v>
      </c>
      <c r="Y156" s="66">
        <v>0</v>
      </c>
      <c r="Z156" s="66">
        <v>0</v>
      </c>
      <c r="AA156" s="66">
        <v>0</v>
      </c>
      <c r="AB156" s="66">
        <v>0</v>
      </c>
      <c r="AC156" s="66"/>
      <c r="AD156" s="66"/>
      <c r="AE156" s="66"/>
      <c r="AF156" s="66"/>
      <c r="AG156" s="66">
        <v>0</v>
      </c>
      <c r="AH156" s="66">
        <v>0</v>
      </c>
      <c r="AI156" s="66"/>
      <c r="AJ156" s="1">
        <v>0</v>
      </c>
      <c r="AK156" s="66" t="s">
        <v>21</v>
      </c>
      <c r="AL156" s="66" t="s">
        <v>21</v>
      </c>
      <c r="AM156" s="67"/>
      <c r="AN156" s="66"/>
      <c r="AO156" s="66"/>
      <c r="AP156" s="66"/>
      <c r="AQ156" s="66"/>
      <c r="AR156" s="68" t="s">
        <v>80</v>
      </c>
      <c r="AS156" s="41"/>
    </row>
    <row r="157" spans="2:45" s="43" customFormat="1" ht="15" customHeight="1">
      <c r="B157" s="66">
        <f t="shared" si="2"/>
        <v>147</v>
      </c>
      <c r="C157" s="66">
        <v>1</v>
      </c>
      <c r="D157" s="66" t="s">
        <v>386</v>
      </c>
      <c r="E157" s="66" t="s">
        <v>294</v>
      </c>
      <c r="F157" s="66" t="s">
        <v>57</v>
      </c>
      <c r="G157" s="66" t="s">
        <v>250</v>
      </c>
      <c r="H157" s="66" t="s">
        <v>265</v>
      </c>
      <c r="I157" s="66"/>
      <c r="J157" s="66" t="s">
        <v>86</v>
      </c>
      <c r="K157" s="66" t="s">
        <v>331</v>
      </c>
      <c r="L157" s="66" t="s">
        <v>12</v>
      </c>
      <c r="M157" s="66">
        <v>0</v>
      </c>
      <c r="N157" s="66">
        <v>0</v>
      </c>
      <c r="O157" s="66">
        <v>2</v>
      </c>
      <c r="P157" s="66">
        <v>0</v>
      </c>
      <c r="Q157" s="66">
        <v>0</v>
      </c>
      <c r="R157" s="66">
        <v>4</v>
      </c>
      <c r="S157" s="66">
        <v>4</v>
      </c>
      <c r="T157" s="66">
        <v>0</v>
      </c>
      <c r="U157" s="66">
        <v>0</v>
      </c>
      <c r="V157" s="66">
        <v>0</v>
      </c>
      <c r="W157" s="66">
        <v>0</v>
      </c>
      <c r="X157" s="66">
        <v>0</v>
      </c>
      <c r="Y157" s="66">
        <v>0</v>
      </c>
      <c r="Z157" s="66">
        <v>0</v>
      </c>
      <c r="AA157" s="66">
        <v>0</v>
      </c>
      <c r="AB157" s="66">
        <v>0</v>
      </c>
      <c r="AC157" s="66"/>
      <c r="AD157" s="66"/>
      <c r="AE157" s="66"/>
      <c r="AF157" s="66"/>
      <c r="AG157" s="66">
        <v>0</v>
      </c>
      <c r="AH157" s="66">
        <v>0</v>
      </c>
      <c r="AI157" s="66"/>
      <c r="AJ157" s="1">
        <v>0</v>
      </c>
      <c r="AK157" s="66" t="s">
        <v>21</v>
      </c>
      <c r="AL157" s="66" t="s">
        <v>21</v>
      </c>
      <c r="AM157" s="67"/>
      <c r="AN157" s="66"/>
      <c r="AO157" s="66"/>
      <c r="AP157" s="66"/>
      <c r="AQ157" s="66"/>
      <c r="AR157" s="68" t="s">
        <v>80</v>
      </c>
      <c r="AS157" s="41"/>
    </row>
    <row r="158" spans="2:45" s="43" customFormat="1" ht="15" customHeight="1">
      <c r="B158" s="66">
        <f t="shared" si="2"/>
        <v>148</v>
      </c>
      <c r="C158" s="66">
        <v>0</v>
      </c>
      <c r="D158" s="66" t="s">
        <v>386</v>
      </c>
      <c r="E158" s="66" t="s">
        <v>294</v>
      </c>
      <c r="F158" s="66" t="s">
        <v>57</v>
      </c>
      <c r="G158" s="66"/>
      <c r="H158" s="66" t="s">
        <v>258</v>
      </c>
      <c r="I158" s="66"/>
      <c r="J158" s="66" t="s">
        <v>86</v>
      </c>
      <c r="K158" s="66" t="s">
        <v>12</v>
      </c>
      <c r="L158" s="66" t="s">
        <v>331</v>
      </c>
      <c r="M158" s="66">
        <v>0</v>
      </c>
      <c r="N158" s="66">
        <v>0</v>
      </c>
      <c r="O158" s="66">
        <v>4</v>
      </c>
      <c r="P158" s="66">
        <v>0</v>
      </c>
      <c r="Q158" s="66">
        <v>0</v>
      </c>
      <c r="R158" s="66">
        <v>0</v>
      </c>
      <c r="S158" s="66">
        <v>0</v>
      </c>
      <c r="T158" s="66">
        <v>0</v>
      </c>
      <c r="U158" s="66">
        <v>0</v>
      </c>
      <c r="V158" s="66">
        <v>0</v>
      </c>
      <c r="W158" s="66">
        <v>0</v>
      </c>
      <c r="X158" s="66">
        <v>0</v>
      </c>
      <c r="Y158" s="66">
        <v>0</v>
      </c>
      <c r="Z158" s="66">
        <v>0</v>
      </c>
      <c r="AA158" s="66">
        <v>0</v>
      </c>
      <c r="AB158" s="66">
        <v>0</v>
      </c>
      <c r="AC158" s="66">
        <v>0</v>
      </c>
      <c r="AD158" s="66">
        <v>0</v>
      </c>
      <c r="AE158" s="66">
        <v>0</v>
      </c>
      <c r="AF158" s="66">
        <v>0</v>
      </c>
      <c r="AG158" s="66">
        <v>0</v>
      </c>
      <c r="AH158" s="66">
        <v>0</v>
      </c>
      <c r="AI158" s="66">
        <v>0</v>
      </c>
      <c r="AJ158" s="1">
        <v>0</v>
      </c>
      <c r="AK158" s="66" t="s">
        <v>21</v>
      </c>
      <c r="AL158" s="66" t="s">
        <v>21</v>
      </c>
      <c r="AM158" s="67"/>
      <c r="AN158" s="66"/>
      <c r="AO158" s="66"/>
      <c r="AP158" s="66"/>
      <c r="AQ158" s="66"/>
      <c r="AR158" s="68" t="s">
        <v>80</v>
      </c>
      <c r="AS158" s="41"/>
    </row>
    <row r="159" spans="2:45" s="43" customFormat="1" ht="15" customHeight="1">
      <c r="B159" s="1">
        <f t="shared" si="2"/>
        <v>149</v>
      </c>
      <c r="C159" s="1">
        <v>0</v>
      </c>
      <c r="D159" s="60" t="s">
        <v>186</v>
      </c>
      <c r="E159" s="1" t="s">
        <v>294</v>
      </c>
      <c r="F159" s="1" t="s">
        <v>57</v>
      </c>
      <c r="G159" s="1" t="s">
        <v>250</v>
      </c>
      <c r="H159" s="1" t="s">
        <v>259</v>
      </c>
      <c r="I159" s="1"/>
      <c r="J159" s="1" t="s">
        <v>86</v>
      </c>
      <c r="K159" s="1" t="s">
        <v>331</v>
      </c>
      <c r="L159" s="1" t="s">
        <v>12</v>
      </c>
      <c r="M159" s="1">
        <v>0</v>
      </c>
      <c r="N159" s="1">
        <v>0</v>
      </c>
      <c r="O159" s="1">
        <v>2</v>
      </c>
      <c r="P159" s="1">
        <v>0</v>
      </c>
      <c r="Q159" s="1">
        <v>0</v>
      </c>
      <c r="R159" s="60">
        <v>4</v>
      </c>
      <c r="S159" s="1">
        <v>4</v>
      </c>
      <c r="T159" s="1">
        <v>0</v>
      </c>
      <c r="U159" s="1">
        <v>0</v>
      </c>
      <c r="V159" s="1">
        <v>0</v>
      </c>
      <c r="W159" s="1">
        <v>0</v>
      </c>
      <c r="X159" s="1">
        <v>0</v>
      </c>
      <c r="Y159" s="1">
        <v>0</v>
      </c>
      <c r="Z159" s="1">
        <v>0</v>
      </c>
      <c r="AA159" s="1">
        <v>0</v>
      </c>
      <c r="AB159" s="1">
        <v>0</v>
      </c>
      <c r="AC159" s="1"/>
      <c r="AD159" s="1"/>
      <c r="AE159" s="1"/>
      <c r="AF159" s="1"/>
      <c r="AG159" s="1">
        <v>0</v>
      </c>
      <c r="AH159" s="1">
        <v>0</v>
      </c>
      <c r="AI159" s="1"/>
      <c r="AJ159" s="1">
        <v>0</v>
      </c>
      <c r="AK159" s="1" t="s">
        <v>21</v>
      </c>
      <c r="AL159" s="1" t="s">
        <v>21</v>
      </c>
      <c r="AM159" s="17"/>
      <c r="AN159" s="18"/>
      <c r="AO159" s="18"/>
      <c r="AP159" s="18"/>
      <c r="AQ159" s="18"/>
      <c r="AR159" s="10" t="s">
        <v>80</v>
      </c>
      <c r="AS159" s="41"/>
    </row>
    <row r="160" spans="2:45" s="43" customFormat="1" ht="15" customHeight="1">
      <c r="B160" s="1">
        <f t="shared" si="2"/>
        <v>150</v>
      </c>
      <c r="C160" s="1">
        <v>0</v>
      </c>
      <c r="D160" s="54" t="s">
        <v>386</v>
      </c>
      <c r="E160" s="1" t="s">
        <v>294</v>
      </c>
      <c r="F160" s="1" t="s">
        <v>57</v>
      </c>
      <c r="G160" s="1" t="s">
        <v>250</v>
      </c>
      <c r="H160" s="1" t="s">
        <v>261</v>
      </c>
      <c r="I160" s="1"/>
      <c r="J160" s="1" t="s">
        <v>86</v>
      </c>
      <c r="K160" s="1" t="s">
        <v>331</v>
      </c>
      <c r="L160" s="1" t="s">
        <v>12</v>
      </c>
      <c r="M160" s="1">
        <v>0</v>
      </c>
      <c r="N160" s="1">
        <v>0</v>
      </c>
      <c r="O160" s="1">
        <v>2</v>
      </c>
      <c r="P160" s="1">
        <v>0</v>
      </c>
      <c r="Q160" s="1">
        <v>0</v>
      </c>
      <c r="R160" s="60">
        <v>4</v>
      </c>
      <c r="S160" s="1">
        <v>4</v>
      </c>
      <c r="T160" s="1">
        <v>0</v>
      </c>
      <c r="U160" s="1">
        <v>0</v>
      </c>
      <c r="V160" s="1">
        <v>0</v>
      </c>
      <c r="W160" s="1">
        <v>0</v>
      </c>
      <c r="X160" s="1">
        <v>0</v>
      </c>
      <c r="Y160" s="1">
        <v>0</v>
      </c>
      <c r="Z160" s="1">
        <v>0</v>
      </c>
      <c r="AA160" s="1">
        <v>0</v>
      </c>
      <c r="AB160" s="1">
        <v>2</v>
      </c>
      <c r="AC160" s="1"/>
      <c r="AD160" s="1"/>
      <c r="AE160" s="1"/>
      <c r="AF160" s="1"/>
      <c r="AG160" s="1">
        <v>0</v>
      </c>
      <c r="AH160" s="1">
        <v>0</v>
      </c>
      <c r="AI160" s="1">
        <v>0</v>
      </c>
      <c r="AJ160" s="1">
        <v>0</v>
      </c>
      <c r="AK160" s="1" t="s">
        <v>21</v>
      </c>
      <c r="AL160" s="1" t="s">
        <v>21</v>
      </c>
      <c r="AM160" s="17"/>
      <c r="AN160" s="18"/>
      <c r="AO160" s="18"/>
      <c r="AP160" s="18"/>
      <c r="AQ160" s="18"/>
      <c r="AR160" s="10"/>
      <c r="AS160" s="41"/>
    </row>
    <row r="161" spans="2:45" s="43" customFormat="1" ht="15" customHeight="1">
      <c r="B161" s="1">
        <f t="shared" si="2"/>
        <v>151</v>
      </c>
      <c r="C161" s="1">
        <v>0</v>
      </c>
      <c r="D161" s="54" t="s">
        <v>386</v>
      </c>
      <c r="E161" s="1" t="s">
        <v>294</v>
      </c>
      <c r="F161" s="1" t="s">
        <v>57</v>
      </c>
      <c r="G161" s="1" t="s">
        <v>250</v>
      </c>
      <c r="H161" s="1" t="s">
        <v>260</v>
      </c>
      <c r="I161" s="1"/>
      <c r="J161" s="1" t="s">
        <v>86</v>
      </c>
      <c r="K161" s="1" t="s">
        <v>331</v>
      </c>
      <c r="L161" s="1" t="s">
        <v>12</v>
      </c>
      <c r="M161" s="1">
        <v>0</v>
      </c>
      <c r="N161" s="1">
        <v>0</v>
      </c>
      <c r="O161" s="1">
        <v>2</v>
      </c>
      <c r="P161" s="1">
        <v>0</v>
      </c>
      <c r="Q161" s="1">
        <v>0</v>
      </c>
      <c r="R161" s="60">
        <v>4</v>
      </c>
      <c r="S161" s="1">
        <v>4</v>
      </c>
      <c r="T161" s="1">
        <v>0</v>
      </c>
      <c r="U161" s="1">
        <v>0</v>
      </c>
      <c r="V161" s="1">
        <v>0</v>
      </c>
      <c r="W161" s="1">
        <v>0</v>
      </c>
      <c r="X161" s="1">
        <v>0</v>
      </c>
      <c r="Y161" s="1">
        <v>0</v>
      </c>
      <c r="Z161" s="1">
        <v>0</v>
      </c>
      <c r="AA161" s="1">
        <v>0</v>
      </c>
      <c r="AB161" s="1">
        <v>2</v>
      </c>
      <c r="AC161" s="1"/>
      <c r="AD161" s="1"/>
      <c r="AE161" s="1"/>
      <c r="AF161" s="1"/>
      <c r="AG161" s="1">
        <v>0</v>
      </c>
      <c r="AH161" s="1">
        <v>0</v>
      </c>
      <c r="AI161" s="1">
        <v>0</v>
      </c>
      <c r="AJ161" s="1">
        <v>0</v>
      </c>
      <c r="AK161" s="1" t="s">
        <v>21</v>
      </c>
      <c r="AL161" s="1" t="s">
        <v>21</v>
      </c>
      <c r="AM161" s="17"/>
      <c r="AN161" s="18"/>
      <c r="AO161" s="18"/>
      <c r="AP161" s="18"/>
      <c r="AQ161" s="18"/>
      <c r="AR161" s="10"/>
      <c r="AS161" s="41"/>
    </row>
    <row r="162" spans="2:45" s="43" customFormat="1" ht="15" customHeight="1">
      <c r="B162" s="66">
        <f t="shared" si="2"/>
        <v>152</v>
      </c>
      <c r="C162" s="66">
        <v>0</v>
      </c>
      <c r="D162" s="66" t="s">
        <v>386</v>
      </c>
      <c r="E162" s="66" t="s">
        <v>294</v>
      </c>
      <c r="F162" s="66" t="s">
        <v>57</v>
      </c>
      <c r="G162" s="66" t="s">
        <v>250</v>
      </c>
      <c r="H162" s="66" t="s">
        <v>262</v>
      </c>
      <c r="I162" s="66"/>
      <c r="J162" s="66" t="s">
        <v>86</v>
      </c>
      <c r="K162" s="66" t="s">
        <v>331</v>
      </c>
      <c r="L162" s="66" t="s">
        <v>12</v>
      </c>
      <c r="M162" s="66">
        <v>0</v>
      </c>
      <c r="N162" s="66">
        <v>0</v>
      </c>
      <c r="O162" s="66">
        <v>2</v>
      </c>
      <c r="P162" s="66">
        <v>0</v>
      </c>
      <c r="Q162" s="66">
        <v>0</v>
      </c>
      <c r="R162" s="66">
        <v>4</v>
      </c>
      <c r="S162" s="66">
        <v>4</v>
      </c>
      <c r="T162" s="66">
        <v>0</v>
      </c>
      <c r="U162" s="66">
        <v>0</v>
      </c>
      <c r="V162" s="66">
        <v>0</v>
      </c>
      <c r="W162" s="66">
        <v>0</v>
      </c>
      <c r="X162" s="66">
        <v>0</v>
      </c>
      <c r="Y162" s="66">
        <v>0</v>
      </c>
      <c r="Z162" s="66">
        <v>0</v>
      </c>
      <c r="AA162" s="66">
        <v>0</v>
      </c>
      <c r="AB162" s="66">
        <v>0</v>
      </c>
      <c r="AC162" s="66"/>
      <c r="AD162" s="66"/>
      <c r="AE162" s="66"/>
      <c r="AF162" s="66"/>
      <c r="AG162" s="66">
        <v>0</v>
      </c>
      <c r="AH162" s="1">
        <v>0</v>
      </c>
      <c r="AI162" s="1">
        <v>0</v>
      </c>
      <c r="AJ162" s="1">
        <v>0</v>
      </c>
      <c r="AK162" s="66" t="s">
        <v>21</v>
      </c>
      <c r="AL162" s="66" t="s">
        <v>21</v>
      </c>
      <c r="AM162" s="67"/>
      <c r="AN162" s="66"/>
      <c r="AO162" s="66"/>
      <c r="AP162" s="66"/>
      <c r="AQ162" s="66"/>
      <c r="AR162" s="68" t="s">
        <v>80</v>
      </c>
      <c r="AS162" s="41"/>
    </row>
    <row r="163" spans="2:45" s="43" customFormat="1" ht="15" customHeight="1">
      <c r="B163" s="1">
        <f t="shared" si="2"/>
        <v>153</v>
      </c>
      <c r="C163" s="1">
        <v>0</v>
      </c>
      <c r="D163" s="54" t="s">
        <v>386</v>
      </c>
      <c r="E163" s="1" t="s">
        <v>294</v>
      </c>
      <c r="F163" s="1" t="s">
        <v>57</v>
      </c>
      <c r="G163" s="1" t="s">
        <v>250</v>
      </c>
      <c r="H163" s="1" t="s">
        <v>263</v>
      </c>
      <c r="I163" s="1"/>
      <c r="J163" s="1" t="s">
        <v>336</v>
      </c>
      <c r="K163" s="1" t="s">
        <v>331</v>
      </c>
      <c r="L163" s="1" t="s">
        <v>12</v>
      </c>
      <c r="M163" s="1">
        <v>0</v>
      </c>
      <c r="N163" s="1">
        <v>0</v>
      </c>
      <c r="O163" s="1">
        <v>2</v>
      </c>
      <c r="P163" s="1">
        <v>0</v>
      </c>
      <c r="Q163" s="1">
        <v>0</v>
      </c>
      <c r="R163" s="60">
        <v>4</v>
      </c>
      <c r="S163" s="1">
        <v>4</v>
      </c>
      <c r="T163" s="1">
        <v>0</v>
      </c>
      <c r="U163" s="1">
        <v>0</v>
      </c>
      <c r="V163" s="1">
        <v>0</v>
      </c>
      <c r="W163" s="1">
        <v>0</v>
      </c>
      <c r="X163" s="1">
        <v>0</v>
      </c>
      <c r="Y163" s="1">
        <v>0</v>
      </c>
      <c r="Z163" s="1">
        <v>0</v>
      </c>
      <c r="AA163" s="1">
        <v>0</v>
      </c>
      <c r="AB163" s="1">
        <v>2</v>
      </c>
      <c r="AC163" s="1"/>
      <c r="AD163" s="1"/>
      <c r="AE163" s="1"/>
      <c r="AF163" s="1"/>
      <c r="AG163" s="1">
        <v>0</v>
      </c>
      <c r="AH163" s="1">
        <v>0</v>
      </c>
      <c r="AI163" s="1">
        <v>0</v>
      </c>
      <c r="AJ163" s="1">
        <v>0</v>
      </c>
      <c r="AK163" s="1" t="s">
        <v>21</v>
      </c>
      <c r="AL163" s="1" t="s">
        <v>21</v>
      </c>
      <c r="AM163" s="17"/>
      <c r="AN163" s="18"/>
      <c r="AO163" s="18"/>
      <c r="AP163" s="18"/>
      <c r="AQ163" s="18"/>
      <c r="AR163" s="10"/>
      <c r="AS163" s="41"/>
    </row>
    <row r="164" spans="2:45" s="43" customFormat="1" ht="15" customHeight="1">
      <c r="B164" s="1">
        <f t="shared" si="2"/>
        <v>154</v>
      </c>
      <c r="C164" s="1">
        <v>1</v>
      </c>
      <c r="D164" s="54" t="s">
        <v>386</v>
      </c>
      <c r="E164" s="1" t="s">
        <v>294</v>
      </c>
      <c r="F164" s="1" t="s">
        <v>57</v>
      </c>
      <c r="G164" s="1" t="s">
        <v>250</v>
      </c>
      <c r="H164" s="1" t="s">
        <v>64</v>
      </c>
      <c r="I164" s="1"/>
      <c r="J164" s="1" t="s">
        <v>86</v>
      </c>
      <c r="K164" s="1" t="s">
        <v>453</v>
      </c>
      <c r="L164" s="1" t="s">
        <v>12</v>
      </c>
      <c r="M164" s="1">
        <v>0</v>
      </c>
      <c r="N164" s="1">
        <v>0</v>
      </c>
      <c r="O164" s="1">
        <v>2</v>
      </c>
      <c r="P164" s="1">
        <v>0</v>
      </c>
      <c r="Q164" s="1">
        <v>0</v>
      </c>
      <c r="R164" s="60">
        <v>4</v>
      </c>
      <c r="S164" s="1">
        <v>4</v>
      </c>
      <c r="T164" s="1">
        <v>0</v>
      </c>
      <c r="U164" s="1">
        <v>0</v>
      </c>
      <c r="V164" s="1">
        <v>0</v>
      </c>
      <c r="W164" s="1">
        <v>0</v>
      </c>
      <c r="X164" s="1">
        <v>0</v>
      </c>
      <c r="Y164" s="1">
        <v>0</v>
      </c>
      <c r="Z164" s="1">
        <v>0</v>
      </c>
      <c r="AA164" s="1">
        <v>0</v>
      </c>
      <c r="AB164" s="1">
        <v>4</v>
      </c>
      <c r="AC164" s="1"/>
      <c r="AD164" s="1"/>
      <c r="AE164" s="1"/>
      <c r="AF164" s="1"/>
      <c r="AG164" s="1">
        <v>0</v>
      </c>
      <c r="AH164" s="1">
        <v>0</v>
      </c>
      <c r="AI164" s="1">
        <v>0</v>
      </c>
      <c r="AJ164" s="1">
        <v>0</v>
      </c>
      <c r="AK164" s="1" t="s">
        <v>21</v>
      </c>
      <c r="AL164" s="1" t="s">
        <v>21</v>
      </c>
      <c r="AM164" s="17"/>
      <c r="AN164" s="18"/>
      <c r="AO164" s="18"/>
      <c r="AP164" s="140" t="s">
        <v>1124</v>
      </c>
      <c r="AQ164" s="86">
        <v>0.9</v>
      </c>
      <c r="AR164" s="10"/>
      <c r="AS164" s="41"/>
    </row>
    <row r="165" spans="2:45" s="43" customFormat="1" ht="15" customHeight="1">
      <c r="B165" s="1">
        <f t="shared" si="2"/>
        <v>155</v>
      </c>
      <c r="C165" s="1">
        <v>1</v>
      </c>
      <c r="D165" s="54" t="s">
        <v>386</v>
      </c>
      <c r="E165" s="1" t="s">
        <v>294</v>
      </c>
      <c r="F165" s="1" t="s">
        <v>57</v>
      </c>
      <c r="G165" s="1" t="s">
        <v>250</v>
      </c>
      <c r="H165" s="1" t="s">
        <v>63</v>
      </c>
      <c r="I165" s="1"/>
      <c r="J165" s="1" t="s">
        <v>88</v>
      </c>
      <c r="K165" s="1" t="s">
        <v>453</v>
      </c>
      <c r="L165" s="1" t="s">
        <v>12</v>
      </c>
      <c r="M165" s="1">
        <v>0</v>
      </c>
      <c r="N165" s="1">
        <v>0</v>
      </c>
      <c r="O165" s="1">
        <v>2</v>
      </c>
      <c r="P165" s="1">
        <v>0</v>
      </c>
      <c r="Q165" s="1">
        <v>0</v>
      </c>
      <c r="R165" s="60">
        <v>4</v>
      </c>
      <c r="S165" s="1">
        <v>4</v>
      </c>
      <c r="T165" s="1">
        <v>0</v>
      </c>
      <c r="U165" s="1">
        <v>0</v>
      </c>
      <c r="V165" s="1">
        <v>0</v>
      </c>
      <c r="W165" s="1">
        <v>0</v>
      </c>
      <c r="X165" s="1">
        <v>0</v>
      </c>
      <c r="Y165" s="1">
        <v>0</v>
      </c>
      <c r="Z165" s="1">
        <v>0</v>
      </c>
      <c r="AA165" s="1">
        <v>0</v>
      </c>
      <c r="AB165" s="1">
        <v>4</v>
      </c>
      <c r="AC165" s="1"/>
      <c r="AD165" s="1"/>
      <c r="AE165" s="1"/>
      <c r="AF165" s="1"/>
      <c r="AG165" s="1">
        <v>0</v>
      </c>
      <c r="AH165" s="1">
        <v>0</v>
      </c>
      <c r="AI165" s="1">
        <v>0</v>
      </c>
      <c r="AJ165" s="1">
        <v>0</v>
      </c>
      <c r="AK165" s="1" t="s">
        <v>21</v>
      </c>
      <c r="AL165" s="1" t="s">
        <v>21</v>
      </c>
      <c r="AM165" s="17"/>
      <c r="AN165" s="18"/>
      <c r="AO165" s="18"/>
      <c r="AP165" s="140" t="s">
        <v>1125</v>
      </c>
      <c r="AQ165" s="145">
        <v>0.5</v>
      </c>
      <c r="AR165" s="10"/>
      <c r="AS165" s="41"/>
    </row>
    <row r="166" spans="2:45" s="43" customFormat="1" ht="15" customHeight="1">
      <c r="B166" s="1">
        <f t="shared" si="2"/>
        <v>156</v>
      </c>
      <c r="C166" s="1">
        <v>0</v>
      </c>
      <c r="D166" s="60" t="s">
        <v>186</v>
      </c>
      <c r="E166" s="1" t="s">
        <v>294</v>
      </c>
      <c r="F166" s="1" t="s">
        <v>57</v>
      </c>
      <c r="G166" s="1" t="s">
        <v>250</v>
      </c>
      <c r="H166" s="1" t="s">
        <v>266</v>
      </c>
      <c r="I166" s="1"/>
      <c r="J166" s="1" t="s">
        <v>86</v>
      </c>
      <c r="K166" s="1" t="s">
        <v>331</v>
      </c>
      <c r="L166" s="1" t="s">
        <v>12</v>
      </c>
      <c r="M166" s="1">
        <v>0</v>
      </c>
      <c r="N166" s="1">
        <v>0</v>
      </c>
      <c r="O166" s="1">
        <v>2</v>
      </c>
      <c r="P166" s="1">
        <v>0</v>
      </c>
      <c r="Q166" s="1">
        <v>0</v>
      </c>
      <c r="R166" s="60">
        <v>4</v>
      </c>
      <c r="S166" s="1">
        <v>4</v>
      </c>
      <c r="T166" s="1">
        <v>0</v>
      </c>
      <c r="U166" s="1">
        <v>0</v>
      </c>
      <c r="V166" s="1">
        <v>0</v>
      </c>
      <c r="W166" s="1">
        <v>0</v>
      </c>
      <c r="X166" s="1">
        <v>0</v>
      </c>
      <c r="Y166" s="1">
        <v>0</v>
      </c>
      <c r="Z166" s="1">
        <v>0</v>
      </c>
      <c r="AA166" s="1">
        <v>0</v>
      </c>
      <c r="AB166" s="1"/>
      <c r="AC166" s="1"/>
      <c r="AD166" s="1"/>
      <c r="AE166" s="1"/>
      <c r="AF166" s="1"/>
      <c r="AG166" s="1">
        <v>0</v>
      </c>
      <c r="AH166" s="1">
        <v>0</v>
      </c>
      <c r="AI166" s="1"/>
      <c r="AJ166" s="1">
        <v>0</v>
      </c>
      <c r="AK166" s="1" t="s">
        <v>21</v>
      </c>
      <c r="AL166" s="1" t="s">
        <v>21</v>
      </c>
      <c r="AM166" s="17"/>
      <c r="AN166" s="18"/>
      <c r="AO166" s="18"/>
      <c r="AP166" s="18"/>
      <c r="AQ166" s="18"/>
      <c r="AR166" s="10" t="s">
        <v>80</v>
      </c>
      <c r="AS166" s="41"/>
    </row>
    <row r="167" spans="2:45" s="43" customFormat="1" ht="15" customHeight="1">
      <c r="B167" s="1">
        <f t="shared" si="2"/>
        <v>157</v>
      </c>
      <c r="C167" s="1">
        <v>0</v>
      </c>
      <c r="D167" s="60" t="s">
        <v>186</v>
      </c>
      <c r="E167" s="1" t="s">
        <v>294</v>
      </c>
      <c r="F167" s="1" t="s">
        <v>57</v>
      </c>
      <c r="G167" s="1" t="s">
        <v>250</v>
      </c>
      <c r="H167" s="1" t="s">
        <v>267</v>
      </c>
      <c r="I167" s="1"/>
      <c r="J167" s="1" t="s">
        <v>87</v>
      </c>
      <c r="K167" s="1" t="s">
        <v>331</v>
      </c>
      <c r="L167" s="1" t="s">
        <v>12</v>
      </c>
      <c r="M167" s="1">
        <v>0</v>
      </c>
      <c r="N167" s="1">
        <v>0</v>
      </c>
      <c r="O167" s="1">
        <v>2</v>
      </c>
      <c r="P167" s="1">
        <v>0</v>
      </c>
      <c r="Q167" s="1">
        <v>0</v>
      </c>
      <c r="R167" s="60">
        <v>4</v>
      </c>
      <c r="S167" s="1">
        <v>4</v>
      </c>
      <c r="T167" s="1">
        <v>0</v>
      </c>
      <c r="U167" s="1">
        <v>0</v>
      </c>
      <c r="V167" s="1">
        <v>0</v>
      </c>
      <c r="W167" s="1">
        <v>0</v>
      </c>
      <c r="X167" s="1">
        <v>0</v>
      </c>
      <c r="Y167" s="1">
        <v>0</v>
      </c>
      <c r="Z167" s="1">
        <v>0</v>
      </c>
      <c r="AA167" s="1">
        <v>0</v>
      </c>
      <c r="AB167" s="1"/>
      <c r="AC167" s="1"/>
      <c r="AD167" s="1"/>
      <c r="AE167" s="1"/>
      <c r="AF167" s="1"/>
      <c r="AG167" s="1">
        <v>0</v>
      </c>
      <c r="AH167" s="1">
        <v>0</v>
      </c>
      <c r="AI167" s="1"/>
      <c r="AJ167" s="1">
        <v>0</v>
      </c>
      <c r="AK167" s="1" t="s">
        <v>21</v>
      </c>
      <c r="AL167" s="1" t="s">
        <v>21</v>
      </c>
      <c r="AM167" s="17"/>
      <c r="AN167" s="18"/>
      <c r="AO167" s="18"/>
      <c r="AP167" s="18"/>
      <c r="AQ167" s="18"/>
      <c r="AR167" s="10" t="s">
        <v>80</v>
      </c>
      <c r="AS167" s="41"/>
    </row>
    <row r="168" spans="2:45" s="43" customFormat="1" ht="15" customHeight="1">
      <c r="B168" s="1">
        <f t="shared" si="2"/>
        <v>158</v>
      </c>
      <c r="C168" s="1">
        <v>1</v>
      </c>
      <c r="D168" s="54" t="s">
        <v>386</v>
      </c>
      <c r="E168" s="1" t="s">
        <v>294</v>
      </c>
      <c r="F168" s="1" t="s">
        <v>57</v>
      </c>
      <c r="G168" s="1" t="s">
        <v>250</v>
      </c>
      <c r="H168" s="1" t="s">
        <v>268</v>
      </c>
      <c r="I168" s="1"/>
      <c r="J168" s="1" t="s">
        <v>87</v>
      </c>
      <c r="K168" s="1" t="s">
        <v>453</v>
      </c>
      <c r="L168" s="1" t="s">
        <v>12</v>
      </c>
      <c r="M168" s="1">
        <v>0</v>
      </c>
      <c r="N168" s="1">
        <v>0</v>
      </c>
      <c r="O168" s="1">
        <v>2</v>
      </c>
      <c r="P168" s="1">
        <v>0</v>
      </c>
      <c r="Q168" s="1">
        <v>0</v>
      </c>
      <c r="R168" s="60">
        <v>4</v>
      </c>
      <c r="S168" s="1">
        <v>4</v>
      </c>
      <c r="T168" s="1">
        <v>0</v>
      </c>
      <c r="U168" s="1">
        <v>0</v>
      </c>
      <c r="V168" s="1">
        <v>0</v>
      </c>
      <c r="W168" s="1">
        <v>0</v>
      </c>
      <c r="X168" s="1">
        <v>0</v>
      </c>
      <c r="Y168" s="1">
        <v>0</v>
      </c>
      <c r="Z168" s="1">
        <v>0</v>
      </c>
      <c r="AA168" s="1">
        <v>0</v>
      </c>
      <c r="AB168" s="1">
        <v>4</v>
      </c>
      <c r="AC168" s="1"/>
      <c r="AD168" s="1"/>
      <c r="AE168" s="1"/>
      <c r="AF168" s="1"/>
      <c r="AG168" s="1">
        <v>0</v>
      </c>
      <c r="AH168" s="1">
        <v>0</v>
      </c>
      <c r="AI168" s="1">
        <v>0</v>
      </c>
      <c r="AJ168" s="1">
        <v>0</v>
      </c>
      <c r="AK168" s="1" t="s">
        <v>21</v>
      </c>
      <c r="AL168" s="1" t="s">
        <v>21</v>
      </c>
      <c r="AM168" s="17"/>
      <c r="AN168" s="18"/>
      <c r="AO168" s="18"/>
      <c r="AP168" s="140" t="s">
        <v>1123</v>
      </c>
      <c r="AQ168" s="145">
        <v>0.5</v>
      </c>
      <c r="AR168" s="10"/>
      <c r="AS168" s="41"/>
    </row>
    <row r="169" spans="2:45" s="43" customFormat="1" ht="15" customHeight="1">
      <c r="B169" s="1">
        <f t="shared" si="2"/>
        <v>159</v>
      </c>
      <c r="C169" s="1">
        <v>1</v>
      </c>
      <c r="D169" s="54" t="s">
        <v>386</v>
      </c>
      <c r="E169" s="1" t="s">
        <v>294</v>
      </c>
      <c r="F169" s="1" t="s">
        <v>57</v>
      </c>
      <c r="G169" s="1" t="s">
        <v>250</v>
      </c>
      <c r="H169" s="1" t="s">
        <v>269</v>
      </c>
      <c r="I169" s="1"/>
      <c r="J169" s="1" t="s">
        <v>335</v>
      </c>
      <c r="K169" s="1" t="s">
        <v>453</v>
      </c>
      <c r="L169" s="1" t="s">
        <v>12</v>
      </c>
      <c r="M169" s="1">
        <v>0</v>
      </c>
      <c r="N169" s="1">
        <v>0</v>
      </c>
      <c r="O169" s="1">
        <v>2</v>
      </c>
      <c r="P169" s="1">
        <v>0</v>
      </c>
      <c r="Q169" s="1">
        <v>0</v>
      </c>
      <c r="R169" s="60">
        <v>4</v>
      </c>
      <c r="S169" s="1">
        <v>4</v>
      </c>
      <c r="T169" s="1">
        <v>0</v>
      </c>
      <c r="U169" s="1">
        <v>0</v>
      </c>
      <c r="V169" s="1">
        <v>0</v>
      </c>
      <c r="W169" s="1">
        <v>0</v>
      </c>
      <c r="X169" s="1">
        <v>0</v>
      </c>
      <c r="Y169" s="1">
        <v>0</v>
      </c>
      <c r="Z169" s="1">
        <v>0</v>
      </c>
      <c r="AA169" s="1">
        <v>0</v>
      </c>
      <c r="AB169" s="1">
        <v>4</v>
      </c>
      <c r="AC169" s="1"/>
      <c r="AD169" s="1"/>
      <c r="AE169" s="1"/>
      <c r="AF169" s="1"/>
      <c r="AG169" s="1">
        <v>0</v>
      </c>
      <c r="AH169" s="1">
        <v>0</v>
      </c>
      <c r="AI169" s="1">
        <v>0</v>
      </c>
      <c r="AJ169" s="1">
        <v>0</v>
      </c>
      <c r="AK169" s="1" t="s">
        <v>21</v>
      </c>
      <c r="AL169" s="1" t="s">
        <v>21</v>
      </c>
      <c r="AM169" s="17"/>
      <c r="AN169" s="18"/>
      <c r="AO169" s="18"/>
      <c r="AP169" s="18"/>
      <c r="AQ169" s="18"/>
      <c r="AR169" s="10"/>
      <c r="AS169" s="41"/>
    </row>
    <row r="170" spans="2:45" s="43" customFormat="1" ht="15" customHeight="1">
      <c r="B170" s="1">
        <f t="shared" si="2"/>
        <v>160</v>
      </c>
      <c r="C170" s="1">
        <v>0</v>
      </c>
      <c r="D170" s="1" t="s">
        <v>177</v>
      </c>
      <c r="E170" s="1" t="s">
        <v>270</v>
      </c>
      <c r="F170" s="1" t="s">
        <v>176</v>
      </c>
      <c r="G170" s="1" t="s">
        <v>177</v>
      </c>
      <c r="H170" s="1" t="s">
        <v>524</v>
      </c>
      <c r="I170" s="1"/>
      <c r="J170" s="1" t="s">
        <v>85</v>
      </c>
      <c r="K170" s="1" t="s">
        <v>330</v>
      </c>
      <c r="L170" s="1" t="s">
        <v>340</v>
      </c>
      <c r="M170" s="1">
        <v>4</v>
      </c>
      <c r="N170" s="1">
        <v>0</v>
      </c>
      <c r="O170" s="1">
        <v>0</v>
      </c>
      <c r="P170" s="1">
        <v>0</v>
      </c>
      <c r="Q170" s="1">
        <v>0</v>
      </c>
      <c r="R170" s="1">
        <v>0</v>
      </c>
      <c r="S170" s="1"/>
      <c r="T170" s="1">
        <v>0</v>
      </c>
      <c r="U170" s="1">
        <v>0</v>
      </c>
      <c r="V170" s="1">
        <v>0</v>
      </c>
      <c r="W170" s="1">
        <v>0</v>
      </c>
      <c r="X170" s="1">
        <v>2</v>
      </c>
      <c r="Y170" s="1"/>
      <c r="Z170" s="1">
        <v>4</v>
      </c>
      <c r="AA170" s="1">
        <v>0</v>
      </c>
      <c r="AB170" s="1"/>
      <c r="AC170" s="1"/>
      <c r="AD170" s="1"/>
      <c r="AE170" s="1">
        <v>3</v>
      </c>
      <c r="AF170" s="1"/>
      <c r="AG170" s="1">
        <v>0</v>
      </c>
      <c r="AH170" s="1">
        <v>0</v>
      </c>
      <c r="AI170" s="1">
        <v>0</v>
      </c>
      <c r="AJ170" s="1">
        <v>0</v>
      </c>
      <c r="AK170" s="1" t="s">
        <v>21</v>
      </c>
      <c r="AL170" s="1" t="s">
        <v>21</v>
      </c>
      <c r="AM170" s="17"/>
      <c r="AN170" s="18" t="s">
        <v>408</v>
      </c>
      <c r="AO170" s="18"/>
      <c r="AP170" s="18"/>
      <c r="AQ170" s="18"/>
      <c r="AR170" s="10"/>
      <c r="AS170" s="41"/>
    </row>
    <row r="171" spans="2:45" s="43" customFormat="1" ht="15" customHeight="1">
      <c r="B171" s="1">
        <f t="shared" si="2"/>
        <v>161</v>
      </c>
      <c r="C171" s="1">
        <v>0</v>
      </c>
      <c r="D171" s="1" t="s">
        <v>186</v>
      </c>
      <c r="E171" s="1" t="s">
        <v>186</v>
      </c>
      <c r="F171" s="1" t="s">
        <v>19</v>
      </c>
      <c r="G171" s="1"/>
      <c r="H171" s="1" t="s">
        <v>272</v>
      </c>
      <c r="I171" s="1"/>
      <c r="J171" s="1" t="s">
        <v>87</v>
      </c>
      <c r="K171" s="1" t="s">
        <v>408</v>
      </c>
      <c r="L171" s="1" t="s">
        <v>340</v>
      </c>
      <c r="M171" s="1">
        <v>0</v>
      </c>
      <c r="N171" s="1">
        <v>0</v>
      </c>
      <c r="O171" s="1">
        <v>0</v>
      </c>
      <c r="P171" s="1">
        <v>3</v>
      </c>
      <c r="Q171" s="1">
        <v>0</v>
      </c>
      <c r="R171" s="1">
        <v>0</v>
      </c>
      <c r="S171" s="1"/>
      <c r="T171" s="1">
        <v>0</v>
      </c>
      <c r="U171" s="1">
        <v>3</v>
      </c>
      <c r="V171" s="1">
        <v>0</v>
      </c>
      <c r="W171" s="1">
        <v>0</v>
      </c>
      <c r="X171" s="1">
        <v>4</v>
      </c>
      <c r="Y171" s="1">
        <v>0</v>
      </c>
      <c r="Z171" s="1">
        <v>4</v>
      </c>
      <c r="AA171" s="1">
        <v>0</v>
      </c>
      <c r="AB171" s="1"/>
      <c r="AC171" s="1"/>
      <c r="AD171" s="1"/>
      <c r="AE171" s="1">
        <v>4</v>
      </c>
      <c r="AF171" s="1">
        <v>0</v>
      </c>
      <c r="AG171" s="1">
        <v>0</v>
      </c>
      <c r="AH171" s="1">
        <v>0</v>
      </c>
      <c r="AI171" s="1">
        <v>0</v>
      </c>
      <c r="AJ171" s="1">
        <v>0</v>
      </c>
      <c r="AK171" s="1" t="s">
        <v>21</v>
      </c>
      <c r="AL171" s="1" t="s">
        <v>21</v>
      </c>
      <c r="AM171" s="17">
        <v>44162</v>
      </c>
      <c r="AN171" s="18" t="s">
        <v>330</v>
      </c>
      <c r="AO171" s="18"/>
      <c r="AP171" s="18"/>
      <c r="AQ171" s="18"/>
      <c r="AR171" s="10"/>
      <c r="AS171" s="41"/>
    </row>
    <row r="172" spans="2:45" s="43" customFormat="1" ht="15" customHeight="1">
      <c r="B172" s="1">
        <f t="shared" si="2"/>
        <v>162</v>
      </c>
      <c r="C172" s="1">
        <v>0</v>
      </c>
      <c r="D172" s="1" t="s">
        <v>177</v>
      </c>
      <c r="E172" s="1" t="s">
        <v>224</v>
      </c>
      <c r="F172" s="1" t="s">
        <v>176</v>
      </c>
      <c r="G172" s="1" t="s">
        <v>177</v>
      </c>
      <c r="H172" s="1" t="s">
        <v>273</v>
      </c>
      <c r="I172" s="1"/>
      <c r="J172" s="1" t="s">
        <v>85</v>
      </c>
      <c r="K172" s="1" t="s">
        <v>330</v>
      </c>
      <c r="L172" s="1" t="s">
        <v>340</v>
      </c>
      <c r="M172" s="1">
        <v>4</v>
      </c>
      <c r="N172" s="1">
        <v>0</v>
      </c>
      <c r="O172" s="1">
        <v>0</v>
      </c>
      <c r="P172" s="1">
        <v>4</v>
      </c>
      <c r="Q172" s="1">
        <v>4</v>
      </c>
      <c r="R172" s="1">
        <v>0</v>
      </c>
      <c r="S172" s="1"/>
      <c r="T172" s="1">
        <v>0</v>
      </c>
      <c r="U172" s="1">
        <v>0</v>
      </c>
      <c r="V172" s="1">
        <v>0</v>
      </c>
      <c r="W172" s="1">
        <v>0</v>
      </c>
      <c r="X172" s="1">
        <v>2</v>
      </c>
      <c r="Y172" s="1"/>
      <c r="Z172" s="1">
        <v>3</v>
      </c>
      <c r="AA172" s="1">
        <v>0</v>
      </c>
      <c r="AB172" s="1"/>
      <c r="AC172" s="1"/>
      <c r="AD172" s="1"/>
      <c r="AE172" s="1"/>
      <c r="AF172" s="1"/>
      <c r="AG172" s="1">
        <v>0</v>
      </c>
      <c r="AH172" s="1">
        <v>0</v>
      </c>
      <c r="AI172" s="1">
        <v>0</v>
      </c>
      <c r="AJ172" s="1">
        <v>0</v>
      </c>
      <c r="AK172" s="1" t="s">
        <v>21</v>
      </c>
      <c r="AL172" s="1" t="s">
        <v>21</v>
      </c>
      <c r="AM172" s="17">
        <v>44105</v>
      </c>
      <c r="AN172" s="18" t="s">
        <v>330</v>
      </c>
      <c r="AO172" s="18"/>
      <c r="AP172" s="18"/>
      <c r="AQ172" s="18"/>
      <c r="AR172" s="10"/>
      <c r="AS172" s="41"/>
    </row>
    <row r="173" spans="2:45" s="43" customFormat="1" ht="15" customHeight="1">
      <c r="B173" s="1">
        <f t="shared" si="2"/>
        <v>163</v>
      </c>
      <c r="C173" s="1">
        <v>0</v>
      </c>
      <c r="D173" s="1" t="s">
        <v>271</v>
      </c>
      <c r="E173" s="1" t="s">
        <v>270</v>
      </c>
      <c r="F173" s="1" t="s">
        <v>176</v>
      </c>
      <c r="G173" s="1" t="s">
        <v>177</v>
      </c>
      <c r="H173" s="1" t="s">
        <v>181</v>
      </c>
      <c r="I173" s="1"/>
      <c r="J173" s="1" t="s">
        <v>85</v>
      </c>
      <c r="K173" s="1" t="s">
        <v>330</v>
      </c>
      <c r="L173" s="1" t="s">
        <v>340</v>
      </c>
      <c r="M173" s="1">
        <v>4</v>
      </c>
      <c r="N173" s="1">
        <v>0</v>
      </c>
      <c r="O173" s="1">
        <v>0</v>
      </c>
      <c r="P173" s="1">
        <v>0</v>
      </c>
      <c r="Q173" s="1">
        <v>0</v>
      </c>
      <c r="R173" s="1">
        <v>0</v>
      </c>
      <c r="S173" s="1"/>
      <c r="T173" s="1">
        <v>0</v>
      </c>
      <c r="U173" s="1">
        <v>0</v>
      </c>
      <c r="V173" s="1">
        <v>0</v>
      </c>
      <c r="W173" s="1">
        <v>0</v>
      </c>
      <c r="X173" s="1">
        <v>2</v>
      </c>
      <c r="Y173" s="1"/>
      <c r="Z173" s="1">
        <v>3</v>
      </c>
      <c r="AA173" s="1">
        <v>0</v>
      </c>
      <c r="AB173" s="1"/>
      <c r="AC173" s="1"/>
      <c r="AD173" s="1"/>
      <c r="AE173" s="1"/>
      <c r="AF173" s="1"/>
      <c r="AG173" s="1">
        <v>0</v>
      </c>
      <c r="AH173" s="1">
        <v>0</v>
      </c>
      <c r="AI173" s="1">
        <v>0</v>
      </c>
      <c r="AJ173" s="1">
        <v>0</v>
      </c>
      <c r="AK173" s="1" t="s">
        <v>21</v>
      </c>
      <c r="AL173" s="1" t="s">
        <v>21</v>
      </c>
      <c r="AM173" s="17">
        <v>44105</v>
      </c>
      <c r="AN173" s="18" t="s">
        <v>330</v>
      </c>
      <c r="AO173" s="18"/>
      <c r="AP173" s="18"/>
      <c r="AQ173" s="18"/>
      <c r="AR173" s="10"/>
      <c r="AS173" s="41"/>
    </row>
    <row r="174" spans="2:45" s="43" customFormat="1" ht="15" customHeight="1">
      <c r="B174" s="1">
        <f t="shared" si="2"/>
        <v>164</v>
      </c>
      <c r="C174" s="1">
        <v>0</v>
      </c>
      <c r="D174" s="1" t="s">
        <v>10</v>
      </c>
      <c r="E174" s="1" t="s">
        <v>224</v>
      </c>
      <c r="F174" s="1" t="s">
        <v>274</v>
      </c>
      <c r="G174" s="1" t="s">
        <v>274</v>
      </c>
      <c r="H174" s="1" t="s">
        <v>274</v>
      </c>
      <c r="I174" s="1"/>
      <c r="J174" s="1" t="s">
        <v>85</v>
      </c>
      <c r="K174" s="1" t="s">
        <v>94</v>
      </c>
      <c r="L174" s="1" t="s">
        <v>13</v>
      </c>
      <c r="M174" s="1">
        <v>0</v>
      </c>
      <c r="N174" s="1">
        <v>0</v>
      </c>
      <c r="O174" s="1">
        <v>0</v>
      </c>
      <c r="P174" s="1">
        <v>0</v>
      </c>
      <c r="Q174" s="1">
        <v>0</v>
      </c>
      <c r="R174" s="1">
        <v>0</v>
      </c>
      <c r="S174" s="1"/>
      <c r="T174" s="1">
        <v>4</v>
      </c>
      <c r="U174" s="1">
        <v>0</v>
      </c>
      <c r="V174" s="1">
        <v>0</v>
      </c>
      <c r="W174" s="1">
        <v>2</v>
      </c>
      <c r="X174" s="1">
        <v>0</v>
      </c>
      <c r="Y174" s="1"/>
      <c r="Z174" s="1"/>
      <c r="AA174" s="1">
        <v>0</v>
      </c>
      <c r="AB174" s="1"/>
      <c r="AC174" s="1"/>
      <c r="AD174" s="1"/>
      <c r="AE174" s="1"/>
      <c r="AF174" s="1"/>
      <c r="AG174" s="1">
        <v>0</v>
      </c>
      <c r="AH174" s="1">
        <v>0</v>
      </c>
      <c r="AI174" s="1"/>
      <c r="AJ174" s="1">
        <v>0</v>
      </c>
      <c r="AK174" s="1" t="s">
        <v>21</v>
      </c>
      <c r="AL174" s="1" t="s">
        <v>21</v>
      </c>
      <c r="AM174" s="17"/>
      <c r="AN174" s="18"/>
      <c r="AO174" s="18"/>
      <c r="AP174" s="18"/>
      <c r="AQ174" s="18"/>
      <c r="AR174" s="10"/>
      <c r="AS174" s="41"/>
    </row>
    <row r="175" spans="2:45" s="43" customFormat="1" ht="15" customHeight="1">
      <c r="B175" s="1">
        <f t="shared" si="2"/>
        <v>165</v>
      </c>
      <c r="C175" s="1">
        <v>1</v>
      </c>
      <c r="D175" s="1" t="s">
        <v>186</v>
      </c>
      <c r="E175" s="1" t="s">
        <v>186</v>
      </c>
      <c r="F175" s="1" t="s">
        <v>46</v>
      </c>
      <c r="G175" s="1" t="s">
        <v>46</v>
      </c>
      <c r="H175" s="1" t="s">
        <v>278</v>
      </c>
      <c r="I175" s="1"/>
      <c r="J175" s="1" t="s">
        <v>85</v>
      </c>
      <c r="K175" s="1" t="s">
        <v>61</v>
      </c>
      <c r="L175" s="1" t="s">
        <v>170</v>
      </c>
      <c r="M175" s="1">
        <v>0</v>
      </c>
      <c r="N175" s="1">
        <v>0</v>
      </c>
      <c r="O175" s="1">
        <v>0</v>
      </c>
      <c r="P175" s="1">
        <v>0</v>
      </c>
      <c r="Q175" s="1">
        <v>0</v>
      </c>
      <c r="R175" s="1">
        <v>0</v>
      </c>
      <c r="S175" s="1"/>
      <c r="T175" s="1">
        <v>4</v>
      </c>
      <c r="U175" s="1">
        <v>0</v>
      </c>
      <c r="V175" s="1">
        <v>0</v>
      </c>
      <c r="W175" s="1">
        <v>2</v>
      </c>
      <c r="X175" s="1">
        <v>0</v>
      </c>
      <c r="Y175" s="1"/>
      <c r="Z175" s="1"/>
      <c r="AA175" s="1">
        <v>0</v>
      </c>
      <c r="AB175" s="1"/>
      <c r="AC175" s="1"/>
      <c r="AD175" s="1"/>
      <c r="AE175" s="1"/>
      <c r="AF175" s="1"/>
      <c r="AG175" s="1">
        <v>0</v>
      </c>
      <c r="AH175" s="1">
        <v>0</v>
      </c>
      <c r="AI175" s="1">
        <v>0</v>
      </c>
      <c r="AJ175" s="1">
        <v>0</v>
      </c>
      <c r="AK175" s="1" t="s">
        <v>21</v>
      </c>
      <c r="AL175" s="1" t="s">
        <v>21</v>
      </c>
      <c r="AM175" s="17"/>
      <c r="AN175" s="18"/>
      <c r="AO175" s="18"/>
      <c r="AP175" s="18"/>
      <c r="AQ175" s="18"/>
      <c r="AR175" s="10"/>
      <c r="AS175" s="41"/>
    </row>
    <row r="176" spans="2:45" s="43" customFormat="1" ht="15" customHeight="1">
      <c r="B176" s="1">
        <f t="shared" si="2"/>
        <v>166</v>
      </c>
      <c r="C176" s="1">
        <v>1</v>
      </c>
      <c r="D176" s="1" t="s">
        <v>186</v>
      </c>
      <c r="E176" s="1" t="s">
        <v>186</v>
      </c>
      <c r="F176" s="1" t="s">
        <v>275</v>
      </c>
      <c r="G176" s="1" t="s">
        <v>186</v>
      </c>
      <c r="H176" s="1" t="s">
        <v>276</v>
      </c>
      <c r="I176" s="1"/>
      <c r="J176" s="1" t="s">
        <v>85</v>
      </c>
      <c r="K176" s="1" t="s">
        <v>61</v>
      </c>
      <c r="L176" s="1" t="s">
        <v>170</v>
      </c>
      <c r="M176" s="1">
        <v>0</v>
      </c>
      <c r="N176" s="1">
        <v>0</v>
      </c>
      <c r="O176" s="1">
        <v>0</v>
      </c>
      <c r="P176" s="1">
        <v>0</v>
      </c>
      <c r="Q176" s="1">
        <v>0</v>
      </c>
      <c r="R176" s="1">
        <v>0</v>
      </c>
      <c r="S176" s="1"/>
      <c r="T176" s="1">
        <v>4</v>
      </c>
      <c r="U176" s="1">
        <v>0</v>
      </c>
      <c r="V176" s="1">
        <v>0</v>
      </c>
      <c r="W176" s="1">
        <v>2</v>
      </c>
      <c r="X176" s="1">
        <v>0</v>
      </c>
      <c r="Y176" s="1"/>
      <c r="Z176" s="1"/>
      <c r="AA176" s="1">
        <v>0</v>
      </c>
      <c r="AB176" s="1"/>
      <c r="AC176" s="1"/>
      <c r="AD176" s="1"/>
      <c r="AE176" s="1"/>
      <c r="AF176" s="1"/>
      <c r="AG176" s="1">
        <v>0</v>
      </c>
      <c r="AH176" s="1">
        <v>0</v>
      </c>
      <c r="AI176" s="1">
        <v>0</v>
      </c>
      <c r="AJ176" s="1">
        <v>0</v>
      </c>
      <c r="AK176" s="1" t="s">
        <v>21</v>
      </c>
      <c r="AL176" s="1" t="s">
        <v>21</v>
      </c>
      <c r="AM176" s="17"/>
      <c r="AN176" s="18"/>
      <c r="AO176" s="18"/>
      <c r="AP176" s="18"/>
      <c r="AQ176" s="18"/>
      <c r="AR176" s="10" t="s">
        <v>277</v>
      </c>
      <c r="AS176" s="41"/>
    </row>
    <row r="177" spans="2:45" s="43" customFormat="1" ht="15" customHeight="1">
      <c r="B177" s="1">
        <f t="shared" si="2"/>
        <v>167</v>
      </c>
      <c r="C177" s="1">
        <v>1</v>
      </c>
      <c r="D177" s="1" t="s">
        <v>212</v>
      </c>
      <c r="E177" s="1" t="s">
        <v>101</v>
      </c>
      <c r="F177" s="1" t="s">
        <v>282</v>
      </c>
      <c r="G177" s="1" t="s">
        <v>282</v>
      </c>
      <c r="H177" s="1" t="s">
        <v>279</v>
      </c>
      <c r="I177" s="1"/>
      <c r="J177" s="1" t="s">
        <v>85</v>
      </c>
      <c r="K177" s="1" t="s">
        <v>452</v>
      </c>
      <c r="L177" s="1" t="s">
        <v>452</v>
      </c>
      <c r="M177" s="1">
        <v>0</v>
      </c>
      <c r="N177" s="1">
        <v>0</v>
      </c>
      <c r="O177" s="1">
        <v>0</v>
      </c>
      <c r="P177" s="1">
        <v>0</v>
      </c>
      <c r="Q177" s="1">
        <v>0</v>
      </c>
      <c r="R177" s="1">
        <v>0</v>
      </c>
      <c r="S177" s="1">
        <v>0</v>
      </c>
      <c r="T177" s="1">
        <v>4</v>
      </c>
      <c r="U177" s="1">
        <v>0</v>
      </c>
      <c r="V177" s="1">
        <v>0</v>
      </c>
      <c r="W177" s="1">
        <v>2</v>
      </c>
      <c r="X177" s="1">
        <v>0</v>
      </c>
      <c r="Y177" s="1">
        <v>2</v>
      </c>
      <c r="Z177" s="1">
        <v>0</v>
      </c>
      <c r="AA177" s="1">
        <v>0</v>
      </c>
      <c r="AB177" s="1"/>
      <c r="AC177" s="1"/>
      <c r="AD177" s="1"/>
      <c r="AE177" s="1"/>
      <c r="AF177" s="1">
        <v>4</v>
      </c>
      <c r="AG177" s="1">
        <v>4</v>
      </c>
      <c r="AH177" s="1">
        <v>0</v>
      </c>
      <c r="AI177" s="1">
        <v>0</v>
      </c>
      <c r="AJ177" s="1">
        <v>2</v>
      </c>
      <c r="AK177" s="1" t="s">
        <v>21</v>
      </c>
      <c r="AL177" s="1" t="s">
        <v>21</v>
      </c>
      <c r="AM177" s="17">
        <v>44967</v>
      </c>
      <c r="AN177" s="18" t="s">
        <v>417</v>
      </c>
      <c r="AO177" s="140" t="s">
        <v>1136</v>
      </c>
      <c r="AP177" s="140" t="s">
        <v>1137</v>
      </c>
      <c r="AQ177" s="75">
        <v>0.9</v>
      </c>
      <c r="AR177" s="10"/>
      <c r="AS177" s="41"/>
    </row>
    <row r="178" spans="2:45" s="43" customFormat="1" ht="15" customHeight="1">
      <c r="B178" s="1">
        <f t="shared" si="2"/>
        <v>168</v>
      </c>
      <c r="C178" s="1">
        <v>1</v>
      </c>
      <c r="D178" s="1" t="s">
        <v>212</v>
      </c>
      <c r="E178" s="1" t="s">
        <v>101</v>
      </c>
      <c r="F178" s="1" t="s">
        <v>282</v>
      </c>
      <c r="G178" s="1" t="s">
        <v>282</v>
      </c>
      <c r="H178" s="1" t="s">
        <v>280</v>
      </c>
      <c r="I178" s="1"/>
      <c r="J178" s="1" t="s">
        <v>85</v>
      </c>
      <c r="K178" s="1" t="s">
        <v>452</v>
      </c>
      <c r="L178" s="1" t="s">
        <v>452</v>
      </c>
      <c r="M178" s="1">
        <v>0</v>
      </c>
      <c r="N178" s="1">
        <v>0</v>
      </c>
      <c r="O178" s="1">
        <v>0</v>
      </c>
      <c r="P178" s="1">
        <v>0</v>
      </c>
      <c r="Q178" s="1">
        <v>0</v>
      </c>
      <c r="R178" s="1">
        <v>0</v>
      </c>
      <c r="S178" s="1">
        <v>0</v>
      </c>
      <c r="T178" s="1">
        <v>4</v>
      </c>
      <c r="U178" s="1">
        <v>0</v>
      </c>
      <c r="V178" s="1">
        <v>0</v>
      </c>
      <c r="W178" s="1">
        <v>2</v>
      </c>
      <c r="X178" s="1">
        <v>0</v>
      </c>
      <c r="Y178" s="1">
        <v>2</v>
      </c>
      <c r="Z178" s="1">
        <v>0</v>
      </c>
      <c r="AA178" s="1">
        <v>0</v>
      </c>
      <c r="AB178" s="1"/>
      <c r="AC178" s="1"/>
      <c r="AD178" s="1"/>
      <c r="AE178" s="1"/>
      <c r="AF178" s="1">
        <v>4</v>
      </c>
      <c r="AG178" s="1">
        <v>4</v>
      </c>
      <c r="AH178" s="1">
        <v>0</v>
      </c>
      <c r="AI178" s="1">
        <v>0</v>
      </c>
      <c r="AJ178" s="1">
        <v>2</v>
      </c>
      <c r="AK178" s="1" t="s">
        <v>21</v>
      </c>
      <c r="AL178" s="1" t="s">
        <v>21</v>
      </c>
      <c r="AM178" s="17">
        <v>44967</v>
      </c>
      <c r="AN178" s="18" t="s">
        <v>417</v>
      </c>
      <c r="AO178" s="140" t="s">
        <v>1136</v>
      </c>
      <c r="AP178" s="140" t="s">
        <v>1137</v>
      </c>
      <c r="AQ178" s="75">
        <v>0.9</v>
      </c>
      <c r="AR178" s="10"/>
      <c r="AS178" s="41"/>
    </row>
    <row r="179" spans="2:45" s="43" customFormat="1" ht="15" customHeight="1">
      <c r="B179" s="1">
        <f t="shared" si="2"/>
        <v>169</v>
      </c>
      <c r="C179" s="1">
        <v>1</v>
      </c>
      <c r="D179" s="1" t="s">
        <v>212</v>
      </c>
      <c r="E179" s="1" t="s">
        <v>101</v>
      </c>
      <c r="F179" s="1" t="s">
        <v>282</v>
      </c>
      <c r="G179" s="1" t="s">
        <v>282</v>
      </c>
      <c r="H179" s="1" t="s">
        <v>281</v>
      </c>
      <c r="I179" s="1"/>
      <c r="J179" s="1" t="s">
        <v>85</v>
      </c>
      <c r="K179" s="1" t="s">
        <v>452</v>
      </c>
      <c r="L179" s="1" t="s">
        <v>452</v>
      </c>
      <c r="M179" s="1">
        <v>0</v>
      </c>
      <c r="N179" s="1">
        <v>0</v>
      </c>
      <c r="O179" s="1">
        <v>0</v>
      </c>
      <c r="P179" s="1">
        <v>0</v>
      </c>
      <c r="Q179" s="1">
        <v>0</v>
      </c>
      <c r="R179" s="1">
        <v>0</v>
      </c>
      <c r="S179" s="1">
        <v>0</v>
      </c>
      <c r="T179" s="1">
        <v>4</v>
      </c>
      <c r="U179" s="1">
        <v>0</v>
      </c>
      <c r="V179" s="1">
        <v>0</v>
      </c>
      <c r="W179" s="1">
        <v>2</v>
      </c>
      <c r="X179" s="1">
        <v>0</v>
      </c>
      <c r="Y179" s="1">
        <v>2</v>
      </c>
      <c r="Z179" s="1">
        <v>0</v>
      </c>
      <c r="AA179" s="1">
        <v>0</v>
      </c>
      <c r="AB179" s="1"/>
      <c r="AC179" s="1"/>
      <c r="AD179" s="1"/>
      <c r="AE179" s="1"/>
      <c r="AF179" s="1">
        <v>4</v>
      </c>
      <c r="AG179" s="1">
        <v>4</v>
      </c>
      <c r="AH179" s="1">
        <v>0</v>
      </c>
      <c r="AI179" s="1">
        <v>0</v>
      </c>
      <c r="AJ179" s="1">
        <v>2</v>
      </c>
      <c r="AK179" s="1" t="s">
        <v>21</v>
      </c>
      <c r="AL179" s="1" t="s">
        <v>21</v>
      </c>
      <c r="AM179" s="17">
        <v>44967</v>
      </c>
      <c r="AN179" s="18" t="s">
        <v>417</v>
      </c>
      <c r="AO179" s="140" t="s">
        <v>1136</v>
      </c>
      <c r="AP179" s="140" t="s">
        <v>1137</v>
      </c>
      <c r="AQ179" s="75">
        <v>0.9</v>
      </c>
      <c r="AR179" s="10"/>
      <c r="AS179" s="41"/>
    </row>
    <row r="180" spans="2:45" s="51" customFormat="1" ht="15" customHeight="1">
      <c r="B180" s="1">
        <f t="shared" si="2"/>
        <v>170</v>
      </c>
      <c r="C180" s="47">
        <v>1</v>
      </c>
      <c r="D180" s="47" t="s">
        <v>283</v>
      </c>
      <c r="E180" s="47" t="s">
        <v>52</v>
      </c>
      <c r="F180" s="47" t="s">
        <v>284</v>
      </c>
      <c r="G180" s="47" t="s">
        <v>284</v>
      </c>
      <c r="H180" s="47" t="s">
        <v>362</v>
      </c>
      <c r="I180" s="47"/>
      <c r="J180" s="47" t="s">
        <v>85</v>
      </c>
      <c r="K180" s="47" t="s">
        <v>312</v>
      </c>
      <c r="L180" s="47" t="s">
        <v>408</v>
      </c>
      <c r="M180" s="47">
        <v>4</v>
      </c>
      <c r="N180" s="47">
        <v>3</v>
      </c>
      <c r="O180" s="47">
        <v>0</v>
      </c>
      <c r="P180" s="47">
        <v>0</v>
      </c>
      <c r="Q180" s="47">
        <v>0</v>
      </c>
      <c r="R180" s="47">
        <v>0</v>
      </c>
      <c r="S180" s="47"/>
      <c r="T180" s="47">
        <v>0</v>
      </c>
      <c r="U180" s="47">
        <v>0</v>
      </c>
      <c r="V180" s="47">
        <v>4</v>
      </c>
      <c r="W180" s="47">
        <v>0</v>
      </c>
      <c r="X180" s="1"/>
      <c r="Y180" s="47">
        <v>4</v>
      </c>
      <c r="Z180" s="47">
        <v>3</v>
      </c>
      <c r="AA180" s="1"/>
      <c r="AB180" s="1"/>
      <c r="AC180" s="1"/>
      <c r="AD180" s="1"/>
      <c r="AE180" s="1">
        <v>3</v>
      </c>
      <c r="AF180" s="1"/>
      <c r="AG180" s="1"/>
      <c r="AH180" s="1">
        <v>0</v>
      </c>
      <c r="AI180" s="1">
        <v>0</v>
      </c>
      <c r="AJ180" s="1">
        <v>0</v>
      </c>
      <c r="AK180" s="47" t="s">
        <v>21</v>
      </c>
      <c r="AL180" s="47" t="s">
        <v>21</v>
      </c>
      <c r="AM180" s="48" t="s">
        <v>416</v>
      </c>
      <c r="AN180" s="18" t="s">
        <v>410</v>
      </c>
      <c r="AO180" s="18"/>
      <c r="AP180" s="18"/>
      <c r="AQ180" s="18"/>
      <c r="AR180" s="50"/>
      <c r="AS180" s="52"/>
    </row>
    <row r="181" spans="2:45" s="43" customFormat="1" ht="15" customHeight="1">
      <c r="B181" s="1">
        <f t="shared" si="2"/>
        <v>171</v>
      </c>
      <c r="C181" s="1">
        <v>1</v>
      </c>
      <c r="D181" s="1" t="s">
        <v>177</v>
      </c>
      <c r="E181" s="1" t="s">
        <v>294</v>
      </c>
      <c r="F181" s="1" t="s">
        <v>176</v>
      </c>
      <c r="G181" s="1" t="s">
        <v>177</v>
      </c>
      <c r="H181" s="1" t="s">
        <v>367</v>
      </c>
      <c r="I181" s="1"/>
      <c r="J181" s="1" t="s">
        <v>85</v>
      </c>
      <c r="K181" s="1" t="s">
        <v>330</v>
      </c>
      <c r="L181" s="1" t="s">
        <v>340</v>
      </c>
      <c r="M181" s="1">
        <v>4</v>
      </c>
      <c r="N181" s="1">
        <v>0</v>
      </c>
      <c r="O181" s="1">
        <v>0</v>
      </c>
      <c r="P181" s="1">
        <v>4</v>
      </c>
      <c r="Q181" s="1">
        <v>4</v>
      </c>
      <c r="R181" s="1">
        <v>0</v>
      </c>
      <c r="S181" s="1"/>
      <c r="T181" s="1">
        <v>0</v>
      </c>
      <c r="U181" s="1">
        <v>0</v>
      </c>
      <c r="V181" s="1">
        <v>0</v>
      </c>
      <c r="W181" s="1">
        <v>0</v>
      </c>
      <c r="X181" s="1">
        <v>2</v>
      </c>
      <c r="Y181" s="1"/>
      <c r="Z181" s="1">
        <v>4</v>
      </c>
      <c r="AA181" s="1">
        <v>0</v>
      </c>
      <c r="AB181" s="1"/>
      <c r="AC181" s="1"/>
      <c r="AD181" s="1"/>
      <c r="AE181" s="1">
        <v>3</v>
      </c>
      <c r="AF181" s="1"/>
      <c r="AG181" s="1">
        <v>0</v>
      </c>
      <c r="AH181" s="1">
        <v>0</v>
      </c>
      <c r="AI181" s="1">
        <v>0</v>
      </c>
      <c r="AJ181" s="1">
        <v>0</v>
      </c>
      <c r="AK181" s="1" t="s">
        <v>21</v>
      </c>
      <c r="AL181" s="1" t="s">
        <v>21</v>
      </c>
      <c r="AM181" s="17">
        <v>44854</v>
      </c>
      <c r="AN181" s="18" t="s">
        <v>408</v>
      </c>
      <c r="AO181" s="18"/>
      <c r="AP181" s="18"/>
      <c r="AQ181" s="18"/>
      <c r="AR181" s="10"/>
      <c r="AS181" s="41"/>
    </row>
    <row r="182" spans="2:45" s="43" customFormat="1" ht="15" customHeight="1">
      <c r="B182" s="1">
        <f t="shared" si="2"/>
        <v>172</v>
      </c>
      <c r="C182" s="1">
        <v>1</v>
      </c>
      <c r="D182" s="1" t="s">
        <v>177</v>
      </c>
      <c r="E182" s="1" t="s">
        <v>294</v>
      </c>
      <c r="F182" s="1" t="s">
        <v>176</v>
      </c>
      <c r="G182" s="1" t="s">
        <v>177</v>
      </c>
      <c r="H182" s="1" t="s">
        <v>368</v>
      </c>
      <c r="I182" s="1"/>
      <c r="J182" s="1" t="s">
        <v>85</v>
      </c>
      <c r="K182" s="1" t="s">
        <v>330</v>
      </c>
      <c r="L182" s="1" t="s">
        <v>340</v>
      </c>
      <c r="M182" s="1">
        <v>4</v>
      </c>
      <c r="N182" s="1">
        <v>0</v>
      </c>
      <c r="O182" s="1">
        <v>0</v>
      </c>
      <c r="P182" s="1">
        <v>4</v>
      </c>
      <c r="Q182" s="1">
        <v>4</v>
      </c>
      <c r="R182" s="1">
        <v>0</v>
      </c>
      <c r="S182" s="1"/>
      <c r="T182" s="1">
        <v>0</v>
      </c>
      <c r="U182" s="1">
        <v>0</v>
      </c>
      <c r="V182" s="1">
        <v>0</v>
      </c>
      <c r="W182" s="1">
        <v>0</v>
      </c>
      <c r="X182" s="1">
        <v>2</v>
      </c>
      <c r="Y182" s="1"/>
      <c r="Z182" s="1">
        <v>4</v>
      </c>
      <c r="AA182" s="1">
        <v>0</v>
      </c>
      <c r="AB182" s="1"/>
      <c r="AC182" s="1"/>
      <c r="AD182" s="1"/>
      <c r="AE182" s="1">
        <v>3</v>
      </c>
      <c r="AF182" s="1"/>
      <c r="AG182" s="1">
        <v>0</v>
      </c>
      <c r="AH182" s="1">
        <v>0</v>
      </c>
      <c r="AI182" s="1">
        <v>0</v>
      </c>
      <c r="AJ182" s="1">
        <v>0</v>
      </c>
      <c r="AK182" s="1" t="s">
        <v>21</v>
      </c>
      <c r="AL182" s="1" t="s">
        <v>21</v>
      </c>
      <c r="AM182" s="17">
        <v>44854</v>
      </c>
      <c r="AN182" s="18" t="s">
        <v>408</v>
      </c>
      <c r="AO182" s="18"/>
      <c r="AP182" s="18"/>
      <c r="AQ182" s="18"/>
      <c r="AR182" s="10"/>
      <c r="AS182" s="41"/>
    </row>
    <row r="183" spans="2:45" s="43" customFormat="1" ht="15" customHeight="1">
      <c r="B183" s="1">
        <f t="shared" si="2"/>
        <v>173</v>
      </c>
      <c r="C183" s="1">
        <v>0</v>
      </c>
      <c r="D183" s="1" t="s">
        <v>177</v>
      </c>
      <c r="E183" s="1" t="s">
        <v>294</v>
      </c>
      <c r="F183" s="1" t="s">
        <v>176</v>
      </c>
      <c r="G183" s="1" t="s">
        <v>177</v>
      </c>
      <c r="H183" s="1" t="s">
        <v>373</v>
      </c>
      <c r="I183" s="1"/>
      <c r="J183" s="1" t="s">
        <v>85</v>
      </c>
      <c r="K183" s="1" t="s">
        <v>330</v>
      </c>
      <c r="L183" s="1" t="s">
        <v>340</v>
      </c>
      <c r="M183" s="1">
        <v>4</v>
      </c>
      <c r="N183" s="1">
        <v>0</v>
      </c>
      <c r="O183" s="1">
        <v>0</v>
      </c>
      <c r="P183" s="1">
        <v>4</v>
      </c>
      <c r="Q183" s="1">
        <v>4</v>
      </c>
      <c r="R183" s="1">
        <v>0</v>
      </c>
      <c r="S183" s="1"/>
      <c r="T183" s="1">
        <v>0</v>
      </c>
      <c r="U183" s="1">
        <v>0</v>
      </c>
      <c r="V183" s="1">
        <v>0</v>
      </c>
      <c r="W183" s="1">
        <v>0</v>
      </c>
      <c r="X183" s="1">
        <v>2</v>
      </c>
      <c r="Y183" s="1"/>
      <c r="Z183" s="1">
        <v>3</v>
      </c>
      <c r="AA183" s="1">
        <v>0</v>
      </c>
      <c r="AB183" s="1"/>
      <c r="AC183" s="1"/>
      <c r="AD183" s="1"/>
      <c r="AE183" s="1"/>
      <c r="AF183" s="1"/>
      <c r="AG183" s="1">
        <v>0</v>
      </c>
      <c r="AH183" s="1">
        <v>0</v>
      </c>
      <c r="AI183" s="1">
        <v>0</v>
      </c>
      <c r="AJ183" s="1">
        <v>0</v>
      </c>
      <c r="AK183" s="1" t="s">
        <v>21</v>
      </c>
      <c r="AL183" s="1" t="s">
        <v>21</v>
      </c>
      <c r="AM183" s="17">
        <v>44107</v>
      </c>
      <c r="AN183" s="18" t="s">
        <v>330</v>
      </c>
      <c r="AO183" s="18"/>
      <c r="AP183" s="18"/>
      <c r="AQ183" s="18"/>
      <c r="AR183" s="10"/>
      <c r="AS183" s="41"/>
    </row>
    <row r="184" spans="2:45" s="43" customFormat="1" ht="15" customHeight="1">
      <c r="B184" s="1">
        <f t="shared" si="2"/>
        <v>174</v>
      </c>
      <c r="C184" s="1">
        <v>0</v>
      </c>
      <c r="D184" s="1" t="s">
        <v>177</v>
      </c>
      <c r="E184" s="1" t="s">
        <v>294</v>
      </c>
      <c r="F184" s="1" t="s">
        <v>176</v>
      </c>
      <c r="G184" s="1" t="s">
        <v>177</v>
      </c>
      <c r="H184" s="1" t="s">
        <v>369</v>
      </c>
      <c r="I184" s="1"/>
      <c r="J184" s="1" t="s">
        <v>85</v>
      </c>
      <c r="K184" s="1" t="s">
        <v>330</v>
      </c>
      <c r="L184" s="1" t="s">
        <v>340</v>
      </c>
      <c r="M184" s="1">
        <v>4</v>
      </c>
      <c r="N184" s="1">
        <v>0</v>
      </c>
      <c r="O184" s="1">
        <v>0</v>
      </c>
      <c r="P184" s="1">
        <v>4</v>
      </c>
      <c r="Q184" s="1">
        <v>4</v>
      </c>
      <c r="R184" s="1">
        <v>0</v>
      </c>
      <c r="S184" s="1"/>
      <c r="T184" s="1">
        <v>0</v>
      </c>
      <c r="U184" s="1">
        <v>0</v>
      </c>
      <c r="V184" s="1">
        <v>0</v>
      </c>
      <c r="W184" s="1">
        <v>0</v>
      </c>
      <c r="X184" s="1">
        <v>2</v>
      </c>
      <c r="Y184" s="1"/>
      <c r="Z184" s="1">
        <v>3</v>
      </c>
      <c r="AA184" s="1">
        <v>0</v>
      </c>
      <c r="AB184" s="1"/>
      <c r="AC184" s="1"/>
      <c r="AD184" s="1"/>
      <c r="AE184" s="1"/>
      <c r="AF184" s="1"/>
      <c r="AG184" s="1">
        <v>0</v>
      </c>
      <c r="AH184" s="1">
        <v>0</v>
      </c>
      <c r="AI184" s="1">
        <v>0</v>
      </c>
      <c r="AJ184" s="1">
        <v>0</v>
      </c>
      <c r="AK184" s="1" t="s">
        <v>21</v>
      </c>
      <c r="AL184" s="1" t="s">
        <v>21</v>
      </c>
      <c r="AM184" s="17">
        <v>44108</v>
      </c>
      <c r="AN184" s="18" t="s">
        <v>330</v>
      </c>
      <c r="AO184" s="18"/>
      <c r="AP184" s="18"/>
      <c r="AQ184" s="18"/>
      <c r="AR184" s="10"/>
      <c r="AS184" s="41"/>
    </row>
    <row r="185" spans="2:45" s="43" customFormat="1" ht="15" customHeight="1">
      <c r="B185" s="1">
        <f t="shared" si="2"/>
        <v>175</v>
      </c>
      <c r="C185" s="1">
        <v>0</v>
      </c>
      <c r="D185" s="1" t="s">
        <v>177</v>
      </c>
      <c r="E185" s="1" t="s">
        <v>294</v>
      </c>
      <c r="F185" s="1" t="s">
        <v>176</v>
      </c>
      <c r="G185" s="1" t="s">
        <v>177</v>
      </c>
      <c r="H185" s="1" t="s">
        <v>370</v>
      </c>
      <c r="I185" s="1"/>
      <c r="J185" s="1" t="s">
        <v>85</v>
      </c>
      <c r="K185" s="1" t="s">
        <v>330</v>
      </c>
      <c r="L185" s="1" t="s">
        <v>340</v>
      </c>
      <c r="M185" s="1">
        <v>4</v>
      </c>
      <c r="N185" s="1">
        <v>0</v>
      </c>
      <c r="O185" s="1">
        <v>0</v>
      </c>
      <c r="P185" s="1">
        <v>4</v>
      </c>
      <c r="Q185" s="1">
        <v>4</v>
      </c>
      <c r="R185" s="1">
        <v>0</v>
      </c>
      <c r="S185" s="1"/>
      <c r="T185" s="1">
        <v>0</v>
      </c>
      <c r="U185" s="1">
        <v>0</v>
      </c>
      <c r="V185" s="1">
        <v>0</v>
      </c>
      <c r="W185" s="1">
        <v>0</v>
      </c>
      <c r="X185" s="1">
        <v>2</v>
      </c>
      <c r="Y185" s="1"/>
      <c r="Z185" s="1">
        <v>3</v>
      </c>
      <c r="AA185" s="1">
        <v>0</v>
      </c>
      <c r="AB185" s="1"/>
      <c r="AC185" s="1"/>
      <c r="AD185" s="1"/>
      <c r="AE185" s="1"/>
      <c r="AF185" s="1"/>
      <c r="AG185" s="1">
        <v>0</v>
      </c>
      <c r="AH185" s="1">
        <v>0</v>
      </c>
      <c r="AI185" s="1">
        <v>0</v>
      </c>
      <c r="AJ185" s="1">
        <v>0</v>
      </c>
      <c r="AK185" s="1" t="s">
        <v>21</v>
      </c>
      <c r="AL185" s="1" t="s">
        <v>21</v>
      </c>
      <c r="AM185" s="17">
        <v>44109</v>
      </c>
      <c r="AN185" s="18" t="s">
        <v>330</v>
      </c>
      <c r="AO185" s="18"/>
      <c r="AP185" s="18"/>
      <c r="AQ185" s="18"/>
      <c r="AR185" s="10"/>
      <c r="AS185" s="41"/>
    </row>
    <row r="186" spans="2:45" s="43" customFormat="1" ht="15" customHeight="1">
      <c r="B186" s="1">
        <f t="shared" si="2"/>
        <v>176</v>
      </c>
      <c r="C186" s="1">
        <v>0</v>
      </c>
      <c r="D186" s="1" t="s">
        <v>177</v>
      </c>
      <c r="E186" s="1" t="s">
        <v>294</v>
      </c>
      <c r="F186" s="1" t="s">
        <v>176</v>
      </c>
      <c r="G186" s="1" t="s">
        <v>177</v>
      </c>
      <c r="H186" s="1" t="s">
        <v>366</v>
      </c>
      <c r="I186" s="1"/>
      <c r="J186" s="1" t="s">
        <v>85</v>
      </c>
      <c r="K186" s="1" t="s">
        <v>330</v>
      </c>
      <c r="L186" s="1" t="s">
        <v>340</v>
      </c>
      <c r="M186" s="1">
        <v>4</v>
      </c>
      <c r="N186" s="1">
        <v>0</v>
      </c>
      <c r="O186" s="1">
        <v>0</v>
      </c>
      <c r="P186" s="1">
        <v>4</v>
      </c>
      <c r="Q186" s="1">
        <v>4</v>
      </c>
      <c r="R186" s="1">
        <v>0</v>
      </c>
      <c r="S186" s="1"/>
      <c r="T186" s="1">
        <v>0</v>
      </c>
      <c r="U186" s="1">
        <v>0</v>
      </c>
      <c r="V186" s="1">
        <v>0</v>
      </c>
      <c r="W186" s="1">
        <v>0</v>
      </c>
      <c r="X186" s="1">
        <v>2</v>
      </c>
      <c r="Y186" s="1"/>
      <c r="Z186" s="1">
        <v>3</v>
      </c>
      <c r="AA186" s="1">
        <v>0</v>
      </c>
      <c r="AB186" s="1"/>
      <c r="AC186" s="1"/>
      <c r="AD186" s="1"/>
      <c r="AE186" s="1"/>
      <c r="AF186" s="1"/>
      <c r="AG186" s="1">
        <v>0</v>
      </c>
      <c r="AH186" s="1">
        <v>0</v>
      </c>
      <c r="AI186" s="1">
        <v>0</v>
      </c>
      <c r="AJ186" s="1">
        <v>0</v>
      </c>
      <c r="AK186" s="1" t="s">
        <v>21</v>
      </c>
      <c r="AL186" s="1" t="s">
        <v>21</v>
      </c>
      <c r="AM186" s="17">
        <v>44110</v>
      </c>
      <c r="AN186" s="18" t="s">
        <v>330</v>
      </c>
      <c r="AO186" s="18"/>
      <c r="AP186" s="18"/>
      <c r="AQ186" s="18"/>
      <c r="AR186" s="10"/>
      <c r="AS186" s="41"/>
    </row>
    <row r="187" spans="2:45" s="43" customFormat="1" ht="15" customHeight="1">
      <c r="B187" s="1">
        <f t="shared" si="2"/>
        <v>177</v>
      </c>
      <c r="C187" s="1">
        <v>1</v>
      </c>
      <c r="D187" s="1" t="s">
        <v>177</v>
      </c>
      <c r="E187" s="1" t="s">
        <v>294</v>
      </c>
      <c r="F187" s="1" t="s">
        <v>176</v>
      </c>
      <c r="G187" s="1" t="s">
        <v>177</v>
      </c>
      <c r="H187" s="1" t="s">
        <v>285</v>
      </c>
      <c r="I187" s="1"/>
      <c r="J187" s="1" t="s">
        <v>85</v>
      </c>
      <c r="K187" s="1" t="s">
        <v>330</v>
      </c>
      <c r="L187" s="1" t="s">
        <v>340</v>
      </c>
      <c r="M187" s="1">
        <v>4</v>
      </c>
      <c r="N187" s="1">
        <v>0</v>
      </c>
      <c r="O187" s="1">
        <v>0</v>
      </c>
      <c r="P187" s="1">
        <v>4</v>
      </c>
      <c r="Q187" s="1">
        <v>4</v>
      </c>
      <c r="R187" s="1">
        <v>0</v>
      </c>
      <c r="S187" s="1"/>
      <c r="T187" s="1">
        <v>0</v>
      </c>
      <c r="U187" s="1">
        <v>0</v>
      </c>
      <c r="V187" s="1">
        <v>0</v>
      </c>
      <c r="W187" s="1">
        <v>0</v>
      </c>
      <c r="X187" s="1">
        <v>2</v>
      </c>
      <c r="Y187" s="1"/>
      <c r="Z187" s="1">
        <v>4</v>
      </c>
      <c r="AA187" s="1">
        <v>0</v>
      </c>
      <c r="AB187" s="1"/>
      <c r="AC187" s="1"/>
      <c r="AD187" s="1"/>
      <c r="AE187" s="1">
        <v>3</v>
      </c>
      <c r="AF187" s="1"/>
      <c r="AG187" s="1">
        <v>0</v>
      </c>
      <c r="AH187" s="1">
        <v>0</v>
      </c>
      <c r="AI187" s="1">
        <v>0</v>
      </c>
      <c r="AJ187" s="1">
        <v>0</v>
      </c>
      <c r="AK187" s="1" t="s">
        <v>21</v>
      </c>
      <c r="AL187" s="1" t="s">
        <v>21</v>
      </c>
      <c r="AM187" s="17">
        <v>44861</v>
      </c>
      <c r="AN187" s="18" t="s">
        <v>408</v>
      </c>
      <c r="AO187" s="18"/>
      <c r="AP187" s="18"/>
      <c r="AQ187" s="18"/>
      <c r="AR187" s="10"/>
      <c r="AS187" s="41"/>
    </row>
    <row r="188" spans="2:45" s="43" customFormat="1" ht="15" customHeight="1">
      <c r="B188" s="1">
        <f t="shared" si="2"/>
        <v>178</v>
      </c>
      <c r="C188" s="1">
        <v>1</v>
      </c>
      <c r="D188" s="1" t="s">
        <v>177</v>
      </c>
      <c r="E188" s="1" t="s">
        <v>294</v>
      </c>
      <c r="F188" s="1" t="s">
        <v>176</v>
      </c>
      <c r="G188" s="1"/>
      <c r="H188" s="1" t="s">
        <v>371</v>
      </c>
      <c r="I188" s="1"/>
      <c r="J188" s="1" t="s">
        <v>86</v>
      </c>
      <c r="K188" s="1" t="s">
        <v>340</v>
      </c>
      <c r="L188" s="1" t="s">
        <v>330</v>
      </c>
      <c r="M188" s="1">
        <v>3</v>
      </c>
      <c r="N188" s="1">
        <v>0</v>
      </c>
      <c r="O188" s="1">
        <v>0</v>
      </c>
      <c r="P188" s="1">
        <v>3</v>
      </c>
      <c r="Q188" s="1">
        <v>3</v>
      </c>
      <c r="R188" s="1">
        <v>0</v>
      </c>
      <c r="S188" s="1"/>
      <c r="T188" s="1">
        <v>0</v>
      </c>
      <c r="U188" s="1">
        <v>0</v>
      </c>
      <c r="V188" s="1">
        <v>0</v>
      </c>
      <c r="W188" s="1">
        <v>0</v>
      </c>
      <c r="X188" s="1">
        <v>4</v>
      </c>
      <c r="Y188" s="1">
        <v>0</v>
      </c>
      <c r="Z188" s="1">
        <v>4</v>
      </c>
      <c r="AA188" s="1">
        <v>0</v>
      </c>
      <c r="AB188" s="1"/>
      <c r="AC188" s="1"/>
      <c r="AD188" s="1"/>
      <c r="AE188" s="1">
        <v>1</v>
      </c>
      <c r="AF188" s="1">
        <v>0</v>
      </c>
      <c r="AG188" s="1">
        <v>0</v>
      </c>
      <c r="AH188" s="1">
        <v>0</v>
      </c>
      <c r="AI188" s="1">
        <v>0</v>
      </c>
      <c r="AJ188" s="1">
        <v>0</v>
      </c>
      <c r="AK188" s="1" t="s">
        <v>21</v>
      </c>
      <c r="AL188" s="1" t="s">
        <v>21</v>
      </c>
      <c r="AM188" s="17">
        <v>44113</v>
      </c>
      <c r="AN188" s="18" t="s">
        <v>330</v>
      </c>
      <c r="AO188" s="18"/>
      <c r="AP188" s="18"/>
      <c r="AQ188" s="18"/>
      <c r="AR188" s="10"/>
      <c r="AS188" s="41"/>
    </row>
    <row r="189" spans="2:45" s="43" customFormat="1" ht="15" customHeight="1">
      <c r="B189" s="1">
        <f t="shared" si="2"/>
        <v>179</v>
      </c>
      <c r="C189" s="1">
        <v>0</v>
      </c>
      <c r="D189" s="1" t="s">
        <v>177</v>
      </c>
      <c r="E189" s="1" t="s">
        <v>294</v>
      </c>
      <c r="F189" s="1" t="s">
        <v>176</v>
      </c>
      <c r="G189" s="1"/>
      <c r="H189" s="1" t="s">
        <v>398</v>
      </c>
      <c r="I189" s="1"/>
      <c r="J189" s="1" t="s">
        <v>87</v>
      </c>
      <c r="K189" s="1" t="s">
        <v>340</v>
      </c>
      <c r="L189" s="1" t="s">
        <v>330</v>
      </c>
      <c r="M189" s="1">
        <v>4</v>
      </c>
      <c r="N189" s="1">
        <v>0</v>
      </c>
      <c r="O189" s="1">
        <v>0</v>
      </c>
      <c r="P189" s="1">
        <v>4</v>
      </c>
      <c r="Q189" s="1">
        <v>4</v>
      </c>
      <c r="R189" s="1">
        <v>0</v>
      </c>
      <c r="S189" s="1"/>
      <c r="T189" s="1">
        <v>0</v>
      </c>
      <c r="U189" s="1">
        <v>0</v>
      </c>
      <c r="V189" s="1">
        <v>0</v>
      </c>
      <c r="W189" s="1">
        <v>0</v>
      </c>
      <c r="X189" s="1">
        <v>4</v>
      </c>
      <c r="Y189" s="1">
        <v>0</v>
      </c>
      <c r="Z189" s="1">
        <v>4</v>
      </c>
      <c r="AA189" s="1">
        <v>0</v>
      </c>
      <c r="AB189" s="1"/>
      <c r="AC189" s="1"/>
      <c r="AD189" s="1"/>
      <c r="AE189" s="1">
        <v>0</v>
      </c>
      <c r="AF189" s="1">
        <v>0</v>
      </c>
      <c r="AG189" s="1">
        <v>0</v>
      </c>
      <c r="AH189" s="1">
        <v>0</v>
      </c>
      <c r="AI189" s="1"/>
      <c r="AJ189" s="1">
        <v>0</v>
      </c>
      <c r="AK189" s="1" t="s">
        <v>21</v>
      </c>
      <c r="AL189" s="1" t="s">
        <v>21</v>
      </c>
      <c r="AM189" s="17">
        <v>44114</v>
      </c>
      <c r="AN189" s="18" t="s">
        <v>330</v>
      </c>
      <c r="AO189" s="18"/>
      <c r="AP189" s="18"/>
      <c r="AQ189" s="18"/>
      <c r="AR189" s="10"/>
      <c r="AS189" s="41"/>
    </row>
    <row r="190" spans="2:45" s="43" customFormat="1" ht="15" customHeight="1">
      <c r="B190" s="1">
        <f t="shared" si="2"/>
        <v>180</v>
      </c>
      <c r="C190" s="1">
        <v>0</v>
      </c>
      <c r="D190" s="1" t="s">
        <v>212</v>
      </c>
      <c r="E190" s="1" t="s">
        <v>101</v>
      </c>
      <c r="F190" s="1" t="s">
        <v>282</v>
      </c>
      <c r="G190" s="1" t="s">
        <v>282</v>
      </c>
      <c r="H190" s="1" t="s">
        <v>286</v>
      </c>
      <c r="I190" s="1"/>
      <c r="J190" s="1" t="s">
        <v>85</v>
      </c>
      <c r="K190" s="1" t="s">
        <v>452</v>
      </c>
      <c r="L190" s="1" t="s">
        <v>452</v>
      </c>
      <c r="M190" s="1">
        <v>0</v>
      </c>
      <c r="N190" s="1">
        <v>0</v>
      </c>
      <c r="O190" s="1">
        <v>0</v>
      </c>
      <c r="P190" s="1">
        <v>0</v>
      </c>
      <c r="Q190" s="1">
        <v>0</v>
      </c>
      <c r="R190" s="1">
        <v>0</v>
      </c>
      <c r="S190" s="1">
        <v>0</v>
      </c>
      <c r="T190" s="1">
        <v>4</v>
      </c>
      <c r="U190" s="1">
        <v>0</v>
      </c>
      <c r="V190" s="1">
        <v>0</v>
      </c>
      <c r="W190" s="1">
        <v>2</v>
      </c>
      <c r="X190" s="1">
        <v>0</v>
      </c>
      <c r="Y190" s="1">
        <v>0</v>
      </c>
      <c r="Z190" s="1">
        <v>0</v>
      </c>
      <c r="AA190" s="1">
        <v>0</v>
      </c>
      <c r="AB190" s="1"/>
      <c r="AC190" s="1"/>
      <c r="AD190" s="1"/>
      <c r="AE190" s="1"/>
      <c r="AF190" s="1"/>
      <c r="AG190" s="1">
        <v>4</v>
      </c>
      <c r="AH190" s="1">
        <v>0</v>
      </c>
      <c r="AI190" s="1"/>
      <c r="AJ190" s="1">
        <v>0</v>
      </c>
      <c r="AK190" s="1" t="s">
        <v>21</v>
      </c>
      <c r="AL190" s="1" t="s">
        <v>21</v>
      </c>
      <c r="AM190" s="17"/>
      <c r="AN190" s="18" t="s">
        <v>417</v>
      </c>
      <c r="AO190" s="18"/>
      <c r="AP190" s="18"/>
      <c r="AQ190" s="18"/>
      <c r="AR190" s="10"/>
      <c r="AS190" s="41"/>
    </row>
    <row r="191" spans="2:45" ht="15" customHeight="1">
      <c r="B191" s="1">
        <f t="shared" si="2"/>
        <v>181</v>
      </c>
      <c r="C191" s="1">
        <v>1</v>
      </c>
      <c r="D191" s="1" t="s">
        <v>212</v>
      </c>
      <c r="E191" s="1" t="s">
        <v>101</v>
      </c>
      <c r="F191" s="1" t="s">
        <v>282</v>
      </c>
      <c r="G191" s="1" t="s">
        <v>282</v>
      </c>
      <c r="H191" s="1" t="s">
        <v>287</v>
      </c>
      <c r="I191" s="1"/>
      <c r="J191" s="1" t="s">
        <v>85</v>
      </c>
      <c r="K191" s="1" t="s">
        <v>452</v>
      </c>
      <c r="L191" s="1" t="s">
        <v>452</v>
      </c>
      <c r="M191" s="1">
        <v>0</v>
      </c>
      <c r="N191" s="1">
        <v>0</v>
      </c>
      <c r="O191" s="1">
        <v>0</v>
      </c>
      <c r="P191" s="1">
        <v>0</v>
      </c>
      <c r="Q191" s="1">
        <v>0</v>
      </c>
      <c r="R191" s="1">
        <v>0</v>
      </c>
      <c r="S191" s="1">
        <v>0</v>
      </c>
      <c r="T191" s="1">
        <v>4</v>
      </c>
      <c r="U191" s="1">
        <v>0</v>
      </c>
      <c r="V191" s="1">
        <v>0</v>
      </c>
      <c r="W191" s="1">
        <v>2</v>
      </c>
      <c r="X191" s="1">
        <v>0</v>
      </c>
      <c r="Y191" s="1">
        <v>2</v>
      </c>
      <c r="Z191" s="1">
        <v>0</v>
      </c>
      <c r="AA191" s="1">
        <v>0</v>
      </c>
      <c r="AB191" s="1"/>
      <c r="AC191" s="1"/>
      <c r="AD191" s="1"/>
      <c r="AE191" s="1"/>
      <c r="AF191" s="1">
        <v>4</v>
      </c>
      <c r="AG191" s="1">
        <v>4</v>
      </c>
      <c r="AH191" s="1">
        <v>0</v>
      </c>
      <c r="AI191" s="1">
        <v>0</v>
      </c>
      <c r="AJ191" s="1">
        <v>2</v>
      </c>
      <c r="AK191" s="1" t="s">
        <v>32</v>
      </c>
      <c r="AL191" s="1" t="s">
        <v>32</v>
      </c>
      <c r="AM191" s="17">
        <v>44967</v>
      </c>
      <c r="AN191" s="18" t="s">
        <v>417</v>
      </c>
      <c r="AO191" s="140"/>
      <c r="AP191" s="140" t="s">
        <v>1132</v>
      </c>
      <c r="AQ191" s="75">
        <v>0.9</v>
      </c>
      <c r="AR191" s="10" t="s">
        <v>1202</v>
      </c>
      <c r="AS191" s="10"/>
    </row>
    <row r="192" spans="2:45">
      <c r="B192" s="1">
        <f t="shared" si="2"/>
        <v>182</v>
      </c>
      <c r="C192" s="1">
        <v>0</v>
      </c>
      <c r="D192" s="1" t="s">
        <v>212</v>
      </c>
      <c r="E192" s="1" t="s">
        <v>101</v>
      </c>
      <c r="F192" s="1" t="s">
        <v>118</v>
      </c>
      <c r="G192" s="1" t="s">
        <v>118</v>
      </c>
      <c r="H192" s="1" t="s">
        <v>296</v>
      </c>
      <c r="I192" s="1"/>
      <c r="J192" s="1" t="s">
        <v>85</v>
      </c>
      <c r="K192" s="54" t="s">
        <v>170</v>
      </c>
      <c r="L192" s="1" t="s">
        <v>452</v>
      </c>
      <c r="M192" s="1">
        <v>0</v>
      </c>
      <c r="N192" s="1">
        <v>0</v>
      </c>
      <c r="O192" s="1">
        <v>0</v>
      </c>
      <c r="P192" s="1">
        <v>0</v>
      </c>
      <c r="Q192" s="1">
        <v>0</v>
      </c>
      <c r="R192" s="1">
        <v>0</v>
      </c>
      <c r="S192" s="1">
        <v>0</v>
      </c>
      <c r="T192" s="1">
        <v>4</v>
      </c>
      <c r="U192" s="1">
        <v>0</v>
      </c>
      <c r="V192" s="1">
        <v>0</v>
      </c>
      <c r="W192" s="1">
        <v>2</v>
      </c>
      <c r="X192" s="1">
        <v>0</v>
      </c>
      <c r="Y192" s="1">
        <v>0</v>
      </c>
      <c r="Z192" s="1">
        <v>0</v>
      </c>
      <c r="AA192" s="1">
        <v>0</v>
      </c>
      <c r="AB192" s="1"/>
      <c r="AC192" s="1"/>
      <c r="AD192" s="1"/>
      <c r="AE192" s="1"/>
      <c r="AF192" s="1">
        <v>4</v>
      </c>
      <c r="AG192" s="1">
        <v>1</v>
      </c>
      <c r="AH192" s="1">
        <v>0</v>
      </c>
      <c r="AI192" s="1">
        <v>0</v>
      </c>
      <c r="AJ192" s="1">
        <v>0</v>
      </c>
      <c r="AK192" s="1" t="s">
        <v>21</v>
      </c>
      <c r="AL192" s="1" t="s">
        <v>21</v>
      </c>
      <c r="AM192" s="17"/>
      <c r="AN192" s="18"/>
      <c r="AO192" s="18"/>
      <c r="AP192" s="18"/>
      <c r="AQ192" s="18"/>
      <c r="AS192" s="10"/>
    </row>
    <row r="193" spans="2:45">
      <c r="B193" s="1">
        <f t="shared" si="2"/>
        <v>183</v>
      </c>
      <c r="C193" s="1">
        <v>0</v>
      </c>
      <c r="D193" s="1" t="s">
        <v>212</v>
      </c>
      <c r="E193" s="1" t="s">
        <v>101</v>
      </c>
      <c r="F193" s="1" t="s">
        <v>118</v>
      </c>
      <c r="G193" s="1" t="s">
        <v>118</v>
      </c>
      <c r="H193" s="1" t="s">
        <v>299</v>
      </c>
      <c r="I193" s="1"/>
      <c r="J193" s="1" t="s">
        <v>85</v>
      </c>
      <c r="K193" s="1" t="s">
        <v>61</v>
      </c>
      <c r="L193" s="1" t="s">
        <v>170</v>
      </c>
      <c r="M193" s="1">
        <v>0</v>
      </c>
      <c r="N193" s="1">
        <v>0</v>
      </c>
      <c r="O193" s="1">
        <v>0</v>
      </c>
      <c r="P193" s="1">
        <v>0</v>
      </c>
      <c r="Q193" s="1">
        <v>0</v>
      </c>
      <c r="R193" s="1">
        <v>0</v>
      </c>
      <c r="S193" s="1"/>
      <c r="T193" s="1">
        <v>4</v>
      </c>
      <c r="U193" s="1">
        <v>0</v>
      </c>
      <c r="V193" s="1">
        <v>0</v>
      </c>
      <c r="W193" s="1">
        <v>2</v>
      </c>
      <c r="X193" s="1">
        <v>0</v>
      </c>
      <c r="Y193" s="1"/>
      <c r="Z193" s="1"/>
      <c r="AA193" s="1">
        <v>0</v>
      </c>
      <c r="AB193" s="1"/>
      <c r="AC193" s="1"/>
      <c r="AD193" s="1"/>
      <c r="AE193" s="1"/>
      <c r="AF193" s="1"/>
      <c r="AG193" s="1">
        <v>1</v>
      </c>
      <c r="AH193" s="1">
        <v>0</v>
      </c>
      <c r="AI193" s="1"/>
      <c r="AJ193" s="1">
        <v>0</v>
      </c>
      <c r="AK193" s="1" t="s">
        <v>21</v>
      </c>
      <c r="AL193" s="1" t="s">
        <v>21</v>
      </c>
      <c r="AM193" s="17"/>
      <c r="AN193" s="18"/>
      <c r="AO193" s="18"/>
      <c r="AP193" s="18"/>
      <c r="AQ193" s="18"/>
      <c r="AS193" s="10"/>
    </row>
    <row r="194" spans="2:45">
      <c r="B194" s="1">
        <f t="shared" si="2"/>
        <v>184</v>
      </c>
      <c r="C194" s="1">
        <v>0</v>
      </c>
      <c r="D194" s="1" t="s">
        <v>212</v>
      </c>
      <c r="E194" s="1" t="s">
        <v>101</v>
      </c>
      <c r="F194" s="1" t="s">
        <v>118</v>
      </c>
      <c r="G194" s="1" t="s">
        <v>118</v>
      </c>
      <c r="H194" s="1" t="s">
        <v>298</v>
      </c>
      <c r="I194" s="1"/>
      <c r="J194" s="1" t="s">
        <v>85</v>
      </c>
      <c r="K194" s="54" t="s">
        <v>170</v>
      </c>
      <c r="L194" s="1" t="s">
        <v>452</v>
      </c>
      <c r="M194" s="1">
        <v>0</v>
      </c>
      <c r="N194" s="1">
        <v>0</v>
      </c>
      <c r="O194" s="1">
        <v>0</v>
      </c>
      <c r="P194" s="1">
        <v>0</v>
      </c>
      <c r="Q194" s="1">
        <v>0</v>
      </c>
      <c r="R194" s="1">
        <v>0</v>
      </c>
      <c r="S194" s="1">
        <v>0</v>
      </c>
      <c r="T194" s="1">
        <v>4</v>
      </c>
      <c r="U194" s="1">
        <v>0</v>
      </c>
      <c r="V194" s="1">
        <v>0</v>
      </c>
      <c r="W194" s="1">
        <v>2</v>
      </c>
      <c r="X194" s="1">
        <v>0</v>
      </c>
      <c r="Y194" s="1">
        <v>0</v>
      </c>
      <c r="Z194" s="1">
        <v>0</v>
      </c>
      <c r="AA194" s="1">
        <v>0</v>
      </c>
      <c r="AB194" s="1"/>
      <c r="AC194" s="1"/>
      <c r="AD194" s="1"/>
      <c r="AE194" s="1"/>
      <c r="AF194" s="1">
        <v>4</v>
      </c>
      <c r="AG194" s="1">
        <v>1</v>
      </c>
      <c r="AH194" s="1">
        <v>0</v>
      </c>
      <c r="AI194" s="1">
        <v>0</v>
      </c>
      <c r="AJ194" s="1">
        <v>0</v>
      </c>
      <c r="AK194" s="1" t="s">
        <v>21</v>
      </c>
      <c r="AL194" s="1" t="s">
        <v>21</v>
      </c>
      <c r="AM194" s="17"/>
      <c r="AN194" s="18"/>
      <c r="AO194" s="18"/>
      <c r="AP194" s="18"/>
      <c r="AQ194" s="18"/>
      <c r="AS194" s="10"/>
    </row>
    <row r="195" spans="2:45">
      <c r="B195" s="1">
        <f t="shared" si="2"/>
        <v>185</v>
      </c>
      <c r="C195" s="1">
        <v>0</v>
      </c>
      <c r="D195" s="1" t="s">
        <v>212</v>
      </c>
      <c r="E195" s="1" t="s">
        <v>101</v>
      </c>
      <c r="F195" s="1" t="s">
        <v>118</v>
      </c>
      <c r="G195" s="1" t="s">
        <v>118</v>
      </c>
      <c r="H195" s="1" t="s">
        <v>297</v>
      </c>
      <c r="I195" s="1"/>
      <c r="J195" s="1" t="s">
        <v>85</v>
      </c>
      <c r="K195" s="54" t="s">
        <v>170</v>
      </c>
      <c r="L195" s="1" t="s">
        <v>452</v>
      </c>
      <c r="M195" s="1">
        <v>0</v>
      </c>
      <c r="N195" s="1">
        <v>0</v>
      </c>
      <c r="O195" s="1">
        <v>0</v>
      </c>
      <c r="P195" s="1">
        <v>0</v>
      </c>
      <c r="Q195" s="1">
        <v>0</v>
      </c>
      <c r="R195" s="1">
        <v>0</v>
      </c>
      <c r="S195" s="1">
        <v>0</v>
      </c>
      <c r="T195" s="1">
        <v>4</v>
      </c>
      <c r="U195" s="1">
        <v>0</v>
      </c>
      <c r="V195" s="1">
        <v>0</v>
      </c>
      <c r="W195" s="1">
        <v>2</v>
      </c>
      <c r="X195" s="1">
        <v>0</v>
      </c>
      <c r="Y195" s="1">
        <v>0</v>
      </c>
      <c r="Z195" s="1">
        <v>0</v>
      </c>
      <c r="AA195" s="1">
        <v>0</v>
      </c>
      <c r="AB195" s="1"/>
      <c r="AC195" s="1"/>
      <c r="AD195" s="1"/>
      <c r="AE195" s="1"/>
      <c r="AF195" s="1">
        <v>4</v>
      </c>
      <c r="AG195" s="1">
        <v>1</v>
      </c>
      <c r="AH195" s="1">
        <v>0</v>
      </c>
      <c r="AI195" s="1">
        <v>0</v>
      </c>
      <c r="AJ195" s="1">
        <v>0</v>
      </c>
      <c r="AK195" s="1" t="s">
        <v>21</v>
      </c>
      <c r="AL195" s="1" t="s">
        <v>21</v>
      </c>
      <c r="AM195" s="17"/>
      <c r="AN195" s="18"/>
      <c r="AO195" s="18"/>
      <c r="AP195" s="18"/>
      <c r="AQ195" s="18"/>
      <c r="AS195" s="10"/>
    </row>
    <row r="196" spans="2:45" ht="15" customHeight="1">
      <c r="B196" s="1">
        <f t="shared" si="2"/>
        <v>186</v>
      </c>
      <c r="C196" s="44">
        <v>0</v>
      </c>
      <c r="D196" s="44" t="s">
        <v>300</v>
      </c>
      <c r="E196" s="44" t="s">
        <v>52</v>
      </c>
      <c r="F196" s="44" t="s">
        <v>284</v>
      </c>
      <c r="G196" s="44" t="s">
        <v>284</v>
      </c>
      <c r="H196" s="44" t="s">
        <v>301</v>
      </c>
      <c r="I196" s="44"/>
      <c r="J196" s="44" t="s">
        <v>86</v>
      </c>
      <c r="K196" s="44" t="s">
        <v>143</v>
      </c>
      <c r="L196" s="44"/>
      <c r="M196" s="44"/>
      <c r="N196" s="44"/>
      <c r="O196" s="44">
        <v>0</v>
      </c>
      <c r="P196" s="44">
        <v>0</v>
      </c>
      <c r="Q196" s="44">
        <v>0</v>
      </c>
      <c r="R196" s="44">
        <v>0</v>
      </c>
      <c r="S196" s="44"/>
      <c r="T196" s="44">
        <v>0</v>
      </c>
      <c r="U196" s="44">
        <v>0</v>
      </c>
      <c r="V196" s="44">
        <v>4</v>
      </c>
      <c r="W196" s="44">
        <v>0</v>
      </c>
      <c r="X196" s="1">
        <v>0</v>
      </c>
      <c r="Y196" s="44">
        <v>1</v>
      </c>
      <c r="Z196" s="44"/>
      <c r="AA196" s="1">
        <v>0</v>
      </c>
      <c r="AB196" s="1"/>
      <c r="AC196" s="1"/>
      <c r="AD196" s="1"/>
      <c r="AE196" s="1"/>
      <c r="AF196" s="1"/>
      <c r="AG196" s="1">
        <v>0</v>
      </c>
      <c r="AH196" s="1">
        <v>0</v>
      </c>
      <c r="AI196" s="1"/>
      <c r="AJ196" s="1">
        <v>0</v>
      </c>
      <c r="AK196" s="44" t="s">
        <v>302</v>
      </c>
      <c r="AL196" s="44" t="s">
        <v>302</v>
      </c>
      <c r="AM196" s="45"/>
      <c r="AN196" s="44"/>
      <c r="AO196" s="44"/>
      <c r="AP196" s="44"/>
      <c r="AQ196" s="44"/>
      <c r="AR196" s="46"/>
      <c r="AS196" s="10"/>
    </row>
    <row r="197" spans="2:45" s="53" customFormat="1" ht="15" customHeight="1">
      <c r="B197" s="1">
        <f t="shared" si="2"/>
        <v>187</v>
      </c>
      <c r="C197" s="47">
        <v>1</v>
      </c>
      <c r="D197" s="47" t="s">
        <v>283</v>
      </c>
      <c r="E197" s="47" t="s">
        <v>52</v>
      </c>
      <c r="F197" s="47" t="s">
        <v>284</v>
      </c>
      <c r="G197" s="47" t="s">
        <v>304</v>
      </c>
      <c r="H197" s="47" t="s">
        <v>447</v>
      </c>
      <c r="I197" s="47"/>
      <c r="J197" s="47" t="s">
        <v>87</v>
      </c>
      <c r="K197" s="47" t="s">
        <v>312</v>
      </c>
      <c r="L197" s="47" t="s">
        <v>408</v>
      </c>
      <c r="M197" s="47"/>
      <c r="N197" s="47">
        <v>4</v>
      </c>
      <c r="O197" s="47"/>
      <c r="P197" s="47"/>
      <c r="Q197" s="47"/>
      <c r="R197" s="47"/>
      <c r="S197" s="47"/>
      <c r="T197" s="47"/>
      <c r="U197" s="47"/>
      <c r="V197" s="47">
        <v>4</v>
      </c>
      <c r="W197" s="47"/>
      <c r="X197" s="1"/>
      <c r="Y197" s="47">
        <v>4</v>
      </c>
      <c r="Z197" s="47">
        <v>3</v>
      </c>
      <c r="AA197" s="1"/>
      <c r="AB197" s="1"/>
      <c r="AC197" s="1"/>
      <c r="AD197" s="1"/>
      <c r="AE197" s="1">
        <v>3</v>
      </c>
      <c r="AF197" s="1"/>
      <c r="AG197" s="1"/>
      <c r="AH197" s="1">
        <v>0</v>
      </c>
      <c r="AI197" s="1">
        <v>0</v>
      </c>
      <c r="AJ197" s="1">
        <v>0</v>
      </c>
      <c r="AK197" s="47" t="s">
        <v>21</v>
      </c>
      <c r="AL197" s="47" t="s">
        <v>95</v>
      </c>
      <c r="AM197" s="48" t="s">
        <v>415</v>
      </c>
      <c r="AN197" s="49" t="s">
        <v>410</v>
      </c>
      <c r="AO197" s="49"/>
      <c r="AP197" s="49"/>
      <c r="AQ197" s="49"/>
      <c r="AR197" s="50" t="s">
        <v>341</v>
      </c>
      <c r="AS197" s="50"/>
    </row>
    <row r="198" spans="2:45" ht="15" customHeight="1">
      <c r="B198" s="1">
        <f t="shared" si="2"/>
        <v>188</v>
      </c>
      <c r="C198" s="1">
        <v>1</v>
      </c>
      <c r="D198" s="1" t="s">
        <v>212</v>
      </c>
      <c r="E198" s="1" t="s">
        <v>91</v>
      </c>
      <c r="F198" s="1" t="s">
        <v>96</v>
      </c>
      <c r="G198" s="1" t="s">
        <v>305</v>
      </c>
      <c r="H198" s="1" t="s">
        <v>1069</v>
      </c>
      <c r="I198" s="1"/>
      <c r="J198" s="1" t="s">
        <v>85</v>
      </c>
      <c r="K198" s="54" t="s">
        <v>1049</v>
      </c>
      <c r="L198" s="1" t="s">
        <v>452</v>
      </c>
      <c r="M198" s="1">
        <v>0</v>
      </c>
      <c r="N198" s="1">
        <v>0</v>
      </c>
      <c r="O198" s="1">
        <v>0</v>
      </c>
      <c r="P198" s="1">
        <v>0</v>
      </c>
      <c r="Q198" s="1">
        <v>0</v>
      </c>
      <c r="R198" s="1">
        <v>0</v>
      </c>
      <c r="S198" s="1"/>
      <c r="T198" s="1">
        <v>4</v>
      </c>
      <c r="U198" s="1">
        <v>0</v>
      </c>
      <c r="V198" s="1">
        <v>0</v>
      </c>
      <c r="W198" s="1">
        <v>0</v>
      </c>
      <c r="X198" s="1">
        <v>0</v>
      </c>
      <c r="Y198" s="1">
        <v>2</v>
      </c>
      <c r="Z198" s="1"/>
      <c r="AA198" s="1">
        <v>0</v>
      </c>
      <c r="AB198" s="1"/>
      <c r="AC198" s="1"/>
      <c r="AD198" s="1"/>
      <c r="AE198" s="1"/>
      <c r="AF198" s="1">
        <v>3</v>
      </c>
      <c r="AG198" s="1">
        <v>4</v>
      </c>
      <c r="AH198" s="1">
        <v>0</v>
      </c>
      <c r="AI198" s="1">
        <v>0</v>
      </c>
      <c r="AJ198" s="1">
        <v>4</v>
      </c>
      <c r="AK198" s="1" t="s">
        <v>21</v>
      </c>
      <c r="AL198" s="1" t="s">
        <v>32</v>
      </c>
      <c r="AM198" s="17">
        <v>44967</v>
      </c>
      <c r="AN198" s="18" t="s">
        <v>417</v>
      </c>
      <c r="AO198" s="140" t="s">
        <v>1051</v>
      </c>
      <c r="AP198" s="140" t="s">
        <v>1075</v>
      </c>
      <c r="AQ198" s="75">
        <v>1</v>
      </c>
      <c r="AS198" s="10"/>
    </row>
    <row r="199" spans="2:45" ht="15" customHeight="1">
      <c r="B199" s="1">
        <f t="shared" si="2"/>
        <v>189</v>
      </c>
      <c r="C199" s="1">
        <v>1</v>
      </c>
      <c r="D199" s="1" t="s">
        <v>212</v>
      </c>
      <c r="E199" s="1" t="s">
        <v>91</v>
      </c>
      <c r="F199" s="1" t="s">
        <v>96</v>
      </c>
      <c r="G199" s="1" t="s">
        <v>305</v>
      </c>
      <c r="H199" s="1" t="s">
        <v>1070</v>
      </c>
      <c r="I199" s="1"/>
      <c r="J199" s="1" t="s">
        <v>85</v>
      </c>
      <c r="K199" s="54" t="s">
        <v>1049</v>
      </c>
      <c r="L199" s="1" t="s">
        <v>452</v>
      </c>
      <c r="M199" s="1">
        <v>0</v>
      </c>
      <c r="N199" s="1">
        <v>0</v>
      </c>
      <c r="O199" s="1">
        <v>0</v>
      </c>
      <c r="P199" s="1">
        <v>0</v>
      </c>
      <c r="Q199" s="1">
        <v>0</v>
      </c>
      <c r="R199" s="1">
        <v>0</v>
      </c>
      <c r="S199" s="1"/>
      <c r="T199" s="1">
        <v>4</v>
      </c>
      <c r="U199" s="1">
        <v>0</v>
      </c>
      <c r="V199" s="1">
        <v>0</v>
      </c>
      <c r="W199" s="1">
        <v>0</v>
      </c>
      <c r="X199" s="1">
        <v>0</v>
      </c>
      <c r="Y199" s="1">
        <v>2</v>
      </c>
      <c r="Z199" s="1"/>
      <c r="AA199" s="1">
        <v>0</v>
      </c>
      <c r="AB199" s="1"/>
      <c r="AC199" s="1"/>
      <c r="AD199" s="1"/>
      <c r="AE199" s="1"/>
      <c r="AF199" s="1">
        <v>3</v>
      </c>
      <c r="AG199" s="1">
        <v>4</v>
      </c>
      <c r="AH199" s="1">
        <v>0</v>
      </c>
      <c r="AI199" s="1">
        <v>0</v>
      </c>
      <c r="AJ199" s="1">
        <v>4</v>
      </c>
      <c r="AK199" s="1" t="s">
        <v>21</v>
      </c>
      <c r="AL199" s="1" t="s">
        <v>32</v>
      </c>
      <c r="AM199" s="17">
        <v>44967</v>
      </c>
      <c r="AN199" s="18" t="s">
        <v>417</v>
      </c>
      <c r="AO199" s="140" t="s">
        <v>1051</v>
      </c>
      <c r="AP199" s="140" t="s">
        <v>1075</v>
      </c>
      <c r="AQ199" s="75">
        <v>1</v>
      </c>
      <c r="AS199" s="10"/>
    </row>
    <row r="200" spans="2:45">
      <c r="B200" s="1">
        <f t="shared" si="2"/>
        <v>190</v>
      </c>
      <c r="C200" s="1">
        <v>1</v>
      </c>
      <c r="D200" s="1" t="s">
        <v>212</v>
      </c>
      <c r="E200" s="1" t="s">
        <v>101</v>
      </c>
      <c r="F200" s="1" t="s">
        <v>282</v>
      </c>
      <c r="G200" s="1" t="s">
        <v>282</v>
      </c>
      <c r="H200" s="1" t="s">
        <v>309</v>
      </c>
      <c r="I200" s="1"/>
      <c r="J200" s="1" t="s">
        <v>85</v>
      </c>
      <c r="K200" s="1" t="s">
        <v>452</v>
      </c>
      <c r="L200" s="1" t="s">
        <v>452</v>
      </c>
      <c r="M200" s="1">
        <v>0</v>
      </c>
      <c r="N200" s="1">
        <v>0</v>
      </c>
      <c r="O200" s="1">
        <v>0</v>
      </c>
      <c r="P200" s="1">
        <v>0</v>
      </c>
      <c r="Q200" s="1">
        <v>0</v>
      </c>
      <c r="R200" s="1">
        <v>0</v>
      </c>
      <c r="S200" s="1">
        <v>0</v>
      </c>
      <c r="T200" s="1">
        <v>4</v>
      </c>
      <c r="U200" s="1">
        <v>0</v>
      </c>
      <c r="V200" s="1">
        <v>0</v>
      </c>
      <c r="W200" s="1">
        <v>0</v>
      </c>
      <c r="X200" s="1">
        <v>0</v>
      </c>
      <c r="Y200" s="1">
        <v>2</v>
      </c>
      <c r="Z200" s="1">
        <v>0</v>
      </c>
      <c r="AA200" s="1">
        <v>0</v>
      </c>
      <c r="AB200" s="1"/>
      <c r="AC200" s="1"/>
      <c r="AD200" s="1"/>
      <c r="AE200" s="1"/>
      <c r="AF200" s="1">
        <v>4</v>
      </c>
      <c r="AG200" s="1">
        <v>4</v>
      </c>
      <c r="AH200" s="1">
        <v>0</v>
      </c>
      <c r="AI200" s="1">
        <v>0</v>
      </c>
      <c r="AJ200" s="1">
        <v>2</v>
      </c>
      <c r="AK200" s="1" t="s">
        <v>32</v>
      </c>
      <c r="AL200" s="1" t="s">
        <v>32</v>
      </c>
      <c r="AM200" s="17">
        <v>44967</v>
      </c>
      <c r="AN200" s="18" t="s">
        <v>417</v>
      </c>
      <c r="AO200" s="18"/>
      <c r="AP200" s="140" t="s">
        <v>1137</v>
      </c>
      <c r="AQ200" s="75">
        <v>1</v>
      </c>
      <c r="AS200" s="10"/>
    </row>
    <row r="201" spans="2:45">
      <c r="B201" s="1">
        <f t="shared" si="2"/>
        <v>191</v>
      </c>
      <c r="C201" s="1">
        <v>0</v>
      </c>
      <c r="D201" s="1" t="s">
        <v>212</v>
      </c>
      <c r="E201" s="1" t="s">
        <v>101</v>
      </c>
      <c r="F201" s="1" t="s">
        <v>118</v>
      </c>
      <c r="G201" s="1" t="s">
        <v>118</v>
      </c>
      <c r="H201" s="1" t="s">
        <v>310</v>
      </c>
      <c r="I201" s="1"/>
      <c r="J201" s="1" t="s">
        <v>85</v>
      </c>
      <c r="K201" s="54" t="s">
        <v>170</v>
      </c>
      <c r="L201" s="1" t="s">
        <v>452</v>
      </c>
      <c r="M201" s="1">
        <v>0</v>
      </c>
      <c r="N201" s="1">
        <v>0</v>
      </c>
      <c r="O201" s="1">
        <v>0</v>
      </c>
      <c r="P201" s="1">
        <v>0</v>
      </c>
      <c r="Q201" s="1">
        <v>0</v>
      </c>
      <c r="R201" s="1">
        <v>0</v>
      </c>
      <c r="S201" s="1">
        <v>0</v>
      </c>
      <c r="T201" s="1">
        <v>4</v>
      </c>
      <c r="U201" s="1">
        <v>0</v>
      </c>
      <c r="V201" s="1">
        <v>0</v>
      </c>
      <c r="W201" s="1">
        <v>2</v>
      </c>
      <c r="X201" s="1">
        <v>0</v>
      </c>
      <c r="Y201" s="1">
        <v>0</v>
      </c>
      <c r="Z201" s="1">
        <v>0</v>
      </c>
      <c r="AA201" s="1">
        <v>0</v>
      </c>
      <c r="AB201" s="1"/>
      <c r="AC201" s="1"/>
      <c r="AD201" s="1"/>
      <c r="AE201" s="1"/>
      <c r="AF201" s="1">
        <v>4</v>
      </c>
      <c r="AG201" s="1">
        <v>0</v>
      </c>
      <c r="AH201" s="1">
        <v>0</v>
      </c>
      <c r="AI201" s="1">
        <v>0</v>
      </c>
      <c r="AJ201" s="1">
        <v>0</v>
      </c>
      <c r="AK201" s="1" t="s">
        <v>21</v>
      </c>
      <c r="AL201" s="1" t="s">
        <v>21</v>
      </c>
      <c r="AM201" s="17"/>
      <c r="AN201" s="18"/>
      <c r="AO201" s="18"/>
      <c r="AP201" s="18"/>
      <c r="AQ201" s="18"/>
      <c r="AS201" s="10"/>
    </row>
    <row r="202" spans="2:45">
      <c r="B202" s="1">
        <f t="shared" si="2"/>
        <v>192</v>
      </c>
      <c r="C202" s="1">
        <v>0</v>
      </c>
      <c r="D202" s="1" t="s">
        <v>212</v>
      </c>
      <c r="E202" s="1" t="s">
        <v>101</v>
      </c>
      <c r="F202" s="1" t="s">
        <v>118</v>
      </c>
      <c r="G202" s="1" t="s">
        <v>118</v>
      </c>
      <c r="H202" s="1" t="s">
        <v>311</v>
      </c>
      <c r="I202" s="1"/>
      <c r="J202" s="1" t="s">
        <v>85</v>
      </c>
      <c r="K202" s="54" t="s">
        <v>170</v>
      </c>
      <c r="L202" s="1" t="s">
        <v>452</v>
      </c>
      <c r="M202" s="1">
        <v>0</v>
      </c>
      <c r="N202" s="1">
        <v>0</v>
      </c>
      <c r="O202" s="1">
        <v>0</v>
      </c>
      <c r="P202" s="1">
        <v>0</v>
      </c>
      <c r="Q202" s="1">
        <v>0</v>
      </c>
      <c r="R202" s="1">
        <v>0</v>
      </c>
      <c r="S202" s="1">
        <v>0</v>
      </c>
      <c r="T202" s="1">
        <v>4</v>
      </c>
      <c r="U202" s="1">
        <v>0</v>
      </c>
      <c r="V202" s="1">
        <v>0</v>
      </c>
      <c r="W202" s="1">
        <v>2</v>
      </c>
      <c r="X202" s="1">
        <v>0</v>
      </c>
      <c r="Y202" s="1">
        <v>0</v>
      </c>
      <c r="Z202" s="1">
        <v>0</v>
      </c>
      <c r="AA202" s="1">
        <v>0</v>
      </c>
      <c r="AB202" s="1"/>
      <c r="AC202" s="1"/>
      <c r="AD202" s="1"/>
      <c r="AE202" s="1"/>
      <c r="AF202" s="1">
        <v>4</v>
      </c>
      <c r="AG202" s="1">
        <v>1</v>
      </c>
      <c r="AH202" s="1">
        <v>0</v>
      </c>
      <c r="AI202" s="1">
        <v>0</v>
      </c>
      <c r="AJ202" s="1">
        <v>0</v>
      </c>
      <c r="AK202" s="1" t="s">
        <v>21</v>
      </c>
      <c r="AL202" s="1" t="s">
        <v>21</v>
      </c>
      <c r="AM202" s="17"/>
      <c r="AN202" s="18"/>
      <c r="AO202" s="18"/>
      <c r="AP202" s="18"/>
      <c r="AQ202" s="18"/>
      <c r="AS202" s="10"/>
    </row>
    <row r="203" spans="2:45">
      <c r="B203" s="1">
        <f t="shared" si="2"/>
        <v>193</v>
      </c>
      <c r="C203" s="1">
        <v>1</v>
      </c>
      <c r="D203" s="1" t="s">
        <v>212</v>
      </c>
      <c r="E203" s="1" t="s">
        <v>91</v>
      </c>
      <c r="F203" s="1" t="s">
        <v>314</v>
      </c>
      <c r="G203" s="1" t="s">
        <v>314</v>
      </c>
      <c r="H203" s="1" t="s">
        <v>315</v>
      </c>
      <c r="I203" s="1"/>
      <c r="J203" s="1" t="s">
        <v>85</v>
      </c>
      <c r="K203" s="1" t="s">
        <v>452</v>
      </c>
      <c r="L203" s="1" t="s">
        <v>452</v>
      </c>
      <c r="M203" s="1">
        <v>0</v>
      </c>
      <c r="N203" s="1">
        <v>0</v>
      </c>
      <c r="O203" s="1">
        <v>0</v>
      </c>
      <c r="P203" s="1">
        <v>0</v>
      </c>
      <c r="Q203" s="1">
        <v>0</v>
      </c>
      <c r="R203" s="1">
        <v>0</v>
      </c>
      <c r="S203" s="1"/>
      <c r="T203" s="1">
        <v>3</v>
      </c>
      <c r="U203" s="1">
        <v>0</v>
      </c>
      <c r="V203" s="1">
        <v>0</v>
      </c>
      <c r="W203" s="1">
        <v>0</v>
      </c>
      <c r="X203" s="1">
        <v>0</v>
      </c>
      <c r="Y203" s="1">
        <v>3</v>
      </c>
      <c r="Z203" s="1">
        <v>0</v>
      </c>
      <c r="AA203" s="1">
        <v>0</v>
      </c>
      <c r="AB203" s="1"/>
      <c r="AC203" s="1"/>
      <c r="AD203" s="1"/>
      <c r="AE203" s="1"/>
      <c r="AF203" s="1">
        <v>4</v>
      </c>
      <c r="AG203" s="1">
        <v>4</v>
      </c>
      <c r="AH203" s="1">
        <v>0</v>
      </c>
      <c r="AI203" s="1">
        <v>0</v>
      </c>
      <c r="AJ203" s="1">
        <v>4</v>
      </c>
      <c r="AK203" s="1" t="s">
        <v>21</v>
      </c>
      <c r="AL203" s="1" t="s">
        <v>21</v>
      </c>
      <c r="AM203" s="17">
        <v>44967</v>
      </c>
      <c r="AN203" s="18" t="s">
        <v>417</v>
      </c>
      <c r="AO203" s="140" t="s">
        <v>1139</v>
      </c>
      <c r="AP203" s="140" t="s">
        <v>1140</v>
      </c>
      <c r="AQ203" s="75">
        <v>0.9</v>
      </c>
      <c r="AR203" s="10" t="s">
        <v>1138</v>
      </c>
      <c r="AS203" s="10"/>
    </row>
    <row r="204" spans="2:45">
      <c r="B204" s="1">
        <f t="shared" ref="B204:B272" si="3">B203+1</f>
        <v>194</v>
      </c>
      <c r="C204" s="1">
        <v>1</v>
      </c>
      <c r="D204" s="1" t="s">
        <v>220</v>
      </c>
      <c r="E204" s="1" t="s">
        <v>52</v>
      </c>
      <c r="F204" s="1" t="s">
        <v>321</v>
      </c>
      <c r="G204" s="1" t="s">
        <v>321</v>
      </c>
      <c r="H204" s="1" t="s">
        <v>316</v>
      </c>
      <c r="I204" s="1"/>
      <c r="J204" s="1" t="s">
        <v>85</v>
      </c>
      <c r="K204" s="1" t="s">
        <v>491</v>
      </c>
      <c r="L204" s="1" t="s">
        <v>11</v>
      </c>
      <c r="M204" s="1">
        <v>0</v>
      </c>
      <c r="N204" s="1">
        <v>4</v>
      </c>
      <c r="O204" s="1">
        <v>0</v>
      </c>
      <c r="P204" s="1">
        <v>0</v>
      </c>
      <c r="Q204" s="1">
        <v>0</v>
      </c>
      <c r="R204" s="1">
        <v>0</v>
      </c>
      <c r="S204" s="1">
        <v>0</v>
      </c>
      <c r="T204" s="1">
        <v>0</v>
      </c>
      <c r="U204" s="1">
        <v>4</v>
      </c>
      <c r="V204" s="1">
        <v>0</v>
      </c>
      <c r="W204" s="1">
        <v>0</v>
      </c>
      <c r="X204" s="1">
        <v>0</v>
      </c>
      <c r="Y204" s="1">
        <v>0</v>
      </c>
      <c r="Z204" s="1">
        <v>0</v>
      </c>
      <c r="AA204" s="1">
        <v>4</v>
      </c>
      <c r="AB204" s="1"/>
      <c r="AC204" s="1"/>
      <c r="AD204" s="1">
        <v>4</v>
      </c>
      <c r="AE204" s="1"/>
      <c r="AF204" s="1">
        <v>3</v>
      </c>
      <c r="AG204" s="1">
        <v>0</v>
      </c>
      <c r="AH204" s="1">
        <v>0</v>
      </c>
      <c r="AI204" s="1">
        <v>0</v>
      </c>
      <c r="AJ204" s="1">
        <v>0</v>
      </c>
      <c r="AK204" s="1" t="s">
        <v>21</v>
      </c>
      <c r="AL204" s="1" t="s">
        <v>32</v>
      </c>
      <c r="AM204" s="17">
        <v>44984</v>
      </c>
      <c r="AN204" s="18" t="s">
        <v>417</v>
      </c>
      <c r="AO204" s="18"/>
      <c r="AP204" s="18"/>
      <c r="AQ204" s="18"/>
      <c r="AS204" s="10"/>
    </row>
    <row r="205" spans="2:45">
      <c r="B205" s="1">
        <f t="shared" si="3"/>
        <v>195</v>
      </c>
      <c r="C205" s="1">
        <v>1</v>
      </c>
      <c r="D205" s="1" t="s">
        <v>220</v>
      </c>
      <c r="E205" s="1" t="s">
        <v>52</v>
      </c>
      <c r="F205" s="1" t="s">
        <v>321</v>
      </c>
      <c r="G205" s="1" t="s">
        <v>321</v>
      </c>
      <c r="H205" s="1" t="s">
        <v>317</v>
      </c>
      <c r="I205" s="1"/>
      <c r="J205" s="1" t="s">
        <v>85</v>
      </c>
      <c r="K205" s="1" t="s">
        <v>491</v>
      </c>
      <c r="L205" s="1" t="s">
        <v>11</v>
      </c>
      <c r="M205" s="1">
        <v>0</v>
      </c>
      <c r="N205" s="1">
        <v>4</v>
      </c>
      <c r="O205" s="1">
        <v>0</v>
      </c>
      <c r="P205" s="1">
        <v>0</v>
      </c>
      <c r="Q205" s="1">
        <v>0</v>
      </c>
      <c r="R205" s="1">
        <v>0</v>
      </c>
      <c r="S205" s="1">
        <v>0</v>
      </c>
      <c r="T205" s="1">
        <v>0</v>
      </c>
      <c r="U205" s="1">
        <v>4</v>
      </c>
      <c r="V205" s="1">
        <v>0</v>
      </c>
      <c r="W205" s="1">
        <v>0</v>
      </c>
      <c r="X205" s="1">
        <v>0</v>
      </c>
      <c r="Y205" s="1">
        <v>0</v>
      </c>
      <c r="Z205" s="1">
        <v>0</v>
      </c>
      <c r="AA205" s="1">
        <v>4</v>
      </c>
      <c r="AB205" s="1"/>
      <c r="AC205" s="1"/>
      <c r="AD205" s="1">
        <v>4</v>
      </c>
      <c r="AE205" s="1"/>
      <c r="AF205" s="1">
        <v>3</v>
      </c>
      <c r="AG205" s="1">
        <v>0</v>
      </c>
      <c r="AH205" s="1">
        <v>0</v>
      </c>
      <c r="AI205" s="1">
        <v>0</v>
      </c>
      <c r="AJ205" s="1">
        <v>0</v>
      </c>
      <c r="AK205" s="1" t="s">
        <v>21</v>
      </c>
      <c r="AL205" s="1" t="s">
        <v>32</v>
      </c>
      <c r="AM205" s="17">
        <v>44984</v>
      </c>
      <c r="AN205" s="18" t="s">
        <v>417</v>
      </c>
      <c r="AO205" s="18"/>
      <c r="AP205" s="18"/>
      <c r="AQ205" s="18"/>
      <c r="AS205" s="10"/>
    </row>
    <row r="206" spans="2:45">
      <c r="B206" s="1">
        <f t="shared" si="3"/>
        <v>196</v>
      </c>
      <c r="C206" s="1">
        <v>1</v>
      </c>
      <c r="D206" s="1" t="s">
        <v>220</v>
      </c>
      <c r="E206" s="1" t="s">
        <v>52</v>
      </c>
      <c r="F206" s="1" t="s">
        <v>321</v>
      </c>
      <c r="G206" s="1" t="s">
        <v>321</v>
      </c>
      <c r="H206" s="1" t="s">
        <v>318</v>
      </c>
      <c r="I206" s="1"/>
      <c r="J206" s="1" t="s">
        <v>85</v>
      </c>
      <c r="K206" s="1" t="s">
        <v>491</v>
      </c>
      <c r="L206" s="1" t="s">
        <v>11</v>
      </c>
      <c r="M206" s="1">
        <v>0</v>
      </c>
      <c r="N206" s="1">
        <v>4</v>
      </c>
      <c r="O206" s="1">
        <v>0</v>
      </c>
      <c r="P206" s="1">
        <v>0</v>
      </c>
      <c r="Q206" s="1">
        <v>0</v>
      </c>
      <c r="R206" s="1">
        <v>0</v>
      </c>
      <c r="S206" s="1">
        <v>0</v>
      </c>
      <c r="T206" s="1">
        <v>0</v>
      </c>
      <c r="U206" s="1">
        <v>4</v>
      </c>
      <c r="V206" s="1">
        <v>0</v>
      </c>
      <c r="W206" s="1">
        <v>0</v>
      </c>
      <c r="X206" s="1">
        <v>0</v>
      </c>
      <c r="Y206" s="1">
        <v>0</v>
      </c>
      <c r="Z206" s="1">
        <v>0</v>
      </c>
      <c r="AA206" s="1">
        <v>4</v>
      </c>
      <c r="AB206" s="1"/>
      <c r="AC206" s="1"/>
      <c r="AD206" s="1">
        <v>4</v>
      </c>
      <c r="AE206" s="1"/>
      <c r="AF206" s="1">
        <v>3</v>
      </c>
      <c r="AG206" s="1">
        <v>0</v>
      </c>
      <c r="AH206" s="1">
        <v>0</v>
      </c>
      <c r="AI206" s="1">
        <v>0</v>
      </c>
      <c r="AJ206" s="1">
        <v>0</v>
      </c>
      <c r="AK206" s="1" t="s">
        <v>21</v>
      </c>
      <c r="AL206" s="1" t="s">
        <v>32</v>
      </c>
      <c r="AM206" s="17">
        <v>44984</v>
      </c>
      <c r="AN206" s="18" t="s">
        <v>417</v>
      </c>
      <c r="AO206" s="18"/>
      <c r="AP206" s="18"/>
      <c r="AQ206" s="18"/>
      <c r="AS206" s="10"/>
    </row>
    <row r="207" spans="2:45">
      <c r="B207" s="1">
        <f t="shared" si="3"/>
        <v>197</v>
      </c>
      <c r="C207" s="1">
        <v>0</v>
      </c>
      <c r="D207" s="1" t="s">
        <v>220</v>
      </c>
      <c r="E207" s="1" t="s">
        <v>52</v>
      </c>
      <c r="F207" s="1" t="s">
        <v>321</v>
      </c>
      <c r="G207" s="1" t="s">
        <v>321</v>
      </c>
      <c r="H207" s="1" t="s">
        <v>319</v>
      </c>
      <c r="I207" s="1"/>
      <c r="J207" s="1" t="s">
        <v>85</v>
      </c>
      <c r="K207" s="1" t="s">
        <v>491</v>
      </c>
      <c r="L207" s="1" t="s">
        <v>11</v>
      </c>
      <c r="M207" s="1">
        <v>0</v>
      </c>
      <c r="N207" s="1">
        <v>4</v>
      </c>
      <c r="O207" s="1">
        <v>0</v>
      </c>
      <c r="P207" s="1">
        <v>0</v>
      </c>
      <c r="Q207" s="1">
        <v>0</v>
      </c>
      <c r="R207" s="1">
        <v>0</v>
      </c>
      <c r="S207" s="1">
        <v>0</v>
      </c>
      <c r="T207" s="1">
        <v>0</v>
      </c>
      <c r="U207" s="1">
        <v>4</v>
      </c>
      <c r="V207" s="1">
        <v>0</v>
      </c>
      <c r="W207" s="1">
        <v>0</v>
      </c>
      <c r="X207" s="1">
        <v>0</v>
      </c>
      <c r="Y207" s="1">
        <v>0</v>
      </c>
      <c r="Z207" s="1">
        <v>0</v>
      </c>
      <c r="AA207" s="1">
        <v>4</v>
      </c>
      <c r="AB207" s="1"/>
      <c r="AC207" s="1"/>
      <c r="AD207" s="1">
        <v>4</v>
      </c>
      <c r="AE207" s="1"/>
      <c r="AF207" s="1"/>
      <c r="AG207" s="1">
        <v>0</v>
      </c>
      <c r="AH207" s="1">
        <v>0</v>
      </c>
      <c r="AI207" s="1"/>
      <c r="AJ207" s="1">
        <v>0</v>
      </c>
      <c r="AK207" s="1" t="s">
        <v>32</v>
      </c>
      <c r="AL207" s="1" t="s">
        <v>32</v>
      </c>
      <c r="AM207" s="17"/>
      <c r="AN207" s="18"/>
      <c r="AO207" s="18"/>
      <c r="AP207" s="18"/>
      <c r="AQ207" s="18"/>
      <c r="AR207" s="10" t="s">
        <v>343</v>
      </c>
      <c r="AS207" s="10"/>
    </row>
    <row r="208" spans="2:45">
      <c r="B208" s="1">
        <f t="shared" si="3"/>
        <v>198</v>
      </c>
      <c r="C208" s="1">
        <v>0</v>
      </c>
      <c r="D208" s="1" t="s">
        <v>220</v>
      </c>
      <c r="E208" s="1" t="s">
        <v>52</v>
      </c>
      <c r="F208" s="1" t="s">
        <v>321</v>
      </c>
      <c r="G208" s="1" t="s">
        <v>321</v>
      </c>
      <c r="H208" s="1" t="s">
        <v>320</v>
      </c>
      <c r="I208" s="1"/>
      <c r="J208" s="1" t="s">
        <v>86</v>
      </c>
      <c r="K208" s="1" t="s">
        <v>491</v>
      </c>
      <c r="L208" s="1" t="s">
        <v>11</v>
      </c>
      <c r="M208" s="1">
        <v>0</v>
      </c>
      <c r="N208" s="1">
        <v>4</v>
      </c>
      <c r="O208" s="1">
        <v>0</v>
      </c>
      <c r="P208" s="1">
        <v>0</v>
      </c>
      <c r="Q208" s="1">
        <v>0</v>
      </c>
      <c r="R208" s="1">
        <v>0</v>
      </c>
      <c r="S208" s="1">
        <v>0</v>
      </c>
      <c r="T208" s="1">
        <v>0</v>
      </c>
      <c r="U208" s="1">
        <v>4</v>
      </c>
      <c r="V208" s="1">
        <v>0</v>
      </c>
      <c r="W208" s="1">
        <v>0</v>
      </c>
      <c r="X208" s="1">
        <v>0</v>
      </c>
      <c r="Y208" s="1">
        <v>0</v>
      </c>
      <c r="Z208" s="1">
        <v>0</v>
      </c>
      <c r="AA208" s="1">
        <v>4</v>
      </c>
      <c r="AB208" s="1"/>
      <c r="AC208" s="1"/>
      <c r="AD208" s="1">
        <v>4</v>
      </c>
      <c r="AE208" s="1"/>
      <c r="AF208" s="1"/>
      <c r="AG208" s="1">
        <v>0</v>
      </c>
      <c r="AH208" s="1">
        <v>0</v>
      </c>
      <c r="AI208" s="1"/>
      <c r="AJ208" s="1">
        <v>0</v>
      </c>
      <c r="AK208" s="1" t="s">
        <v>32</v>
      </c>
      <c r="AL208" s="1" t="s">
        <v>32</v>
      </c>
      <c r="AM208" s="17"/>
      <c r="AN208" s="18"/>
      <c r="AO208" s="18"/>
      <c r="AP208" s="18"/>
      <c r="AQ208" s="18"/>
      <c r="AR208" s="10" t="s">
        <v>343</v>
      </c>
      <c r="AS208" s="10"/>
    </row>
    <row r="209" spans="1:45">
      <c r="B209" s="1">
        <f t="shared" si="3"/>
        <v>199</v>
      </c>
      <c r="C209" s="1">
        <v>0</v>
      </c>
      <c r="D209" s="1" t="s">
        <v>220</v>
      </c>
      <c r="E209" s="1" t="s">
        <v>294</v>
      </c>
      <c r="F209" s="1" t="s">
        <v>328</v>
      </c>
      <c r="G209" s="1" t="s">
        <v>328</v>
      </c>
      <c r="H209" s="1" t="s">
        <v>322</v>
      </c>
      <c r="I209" s="1"/>
      <c r="J209" s="1" t="s">
        <v>85</v>
      </c>
      <c r="K209" s="1" t="s">
        <v>11</v>
      </c>
      <c r="L209" s="1" t="s">
        <v>329</v>
      </c>
      <c r="M209" s="1">
        <v>0</v>
      </c>
      <c r="N209" s="1">
        <v>4</v>
      </c>
      <c r="O209" s="1">
        <v>0</v>
      </c>
      <c r="P209" s="1">
        <v>0</v>
      </c>
      <c r="Q209" s="1">
        <v>0</v>
      </c>
      <c r="R209" s="1">
        <v>0</v>
      </c>
      <c r="S209" s="1"/>
      <c r="T209" s="1">
        <v>0</v>
      </c>
      <c r="U209" s="1">
        <v>2</v>
      </c>
      <c r="V209" s="1">
        <v>0</v>
      </c>
      <c r="W209" s="1">
        <v>0</v>
      </c>
      <c r="X209" s="1">
        <v>0</v>
      </c>
      <c r="Y209" s="1">
        <v>0</v>
      </c>
      <c r="Z209" s="1"/>
      <c r="AA209" s="1">
        <v>0</v>
      </c>
      <c r="AB209" s="1"/>
      <c r="AC209" s="1"/>
      <c r="AD209" s="1"/>
      <c r="AE209" s="1"/>
      <c r="AF209" s="1"/>
      <c r="AG209" s="1">
        <v>0</v>
      </c>
      <c r="AH209" s="1">
        <v>0</v>
      </c>
      <c r="AI209" s="1"/>
      <c r="AJ209" s="1">
        <v>0</v>
      </c>
      <c r="AK209" s="1" t="s">
        <v>32</v>
      </c>
      <c r="AL209" s="1" t="s">
        <v>32</v>
      </c>
      <c r="AM209" s="17"/>
      <c r="AN209" s="18"/>
      <c r="AO209" s="18"/>
      <c r="AP209" s="18"/>
      <c r="AQ209" s="18"/>
      <c r="AR209" s="10" t="s">
        <v>349</v>
      </c>
      <c r="AS209" s="10"/>
    </row>
    <row r="210" spans="1:45">
      <c r="B210" s="1">
        <f t="shared" si="3"/>
        <v>200</v>
      </c>
      <c r="C210" s="1">
        <v>0</v>
      </c>
      <c r="D210" s="1" t="s">
        <v>220</v>
      </c>
      <c r="E210" s="1" t="s">
        <v>294</v>
      </c>
      <c r="F210" s="1" t="s">
        <v>328</v>
      </c>
      <c r="G210" s="1" t="s">
        <v>328</v>
      </c>
      <c r="H210" s="1" t="s">
        <v>323</v>
      </c>
      <c r="I210" s="1"/>
      <c r="J210" s="1" t="s">
        <v>85</v>
      </c>
      <c r="K210" s="1" t="s">
        <v>11</v>
      </c>
      <c r="L210" s="1" t="s">
        <v>329</v>
      </c>
      <c r="M210" s="1">
        <v>0</v>
      </c>
      <c r="N210" s="1">
        <v>4</v>
      </c>
      <c r="O210" s="1">
        <v>0</v>
      </c>
      <c r="P210" s="1">
        <v>0</v>
      </c>
      <c r="Q210" s="1">
        <v>0</v>
      </c>
      <c r="R210" s="1">
        <v>0</v>
      </c>
      <c r="S210" s="1"/>
      <c r="T210" s="1">
        <v>0</v>
      </c>
      <c r="U210" s="1">
        <v>2</v>
      </c>
      <c r="V210" s="1">
        <v>0</v>
      </c>
      <c r="W210" s="1">
        <v>0</v>
      </c>
      <c r="X210" s="1">
        <v>0</v>
      </c>
      <c r="Y210" s="1">
        <v>0</v>
      </c>
      <c r="Z210" s="1"/>
      <c r="AA210" s="1">
        <v>0</v>
      </c>
      <c r="AB210" s="1"/>
      <c r="AC210" s="1"/>
      <c r="AD210" s="1"/>
      <c r="AE210" s="1"/>
      <c r="AF210" s="1"/>
      <c r="AG210" s="1">
        <v>0</v>
      </c>
      <c r="AH210" s="1">
        <v>0</v>
      </c>
      <c r="AI210" s="1"/>
      <c r="AJ210" s="1">
        <v>0</v>
      </c>
      <c r="AK210" s="1" t="s">
        <v>32</v>
      </c>
      <c r="AL210" s="1" t="s">
        <v>32</v>
      </c>
      <c r="AM210" s="17"/>
      <c r="AN210" s="18"/>
      <c r="AO210" s="18"/>
      <c r="AP210" s="18"/>
      <c r="AQ210" s="18"/>
      <c r="AR210" s="10" t="s">
        <v>349</v>
      </c>
      <c r="AS210" s="10"/>
    </row>
    <row r="211" spans="1:45">
      <c r="B211" s="1">
        <f t="shared" si="3"/>
        <v>201</v>
      </c>
      <c r="C211" s="1">
        <v>0</v>
      </c>
      <c r="D211" s="1" t="s">
        <v>220</v>
      </c>
      <c r="E211" s="1" t="s">
        <v>294</v>
      </c>
      <c r="F211" s="1" t="s">
        <v>328</v>
      </c>
      <c r="G211" s="1" t="s">
        <v>328</v>
      </c>
      <c r="H211" s="1" t="s">
        <v>324</v>
      </c>
      <c r="I211" s="1"/>
      <c r="J211" s="1" t="s">
        <v>85</v>
      </c>
      <c r="K211" s="1" t="s">
        <v>11</v>
      </c>
      <c r="L211" s="1" t="s">
        <v>329</v>
      </c>
      <c r="M211" s="1">
        <v>0</v>
      </c>
      <c r="N211" s="1">
        <v>4</v>
      </c>
      <c r="O211" s="1">
        <v>0</v>
      </c>
      <c r="P211" s="1">
        <v>0</v>
      </c>
      <c r="Q211" s="1">
        <v>0</v>
      </c>
      <c r="R211" s="1">
        <v>0</v>
      </c>
      <c r="S211" s="1"/>
      <c r="T211" s="1">
        <v>0</v>
      </c>
      <c r="U211" s="1">
        <v>2</v>
      </c>
      <c r="V211" s="1">
        <v>0</v>
      </c>
      <c r="W211" s="1">
        <v>0</v>
      </c>
      <c r="X211" s="1">
        <v>0</v>
      </c>
      <c r="Y211" s="1">
        <v>0</v>
      </c>
      <c r="Z211" s="1"/>
      <c r="AA211" s="1">
        <v>0</v>
      </c>
      <c r="AB211" s="1"/>
      <c r="AC211" s="1"/>
      <c r="AD211" s="1"/>
      <c r="AE211" s="1"/>
      <c r="AF211" s="1"/>
      <c r="AG211" s="1">
        <v>0</v>
      </c>
      <c r="AH211" s="1">
        <v>0</v>
      </c>
      <c r="AI211" s="1"/>
      <c r="AJ211" s="1">
        <v>0</v>
      </c>
      <c r="AK211" s="1" t="s">
        <v>32</v>
      </c>
      <c r="AL211" s="1" t="s">
        <v>32</v>
      </c>
      <c r="AM211" s="17"/>
      <c r="AN211" s="18"/>
      <c r="AO211" s="18"/>
      <c r="AP211" s="18"/>
      <c r="AQ211" s="18"/>
      <c r="AR211" s="10" t="s">
        <v>349</v>
      </c>
      <c r="AS211" s="10"/>
    </row>
    <row r="212" spans="1:45">
      <c r="B212" s="1">
        <f t="shared" si="3"/>
        <v>202</v>
      </c>
      <c r="C212" s="1">
        <v>0</v>
      </c>
      <c r="D212" s="1" t="s">
        <v>220</v>
      </c>
      <c r="E212" s="1" t="s">
        <v>294</v>
      </c>
      <c r="F212" s="1" t="s">
        <v>328</v>
      </c>
      <c r="G212" s="1" t="s">
        <v>328</v>
      </c>
      <c r="H212" s="1" t="s">
        <v>325</v>
      </c>
      <c r="I212" s="1"/>
      <c r="J212" s="1" t="s">
        <v>85</v>
      </c>
      <c r="K212" s="1" t="s">
        <v>11</v>
      </c>
      <c r="L212" s="1" t="s">
        <v>329</v>
      </c>
      <c r="M212" s="1">
        <v>0</v>
      </c>
      <c r="N212" s="1">
        <v>4</v>
      </c>
      <c r="O212" s="1">
        <v>0</v>
      </c>
      <c r="P212" s="1">
        <v>0</v>
      </c>
      <c r="Q212" s="1">
        <v>0</v>
      </c>
      <c r="R212" s="1">
        <v>0</v>
      </c>
      <c r="S212" s="1"/>
      <c r="T212" s="1">
        <v>0</v>
      </c>
      <c r="U212" s="1">
        <v>2</v>
      </c>
      <c r="V212" s="1">
        <v>0</v>
      </c>
      <c r="W212" s="1">
        <v>0</v>
      </c>
      <c r="X212" s="1">
        <v>0</v>
      </c>
      <c r="Y212" s="1">
        <v>0</v>
      </c>
      <c r="Z212" s="1"/>
      <c r="AA212" s="1">
        <v>0</v>
      </c>
      <c r="AB212" s="1"/>
      <c r="AC212" s="1"/>
      <c r="AD212" s="1"/>
      <c r="AE212" s="1"/>
      <c r="AF212" s="1"/>
      <c r="AG212" s="1">
        <v>0</v>
      </c>
      <c r="AH212" s="1">
        <v>0</v>
      </c>
      <c r="AI212" s="1"/>
      <c r="AJ212" s="1">
        <v>0</v>
      </c>
      <c r="AK212" s="1" t="s">
        <v>32</v>
      </c>
      <c r="AL212" s="1" t="s">
        <v>32</v>
      </c>
      <c r="AM212" s="17"/>
      <c r="AN212" s="18"/>
      <c r="AO212" s="18"/>
      <c r="AP212" s="18"/>
      <c r="AQ212" s="18"/>
      <c r="AR212" s="10" t="s">
        <v>349</v>
      </c>
      <c r="AS212" s="10"/>
    </row>
    <row r="213" spans="1:45">
      <c r="B213" s="1">
        <f t="shared" si="3"/>
        <v>203</v>
      </c>
      <c r="C213" s="1">
        <v>0</v>
      </c>
      <c r="D213" s="1" t="s">
        <v>220</v>
      </c>
      <c r="E213" s="1" t="s">
        <v>294</v>
      </c>
      <c r="F213" s="1" t="s">
        <v>328</v>
      </c>
      <c r="G213" s="1" t="s">
        <v>328</v>
      </c>
      <c r="H213" s="1" t="s">
        <v>326</v>
      </c>
      <c r="I213" s="1"/>
      <c r="J213" s="1" t="s">
        <v>85</v>
      </c>
      <c r="K213" s="1" t="s">
        <v>11</v>
      </c>
      <c r="L213" s="1" t="s">
        <v>329</v>
      </c>
      <c r="M213" s="1">
        <v>0</v>
      </c>
      <c r="N213" s="1">
        <v>4</v>
      </c>
      <c r="O213" s="1">
        <v>0</v>
      </c>
      <c r="P213" s="1">
        <v>0</v>
      </c>
      <c r="Q213" s="1">
        <v>0</v>
      </c>
      <c r="R213" s="1">
        <v>0</v>
      </c>
      <c r="S213" s="1"/>
      <c r="T213" s="1">
        <v>0</v>
      </c>
      <c r="U213" s="1">
        <v>2</v>
      </c>
      <c r="V213" s="1">
        <v>0</v>
      </c>
      <c r="W213" s="1">
        <v>0</v>
      </c>
      <c r="X213" s="1">
        <v>0</v>
      </c>
      <c r="Y213" s="1">
        <v>0</v>
      </c>
      <c r="Z213" s="1"/>
      <c r="AA213" s="1">
        <v>0</v>
      </c>
      <c r="AB213" s="1"/>
      <c r="AC213" s="1"/>
      <c r="AD213" s="1"/>
      <c r="AE213" s="1"/>
      <c r="AF213" s="1"/>
      <c r="AG213" s="1">
        <v>0</v>
      </c>
      <c r="AH213" s="1">
        <v>0</v>
      </c>
      <c r="AI213" s="1"/>
      <c r="AJ213" s="1">
        <v>0</v>
      </c>
      <c r="AK213" s="1" t="s">
        <v>32</v>
      </c>
      <c r="AL213" s="1" t="s">
        <v>32</v>
      </c>
      <c r="AM213" s="17"/>
      <c r="AN213" s="18"/>
      <c r="AO213" s="18"/>
      <c r="AP213" s="18"/>
      <c r="AQ213" s="18"/>
      <c r="AR213" s="10" t="s">
        <v>349</v>
      </c>
      <c r="AS213" s="10"/>
    </row>
    <row r="214" spans="1:45">
      <c r="B214" s="1">
        <f t="shared" si="3"/>
        <v>204</v>
      </c>
      <c r="C214" s="1">
        <v>0</v>
      </c>
      <c r="D214" s="1" t="s">
        <v>220</v>
      </c>
      <c r="E214" s="1" t="s">
        <v>294</v>
      </c>
      <c r="F214" s="1" t="s">
        <v>328</v>
      </c>
      <c r="G214" s="1" t="s">
        <v>328</v>
      </c>
      <c r="H214" s="1" t="s">
        <v>327</v>
      </c>
      <c r="I214" s="1"/>
      <c r="J214" s="1" t="s">
        <v>85</v>
      </c>
      <c r="K214" s="1" t="s">
        <v>11</v>
      </c>
      <c r="L214" s="1" t="s">
        <v>329</v>
      </c>
      <c r="M214" s="1">
        <v>0</v>
      </c>
      <c r="N214" s="1">
        <v>4</v>
      </c>
      <c r="O214" s="1">
        <v>0</v>
      </c>
      <c r="P214" s="1">
        <v>0</v>
      </c>
      <c r="Q214" s="1">
        <v>0</v>
      </c>
      <c r="R214" s="1">
        <v>0</v>
      </c>
      <c r="S214" s="1"/>
      <c r="T214" s="1">
        <v>0</v>
      </c>
      <c r="U214" s="1">
        <v>2</v>
      </c>
      <c r="V214" s="1">
        <v>0</v>
      </c>
      <c r="W214" s="1">
        <v>0</v>
      </c>
      <c r="X214" s="1">
        <v>0</v>
      </c>
      <c r="Y214" s="1">
        <v>0</v>
      </c>
      <c r="Z214" s="1"/>
      <c r="AA214" s="1">
        <v>0</v>
      </c>
      <c r="AB214" s="1"/>
      <c r="AC214" s="1"/>
      <c r="AD214" s="1"/>
      <c r="AE214" s="1"/>
      <c r="AF214" s="1"/>
      <c r="AG214" s="1">
        <v>0</v>
      </c>
      <c r="AH214" s="1">
        <v>0</v>
      </c>
      <c r="AI214" s="1"/>
      <c r="AJ214" s="1">
        <v>0</v>
      </c>
      <c r="AK214" s="1" t="s">
        <v>32</v>
      </c>
      <c r="AL214" s="1" t="s">
        <v>32</v>
      </c>
      <c r="AM214" s="17"/>
      <c r="AN214" s="18"/>
      <c r="AO214" s="18"/>
      <c r="AP214" s="18"/>
      <c r="AQ214" s="18"/>
      <c r="AR214" s="10" t="s">
        <v>349</v>
      </c>
      <c r="AS214" s="10"/>
    </row>
    <row r="215" spans="1:45" s="43" customFormat="1" ht="15" customHeight="1">
      <c r="B215" s="66">
        <f t="shared" si="3"/>
        <v>205</v>
      </c>
      <c r="C215" s="66">
        <v>0</v>
      </c>
      <c r="D215" s="66" t="s">
        <v>386</v>
      </c>
      <c r="E215" s="66" t="s">
        <v>294</v>
      </c>
      <c r="F215" s="66" t="s">
        <v>57</v>
      </c>
      <c r="G215" s="66"/>
      <c r="H215" s="66" t="s">
        <v>333</v>
      </c>
      <c r="I215" s="66"/>
      <c r="J215" s="66" t="s">
        <v>86</v>
      </c>
      <c r="K215" s="66" t="s">
        <v>12</v>
      </c>
      <c r="L215" s="66" t="s">
        <v>331</v>
      </c>
      <c r="M215" s="66">
        <v>0</v>
      </c>
      <c r="N215" s="66">
        <v>0</v>
      </c>
      <c r="O215" s="66">
        <v>4</v>
      </c>
      <c r="P215" s="66">
        <v>0</v>
      </c>
      <c r="Q215" s="66">
        <v>0</v>
      </c>
      <c r="R215" s="66">
        <v>0</v>
      </c>
      <c r="S215" s="66">
        <v>0</v>
      </c>
      <c r="T215" s="66">
        <v>0</v>
      </c>
      <c r="U215" s="66">
        <v>0</v>
      </c>
      <c r="V215" s="66">
        <v>0</v>
      </c>
      <c r="W215" s="66">
        <v>0</v>
      </c>
      <c r="X215" s="66">
        <v>0</v>
      </c>
      <c r="Y215" s="66">
        <v>0</v>
      </c>
      <c r="Z215" s="66">
        <v>0</v>
      </c>
      <c r="AA215" s="66">
        <v>0</v>
      </c>
      <c r="AB215" s="66">
        <v>0</v>
      </c>
      <c r="AC215" s="66">
        <v>0</v>
      </c>
      <c r="AD215" s="66">
        <v>0</v>
      </c>
      <c r="AE215" s="66">
        <v>0</v>
      </c>
      <c r="AF215" s="66">
        <v>0</v>
      </c>
      <c r="AG215" s="66">
        <v>0</v>
      </c>
      <c r="AH215" s="66">
        <v>0</v>
      </c>
      <c r="AI215" s="66">
        <v>0</v>
      </c>
      <c r="AJ215" s="1">
        <v>0</v>
      </c>
      <c r="AK215" s="1" t="s">
        <v>32</v>
      </c>
      <c r="AL215" s="66" t="s">
        <v>32</v>
      </c>
      <c r="AM215" s="67"/>
      <c r="AN215" s="66"/>
      <c r="AO215" s="66"/>
      <c r="AP215" s="66"/>
      <c r="AQ215" s="66"/>
      <c r="AR215" s="68"/>
      <c r="AS215" s="41"/>
    </row>
    <row r="216" spans="1:45">
      <c r="B216" s="1">
        <f t="shared" si="3"/>
        <v>206</v>
      </c>
      <c r="C216" s="1">
        <v>1</v>
      </c>
      <c r="D216" s="54" t="s">
        <v>386</v>
      </c>
      <c r="E216" s="1" t="s">
        <v>294</v>
      </c>
      <c r="F216" s="1" t="s">
        <v>57</v>
      </c>
      <c r="G216" s="1"/>
      <c r="H216" s="1" t="s">
        <v>334</v>
      </c>
      <c r="I216" s="1"/>
      <c r="J216" s="1" t="s">
        <v>86</v>
      </c>
      <c r="K216" s="1" t="s">
        <v>12</v>
      </c>
      <c r="L216" s="1" t="s">
        <v>453</v>
      </c>
      <c r="M216" s="1">
        <v>0</v>
      </c>
      <c r="N216" s="1">
        <v>0</v>
      </c>
      <c r="O216" s="1">
        <v>4</v>
      </c>
      <c r="P216" s="1">
        <v>0</v>
      </c>
      <c r="Q216" s="1">
        <v>0</v>
      </c>
      <c r="R216" s="1">
        <v>0</v>
      </c>
      <c r="S216" s="1">
        <v>0</v>
      </c>
      <c r="T216" s="1">
        <v>0</v>
      </c>
      <c r="U216" s="1">
        <v>0</v>
      </c>
      <c r="V216" s="1">
        <v>0</v>
      </c>
      <c r="W216" s="1">
        <v>0</v>
      </c>
      <c r="X216" s="1">
        <v>0</v>
      </c>
      <c r="Y216" s="1">
        <v>0</v>
      </c>
      <c r="Z216" s="1">
        <v>0</v>
      </c>
      <c r="AA216" s="1">
        <v>0</v>
      </c>
      <c r="AB216" s="1">
        <v>3</v>
      </c>
      <c r="AC216" s="1">
        <v>0</v>
      </c>
      <c r="AD216" s="1">
        <v>0</v>
      </c>
      <c r="AE216" s="1">
        <v>0</v>
      </c>
      <c r="AF216" s="1">
        <v>0</v>
      </c>
      <c r="AG216" s="1">
        <v>0</v>
      </c>
      <c r="AH216" s="1">
        <v>0</v>
      </c>
      <c r="AI216" s="1">
        <v>0</v>
      </c>
      <c r="AJ216" s="1">
        <v>0</v>
      </c>
      <c r="AK216" s="1" t="s">
        <v>21</v>
      </c>
      <c r="AL216" s="1" t="s">
        <v>32</v>
      </c>
      <c r="AM216" s="17"/>
      <c r="AN216" s="18"/>
      <c r="AO216" s="18"/>
      <c r="AP216" s="18"/>
      <c r="AQ216" s="145">
        <v>0.5</v>
      </c>
      <c r="AS216" s="10"/>
    </row>
    <row r="217" spans="1:45">
      <c r="B217" s="1">
        <f t="shared" si="3"/>
        <v>207</v>
      </c>
      <c r="C217" s="1">
        <v>1</v>
      </c>
      <c r="D217" s="54" t="s">
        <v>386</v>
      </c>
      <c r="E217" s="1" t="s">
        <v>294</v>
      </c>
      <c r="F217" s="1" t="s">
        <v>57</v>
      </c>
      <c r="G217" s="1" t="s">
        <v>250</v>
      </c>
      <c r="H217" s="18" t="s">
        <v>384</v>
      </c>
      <c r="I217" s="18"/>
      <c r="J217" s="1" t="s">
        <v>85</v>
      </c>
      <c r="K217" s="1" t="s">
        <v>453</v>
      </c>
      <c r="L217" s="1" t="s">
        <v>12</v>
      </c>
      <c r="M217" s="1">
        <v>0</v>
      </c>
      <c r="N217" s="1">
        <v>0</v>
      </c>
      <c r="O217" s="1">
        <v>3</v>
      </c>
      <c r="P217" s="1">
        <v>0</v>
      </c>
      <c r="Q217" s="1">
        <v>0</v>
      </c>
      <c r="R217" s="60">
        <v>4</v>
      </c>
      <c r="S217" s="1">
        <v>4</v>
      </c>
      <c r="T217" s="1">
        <v>0</v>
      </c>
      <c r="U217" s="1">
        <v>0</v>
      </c>
      <c r="V217" s="1">
        <v>0</v>
      </c>
      <c r="W217" s="1">
        <v>0</v>
      </c>
      <c r="X217" s="1">
        <v>0</v>
      </c>
      <c r="Y217" s="1">
        <v>0</v>
      </c>
      <c r="Z217" s="1">
        <v>0</v>
      </c>
      <c r="AA217" s="1">
        <v>0</v>
      </c>
      <c r="AB217" s="1">
        <v>4</v>
      </c>
      <c r="AC217" s="1"/>
      <c r="AD217" s="1"/>
      <c r="AE217" s="1"/>
      <c r="AF217" s="1"/>
      <c r="AG217" s="1">
        <v>0</v>
      </c>
      <c r="AH217" s="1">
        <v>0</v>
      </c>
      <c r="AI217" s="1">
        <v>0</v>
      </c>
      <c r="AJ217" s="1">
        <v>0</v>
      </c>
      <c r="AK217" s="1" t="s">
        <v>32</v>
      </c>
      <c r="AL217" s="1" t="s">
        <v>32</v>
      </c>
      <c r="AM217" s="17"/>
      <c r="AN217" s="18"/>
      <c r="AO217" s="18"/>
      <c r="AP217" s="140" t="s">
        <v>1122</v>
      </c>
      <c r="AQ217" s="86">
        <v>0.9</v>
      </c>
      <c r="AS217" s="10"/>
    </row>
    <row r="218" spans="1:45">
      <c r="B218" s="1">
        <f t="shared" si="3"/>
        <v>208</v>
      </c>
      <c r="C218" s="1">
        <v>1</v>
      </c>
      <c r="D218" s="54" t="s">
        <v>386</v>
      </c>
      <c r="E218" s="1" t="s">
        <v>294</v>
      </c>
      <c r="F218" s="1" t="s">
        <v>57</v>
      </c>
      <c r="G218" s="1" t="s">
        <v>250</v>
      </c>
      <c r="H218" s="18" t="s">
        <v>455</v>
      </c>
      <c r="I218" s="18"/>
      <c r="J218" s="1" t="s">
        <v>87</v>
      </c>
      <c r="K218" s="1" t="s">
        <v>453</v>
      </c>
      <c r="L218" s="1" t="s">
        <v>12</v>
      </c>
      <c r="M218" s="1">
        <v>0</v>
      </c>
      <c r="N218" s="1">
        <v>0</v>
      </c>
      <c r="O218" s="1">
        <v>3</v>
      </c>
      <c r="P218" s="1">
        <v>0</v>
      </c>
      <c r="Q218" s="1">
        <v>0</v>
      </c>
      <c r="R218" s="60">
        <v>4</v>
      </c>
      <c r="S218" s="1">
        <v>0</v>
      </c>
      <c r="T218" s="1">
        <v>0</v>
      </c>
      <c r="U218" s="1">
        <v>0</v>
      </c>
      <c r="V218" s="1">
        <v>0</v>
      </c>
      <c r="W218" s="1">
        <v>0</v>
      </c>
      <c r="X218" s="1">
        <v>0</v>
      </c>
      <c r="Y218" s="1">
        <v>0</v>
      </c>
      <c r="Z218" s="1">
        <v>0</v>
      </c>
      <c r="AA218" s="1">
        <v>0</v>
      </c>
      <c r="AB218" s="1">
        <v>4</v>
      </c>
      <c r="AC218" s="1"/>
      <c r="AD218" s="1"/>
      <c r="AE218" s="1"/>
      <c r="AF218" s="1"/>
      <c r="AG218" s="1">
        <v>0</v>
      </c>
      <c r="AH218" s="1">
        <v>0</v>
      </c>
      <c r="AI218" s="1">
        <v>0</v>
      </c>
      <c r="AJ218" s="1">
        <v>0</v>
      </c>
      <c r="AK218" s="1" t="s">
        <v>32</v>
      </c>
      <c r="AL218" s="1" t="s">
        <v>32</v>
      </c>
      <c r="AM218" s="17"/>
      <c r="AN218" s="18"/>
      <c r="AO218" s="18"/>
      <c r="AP218" s="140" t="s">
        <v>1122</v>
      </c>
      <c r="AQ218" s="86">
        <v>0.9</v>
      </c>
      <c r="AS218" s="10"/>
    </row>
    <row r="219" spans="1:45">
      <c r="B219" s="1">
        <f t="shared" si="3"/>
        <v>209</v>
      </c>
      <c r="C219" s="1">
        <v>1</v>
      </c>
      <c r="D219" s="54" t="s">
        <v>386</v>
      </c>
      <c r="E219" s="1" t="s">
        <v>294</v>
      </c>
      <c r="F219" s="1" t="s">
        <v>57</v>
      </c>
      <c r="G219" s="1" t="s">
        <v>250</v>
      </c>
      <c r="H219" s="1" t="s">
        <v>456</v>
      </c>
      <c r="I219" s="1"/>
      <c r="J219" s="1" t="s">
        <v>86</v>
      </c>
      <c r="K219" s="1" t="s">
        <v>453</v>
      </c>
      <c r="L219" s="1" t="s">
        <v>453</v>
      </c>
      <c r="M219" s="1">
        <v>0</v>
      </c>
      <c r="N219" s="1">
        <v>0</v>
      </c>
      <c r="O219" s="1">
        <v>0</v>
      </c>
      <c r="P219" s="1">
        <v>0</v>
      </c>
      <c r="Q219" s="1">
        <v>0</v>
      </c>
      <c r="R219" s="60">
        <v>4</v>
      </c>
      <c r="S219" s="1">
        <v>0</v>
      </c>
      <c r="T219" s="1">
        <v>0</v>
      </c>
      <c r="U219" s="1">
        <v>0</v>
      </c>
      <c r="V219" s="1">
        <v>0</v>
      </c>
      <c r="W219" s="1">
        <v>0</v>
      </c>
      <c r="X219" s="1">
        <v>0</v>
      </c>
      <c r="Y219" s="1">
        <v>0</v>
      </c>
      <c r="Z219" s="1">
        <v>0</v>
      </c>
      <c r="AA219" s="1">
        <v>0</v>
      </c>
      <c r="AB219" s="1">
        <v>4</v>
      </c>
      <c r="AC219" s="1"/>
      <c r="AD219" s="1"/>
      <c r="AE219" s="1"/>
      <c r="AF219" s="1"/>
      <c r="AG219" s="1">
        <v>0</v>
      </c>
      <c r="AH219" s="1">
        <v>0</v>
      </c>
      <c r="AI219" s="1">
        <v>0</v>
      </c>
      <c r="AJ219" s="1">
        <v>0</v>
      </c>
      <c r="AK219" s="1" t="s">
        <v>32</v>
      </c>
      <c r="AL219" s="1" t="s">
        <v>32</v>
      </c>
      <c r="AM219" s="17"/>
      <c r="AN219" s="18"/>
      <c r="AO219" s="18"/>
      <c r="AP219" s="140" t="s">
        <v>1121</v>
      </c>
      <c r="AQ219" s="84">
        <v>0.8</v>
      </c>
      <c r="AS219" s="10"/>
    </row>
    <row r="220" spans="1:45" s="1" customFormat="1">
      <c r="A220"/>
      <c r="B220" s="1">
        <f t="shared" si="3"/>
        <v>210</v>
      </c>
      <c r="C220" s="1">
        <v>0</v>
      </c>
      <c r="D220" s="1" t="s">
        <v>386</v>
      </c>
      <c r="E220" s="1" t="s">
        <v>294</v>
      </c>
      <c r="F220" s="1" t="s">
        <v>57</v>
      </c>
      <c r="G220" s="1" t="s">
        <v>250</v>
      </c>
      <c r="H220" s="1" t="s">
        <v>457</v>
      </c>
      <c r="J220" s="1" t="s">
        <v>86</v>
      </c>
      <c r="K220" s="1" t="s">
        <v>55</v>
      </c>
      <c r="L220" s="1" t="s">
        <v>453</v>
      </c>
      <c r="M220" s="1">
        <v>0</v>
      </c>
      <c r="N220" s="1">
        <v>0</v>
      </c>
      <c r="O220" s="1">
        <v>0</v>
      </c>
      <c r="P220" s="1">
        <v>0</v>
      </c>
      <c r="Q220" s="1">
        <v>0</v>
      </c>
      <c r="R220" s="1">
        <v>4</v>
      </c>
      <c r="S220" s="1">
        <v>0</v>
      </c>
      <c r="T220" s="1">
        <v>0</v>
      </c>
      <c r="U220" s="1">
        <v>0</v>
      </c>
      <c r="V220" s="1">
        <v>0</v>
      </c>
      <c r="W220" s="1">
        <v>0</v>
      </c>
      <c r="X220" s="1">
        <v>0</v>
      </c>
      <c r="Y220" s="1">
        <v>0</v>
      </c>
      <c r="Z220" s="1">
        <v>0</v>
      </c>
      <c r="AA220" s="1">
        <v>0</v>
      </c>
      <c r="AB220" s="1">
        <v>2</v>
      </c>
      <c r="AG220" s="1">
        <v>0</v>
      </c>
      <c r="AH220" s="1">
        <v>0</v>
      </c>
      <c r="AI220" s="1">
        <v>0</v>
      </c>
      <c r="AJ220" s="1">
        <v>0</v>
      </c>
      <c r="AK220" s="1" t="s">
        <v>32</v>
      </c>
      <c r="AL220" s="1" t="s">
        <v>32</v>
      </c>
    </row>
    <row r="221" spans="1:45">
      <c r="B221" s="1">
        <f t="shared" si="3"/>
        <v>211</v>
      </c>
      <c r="C221" s="1">
        <v>1</v>
      </c>
      <c r="D221" s="54" t="s">
        <v>386</v>
      </c>
      <c r="E221" s="1" t="s">
        <v>294</v>
      </c>
      <c r="F221" s="1" t="s">
        <v>57</v>
      </c>
      <c r="G221" s="1" t="s">
        <v>250</v>
      </c>
      <c r="H221" s="1" t="s">
        <v>1119</v>
      </c>
      <c r="I221" s="1"/>
      <c r="J221" s="1" t="s">
        <v>86</v>
      </c>
      <c r="K221" s="1" t="s">
        <v>453</v>
      </c>
      <c r="L221" s="1" t="s">
        <v>453</v>
      </c>
      <c r="M221" s="1">
        <v>0</v>
      </c>
      <c r="N221" s="1">
        <v>0</v>
      </c>
      <c r="O221" s="1">
        <v>0</v>
      </c>
      <c r="P221" s="1">
        <v>0</v>
      </c>
      <c r="Q221" s="1">
        <v>0</v>
      </c>
      <c r="R221" s="60">
        <v>4</v>
      </c>
      <c r="S221" s="1">
        <v>0</v>
      </c>
      <c r="T221" s="1">
        <v>0</v>
      </c>
      <c r="U221" s="1">
        <v>0</v>
      </c>
      <c r="V221" s="1">
        <v>0</v>
      </c>
      <c r="W221" s="1">
        <v>0</v>
      </c>
      <c r="X221" s="1">
        <v>0</v>
      </c>
      <c r="Y221" s="1">
        <v>0</v>
      </c>
      <c r="Z221" s="1">
        <v>0</v>
      </c>
      <c r="AA221" s="1">
        <v>0</v>
      </c>
      <c r="AB221" s="1">
        <v>4</v>
      </c>
      <c r="AC221" s="1"/>
      <c r="AD221" s="1"/>
      <c r="AE221" s="1"/>
      <c r="AF221" s="1"/>
      <c r="AG221" s="1">
        <v>0</v>
      </c>
      <c r="AH221" s="1">
        <v>0</v>
      </c>
      <c r="AI221" s="1">
        <v>0</v>
      </c>
      <c r="AJ221" s="1">
        <v>0</v>
      </c>
      <c r="AK221" s="1" t="s">
        <v>32</v>
      </c>
      <c r="AL221" s="1" t="s">
        <v>32</v>
      </c>
      <c r="AM221" s="17"/>
      <c r="AN221" s="18"/>
      <c r="AO221" s="18"/>
      <c r="AP221" s="140" t="s">
        <v>1120</v>
      </c>
      <c r="AQ221" s="84">
        <v>0.8</v>
      </c>
      <c r="AS221" s="10"/>
    </row>
    <row r="222" spans="1:45" s="1" customFormat="1">
      <c r="A222"/>
      <c r="B222" s="1">
        <f t="shared" si="3"/>
        <v>212</v>
      </c>
      <c r="C222" s="1">
        <v>0</v>
      </c>
      <c r="D222" s="1" t="s">
        <v>386</v>
      </c>
      <c r="E222" s="1" t="s">
        <v>294</v>
      </c>
      <c r="F222" s="1" t="s">
        <v>57</v>
      </c>
      <c r="G222" s="1" t="s">
        <v>250</v>
      </c>
      <c r="H222" s="1" t="s">
        <v>459</v>
      </c>
      <c r="J222" s="1" t="s">
        <v>86</v>
      </c>
      <c r="K222" s="1" t="s">
        <v>55</v>
      </c>
      <c r="L222" s="1" t="s">
        <v>453</v>
      </c>
      <c r="M222" s="1">
        <v>0</v>
      </c>
      <c r="N222" s="1">
        <v>0</v>
      </c>
      <c r="O222" s="1">
        <v>0</v>
      </c>
      <c r="P222" s="1">
        <v>0</v>
      </c>
      <c r="Q222" s="1">
        <v>0</v>
      </c>
      <c r="R222" s="1">
        <v>4</v>
      </c>
      <c r="S222" s="1">
        <v>0</v>
      </c>
      <c r="T222" s="1">
        <v>0</v>
      </c>
      <c r="U222" s="1">
        <v>0</v>
      </c>
      <c r="V222" s="1">
        <v>0</v>
      </c>
      <c r="W222" s="1">
        <v>0</v>
      </c>
      <c r="X222" s="1">
        <v>0</v>
      </c>
      <c r="Y222" s="1">
        <v>0</v>
      </c>
      <c r="Z222" s="1">
        <v>0</v>
      </c>
      <c r="AA222" s="1">
        <v>0</v>
      </c>
      <c r="AB222" s="1">
        <v>2</v>
      </c>
      <c r="AG222" s="1">
        <v>0</v>
      </c>
      <c r="AH222" s="1">
        <v>0</v>
      </c>
      <c r="AI222" s="1">
        <v>0</v>
      </c>
      <c r="AJ222" s="1">
        <v>0</v>
      </c>
      <c r="AK222" s="1" t="s">
        <v>32</v>
      </c>
      <c r="AL222" s="1" t="s">
        <v>32</v>
      </c>
    </row>
    <row r="223" spans="1:45" s="1" customFormat="1">
      <c r="A223"/>
      <c r="B223" s="1">
        <f t="shared" si="3"/>
        <v>213</v>
      </c>
      <c r="C223" s="1">
        <v>0</v>
      </c>
      <c r="D223" s="1" t="s">
        <v>386</v>
      </c>
      <c r="E223" s="1" t="s">
        <v>294</v>
      </c>
      <c r="F223" s="1" t="s">
        <v>57</v>
      </c>
      <c r="G223" s="1" t="s">
        <v>250</v>
      </c>
      <c r="H223" s="1" t="s">
        <v>460</v>
      </c>
      <c r="J223" s="1" t="s">
        <v>335</v>
      </c>
      <c r="K223" s="1" t="s">
        <v>55</v>
      </c>
      <c r="L223" s="1" t="s">
        <v>453</v>
      </c>
      <c r="M223" s="1">
        <v>0</v>
      </c>
      <c r="N223" s="1">
        <v>0</v>
      </c>
      <c r="O223" s="1">
        <v>0</v>
      </c>
      <c r="P223" s="1">
        <v>0</v>
      </c>
      <c r="Q223" s="1">
        <v>0</v>
      </c>
      <c r="R223" s="1">
        <v>4</v>
      </c>
      <c r="S223" s="1">
        <v>0</v>
      </c>
      <c r="T223" s="1">
        <v>0</v>
      </c>
      <c r="U223" s="1">
        <v>0</v>
      </c>
      <c r="V223" s="1">
        <v>0</v>
      </c>
      <c r="W223" s="1">
        <v>0</v>
      </c>
      <c r="X223" s="1">
        <v>0</v>
      </c>
      <c r="Y223" s="1">
        <v>0</v>
      </c>
      <c r="Z223" s="1">
        <v>0</v>
      </c>
      <c r="AA223" s="1">
        <v>0</v>
      </c>
      <c r="AB223" s="1">
        <v>1</v>
      </c>
      <c r="AG223" s="1">
        <v>0</v>
      </c>
      <c r="AH223" s="1">
        <v>0</v>
      </c>
      <c r="AI223" s="1">
        <v>0</v>
      </c>
      <c r="AJ223" s="1">
        <v>0</v>
      </c>
      <c r="AK223" s="1" t="s">
        <v>32</v>
      </c>
      <c r="AL223" s="1" t="s">
        <v>32</v>
      </c>
    </row>
    <row r="224" spans="1:45" s="1" customFormat="1">
      <c r="A224"/>
      <c r="B224" s="1">
        <f t="shared" si="3"/>
        <v>214</v>
      </c>
      <c r="C224" s="1">
        <v>0</v>
      </c>
      <c r="D224" s="1" t="s">
        <v>386</v>
      </c>
      <c r="E224" s="1" t="s">
        <v>294</v>
      </c>
      <c r="F224" s="1" t="s">
        <v>57</v>
      </c>
      <c r="G224" s="1" t="s">
        <v>250</v>
      </c>
      <c r="H224" s="1" t="s">
        <v>461</v>
      </c>
      <c r="J224" s="1" t="s">
        <v>85</v>
      </c>
      <c r="K224" s="1" t="s">
        <v>55</v>
      </c>
      <c r="L224" s="1" t="s">
        <v>453</v>
      </c>
      <c r="M224" s="1">
        <v>0</v>
      </c>
      <c r="N224" s="1">
        <v>0</v>
      </c>
      <c r="O224" s="1">
        <v>0</v>
      </c>
      <c r="P224" s="1">
        <v>0</v>
      </c>
      <c r="Q224" s="1">
        <v>0</v>
      </c>
      <c r="R224" s="1">
        <v>4</v>
      </c>
      <c r="S224" s="1">
        <v>0</v>
      </c>
      <c r="T224" s="1">
        <v>0</v>
      </c>
      <c r="U224" s="1">
        <v>0</v>
      </c>
      <c r="V224" s="1">
        <v>0</v>
      </c>
      <c r="W224" s="1">
        <v>0</v>
      </c>
      <c r="X224" s="1">
        <v>0</v>
      </c>
      <c r="Y224" s="1">
        <v>0</v>
      </c>
      <c r="Z224" s="1">
        <v>0</v>
      </c>
      <c r="AA224" s="1">
        <v>0</v>
      </c>
      <c r="AB224" s="1">
        <v>2</v>
      </c>
      <c r="AG224" s="1">
        <v>0</v>
      </c>
      <c r="AH224" s="1">
        <v>0</v>
      </c>
      <c r="AI224" s="1">
        <v>0</v>
      </c>
      <c r="AJ224" s="1">
        <v>0</v>
      </c>
      <c r="AK224" s="1" t="s">
        <v>32</v>
      </c>
      <c r="AL224" s="1" t="s">
        <v>32</v>
      </c>
    </row>
    <row r="225" spans="1:45" s="1" customFormat="1">
      <c r="A225"/>
      <c r="B225" s="1">
        <f t="shared" si="3"/>
        <v>215</v>
      </c>
      <c r="C225" s="1">
        <v>0</v>
      </c>
      <c r="D225" s="1" t="s">
        <v>386</v>
      </c>
      <c r="E225" s="1" t="s">
        <v>294</v>
      </c>
      <c r="F225" s="1" t="s">
        <v>57</v>
      </c>
      <c r="G225" s="1" t="s">
        <v>250</v>
      </c>
      <c r="H225" s="1" t="s">
        <v>462</v>
      </c>
      <c r="J225" s="1" t="s">
        <v>87</v>
      </c>
      <c r="K225" s="1" t="s">
        <v>55</v>
      </c>
      <c r="L225" s="1" t="s">
        <v>453</v>
      </c>
      <c r="M225" s="1">
        <v>0</v>
      </c>
      <c r="N225" s="1">
        <v>0</v>
      </c>
      <c r="O225" s="1">
        <v>0</v>
      </c>
      <c r="P225" s="1">
        <v>0</v>
      </c>
      <c r="Q225" s="1">
        <v>0</v>
      </c>
      <c r="R225" s="1">
        <v>4</v>
      </c>
      <c r="S225" s="1">
        <v>0</v>
      </c>
      <c r="T225" s="1">
        <v>0</v>
      </c>
      <c r="U225" s="1">
        <v>0</v>
      </c>
      <c r="V225" s="1">
        <v>0</v>
      </c>
      <c r="W225" s="1">
        <v>0</v>
      </c>
      <c r="X225" s="1">
        <v>0</v>
      </c>
      <c r="Y225" s="1">
        <v>0</v>
      </c>
      <c r="Z225" s="1">
        <v>0</v>
      </c>
      <c r="AA225" s="1">
        <v>0</v>
      </c>
      <c r="AB225" s="1">
        <v>1</v>
      </c>
      <c r="AC225" s="1">
        <v>3</v>
      </c>
      <c r="AG225" s="1">
        <v>0</v>
      </c>
      <c r="AH225" s="1">
        <v>0</v>
      </c>
      <c r="AI225" s="1">
        <v>0</v>
      </c>
      <c r="AJ225" s="1">
        <v>0</v>
      </c>
      <c r="AK225" s="1" t="s">
        <v>32</v>
      </c>
      <c r="AL225" s="1" t="s">
        <v>32</v>
      </c>
      <c r="AR225" s="1" t="s">
        <v>80</v>
      </c>
    </row>
    <row r="226" spans="1:45" s="1" customFormat="1">
      <c r="A226"/>
      <c r="B226" s="1">
        <f t="shared" si="3"/>
        <v>216</v>
      </c>
      <c r="C226" s="1">
        <v>0</v>
      </c>
      <c r="D226" s="1" t="s">
        <v>386</v>
      </c>
      <c r="E226" s="1" t="s">
        <v>294</v>
      </c>
      <c r="F226" s="1" t="s">
        <v>57</v>
      </c>
      <c r="G226" s="1" t="s">
        <v>250</v>
      </c>
      <c r="H226" s="1" t="s">
        <v>463</v>
      </c>
      <c r="J226" s="1" t="s">
        <v>87</v>
      </c>
      <c r="K226" s="1" t="s">
        <v>55</v>
      </c>
      <c r="L226" s="1" t="s">
        <v>453</v>
      </c>
      <c r="M226" s="1">
        <v>0</v>
      </c>
      <c r="N226" s="1">
        <v>0</v>
      </c>
      <c r="O226" s="1">
        <v>0</v>
      </c>
      <c r="P226" s="1">
        <v>0</v>
      </c>
      <c r="Q226" s="1">
        <v>0</v>
      </c>
      <c r="R226" s="1">
        <v>4</v>
      </c>
      <c r="S226" s="1">
        <v>0</v>
      </c>
      <c r="T226" s="1">
        <v>0</v>
      </c>
      <c r="U226" s="1">
        <v>0</v>
      </c>
      <c r="V226" s="1">
        <v>0</v>
      </c>
      <c r="W226" s="1">
        <v>0</v>
      </c>
      <c r="X226" s="1">
        <v>0</v>
      </c>
      <c r="Y226" s="1">
        <v>0</v>
      </c>
      <c r="Z226" s="1">
        <v>0</v>
      </c>
      <c r="AA226" s="1">
        <v>0</v>
      </c>
      <c r="AB226" s="1">
        <v>1</v>
      </c>
      <c r="AC226" s="1">
        <v>3</v>
      </c>
      <c r="AG226" s="1">
        <v>0</v>
      </c>
      <c r="AH226" s="1">
        <v>0</v>
      </c>
      <c r="AI226" s="1">
        <v>0</v>
      </c>
      <c r="AJ226" s="1">
        <v>0</v>
      </c>
      <c r="AK226" s="1" t="s">
        <v>32</v>
      </c>
      <c r="AL226" s="1" t="s">
        <v>32</v>
      </c>
    </row>
    <row r="227" spans="1:45" s="1" customFormat="1">
      <c r="A227"/>
      <c r="B227" s="1">
        <f t="shared" si="3"/>
        <v>217</v>
      </c>
      <c r="C227" s="1">
        <v>0</v>
      </c>
      <c r="D227" s="1" t="s">
        <v>386</v>
      </c>
      <c r="E227" s="1" t="s">
        <v>294</v>
      </c>
      <c r="F227" s="1" t="s">
        <v>57</v>
      </c>
      <c r="G227" s="1" t="s">
        <v>250</v>
      </c>
      <c r="H227" s="1" t="s">
        <v>464</v>
      </c>
      <c r="J227" s="1" t="s">
        <v>437</v>
      </c>
      <c r="K227" s="1" t="s">
        <v>55</v>
      </c>
      <c r="L227" s="1" t="s">
        <v>453</v>
      </c>
      <c r="M227" s="1">
        <v>0</v>
      </c>
      <c r="N227" s="1">
        <v>0</v>
      </c>
      <c r="O227" s="1">
        <v>0</v>
      </c>
      <c r="P227" s="1">
        <v>0</v>
      </c>
      <c r="Q227" s="1">
        <v>0</v>
      </c>
      <c r="R227" s="1">
        <v>4</v>
      </c>
      <c r="S227" s="1">
        <v>0</v>
      </c>
      <c r="T227" s="1">
        <v>0</v>
      </c>
      <c r="U227" s="1">
        <v>0</v>
      </c>
      <c r="V227" s="1">
        <v>0</v>
      </c>
      <c r="W227" s="1">
        <v>0</v>
      </c>
      <c r="X227" s="1">
        <v>0</v>
      </c>
      <c r="Y227" s="1">
        <v>0</v>
      </c>
      <c r="Z227" s="1">
        <v>0</v>
      </c>
      <c r="AA227" s="1">
        <v>0</v>
      </c>
      <c r="AB227" s="1">
        <v>1</v>
      </c>
      <c r="AC227" s="1">
        <v>3</v>
      </c>
      <c r="AG227" s="1">
        <v>0</v>
      </c>
      <c r="AH227" s="1">
        <v>0</v>
      </c>
      <c r="AI227" s="1">
        <v>0</v>
      </c>
      <c r="AJ227" s="1">
        <v>0</v>
      </c>
      <c r="AK227" s="1" t="s">
        <v>32</v>
      </c>
      <c r="AL227" s="1" t="s">
        <v>32</v>
      </c>
    </row>
    <row r="228" spans="1:45">
      <c r="B228" s="1">
        <f t="shared" si="3"/>
        <v>218</v>
      </c>
      <c r="C228" s="1">
        <v>1</v>
      </c>
      <c r="D228" s="54" t="s">
        <v>386</v>
      </c>
      <c r="E228" s="1" t="s">
        <v>294</v>
      </c>
      <c r="F228" s="1" t="s">
        <v>57</v>
      </c>
      <c r="G228" s="1" t="s">
        <v>250</v>
      </c>
      <c r="H228" s="1" t="s">
        <v>465</v>
      </c>
      <c r="I228" s="1"/>
      <c r="J228" s="1" t="s">
        <v>466</v>
      </c>
      <c r="K228" s="1" t="s">
        <v>453</v>
      </c>
      <c r="L228" s="1" t="s">
        <v>453</v>
      </c>
      <c r="M228" s="1">
        <v>0</v>
      </c>
      <c r="N228" s="1">
        <v>0</v>
      </c>
      <c r="O228" s="1">
        <v>0</v>
      </c>
      <c r="P228" s="1">
        <v>0</v>
      </c>
      <c r="Q228" s="1">
        <v>0</v>
      </c>
      <c r="R228" s="60">
        <v>4</v>
      </c>
      <c r="S228" s="1">
        <v>0</v>
      </c>
      <c r="T228" s="1">
        <v>0</v>
      </c>
      <c r="U228" s="1">
        <v>0</v>
      </c>
      <c r="V228" s="1">
        <v>0</v>
      </c>
      <c r="W228" s="1">
        <v>0</v>
      </c>
      <c r="X228" s="1">
        <v>0</v>
      </c>
      <c r="Y228" s="1">
        <v>0</v>
      </c>
      <c r="Z228" s="1">
        <v>0</v>
      </c>
      <c r="AA228" s="1">
        <v>0</v>
      </c>
      <c r="AB228" s="1">
        <v>4</v>
      </c>
      <c r="AC228" s="1">
        <v>3</v>
      </c>
      <c r="AD228" s="1"/>
      <c r="AE228" s="1"/>
      <c r="AF228" s="1"/>
      <c r="AG228" s="1">
        <v>0</v>
      </c>
      <c r="AH228" s="1">
        <v>0</v>
      </c>
      <c r="AI228" s="1">
        <v>0</v>
      </c>
      <c r="AJ228" s="1">
        <v>0</v>
      </c>
      <c r="AK228" s="1" t="s">
        <v>32</v>
      </c>
      <c r="AL228" s="1" t="s">
        <v>32</v>
      </c>
      <c r="AM228" s="17"/>
      <c r="AN228" s="18"/>
      <c r="AO228" s="18"/>
      <c r="AP228" s="140" t="s">
        <v>1118</v>
      </c>
      <c r="AQ228" s="86">
        <v>0.9</v>
      </c>
      <c r="AS228" s="10"/>
    </row>
    <row r="229" spans="1:45">
      <c r="B229" s="1">
        <f t="shared" si="3"/>
        <v>219</v>
      </c>
      <c r="C229" s="1">
        <v>1</v>
      </c>
      <c r="D229" s="54" t="s">
        <v>386</v>
      </c>
      <c r="E229" s="1" t="s">
        <v>294</v>
      </c>
      <c r="F229" s="1" t="s">
        <v>57</v>
      </c>
      <c r="G229" s="1" t="s">
        <v>250</v>
      </c>
      <c r="H229" s="1" t="s">
        <v>337</v>
      </c>
      <c r="I229" s="1"/>
      <c r="J229" s="1" t="s">
        <v>87</v>
      </c>
      <c r="K229" s="1" t="s">
        <v>453</v>
      </c>
      <c r="L229" s="1" t="s">
        <v>12</v>
      </c>
      <c r="M229" s="1">
        <v>0</v>
      </c>
      <c r="N229" s="1">
        <v>0</v>
      </c>
      <c r="O229" s="1">
        <v>3</v>
      </c>
      <c r="P229" s="1">
        <v>0</v>
      </c>
      <c r="Q229" s="1">
        <v>0</v>
      </c>
      <c r="R229" s="60">
        <v>4</v>
      </c>
      <c r="S229" s="1">
        <v>4</v>
      </c>
      <c r="T229" s="1">
        <v>0</v>
      </c>
      <c r="U229" s="1">
        <v>0</v>
      </c>
      <c r="V229" s="1">
        <v>0</v>
      </c>
      <c r="W229" s="1">
        <v>0</v>
      </c>
      <c r="X229" s="1">
        <v>0</v>
      </c>
      <c r="Y229" s="1">
        <v>0</v>
      </c>
      <c r="Z229" s="1">
        <v>0</v>
      </c>
      <c r="AA229" s="1">
        <v>0</v>
      </c>
      <c r="AB229" s="1">
        <v>4</v>
      </c>
      <c r="AC229" s="1"/>
      <c r="AD229" s="1"/>
      <c r="AE229" s="1"/>
      <c r="AF229" s="1"/>
      <c r="AG229" s="1">
        <v>0</v>
      </c>
      <c r="AH229" s="1">
        <v>0</v>
      </c>
      <c r="AI229" s="1">
        <v>0</v>
      </c>
      <c r="AJ229" s="1">
        <v>0</v>
      </c>
      <c r="AK229" s="1" t="s">
        <v>32</v>
      </c>
      <c r="AL229" s="1" t="s">
        <v>32</v>
      </c>
      <c r="AM229" s="17"/>
      <c r="AN229" s="18"/>
      <c r="AO229" s="18"/>
      <c r="AP229" s="140" t="s">
        <v>1117</v>
      </c>
      <c r="AQ229" s="84">
        <v>0.8</v>
      </c>
      <c r="AS229" s="10"/>
    </row>
    <row r="230" spans="1:45">
      <c r="B230" s="1">
        <f t="shared" si="3"/>
        <v>220</v>
      </c>
      <c r="C230" s="1">
        <v>1</v>
      </c>
      <c r="D230" s="54" t="s">
        <v>386</v>
      </c>
      <c r="E230" s="1" t="s">
        <v>294</v>
      </c>
      <c r="F230" s="1" t="s">
        <v>57</v>
      </c>
      <c r="G230" s="1" t="s">
        <v>250</v>
      </c>
      <c r="H230" s="1" t="s">
        <v>338</v>
      </c>
      <c r="I230" s="1"/>
      <c r="J230" s="1" t="s">
        <v>86</v>
      </c>
      <c r="K230" s="1" t="s">
        <v>453</v>
      </c>
      <c r="L230" s="1" t="s">
        <v>12</v>
      </c>
      <c r="M230" s="1">
        <v>0</v>
      </c>
      <c r="N230" s="1">
        <v>0</v>
      </c>
      <c r="O230" s="1">
        <v>3</v>
      </c>
      <c r="P230" s="1">
        <v>0</v>
      </c>
      <c r="Q230" s="1">
        <v>0</v>
      </c>
      <c r="R230" s="60">
        <v>4</v>
      </c>
      <c r="S230" s="1">
        <v>4</v>
      </c>
      <c r="T230" s="1">
        <v>0</v>
      </c>
      <c r="U230" s="1">
        <v>0</v>
      </c>
      <c r="V230" s="1">
        <v>0</v>
      </c>
      <c r="W230" s="1">
        <v>0</v>
      </c>
      <c r="X230" s="1">
        <v>0</v>
      </c>
      <c r="Y230" s="1">
        <v>0</v>
      </c>
      <c r="Z230" s="1">
        <v>0</v>
      </c>
      <c r="AA230" s="1">
        <v>0</v>
      </c>
      <c r="AB230" s="1">
        <v>4</v>
      </c>
      <c r="AC230" s="1"/>
      <c r="AD230" s="1"/>
      <c r="AE230" s="1"/>
      <c r="AF230" s="1"/>
      <c r="AG230" s="1">
        <v>0</v>
      </c>
      <c r="AH230" s="1">
        <v>0</v>
      </c>
      <c r="AI230" s="1">
        <v>0</v>
      </c>
      <c r="AJ230" s="1">
        <v>0</v>
      </c>
      <c r="AK230" s="1" t="s">
        <v>32</v>
      </c>
      <c r="AL230" s="1" t="s">
        <v>32</v>
      </c>
      <c r="AM230" s="17"/>
      <c r="AN230" s="18"/>
      <c r="AO230" s="18"/>
      <c r="AP230" s="140" t="s">
        <v>1116</v>
      </c>
      <c r="AQ230" s="86">
        <v>0.9</v>
      </c>
      <c r="AS230" s="10"/>
    </row>
    <row r="231" spans="1:45" s="1" customFormat="1">
      <c r="A231"/>
      <c r="B231" s="1">
        <f t="shared" si="3"/>
        <v>221</v>
      </c>
      <c r="C231" s="1">
        <v>0</v>
      </c>
      <c r="D231" s="1" t="s">
        <v>386</v>
      </c>
      <c r="E231" s="1" t="s">
        <v>294</v>
      </c>
      <c r="F231" s="1" t="s">
        <v>57</v>
      </c>
      <c r="G231" s="1" t="s">
        <v>250</v>
      </c>
      <c r="H231" s="1" t="s">
        <v>467</v>
      </c>
      <c r="J231" s="1" t="s">
        <v>86</v>
      </c>
      <c r="K231" s="1" t="s">
        <v>55</v>
      </c>
      <c r="L231" s="1" t="s">
        <v>12</v>
      </c>
      <c r="AH231" s="1">
        <v>0</v>
      </c>
      <c r="AI231" s="1">
        <v>0</v>
      </c>
      <c r="AJ231" s="1">
        <v>0</v>
      </c>
    </row>
    <row r="232" spans="1:45" s="1" customFormat="1">
      <c r="A232"/>
      <c r="B232" s="1">
        <f t="shared" si="3"/>
        <v>222</v>
      </c>
      <c r="C232" s="1">
        <v>0</v>
      </c>
      <c r="D232" s="1" t="s">
        <v>386</v>
      </c>
      <c r="E232" s="1" t="s">
        <v>294</v>
      </c>
      <c r="F232" s="1" t="s">
        <v>57</v>
      </c>
      <c r="G232" s="1" t="s">
        <v>250</v>
      </c>
      <c r="H232" s="1" t="s">
        <v>339</v>
      </c>
      <c r="J232" s="1" t="s">
        <v>87</v>
      </c>
      <c r="K232" s="1" t="s">
        <v>55</v>
      </c>
      <c r="L232" s="1" t="s">
        <v>12</v>
      </c>
      <c r="M232" s="1">
        <v>0</v>
      </c>
      <c r="N232" s="1">
        <v>0</v>
      </c>
      <c r="O232" s="1">
        <v>3</v>
      </c>
      <c r="P232" s="1">
        <v>0</v>
      </c>
      <c r="Q232" s="1">
        <v>0</v>
      </c>
      <c r="R232" s="1">
        <v>4</v>
      </c>
      <c r="S232" s="1">
        <v>4</v>
      </c>
      <c r="T232" s="1">
        <v>0</v>
      </c>
      <c r="U232" s="1">
        <v>0</v>
      </c>
      <c r="V232" s="1">
        <v>0</v>
      </c>
      <c r="W232" s="1">
        <v>0</v>
      </c>
      <c r="X232" s="1">
        <v>0</v>
      </c>
      <c r="Y232" s="1">
        <v>0</v>
      </c>
      <c r="Z232" s="1">
        <v>0</v>
      </c>
      <c r="AA232" s="1">
        <v>0</v>
      </c>
      <c r="AB232" s="1">
        <v>0</v>
      </c>
      <c r="AG232" s="1">
        <v>0</v>
      </c>
      <c r="AH232" s="1">
        <v>0</v>
      </c>
      <c r="AI232" s="1">
        <v>0</v>
      </c>
      <c r="AJ232" s="1">
        <v>0</v>
      </c>
      <c r="AK232" s="1" t="s">
        <v>32</v>
      </c>
      <c r="AL232" s="1" t="s">
        <v>32</v>
      </c>
      <c r="AR232" s="1" t="s">
        <v>80</v>
      </c>
    </row>
    <row r="233" spans="1:45" s="1" customFormat="1">
      <c r="A233"/>
      <c r="B233" s="1">
        <f t="shared" si="3"/>
        <v>223</v>
      </c>
      <c r="C233" s="1">
        <v>0</v>
      </c>
      <c r="D233" s="1" t="s">
        <v>386</v>
      </c>
      <c r="E233" s="1" t="s">
        <v>294</v>
      </c>
      <c r="F233" s="1" t="s">
        <v>57</v>
      </c>
      <c r="G233" s="1" t="s">
        <v>250</v>
      </c>
      <c r="H233" s="1" t="s">
        <v>482</v>
      </c>
      <c r="J233" s="1" t="s">
        <v>87</v>
      </c>
      <c r="K233" s="1" t="s">
        <v>55</v>
      </c>
      <c r="L233" s="1" t="s">
        <v>453</v>
      </c>
      <c r="M233" s="1">
        <v>0</v>
      </c>
      <c r="N233" s="1">
        <v>0</v>
      </c>
      <c r="O233" s="1">
        <v>3</v>
      </c>
      <c r="P233" s="1">
        <v>0</v>
      </c>
      <c r="Q233" s="1">
        <v>0</v>
      </c>
      <c r="R233" s="1">
        <v>4</v>
      </c>
      <c r="S233" s="1">
        <v>0</v>
      </c>
      <c r="T233" s="1">
        <v>0</v>
      </c>
      <c r="U233" s="1">
        <v>0</v>
      </c>
      <c r="V233" s="1">
        <v>0</v>
      </c>
      <c r="W233" s="1">
        <v>0</v>
      </c>
      <c r="X233" s="1">
        <v>0</v>
      </c>
      <c r="Y233" s="1">
        <v>0</v>
      </c>
      <c r="Z233" s="1">
        <v>0</v>
      </c>
      <c r="AA233" s="1">
        <v>0</v>
      </c>
      <c r="AB233" s="1">
        <v>4</v>
      </c>
      <c r="AG233" s="1">
        <v>0</v>
      </c>
      <c r="AH233" s="1">
        <v>0</v>
      </c>
      <c r="AI233" s="1">
        <v>0</v>
      </c>
      <c r="AJ233" s="1">
        <v>0</v>
      </c>
      <c r="AK233" s="1" t="s">
        <v>32</v>
      </c>
      <c r="AL233" s="1" t="s">
        <v>32</v>
      </c>
    </row>
    <row r="234" spans="1:45">
      <c r="B234" s="1">
        <f t="shared" si="3"/>
        <v>224</v>
      </c>
      <c r="C234" s="1">
        <v>0</v>
      </c>
      <c r="D234" s="1" t="s">
        <v>220</v>
      </c>
      <c r="E234" s="1" t="s">
        <v>52</v>
      </c>
      <c r="F234" s="1" t="s">
        <v>321</v>
      </c>
      <c r="G234" s="1" t="s">
        <v>321</v>
      </c>
      <c r="H234" s="1" t="s">
        <v>342</v>
      </c>
      <c r="I234" s="1"/>
      <c r="J234" s="1" t="s">
        <v>87</v>
      </c>
      <c r="K234" s="1" t="s">
        <v>491</v>
      </c>
      <c r="L234" s="1" t="s">
        <v>11</v>
      </c>
      <c r="M234" s="1">
        <v>0</v>
      </c>
      <c r="N234" s="1">
        <v>4</v>
      </c>
      <c r="O234" s="1">
        <v>0</v>
      </c>
      <c r="P234" s="1">
        <v>0</v>
      </c>
      <c r="Q234" s="1">
        <v>0</v>
      </c>
      <c r="R234" s="1">
        <v>0</v>
      </c>
      <c r="S234" s="1">
        <v>0</v>
      </c>
      <c r="T234" s="1">
        <v>0</v>
      </c>
      <c r="U234" s="1">
        <v>4</v>
      </c>
      <c r="V234" s="1">
        <v>0</v>
      </c>
      <c r="W234" s="1">
        <v>0</v>
      </c>
      <c r="X234" s="1">
        <v>0</v>
      </c>
      <c r="Y234" s="1">
        <v>0</v>
      </c>
      <c r="Z234" s="1">
        <v>0</v>
      </c>
      <c r="AA234" s="1">
        <v>4</v>
      </c>
      <c r="AB234" s="1"/>
      <c r="AC234" s="1"/>
      <c r="AD234" s="1">
        <v>4</v>
      </c>
      <c r="AE234" s="1"/>
      <c r="AF234" s="1"/>
      <c r="AG234" s="1">
        <v>0</v>
      </c>
      <c r="AH234" s="1">
        <v>0</v>
      </c>
      <c r="AI234" s="1"/>
      <c r="AJ234" s="1">
        <v>0</v>
      </c>
      <c r="AK234" s="1" t="s">
        <v>32</v>
      </c>
      <c r="AL234" s="1" t="s">
        <v>32</v>
      </c>
      <c r="AM234" s="17"/>
      <c r="AN234" s="18"/>
      <c r="AO234" s="18"/>
      <c r="AP234" s="18"/>
      <c r="AQ234" s="18"/>
      <c r="AR234" s="10" t="s">
        <v>343</v>
      </c>
      <c r="AS234" s="10"/>
    </row>
    <row r="235" spans="1:45">
      <c r="B235" s="1">
        <f t="shared" si="3"/>
        <v>225</v>
      </c>
      <c r="C235" s="1">
        <v>1</v>
      </c>
      <c r="D235" s="1" t="s">
        <v>185</v>
      </c>
      <c r="E235" s="1" t="s">
        <v>202</v>
      </c>
      <c r="F235" s="1" t="s">
        <v>345</v>
      </c>
      <c r="G235" s="1" t="s">
        <v>345</v>
      </c>
      <c r="H235" s="1" t="s">
        <v>344</v>
      </c>
      <c r="I235" s="1"/>
      <c r="J235" s="1" t="s">
        <v>87</v>
      </c>
      <c r="K235" s="1" t="s">
        <v>486</v>
      </c>
      <c r="L235" s="1" t="s">
        <v>502</v>
      </c>
      <c r="M235" s="1">
        <v>0</v>
      </c>
      <c r="N235" s="1">
        <v>4</v>
      </c>
      <c r="O235" s="1">
        <v>0</v>
      </c>
      <c r="P235" s="1">
        <v>0</v>
      </c>
      <c r="Q235" s="1">
        <v>0</v>
      </c>
      <c r="R235" s="1">
        <v>0</v>
      </c>
      <c r="S235" s="1"/>
      <c r="T235" s="1">
        <v>0</v>
      </c>
      <c r="U235" s="1">
        <v>4</v>
      </c>
      <c r="V235" s="1">
        <v>0</v>
      </c>
      <c r="W235" s="1">
        <v>0</v>
      </c>
      <c r="X235" s="1">
        <v>0</v>
      </c>
      <c r="Y235" s="1"/>
      <c r="Z235" s="1"/>
      <c r="AA235" s="1">
        <v>0</v>
      </c>
      <c r="AB235" s="1"/>
      <c r="AC235" s="1"/>
      <c r="AD235" s="1"/>
      <c r="AE235" s="1"/>
      <c r="AF235" s="1"/>
      <c r="AG235" s="1">
        <v>0</v>
      </c>
      <c r="AH235" s="1">
        <v>2</v>
      </c>
      <c r="AI235" s="1">
        <v>3</v>
      </c>
      <c r="AJ235" s="1">
        <v>0</v>
      </c>
      <c r="AK235" s="1" t="s">
        <v>32</v>
      </c>
      <c r="AL235" s="1" t="s">
        <v>32</v>
      </c>
      <c r="AM235" s="17"/>
      <c r="AN235" s="18"/>
      <c r="AO235" s="18"/>
      <c r="AP235" s="18"/>
      <c r="AQ235" s="18"/>
      <c r="AR235" s="10" t="s">
        <v>348</v>
      </c>
      <c r="AS235" s="10"/>
    </row>
    <row r="236" spans="1:45">
      <c r="B236" s="1">
        <f t="shared" si="3"/>
        <v>226</v>
      </c>
      <c r="C236" s="1">
        <v>1</v>
      </c>
      <c r="D236" s="1" t="s">
        <v>185</v>
      </c>
      <c r="E236" s="1" t="s">
        <v>346</v>
      </c>
      <c r="F236" s="1" t="s">
        <v>345</v>
      </c>
      <c r="G236" s="1" t="s">
        <v>345</v>
      </c>
      <c r="H236" s="1" t="s">
        <v>344</v>
      </c>
      <c r="I236" s="1"/>
      <c r="J236" s="1" t="s">
        <v>87</v>
      </c>
      <c r="K236" s="1" t="s">
        <v>486</v>
      </c>
      <c r="L236" s="1" t="s">
        <v>502</v>
      </c>
      <c r="M236" s="1">
        <v>0</v>
      </c>
      <c r="N236" s="1">
        <v>4</v>
      </c>
      <c r="O236" s="1">
        <v>0</v>
      </c>
      <c r="P236" s="1">
        <v>0</v>
      </c>
      <c r="Q236" s="1">
        <v>0</v>
      </c>
      <c r="R236" s="1">
        <v>0</v>
      </c>
      <c r="S236" s="1"/>
      <c r="T236" s="1">
        <v>0</v>
      </c>
      <c r="U236" s="1">
        <v>4</v>
      </c>
      <c r="V236" s="1">
        <v>0</v>
      </c>
      <c r="W236" s="1">
        <v>0</v>
      </c>
      <c r="X236" s="1">
        <v>0</v>
      </c>
      <c r="Y236" s="1"/>
      <c r="Z236" s="1"/>
      <c r="AA236" s="1">
        <v>0</v>
      </c>
      <c r="AB236" s="1"/>
      <c r="AC236" s="1"/>
      <c r="AD236" s="1"/>
      <c r="AE236" s="1"/>
      <c r="AF236" s="1"/>
      <c r="AG236" s="1">
        <v>0</v>
      </c>
      <c r="AH236" s="1">
        <v>2</v>
      </c>
      <c r="AI236" s="1">
        <v>3</v>
      </c>
      <c r="AJ236" s="1">
        <v>0</v>
      </c>
      <c r="AK236" s="1" t="s">
        <v>32</v>
      </c>
      <c r="AL236" s="1" t="s">
        <v>32</v>
      </c>
      <c r="AM236" s="17"/>
      <c r="AN236" s="18"/>
      <c r="AO236" s="18"/>
      <c r="AP236" s="18"/>
      <c r="AQ236" s="18"/>
      <c r="AR236" s="10" t="s">
        <v>348</v>
      </c>
      <c r="AS236" s="10"/>
    </row>
    <row r="237" spans="1:45">
      <c r="B237" s="1">
        <f t="shared" si="3"/>
        <v>227</v>
      </c>
      <c r="C237" s="1">
        <v>1</v>
      </c>
      <c r="D237" s="1" t="s">
        <v>185</v>
      </c>
      <c r="E237" s="54" t="s">
        <v>347</v>
      </c>
      <c r="F237" s="1" t="s">
        <v>345</v>
      </c>
      <c r="G237" s="1" t="s">
        <v>345</v>
      </c>
      <c r="H237" s="1" t="s">
        <v>344</v>
      </c>
      <c r="I237" s="1"/>
      <c r="J237" s="1" t="s">
        <v>87</v>
      </c>
      <c r="K237" s="1" t="s">
        <v>486</v>
      </c>
      <c r="L237" s="1" t="s">
        <v>502</v>
      </c>
      <c r="M237" s="1">
        <v>0</v>
      </c>
      <c r="N237" s="1">
        <v>4</v>
      </c>
      <c r="O237" s="1">
        <v>0</v>
      </c>
      <c r="P237" s="1">
        <v>0</v>
      </c>
      <c r="Q237" s="1">
        <v>0</v>
      </c>
      <c r="R237" s="1">
        <v>0</v>
      </c>
      <c r="S237" s="1"/>
      <c r="T237" s="1">
        <v>0</v>
      </c>
      <c r="U237" s="1">
        <v>4</v>
      </c>
      <c r="V237" s="1">
        <v>0</v>
      </c>
      <c r="W237" s="1">
        <v>0</v>
      </c>
      <c r="X237" s="1">
        <v>0</v>
      </c>
      <c r="Y237" s="1"/>
      <c r="Z237" s="1"/>
      <c r="AA237" s="1">
        <v>0</v>
      </c>
      <c r="AB237" s="1"/>
      <c r="AC237" s="1"/>
      <c r="AD237" s="1"/>
      <c r="AE237" s="1"/>
      <c r="AF237" s="1"/>
      <c r="AG237" s="1">
        <v>0</v>
      </c>
      <c r="AH237" s="1">
        <v>2</v>
      </c>
      <c r="AI237" s="1">
        <v>3</v>
      </c>
      <c r="AJ237" s="1">
        <v>0</v>
      </c>
      <c r="AK237" s="1" t="s">
        <v>32</v>
      </c>
      <c r="AL237" s="1" t="s">
        <v>32</v>
      </c>
      <c r="AM237" s="17"/>
      <c r="AN237" s="18"/>
      <c r="AO237" s="18"/>
      <c r="AP237" s="18"/>
      <c r="AQ237" s="18"/>
      <c r="AR237" s="10" t="s">
        <v>348</v>
      </c>
      <c r="AS237" s="10"/>
    </row>
    <row r="238" spans="1:45">
      <c r="B238" s="1">
        <f t="shared" si="3"/>
        <v>228</v>
      </c>
      <c r="C238" s="1">
        <v>1</v>
      </c>
      <c r="D238" s="1" t="s">
        <v>185</v>
      </c>
      <c r="E238" s="54" t="s">
        <v>517</v>
      </c>
      <c r="F238" s="1" t="s">
        <v>345</v>
      </c>
      <c r="G238" s="1" t="s">
        <v>345</v>
      </c>
      <c r="H238" s="1" t="s">
        <v>344</v>
      </c>
      <c r="I238" s="1"/>
      <c r="J238" s="1" t="s">
        <v>87</v>
      </c>
      <c r="K238" s="1" t="s">
        <v>486</v>
      </c>
      <c r="L238" s="1" t="s">
        <v>502</v>
      </c>
      <c r="M238" s="1">
        <v>0</v>
      </c>
      <c r="N238" s="1">
        <v>4</v>
      </c>
      <c r="O238" s="1">
        <v>0</v>
      </c>
      <c r="P238" s="1">
        <v>0</v>
      </c>
      <c r="Q238" s="1">
        <v>0</v>
      </c>
      <c r="R238" s="1">
        <v>0</v>
      </c>
      <c r="S238" s="1"/>
      <c r="T238" s="1">
        <v>0</v>
      </c>
      <c r="U238" s="1">
        <v>4</v>
      </c>
      <c r="V238" s="1">
        <v>0</v>
      </c>
      <c r="W238" s="1">
        <v>0</v>
      </c>
      <c r="X238" s="1">
        <v>0</v>
      </c>
      <c r="Y238" s="1"/>
      <c r="Z238" s="1"/>
      <c r="AA238" s="1">
        <v>0</v>
      </c>
      <c r="AB238" s="1"/>
      <c r="AC238" s="1"/>
      <c r="AD238" s="1"/>
      <c r="AE238" s="55"/>
      <c r="AF238" s="55"/>
      <c r="AG238" s="1">
        <v>0</v>
      </c>
      <c r="AH238" s="1">
        <v>2</v>
      </c>
      <c r="AI238" s="1">
        <v>3</v>
      </c>
      <c r="AJ238" s="1">
        <v>0</v>
      </c>
      <c r="AK238" s="1" t="s">
        <v>32</v>
      </c>
      <c r="AL238" s="1" t="s">
        <v>32</v>
      </c>
      <c r="AM238" s="17"/>
      <c r="AN238" s="18"/>
      <c r="AO238" s="18"/>
      <c r="AP238" s="18"/>
      <c r="AQ238" s="18"/>
      <c r="AR238" s="10" t="s">
        <v>348</v>
      </c>
      <c r="AS238" s="10"/>
    </row>
    <row r="239" spans="1:45">
      <c r="B239" s="1">
        <f t="shared" si="3"/>
        <v>229</v>
      </c>
      <c r="C239" s="1">
        <v>1</v>
      </c>
      <c r="D239" s="1" t="s">
        <v>185</v>
      </c>
      <c r="E239" s="54" t="s">
        <v>196</v>
      </c>
      <c r="F239" s="1" t="s">
        <v>345</v>
      </c>
      <c r="G239" s="1" t="s">
        <v>345</v>
      </c>
      <c r="H239" s="1" t="s">
        <v>344</v>
      </c>
      <c r="I239" s="1"/>
      <c r="J239" s="1" t="s">
        <v>87</v>
      </c>
      <c r="K239" s="1" t="s">
        <v>502</v>
      </c>
      <c r="L239" s="1" t="s">
        <v>486</v>
      </c>
      <c r="M239" s="1">
        <v>0</v>
      </c>
      <c r="N239" s="1">
        <v>4</v>
      </c>
      <c r="O239" s="1">
        <v>0</v>
      </c>
      <c r="P239" s="1">
        <v>0</v>
      </c>
      <c r="Q239" s="1">
        <v>0</v>
      </c>
      <c r="R239" s="1">
        <v>0</v>
      </c>
      <c r="S239" s="1"/>
      <c r="T239" s="1">
        <v>0</v>
      </c>
      <c r="U239" s="1">
        <v>4</v>
      </c>
      <c r="V239" s="1">
        <v>0</v>
      </c>
      <c r="W239" s="1">
        <v>0</v>
      </c>
      <c r="X239" s="1">
        <v>0</v>
      </c>
      <c r="Y239" s="1"/>
      <c r="Z239" s="1"/>
      <c r="AA239" s="1">
        <v>0</v>
      </c>
      <c r="AB239" s="1"/>
      <c r="AC239" s="1"/>
      <c r="AD239" s="1"/>
      <c r="AE239" s="55"/>
      <c r="AF239" s="55"/>
      <c r="AG239" s="1">
        <v>0</v>
      </c>
      <c r="AH239" s="1">
        <v>4</v>
      </c>
      <c r="AI239" s="1">
        <v>4</v>
      </c>
      <c r="AJ239" s="1">
        <v>0</v>
      </c>
      <c r="AK239" s="1" t="s">
        <v>32</v>
      </c>
      <c r="AL239" s="1" t="s">
        <v>32</v>
      </c>
      <c r="AM239" s="17"/>
      <c r="AN239" s="18"/>
      <c r="AO239" s="18"/>
      <c r="AP239" s="18"/>
      <c r="AQ239" s="18"/>
      <c r="AR239" s="10" t="s">
        <v>348</v>
      </c>
      <c r="AS239" s="10"/>
    </row>
    <row r="240" spans="1:45">
      <c r="B240" s="1">
        <f t="shared" si="3"/>
        <v>230</v>
      </c>
      <c r="C240" s="1">
        <v>1</v>
      </c>
      <c r="D240" s="1" t="s">
        <v>185</v>
      </c>
      <c r="E240" s="54" t="s">
        <v>518</v>
      </c>
      <c r="F240" s="1" t="s">
        <v>345</v>
      </c>
      <c r="G240" s="1" t="s">
        <v>345</v>
      </c>
      <c r="H240" s="1" t="s">
        <v>344</v>
      </c>
      <c r="I240" s="1"/>
      <c r="J240" s="1" t="s">
        <v>87</v>
      </c>
      <c r="K240" s="1" t="s">
        <v>486</v>
      </c>
      <c r="L240" s="1" t="s">
        <v>502</v>
      </c>
      <c r="M240" s="1">
        <v>0</v>
      </c>
      <c r="N240" s="1">
        <v>4</v>
      </c>
      <c r="O240" s="1">
        <v>0</v>
      </c>
      <c r="P240" s="1">
        <v>0</v>
      </c>
      <c r="Q240" s="1">
        <v>0</v>
      </c>
      <c r="R240" s="1">
        <v>0</v>
      </c>
      <c r="S240" s="1"/>
      <c r="T240" s="1">
        <v>0</v>
      </c>
      <c r="U240" s="1">
        <v>4</v>
      </c>
      <c r="V240" s="1">
        <v>0</v>
      </c>
      <c r="W240" s="1">
        <v>0</v>
      </c>
      <c r="X240" s="1">
        <v>0</v>
      </c>
      <c r="Y240" s="1"/>
      <c r="Z240" s="1"/>
      <c r="AA240" s="1">
        <v>0</v>
      </c>
      <c r="AB240" s="1"/>
      <c r="AC240" s="1"/>
      <c r="AD240" s="1"/>
      <c r="AE240" s="55"/>
      <c r="AF240" s="55"/>
      <c r="AG240" s="1">
        <v>0</v>
      </c>
      <c r="AH240" s="1">
        <v>2</v>
      </c>
      <c r="AI240" s="1">
        <v>3</v>
      </c>
      <c r="AJ240" s="1">
        <v>0</v>
      </c>
      <c r="AK240" s="1" t="s">
        <v>32</v>
      </c>
      <c r="AL240" s="1" t="s">
        <v>32</v>
      </c>
      <c r="AM240" s="17"/>
      <c r="AN240" s="18"/>
      <c r="AO240" s="18"/>
      <c r="AP240" s="18"/>
      <c r="AQ240" s="18"/>
      <c r="AR240" s="10" t="s">
        <v>348</v>
      </c>
      <c r="AS240" s="10"/>
    </row>
    <row r="241" spans="2:45">
      <c r="B241" s="1">
        <f t="shared" si="3"/>
        <v>231</v>
      </c>
      <c r="C241" s="1">
        <v>1</v>
      </c>
      <c r="D241" s="1" t="s">
        <v>185</v>
      </c>
      <c r="E241" s="54" t="s">
        <v>519</v>
      </c>
      <c r="F241" s="1" t="s">
        <v>345</v>
      </c>
      <c r="G241" s="1" t="s">
        <v>345</v>
      </c>
      <c r="H241" s="1" t="s">
        <v>344</v>
      </c>
      <c r="I241" s="1"/>
      <c r="J241" s="1" t="s">
        <v>87</v>
      </c>
      <c r="K241" s="1" t="s">
        <v>486</v>
      </c>
      <c r="L241" s="1" t="s">
        <v>502</v>
      </c>
      <c r="M241" s="1">
        <v>0</v>
      </c>
      <c r="N241" s="1">
        <v>4</v>
      </c>
      <c r="O241" s="1">
        <v>0</v>
      </c>
      <c r="P241" s="1">
        <v>0</v>
      </c>
      <c r="Q241" s="1">
        <v>0</v>
      </c>
      <c r="R241" s="1">
        <v>0</v>
      </c>
      <c r="S241" s="1"/>
      <c r="T241" s="1">
        <v>0</v>
      </c>
      <c r="U241" s="1">
        <v>4</v>
      </c>
      <c r="V241" s="1">
        <v>0</v>
      </c>
      <c r="W241" s="1">
        <v>0</v>
      </c>
      <c r="X241" s="1">
        <v>0</v>
      </c>
      <c r="Y241" s="1"/>
      <c r="Z241" s="1"/>
      <c r="AA241" s="1">
        <v>0</v>
      </c>
      <c r="AB241" s="1"/>
      <c r="AC241" s="1"/>
      <c r="AD241" s="1"/>
      <c r="AE241" s="55"/>
      <c r="AF241" s="55"/>
      <c r="AG241" s="1">
        <v>0</v>
      </c>
      <c r="AH241" s="1">
        <v>2</v>
      </c>
      <c r="AI241" s="1">
        <v>3</v>
      </c>
      <c r="AJ241" s="1">
        <v>0</v>
      </c>
      <c r="AK241" s="1" t="s">
        <v>32</v>
      </c>
      <c r="AL241" s="1" t="s">
        <v>32</v>
      </c>
      <c r="AM241" s="17"/>
      <c r="AN241" s="18"/>
      <c r="AO241" s="18"/>
      <c r="AP241" s="18"/>
      <c r="AQ241" s="18"/>
      <c r="AR241" s="10" t="s">
        <v>348</v>
      </c>
      <c r="AS241" s="10"/>
    </row>
    <row r="242" spans="2:45">
      <c r="B242" s="1">
        <f t="shared" si="3"/>
        <v>232</v>
      </c>
      <c r="C242" s="1">
        <v>1</v>
      </c>
      <c r="D242" s="1" t="s">
        <v>185</v>
      </c>
      <c r="E242" s="54" t="s">
        <v>520</v>
      </c>
      <c r="F242" s="1" t="s">
        <v>345</v>
      </c>
      <c r="G242" s="1" t="s">
        <v>345</v>
      </c>
      <c r="H242" s="1" t="s">
        <v>344</v>
      </c>
      <c r="I242" s="1"/>
      <c r="J242" s="1" t="s">
        <v>87</v>
      </c>
      <c r="K242" s="1" t="s">
        <v>486</v>
      </c>
      <c r="L242" s="1" t="s">
        <v>502</v>
      </c>
      <c r="M242" s="1">
        <v>0</v>
      </c>
      <c r="N242" s="1">
        <v>4</v>
      </c>
      <c r="O242" s="1">
        <v>0</v>
      </c>
      <c r="P242" s="1">
        <v>0</v>
      </c>
      <c r="Q242" s="1">
        <v>0</v>
      </c>
      <c r="R242" s="1">
        <v>0</v>
      </c>
      <c r="S242" s="1"/>
      <c r="T242" s="1">
        <v>0</v>
      </c>
      <c r="U242" s="1">
        <v>4</v>
      </c>
      <c r="V242" s="1">
        <v>0</v>
      </c>
      <c r="W242" s="1">
        <v>0</v>
      </c>
      <c r="X242" s="1">
        <v>0</v>
      </c>
      <c r="Y242" s="1"/>
      <c r="Z242" s="1"/>
      <c r="AA242" s="1">
        <v>0</v>
      </c>
      <c r="AB242" s="1"/>
      <c r="AC242" s="1"/>
      <c r="AD242" s="1"/>
      <c r="AE242" s="55"/>
      <c r="AF242" s="55"/>
      <c r="AG242" s="1">
        <v>0</v>
      </c>
      <c r="AH242" s="1">
        <v>2</v>
      </c>
      <c r="AI242" s="1">
        <v>3</v>
      </c>
      <c r="AJ242" s="1">
        <v>0</v>
      </c>
      <c r="AK242" s="1" t="s">
        <v>32</v>
      </c>
      <c r="AL242" s="1" t="s">
        <v>32</v>
      </c>
      <c r="AM242" s="17"/>
      <c r="AN242" s="18"/>
      <c r="AO242" s="18"/>
      <c r="AP242" s="18"/>
      <c r="AQ242" s="18"/>
      <c r="AR242" s="10" t="s">
        <v>348</v>
      </c>
      <c r="AS242" s="10"/>
    </row>
    <row r="243" spans="2:45">
      <c r="B243" s="1">
        <f t="shared" si="3"/>
        <v>233</v>
      </c>
      <c r="C243" s="1">
        <v>0</v>
      </c>
      <c r="D243" s="1" t="s">
        <v>212</v>
      </c>
      <c r="E243" s="1" t="s">
        <v>101</v>
      </c>
      <c r="F243" s="1" t="s">
        <v>118</v>
      </c>
      <c r="G243" s="1" t="s">
        <v>118</v>
      </c>
      <c r="H243" s="1" t="s">
        <v>352</v>
      </c>
      <c r="I243" s="1"/>
      <c r="J243" s="1" t="s">
        <v>85</v>
      </c>
      <c r="K243" s="54" t="s">
        <v>170</v>
      </c>
      <c r="L243" s="1" t="s">
        <v>452</v>
      </c>
      <c r="M243" s="1">
        <v>0</v>
      </c>
      <c r="N243" s="1">
        <v>0</v>
      </c>
      <c r="O243" s="1">
        <v>0</v>
      </c>
      <c r="P243" s="1">
        <v>0</v>
      </c>
      <c r="Q243" s="1">
        <v>0</v>
      </c>
      <c r="R243" s="1">
        <v>0</v>
      </c>
      <c r="S243" s="1">
        <v>0</v>
      </c>
      <c r="T243" s="1">
        <v>4</v>
      </c>
      <c r="U243" s="1">
        <v>0</v>
      </c>
      <c r="V243" s="1">
        <v>0</v>
      </c>
      <c r="W243" s="1">
        <v>0</v>
      </c>
      <c r="X243" s="1">
        <v>0</v>
      </c>
      <c r="Y243" s="1">
        <v>0</v>
      </c>
      <c r="Z243" s="1">
        <v>0</v>
      </c>
      <c r="AA243" s="1">
        <v>0</v>
      </c>
      <c r="AB243" s="1"/>
      <c r="AC243" s="1"/>
      <c r="AD243" s="1"/>
      <c r="AE243" s="1"/>
      <c r="AF243" s="1">
        <v>4</v>
      </c>
      <c r="AG243" s="1">
        <v>1</v>
      </c>
      <c r="AH243" s="1">
        <v>0</v>
      </c>
      <c r="AI243" s="1">
        <v>0</v>
      </c>
      <c r="AJ243" s="1">
        <v>0</v>
      </c>
      <c r="AK243" s="1" t="s">
        <v>21</v>
      </c>
      <c r="AL243" s="1" t="s">
        <v>21</v>
      </c>
      <c r="AM243" s="17"/>
      <c r="AN243" s="18"/>
      <c r="AO243" s="18"/>
      <c r="AP243" s="18"/>
      <c r="AQ243" s="18"/>
      <c r="AS243" s="10"/>
    </row>
    <row r="244" spans="2:45">
      <c r="B244" s="1">
        <f t="shared" si="3"/>
        <v>234</v>
      </c>
      <c r="C244" s="1">
        <v>0</v>
      </c>
      <c r="D244" s="1" t="s">
        <v>212</v>
      </c>
      <c r="E244" s="1" t="s">
        <v>101</v>
      </c>
      <c r="F244" s="1" t="s">
        <v>118</v>
      </c>
      <c r="G244" s="1" t="s">
        <v>118</v>
      </c>
      <c r="H244" s="1" t="s">
        <v>353</v>
      </c>
      <c r="I244" s="1"/>
      <c r="J244" s="1" t="s">
        <v>85</v>
      </c>
      <c r="K244" s="54" t="s">
        <v>170</v>
      </c>
      <c r="L244" s="1" t="s">
        <v>452</v>
      </c>
      <c r="M244" s="1">
        <v>0</v>
      </c>
      <c r="N244" s="1">
        <v>0</v>
      </c>
      <c r="O244" s="1">
        <v>0</v>
      </c>
      <c r="P244" s="1">
        <v>0</v>
      </c>
      <c r="Q244" s="1">
        <v>0</v>
      </c>
      <c r="R244" s="1">
        <v>0</v>
      </c>
      <c r="S244" s="1">
        <v>0</v>
      </c>
      <c r="T244" s="1">
        <v>4</v>
      </c>
      <c r="U244" s="1">
        <v>0</v>
      </c>
      <c r="V244" s="1">
        <v>0</v>
      </c>
      <c r="W244" s="1">
        <v>0</v>
      </c>
      <c r="X244" s="1">
        <v>0</v>
      </c>
      <c r="Y244" s="1">
        <v>0</v>
      </c>
      <c r="Z244" s="1">
        <v>0</v>
      </c>
      <c r="AA244" s="1">
        <v>0</v>
      </c>
      <c r="AB244" s="1"/>
      <c r="AC244" s="1"/>
      <c r="AD244" s="1"/>
      <c r="AE244" s="1"/>
      <c r="AF244" s="1">
        <v>4</v>
      </c>
      <c r="AG244" s="1">
        <v>1</v>
      </c>
      <c r="AH244" s="1">
        <v>0</v>
      </c>
      <c r="AI244" s="1">
        <v>0</v>
      </c>
      <c r="AJ244" s="1">
        <v>0</v>
      </c>
      <c r="AK244" s="1" t="s">
        <v>21</v>
      </c>
      <c r="AL244" s="1" t="s">
        <v>21</v>
      </c>
      <c r="AM244" s="17"/>
      <c r="AN244" s="18"/>
      <c r="AO244" s="18"/>
      <c r="AP244" s="18"/>
      <c r="AQ244" s="18"/>
      <c r="AS244" s="10"/>
    </row>
    <row r="245" spans="2:45">
      <c r="B245" s="1">
        <f t="shared" si="3"/>
        <v>235</v>
      </c>
      <c r="C245" s="1">
        <v>1</v>
      </c>
      <c r="D245" s="1" t="s">
        <v>212</v>
      </c>
      <c r="E245" s="1" t="s">
        <v>101</v>
      </c>
      <c r="F245" s="1" t="s">
        <v>282</v>
      </c>
      <c r="G245" s="1" t="s">
        <v>282</v>
      </c>
      <c r="H245" s="1" t="s">
        <v>357</v>
      </c>
      <c r="I245" s="1"/>
      <c r="J245" s="1" t="s">
        <v>85</v>
      </c>
      <c r="K245" s="1" t="s">
        <v>452</v>
      </c>
      <c r="L245" s="1" t="s">
        <v>452</v>
      </c>
      <c r="M245" s="1">
        <v>0</v>
      </c>
      <c r="N245" s="1">
        <v>0</v>
      </c>
      <c r="O245" s="1">
        <v>0</v>
      </c>
      <c r="P245" s="1">
        <v>0</v>
      </c>
      <c r="Q245" s="1">
        <v>0</v>
      </c>
      <c r="R245" s="1">
        <v>0</v>
      </c>
      <c r="S245" s="1">
        <v>0</v>
      </c>
      <c r="T245" s="1">
        <v>4</v>
      </c>
      <c r="U245" s="1">
        <v>0</v>
      </c>
      <c r="V245" s="1">
        <v>0</v>
      </c>
      <c r="W245" s="1">
        <v>0</v>
      </c>
      <c r="X245" s="1">
        <v>0</v>
      </c>
      <c r="Y245" s="1">
        <v>2</v>
      </c>
      <c r="Z245" s="1">
        <v>0</v>
      </c>
      <c r="AA245" s="1">
        <v>0</v>
      </c>
      <c r="AB245" s="1"/>
      <c r="AC245" s="1"/>
      <c r="AD245" s="1"/>
      <c r="AE245" s="1"/>
      <c r="AF245" s="1">
        <v>4</v>
      </c>
      <c r="AG245" s="1">
        <v>4</v>
      </c>
      <c r="AH245" s="1">
        <v>0</v>
      </c>
      <c r="AI245" s="1">
        <v>0</v>
      </c>
      <c r="AJ245" s="1">
        <v>2</v>
      </c>
      <c r="AK245" s="1" t="s">
        <v>21</v>
      </c>
      <c r="AL245" s="1" t="s">
        <v>21</v>
      </c>
      <c r="AM245" s="17">
        <v>44967</v>
      </c>
      <c r="AN245" s="18" t="s">
        <v>417</v>
      </c>
      <c r="AO245" s="140" t="s">
        <v>1136</v>
      </c>
      <c r="AP245" s="140" t="s">
        <v>1137</v>
      </c>
      <c r="AQ245" s="75">
        <v>0.9</v>
      </c>
      <c r="AS245" s="10"/>
    </row>
    <row r="246" spans="2:45">
      <c r="B246" s="1">
        <f t="shared" si="3"/>
        <v>236</v>
      </c>
      <c r="C246" s="1">
        <v>1</v>
      </c>
      <c r="D246" s="1" t="s">
        <v>212</v>
      </c>
      <c r="E246" s="1" t="s">
        <v>101</v>
      </c>
      <c r="F246" s="1" t="s">
        <v>282</v>
      </c>
      <c r="G246" s="1" t="s">
        <v>282</v>
      </c>
      <c r="H246" s="1" t="s">
        <v>361</v>
      </c>
      <c r="I246" s="1"/>
      <c r="J246" s="1" t="s">
        <v>85</v>
      </c>
      <c r="K246" s="1" t="s">
        <v>452</v>
      </c>
      <c r="L246" s="1" t="s">
        <v>452</v>
      </c>
      <c r="M246" s="1">
        <v>0</v>
      </c>
      <c r="N246" s="1">
        <v>0</v>
      </c>
      <c r="O246" s="1">
        <v>0</v>
      </c>
      <c r="P246" s="1">
        <v>0</v>
      </c>
      <c r="Q246" s="1">
        <v>0</v>
      </c>
      <c r="R246" s="1">
        <v>0</v>
      </c>
      <c r="S246" s="1">
        <v>0</v>
      </c>
      <c r="T246" s="1">
        <v>4</v>
      </c>
      <c r="U246" s="1">
        <v>0</v>
      </c>
      <c r="V246" s="1">
        <v>0</v>
      </c>
      <c r="W246" s="1">
        <v>0</v>
      </c>
      <c r="X246" s="1">
        <v>0</v>
      </c>
      <c r="Y246" s="1">
        <v>2</v>
      </c>
      <c r="Z246" s="1">
        <v>0</v>
      </c>
      <c r="AA246" s="1">
        <v>0</v>
      </c>
      <c r="AB246" s="1"/>
      <c r="AC246" s="1"/>
      <c r="AD246" s="1"/>
      <c r="AE246" s="1"/>
      <c r="AF246" s="1">
        <v>3</v>
      </c>
      <c r="AG246" s="1">
        <v>4</v>
      </c>
      <c r="AH246" s="1">
        <v>0</v>
      </c>
      <c r="AI246" s="1">
        <v>0</v>
      </c>
      <c r="AJ246" s="1">
        <v>2</v>
      </c>
      <c r="AK246" s="1" t="s">
        <v>21</v>
      </c>
      <c r="AL246" s="1" t="s">
        <v>32</v>
      </c>
      <c r="AM246" s="17">
        <v>44967</v>
      </c>
      <c r="AN246" s="18" t="s">
        <v>417</v>
      </c>
      <c r="AO246" s="140" t="s">
        <v>1136</v>
      </c>
      <c r="AP246" s="140" t="s">
        <v>1137</v>
      </c>
      <c r="AQ246" s="75">
        <v>0.9</v>
      </c>
      <c r="AS246" s="10"/>
    </row>
    <row r="247" spans="2:45">
      <c r="B247" s="1">
        <f t="shared" si="3"/>
        <v>237</v>
      </c>
      <c r="C247" s="1">
        <v>1</v>
      </c>
      <c r="D247" s="1" t="s">
        <v>383</v>
      </c>
      <c r="E247" s="1" t="s">
        <v>1155</v>
      </c>
      <c r="F247" s="1" t="s">
        <v>113</v>
      </c>
      <c r="G247" s="1"/>
      <c r="H247" s="1" t="s">
        <v>374</v>
      </c>
      <c r="I247" s="1"/>
      <c r="J247" s="1" t="s">
        <v>85</v>
      </c>
      <c r="K247" s="1" t="s">
        <v>165</v>
      </c>
      <c r="L247" s="1" t="s">
        <v>491</v>
      </c>
      <c r="M247" s="55">
        <v>0</v>
      </c>
      <c r="N247" s="55">
        <v>0</v>
      </c>
      <c r="O247" s="55">
        <v>0</v>
      </c>
      <c r="P247" s="55">
        <v>0</v>
      </c>
      <c r="Q247" s="55">
        <v>0</v>
      </c>
      <c r="R247" s="55">
        <v>0</v>
      </c>
      <c r="S247" s="55">
        <v>0</v>
      </c>
      <c r="T247" s="55">
        <v>0</v>
      </c>
      <c r="U247" s="55">
        <v>0</v>
      </c>
      <c r="V247" s="55">
        <v>0</v>
      </c>
      <c r="W247" s="56">
        <v>4</v>
      </c>
      <c r="X247" s="55">
        <v>0</v>
      </c>
      <c r="Y247" s="55">
        <v>0</v>
      </c>
      <c r="Z247" s="55">
        <v>0</v>
      </c>
      <c r="AA247" s="1">
        <v>0</v>
      </c>
      <c r="AB247" s="1">
        <v>0</v>
      </c>
      <c r="AC247" s="1">
        <v>0</v>
      </c>
      <c r="AD247" s="1">
        <v>0</v>
      </c>
      <c r="AE247" s="1">
        <v>0</v>
      </c>
      <c r="AF247" s="1">
        <v>0</v>
      </c>
      <c r="AG247" s="1">
        <v>0</v>
      </c>
      <c r="AH247" s="1">
        <v>0</v>
      </c>
      <c r="AI247" s="1">
        <v>0</v>
      </c>
      <c r="AJ247" s="1">
        <v>0</v>
      </c>
      <c r="AK247" s="1" t="s">
        <v>21</v>
      </c>
      <c r="AL247" s="1" t="s">
        <v>21</v>
      </c>
      <c r="AM247" s="17"/>
      <c r="AN247" s="18" t="s">
        <v>417</v>
      </c>
      <c r="AO247" s="140" t="s">
        <v>1171</v>
      </c>
      <c r="AP247" s="140" t="s">
        <v>1172</v>
      </c>
      <c r="AQ247" s="84">
        <v>0.8</v>
      </c>
      <c r="AS247" s="10"/>
    </row>
    <row r="248" spans="2:45">
      <c r="B248" s="1">
        <f t="shared" si="3"/>
        <v>238</v>
      </c>
      <c r="C248" s="1">
        <v>1</v>
      </c>
      <c r="D248" s="1" t="s">
        <v>383</v>
      </c>
      <c r="E248" s="10" t="s">
        <v>382</v>
      </c>
      <c r="F248" s="1" t="s">
        <v>113</v>
      </c>
      <c r="G248" s="1"/>
      <c r="H248" s="1" t="s">
        <v>375</v>
      </c>
      <c r="I248" s="1"/>
      <c r="J248" s="1" t="s">
        <v>87</v>
      </c>
      <c r="K248" s="1" t="s">
        <v>165</v>
      </c>
      <c r="L248" s="1" t="s">
        <v>491</v>
      </c>
      <c r="M248" s="55">
        <v>0</v>
      </c>
      <c r="N248" s="55">
        <v>0</v>
      </c>
      <c r="O248" s="55">
        <v>0</v>
      </c>
      <c r="P248" s="55">
        <v>0</v>
      </c>
      <c r="Q248" s="55">
        <v>0</v>
      </c>
      <c r="R248" s="55">
        <v>0</v>
      </c>
      <c r="S248" s="55">
        <v>0</v>
      </c>
      <c r="T248" s="55">
        <v>0</v>
      </c>
      <c r="U248" s="55">
        <v>0</v>
      </c>
      <c r="V248" s="55">
        <v>0</v>
      </c>
      <c r="W248" s="56">
        <v>4</v>
      </c>
      <c r="X248" s="55">
        <v>0</v>
      </c>
      <c r="Y248" s="55">
        <v>0</v>
      </c>
      <c r="Z248" s="55">
        <v>0</v>
      </c>
      <c r="AA248" s="1">
        <v>0</v>
      </c>
      <c r="AB248" s="1">
        <v>0</v>
      </c>
      <c r="AC248" s="1">
        <v>0</v>
      </c>
      <c r="AD248" s="1">
        <v>3</v>
      </c>
      <c r="AE248" s="1">
        <v>0</v>
      </c>
      <c r="AF248" s="1">
        <v>3</v>
      </c>
      <c r="AG248" s="1">
        <v>0</v>
      </c>
      <c r="AH248" s="1">
        <v>0</v>
      </c>
      <c r="AI248" s="1">
        <v>0</v>
      </c>
      <c r="AJ248" s="1">
        <v>0</v>
      </c>
      <c r="AK248" s="1" t="s">
        <v>21</v>
      </c>
      <c r="AL248" s="1" t="s">
        <v>21</v>
      </c>
      <c r="AM248" s="17"/>
      <c r="AN248" s="18" t="s">
        <v>417</v>
      </c>
      <c r="AO248" s="140" t="s">
        <v>1171</v>
      </c>
      <c r="AP248" s="140" t="s">
        <v>1173</v>
      </c>
      <c r="AQ248" s="86">
        <v>0.9</v>
      </c>
      <c r="AS248" s="10"/>
    </row>
    <row r="249" spans="2:45">
      <c r="B249" s="1">
        <f t="shared" si="3"/>
        <v>239</v>
      </c>
      <c r="C249" s="1">
        <v>1</v>
      </c>
      <c r="D249" s="1" t="s">
        <v>383</v>
      </c>
      <c r="E249" s="1" t="s">
        <v>381</v>
      </c>
      <c r="F249" s="1" t="s">
        <v>380</v>
      </c>
      <c r="G249" s="1"/>
      <c r="H249" s="1" t="s">
        <v>376</v>
      </c>
      <c r="I249" s="1"/>
      <c r="J249" s="1" t="s">
        <v>85</v>
      </c>
      <c r="K249" s="1" t="s">
        <v>165</v>
      </c>
      <c r="L249" s="1" t="s">
        <v>491</v>
      </c>
      <c r="M249" s="55">
        <v>0</v>
      </c>
      <c r="N249" s="55">
        <v>0</v>
      </c>
      <c r="O249" s="55">
        <v>0</v>
      </c>
      <c r="P249" s="55">
        <v>0</v>
      </c>
      <c r="Q249" s="55">
        <v>0</v>
      </c>
      <c r="R249" s="55">
        <v>0</v>
      </c>
      <c r="S249" s="55">
        <v>0</v>
      </c>
      <c r="T249" s="55">
        <v>0</v>
      </c>
      <c r="U249" s="55">
        <v>0</v>
      </c>
      <c r="V249" s="55">
        <v>0</v>
      </c>
      <c r="W249" s="56">
        <v>4</v>
      </c>
      <c r="X249" s="55">
        <v>0</v>
      </c>
      <c r="Y249" s="55">
        <v>0</v>
      </c>
      <c r="Z249" s="55">
        <v>0</v>
      </c>
      <c r="AA249" s="1">
        <v>0</v>
      </c>
      <c r="AB249" s="1">
        <v>0</v>
      </c>
      <c r="AC249" s="1">
        <v>0</v>
      </c>
      <c r="AD249" s="1">
        <v>3</v>
      </c>
      <c r="AE249" s="1">
        <v>0</v>
      </c>
      <c r="AF249" s="1">
        <v>3</v>
      </c>
      <c r="AG249" s="1">
        <v>0</v>
      </c>
      <c r="AH249" s="1">
        <v>0</v>
      </c>
      <c r="AI249" s="1">
        <v>0</v>
      </c>
      <c r="AJ249" s="1">
        <v>0</v>
      </c>
      <c r="AK249" s="1" t="s">
        <v>21</v>
      </c>
      <c r="AL249" s="1" t="s">
        <v>21</v>
      </c>
      <c r="AM249" s="17"/>
      <c r="AN249" s="18" t="s">
        <v>417</v>
      </c>
      <c r="AO249" s="140" t="s">
        <v>1171</v>
      </c>
      <c r="AP249" s="140" t="s">
        <v>1174</v>
      </c>
      <c r="AQ249" s="86">
        <v>0.9</v>
      </c>
      <c r="AS249" s="10"/>
    </row>
    <row r="250" spans="2:45">
      <c r="B250" s="1">
        <f t="shared" si="3"/>
        <v>240</v>
      </c>
      <c r="C250" s="1">
        <v>1</v>
      </c>
      <c r="D250" s="1" t="s">
        <v>383</v>
      </c>
      <c r="E250" s="1" t="s">
        <v>381</v>
      </c>
      <c r="F250" s="1" t="s">
        <v>419</v>
      </c>
      <c r="G250" s="1"/>
      <c r="H250" s="1" t="s">
        <v>418</v>
      </c>
      <c r="I250" s="1"/>
      <c r="J250" s="1" t="s">
        <v>85</v>
      </c>
      <c r="K250" s="1" t="s">
        <v>165</v>
      </c>
      <c r="L250" s="1" t="s">
        <v>491</v>
      </c>
      <c r="M250" s="55">
        <v>0</v>
      </c>
      <c r="N250" s="55">
        <v>0</v>
      </c>
      <c r="O250" s="55">
        <v>0</v>
      </c>
      <c r="P250" s="55">
        <v>0</v>
      </c>
      <c r="Q250" s="55">
        <v>0</v>
      </c>
      <c r="R250" s="55">
        <v>0</v>
      </c>
      <c r="S250" s="55">
        <v>0</v>
      </c>
      <c r="T250" s="55">
        <v>0</v>
      </c>
      <c r="U250" s="55">
        <v>0</v>
      </c>
      <c r="V250" s="55">
        <v>0</v>
      </c>
      <c r="W250" s="56">
        <v>4</v>
      </c>
      <c r="X250" s="55">
        <v>0</v>
      </c>
      <c r="Y250" s="55">
        <v>0</v>
      </c>
      <c r="Z250" s="55">
        <v>0</v>
      </c>
      <c r="AA250" s="55">
        <v>0</v>
      </c>
      <c r="AB250" s="55">
        <v>0</v>
      </c>
      <c r="AC250" s="55">
        <v>0</v>
      </c>
      <c r="AD250" s="1">
        <v>3</v>
      </c>
      <c r="AE250" s="55">
        <v>0</v>
      </c>
      <c r="AF250" s="55">
        <v>3</v>
      </c>
      <c r="AG250" s="1">
        <v>0</v>
      </c>
      <c r="AH250" s="1">
        <v>0</v>
      </c>
      <c r="AI250" s="1">
        <v>0</v>
      </c>
      <c r="AJ250" s="1">
        <v>0</v>
      </c>
      <c r="AK250" s="1" t="s">
        <v>21</v>
      </c>
      <c r="AL250" s="1" t="s">
        <v>21</v>
      </c>
      <c r="AM250" s="17"/>
      <c r="AN250" s="18" t="s">
        <v>417</v>
      </c>
      <c r="AO250" s="140" t="s">
        <v>1171</v>
      </c>
      <c r="AP250" s="140" t="s">
        <v>1177</v>
      </c>
      <c r="AQ250" s="84">
        <v>0.8</v>
      </c>
      <c r="AS250" s="10"/>
    </row>
    <row r="251" spans="2:45">
      <c r="B251" s="1">
        <f t="shared" si="3"/>
        <v>241</v>
      </c>
      <c r="C251" s="1">
        <v>1</v>
      </c>
      <c r="D251" s="1" t="s">
        <v>383</v>
      </c>
      <c r="E251" s="1" t="s">
        <v>381</v>
      </c>
      <c r="F251" s="1" t="s">
        <v>380</v>
      </c>
      <c r="G251" s="1"/>
      <c r="H251" s="1" t="s">
        <v>192</v>
      </c>
      <c r="I251" s="1"/>
      <c r="J251" s="1" t="s">
        <v>85</v>
      </c>
      <c r="K251" s="1" t="s">
        <v>165</v>
      </c>
      <c r="L251" s="1" t="s">
        <v>491</v>
      </c>
      <c r="M251" s="55">
        <v>0</v>
      </c>
      <c r="N251" s="55">
        <v>0</v>
      </c>
      <c r="O251" s="55">
        <v>0</v>
      </c>
      <c r="P251" s="55">
        <v>0</v>
      </c>
      <c r="Q251" s="55">
        <v>0</v>
      </c>
      <c r="R251" s="55">
        <v>0</v>
      </c>
      <c r="S251" s="55">
        <v>0</v>
      </c>
      <c r="T251" s="55">
        <v>0</v>
      </c>
      <c r="U251" s="55">
        <v>0</v>
      </c>
      <c r="V251" s="55">
        <v>0</v>
      </c>
      <c r="W251" s="56">
        <v>4</v>
      </c>
      <c r="X251" s="55">
        <v>0</v>
      </c>
      <c r="Y251" s="55">
        <v>0</v>
      </c>
      <c r="Z251" s="55">
        <v>0</v>
      </c>
      <c r="AA251" s="1">
        <v>0</v>
      </c>
      <c r="AB251" s="1">
        <v>0</v>
      </c>
      <c r="AC251" s="1">
        <v>0</v>
      </c>
      <c r="AD251" s="1">
        <v>3</v>
      </c>
      <c r="AE251" s="1">
        <v>0</v>
      </c>
      <c r="AF251" s="1">
        <v>3</v>
      </c>
      <c r="AG251" s="1">
        <v>0</v>
      </c>
      <c r="AH251" s="1">
        <v>0</v>
      </c>
      <c r="AI251" s="1">
        <v>0</v>
      </c>
      <c r="AJ251" s="1">
        <v>0</v>
      </c>
      <c r="AK251" s="1" t="s">
        <v>21</v>
      </c>
      <c r="AL251" s="1" t="s">
        <v>21</v>
      </c>
      <c r="AM251" s="17"/>
      <c r="AN251" s="18" t="s">
        <v>417</v>
      </c>
      <c r="AO251" s="140" t="s">
        <v>1171</v>
      </c>
      <c r="AP251" s="140" t="s">
        <v>1174</v>
      </c>
      <c r="AQ251" s="86">
        <v>0.9</v>
      </c>
      <c r="AS251" s="10"/>
    </row>
    <row r="252" spans="2:45">
      <c r="B252" s="1">
        <f t="shared" si="3"/>
        <v>242</v>
      </c>
      <c r="C252" s="1">
        <v>1</v>
      </c>
      <c r="D252" s="1" t="s">
        <v>383</v>
      </c>
      <c r="E252" s="1" t="s">
        <v>381</v>
      </c>
      <c r="F252" s="1" t="s">
        <v>380</v>
      </c>
      <c r="G252" s="1"/>
      <c r="H252" s="1" t="s">
        <v>420</v>
      </c>
      <c r="I252" s="1"/>
      <c r="J252" s="1" t="s">
        <v>85</v>
      </c>
      <c r="K252" s="1" t="s">
        <v>165</v>
      </c>
      <c r="L252" s="1" t="s">
        <v>491</v>
      </c>
      <c r="M252" s="55">
        <v>0</v>
      </c>
      <c r="N252" s="55">
        <v>0</v>
      </c>
      <c r="O252" s="55">
        <v>0</v>
      </c>
      <c r="P252" s="55">
        <v>0</v>
      </c>
      <c r="Q252" s="55">
        <v>0</v>
      </c>
      <c r="R252" s="55">
        <v>0</v>
      </c>
      <c r="S252" s="55">
        <v>0</v>
      </c>
      <c r="T252" s="55">
        <v>0</v>
      </c>
      <c r="U252" s="55">
        <v>0</v>
      </c>
      <c r="V252" s="55">
        <v>0</v>
      </c>
      <c r="W252" s="56">
        <v>4</v>
      </c>
      <c r="X252" s="55">
        <v>0</v>
      </c>
      <c r="Y252" s="55">
        <v>0</v>
      </c>
      <c r="Z252" s="55">
        <v>0</v>
      </c>
      <c r="AA252" s="1">
        <v>0</v>
      </c>
      <c r="AB252" s="1">
        <v>0</v>
      </c>
      <c r="AC252" s="1">
        <v>0</v>
      </c>
      <c r="AD252" s="1">
        <v>3</v>
      </c>
      <c r="AE252" s="1">
        <v>0</v>
      </c>
      <c r="AF252" s="1">
        <v>3</v>
      </c>
      <c r="AG252" s="1">
        <v>0</v>
      </c>
      <c r="AH252" s="1">
        <v>0</v>
      </c>
      <c r="AI252" s="1">
        <v>0</v>
      </c>
      <c r="AJ252" s="1">
        <v>0</v>
      </c>
      <c r="AK252" s="1" t="s">
        <v>21</v>
      </c>
      <c r="AL252" s="1" t="s">
        <v>21</v>
      </c>
      <c r="AM252" s="17"/>
      <c r="AN252" s="18" t="s">
        <v>417</v>
      </c>
      <c r="AO252" s="140" t="s">
        <v>1171</v>
      </c>
      <c r="AP252" s="18" t="s">
        <v>1175</v>
      </c>
      <c r="AQ252" s="84">
        <v>0.8</v>
      </c>
      <c r="AS252" s="10"/>
    </row>
    <row r="253" spans="2:45">
      <c r="B253" s="1">
        <f t="shared" si="3"/>
        <v>243</v>
      </c>
      <c r="C253" s="66">
        <v>0</v>
      </c>
      <c r="D253" s="66" t="s">
        <v>383</v>
      </c>
      <c r="E253" s="66" t="s">
        <v>381</v>
      </c>
      <c r="F253" s="66" t="s">
        <v>380</v>
      </c>
      <c r="G253" s="66"/>
      <c r="H253" s="66" t="s">
        <v>421</v>
      </c>
      <c r="I253" s="66"/>
      <c r="J253" s="66" t="s">
        <v>85</v>
      </c>
      <c r="K253" s="66" t="s">
        <v>165</v>
      </c>
      <c r="L253" s="66" t="s">
        <v>491</v>
      </c>
      <c r="M253" s="66">
        <v>0</v>
      </c>
      <c r="N253" s="66">
        <v>0</v>
      </c>
      <c r="O253" s="66">
        <v>0</v>
      </c>
      <c r="P253" s="66">
        <v>0</v>
      </c>
      <c r="Q253" s="66">
        <v>0</v>
      </c>
      <c r="R253" s="66">
        <v>0</v>
      </c>
      <c r="S253" s="66">
        <v>0</v>
      </c>
      <c r="T253" s="66">
        <v>0</v>
      </c>
      <c r="U253" s="66">
        <v>0</v>
      </c>
      <c r="V253" s="66">
        <v>0</v>
      </c>
      <c r="W253" s="66">
        <v>4</v>
      </c>
      <c r="X253" s="66">
        <v>0</v>
      </c>
      <c r="Y253" s="66">
        <v>0</v>
      </c>
      <c r="Z253" s="66">
        <v>0</v>
      </c>
      <c r="AA253" s="66">
        <v>0</v>
      </c>
      <c r="AB253" s="66">
        <v>0</v>
      </c>
      <c r="AC253" s="66">
        <v>0</v>
      </c>
      <c r="AD253" s="66">
        <v>3</v>
      </c>
      <c r="AE253" s="66">
        <v>0</v>
      </c>
      <c r="AF253" s="66">
        <v>3</v>
      </c>
      <c r="AG253" s="66">
        <v>0</v>
      </c>
      <c r="AH253" s="66">
        <v>0</v>
      </c>
      <c r="AI253" s="66">
        <v>0</v>
      </c>
      <c r="AJ253" s="66">
        <v>0</v>
      </c>
      <c r="AK253" s="1" t="s">
        <v>21</v>
      </c>
      <c r="AL253" s="1" t="s">
        <v>21</v>
      </c>
      <c r="AM253" s="67"/>
      <c r="AN253" s="66"/>
      <c r="AO253" s="66"/>
      <c r="AP253" s="66"/>
      <c r="AQ253" s="66"/>
      <c r="AR253" s="68"/>
      <c r="AS253" s="10"/>
    </row>
    <row r="254" spans="2:45">
      <c r="B254" s="1">
        <f t="shared" si="3"/>
        <v>244</v>
      </c>
      <c r="C254" s="66">
        <v>0</v>
      </c>
      <c r="D254" s="66" t="s">
        <v>383</v>
      </c>
      <c r="E254" s="66" t="s">
        <v>381</v>
      </c>
      <c r="F254" s="66" t="s">
        <v>380</v>
      </c>
      <c r="G254" s="66"/>
      <c r="H254" s="66" t="s">
        <v>422</v>
      </c>
      <c r="I254" s="66"/>
      <c r="J254" s="66" t="s">
        <v>87</v>
      </c>
      <c r="K254" s="66" t="s">
        <v>165</v>
      </c>
      <c r="L254" s="66" t="s">
        <v>491</v>
      </c>
      <c r="M254" s="66">
        <v>0</v>
      </c>
      <c r="N254" s="66">
        <v>0</v>
      </c>
      <c r="O254" s="66">
        <v>0</v>
      </c>
      <c r="P254" s="66">
        <v>0</v>
      </c>
      <c r="Q254" s="66">
        <v>0</v>
      </c>
      <c r="R254" s="66">
        <v>0</v>
      </c>
      <c r="S254" s="66">
        <v>0</v>
      </c>
      <c r="T254" s="66">
        <v>0</v>
      </c>
      <c r="U254" s="66">
        <v>0</v>
      </c>
      <c r="V254" s="66">
        <v>0</v>
      </c>
      <c r="W254" s="66">
        <v>4</v>
      </c>
      <c r="X254" s="66">
        <v>0</v>
      </c>
      <c r="Y254" s="66">
        <v>0</v>
      </c>
      <c r="Z254" s="66">
        <v>0</v>
      </c>
      <c r="AA254" s="66">
        <v>0</v>
      </c>
      <c r="AB254" s="66">
        <v>0</v>
      </c>
      <c r="AC254" s="66">
        <v>0</v>
      </c>
      <c r="AD254" s="66">
        <v>3</v>
      </c>
      <c r="AE254" s="66">
        <v>0</v>
      </c>
      <c r="AF254" s="66">
        <v>3</v>
      </c>
      <c r="AG254" s="66">
        <v>0</v>
      </c>
      <c r="AH254" s="66">
        <v>0</v>
      </c>
      <c r="AI254" s="66">
        <v>0</v>
      </c>
      <c r="AJ254" s="66">
        <v>0</v>
      </c>
      <c r="AK254" s="1" t="s">
        <v>21</v>
      </c>
      <c r="AL254" s="1" t="s">
        <v>21</v>
      </c>
      <c r="AM254" s="67"/>
      <c r="AN254" s="66"/>
      <c r="AO254" s="66"/>
      <c r="AP254" s="66"/>
      <c r="AQ254" s="66"/>
      <c r="AR254" s="68"/>
      <c r="AS254" s="10"/>
    </row>
    <row r="255" spans="2:45">
      <c r="B255" s="1">
        <f t="shared" si="3"/>
        <v>245</v>
      </c>
      <c r="C255" s="66">
        <v>0</v>
      </c>
      <c r="D255" s="66" t="s">
        <v>383</v>
      </c>
      <c r="E255" s="66" t="s">
        <v>381</v>
      </c>
      <c r="F255" s="66" t="s">
        <v>380</v>
      </c>
      <c r="G255" s="66"/>
      <c r="H255" s="66" t="s">
        <v>423</v>
      </c>
      <c r="I255" s="66"/>
      <c r="J255" s="66" t="s">
        <v>87</v>
      </c>
      <c r="K255" s="66" t="s">
        <v>165</v>
      </c>
      <c r="L255" s="66" t="s">
        <v>491</v>
      </c>
      <c r="M255" s="66">
        <v>0</v>
      </c>
      <c r="N255" s="66">
        <v>0</v>
      </c>
      <c r="O255" s="66">
        <v>0</v>
      </c>
      <c r="P255" s="66">
        <v>0</v>
      </c>
      <c r="Q255" s="66">
        <v>0</v>
      </c>
      <c r="R255" s="66">
        <v>0</v>
      </c>
      <c r="S255" s="66">
        <v>0</v>
      </c>
      <c r="T255" s="66">
        <v>0</v>
      </c>
      <c r="U255" s="66">
        <v>0</v>
      </c>
      <c r="V255" s="66">
        <v>0</v>
      </c>
      <c r="W255" s="66">
        <v>4</v>
      </c>
      <c r="X255" s="66">
        <v>0</v>
      </c>
      <c r="Y255" s="66">
        <v>0</v>
      </c>
      <c r="Z255" s="66">
        <v>0</v>
      </c>
      <c r="AA255" s="66">
        <v>0</v>
      </c>
      <c r="AB255" s="66">
        <v>0</v>
      </c>
      <c r="AC255" s="66">
        <v>0</v>
      </c>
      <c r="AD255" s="66">
        <v>3</v>
      </c>
      <c r="AE255" s="66">
        <v>0</v>
      </c>
      <c r="AF255" s="66">
        <v>3</v>
      </c>
      <c r="AG255" s="66">
        <v>0</v>
      </c>
      <c r="AH255" s="66">
        <v>0</v>
      </c>
      <c r="AI255" s="66">
        <v>0</v>
      </c>
      <c r="AJ255" s="66">
        <v>0</v>
      </c>
      <c r="AK255" s="1" t="s">
        <v>21</v>
      </c>
      <c r="AL255" s="1" t="s">
        <v>21</v>
      </c>
      <c r="AM255" s="67"/>
      <c r="AN255" s="66"/>
      <c r="AO255" s="66"/>
      <c r="AP255" s="66"/>
      <c r="AQ255" s="66"/>
      <c r="AR255" s="68"/>
      <c r="AS255" s="10"/>
    </row>
    <row r="256" spans="2:45">
      <c r="B256" s="1">
        <f t="shared" si="3"/>
        <v>246</v>
      </c>
      <c r="C256" s="1">
        <v>1</v>
      </c>
      <c r="D256" s="1" t="s">
        <v>383</v>
      </c>
      <c r="E256" s="1" t="s">
        <v>381</v>
      </c>
      <c r="F256" s="1" t="s">
        <v>380</v>
      </c>
      <c r="G256" s="1"/>
      <c r="H256" s="1" t="s">
        <v>424</v>
      </c>
      <c r="I256" s="1"/>
      <c r="J256" s="1" t="s">
        <v>85</v>
      </c>
      <c r="K256" s="1" t="s">
        <v>165</v>
      </c>
      <c r="L256" s="1" t="s">
        <v>491</v>
      </c>
      <c r="M256" s="55">
        <v>0</v>
      </c>
      <c r="N256" s="55">
        <v>0</v>
      </c>
      <c r="O256" s="55">
        <v>0</v>
      </c>
      <c r="P256" s="55">
        <v>0</v>
      </c>
      <c r="Q256" s="55">
        <v>0</v>
      </c>
      <c r="R256" s="55">
        <v>0</v>
      </c>
      <c r="S256" s="55">
        <v>0</v>
      </c>
      <c r="T256" s="55">
        <v>0</v>
      </c>
      <c r="U256" s="55">
        <v>0</v>
      </c>
      <c r="V256" s="55">
        <v>0</v>
      </c>
      <c r="W256" s="56">
        <v>4</v>
      </c>
      <c r="X256" s="55">
        <v>0</v>
      </c>
      <c r="Y256" s="55">
        <v>0</v>
      </c>
      <c r="Z256" s="55">
        <v>0</v>
      </c>
      <c r="AA256" s="1">
        <v>0</v>
      </c>
      <c r="AB256" s="1">
        <v>0</v>
      </c>
      <c r="AC256" s="1">
        <v>0</v>
      </c>
      <c r="AD256" s="1">
        <v>3</v>
      </c>
      <c r="AE256" s="1">
        <v>0</v>
      </c>
      <c r="AF256" s="1">
        <v>3</v>
      </c>
      <c r="AG256" s="1">
        <v>0</v>
      </c>
      <c r="AH256" s="1">
        <v>0</v>
      </c>
      <c r="AI256" s="1">
        <v>0</v>
      </c>
      <c r="AJ256" s="1">
        <v>0</v>
      </c>
      <c r="AK256" s="1" t="s">
        <v>21</v>
      </c>
      <c r="AL256" s="1" t="s">
        <v>21</v>
      </c>
      <c r="AM256" s="17"/>
      <c r="AN256" s="18" t="s">
        <v>417</v>
      </c>
      <c r="AO256" s="140" t="s">
        <v>1171</v>
      </c>
      <c r="AP256" s="140" t="s">
        <v>1174</v>
      </c>
      <c r="AQ256" s="86">
        <v>0.9</v>
      </c>
      <c r="AS256" s="10"/>
    </row>
    <row r="257" spans="2:45">
      <c r="B257" s="1">
        <f t="shared" si="3"/>
        <v>247</v>
      </c>
      <c r="C257" s="1">
        <v>1</v>
      </c>
      <c r="D257" s="1" t="s">
        <v>383</v>
      </c>
      <c r="E257" s="1" t="s">
        <v>381</v>
      </c>
      <c r="F257" s="1" t="s">
        <v>380</v>
      </c>
      <c r="G257" s="1"/>
      <c r="H257" s="1" t="s">
        <v>1158</v>
      </c>
      <c r="I257" s="1"/>
      <c r="J257" s="1" t="s">
        <v>85</v>
      </c>
      <c r="K257" s="1" t="s">
        <v>165</v>
      </c>
      <c r="L257" s="1" t="s">
        <v>491</v>
      </c>
      <c r="M257" s="55">
        <v>0</v>
      </c>
      <c r="N257" s="55">
        <v>0</v>
      </c>
      <c r="O257" s="55">
        <v>0</v>
      </c>
      <c r="P257" s="55">
        <v>0</v>
      </c>
      <c r="Q257" s="55">
        <v>0</v>
      </c>
      <c r="R257" s="55">
        <v>0</v>
      </c>
      <c r="S257" s="55">
        <v>0</v>
      </c>
      <c r="T257" s="55">
        <v>0</v>
      </c>
      <c r="U257" s="55">
        <v>0</v>
      </c>
      <c r="V257" s="55">
        <v>0</v>
      </c>
      <c r="W257" s="56">
        <v>4</v>
      </c>
      <c r="X257" s="55">
        <v>0</v>
      </c>
      <c r="Y257" s="55">
        <v>0</v>
      </c>
      <c r="Z257" s="55">
        <v>0</v>
      </c>
      <c r="AA257" s="1">
        <v>0</v>
      </c>
      <c r="AB257" s="1">
        <v>0</v>
      </c>
      <c r="AC257" s="1">
        <v>0</v>
      </c>
      <c r="AD257" s="1">
        <v>3</v>
      </c>
      <c r="AE257" s="1">
        <v>0</v>
      </c>
      <c r="AF257" s="1">
        <v>3</v>
      </c>
      <c r="AG257" s="1">
        <v>0</v>
      </c>
      <c r="AH257" s="1">
        <v>0</v>
      </c>
      <c r="AI257" s="1">
        <v>0</v>
      </c>
      <c r="AJ257" s="1">
        <v>0</v>
      </c>
      <c r="AK257" s="1" t="s">
        <v>21</v>
      </c>
      <c r="AL257" s="1" t="s">
        <v>21</v>
      </c>
      <c r="AM257" s="17"/>
      <c r="AN257" s="18" t="s">
        <v>417</v>
      </c>
      <c r="AO257" s="140" t="s">
        <v>1171</v>
      </c>
      <c r="AP257" s="140" t="s">
        <v>1174</v>
      </c>
      <c r="AQ257" s="86">
        <v>0.9</v>
      </c>
      <c r="AS257" s="10"/>
    </row>
    <row r="258" spans="2:45">
      <c r="B258" s="1">
        <f t="shared" si="3"/>
        <v>248</v>
      </c>
      <c r="C258" s="66">
        <v>0</v>
      </c>
      <c r="D258" s="66" t="s">
        <v>383</v>
      </c>
      <c r="E258" s="66" t="s">
        <v>381</v>
      </c>
      <c r="F258" s="66" t="s">
        <v>380</v>
      </c>
      <c r="G258" s="66"/>
      <c r="H258" s="66" t="s">
        <v>426</v>
      </c>
      <c r="I258" s="66"/>
      <c r="J258" s="66" t="s">
        <v>85</v>
      </c>
      <c r="K258" s="66" t="s">
        <v>165</v>
      </c>
      <c r="L258" s="66" t="s">
        <v>491</v>
      </c>
      <c r="M258" s="66">
        <v>0</v>
      </c>
      <c r="N258" s="66">
        <v>0</v>
      </c>
      <c r="O258" s="66">
        <v>0</v>
      </c>
      <c r="P258" s="66">
        <v>0</v>
      </c>
      <c r="Q258" s="66">
        <v>0</v>
      </c>
      <c r="R258" s="66">
        <v>0</v>
      </c>
      <c r="S258" s="66">
        <v>0</v>
      </c>
      <c r="T258" s="66">
        <v>0</v>
      </c>
      <c r="U258" s="66">
        <v>0</v>
      </c>
      <c r="V258" s="66">
        <v>0</v>
      </c>
      <c r="W258" s="66">
        <v>4</v>
      </c>
      <c r="X258" s="66">
        <v>0</v>
      </c>
      <c r="Y258" s="66">
        <v>0</v>
      </c>
      <c r="Z258" s="66">
        <v>0</v>
      </c>
      <c r="AA258" s="66">
        <v>0</v>
      </c>
      <c r="AB258" s="66">
        <v>0</v>
      </c>
      <c r="AC258" s="66">
        <v>0</v>
      </c>
      <c r="AD258" s="66">
        <v>3</v>
      </c>
      <c r="AE258" s="66">
        <v>0</v>
      </c>
      <c r="AF258" s="66">
        <v>3</v>
      </c>
      <c r="AG258" s="66">
        <v>0</v>
      </c>
      <c r="AH258" s="66">
        <v>0</v>
      </c>
      <c r="AI258" s="66">
        <v>0</v>
      </c>
      <c r="AJ258" s="66">
        <v>0</v>
      </c>
      <c r="AK258" s="1" t="s">
        <v>21</v>
      </c>
      <c r="AL258" s="1" t="s">
        <v>21</v>
      </c>
      <c r="AM258" s="67"/>
      <c r="AN258" s="66"/>
      <c r="AO258" s="66"/>
      <c r="AP258" s="66"/>
      <c r="AQ258" s="66"/>
      <c r="AR258" s="68"/>
      <c r="AS258" s="10"/>
    </row>
    <row r="259" spans="2:45">
      <c r="B259" s="1">
        <f t="shared" si="3"/>
        <v>249</v>
      </c>
      <c r="C259" s="66">
        <v>0</v>
      </c>
      <c r="D259" s="66" t="s">
        <v>383</v>
      </c>
      <c r="E259" s="66" t="s">
        <v>381</v>
      </c>
      <c r="F259" s="66" t="s">
        <v>380</v>
      </c>
      <c r="G259" s="66"/>
      <c r="H259" s="66" t="s">
        <v>427</v>
      </c>
      <c r="I259" s="66"/>
      <c r="J259" s="66" t="s">
        <v>85</v>
      </c>
      <c r="K259" s="66" t="s">
        <v>165</v>
      </c>
      <c r="L259" s="66" t="s">
        <v>491</v>
      </c>
      <c r="M259" s="66">
        <v>0</v>
      </c>
      <c r="N259" s="66">
        <v>0</v>
      </c>
      <c r="O259" s="66">
        <v>0</v>
      </c>
      <c r="P259" s="66">
        <v>0</v>
      </c>
      <c r="Q259" s="66">
        <v>0</v>
      </c>
      <c r="R259" s="66">
        <v>0</v>
      </c>
      <c r="S259" s="66">
        <v>0</v>
      </c>
      <c r="T259" s="66">
        <v>0</v>
      </c>
      <c r="U259" s="66">
        <v>0</v>
      </c>
      <c r="V259" s="66">
        <v>0</v>
      </c>
      <c r="W259" s="66">
        <v>4</v>
      </c>
      <c r="X259" s="66">
        <v>0</v>
      </c>
      <c r="Y259" s="66">
        <v>0</v>
      </c>
      <c r="Z259" s="66">
        <v>0</v>
      </c>
      <c r="AA259" s="66">
        <v>0</v>
      </c>
      <c r="AB259" s="66">
        <v>0</v>
      </c>
      <c r="AC259" s="66">
        <v>0</v>
      </c>
      <c r="AD259" s="66">
        <v>3</v>
      </c>
      <c r="AE259" s="66">
        <v>0</v>
      </c>
      <c r="AF259" s="66">
        <v>3</v>
      </c>
      <c r="AG259" s="66">
        <v>0</v>
      </c>
      <c r="AH259" s="66">
        <v>0</v>
      </c>
      <c r="AI259" s="66">
        <v>0</v>
      </c>
      <c r="AJ259" s="66">
        <v>0</v>
      </c>
      <c r="AK259" s="1" t="s">
        <v>21</v>
      </c>
      <c r="AL259" s="1" t="s">
        <v>21</v>
      </c>
      <c r="AM259" s="67"/>
      <c r="AN259" s="66"/>
      <c r="AO259" s="66"/>
      <c r="AP259" s="66"/>
      <c r="AQ259" s="66"/>
      <c r="AR259" s="68"/>
      <c r="AS259" s="10"/>
    </row>
    <row r="260" spans="2:45">
      <c r="B260" s="1">
        <f t="shared" si="3"/>
        <v>250</v>
      </c>
      <c r="C260" s="66">
        <v>0</v>
      </c>
      <c r="D260" s="66" t="s">
        <v>383</v>
      </c>
      <c r="E260" s="66" t="s">
        <v>381</v>
      </c>
      <c r="F260" s="66" t="s">
        <v>380</v>
      </c>
      <c r="G260" s="66"/>
      <c r="H260" s="66" t="s">
        <v>428</v>
      </c>
      <c r="I260" s="66"/>
      <c r="J260" s="66" t="s">
        <v>87</v>
      </c>
      <c r="K260" s="66" t="s">
        <v>165</v>
      </c>
      <c r="L260" s="66" t="s">
        <v>491</v>
      </c>
      <c r="M260" s="66">
        <v>0</v>
      </c>
      <c r="N260" s="66">
        <v>0</v>
      </c>
      <c r="O260" s="66">
        <v>0</v>
      </c>
      <c r="P260" s="66">
        <v>0</v>
      </c>
      <c r="Q260" s="66">
        <v>0</v>
      </c>
      <c r="R260" s="66">
        <v>0</v>
      </c>
      <c r="S260" s="66">
        <v>0</v>
      </c>
      <c r="T260" s="66">
        <v>0</v>
      </c>
      <c r="U260" s="66">
        <v>0</v>
      </c>
      <c r="V260" s="66">
        <v>0</v>
      </c>
      <c r="W260" s="66">
        <v>4</v>
      </c>
      <c r="X260" s="66">
        <v>0</v>
      </c>
      <c r="Y260" s="66">
        <v>0</v>
      </c>
      <c r="Z260" s="66">
        <v>0</v>
      </c>
      <c r="AA260" s="66">
        <v>0</v>
      </c>
      <c r="AB260" s="66">
        <v>0</v>
      </c>
      <c r="AC260" s="66">
        <v>0</v>
      </c>
      <c r="AD260" s="66">
        <v>3</v>
      </c>
      <c r="AE260" s="66">
        <v>0</v>
      </c>
      <c r="AF260" s="66">
        <v>3</v>
      </c>
      <c r="AG260" s="66">
        <v>0</v>
      </c>
      <c r="AH260" s="66">
        <v>0</v>
      </c>
      <c r="AI260" s="66">
        <v>0</v>
      </c>
      <c r="AJ260" s="66">
        <v>0</v>
      </c>
      <c r="AK260" s="1" t="s">
        <v>21</v>
      </c>
      <c r="AL260" s="1" t="s">
        <v>21</v>
      </c>
      <c r="AM260" s="67"/>
      <c r="AN260" s="66"/>
      <c r="AO260" s="66"/>
      <c r="AP260" s="66"/>
      <c r="AQ260" s="66"/>
      <c r="AR260" s="68"/>
      <c r="AS260" s="10"/>
    </row>
    <row r="261" spans="2:45">
      <c r="B261" s="1">
        <f t="shared" si="3"/>
        <v>251</v>
      </c>
      <c r="C261" s="1">
        <v>1</v>
      </c>
      <c r="D261" s="1" t="s">
        <v>383</v>
      </c>
      <c r="E261" s="1" t="s">
        <v>381</v>
      </c>
      <c r="F261" s="1" t="s">
        <v>380</v>
      </c>
      <c r="G261" s="1"/>
      <c r="H261" s="1" t="s">
        <v>429</v>
      </c>
      <c r="I261" s="1"/>
      <c r="J261" s="1" t="s">
        <v>87</v>
      </c>
      <c r="K261" s="1" t="s">
        <v>165</v>
      </c>
      <c r="L261" s="1" t="s">
        <v>491</v>
      </c>
      <c r="M261" s="55">
        <v>0</v>
      </c>
      <c r="N261" s="55">
        <v>0</v>
      </c>
      <c r="O261" s="55">
        <v>0</v>
      </c>
      <c r="P261" s="55">
        <v>0</v>
      </c>
      <c r="Q261" s="55">
        <v>0</v>
      </c>
      <c r="R261" s="55">
        <v>0</v>
      </c>
      <c r="S261" s="55">
        <v>0</v>
      </c>
      <c r="T261" s="55">
        <v>0</v>
      </c>
      <c r="U261" s="55">
        <v>0</v>
      </c>
      <c r="V261" s="55">
        <v>0</v>
      </c>
      <c r="W261" s="56">
        <v>4</v>
      </c>
      <c r="X261" s="55">
        <v>0</v>
      </c>
      <c r="Y261" s="55">
        <v>0</v>
      </c>
      <c r="Z261" s="55">
        <v>0</v>
      </c>
      <c r="AA261" s="1">
        <v>0</v>
      </c>
      <c r="AB261" s="1">
        <v>0</v>
      </c>
      <c r="AC261" s="1">
        <v>0</v>
      </c>
      <c r="AD261" s="1">
        <v>3</v>
      </c>
      <c r="AE261" s="55">
        <v>0</v>
      </c>
      <c r="AF261" s="1">
        <v>3</v>
      </c>
      <c r="AG261" s="1">
        <v>0</v>
      </c>
      <c r="AH261" s="1">
        <v>0</v>
      </c>
      <c r="AI261" s="1">
        <v>0</v>
      </c>
      <c r="AJ261" s="1">
        <v>0</v>
      </c>
      <c r="AK261" s="1" t="s">
        <v>21</v>
      </c>
      <c r="AL261" s="1" t="s">
        <v>21</v>
      </c>
      <c r="AM261" s="17"/>
      <c r="AN261" s="18" t="s">
        <v>417</v>
      </c>
      <c r="AO261" s="140" t="s">
        <v>1171</v>
      </c>
      <c r="AP261" s="18" t="s">
        <v>1175</v>
      </c>
      <c r="AQ261" s="86">
        <v>0.9</v>
      </c>
      <c r="AS261" s="10"/>
    </row>
    <row r="262" spans="2:45">
      <c r="B262" s="1">
        <f t="shared" si="3"/>
        <v>252</v>
      </c>
      <c r="C262" s="66">
        <v>0</v>
      </c>
      <c r="D262" s="66" t="s">
        <v>383</v>
      </c>
      <c r="E262" s="66" t="s">
        <v>381</v>
      </c>
      <c r="F262" s="66" t="s">
        <v>380</v>
      </c>
      <c r="G262" s="66"/>
      <c r="H262" s="66" t="s">
        <v>430</v>
      </c>
      <c r="I262" s="66"/>
      <c r="J262" s="66" t="s">
        <v>87</v>
      </c>
      <c r="K262" s="66" t="s">
        <v>165</v>
      </c>
      <c r="L262" s="66" t="s">
        <v>491</v>
      </c>
      <c r="M262" s="66">
        <v>0</v>
      </c>
      <c r="N262" s="66">
        <v>0</v>
      </c>
      <c r="O262" s="66">
        <v>0</v>
      </c>
      <c r="P262" s="66">
        <v>0</v>
      </c>
      <c r="Q262" s="66">
        <v>0</v>
      </c>
      <c r="R262" s="66">
        <v>0</v>
      </c>
      <c r="S262" s="66">
        <v>0</v>
      </c>
      <c r="T262" s="66">
        <v>0</v>
      </c>
      <c r="U262" s="66">
        <v>0</v>
      </c>
      <c r="V262" s="66">
        <v>0</v>
      </c>
      <c r="W262" s="66">
        <v>4</v>
      </c>
      <c r="X262" s="66">
        <v>0</v>
      </c>
      <c r="Y262" s="66">
        <v>0</v>
      </c>
      <c r="Z262" s="66">
        <v>0</v>
      </c>
      <c r="AA262" s="66">
        <v>0</v>
      </c>
      <c r="AB262" s="66">
        <v>0</v>
      </c>
      <c r="AC262" s="66">
        <v>0</v>
      </c>
      <c r="AD262" s="66">
        <v>3</v>
      </c>
      <c r="AE262" s="66">
        <v>0</v>
      </c>
      <c r="AF262" s="66">
        <v>1</v>
      </c>
      <c r="AG262" s="66">
        <v>0</v>
      </c>
      <c r="AH262" s="66">
        <v>0</v>
      </c>
      <c r="AI262" s="66">
        <v>0</v>
      </c>
      <c r="AJ262" s="66">
        <v>0</v>
      </c>
      <c r="AK262" s="1" t="s">
        <v>32</v>
      </c>
      <c r="AL262" s="1" t="s">
        <v>32</v>
      </c>
      <c r="AM262" s="67"/>
      <c r="AN262" s="66"/>
      <c r="AO262" s="66"/>
      <c r="AP262" s="66"/>
      <c r="AQ262" s="66"/>
      <c r="AR262" s="68"/>
      <c r="AS262" s="10"/>
    </row>
    <row r="263" spans="2:45">
      <c r="B263" s="1">
        <f t="shared" si="3"/>
        <v>253</v>
      </c>
      <c r="C263" s="66">
        <v>0</v>
      </c>
      <c r="D263" s="66" t="s">
        <v>383</v>
      </c>
      <c r="E263" s="66" t="s">
        <v>381</v>
      </c>
      <c r="F263" s="66" t="s">
        <v>380</v>
      </c>
      <c r="G263" s="66"/>
      <c r="H263" s="66" t="s">
        <v>436</v>
      </c>
      <c r="I263" s="66"/>
      <c r="J263" s="66" t="s">
        <v>87</v>
      </c>
      <c r="K263" s="66" t="s">
        <v>165</v>
      </c>
      <c r="L263" s="66" t="s">
        <v>491</v>
      </c>
      <c r="M263" s="66">
        <v>0</v>
      </c>
      <c r="N263" s="66">
        <v>0</v>
      </c>
      <c r="O263" s="66">
        <v>0</v>
      </c>
      <c r="P263" s="66">
        <v>0</v>
      </c>
      <c r="Q263" s="66">
        <v>0</v>
      </c>
      <c r="R263" s="66">
        <v>0</v>
      </c>
      <c r="S263" s="66">
        <v>0</v>
      </c>
      <c r="T263" s="66">
        <v>0</v>
      </c>
      <c r="U263" s="66">
        <v>0</v>
      </c>
      <c r="V263" s="66">
        <v>0</v>
      </c>
      <c r="W263" s="66">
        <v>4</v>
      </c>
      <c r="X263" s="66">
        <v>0</v>
      </c>
      <c r="Y263" s="66">
        <v>0</v>
      </c>
      <c r="Z263" s="66">
        <v>0</v>
      </c>
      <c r="AA263" s="66">
        <v>0</v>
      </c>
      <c r="AB263" s="66">
        <v>0</v>
      </c>
      <c r="AC263" s="66">
        <v>0</v>
      </c>
      <c r="AD263" s="66">
        <v>0</v>
      </c>
      <c r="AE263" s="66">
        <v>0</v>
      </c>
      <c r="AF263" s="66">
        <v>3</v>
      </c>
      <c r="AG263" s="66">
        <v>0</v>
      </c>
      <c r="AH263" s="66">
        <v>0</v>
      </c>
      <c r="AI263" s="66">
        <v>0</v>
      </c>
      <c r="AJ263" s="66">
        <v>0</v>
      </c>
      <c r="AK263" s="1" t="s">
        <v>21</v>
      </c>
      <c r="AL263" s="1" t="s">
        <v>21</v>
      </c>
      <c r="AM263" s="67"/>
      <c r="AN263" s="66"/>
      <c r="AO263" s="66"/>
      <c r="AP263" s="66"/>
      <c r="AQ263" s="66"/>
      <c r="AR263" s="68"/>
      <c r="AS263" s="10"/>
    </row>
    <row r="264" spans="2:45">
      <c r="B264" s="1">
        <f t="shared" si="3"/>
        <v>254</v>
      </c>
      <c r="C264" s="1">
        <v>1</v>
      </c>
      <c r="D264" s="1" t="s">
        <v>383</v>
      </c>
      <c r="E264" s="1" t="s">
        <v>381</v>
      </c>
      <c r="F264" s="1" t="s">
        <v>380</v>
      </c>
      <c r="G264" s="1"/>
      <c r="H264" s="1" t="s">
        <v>377</v>
      </c>
      <c r="I264" s="1"/>
      <c r="J264" s="1" t="s">
        <v>87</v>
      </c>
      <c r="K264" s="1" t="s">
        <v>165</v>
      </c>
      <c r="L264" s="1" t="s">
        <v>491</v>
      </c>
      <c r="M264" s="55">
        <v>0</v>
      </c>
      <c r="N264" s="55">
        <v>0</v>
      </c>
      <c r="O264" s="55">
        <v>0</v>
      </c>
      <c r="P264" s="55">
        <v>0</v>
      </c>
      <c r="Q264" s="55">
        <v>0</v>
      </c>
      <c r="R264" s="55">
        <v>0</v>
      </c>
      <c r="S264" s="55">
        <v>0</v>
      </c>
      <c r="T264" s="55">
        <v>0</v>
      </c>
      <c r="U264" s="55">
        <v>0</v>
      </c>
      <c r="V264" s="55">
        <v>0</v>
      </c>
      <c r="W264" s="56">
        <v>4</v>
      </c>
      <c r="X264" s="55">
        <v>0</v>
      </c>
      <c r="Y264" s="55">
        <v>0</v>
      </c>
      <c r="Z264" s="55">
        <v>0</v>
      </c>
      <c r="AA264" s="1">
        <v>0</v>
      </c>
      <c r="AB264" s="1">
        <v>0</v>
      </c>
      <c r="AC264" s="1">
        <v>0</v>
      </c>
      <c r="AD264" s="1">
        <v>0</v>
      </c>
      <c r="AE264" s="55">
        <v>0</v>
      </c>
      <c r="AF264" s="1">
        <v>0</v>
      </c>
      <c r="AG264" s="1">
        <v>0</v>
      </c>
      <c r="AH264" s="55">
        <v>0</v>
      </c>
      <c r="AI264" s="55">
        <v>0</v>
      </c>
      <c r="AJ264" s="1">
        <v>0</v>
      </c>
      <c r="AK264" s="1" t="s">
        <v>21</v>
      </c>
      <c r="AL264" s="1" t="s">
        <v>21</v>
      </c>
      <c r="AM264" s="17"/>
      <c r="AN264" s="18" t="s">
        <v>417</v>
      </c>
      <c r="AO264" s="140" t="s">
        <v>1171</v>
      </c>
      <c r="AP264" s="18" t="s">
        <v>1175</v>
      </c>
      <c r="AQ264" s="87">
        <v>0.5</v>
      </c>
      <c r="AS264" s="10"/>
    </row>
    <row r="265" spans="2:45">
      <c r="B265" s="1">
        <f t="shared" si="3"/>
        <v>255</v>
      </c>
      <c r="C265" s="1">
        <v>1</v>
      </c>
      <c r="D265" s="1" t="s">
        <v>383</v>
      </c>
      <c r="E265" s="1" t="s">
        <v>381</v>
      </c>
      <c r="F265" s="1" t="s">
        <v>380</v>
      </c>
      <c r="G265" s="1"/>
      <c r="H265" s="1" t="s">
        <v>378</v>
      </c>
      <c r="I265" s="1"/>
      <c r="J265" s="1" t="s">
        <v>85</v>
      </c>
      <c r="K265" s="1" t="s">
        <v>165</v>
      </c>
      <c r="L265" s="1" t="s">
        <v>491</v>
      </c>
      <c r="M265" s="55">
        <v>0</v>
      </c>
      <c r="N265" s="55">
        <v>0</v>
      </c>
      <c r="O265" s="55">
        <v>0</v>
      </c>
      <c r="P265" s="55">
        <v>0</v>
      </c>
      <c r="Q265" s="55">
        <v>0</v>
      </c>
      <c r="R265" s="55">
        <v>0</v>
      </c>
      <c r="S265" s="55">
        <v>0</v>
      </c>
      <c r="T265" s="55">
        <v>0</v>
      </c>
      <c r="U265" s="55">
        <v>0</v>
      </c>
      <c r="V265" s="55">
        <v>0</v>
      </c>
      <c r="W265" s="56">
        <v>4</v>
      </c>
      <c r="X265" s="55">
        <v>0</v>
      </c>
      <c r="Y265" s="55">
        <v>0</v>
      </c>
      <c r="Z265" s="55">
        <v>0</v>
      </c>
      <c r="AA265" s="1">
        <v>0</v>
      </c>
      <c r="AB265" s="1">
        <v>0</v>
      </c>
      <c r="AC265" s="1">
        <v>0</v>
      </c>
      <c r="AD265" s="1">
        <v>3</v>
      </c>
      <c r="AE265" s="55">
        <v>0</v>
      </c>
      <c r="AF265" s="1">
        <v>3</v>
      </c>
      <c r="AG265" s="1">
        <v>0</v>
      </c>
      <c r="AH265" s="1">
        <v>0</v>
      </c>
      <c r="AI265" s="1">
        <v>0</v>
      </c>
      <c r="AJ265" s="1">
        <v>0</v>
      </c>
      <c r="AK265" s="1" t="s">
        <v>21</v>
      </c>
      <c r="AL265" s="1" t="s">
        <v>21</v>
      </c>
      <c r="AM265" s="17"/>
      <c r="AN265" s="18" t="s">
        <v>417</v>
      </c>
      <c r="AO265" s="140" t="s">
        <v>1171</v>
      </c>
      <c r="AP265" s="140" t="s">
        <v>1176</v>
      </c>
      <c r="AQ265" s="86">
        <v>0.9</v>
      </c>
      <c r="AS265" s="10"/>
    </row>
    <row r="266" spans="2:45">
      <c r="B266" s="1">
        <f t="shared" si="3"/>
        <v>256</v>
      </c>
      <c r="C266" s="1">
        <v>1</v>
      </c>
      <c r="D266" s="1" t="s">
        <v>383</v>
      </c>
      <c r="E266" s="1" t="s">
        <v>381</v>
      </c>
      <c r="F266" s="1" t="s">
        <v>380</v>
      </c>
      <c r="G266" s="1"/>
      <c r="H266" s="1" t="s">
        <v>1166</v>
      </c>
      <c r="I266" s="1"/>
      <c r="J266" s="1" t="s">
        <v>85</v>
      </c>
      <c r="K266" s="1" t="s">
        <v>165</v>
      </c>
      <c r="L266" s="1" t="s">
        <v>491</v>
      </c>
      <c r="M266" s="55">
        <v>0</v>
      </c>
      <c r="N266" s="55">
        <v>0</v>
      </c>
      <c r="O266" s="55">
        <v>0</v>
      </c>
      <c r="P266" s="55">
        <v>0</v>
      </c>
      <c r="Q266" s="55">
        <v>0</v>
      </c>
      <c r="R266" s="55">
        <v>0</v>
      </c>
      <c r="S266" s="55">
        <v>0</v>
      </c>
      <c r="T266" s="55">
        <v>0</v>
      </c>
      <c r="U266" s="55">
        <v>0</v>
      </c>
      <c r="V266" s="55">
        <v>0</v>
      </c>
      <c r="W266" s="56">
        <v>4</v>
      </c>
      <c r="X266" s="55">
        <v>0</v>
      </c>
      <c r="Y266" s="55">
        <v>0</v>
      </c>
      <c r="Z266" s="55">
        <v>0</v>
      </c>
      <c r="AA266" s="1">
        <v>0</v>
      </c>
      <c r="AB266" s="1">
        <v>0</v>
      </c>
      <c r="AC266" s="1">
        <v>0</v>
      </c>
      <c r="AD266" s="1">
        <v>3</v>
      </c>
      <c r="AE266" s="55">
        <v>0</v>
      </c>
      <c r="AF266" s="1">
        <v>3</v>
      </c>
      <c r="AG266" s="1">
        <v>0</v>
      </c>
      <c r="AH266" s="1">
        <v>0</v>
      </c>
      <c r="AI266" s="1">
        <v>0</v>
      </c>
      <c r="AJ266" s="1">
        <v>0</v>
      </c>
      <c r="AK266" s="1" t="s">
        <v>21</v>
      </c>
      <c r="AL266" s="1" t="s">
        <v>21</v>
      </c>
      <c r="AM266" s="17"/>
      <c r="AN266" s="18" t="s">
        <v>417</v>
      </c>
      <c r="AO266" s="140" t="s">
        <v>1171</v>
      </c>
      <c r="AP266" s="18" t="s">
        <v>1175</v>
      </c>
      <c r="AQ266" s="87">
        <v>0.5</v>
      </c>
      <c r="AS266" s="10"/>
    </row>
    <row r="267" spans="2:45">
      <c r="B267" s="1">
        <f t="shared" si="3"/>
        <v>257</v>
      </c>
      <c r="C267" s="1">
        <v>1</v>
      </c>
      <c r="D267" s="1" t="s">
        <v>383</v>
      </c>
      <c r="E267" s="1" t="s">
        <v>381</v>
      </c>
      <c r="F267" s="1" t="s">
        <v>380</v>
      </c>
      <c r="G267" s="1"/>
      <c r="H267" s="1" t="s">
        <v>1169</v>
      </c>
      <c r="I267" s="1"/>
      <c r="J267" s="1" t="s">
        <v>87</v>
      </c>
      <c r="K267" s="1" t="s">
        <v>165</v>
      </c>
      <c r="L267" s="1" t="s">
        <v>491</v>
      </c>
      <c r="M267" s="55">
        <v>0</v>
      </c>
      <c r="N267" s="55">
        <v>0</v>
      </c>
      <c r="O267" s="55">
        <v>0</v>
      </c>
      <c r="P267" s="55">
        <v>0</v>
      </c>
      <c r="Q267" s="55">
        <v>0</v>
      </c>
      <c r="R267" s="55">
        <v>0</v>
      </c>
      <c r="S267" s="55">
        <v>0</v>
      </c>
      <c r="T267" s="55">
        <v>0</v>
      </c>
      <c r="U267" s="55">
        <v>0</v>
      </c>
      <c r="V267" s="55">
        <v>0</v>
      </c>
      <c r="W267" s="56">
        <v>4</v>
      </c>
      <c r="X267" s="55">
        <v>0</v>
      </c>
      <c r="Y267" s="55">
        <v>0</v>
      </c>
      <c r="Z267" s="55">
        <v>0</v>
      </c>
      <c r="AA267" s="1">
        <v>0</v>
      </c>
      <c r="AB267" s="1">
        <v>0</v>
      </c>
      <c r="AC267" s="1">
        <v>0</v>
      </c>
      <c r="AD267" s="1">
        <v>0</v>
      </c>
      <c r="AE267" s="55">
        <v>0</v>
      </c>
      <c r="AF267" s="1">
        <v>0</v>
      </c>
      <c r="AG267" s="1">
        <v>0</v>
      </c>
      <c r="AH267" s="1">
        <v>0</v>
      </c>
      <c r="AI267" s="1">
        <v>0</v>
      </c>
      <c r="AJ267" s="1">
        <v>0</v>
      </c>
      <c r="AK267" s="1" t="s">
        <v>32</v>
      </c>
      <c r="AL267" s="1" t="s">
        <v>32</v>
      </c>
      <c r="AM267" s="17"/>
      <c r="AN267" s="18" t="s">
        <v>417</v>
      </c>
      <c r="AO267" s="18"/>
      <c r="AP267" s="18" t="s">
        <v>1175</v>
      </c>
      <c r="AQ267" s="87">
        <v>0.5</v>
      </c>
      <c r="AS267" s="10"/>
    </row>
    <row r="268" spans="2:45">
      <c r="B268" s="1">
        <f t="shared" si="3"/>
        <v>258</v>
      </c>
      <c r="C268" s="1">
        <v>1</v>
      </c>
      <c r="D268" s="1" t="s">
        <v>383</v>
      </c>
      <c r="E268" s="1" t="s">
        <v>381</v>
      </c>
      <c r="F268" s="1" t="s">
        <v>380</v>
      </c>
      <c r="G268" s="1"/>
      <c r="H268" s="1" t="s">
        <v>1154</v>
      </c>
      <c r="I268" s="1"/>
      <c r="J268" s="1" t="s">
        <v>85</v>
      </c>
      <c r="K268" s="1" t="s">
        <v>165</v>
      </c>
      <c r="L268" s="1" t="s">
        <v>491</v>
      </c>
      <c r="M268" s="55">
        <v>0</v>
      </c>
      <c r="N268" s="55">
        <v>0</v>
      </c>
      <c r="O268" s="55">
        <v>0</v>
      </c>
      <c r="P268" s="55">
        <v>0</v>
      </c>
      <c r="Q268" s="55">
        <v>0</v>
      </c>
      <c r="R268" s="55">
        <v>0</v>
      </c>
      <c r="S268" s="55">
        <v>0</v>
      </c>
      <c r="T268" s="55">
        <v>0</v>
      </c>
      <c r="U268" s="55">
        <v>0</v>
      </c>
      <c r="V268" s="55">
        <v>0</v>
      </c>
      <c r="W268" s="56">
        <v>4</v>
      </c>
      <c r="X268" s="55">
        <v>0</v>
      </c>
      <c r="Y268" s="55">
        <v>0</v>
      </c>
      <c r="Z268" s="55">
        <v>0</v>
      </c>
      <c r="AA268" s="1">
        <v>0</v>
      </c>
      <c r="AB268" s="1">
        <v>0</v>
      </c>
      <c r="AC268" s="1">
        <v>0</v>
      </c>
      <c r="AD268" s="1">
        <v>3</v>
      </c>
      <c r="AE268" s="55">
        <v>0</v>
      </c>
      <c r="AF268" s="1">
        <v>3</v>
      </c>
      <c r="AG268" s="1">
        <v>0</v>
      </c>
      <c r="AH268" s="1">
        <v>0</v>
      </c>
      <c r="AI268" s="1">
        <v>0</v>
      </c>
      <c r="AJ268" s="1">
        <v>0</v>
      </c>
      <c r="AK268" s="1" t="s">
        <v>21</v>
      </c>
      <c r="AL268" s="1" t="s">
        <v>21</v>
      </c>
      <c r="AM268" s="17"/>
      <c r="AN268" s="18" t="s">
        <v>417</v>
      </c>
      <c r="AO268" s="140" t="s">
        <v>1171</v>
      </c>
      <c r="AP268" s="140" t="s">
        <v>1174</v>
      </c>
      <c r="AQ268" s="86">
        <v>0.9</v>
      </c>
      <c r="AS268" s="10"/>
    </row>
    <row r="269" spans="2:45">
      <c r="B269" s="1">
        <f t="shared" si="3"/>
        <v>259</v>
      </c>
      <c r="C269" s="66">
        <v>0</v>
      </c>
      <c r="D269" s="66" t="s">
        <v>383</v>
      </c>
      <c r="E269" s="66" t="s">
        <v>381</v>
      </c>
      <c r="F269" s="66" t="s">
        <v>380</v>
      </c>
      <c r="G269" s="66"/>
      <c r="H269" s="66" t="s">
        <v>433</v>
      </c>
      <c r="I269" s="66"/>
      <c r="J269" s="66" t="s">
        <v>85</v>
      </c>
      <c r="K269" s="66" t="s">
        <v>165</v>
      </c>
      <c r="L269" s="66" t="s">
        <v>491</v>
      </c>
      <c r="M269" s="66">
        <v>0</v>
      </c>
      <c r="N269" s="66">
        <v>0</v>
      </c>
      <c r="O269" s="66">
        <v>0</v>
      </c>
      <c r="P269" s="66">
        <v>0</v>
      </c>
      <c r="Q269" s="66">
        <v>0</v>
      </c>
      <c r="R269" s="66">
        <v>0</v>
      </c>
      <c r="S269" s="66">
        <v>0</v>
      </c>
      <c r="T269" s="66">
        <v>0</v>
      </c>
      <c r="U269" s="66">
        <v>0</v>
      </c>
      <c r="V269" s="66">
        <v>0</v>
      </c>
      <c r="W269" s="66">
        <v>4</v>
      </c>
      <c r="X269" s="66">
        <v>0</v>
      </c>
      <c r="Y269" s="66">
        <v>0</v>
      </c>
      <c r="Z269" s="66">
        <v>0</v>
      </c>
      <c r="AA269" s="66">
        <v>0</v>
      </c>
      <c r="AB269" s="66">
        <v>0</v>
      </c>
      <c r="AC269" s="66">
        <v>0</v>
      </c>
      <c r="AD269" s="66">
        <v>0</v>
      </c>
      <c r="AE269" s="66">
        <v>0</v>
      </c>
      <c r="AF269" s="66">
        <v>3</v>
      </c>
      <c r="AG269" s="66">
        <v>0</v>
      </c>
      <c r="AH269" s="66">
        <v>0</v>
      </c>
      <c r="AI269" s="66">
        <v>0</v>
      </c>
      <c r="AJ269" s="66">
        <v>0</v>
      </c>
      <c r="AK269" s="1" t="s">
        <v>21</v>
      </c>
      <c r="AL269" s="1" t="s">
        <v>21</v>
      </c>
      <c r="AM269" s="67"/>
      <c r="AN269" s="66"/>
      <c r="AO269" s="66"/>
      <c r="AP269" s="66"/>
      <c r="AQ269" s="66"/>
      <c r="AR269" s="68"/>
      <c r="AS269" s="10"/>
    </row>
    <row r="270" spans="2:45">
      <c r="B270" s="1">
        <f t="shared" si="3"/>
        <v>260</v>
      </c>
      <c r="C270" s="66">
        <v>0</v>
      </c>
      <c r="D270" s="66" t="s">
        <v>383</v>
      </c>
      <c r="E270" s="66" t="s">
        <v>381</v>
      </c>
      <c r="F270" s="66" t="s">
        <v>380</v>
      </c>
      <c r="G270" s="66"/>
      <c r="H270" s="66" t="s">
        <v>434</v>
      </c>
      <c r="I270" s="66"/>
      <c r="J270" s="66" t="s">
        <v>87</v>
      </c>
      <c r="K270" s="66" t="s">
        <v>165</v>
      </c>
      <c r="L270" s="66" t="s">
        <v>491</v>
      </c>
      <c r="M270" s="66">
        <v>0</v>
      </c>
      <c r="N270" s="66">
        <v>0</v>
      </c>
      <c r="O270" s="66">
        <v>0</v>
      </c>
      <c r="P270" s="66">
        <v>0</v>
      </c>
      <c r="Q270" s="66">
        <v>0</v>
      </c>
      <c r="R270" s="66">
        <v>0</v>
      </c>
      <c r="S270" s="66">
        <v>0</v>
      </c>
      <c r="T270" s="66">
        <v>0</v>
      </c>
      <c r="U270" s="66">
        <v>0</v>
      </c>
      <c r="V270" s="66">
        <v>0</v>
      </c>
      <c r="W270" s="66">
        <v>4</v>
      </c>
      <c r="X270" s="66">
        <v>0</v>
      </c>
      <c r="Y270" s="66">
        <v>0</v>
      </c>
      <c r="Z270" s="66">
        <v>0</v>
      </c>
      <c r="AA270" s="66">
        <v>0</v>
      </c>
      <c r="AB270" s="66">
        <v>0</v>
      </c>
      <c r="AC270" s="66">
        <v>0</v>
      </c>
      <c r="AD270" s="66">
        <v>0</v>
      </c>
      <c r="AE270" s="66">
        <v>0</v>
      </c>
      <c r="AF270" s="66">
        <v>1</v>
      </c>
      <c r="AG270" s="66">
        <v>0</v>
      </c>
      <c r="AH270" s="66">
        <v>0</v>
      </c>
      <c r="AI270" s="66">
        <v>0</v>
      </c>
      <c r="AJ270" s="66">
        <v>0</v>
      </c>
      <c r="AK270" s="1" t="s">
        <v>32</v>
      </c>
      <c r="AL270" s="1" t="s">
        <v>32</v>
      </c>
      <c r="AM270" s="67"/>
      <c r="AN270" s="66"/>
      <c r="AO270" s="66"/>
      <c r="AP270" s="66"/>
      <c r="AQ270" s="66"/>
      <c r="AR270" s="68"/>
      <c r="AS270" s="10"/>
    </row>
    <row r="271" spans="2:45">
      <c r="B271" s="1">
        <f t="shared" si="3"/>
        <v>261</v>
      </c>
      <c r="C271" s="66">
        <v>0</v>
      </c>
      <c r="D271" s="66" t="s">
        <v>383</v>
      </c>
      <c r="E271" s="66" t="s">
        <v>381</v>
      </c>
      <c r="F271" s="66" t="s">
        <v>380</v>
      </c>
      <c r="G271" s="66"/>
      <c r="H271" s="66" t="s">
        <v>435</v>
      </c>
      <c r="I271" s="66"/>
      <c r="J271" s="66" t="s">
        <v>87</v>
      </c>
      <c r="K271" s="66" t="s">
        <v>165</v>
      </c>
      <c r="L271" s="66" t="s">
        <v>491</v>
      </c>
      <c r="M271" s="66">
        <v>0</v>
      </c>
      <c r="N271" s="66">
        <v>0</v>
      </c>
      <c r="O271" s="66">
        <v>0</v>
      </c>
      <c r="P271" s="66">
        <v>0</v>
      </c>
      <c r="Q271" s="66">
        <v>0</v>
      </c>
      <c r="R271" s="66">
        <v>0</v>
      </c>
      <c r="S271" s="66">
        <v>0</v>
      </c>
      <c r="T271" s="66">
        <v>0</v>
      </c>
      <c r="U271" s="66">
        <v>0</v>
      </c>
      <c r="V271" s="66">
        <v>0</v>
      </c>
      <c r="W271" s="66">
        <v>4</v>
      </c>
      <c r="X271" s="66">
        <v>0</v>
      </c>
      <c r="Y271" s="66">
        <v>0</v>
      </c>
      <c r="Z271" s="66">
        <v>0</v>
      </c>
      <c r="AA271" s="66">
        <v>0</v>
      </c>
      <c r="AB271" s="66">
        <v>0</v>
      </c>
      <c r="AC271" s="66">
        <v>0</v>
      </c>
      <c r="AD271" s="66">
        <v>0</v>
      </c>
      <c r="AE271" s="66">
        <v>0</v>
      </c>
      <c r="AF271" s="66">
        <v>1</v>
      </c>
      <c r="AG271" s="66">
        <v>0</v>
      </c>
      <c r="AH271" s="66">
        <v>0</v>
      </c>
      <c r="AI271" s="66">
        <v>0</v>
      </c>
      <c r="AJ271" s="66">
        <v>0</v>
      </c>
      <c r="AK271" s="1" t="s">
        <v>32</v>
      </c>
      <c r="AL271" s="1" t="s">
        <v>32</v>
      </c>
      <c r="AM271" s="67"/>
      <c r="AN271" s="66"/>
      <c r="AO271" s="66"/>
      <c r="AP271" s="66"/>
      <c r="AQ271" s="66"/>
      <c r="AR271" s="68"/>
      <c r="AS271" s="10"/>
    </row>
    <row r="272" spans="2:45">
      <c r="B272" s="1">
        <f t="shared" si="3"/>
        <v>262</v>
      </c>
      <c r="C272" s="1">
        <v>1</v>
      </c>
      <c r="D272" s="1" t="s">
        <v>220</v>
      </c>
      <c r="E272" s="1" t="s">
        <v>52</v>
      </c>
      <c r="F272" s="1" t="s">
        <v>321</v>
      </c>
      <c r="G272" s="1" t="s">
        <v>321</v>
      </c>
      <c r="H272" s="1" t="s">
        <v>388</v>
      </c>
      <c r="I272" s="1"/>
      <c r="J272" s="1" t="s">
        <v>85</v>
      </c>
      <c r="K272" s="1" t="s">
        <v>491</v>
      </c>
      <c r="L272" s="1" t="s">
        <v>11</v>
      </c>
      <c r="M272" s="1">
        <v>0</v>
      </c>
      <c r="N272" s="1">
        <v>4</v>
      </c>
      <c r="O272" s="1">
        <v>0</v>
      </c>
      <c r="P272" s="1">
        <v>0</v>
      </c>
      <c r="Q272" s="1">
        <v>0</v>
      </c>
      <c r="R272" s="1">
        <v>0</v>
      </c>
      <c r="S272" s="1">
        <v>0</v>
      </c>
      <c r="T272" s="1">
        <v>0</v>
      </c>
      <c r="U272" s="1">
        <v>4</v>
      </c>
      <c r="V272" s="1">
        <v>0</v>
      </c>
      <c r="W272" s="1">
        <v>0</v>
      </c>
      <c r="X272" s="1">
        <v>0</v>
      </c>
      <c r="Y272" s="1">
        <v>0</v>
      </c>
      <c r="Z272" s="1">
        <v>0</v>
      </c>
      <c r="AA272" s="55">
        <v>4</v>
      </c>
      <c r="AB272" s="55"/>
      <c r="AC272" s="55"/>
      <c r="AD272" s="55">
        <v>4</v>
      </c>
      <c r="AE272" s="55"/>
      <c r="AF272" s="55">
        <v>3</v>
      </c>
      <c r="AG272" s="1">
        <v>0</v>
      </c>
      <c r="AH272" s="1">
        <v>0</v>
      </c>
      <c r="AI272" s="1">
        <v>0</v>
      </c>
      <c r="AJ272" s="1">
        <v>0</v>
      </c>
      <c r="AK272" s="1" t="s">
        <v>21</v>
      </c>
      <c r="AL272" s="1" t="s">
        <v>32</v>
      </c>
      <c r="AM272" s="17">
        <v>44984</v>
      </c>
      <c r="AN272" s="18" t="s">
        <v>417</v>
      </c>
      <c r="AO272" s="18"/>
      <c r="AP272" s="18"/>
      <c r="AQ272" s="18"/>
      <c r="AS272" s="10"/>
    </row>
    <row r="273" spans="2:45">
      <c r="B273" s="1">
        <f t="shared" ref="B273:B317" si="4">B272+1</f>
        <v>263</v>
      </c>
      <c r="C273" s="1">
        <v>0</v>
      </c>
      <c r="D273" s="1" t="s">
        <v>220</v>
      </c>
      <c r="E273" s="1" t="s">
        <v>52</v>
      </c>
      <c r="F273" s="1" t="s">
        <v>321</v>
      </c>
      <c r="G273" s="1" t="s">
        <v>321</v>
      </c>
      <c r="H273" s="1" t="s">
        <v>389</v>
      </c>
      <c r="I273" s="1"/>
      <c r="J273" s="1" t="s">
        <v>85</v>
      </c>
      <c r="K273" s="1" t="s">
        <v>491</v>
      </c>
      <c r="L273" s="1" t="s">
        <v>11</v>
      </c>
      <c r="M273" s="1">
        <v>0</v>
      </c>
      <c r="N273" s="1">
        <v>4</v>
      </c>
      <c r="O273" s="1">
        <v>0</v>
      </c>
      <c r="P273" s="1">
        <v>0</v>
      </c>
      <c r="Q273" s="1">
        <v>0</v>
      </c>
      <c r="R273" s="1">
        <v>0</v>
      </c>
      <c r="S273" s="1">
        <v>0</v>
      </c>
      <c r="T273" s="1">
        <v>0</v>
      </c>
      <c r="U273" s="1">
        <v>4</v>
      </c>
      <c r="V273" s="1">
        <v>0</v>
      </c>
      <c r="W273" s="1">
        <v>0</v>
      </c>
      <c r="X273" s="1">
        <v>0</v>
      </c>
      <c r="Y273" s="1">
        <v>0</v>
      </c>
      <c r="Z273" s="1">
        <v>0</v>
      </c>
      <c r="AA273" s="55">
        <v>4</v>
      </c>
      <c r="AB273" s="55"/>
      <c r="AC273" s="55"/>
      <c r="AD273" s="55">
        <v>4</v>
      </c>
      <c r="AE273" s="55"/>
      <c r="AF273" s="55"/>
      <c r="AG273" s="1">
        <v>0</v>
      </c>
      <c r="AH273" s="1">
        <v>0</v>
      </c>
      <c r="AI273" s="1"/>
      <c r="AJ273" s="1">
        <v>0</v>
      </c>
      <c r="AK273" s="1" t="s">
        <v>32</v>
      </c>
      <c r="AL273" s="1" t="s">
        <v>32</v>
      </c>
      <c r="AM273" s="17"/>
      <c r="AN273" s="18"/>
      <c r="AO273" s="18"/>
      <c r="AP273" s="18"/>
      <c r="AQ273" s="18"/>
      <c r="AR273" s="10" t="s">
        <v>343</v>
      </c>
      <c r="AS273" s="10"/>
    </row>
    <row r="274" spans="2:45">
      <c r="B274" s="1">
        <f t="shared" si="4"/>
        <v>264</v>
      </c>
      <c r="C274" s="1">
        <v>1</v>
      </c>
      <c r="D274" s="1" t="s">
        <v>220</v>
      </c>
      <c r="E274" s="1" t="s">
        <v>52</v>
      </c>
      <c r="F274" s="1" t="s">
        <v>321</v>
      </c>
      <c r="G274" s="1" t="s">
        <v>321</v>
      </c>
      <c r="H274" s="1" t="s">
        <v>390</v>
      </c>
      <c r="I274" s="1"/>
      <c r="J274" s="1" t="s">
        <v>85</v>
      </c>
      <c r="K274" s="1" t="s">
        <v>491</v>
      </c>
      <c r="L274" s="1" t="s">
        <v>11</v>
      </c>
      <c r="M274" s="1">
        <v>0</v>
      </c>
      <c r="N274" s="1">
        <v>4</v>
      </c>
      <c r="O274" s="1">
        <v>0</v>
      </c>
      <c r="P274" s="1">
        <v>0</v>
      </c>
      <c r="Q274" s="1">
        <v>0</v>
      </c>
      <c r="R274" s="1">
        <v>0</v>
      </c>
      <c r="S274" s="1">
        <v>0</v>
      </c>
      <c r="T274" s="1">
        <v>0</v>
      </c>
      <c r="U274" s="1">
        <v>4</v>
      </c>
      <c r="V274" s="1">
        <v>0</v>
      </c>
      <c r="W274" s="1">
        <v>0</v>
      </c>
      <c r="X274" s="1">
        <v>0</v>
      </c>
      <c r="Y274" s="1">
        <v>0</v>
      </c>
      <c r="Z274" s="1">
        <v>0</v>
      </c>
      <c r="AA274" s="55">
        <v>4</v>
      </c>
      <c r="AB274" s="55"/>
      <c r="AC274" s="55"/>
      <c r="AD274" s="55">
        <v>4</v>
      </c>
      <c r="AE274" s="55"/>
      <c r="AF274" s="55">
        <v>3</v>
      </c>
      <c r="AG274" s="1">
        <v>0</v>
      </c>
      <c r="AH274" s="1">
        <v>0</v>
      </c>
      <c r="AI274" s="1">
        <v>0</v>
      </c>
      <c r="AJ274" s="1">
        <v>0</v>
      </c>
      <c r="AK274" s="1" t="s">
        <v>21</v>
      </c>
      <c r="AL274" s="1" t="s">
        <v>32</v>
      </c>
      <c r="AM274" s="17">
        <v>44984</v>
      </c>
      <c r="AN274" s="18" t="s">
        <v>417</v>
      </c>
      <c r="AO274" s="18"/>
      <c r="AP274" s="18"/>
      <c r="AQ274" s="18"/>
      <c r="AS274" s="10"/>
    </row>
    <row r="275" spans="2:45">
      <c r="B275" s="1">
        <f t="shared" si="4"/>
        <v>265</v>
      </c>
      <c r="C275" s="1">
        <v>1</v>
      </c>
      <c r="D275" s="1" t="s">
        <v>220</v>
      </c>
      <c r="E275" s="1" t="s">
        <v>52</v>
      </c>
      <c r="F275" s="1" t="s">
        <v>321</v>
      </c>
      <c r="G275" s="1" t="s">
        <v>321</v>
      </c>
      <c r="H275" s="1" t="s">
        <v>391</v>
      </c>
      <c r="I275" s="1"/>
      <c r="J275" s="1" t="s">
        <v>87</v>
      </c>
      <c r="K275" s="1" t="s">
        <v>491</v>
      </c>
      <c r="L275" s="1" t="s">
        <v>11</v>
      </c>
      <c r="M275" s="1">
        <v>0</v>
      </c>
      <c r="N275" s="1">
        <v>4</v>
      </c>
      <c r="O275" s="1">
        <v>0</v>
      </c>
      <c r="P275" s="1">
        <v>0</v>
      </c>
      <c r="Q275" s="1">
        <v>0</v>
      </c>
      <c r="R275" s="1">
        <v>0</v>
      </c>
      <c r="S275" s="1">
        <v>0</v>
      </c>
      <c r="T275" s="1">
        <v>0</v>
      </c>
      <c r="U275" s="1">
        <v>4</v>
      </c>
      <c r="V275" s="1">
        <v>0</v>
      </c>
      <c r="W275" s="1">
        <v>0</v>
      </c>
      <c r="X275" s="1">
        <v>0</v>
      </c>
      <c r="Y275" s="1">
        <v>0</v>
      </c>
      <c r="Z275" s="1">
        <v>0</v>
      </c>
      <c r="AA275" s="55">
        <v>4</v>
      </c>
      <c r="AB275" s="55"/>
      <c r="AC275" s="55"/>
      <c r="AD275" s="55">
        <v>4</v>
      </c>
      <c r="AE275" s="55"/>
      <c r="AF275" s="55">
        <v>3</v>
      </c>
      <c r="AG275" s="1">
        <v>0</v>
      </c>
      <c r="AH275" s="1">
        <v>0</v>
      </c>
      <c r="AI275" s="1">
        <v>0</v>
      </c>
      <c r="AJ275" s="1">
        <v>0</v>
      </c>
      <c r="AK275" s="1" t="s">
        <v>21</v>
      </c>
      <c r="AL275" s="1" t="s">
        <v>32</v>
      </c>
      <c r="AM275" s="17">
        <v>44984</v>
      </c>
      <c r="AN275" s="18" t="s">
        <v>417</v>
      </c>
      <c r="AO275" s="18"/>
      <c r="AP275" s="18"/>
      <c r="AQ275" s="18"/>
      <c r="AS275" s="10"/>
    </row>
    <row r="276" spans="2:45">
      <c r="B276" s="1">
        <f t="shared" si="4"/>
        <v>266</v>
      </c>
      <c r="C276" s="1">
        <v>1</v>
      </c>
      <c r="D276" s="1" t="s">
        <v>220</v>
      </c>
      <c r="E276" s="1" t="s">
        <v>52</v>
      </c>
      <c r="F276" s="1" t="s">
        <v>321</v>
      </c>
      <c r="G276" s="1" t="s">
        <v>321</v>
      </c>
      <c r="H276" s="1" t="s">
        <v>392</v>
      </c>
      <c r="I276" s="1"/>
      <c r="J276" s="1" t="s">
        <v>87</v>
      </c>
      <c r="K276" s="1" t="s">
        <v>491</v>
      </c>
      <c r="L276" s="1" t="s">
        <v>11</v>
      </c>
      <c r="M276" s="1">
        <v>0</v>
      </c>
      <c r="N276" s="1">
        <v>4</v>
      </c>
      <c r="O276" s="1">
        <v>0</v>
      </c>
      <c r="P276" s="1">
        <v>0</v>
      </c>
      <c r="Q276" s="1">
        <v>0</v>
      </c>
      <c r="R276" s="1">
        <v>0</v>
      </c>
      <c r="S276" s="1">
        <v>0</v>
      </c>
      <c r="T276" s="1">
        <v>0</v>
      </c>
      <c r="U276" s="1">
        <v>4</v>
      </c>
      <c r="V276" s="1">
        <v>0</v>
      </c>
      <c r="W276" s="1">
        <v>0</v>
      </c>
      <c r="X276" s="1">
        <v>0</v>
      </c>
      <c r="Y276" s="1">
        <v>0</v>
      </c>
      <c r="Z276" s="1">
        <v>0</v>
      </c>
      <c r="AA276" s="55">
        <v>4</v>
      </c>
      <c r="AB276" s="55"/>
      <c r="AC276" s="55"/>
      <c r="AD276" s="55">
        <v>4</v>
      </c>
      <c r="AE276" s="55"/>
      <c r="AF276" s="55">
        <v>3</v>
      </c>
      <c r="AG276" s="1">
        <v>0</v>
      </c>
      <c r="AH276" s="1">
        <v>0</v>
      </c>
      <c r="AI276" s="1">
        <v>0</v>
      </c>
      <c r="AJ276" s="1">
        <v>0</v>
      </c>
      <c r="AK276" s="1" t="s">
        <v>21</v>
      </c>
      <c r="AL276" s="1" t="s">
        <v>32</v>
      </c>
      <c r="AM276" s="17">
        <v>44984</v>
      </c>
      <c r="AN276" s="18" t="s">
        <v>417</v>
      </c>
      <c r="AO276" s="18"/>
      <c r="AP276" s="18"/>
      <c r="AQ276" s="18"/>
      <c r="AS276" s="10"/>
    </row>
    <row r="277" spans="2:45">
      <c r="B277" s="1">
        <f t="shared" si="4"/>
        <v>267</v>
      </c>
      <c r="C277" s="1">
        <v>1</v>
      </c>
      <c r="D277" s="1" t="s">
        <v>220</v>
      </c>
      <c r="E277" s="1" t="s">
        <v>52</v>
      </c>
      <c r="F277" s="1" t="s">
        <v>321</v>
      </c>
      <c r="G277" s="1" t="s">
        <v>321</v>
      </c>
      <c r="H277" s="1" t="s">
        <v>393</v>
      </c>
      <c r="I277" s="1"/>
      <c r="J277" s="1" t="s">
        <v>87</v>
      </c>
      <c r="K277" s="1" t="s">
        <v>491</v>
      </c>
      <c r="L277" s="1" t="s">
        <v>11</v>
      </c>
      <c r="M277" s="1">
        <v>0</v>
      </c>
      <c r="N277" s="1">
        <v>4</v>
      </c>
      <c r="O277" s="1">
        <v>0</v>
      </c>
      <c r="P277" s="1">
        <v>0</v>
      </c>
      <c r="Q277" s="1">
        <v>0</v>
      </c>
      <c r="R277" s="1">
        <v>0</v>
      </c>
      <c r="S277" s="1">
        <v>0</v>
      </c>
      <c r="T277" s="1">
        <v>0</v>
      </c>
      <c r="U277" s="1">
        <v>4</v>
      </c>
      <c r="V277" s="1">
        <v>0</v>
      </c>
      <c r="W277" s="1">
        <v>0</v>
      </c>
      <c r="X277" s="1">
        <v>0</v>
      </c>
      <c r="Y277" s="1">
        <v>0</v>
      </c>
      <c r="Z277" s="1">
        <v>0</v>
      </c>
      <c r="AA277" s="55">
        <v>4</v>
      </c>
      <c r="AB277" s="55"/>
      <c r="AC277" s="55"/>
      <c r="AD277" s="55">
        <v>4</v>
      </c>
      <c r="AE277" s="55"/>
      <c r="AF277" s="55">
        <v>3</v>
      </c>
      <c r="AG277" s="1">
        <v>0</v>
      </c>
      <c r="AH277" s="1">
        <v>0</v>
      </c>
      <c r="AI277" s="1">
        <v>0</v>
      </c>
      <c r="AJ277" s="1">
        <v>0</v>
      </c>
      <c r="AK277" s="1" t="s">
        <v>21</v>
      </c>
      <c r="AL277" s="1" t="s">
        <v>32</v>
      </c>
      <c r="AM277" s="17">
        <v>44984</v>
      </c>
      <c r="AN277" s="18" t="s">
        <v>417</v>
      </c>
      <c r="AO277" s="18"/>
      <c r="AP277" s="18"/>
      <c r="AQ277" s="18"/>
      <c r="AS277" s="10"/>
    </row>
    <row r="278" spans="2:45">
      <c r="B278" s="1">
        <f t="shared" si="4"/>
        <v>268</v>
      </c>
      <c r="C278" s="1">
        <v>1</v>
      </c>
      <c r="D278" s="1" t="s">
        <v>220</v>
      </c>
      <c r="E278" s="1" t="s">
        <v>52</v>
      </c>
      <c r="F278" s="1" t="s">
        <v>321</v>
      </c>
      <c r="G278" s="1" t="s">
        <v>321</v>
      </c>
      <c r="H278" s="1" t="s">
        <v>394</v>
      </c>
      <c r="I278" s="1"/>
      <c r="J278" s="1" t="s">
        <v>87</v>
      </c>
      <c r="K278" s="1" t="s">
        <v>491</v>
      </c>
      <c r="L278" s="1" t="s">
        <v>11</v>
      </c>
      <c r="M278" s="1">
        <v>0</v>
      </c>
      <c r="N278" s="1">
        <v>4</v>
      </c>
      <c r="O278" s="1">
        <v>0</v>
      </c>
      <c r="P278" s="1">
        <v>0</v>
      </c>
      <c r="Q278" s="1">
        <v>0</v>
      </c>
      <c r="R278" s="1">
        <v>0</v>
      </c>
      <c r="S278" s="1">
        <v>0</v>
      </c>
      <c r="T278" s="1">
        <v>0</v>
      </c>
      <c r="U278" s="1">
        <v>4</v>
      </c>
      <c r="V278" s="1">
        <v>0</v>
      </c>
      <c r="W278" s="1">
        <v>0</v>
      </c>
      <c r="X278" s="1">
        <v>0</v>
      </c>
      <c r="Y278" s="1">
        <v>0</v>
      </c>
      <c r="Z278" s="1">
        <v>0</v>
      </c>
      <c r="AA278" s="55">
        <v>4</v>
      </c>
      <c r="AB278" s="55"/>
      <c r="AC278" s="55"/>
      <c r="AD278" s="55">
        <v>4</v>
      </c>
      <c r="AE278" s="55"/>
      <c r="AF278" s="55">
        <v>3</v>
      </c>
      <c r="AG278" s="1">
        <v>0</v>
      </c>
      <c r="AH278" s="1">
        <v>0</v>
      </c>
      <c r="AI278" s="1">
        <v>0</v>
      </c>
      <c r="AJ278" s="1">
        <v>0</v>
      </c>
      <c r="AK278" s="1" t="s">
        <v>21</v>
      </c>
      <c r="AL278" s="1" t="s">
        <v>32</v>
      </c>
      <c r="AM278" s="17">
        <v>44984</v>
      </c>
      <c r="AN278" s="18" t="s">
        <v>417</v>
      </c>
      <c r="AO278" s="18"/>
      <c r="AP278" s="18"/>
      <c r="AQ278" s="18"/>
      <c r="AS278" s="10"/>
    </row>
    <row r="279" spans="2:45">
      <c r="B279" s="1">
        <f t="shared" si="4"/>
        <v>269</v>
      </c>
      <c r="C279" s="1">
        <v>1</v>
      </c>
      <c r="D279" s="1" t="s">
        <v>220</v>
      </c>
      <c r="E279" s="1" t="s">
        <v>52</v>
      </c>
      <c r="F279" s="1" t="s">
        <v>321</v>
      </c>
      <c r="G279" s="1" t="s">
        <v>321</v>
      </c>
      <c r="H279" s="1" t="s">
        <v>395</v>
      </c>
      <c r="I279" s="1"/>
      <c r="J279" s="1" t="s">
        <v>86</v>
      </c>
      <c r="K279" s="1" t="s">
        <v>491</v>
      </c>
      <c r="L279" s="1" t="s">
        <v>11</v>
      </c>
      <c r="M279" s="1">
        <v>0</v>
      </c>
      <c r="N279" s="1">
        <v>4</v>
      </c>
      <c r="O279" s="1">
        <v>0</v>
      </c>
      <c r="P279" s="1">
        <v>0</v>
      </c>
      <c r="Q279" s="1">
        <v>0</v>
      </c>
      <c r="R279" s="1">
        <v>0</v>
      </c>
      <c r="S279" s="1">
        <v>0</v>
      </c>
      <c r="T279" s="1">
        <v>0</v>
      </c>
      <c r="U279" s="1">
        <v>4</v>
      </c>
      <c r="V279" s="1">
        <v>0</v>
      </c>
      <c r="W279" s="1">
        <v>0</v>
      </c>
      <c r="X279" s="1">
        <v>0</v>
      </c>
      <c r="Y279" s="1">
        <v>0</v>
      </c>
      <c r="Z279" s="1">
        <v>0</v>
      </c>
      <c r="AA279" s="55">
        <v>4</v>
      </c>
      <c r="AB279" s="55"/>
      <c r="AC279" s="55"/>
      <c r="AD279" s="55">
        <v>4</v>
      </c>
      <c r="AE279" s="55"/>
      <c r="AF279" s="55">
        <v>3</v>
      </c>
      <c r="AG279" s="1">
        <v>0</v>
      </c>
      <c r="AH279" s="1">
        <v>0</v>
      </c>
      <c r="AI279" s="1">
        <v>0</v>
      </c>
      <c r="AJ279" s="1">
        <v>0</v>
      </c>
      <c r="AK279" s="1" t="s">
        <v>21</v>
      </c>
      <c r="AL279" s="1" t="s">
        <v>32</v>
      </c>
      <c r="AM279" s="17">
        <v>44984</v>
      </c>
      <c r="AN279" s="18" t="s">
        <v>417</v>
      </c>
      <c r="AO279" s="18"/>
      <c r="AP279" s="18"/>
      <c r="AQ279" s="18"/>
      <c r="AS279" s="10"/>
    </row>
    <row r="280" spans="2:45">
      <c r="B280" s="1">
        <f t="shared" si="4"/>
        <v>270</v>
      </c>
      <c r="C280" s="1">
        <v>0</v>
      </c>
      <c r="D280" s="1" t="s">
        <v>220</v>
      </c>
      <c r="E280" s="1" t="s">
        <v>52</v>
      </c>
      <c r="F280" s="1" t="s">
        <v>321</v>
      </c>
      <c r="G280" s="1" t="s">
        <v>321</v>
      </c>
      <c r="H280" s="1" t="s">
        <v>396</v>
      </c>
      <c r="I280" s="1"/>
      <c r="J280" s="1" t="s">
        <v>85</v>
      </c>
      <c r="K280" s="1" t="s">
        <v>491</v>
      </c>
      <c r="L280" s="1" t="s">
        <v>11</v>
      </c>
      <c r="M280" s="1">
        <v>0</v>
      </c>
      <c r="N280" s="1">
        <v>4</v>
      </c>
      <c r="O280" s="1">
        <v>0</v>
      </c>
      <c r="P280" s="1">
        <v>0</v>
      </c>
      <c r="Q280" s="1">
        <v>0</v>
      </c>
      <c r="R280" s="1">
        <v>0</v>
      </c>
      <c r="S280" s="1">
        <v>0</v>
      </c>
      <c r="T280" s="1">
        <v>0</v>
      </c>
      <c r="U280" s="1">
        <v>4</v>
      </c>
      <c r="V280" s="1">
        <v>0</v>
      </c>
      <c r="W280" s="1">
        <v>0</v>
      </c>
      <c r="X280" s="1">
        <v>0</v>
      </c>
      <c r="Y280" s="1">
        <v>0</v>
      </c>
      <c r="Z280" s="1">
        <v>0</v>
      </c>
      <c r="AA280" s="55">
        <v>4</v>
      </c>
      <c r="AB280" s="55"/>
      <c r="AC280" s="55"/>
      <c r="AD280" s="55">
        <v>4</v>
      </c>
      <c r="AE280" s="55"/>
      <c r="AF280" s="55"/>
      <c r="AG280" s="1">
        <v>0</v>
      </c>
      <c r="AH280" s="1">
        <v>0</v>
      </c>
      <c r="AI280" s="1"/>
      <c r="AJ280" s="1">
        <v>0</v>
      </c>
      <c r="AK280" s="1" t="s">
        <v>32</v>
      </c>
      <c r="AL280" s="1" t="s">
        <v>32</v>
      </c>
      <c r="AM280" s="17"/>
      <c r="AN280" s="18"/>
      <c r="AO280" s="18"/>
      <c r="AP280" s="18"/>
      <c r="AQ280" s="18"/>
      <c r="AR280" s="10" t="s">
        <v>343</v>
      </c>
      <c r="AS280" s="10"/>
    </row>
    <row r="281" spans="2:45">
      <c r="B281" s="1">
        <f t="shared" si="4"/>
        <v>271</v>
      </c>
      <c r="C281" s="1">
        <v>1</v>
      </c>
      <c r="D281" s="1" t="s">
        <v>220</v>
      </c>
      <c r="E281" s="1" t="s">
        <v>52</v>
      </c>
      <c r="F281" s="1" t="s">
        <v>321</v>
      </c>
      <c r="G281" s="1" t="s">
        <v>321</v>
      </c>
      <c r="H281" s="1" t="s">
        <v>397</v>
      </c>
      <c r="I281" s="1"/>
      <c r="J281" s="1" t="s">
        <v>85</v>
      </c>
      <c r="K281" s="1" t="s">
        <v>491</v>
      </c>
      <c r="L281" s="1" t="s">
        <v>11</v>
      </c>
      <c r="M281" s="1">
        <v>0</v>
      </c>
      <c r="N281" s="1">
        <v>4</v>
      </c>
      <c r="O281" s="1">
        <v>0</v>
      </c>
      <c r="P281" s="1">
        <v>0</v>
      </c>
      <c r="Q281" s="1">
        <v>0</v>
      </c>
      <c r="R281" s="1">
        <v>0</v>
      </c>
      <c r="S281" s="1">
        <v>0</v>
      </c>
      <c r="T281" s="1">
        <v>0</v>
      </c>
      <c r="U281" s="1">
        <v>4</v>
      </c>
      <c r="V281" s="1">
        <v>0</v>
      </c>
      <c r="W281" s="1">
        <v>0</v>
      </c>
      <c r="X281" s="1">
        <v>0</v>
      </c>
      <c r="Y281" s="1">
        <v>0</v>
      </c>
      <c r="Z281" s="1">
        <v>0</v>
      </c>
      <c r="AA281" s="55">
        <v>4</v>
      </c>
      <c r="AB281" s="55"/>
      <c r="AC281" s="55"/>
      <c r="AD281" s="55">
        <v>4</v>
      </c>
      <c r="AE281" s="55"/>
      <c r="AF281" s="55">
        <v>3</v>
      </c>
      <c r="AG281" s="1">
        <v>0</v>
      </c>
      <c r="AH281" s="1">
        <v>0</v>
      </c>
      <c r="AI281" s="1">
        <v>0</v>
      </c>
      <c r="AJ281" s="1">
        <v>0</v>
      </c>
      <c r="AK281" s="1" t="s">
        <v>21</v>
      </c>
      <c r="AL281" s="1" t="s">
        <v>32</v>
      </c>
      <c r="AM281" s="17">
        <v>44984</v>
      </c>
      <c r="AN281" s="18" t="s">
        <v>417</v>
      </c>
      <c r="AO281" s="18"/>
      <c r="AP281" s="18"/>
      <c r="AQ281" s="18"/>
      <c r="AS281" s="10"/>
    </row>
    <row r="282" spans="2:45">
      <c r="B282" s="1">
        <f t="shared" si="4"/>
        <v>272</v>
      </c>
      <c r="C282" s="1">
        <v>0</v>
      </c>
      <c r="D282" s="1" t="s">
        <v>186</v>
      </c>
      <c r="E282" s="1" t="s">
        <v>186</v>
      </c>
      <c r="F282" s="1" t="s">
        <v>19</v>
      </c>
      <c r="G282" s="1"/>
      <c r="H282" s="1" t="s">
        <v>399</v>
      </c>
      <c r="I282" s="1"/>
      <c r="J282" s="1" t="s">
        <v>87</v>
      </c>
      <c r="K282" s="1" t="s">
        <v>340</v>
      </c>
      <c r="L282" s="1" t="s">
        <v>408</v>
      </c>
      <c r="M282" s="1">
        <v>0</v>
      </c>
      <c r="N282" s="1">
        <v>0</v>
      </c>
      <c r="O282" s="1">
        <v>0</v>
      </c>
      <c r="P282" s="1">
        <v>0</v>
      </c>
      <c r="Q282" s="1">
        <v>0</v>
      </c>
      <c r="R282" s="1">
        <v>0</v>
      </c>
      <c r="S282" s="1">
        <v>0</v>
      </c>
      <c r="T282" s="1">
        <v>0</v>
      </c>
      <c r="U282" s="1">
        <v>0</v>
      </c>
      <c r="V282" s="1">
        <v>0</v>
      </c>
      <c r="W282" s="1">
        <v>0</v>
      </c>
      <c r="X282" s="1">
        <v>4</v>
      </c>
      <c r="Y282" s="1">
        <v>0</v>
      </c>
      <c r="Z282" s="1">
        <v>3</v>
      </c>
      <c r="AA282" s="55">
        <v>0</v>
      </c>
      <c r="AB282" s="55"/>
      <c r="AC282" s="55"/>
      <c r="AD282" s="55"/>
      <c r="AE282" s="55">
        <v>4</v>
      </c>
      <c r="AF282" s="55">
        <v>0</v>
      </c>
      <c r="AG282" s="1">
        <v>0</v>
      </c>
      <c r="AH282" s="1">
        <v>0</v>
      </c>
      <c r="AI282" s="1">
        <v>0</v>
      </c>
      <c r="AJ282" s="1">
        <v>0</v>
      </c>
      <c r="AK282" s="1" t="s">
        <v>21</v>
      </c>
      <c r="AL282" s="1" t="s">
        <v>21</v>
      </c>
      <c r="AM282" s="17"/>
      <c r="AN282" s="18"/>
      <c r="AO282" s="18"/>
      <c r="AP282" s="18"/>
      <c r="AQ282" s="18"/>
      <c r="AS282" s="10"/>
    </row>
    <row r="283" spans="2:45" s="53" customFormat="1" ht="15" customHeight="1">
      <c r="B283" s="1">
        <f t="shared" si="4"/>
        <v>273</v>
      </c>
      <c r="C283" s="1">
        <v>0</v>
      </c>
      <c r="D283" s="1" t="s">
        <v>186</v>
      </c>
      <c r="E283" s="1" t="s">
        <v>186</v>
      </c>
      <c r="F283" s="1" t="s">
        <v>109</v>
      </c>
      <c r="G283" s="1"/>
      <c r="H283" s="1" t="s">
        <v>400</v>
      </c>
      <c r="I283" s="1"/>
      <c r="J283" s="1" t="s">
        <v>87</v>
      </c>
      <c r="K283" s="1" t="s">
        <v>340</v>
      </c>
      <c r="L283" s="1" t="s">
        <v>330</v>
      </c>
      <c r="M283" s="1">
        <v>0</v>
      </c>
      <c r="N283" s="1">
        <v>0</v>
      </c>
      <c r="O283" s="1">
        <v>0</v>
      </c>
      <c r="P283" s="1">
        <v>0</v>
      </c>
      <c r="Q283" s="1">
        <v>0</v>
      </c>
      <c r="R283" s="1">
        <v>0</v>
      </c>
      <c r="S283" s="1">
        <v>0</v>
      </c>
      <c r="T283" s="1">
        <v>0</v>
      </c>
      <c r="U283" s="1">
        <v>0</v>
      </c>
      <c r="V283" s="1">
        <v>0</v>
      </c>
      <c r="W283" s="1">
        <v>0</v>
      </c>
      <c r="X283" s="1">
        <v>4</v>
      </c>
      <c r="Y283" s="1">
        <v>0</v>
      </c>
      <c r="Z283" s="1">
        <v>1</v>
      </c>
      <c r="AA283" s="55">
        <v>0</v>
      </c>
      <c r="AB283" s="55"/>
      <c r="AC283" s="55"/>
      <c r="AD283" s="55"/>
      <c r="AE283" s="55"/>
      <c r="AF283" s="55">
        <v>0</v>
      </c>
      <c r="AG283" s="1">
        <v>0</v>
      </c>
      <c r="AH283" s="1">
        <v>0</v>
      </c>
      <c r="AI283" s="1"/>
      <c r="AJ283" s="1">
        <v>0</v>
      </c>
      <c r="AK283" s="1" t="s">
        <v>32</v>
      </c>
      <c r="AL283" s="1" t="s">
        <v>32</v>
      </c>
      <c r="AM283" s="17"/>
      <c r="AN283" s="18"/>
      <c r="AO283" s="18"/>
      <c r="AP283" s="18"/>
      <c r="AQ283" s="18"/>
      <c r="AR283" s="10"/>
      <c r="AS283" s="50"/>
    </row>
    <row r="284" spans="2:45" s="53" customFormat="1" ht="15" customHeight="1">
      <c r="B284" s="1">
        <f t="shared" si="4"/>
        <v>274</v>
      </c>
      <c r="C284" s="47">
        <v>1</v>
      </c>
      <c r="D284" s="47" t="s">
        <v>283</v>
      </c>
      <c r="E284" s="47" t="s">
        <v>52</v>
      </c>
      <c r="F284" s="47" t="s">
        <v>238</v>
      </c>
      <c r="G284" s="47" t="s">
        <v>238</v>
      </c>
      <c r="H284" s="47" t="s">
        <v>406</v>
      </c>
      <c r="I284" s="47"/>
      <c r="J284" s="47" t="s">
        <v>85</v>
      </c>
      <c r="K284" s="47" t="s">
        <v>312</v>
      </c>
      <c r="L284" s="47" t="s">
        <v>408</v>
      </c>
      <c r="M284" s="47"/>
      <c r="N284" s="47"/>
      <c r="O284" s="47"/>
      <c r="P284" s="47"/>
      <c r="Q284" s="47"/>
      <c r="R284" s="47"/>
      <c r="S284" s="47"/>
      <c r="T284" s="47"/>
      <c r="U284" s="47"/>
      <c r="V284" s="47"/>
      <c r="W284" s="47"/>
      <c r="X284" s="1">
        <v>3</v>
      </c>
      <c r="Y284" s="47">
        <v>4</v>
      </c>
      <c r="Z284" s="47">
        <v>3</v>
      </c>
      <c r="AA284" s="1"/>
      <c r="AB284" s="1"/>
      <c r="AC284" s="1"/>
      <c r="AD284" s="1"/>
      <c r="AE284" s="1">
        <v>3</v>
      </c>
      <c r="AF284" s="1"/>
      <c r="AG284" s="1"/>
      <c r="AH284" s="1">
        <v>0</v>
      </c>
      <c r="AI284" s="1">
        <v>0</v>
      </c>
      <c r="AJ284" s="1">
        <v>0</v>
      </c>
      <c r="AK284" s="1" t="s">
        <v>21</v>
      </c>
      <c r="AL284" s="1" t="s">
        <v>21</v>
      </c>
      <c r="AM284" s="48" t="s">
        <v>412</v>
      </c>
      <c r="AN284" s="49" t="s">
        <v>410</v>
      </c>
      <c r="AO284" s="49"/>
      <c r="AP284" s="49"/>
      <c r="AQ284" s="49"/>
      <c r="AR284" s="50" t="s">
        <v>405</v>
      </c>
      <c r="AS284" s="50"/>
    </row>
    <row r="285" spans="2:45" ht="15" customHeight="1">
      <c r="B285" s="1">
        <f t="shared" si="4"/>
        <v>275</v>
      </c>
      <c r="C285" s="47">
        <v>1</v>
      </c>
      <c r="D285" s="47" t="s">
        <v>187</v>
      </c>
      <c r="E285" s="47" t="s">
        <v>347</v>
      </c>
      <c r="F285" s="47" t="s">
        <v>407</v>
      </c>
      <c r="G285" s="47" t="s">
        <v>407</v>
      </c>
      <c r="H285" s="47" t="s">
        <v>446</v>
      </c>
      <c r="I285" s="47"/>
      <c r="J285" s="47" t="s">
        <v>87</v>
      </c>
      <c r="K285" s="47" t="s">
        <v>312</v>
      </c>
      <c r="L285" s="47" t="s">
        <v>408</v>
      </c>
      <c r="M285" s="47"/>
      <c r="N285" s="47"/>
      <c r="O285" s="47"/>
      <c r="P285" s="47"/>
      <c r="Q285" s="47"/>
      <c r="R285" s="47"/>
      <c r="S285" s="47"/>
      <c r="T285" s="47"/>
      <c r="U285" s="47"/>
      <c r="V285" s="47"/>
      <c r="W285" s="47"/>
      <c r="X285" s="1"/>
      <c r="Y285" s="47">
        <v>4</v>
      </c>
      <c r="Z285" s="47">
        <v>1</v>
      </c>
      <c r="AA285" s="1"/>
      <c r="AB285" s="1"/>
      <c r="AC285" s="1"/>
      <c r="AD285" s="1"/>
      <c r="AE285" s="1">
        <v>3</v>
      </c>
      <c r="AF285" s="1"/>
      <c r="AG285" s="1"/>
      <c r="AH285" s="1">
        <v>0</v>
      </c>
      <c r="AI285" s="1">
        <v>0</v>
      </c>
      <c r="AJ285" s="1">
        <v>0</v>
      </c>
      <c r="AK285" s="1" t="s">
        <v>21</v>
      </c>
      <c r="AL285" s="1" t="s">
        <v>21</v>
      </c>
      <c r="AM285" s="48" t="s">
        <v>409</v>
      </c>
      <c r="AN285" s="49" t="s">
        <v>410</v>
      </c>
      <c r="AO285" s="49"/>
      <c r="AP285" s="49"/>
      <c r="AQ285" s="49"/>
      <c r="AR285" s="50" t="s">
        <v>485</v>
      </c>
      <c r="AS285" s="10"/>
    </row>
    <row r="286" spans="2:45">
      <c r="B286" s="1">
        <f t="shared" si="4"/>
        <v>276</v>
      </c>
      <c r="C286" s="1">
        <v>0</v>
      </c>
      <c r="D286" s="1" t="s">
        <v>196</v>
      </c>
      <c r="E286" s="1" t="s">
        <v>196</v>
      </c>
      <c r="F286" s="1" t="s">
        <v>438</v>
      </c>
      <c r="G286" s="1"/>
      <c r="H286" s="1" t="s">
        <v>483</v>
      </c>
      <c r="I286" s="1"/>
      <c r="J286" s="1" t="s">
        <v>85</v>
      </c>
      <c r="K286" s="1" t="s">
        <v>340</v>
      </c>
      <c r="L286" s="1" t="s">
        <v>408</v>
      </c>
      <c r="M286" s="1">
        <v>0</v>
      </c>
      <c r="N286" s="1">
        <v>0</v>
      </c>
      <c r="O286" s="1">
        <v>0</v>
      </c>
      <c r="P286" s="1">
        <v>0</v>
      </c>
      <c r="Q286" s="1">
        <v>0</v>
      </c>
      <c r="R286" s="1">
        <v>0</v>
      </c>
      <c r="S286" s="1">
        <v>0</v>
      </c>
      <c r="T286" s="1">
        <v>0</v>
      </c>
      <c r="U286" s="1">
        <v>0</v>
      </c>
      <c r="V286" s="1">
        <v>0</v>
      </c>
      <c r="W286" s="1">
        <v>0</v>
      </c>
      <c r="X286" s="1">
        <v>4</v>
      </c>
      <c r="Y286" s="1">
        <v>0</v>
      </c>
      <c r="Z286" s="1">
        <v>0</v>
      </c>
      <c r="AA286" s="55">
        <v>0</v>
      </c>
      <c r="AB286" s="55"/>
      <c r="AC286" s="55"/>
      <c r="AD286" s="55"/>
      <c r="AE286" s="55">
        <v>3</v>
      </c>
      <c r="AF286" s="55">
        <v>0</v>
      </c>
      <c r="AG286" s="1">
        <v>0</v>
      </c>
      <c r="AH286" s="1">
        <v>0</v>
      </c>
      <c r="AI286" s="1">
        <v>0</v>
      </c>
      <c r="AJ286" s="1">
        <v>0</v>
      </c>
      <c r="AK286" s="1" t="s">
        <v>32</v>
      </c>
      <c r="AL286" s="1" t="s">
        <v>32</v>
      </c>
      <c r="AM286" s="17"/>
      <c r="AN286" s="18"/>
      <c r="AO286" s="18"/>
      <c r="AP286" s="18"/>
      <c r="AQ286" s="18"/>
      <c r="AS286" s="10"/>
    </row>
    <row r="287" spans="2:45">
      <c r="B287" s="1">
        <f t="shared" si="4"/>
        <v>277</v>
      </c>
      <c r="C287" s="1">
        <v>0</v>
      </c>
      <c r="D287" s="1" t="s">
        <v>177</v>
      </c>
      <c r="E287" s="1" t="s">
        <v>439</v>
      </c>
      <c r="F287" s="1" t="s">
        <v>176</v>
      </c>
      <c r="G287" s="1"/>
      <c r="H287" s="1" t="s">
        <v>440</v>
      </c>
      <c r="I287" s="1"/>
      <c r="J287" s="1" t="s">
        <v>85</v>
      </c>
      <c r="K287" s="1" t="s">
        <v>340</v>
      </c>
      <c r="L287" s="1" t="s">
        <v>408</v>
      </c>
      <c r="M287" s="1">
        <v>0</v>
      </c>
      <c r="N287" s="1">
        <v>0</v>
      </c>
      <c r="O287" s="1">
        <v>0</v>
      </c>
      <c r="P287" s="1">
        <v>0</v>
      </c>
      <c r="Q287" s="1">
        <v>0</v>
      </c>
      <c r="R287" s="1">
        <v>0</v>
      </c>
      <c r="S287" s="1">
        <v>0</v>
      </c>
      <c r="T287" s="1">
        <v>0</v>
      </c>
      <c r="U287" s="1">
        <v>0</v>
      </c>
      <c r="V287" s="1">
        <v>0</v>
      </c>
      <c r="W287" s="1">
        <v>0</v>
      </c>
      <c r="X287" s="1">
        <v>4</v>
      </c>
      <c r="Y287" s="1">
        <v>0</v>
      </c>
      <c r="Z287" s="1">
        <v>0</v>
      </c>
      <c r="AA287" s="55">
        <v>0</v>
      </c>
      <c r="AB287" s="55"/>
      <c r="AC287" s="55"/>
      <c r="AD287" s="55"/>
      <c r="AE287" s="55">
        <v>4</v>
      </c>
      <c r="AF287" s="55">
        <v>0</v>
      </c>
      <c r="AG287" s="1">
        <v>0</v>
      </c>
      <c r="AH287" s="1">
        <v>0</v>
      </c>
      <c r="AI287" s="1">
        <v>0</v>
      </c>
      <c r="AJ287" s="1">
        <v>0</v>
      </c>
      <c r="AK287" s="1" t="s">
        <v>32</v>
      </c>
      <c r="AL287" s="1" t="s">
        <v>32</v>
      </c>
      <c r="AM287" s="17"/>
      <c r="AN287" s="18"/>
      <c r="AO287" s="18"/>
      <c r="AP287" s="18"/>
      <c r="AQ287" s="18"/>
      <c r="AS287" s="10"/>
    </row>
    <row r="288" spans="2:45" s="51" customFormat="1" ht="15" customHeight="1">
      <c r="B288" s="1">
        <f t="shared" si="4"/>
        <v>278</v>
      </c>
      <c r="C288" s="1">
        <v>1</v>
      </c>
      <c r="D288" s="1" t="s">
        <v>187</v>
      </c>
      <c r="E288" s="1" t="s">
        <v>347</v>
      </c>
      <c r="F288" s="1" t="s">
        <v>45</v>
      </c>
      <c r="G288" s="1" t="s">
        <v>488</v>
      </c>
      <c r="H288" s="1" t="s">
        <v>501</v>
      </c>
      <c r="I288" s="1"/>
      <c r="J288" s="1" t="s">
        <v>85</v>
      </c>
      <c r="K288" s="1" t="s">
        <v>312</v>
      </c>
      <c r="L288" s="47" t="s">
        <v>408</v>
      </c>
      <c r="M288" s="1">
        <v>3</v>
      </c>
      <c r="N288" s="1">
        <v>2</v>
      </c>
      <c r="O288" s="1">
        <v>4</v>
      </c>
      <c r="P288" s="1">
        <v>2</v>
      </c>
      <c r="Q288" s="1">
        <v>1</v>
      </c>
      <c r="R288" s="1">
        <v>3</v>
      </c>
      <c r="S288" s="1"/>
      <c r="T288" s="1">
        <v>2</v>
      </c>
      <c r="U288" s="1">
        <v>1</v>
      </c>
      <c r="V288" s="1">
        <v>3</v>
      </c>
      <c r="W288" s="1">
        <v>3</v>
      </c>
      <c r="X288" s="1"/>
      <c r="Y288" s="1">
        <v>4</v>
      </c>
      <c r="Z288" s="1">
        <v>3</v>
      </c>
      <c r="AA288" s="55"/>
      <c r="AB288" s="55"/>
      <c r="AC288" s="55"/>
      <c r="AD288" s="55"/>
      <c r="AE288" s="55">
        <v>3</v>
      </c>
      <c r="AF288" s="55"/>
      <c r="AG288" s="1"/>
      <c r="AH288" s="1">
        <v>0</v>
      </c>
      <c r="AI288" s="1">
        <v>0</v>
      </c>
      <c r="AJ288" s="1">
        <v>0</v>
      </c>
      <c r="AK288" s="1" t="s">
        <v>21</v>
      </c>
      <c r="AL288" s="1" t="s">
        <v>21</v>
      </c>
      <c r="AM288" s="17" t="s">
        <v>451</v>
      </c>
      <c r="AN288" s="18" t="s">
        <v>410</v>
      </c>
      <c r="AO288" s="18"/>
      <c r="AP288" s="18"/>
      <c r="AQ288" s="18"/>
      <c r="AR288" s="10" t="s">
        <v>489</v>
      </c>
    </row>
    <row r="289" spans="2:45" s="51" customFormat="1" ht="15" customHeight="1">
      <c r="B289" s="1">
        <f t="shared" si="4"/>
        <v>279</v>
      </c>
      <c r="C289" s="47">
        <v>1</v>
      </c>
      <c r="D289" s="47" t="s">
        <v>187</v>
      </c>
      <c r="E289" s="47" t="s">
        <v>347</v>
      </c>
      <c r="F289" s="47" t="s">
        <v>45</v>
      </c>
      <c r="G289" s="47" t="s">
        <v>45</v>
      </c>
      <c r="H289" s="47" t="s">
        <v>450</v>
      </c>
      <c r="I289" s="47"/>
      <c r="J289" s="47" t="s">
        <v>85</v>
      </c>
      <c r="K289" s="47" t="s">
        <v>312</v>
      </c>
      <c r="L289" s="47" t="s">
        <v>408</v>
      </c>
      <c r="M289" s="47"/>
      <c r="N289" s="47"/>
      <c r="O289" s="47"/>
      <c r="P289" s="47"/>
      <c r="Q289" s="47"/>
      <c r="R289" s="47"/>
      <c r="S289" s="47"/>
      <c r="T289" s="47"/>
      <c r="U289" s="47"/>
      <c r="V289" s="47"/>
      <c r="W289" s="47"/>
      <c r="X289" s="1"/>
      <c r="Y289" s="47">
        <v>4</v>
      </c>
      <c r="Z289" s="47">
        <v>3</v>
      </c>
      <c r="AA289" s="1"/>
      <c r="AB289" s="1"/>
      <c r="AC289" s="1"/>
      <c r="AD289" s="1"/>
      <c r="AE289" s="1">
        <v>3</v>
      </c>
      <c r="AF289" s="1"/>
      <c r="AG289" s="1"/>
      <c r="AH289" s="1">
        <v>0</v>
      </c>
      <c r="AI289" s="1">
        <v>0</v>
      </c>
      <c r="AJ289" s="1">
        <v>0</v>
      </c>
      <c r="AK289" s="1" t="s">
        <v>32</v>
      </c>
      <c r="AL289" s="1" t="s">
        <v>21</v>
      </c>
      <c r="AM289" s="17" t="s">
        <v>451</v>
      </c>
      <c r="AN289" s="49" t="s">
        <v>410</v>
      </c>
      <c r="AO289" s="49"/>
      <c r="AP289" s="49"/>
      <c r="AQ289" s="49"/>
      <c r="AR289" s="50" t="s">
        <v>449</v>
      </c>
    </row>
    <row r="290" spans="2:45" s="51" customFormat="1" ht="15" customHeight="1">
      <c r="B290" s="1">
        <f t="shared" si="4"/>
        <v>280</v>
      </c>
      <c r="C290" s="47">
        <v>1</v>
      </c>
      <c r="D290" s="47" t="s">
        <v>187</v>
      </c>
      <c r="E290" s="47" t="s">
        <v>347</v>
      </c>
      <c r="F290" s="47" t="s">
        <v>45</v>
      </c>
      <c r="G290" s="47" t="s">
        <v>45</v>
      </c>
      <c r="H290" s="47" t="s">
        <v>441</v>
      </c>
      <c r="I290" s="47"/>
      <c r="J290" s="47" t="s">
        <v>85</v>
      </c>
      <c r="K290" s="47" t="s">
        <v>312</v>
      </c>
      <c r="L290" s="47" t="s">
        <v>408</v>
      </c>
      <c r="M290" s="47"/>
      <c r="N290" s="47"/>
      <c r="O290" s="47"/>
      <c r="P290" s="47"/>
      <c r="Q290" s="47"/>
      <c r="R290" s="47"/>
      <c r="S290" s="47"/>
      <c r="T290" s="47"/>
      <c r="U290" s="47"/>
      <c r="V290" s="47"/>
      <c r="W290" s="47"/>
      <c r="X290" s="1"/>
      <c r="Y290" s="47">
        <v>4</v>
      </c>
      <c r="Z290" s="47">
        <v>3</v>
      </c>
      <c r="AA290" s="1"/>
      <c r="AB290" s="1"/>
      <c r="AC290" s="1"/>
      <c r="AD290" s="1"/>
      <c r="AE290" s="1">
        <v>3</v>
      </c>
      <c r="AF290" s="1"/>
      <c r="AG290" s="1"/>
      <c r="AH290" s="1">
        <v>0</v>
      </c>
      <c r="AI290" s="1">
        <v>0</v>
      </c>
      <c r="AJ290" s="1">
        <v>0</v>
      </c>
      <c r="AK290" s="1" t="s">
        <v>32</v>
      </c>
      <c r="AL290" s="1" t="s">
        <v>21</v>
      </c>
      <c r="AM290" s="17" t="s">
        <v>451</v>
      </c>
      <c r="AN290" s="49" t="s">
        <v>410</v>
      </c>
      <c r="AO290" s="49"/>
      <c r="AP290" s="49"/>
      <c r="AQ290" s="49"/>
      <c r="AR290" s="50" t="s">
        <v>448</v>
      </c>
    </row>
    <row r="291" spans="2:45" s="51" customFormat="1" ht="15" customHeight="1">
      <c r="B291" s="1">
        <f t="shared" si="4"/>
        <v>281</v>
      </c>
      <c r="C291" s="47">
        <v>1</v>
      </c>
      <c r="D291" s="47" t="s">
        <v>187</v>
      </c>
      <c r="E291" s="47" t="s">
        <v>347</v>
      </c>
      <c r="F291" s="47" t="s">
        <v>45</v>
      </c>
      <c r="G291" s="47" t="s">
        <v>45</v>
      </c>
      <c r="H291" s="47" t="s">
        <v>442</v>
      </c>
      <c r="I291" s="47"/>
      <c r="J291" s="47" t="s">
        <v>87</v>
      </c>
      <c r="K291" s="47" t="s">
        <v>312</v>
      </c>
      <c r="L291" s="47" t="s">
        <v>408</v>
      </c>
      <c r="M291" s="47"/>
      <c r="N291" s="47"/>
      <c r="O291" s="47"/>
      <c r="P291" s="47"/>
      <c r="Q291" s="47"/>
      <c r="R291" s="47"/>
      <c r="S291" s="47"/>
      <c r="T291" s="47"/>
      <c r="U291" s="47"/>
      <c r="V291" s="47"/>
      <c r="W291" s="47"/>
      <c r="X291" s="1"/>
      <c r="Y291" s="47">
        <v>4</v>
      </c>
      <c r="Z291" s="47">
        <v>3</v>
      </c>
      <c r="AA291" s="1"/>
      <c r="AB291" s="1"/>
      <c r="AC291" s="1"/>
      <c r="AD291" s="1"/>
      <c r="AE291" s="1">
        <v>3</v>
      </c>
      <c r="AF291" s="1"/>
      <c r="AG291" s="1"/>
      <c r="AH291" s="1">
        <v>0</v>
      </c>
      <c r="AI291" s="1">
        <v>0</v>
      </c>
      <c r="AJ291" s="1">
        <v>0</v>
      </c>
      <c r="AK291" s="1" t="s">
        <v>32</v>
      </c>
      <c r="AL291" s="1" t="s">
        <v>21</v>
      </c>
      <c r="AM291" s="17" t="s">
        <v>528</v>
      </c>
      <c r="AN291" s="49" t="s">
        <v>410</v>
      </c>
      <c r="AO291" s="49"/>
      <c r="AP291" s="49"/>
      <c r="AQ291" s="49"/>
      <c r="AR291" s="50" t="s">
        <v>530</v>
      </c>
    </row>
    <row r="292" spans="2:45" ht="15" customHeight="1">
      <c r="B292" s="1">
        <f t="shared" si="4"/>
        <v>282</v>
      </c>
      <c r="C292" s="47">
        <v>1</v>
      </c>
      <c r="D292" s="47" t="s">
        <v>525</v>
      </c>
      <c r="E292" s="47" t="s">
        <v>294</v>
      </c>
      <c r="F292" s="47" t="s">
        <v>45</v>
      </c>
      <c r="G292" s="47" t="s">
        <v>45</v>
      </c>
      <c r="H292" s="47" t="s">
        <v>525</v>
      </c>
      <c r="I292" s="47"/>
      <c r="J292" s="47" t="s">
        <v>85</v>
      </c>
      <c r="K292" s="47" t="s">
        <v>312</v>
      </c>
      <c r="L292" s="47" t="s">
        <v>408</v>
      </c>
      <c r="M292" s="47"/>
      <c r="N292" s="47"/>
      <c r="O292" s="47"/>
      <c r="P292" s="47"/>
      <c r="Q292" s="47"/>
      <c r="R292" s="47"/>
      <c r="S292" s="47"/>
      <c r="T292" s="47"/>
      <c r="U292" s="47"/>
      <c r="V292" s="47"/>
      <c r="W292" s="47"/>
      <c r="X292" s="1"/>
      <c r="Y292" s="47">
        <v>4</v>
      </c>
      <c r="Z292" s="47">
        <v>3</v>
      </c>
      <c r="AA292" s="1"/>
      <c r="AB292" s="1"/>
      <c r="AC292" s="1"/>
      <c r="AD292" s="1"/>
      <c r="AE292" s="1">
        <v>3</v>
      </c>
      <c r="AF292" s="1"/>
      <c r="AG292" s="1"/>
      <c r="AH292" s="1">
        <v>0</v>
      </c>
      <c r="AI292" s="1">
        <v>0</v>
      </c>
      <c r="AJ292" s="1">
        <v>0</v>
      </c>
      <c r="AK292" s="1" t="s">
        <v>32</v>
      </c>
      <c r="AL292" s="1" t="s">
        <v>21</v>
      </c>
      <c r="AM292" s="17">
        <v>44726</v>
      </c>
      <c r="AN292" s="49" t="s">
        <v>408</v>
      </c>
      <c r="AO292" s="49"/>
      <c r="AP292" s="49"/>
      <c r="AQ292" s="49"/>
      <c r="AR292" s="50" t="s">
        <v>494</v>
      </c>
      <c r="AS292" s="10"/>
    </row>
    <row r="293" spans="2:45">
      <c r="B293" s="1">
        <f t="shared" si="4"/>
        <v>283</v>
      </c>
      <c r="C293" s="47">
        <v>1</v>
      </c>
      <c r="D293" s="47" t="s">
        <v>212</v>
      </c>
      <c r="E293" s="47" t="s">
        <v>91</v>
      </c>
      <c r="F293" s="47" t="s">
        <v>96</v>
      </c>
      <c r="G293" s="47" t="s">
        <v>96</v>
      </c>
      <c r="H293" s="47" t="s">
        <v>469</v>
      </c>
      <c r="I293" s="47"/>
      <c r="J293" s="47" t="s">
        <v>85</v>
      </c>
      <c r="K293" s="47" t="s">
        <v>1049</v>
      </c>
      <c r="L293" s="47" t="s">
        <v>452</v>
      </c>
      <c r="M293" s="47">
        <v>0</v>
      </c>
      <c r="N293" s="47">
        <v>0</v>
      </c>
      <c r="O293" s="47">
        <v>0</v>
      </c>
      <c r="P293" s="47">
        <v>0</v>
      </c>
      <c r="Q293" s="47">
        <v>0</v>
      </c>
      <c r="R293" s="47">
        <v>0</v>
      </c>
      <c r="S293" s="47"/>
      <c r="T293" s="47">
        <v>4</v>
      </c>
      <c r="U293" s="47">
        <v>0</v>
      </c>
      <c r="V293" s="47">
        <v>0</v>
      </c>
      <c r="W293" s="47">
        <v>0</v>
      </c>
      <c r="X293" s="1">
        <v>0</v>
      </c>
      <c r="Y293" s="47">
        <v>1</v>
      </c>
      <c r="Z293" s="47"/>
      <c r="AA293" s="55">
        <v>0</v>
      </c>
      <c r="AB293" s="1"/>
      <c r="AC293" s="1"/>
      <c r="AD293" s="1"/>
      <c r="AE293" s="55"/>
      <c r="AF293" s="55">
        <v>3</v>
      </c>
      <c r="AG293" s="1">
        <v>4</v>
      </c>
      <c r="AH293" s="1">
        <v>0</v>
      </c>
      <c r="AI293" s="1">
        <v>0</v>
      </c>
      <c r="AJ293" s="1">
        <v>4</v>
      </c>
      <c r="AK293" s="1" t="s">
        <v>21</v>
      </c>
      <c r="AL293" s="1" t="s">
        <v>32</v>
      </c>
      <c r="AM293" s="17" t="s">
        <v>1052</v>
      </c>
      <c r="AN293" s="18" t="s">
        <v>417</v>
      </c>
      <c r="AO293" s="140" t="s">
        <v>1051</v>
      </c>
      <c r="AP293" s="140" t="s">
        <v>1075</v>
      </c>
      <c r="AQ293" s="75">
        <v>1</v>
      </c>
      <c r="AR293" s="50"/>
      <c r="AS293" s="10"/>
    </row>
    <row r="294" spans="2:45">
      <c r="B294" s="1">
        <f t="shared" si="4"/>
        <v>284</v>
      </c>
      <c r="C294" s="47">
        <v>1</v>
      </c>
      <c r="D294" s="47" t="s">
        <v>212</v>
      </c>
      <c r="E294" s="47" t="s">
        <v>91</v>
      </c>
      <c r="F294" s="47" t="s">
        <v>98</v>
      </c>
      <c r="G294" s="47" t="s">
        <v>98</v>
      </c>
      <c r="H294" s="47" t="s">
        <v>470</v>
      </c>
      <c r="I294" s="47"/>
      <c r="J294" s="47" t="s">
        <v>85</v>
      </c>
      <c r="K294" s="47" t="s">
        <v>1049</v>
      </c>
      <c r="L294" s="47" t="s">
        <v>452</v>
      </c>
      <c r="M294" s="47">
        <v>0</v>
      </c>
      <c r="N294" s="47">
        <v>0</v>
      </c>
      <c r="O294" s="47">
        <v>0</v>
      </c>
      <c r="P294" s="47">
        <v>0</v>
      </c>
      <c r="Q294" s="47">
        <v>0</v>
      </c>
      <c r="R294" s="47">
        <v>0</v>
      </c>
      <c r="S294" s="47"/>
      <c r="T294" s="47">
        <v>4</v>
      </c>
      <c r="U294" s="47">
        <v>0</v>
      </c>
      <c r="V294" s="47">
        <v>0</v>
      </c>
      <c r="W294" s="47">
        <v>0</v>
      </c>
      <c r="X294" s="1">
        <v>0</v>
      </c>
      <c r="Y294" s="47">
        <v>2</v>
      </c>
      <c r="Z294" s="47"/>
      <c r="AA294" s="55">
        <v>0</v>
      </c>
      <c r="AB294" s="1"/>
      <c r="AC294" s="1"/>
      <c r="AD294" s="1"/>
      <c r="AE294" s="55"/>
      <c r="AF294" s="55">
        <v>4</v>
      </c>
      <c r="AG294" s="1">
        <v>4</v>
      </c>
      <c r="AH294" s="1">
        <v>0</v>
      </c>
      <c r="AI294" s="1">
        <v>0</v>
      </c>
      <c r="AJ294" s="1">
        <v>4</v>
      </c>
      <c r="AK294" s="1" t="s">
        <v>21</v>
      </c>
      <c r="AL294" s="1" t="s">
        <v>21</v>
      </c>
      <c r="AM294" s="17">
        <v>44967</v>
      </c>
      <c r="AN294" s="18" t="s">
        <v>417</v>
      </c>
      <c r="AO294" s="140" t="s">
        <v>1051</v>
      </c>
      <c r="AP294" s="140" t="s">
        <v>1060</v>
      </c>
      <c r="AQ294" s="75">
        <v>0.8</v>
      </c>
      <c r="AR294" s="50"/>
      <c r="AS294" s="10"/>
    </row>
    <row r="295" spans="2:45">
      <c r="B295" s="1">
        <f t="shared" si="4"/>
        <v>285</v>
      </c>
      <c r="C295" s="47">
        <v>1</v>
      </c>
      <c r="D295" s="47" t="s">
        <v>212</v>
      </c>
      <c r="E295" s="47" t="s">
        <v>91</v>
      </c>
      <c r="F295" s="47" t="s">
        <v>98</v>
      </c>
      <c r="G295" s="47" t="s">
        <v>98</v>
      </c>
      <c r="H295" s="47" t="s">
        <v>1058</v>
      </c>
      <c r="I295" s="47"/>
      <c r="J295" s="47" t="s">
        <v>85</v>
      </c>
      <c r="K295" s="47" t="s">
        <v>1049</v>
      </c>
      <c r="L295" s="47" t="s">
        <v>452</v>
      </c>
      <c r="M295" s="47">
        <v>0</v>
      </c>
      <c r="N295" s="47">
        <v>0</v>
      </c>
      <c r="O295" s="47">
        <v>0</v>
      </c>
      <c r="P295" s="47">
        <v>0</v>
      </c>
      <c r="Q295" s="47">
        <v>0</v>
      </c>
      <c r="R295" s="47">
        <v>0</v>
      </c>
      <c r="S295" s="47"/>
      <c r="T295" s="47">
        <v>4</v>
      </c>
      <c r="U295" s="47">
        <v>0</v>
      </c>
      <c r="V295" s="47">
        <v>0</v>
      </c>
      <c r="W295" s="47">
        <v>0</v>
      </c>
      <c r="X295" s="1">
        <v>0</v>
      </c>
      <c r="Y295" s="47">
        <v>2</v>
      </c>
      <c r="Z295" s="47"/>
      <c r="AA295" s="55">
        <v>0</v>
      </c>
      <c r="AB295" s="1"/>
      <c r="AC295" s="1"/>
      <c r="AD295" s="1"/>
      <c r="AE295" s="55"/>
      <c r="AF295" s="55">
        <v>4</v>
      </c>
      <c r="AG295" s="1">
        <v>4</v>
      </c>
      <c r="AH295" s="1">
        <v>0</v>
      </c>
      <c r="AI295" s="1">
        <v>0</v>
      </c>
      <c r="AJ295" s="1">
        <v>4</v>
      </c>
      <c r="AK295" s="1" t="s">
        <v>21</v>
      </c>
      <c r="AL295" s="1" t="s">
        <v>21</v>
      </c>
      <c r="AM295" s="17">
        <v>44967</v>
      </c>
      <c r="AN295" s="18" t="s">
        <v>417</v>
      </c>
      <c r="AO295" s="140" t="s">
        <v>1051</v>
      </c>
      <c r="AP295" s="140" t="s">
        <v>1060</v>
      </c>
      <c r="AQ295" s="75">
        <v>0.8</v>
      </c>
      <c r="AR295" s="50"/>
      <c r="AS295" s="10"/>
    </row>
    <row r="296" spans="2:45">
      <c r="B296" s="1">
        <f t="shared" si="4"/>
        <v>286</v>
      </c>
      <c r="C296" s="47">
        <v>1</v>
      </c>
      <c r="D296" s="47" t="s">
        <v>212</v>
      </c>
      <c r="E296" s="47" t="s">
        <v>91</v>
      </c>
      <c r="F296" s="47" t="s">
        <v>98</v>
      </c>
      <c r="G296" s="47" t="s">
        <v>98</v>
      </c>
      <c r="H296" s="47" t="s">
        <v>472</v>
      </c>
      <c r="I296" s="47"/>
      <c r="J296" s="47" t="s">
        <v>86</v>
      </c>
      <c r="K296" s="47" t="s">
        <v>1049</v>
      </c>
      <c r="L296" s="47" t="s">
        <v>452</v>
      </c>
      <c r="M296" s="47">
        <v>0</v>
      </c>
      <c r="N296" s="47">
        <v>0</v>
      </c>
      <c r="O296" s="47">
        <v>0</v>
      </c>
      <c r="P296" s="47">
        <v>0</v>
      </c>
      <c r="Q296" s="47">
        <v>0</v>
      </c>
      <c r="R296" s="47">
        <v>0</v>
      </c>
      <c r="S296" s="47"/>
      <c r="T296" s="47">
        <v>3</v>
      </c>
      <c r="U296" s="47">
        <v>0</v>
      </c>
      <c r="V296" s="47">
        <v>0</v>
      </c>
      <c r="W296" s="47">
        <v>0</v>
      </c>
      <c r="X296" s="1">
        <v>0</v>
      </c>
      <c r="Y296" s="47">
        <v>2</v>
      </c>
      <c r="Z296" s="47"/>
      <c r="AA296" s="55">
        <v>0</v>
      </c>
      <c r="AB296" s="1"/>
      <c r="AC296" s="1"/>
      <c r="AD296" s="1"/>
      <c r="AE296" s="55"/>
      <c r="AF296" s="55">
        <v>2</v>
      </c>
      <c r="AG296" s="1">
        <v>2</v>
      </c>
      <c r="AH296" s="1">
        <v>0</v>
      </c>
      <c r="AI296" s="1">
        <v>0</v>
      </c>
      <c r="AJ296" s="1">
        <v>4</v>
      </c>
      <c r="AK296" s="1" t="s">
        <v>21</v>
      </c>
      <c r="AL296" s="1" t="s">
        <v>32</v>
      </c>
      <c r="AM296" s="17">
        <v>44967</v>
      </c>
      <c r="AN296" s="18" t="s">
        <v>417</v>
      </c>
      <c r="AO296" s="140" t="s">
        <v>1051</v>
      </c>
      <c r="AP296" s="140" t="s">
        <v>1062</v>
      </c>
      <c r="AQ296" s="141">
        <v>0.5</v>
      </c>
      <c r="AR296" s="50"/>
      <c r="AS296" s="10"/>
    </row>
    <row r="297" spans="2:45">
      <c r="B297" s="1">
        <f t="shared" si="4"/>
        <v>287</v>
      </c>
      <c r="C297" s="47">
        <v>1</v>
      </c>
      <c r="D297" s="47" t="s">
        <v>212</v>
      </c>
      <c r="E297" s="47" t="s">
        <v>91</v>
      </c>
      <c r="F297" s="47" t="s">
        <v>473</v>
      </c>
      <c r="G297" s="47" t="s">
        <v>473</v>
      </c>
      <c r="H297" s="47" t="s">
        <v>474</v>
      </c>
      <c r="I297" s="47"/>
      <c r="J297" s="47" t="s">
        <v>85</v>
      </c>
      <c r="K297" s="1" t="s">
        <v>452</v>
      </c>
      <c r="L297" s="47" t="s">
        <v>312</v>
      </c>
      <c r="M297" s="47">
        <v>0</v>
      </c>
      <c r="N297" s="47">
        <v>0</v>
      </c>
      <c r="O297" s="47">
        <v>0</v>
      </c>
      <c r="P297" s="47">
        <v>0</v>
      </c>
      <c r="Q297" s="47">
        <v>0</v>
      </c>
      <c r="R297" s="47">
        <v>0</v>
      </c>
      <c r="S297" s="47"/>
      <c r="T297" s="47">
        <v>4</v>
      </c>
      <c r="U297" s="47">
        <v>0</v>
      </c>
      <c r="V297" s="47">
        <v>0</v>
      </c>
      <c r="W297" s="47">
        <v>0</v>
      </c>
      <c r="X297" s="1">
        <v>0</v>
      </c>
      <c r="Y297" s="47">
        <v>3</v>
      </c>
      <c r="Z297" s="47"/>
      <c r="AA297" s="55">
        <v>0</v>
      </c>
      <c r="AB297" s="1"/>
      <c r="AC297" s="1"/>
      <c r="AD297" s="1"/>
      <c r="AE297" s="55"/>
      <c r="AF297" s="55">
        <v>4</v>
      </c>
      <c r="AG297" s="1">
        <v>4</v>
      </c>
      <c r="AH297" s="1">
        <v>0</v>
      </c>
      <c r="AI297" s="1">
        <v>0</v>
      </c>
      <c r="AJ297" s="1">
        <v>3</v>
      </c>
      <c r="AK297" s="1" t="s">
        <v>21</v>
      </c>
      <c r="AL297" s="1" t="s">
        <v>21</v>
      </c>
      <c r="AM297" s="17">
        <v>44967</v>
      </c>
      <c r="AN297" s="18" t="s">
        <v>417</v>
      </c>
      <c r="AO297" s="140" t="s">
        <v>1141</v>
      </c>
      <c r="AP297" s="140" t="s">
        <v>1142</v>
      </c>
      <c r="AQ297" s="141">
        <v>0.9</v>
      </c>
      <c r="AR297" s="50" t="s">
        <v>1204</v>
      </c>
      <c r="AS297" s="10"/>
    </row>
    <row r="298" spans="2:45">
      <c r="B298" s="1">
        <f t="shared" si="4"/>
        <v>288</v>
      </c>
      <c r="C298" s="47">
        <v>1</v>
      </c>
      <c r="D298" s="47" t="s">
        <v>212</v>
      </c>
      <c r="E298" s="47" t="s">
        <v>91</v>
      </c>
      <c r="F298" s="47" t="s">
        <v>473</v>
      </c>
      <c r="G298" s="47" t="s">
        <v>473</v>
      </c>
      <c r="H298" s="47" t="s">
        <v>475</v>
      </c>
      <c r="I298" s="47"/>
      <c r="J298" s="47" t="s">
        <v>85</v>
      </c>
      <c r="K298" s="1" t="s">
        <v>452</v>
      </c>
      <c r="L298" s="47" t="s">
        <v>312</v>
      </c>
      <c r="M298" s="47">
        <v>0</v>
      </c>
      <c r="N298" s="47">
        <v>0</v>
      </c>
      <c r="O298" s="47">
        <v>0</v>
      </c>
      <c r="P298" s="47">
        <v>0</v>
      </c>
      <c r="Q298" s="47">
        <v>0</v>
      </c>
      <c r="R298" s="47">
        <v>0</v>
      </c>
      <c r="S298" s="47"/>
      <c r="T298" s="47">
        <v>4</v>
      </c>
      <c r="U298" s="47">
        <v>0</v>
      </c>
      <c r="V298" s="47">
        <v>0</v>
      </c>
      <c r="W298" s="47">
        <v>0</v>
      </c>
      <c r="X298" s="1">
        <v>0</v>
      </c>
      <c r="Y298" s="47">
        <v>3</v>
      </c>
      <c r="Z298" s="47"/>
      <c r="AA298" s="55">
        <v>0</v>
      </c>
      <c r="AB298" s="1"/>
      <c r="AC298" s="1"/>
      <c r="AD298" s="1"/>
      <c r="AE298" s="55"/>
      <c r="AF298" s="55">
        <v>4</v>
      </c>
      <c r="AG298" s="1">
        <v>4</v>
      </c>
      <c r="AH298" s="1">
        <v>0</v>
      </c>
      <c r="AI298" s="1">
        <v>0</v>
      </c>
      <c r="AJ298" s="1">
        <v>3</v>
      </c>
      <c r="AK298" s="1" t="s">
        <v>21</v>
      </c>
      <c r="AL298" s="1" t="s">
        <v>21</v>
      </c>
      <c r="AM298" s="17">
        <v>44967</v>
      </c>
      <c r="AN298" s="18" t="s">
        <v>417</v>
      </c>
      <c r="AO298" s="140" t="s">
        <v>1141</v>
      </c>
      <c r="AP298" s="140" t="s">
        <v>1142</v>
      </c>
      <c r="AQ298" s="141">
        <v>0.9</v>
      </c>
      <c r="AR298" s="50" t="s">
        <v>1204</v>
      </c>
      <c r="AS298" s="10"/>
    </row>
    <row r="299" spans="2:45">
      <c r="B299" s="1">
        <f t="shared" si="4"/>
        <v>289</v>
      </c>
      <c r="C299" s="47">
        <v>1</v>
      </c>
      <c r="D299" s="47" t="s">
        <v>212</v>
      </c>
      <c r="E299" s="47" t="s">
        <v>91</v>
      </c>
      <c r="F299" s="47" t="s">
        <v>473</v>
      </c>
      <c r="G299" s="47" t="s">
        <v>473</v>
      </c>
      <c r="H299" s="47" t="s">
        <v>476</v>
      </c>
      <c r="I299" s="47"/>
      <c r="J299" s="47" t="s">
        <v>85</v>
      </c>
      <c r="K299" s="1" t="s">
        <v>452</v>
      </c>
      <c r="L299" s="47" t="s">
        <v>312</v>
      </c>
      <c r="M299" s="47">
        <v>0</v>
      </c>
      <c r="N299" s="47">
        <v>0</v>
      </c>
      <c r="O299" s="47">
        <v>0</v>
      </c>
      <c r="P299" s="47">
        <v>0</v>
      </c>
      <c r="Q299" s="47">
        <v>0</v>
      </c>
      <c r="R299" s="47">
        <v>0</v>
      </c>
      <c r="S299" s="47"/>
      <c r="T299" s="47">
        <v>4</v>
      </c>
      <c r="U299" s="47">
        <v>0</v>
      </c>
      <c r="V299" s="47">
        <v>0</v>
      </c>
      <c r="W299" s="47">
        <v>0</v>
      </c>
      <c r="X299" s="1">
        <v>0</v>
      </c>
      <c r="Y299" s="47">
        <v>3</v>
      </c>
      <c r="Z299" s="47"/>
      <c r="AA299" s="55">
        <v>0</v>
      </c>
      <c r="AB299" s="1"/>
      <c r="AC299" s="1"/>
      <c r="AD299" s="1"/>
      <c r="AE299" s="55"/>
      <c r="AF299" s="55">
        <v>4</v>
      </c>
      <c r="AG299" s="1">
        <v>4</v>
      </c>
      <c r="AH299" s="1">
        <v>0</v>
      </c>
      <c r="AI299" s="1">
        <v>0</v>
      </c>
      <c r="AJ299" s="1">
        <v>3</v>
      </c>
      <c r="AK299" s="1" t="s">
        <v>21</v>
      </c>
      <c r="AL299" s="1" t="s">
        <v>21</v>
      </c>
      <c r="AM299" s="17">
        <v>44967</v>
      </c>
      <c r="AN299" s="18" t="s">
        <v>417</v>
      </c>
      <c r="AO299" s="140" t="s">
        <v>1141</v>
      </c>
      <c r="AP299" s="140" t="s">
        <v>1142</v>
      </c>
      <c r="AQ299" s="141">
        <v>0.9</v>
      </c>
      <c r="AR299" s="50" t="s">
        <v>1204</v>
      </c>
      <c r="AS299" s="10"/>
    </row>
    <row r="300" spans="2:45">
      <c r="B300" s="1">
        <f t="shared" si="4"/>
        <v>290</v>
      </c>
      <c r="C300" s="1">
        <v>1</v>
      </c>
      <c r="D300" s="47" t="s">
        <v>212</v>
      </c>
      <c r="E300" s="47" t="s">
        <v>91</v>
      </c>
      <c r="F300" s="47" t="s">
        <v>473</v>
      </c>
      <c r="G300" s="47" t="s">
        <v>473</v>
      </c>
      <c r="H300" s="47" t="s">
        <v>477</v>
      </c>
      <c r="I300" s="47"/>
      <c r="J300" s="47" t="s">
        <v>87</v>
      </c>
      <c r="K300" s="1" t="s">
        <v>452</v>
      </c>
      <c r="L300" s="47" t="s">
        <v>312</v>
      </c>
      <c r="M300" s="47">
        <v>0</v>
      </c>
      <c r="N300" s="47">
        <v>0</v>
      </c>
      <c r="O300" s="47">
        <v>0</v>
      </c>
      <c r="P300" s="47">
        <v>0</v>
      </c>
      <c r="Q300" s="47">
        <v>0</v>
      </c>
      <c r="R300" s="47">
        <v>0</v>
      </c>
      <c r="S300" s="47"/>
      <c r="T300" s="47">
        <v>4</v>
      </c>
      <c r="U300" s="47">
        <v>0</v>
      </c>
      <c r="V300" s="47">
        <v>0</v>
      </c>
      <c r="W300" s="47">
        <v>0</v>
      </c>
      <c r="X300" s="1">
        <v>0</v>
      </c>
      <c r="Y300" s="47">
        <v>3</v>
      </c>
      <c r="Z300" s="47"/>
      <c r="AA300" s="55">
        <v>0</v>
      </c>
      <c r="AB300" s="1"/>
      <c r="AC300" s="1"/>
      <c r="AD300" s="1"/>
      <c r="AE300" s="55"/>
      <c r="AF300" s="55">
        <v>4</v>
      </c>
      <c r="AG300" s="1">
        <v>4</v>
      </c>
      <c r="AH300" s="1">
        <v>0</v>
      </c>
      <c r="AI300" s="1">
        <v>0</v>
      </c>
      <c r="AJ300" s="1">
        <v>3</v>
      </c>
      <c r="AK300" s="1" t="s">
        <v>32</v>
      </c>
      <c r="AL300" s="1" t="s">
        <v>32</v>
      </c>
      <c r="AM300" s="17">
        <v>44967</v>
      </c>
      <c r="AN300" s="18" t="s">
        <v>417</v>
      </c>
      <c r="AO300" s="49"/>
      <c r="AP300" s="140" t="s">
        <v>1131</v>
      </c>
      <c r="AQ300" s="141">
        <v>0.9</v>
      </c>
      <c r="AR300" s="50" t="s">
        <v>1204</v>
      </c>
      <c r="AS300" s="10"/>
    </row>
    <row r="301" spans="2:45">
      <c r="B301" s="1">
        <f t="shared" si="4"/>
        <v>291</v>
      </c>
      <c r="C301" s="1">
        <v>1</v>
      </c>
      <c r="D301" s="47" t="s">
        <v>212</v>
      </c>
      <c r="E301" s="47" t="s">
        <v>91</v>
      </c>
      <c r="F301" s="1" t="s">
        <v>34</v>
      </c>
      <c r="G301" s="1" t="s">
        <v>34</v>
      </c>
      <c r="H301" s="1" t="s">
        <v>478</v>
      </c>
      <c r="I301" s="1"/>
      <c r="J301" s="1" t="s">
        <v>85</v>
      </c>
      <c r="K301" s="47" t="s">
        <v>1049</v>
      </c>
      <c r="L301" s="47" t="s">
        <v>452</v>
      </c>
      <c r="M301" s="47">
        <v>0</v>
      </c>
      <c r="N301" s="47">
        <v>0</v>
      </c>
      <c r="O301" s="47">
        <v>0</v>
      </c>
      <c r="P301" s="47">
        <v>0</v>
      </c>
      <c r="Q301" s="47">
        <v>0</v>
      </c>
      <c r="R301" s="47">
        <v>0</v>
      </c>
      <c r="S301" s="47"/>
      <c r="T301" s="47">
        <v>4</v>
      </c>
      <c r="U301" s="47">
        <v>0</v>
      </c>
      <c r="V301" s="47">
        <v>0</v>
      </c>
      <c r="W301" s="47">
        <v>0</v>
      </c>
      <c r="X301" s="1">
        <v>0</v>
      </c>
      <c r="Y301" s="47">
        <v>3</v>
      </c>
      <c r="Z301" s="47"/>
      <c r="AA301" s="55">
        <v>0</v>
      </c>
      <c r="AB301" s="1"/>
      <c r="AC301" s="1"/>
      <c r="AD301" s="1"/>
      <c r="AE301" s="55"/>
      <c r="AF301" s="55">
        <v>4</v>
      </c>
      <c r="AG301" s="1">
        <v>4</v>
      </c>
      <c r="AH301" s="1">
        <v>0</v>
      </c>
      <c r="AI301" s="1">
        <v>0</v>
      </c>
      <c r="AJ301" s="1">
        <v>4</v>
      </c>
      <c r="AK301" s="1" t="s">
        <v>21</v>
      </c>
      <c r="AL301" s="1" t="s">
        <v>32</v>
      </c>
      <c r="AM301" s="17">
        <v>44967</v>
      </c>
      <c r="AN301" s="18" t="s">
        <v>417</v>
      </c>
      <c r="AO301" s="140" t="s">
        <v>1051</v>
      </c>
      <c r="AP301" s="140" t="s">
        <v>1053</v>
      </c>
      <c r="AQ301" s="75">
        <v>0.9</v>
      </c>
      <c r="AS301" s="10"/>
    </row>
    <row r="302" spans="2:45">
      <c r="B302" s="1">
        <f t="shared" si="4"/>
        <v>292</v>
      </c>
      <c r="C302" s="1">
        <v>1</v>
      </c>
      <c r="D302" s="47" t="s">
        <v>212</v>
      </c>
      <c r="E302" s="47" t="s">
        <v>91</v>
      </c>
      <c r="F302" s="1" t="s">
        <v>34</v>
      </c>
      <c r="G302" s="1" t="s">
        <v>34</v>
      </c>
      <c r="H302" s="1" t="s">
        <v>1050</v>
      </c>
      <c r="I302" s="1"/>
      <c r="J302" s="1" t="s">
        <v>85</v>
      </c>
      <c r="K302" s="47" t="s">
        <v>1049</v>
      </c>
      <c r="L302" s="47" t="s">
        <v>452</v>
      </c>
      <c r="M302" s="47">
        <v>0</v>
      </c>
      <c r="N302" s="47">
        <v>0</v>
      </c>
      <c r="O302" s="47">
        <v>0</v>
      </c>
      <c r="P302" s="47">
        <v>0</v>
      </c>
      <c r="Q302" s="47">
        <v>0</v>
      </c>
      <c r="R302" s="47">
        <v>0</v>
      </c>
      <c r="S302" s="47"/>
      <c r="T302" s="47">
        <v>4</v>
      </c>
      <c r="U302" s="47">
        <v>0</v>
      </c>
      <c r="V302" s="47">
        <v>0</v>
      </c>
      <c r="W302" s="47">
        <v>0</v>
      </c>
      <c r="X302" s="1">
        <v>0</v>
      </c>
      <c r="Y302" s="47">
        <v>3</v>
      </c>
      <c r="Z302" s="47"/>
      <c r="AA302" s="55">
        <v>0</v>
      </c>
      <c r="AB302" s="1"/>
      <c r="AC302" s="1"/>
      <c r="AD302" s="1"/>
      <c r="AE302" s="55"/>
      <c r="AF302" s="55">
        <v>4</v>
      </c>
      <c r="AG302" s="1">
        <v>4</v>
      </c>
      <c r="AH302" s="1">
        <v>0</v>
      </c>
      <c r="AI302" s="1">
        <v>0</v>
      </c>
      <c r="AJ302" s="1">
        <v>4</v>
      </c>
      <c r="AK302" s="1" t="s">
        <v>21</v>
      </c>
      <c r="AL302" s="1" t="s">
        <v>32</v>
      </c>
      <c r="AM302" s="17">
        <v>44967</v>
      </c>
      <c r="AN302" s="18" t="s">
        <v>417</v>
      </c>
      <c r="AO302" s="140" t="s">
        <v>1051</v>
      </c>
      <c r="AP302" s="140" t="s">
        <v>1054</v>
      </c>
      <c r="AQ302" s="75">
        <v>0.9</v>
      </c>
      <c r="AS302" s="10"/>
    </row>
    <row r="303" spans="2:45">
      <c r="B303" s="1">
        <f t="shared" si="4"/>
        <v>293</v>
      </c>
      <c r="C303" s="1">
        <v>1</v>
      </c>
      <c r="D303" s="47" t="s">
        <v>212</v>
      </c>
      <c r="E303" s="47" t="s">
        <v>91</v>
      </c>
      <c r="F303" s="1" t="s">
        <v>480</v>
      </c>
      <c r="G303" s="1" t="s">
        <v>480</v>
      </c>
      <c r="H303" s="1" t="s">
        <v>481</v>
      </c>
      <c r="I303" s="1"/>
      <c r="J303" s="1" t="s">
        <v>85</v>
      </c>
      <c r="K303" s="47" t="s">
        <v>1049</v>
      </c>
      <c r="L303" s="47" t="s">
        <v>452</v>
      </c>
      <c r="M303" s="47">
        <v>0</v>
      </c>
      <c r="N303" s="47">
        <v>0</v>
      </c>
      <c r="O303" s="47">
        <v>0</v>
      </c>
      <c r="P303" s="47">
        <v>0</v>
      </c>
      <c r="Q303" s="47">
        <v>0</v>
      </c>
      <c r="R303" s="47">
        <v>0</v>
      </c>
      <c r="S303" s="47">
        <v>0</v>
      </c>
      <c r="T303" s="47">
        <v>0</v>
      </c>
      <c r="U303" s="47">
        <v>0</v>
      </c>
      <c r="V303" s="47">
        <v>0</v>
      </c>
      <c r="W303" s="47">
        <v>0</v>
      </c>
      <c r="X303" s="1">
        <v>0</v>
      </c>
      <c r="Y303" s="47">
        <v>3</v>
      </c>
      <c r="Z303" s="47">
        <v>0</v>
      </c>
      <c r="AA303" s="55">
        <v>0</v>
      </c>
      <c r="AB303" s="1"/>
      <c r="AC303" s="1"/>
      <c r="AD303" s="1"/>
      <c r="AE303" s="55"/>
      <c r="AF303" s="55">
        <v>3</v>
      </c>
      <c r="AG303" s="1">
        <v>3</v>
      </c>
      <c r="AH303" s="1">
        <v>0</v>
      </c>
      <c r="AI303" s="1">
        <v>0</v>
      </c>
      <c r="AJ303" s="1">
        <v>4</v>
      </c>
      <c r="AK303" s="1" t="s">
        <v>21</v>
      </c>
      <c r="AL303" s="1" t="s">
        <v>21</v>
      </c>
      <c r="AM303" s="17">
        <v>44967</v>
      </c>
      <c r="AN303" s="18" t="s">
        <v>417</v>
      </c>
      <c r="AO303" s="140" t="s">
        <v>1051</v>
      </c>
      <c r="AP303" s="140" t="s">
        <v>1055</v>
      </c>
      <c r="AQ303" s="75">
        <v>0.8</v>
      </c>
      <c r="AS303" s="10"/>
    </row>
    <row r="304" spans="2:45" ht="15" customHeight="1">
      <c r="B304" s="1">
        <f t="shared" si="4"/>
        <v>294</v>
      </c>
      <c r="C304" s="47">
        <v>1</v>
      </c>
      <c r="D304" s="47" t="s">
        <v>493</v>
      </c>
      <c r="E304" s="47" t="s">
        <v>294</v>
      </c>
      <c r="F304" s="47" t="s">
        <v>45</v>
      </c>
      <c r="G304" s="47" t="s">
        <v>45</v>
      </c>
      <c r="H304" s="47" t="s">
        <v>493</v>
      </c>
      <c r="I304" s="47"/>
      <c r="J304" s="47" t="s">
        <v>85</v>
      </c>
      <c r="K304" s="47" t="s">
        <v>312</v>
      </c>
      <c r="L304" s="47" t="s">
        <v>408</v>
      </c>
      <c r="M304" s="47"/>
      <c r="N304" s="47"/>
      <c r="O304" s="47"/>
      <c r="P304" s="47"/>
      <c r="Q304" s="47"/>
      <c r="R304" s="47"/>
      <c r="S304" s="47"/>
      <c r="T304" s="47"/>
      <c r="U304" s="47"/>
      <c r="V304" s="47"/>
      <c r="W304" s="47"/>
      <c r="X304" s="1"/>
      <c r="Y304" s="47">
        <v>4</v>
      </c>
      <c r="Z304" s="47"/>
      <c r="AA304" s="1"/>
      <c r="AB304" s="1"/>
      <c r="AC304" s="1"/>
      <c r="AD304" s="1"/>
      <c r="AE304" s="1">
        <v>3</v>
      </c>
      <c r="AF304" s="1"/>
      <c r="AG304" s="1"/>
      <c r="AH304" s="1">
        <v>0</v>
      </c>
      <c r="AI304" s="1">
        <v>0</v>
      </c>
      <c r="AJ304" s="1">
        <v>0</v>
      </c>
      <c r="AK304" s="1" t="s">
        <v>32</v>
      </c>
      <c r="AL304" s="1" t="s">
        <v>21</v>
      </c>
      <c r="AM304" s="17">
        <v>44578</v>
      </c>
      <c r="AN304" s="49" t="s">
        <v>408</v>
      </c>
      <c r="AO304" s="49"/>
      <c r="AP304" s="49"/>
      <c r="AQ304" s="49"/>
      <c r="AR304" s="50" t="s">
        <v>497</v>
      </c>
      <c r="AS304" s="10"/>
    </row>
    <row r="305" spans="2:45" s="51" customFormat="1" ht="15" customHeight="1">
      <c r="B305" s="71">
        <f t="shared" si="4"/>
        <v>295</v>
      </c>
      <c r="C305" s="72">
        <v>0</v>
      </c>
      <c r="D305" s="72" t="s">
        <v>187</v>
      </c>
      <c r="E305" s="72" t="s">
        <v>347</v>
      </c>
      <c r="F305" s="72" t="s">
        <v>487</v>
      </c>
      <c r="G305" s="72" t="s">
        <v>487</v>
      </c>
      <c r="H305" s="72" t="s">
        <v>484</v>
      </c>
      <c r="I305" s="72"/>
      <c r="J305" s="72" t="s">
        <v>85</v>
      </c>
      <c r="K305" s="72" t="s">
        <v>312</v>
      </c>
      <c r="L305" s="72" t="s">
        <v>408</v>
      </c>
      <c r="M305" s="47"/>
      <c r="N305" s="47"/>
      <c r="O305" s="47"/>
      <c r="P305" s="47"/>
      <c r="Q305" s="47"/>
      <c r="R305" s="47"/>
      <c r="S305" s="47"/>
      <c r="T305" s="47"/>
      <c r="U305" s="47"/>
      <c r="V305" s="47"/>
      <c r="W305" s="47"/>
      <c r="X305" s="1"/>
      <c r="Y305" s="47">
        <v>4</v>
      </c>
      <c r="Z305" s="47"/>
      <c r="AA305" s="1"/>
      <c r="AB305" s="1"/>
      <c r="AC305" s="1"/>
      <c r="AD305" s="1"/>
      <c r="AE305" s="1">
        <v>3</v>
      </c>
      <c r="AF305" s="1"/>
      <c r="AG305" s="1"/>
      <c r="AH305" s="1">
        <v>0</v>
      </c>
      <c r="AI305" s="1">
        <v>0</v>
      </c>
      <c r="AJ305" s="1">
        <v>0</v>
      </c>
      <c r="AK305" s="1" t="s">
        <v>32</v>
      </c>
      <c r="AL305" s="1" t="s">
        <v>21</v>
      </c>
      <c r="AM305" s="48">
        <v>44551</v>
      </c>
      <c r="AN305" s="49" t="s">
        <v>408</v>
      </c>
      <c r="AO305" s="49"/>
      <c r="AP305" s="49"/>
      <c r="AQ305" s="49"/>
      <c r="AR305" s="50" t="s">
        <v>521</v>
      </c>
    </row>
    <row r="306" spans="2:45" s="51" customFormat="1" ht="15" customHeight="1">
      <c r="B306" s="1">
        <f t="shared" si="4"/>
        <v>296</v>
      </c>
      <c r="C306" s="47">
        <v>1</v>
      </c>
      <c r="D306" s="47" t="s">
        <v>526</v>
      </c>
      <c r="E306" s="47" t="s">
        <v>294</v>
      </c>
      <c r="F306" s="47" t="s">
        <v>238</v>
      </c>
      <c r="G306" s="47" t="s">
        <v>238</v>
      </c>
      <c r="H306" s="47" t="s">
        <v>526</v>
      </c>
      <c r="I306" s="47"/>
      <c r="J306" s="47" t="s">
        <v>85</v>
      </c>
      <c r="K306" s="47" t="s">
        <v>312</v>
      </c>
      <c r="L306" s="47" t="s">
        <v>408</v>
      </c>
      <c r="M306" s="47"/>
      <c r="N306" s="47"/>
      <c r="O306" s="47"/>
      <c r="P306" s="47"/>
      <c r="Q306" s="47"/>
      <c r="R306" s="47"/>
      <c r="S306" s="47"/>
      <c r="T306" s="47"/>
      <c r="U306" s="47"/>
      <c r="V306" s="47"/>
      <c r="W306" s="47"/>
      <c r="X306" s="1"/>
      <c r="Y306" s="47">
        <v>4</v>
      </c>
      <c r="Z306" s="47"/>
      <c r="AA306" s="1"/>
      <c r="AB306" s="1"/>
      <c r="AC306" s="1"/>
      <c r="AD306" s="1"/>
      <c r="AE306" s="1">
        <v>3</v>
      </c>
      <c r="AF306" s="1"/>
      <c r="AG306" s="1"/>
      <c r="AH306" s="1"/>
      <c r="AI306" s="1"/>
      <c r="AJ306" s="1">
        <v>0</v>
      </c>
      <c r="AK306" s="1" t="s">
        <v>32</v>
      </c>
      <c r="AL306" s="1" t="s">
        <v>21</v>
      </c>
      <c r="AM306" s="17">
        <v>44726</v>
      </c>
      <c r="AN306" s="49" t="s">
        <v>408</v>
      </c>
      <c r="AO306" s="49"/>
      <c r="AP306" s="49"/>
      <c r="AQ306" s="49"/>
      <c r="AR306" s="50" t="s">
        <v>494</v>
      </c>
    </row>
    <row r="307" spans="2:45" s="51" customFormat="1" ht="15" customHeight="1">
      <c r="B307" s="1">
        <f t="shared" si="4"/>
        <v>297</v>
      </c>
      <c r="C307" s="47">
        <v>1</v>
      </c>
      <c r="D307" s="47" t="s">
        <v>527</v>
      </c>
      <c r="E307" s="47" t="s">
        <v>294</v>
      </c>
      <c r="F307" s="47" t="s">
        <v>498</v>
      </c>
      <c r="G307" s="47" t="s">
        <v>498</v>
      </c>
      <c r="H307" s="47" t="s">
        <v>527</v>
      </c>
      <c r="I307" s="47"/>
      <c r="J307" s="47" t="s">
        <v>85</v>
      </c>
      <c r="K307" s="47" t="s">
        <v>312</v>
      </c>
      <c r="L307" s="47" t="s">
        <v>408</v>
      </c>
      <c r="M307" s="47"/>
      <c r="N307" s="47"/>
      <c r="O307" s="47"/>
      <c r="P307" s="47"/>
      <c r="Q307" s="47"/>
      <c r="R307" s="47"/>
      <c r="S307" s="47"/>
      <c r="T307" s="47"/>
      <c r="U307" s="47"/>
      <c r="V307" s="47"/>
      <c r="W307" s="47"/>
      <c r="X307" s="1"/>
      <c r="Y307" s="47">
        <v>4</v>
      </c>
      <c r="Z307" s="47"/>
      <c r="AA307" s="1"/>
      <c r="AB307" s="1"/>
      <c r="AC307" s="1"/>
      <c r="AD307" s="1"/>
      <c r="AE307" s="1">
        <v>3</v>
      </c>
      <c r="AF307" s="1"/>
      <c r="AG307" s="1"/>
      <c r="AH307" s="1"/>
      <c r="AI307" s="1"/>
      <c r="AJ307" s="1">
        <v>0</v>
      </c>
      <c r="AK307" s="1"/>
      <c r="AL307" s="1" t="s">
        <v>21</v>
      </c>
      <c r="AM307" s="17">
        <v>44726</v>
      </c>
      <c r="AN307" s="49" t="s">
        <v>408</v>
      </c>
      <c r="AO307" s="49"/>
      <c r="AP307" s="49"/>
      <c r="AQ307" s="49"/>
      <c r="AR307" s="50" t="s">
        <v>499</v>
      </c>
    </row>
    <row r="308" spans="2:45">
      <c r="B308" s="1">
        <f t="shared" si="4"/>
        <v>298</v>
      </c>
      <c r="C308" s="1">
        <v>1</v>
      </c>
      <c r="D308" s="1" t="s">
        <v>220</v>
      </c>
      <c r="E308" s="1" t="s">
        <v>52</v>
      </c>
      <c r="F308" s="1" t="s">
        <v>321</v>
      </c>
      <c r="G308" s="1" t="s">
        <v>321</v>
      </c>
      <c r="H308" s="1" t="s">
        <v>506</v>
      </c>
      <c r="I308" s="1"/>
      <c r="J308" s="1" t="s">
        <v>85</v>
      </c>
      <c r="K308" s="1" t="s">
        <v>491</v>
      </c>
      <c r="L308" s="1" t="s">
        <v>11</v>
      </c>
      <c r="M308" s="1"/>
      <c r="N308" s="1"/>
      <c r="O308" s="1"/>
      <c r="P308" s="1"/>
      <c r="Q308" s="1"/>
      <c r="R308" s="1"/>
      <c r="S308" s="1"/>
      <c r="T308" s="1"/>
      <c r="U308" s="1"/>
      <c r="V308" s="1"/>
      <c r="W308" s="1"/>
      <c r="X308" s="1"/>
      <c r="Y308" s="47"/>
      <c r="Z308" s="1"/>
      <c r="AA308" s="55"/>
      <c r="AB308" s="1"/>
      <c r="AC308" s="1"/>
      <c r="AD308" s="55">
        <v>4</v>
      </c>
      <c r="AE308" s="55"/>
      <c r="AF308" s="55"/>
      <c r="AG308" s="1"/>
      <c r="AH308" s="1"/>
      <c r="AI308" s="1"/>
      <c r="AJ308" s="1">
        <v>0</v>
      </c>
      <c r="AK308" s="1" t="s">
        <v>21</v>
      </c>
      <c r="AL308" s="1" t="s">
        <v>32</v>
      </c>
      <c r="AM308" s="17">
        <v>44984</v>
      </c>
      <c r="AN308" s="18" t="s">
        <v>417</v>
      </c>
      <c r="AO308" s="18"/>
      <c r="AP308" s="18"/>
      <c r="AQ308" s="18"/>
      <c r="AS308" s="10"/>
    </row>
    <row r="309" spans="2:45">
      <c r="B309" s="1">
        <f t="shared" si="4"/>
        <v>299</v>
      </c>
      <c r="C309" s="1">
        <v>1</v>
      </c>
      <c r="D309" s="1" t="s">
        <v>220</v>
      </c>
      <c r="E309" s="1" t="s">
        <v>52</v>
      </c>
      <c r="F309" s="1" t="s">
        <v>321</v>
      </c>
      <c r="G309" s="1" t="s">
        <v>321</v>
      </c>
      <c r="H309" s="1" t="s">
        <v>507</v>
      </c>
      <c r="I309" s="1"/>
      <c r="J309" s="1" t="s">
        <v>85</v>
      </c>
      <c r="K309" s="1" t="s">
        <v>491</v>
      </c>
      <c r="L309" s="1"/>
      <c r="M309" s="1"/>
      <c r="N309" s="1"/>
      <c r="O309" s="1"/>
      <c r="P309" s="1"/>
      <c r="Q309" s="1"/>
      <c r="R309" s="1"/>
      <c r="S309" s="1"/>
      <c r="T309" s="1"/>
      <c r="U309" s="1"/>
      <c r="V309" s="1"/>
      <c r="W309" s="1"/>
      <c r="X309" s="1"/>
      <c r="Y309" s="47"/>
      <c r="Z309" s="1"/>
      <c r="AA309" s="55"/>
      <c r="AB309" s="1"/>
      <c r="AC309" s="1"/>
      <c r="AD309" s="55">
        <v>4</v>
      </c>
      <c r="AE309" s="55"/>
      <c r="AF309" s="55"/>
      <c r="AG309" s="1"/>
      <c r="AH309" s="1"/>
      <c r="AI309" s="1"/>
      <c r="AJ309" s="1">
        <v>0</v>
      </c>
      <c r="AK309" s="1" t="s">
        <v>21</v>
      </c>
      <c r="AL309" s="1" t="s">
        <v>32</v>
      </c>
      <c r="AM309" s="17">
        <v>44984</v>
      </c>
      <c r="AN309" s="18" t="s">
        <v>417</v>
      </c>
      <c r="AO309" s="18"/>
      <c r="AP309" s="18"/>
      <c r="AQ309" s="18"/>
      <c r="AS309" s="10"/>
    </row>
    <row r="310" spans="2:45">
      <c r="B310" s="1">
        <f t="shared" si="4"/>
        <v>300</v>
      </c>
      <c r="C310" s="1">
        <v>1</v>
      </c>
      <c r="D310" s="1" t="s">
        <v>220</v>
      </c>
      <c r="E310" s="1" t="s">
        <v>52</v>
      </c>
      <c r="F310" s="1" t="s">
        <v>321</v>
      </c>
      <c r="G310" s="1" t="s">
        <v>321</v>
      </c>
      <c r="H310" s="1" t="s">
        <v>508</v>
      </c>
      <c r="I310" s="1"/>
      <c r="J310" s="1" t="s">
        <v>85</v>
      </c>
      <c r="K310" s="1" t="s">
        <v>491</v>
      </c>
      <c r="L310" s="1"/>
      <c r="M310" s="1"/>
      <c r="N310" s="1"/>
      <c r="O310" s="1"/>
      <c r="P310" s="1"/>
      <c r="Q310" s="1"/>
      <c r="R310" s="1"/>
      <c r="S310" s="1"/>
      <c r="T310" s="1"/>
      <c r="U310" s="1"/>
      <c r="V310" s="1"/>
      <c r="W310" s="1"/>
      <c r="X310" s="1"/>
      <c r="Y310" s="47"/>
      <c r="Z310" s="1"/>
      <c r="AA310" s="55"/>
      <c r="AB310" s="1"/>
      <c r="AC310" s="1"/>
      <c r="AD310" s="55">
        <v>4</v>
      </c>
      <c r="AE310" s="55"/>
      <c r="AF310" s="55"/>
      <c r="AG310" s="1"/>
      <c r="AH310" s="1"/>
      <c r="AI310" s="1"/>
      <c r="AJ310" s="1">
        <v>0</v>
      </c>
      <c r="AK310" s="1" t="s">
        <v>21</v>
      </c>
      <c r="AL310" s="1" t="s">
        <v>32</v>
      </c>
      <c r="AM310" s="17">
        <v>44984</v>
      </c>
      <c r="AN310" s="18" t="s">
        <v>417</v>
      </c>
      <c r="AO310" s="18"/>
      <c r="AP310" s="18"/>
      <c r="AQ310" s="18"/>
      <c r="AS310" s="10"/>
    </row>
    <row r="311" spans="2:45">
      <c r="B311" s="1">
        <f t="shared" si="4"/>
        <v>301</v>
      </c>
      <c r="C311" s="1">
        <v>0</v>
      </c>
      <c r="D311" s="1" t="s">
        <v>220</v>
      </c>
      <c r="E311" s="1" t="s">
        <v>52</v>
      </c>
      <c r="F311" s="1" t="s">
        <v>321</v>
      </c>
      <c r="G311" s="1" t="s">
        <v>321</v>
      </c>
      <c r="H311" s="1" t="s">
        <v>509</v>
      </c>
      <c r="I311" s="1"/>
      <c r="J311" s="1" t="s">
        <v>87</v>
      </c>
      <c r="K311" s="1" t="s">
        <v>491</v>
      </c>
      <c r="L311" s="1"/>
      <c r="M311" s="1"/>
      <c r="N311" s="1"/>
      <c r="O311" s="1"/>
      <c r="P311" s="1"/>
      <c r="Q311" s="1"/>
      <c r="R311" s="1"/>
      <c r="S311" s="1"/>
      <c r="T311" s="1"/>
      <c r="U311" s="1"/>
      <c r="V311" s="1"/>
      <c r="W311" s="1"/>
      <c r="X311" s="1"/>
      <c r="Y311" s="47"/>
      <c r="Z311" s="1"/>
      <c r="AA311" s="55"/>
      <c r="AB311" s="1"/>
      <c r="AC311" s="1"/>
      <c r="AD311" s="55">
        <v>4</v>
      </c>
      <c r="AE311" s="55"/>
      <c r="AF311" s="55"/>
      <c r="AG311" s="1"/>
      <c r="AH311" s="1"/>
      <c r="AI311" s="1"/>
      <c r="AJ311" s="1">
        <v>0</v>
      </c>
      <c r="AK311" s="1" t="s">
        <v>21</v>
      </c>
      <c r="AL311" s="1" t="s">
        <v>32</v>
      </c>
      <c r="AM311" s="17">
        <v>44984</v>
      </c>
      <c r="AN311" s="18" t="s">
        <v>417</v>
      </c>
      <c r="AO311" s="18"/>
      <c r="AP311" s="18"/>
      <c r="AQ311" s="18"/>
      <c r="AR311" s="10" t="s">
        <v>1205</v>
      </c>
      <c r="AS311" s="10"/>
    </row>
    <row r="312" spans="2:45">
      <c r="B312" s="1">
        <f t="shared" si="4"/>
        <v>302</v>
      </c>
      <c r="C312" s="1">
        <v>0</v>
      </c>
      <c r="D312" s="1" t="s">
        <v>220</v>
      </c>
      <c r="E312" s="1" t="s">
        <v>52</v>
      </c>
      <c r="F312" s="1" t="s">
        <v>321</v>
      </c>
      <c r="G312" s="1" t="s">
        <v>321</v>
      </c>
      <c r="H312" s="1" t="s">
        <v>510</v>
      </c>
      <c r="I312" s="1"/>
      <c r="J312" s="1" t="s">
        <v>87</v>
      </c>
      <c r="K312" s="1" t="s">
        <v>491</v>
      </c>
      <c r="L312" s="1"/>
      <c r="M312" s="1"/>
      <c r="N312" s="1"/>
      <c r="O312" s="1"/>
      <c r="P312" s="1"/>
      <c r="Q312" s="1"/>
      <c r="R312" s="1"/>
      <c r="S312" s="1"/>
      <c r="T312" s="1"/>
      <c r="U312" s="1"/>
      <c r="V312" s="1"/>
      <c r="W312" s="1"/>
      <c r="X312" s="1"/>
      <c r="Y312" s="47"/>
      <c r="Z312" s="1"/>
      <c r="AA312" s="55"/>
      <c r="AB312" s="1"/>
      <c r="AC312" s="1"/>
      <c r="AD312" s="55">
        <v>4</v>
      </c>
      <c r="AE312" s="55"/>
      <c r="AF312" s="55"/>
      <c r="AG312" s="1"/>
      <c r="AH312" s="1"/>
      <c r="AI312" s="1"/>
      <c r="AJ312" s="1">
        <v>0</v>
      </c>
      <c r="AK312" s="1" t="s">
        <v>21</v>
      </c>
      <c r="AL312" s="1" t="s">
        <v>32</v>
      </c>
      <c r="AM312" s="17">
        <v>44984</v>
      </c>
      <c r="AN312" s="18" t="s">
        <v>417</v>
      </c>
      <c r="AO312" s="18"/>
      <c r="AP312" s="18"/>
      <c r="AQ312" s="18"/>
      <c r="AR312" s="10" t="s">
        <v>1205</v>
      </c>
      <c r="AS312" s="10"/>
    </row>
    <row r="313" spans="2:45">
      <c r="B313" s="1">
        <f t="shared" si="4"/>
        <v>303</v>
      </c>
      <c r="C313" s="1">
        <v>1</v>
      </c>
      <c r="D313" s="1" t="s">
        <v>516</v>
      </c>
      <c r="E313" s="1" t="s">
        <v>52</v>
      </c>
      <c r="F313" s="1" t="s">
        <v>321</v>
      </c>
      <c r="G313" s="1" t="s">
        <v>321</v>
      </c>
      <c r="H313" s="1" t="s">
        <v>511</v>
      </c>
      <c r="I313" s="1"/>
      <c r="J313" s="1" t="s">
        <v>86</v>
      </c>
      <c r="K313" s="1" t="s">
        <v>491</v>
      </c>
      <c r="L313" s="1" t="s">
        <v>417</v>
      </c>
      <c r="M313" s="1"/>
      <c r="N313" s="1"/>
      <c r="O313" s="1"/>
      <c r="P313" s="1"/>
      <c r="Q313" s="1"/>
      <c r="R313" s="1"/>
      <c r="S313" s="1"/>
      <c r="T313" s="1"/>
      <c r="U313" s="1"/>
      <c r="V313" s="1"/>
      <c r="W313" s="1"/>
      <c r="X313" s="1"/>
      <c r="Y313" s="47"/>
      <c r="Z313" s="1"/>
      <c r="AA313" s="55"/>
      <c r="AB313" s="1"/>
      <c r="AC313" s="1"/>
      <c r="AD313" s="55">
        <v>4</v>
      </c>
      <c r="AE313" s="55"/>
      <c r="AF313" s="55">
        <v>2</v>
      </c>
      <c r="AG313" s="1"/>
      <c r="AH313" s="1"/>
      <c r="AI313" s="1"/>
      <c r="AJ313" s="1">
        <v>0</v>
      </c>
      <c r="AK313" s="1" t="s">
        <v>32</v>
      </c>
      <c r="AL313" s="1" t="s">
        <v>32</v>
      </c>
      <c r="AM313" s="17">
        <v>44984</v>
      </c>
      <c r="AN313" s="18" t="s">
        <v>417</v>
      </c>
      <c r="AO313" s="18"/>
      <c r="AP313" s="18"/>
      <c r="AQ313" s="18"/>
      <c r="AS313" s="10"/>
    </row>
    <row r="314" spans="2:45">
      <c r="B314" s="1">
        <f t="shared" si="4"/>
        <v>304</v>
      </c>
      <c r="C314" s="1">
        <v>1</v>
      </c>
      <c r="D314" s="1" t="s">
        <v>220</v>
      </c>
      <c r="E314" s="1" t="s">
        <v>52</v>
      </c>
      <c r="F314" s="1" t="s">
        <v>321</v>
      </c>
      <c r="G314" s="1" t="s">
        <v>321</v>
      </c>
      <c r="H314" s="1" t="s">
        <v>512</v>
      </c>
      <c r="I314" s="1"/>
      <c r="J314" s="1" t="s">
        <v>86</v>
      </c>
      <c r="K314" s="1" t="s">
        <v>491</v>
      </c>
      <c r="L314" s="1"/>
      <c r="M314" s="1"/>
      <c r="N314" s="1"/>
      <c r="O314" s="1"/>
      <c r="P314" s="1"/>
      <c r="Q314" s="1"/>
      <c r="R314" s="1"/>
      <c r="S314" s="1"/>
      <c r="T314" s="1"/>
      <c r="U314" s="1"/>
      <c r="V314" s="1"/>
      <c r="W314" s="1"/>
      <c r="X314" s="1"/>
      <c r="Y314" s="47"/>
      <c r="Z314" s="1"/>
      <c r="AA314" s="55"/>
      <c r="AB314" s="1"/>
      <c r="AC314" s="1"/>
      <c r="AD314" s="55">
        <v>4</v>
      </c>
      <c r="AE314" s="55"/>
      <c r="AF314" s="55"/>
      <c r="AG314" s="1"/>
      <c r="AH314" s="1"/>
      <c r="AI314" s="1"/>
      <c r="AJ314" s="1">
        <v>0</v>
      </c>
      <c r="AK314" s="1" t="s">
        <v>32</v>
      </c>
      <c r="AL314" s="1" t="s">
        <v>32</v>
      </c>
      <c r="AM314" s="17">
        <v>44984</v>
      </c>
      <c r="AN314" s="18" t="s">
        <v>417</v>
      </c>
      <c r="AO314" s="18"/>
      <c r="AP314" s="18"/>
      <c r="AQ314" s="18"/>
      <c r="AS314" s="10"/>
    </row>
    <row r="315" spans="2:45">
      <c r="B315" s="1">
        <f t="shared" si="4"/>
        <v>305</v>
      </c>
      <c r="C315" s="1">
        <v>1</v>
      </c>
      <c r="D315" s="1" t="s">
        <v>220</v>
      </c>
      <c r="E315" s="1" t="s">
        <v>52</v>
      </c>
      <c r="F315" s="1" t="s">
        <v>321</v>
      </c>
      <c r="G315" s="1" t="s">
        <v>321</v>
      </c>
      <c r="H315" s="1" t="s">
        <v>513</v>
      </c>
      <c r="I315" s="1"/>
      <c r="J315" s="1" t="s">
        <v>85</v>
      </c>
      <c r="K315" s="1" t="s">
        <v>491</v>
      </c>
      <c r="L315" s="1"/>
      <c r="M315" s="1"/>
      <c r="N315" s="1"/>
      <c r="O315" s="1"/>
      <c r="P315" s="1"/>
      <c r="Q315" s="1"/>
      <c r="R315" s="1"/>
      <c r="S315" s="1"/>
      <c r="T315" s="1"/>
      <c r="U315" s="1"/>
      <c r="V315" s="1"/>
      <c r="W315" s="1"/>
      <c r="X315" s="1"/>
      <c r="Y315" s="47"/>
      <c r="Z315" s="1"/>
      <c r="AA315" s="55"/>
      <c r="AB315" s="1"/>
      <c r="AC315" s="1"/>
      <c r="AD315" s="55">
        <v>4</v>
      </c>
      <c r="AE315" s="55"/>
      <c r="AF315" s="55"/>
      <c r="AG315" s="1"/>
      <c r="AH315" s="1"/>
      <c r="AI315" s="1"/>
      <c r="AJ315" s="1">
        <v>0</v>
      </c>
      <c r="AK315" s="1" t="s">
        <v>21</v>
      </c>
      <c r="AL315" s="1" t="s">
        <v>32</v>
      </c>
      <c r="AM315" s="17">
        <v>44984</v>
      </c>
      <c r="AN315" s="18" t="s">
        <v>417</v>
      </c>
      <c r="AO315" s="18"/>
      <c r="AP315" s="18"/>
      <c r="AQ315" s="18"/>
      <c r="AS315" s="10"/>
    </row>
    <row r="316" spans="2:45">
      <c r="B316" s="1">
        <f t="shared" si="4"/>
        <v>306</v>
      </c>
      <c r="C316" s="1">
        <v>1</v>
      </c>
      <c r="D316" s="1" t="s">
        <v>220</v>
      </c>
      <c r="E316" s="1" t="s">
        <v>52</v>
      </c>
      <c r="F316" s="1" t="s">
        <v>321</v>
      </c>
      <c r="G316" s="1" t="s">
        <v>321</v>
      </c>
      <c r="H316" s="1" t="s">
        <v>514</v>
      </c>
      <c r="I316" s="1"/>
      <c r="J316" s="1" t="s">
        <v>85</v>
      </c>
      <c r="K316" s="1" t="s">
        <v>491</v>
      </c>
      <c r="L316" s="1"/>
      <c r="M316" s="1"/>
      <c r="N316" s="1"/>
      <c r="O316" s="1"/>
      <c r="P316" s="1"/>
      <c r="Q316" s="1"/>
      <c r="R316" s="1"/>
      <c r="S316" s="1"/>
      <c r="T316" s="1"/>
      <c r="U316" s="1"/>
      <c r="V316" s="1"/>
      <c r="W316" s="1"/>
      <c r="X316" s="1"/>
      <c r="Y316" s="47"/>
      <c r="Z316" s="1"/>
      <c r="AA316" s="55"/>
      <c r="AB316" s="1"/>
      <c r="AC316" s="1"/>
      <c r="AD316" s="55">
        <v>4</v>
      </c>
      <c r="AE316" s="55"/>
      <c r="AF316" s="55"/>
      <c r="AG316" s="1"/>
      <c r="AH316" s="1"/>
      <c r="AI316" s="1"/>
      <c r="AJ316" s="1">
        <v>0</v>
      </c>
      <c r="AK316" s="1" t="s">
        <v>21</v>
      </c>
      <c r="AL316" s="1" t="s">
        <v>32</v>
      </c>
      <c r="AM316" s="17">
        <v>44984</v>
      </c>
      <c r="AN316" s="18" t="s">
        <v>417</v>
      </c>
      <c r="AO316" s="18"/>
      <c r="AP316" s="18"/>
      <c r="AQ316" s="18"/>
      <c r="AS316" s="10"/>
    </row>
    <row r="317" spans="2:45">
      <c r="B317" s="1">
        <f t="shared" si="4"/>
        <v>307</v>
      </c>
      <c r="C317" s="1">
        <v>1</v>
      </c>
      <c r="D317" s="1" t="s">
        <v>220</v>
      </c>
      <c r="E317" s="1" t="s">
        <v>52</v>
      </c>
      <c r="F317" s="1" t="s">
        <v>321</v>
      </c>
      <c r="G317" s="1" t="s">
        <v>321</v>
      </c>
      <c r="H317" s="1" t="s">
        <v>515</v>
      </c>
      <c r="I317" s="1"/>
      <c r="J317" s="1" t="s">
        <v>85</v>
      </c>
      <c r="K317" s="1" t="s">
        <v>491</v>
      </c>
      <c r="L317" s="1"/>
      <c r="M317" s="1"/>
      <c r="N317" s="1"/>
      <c r="O317" s="1"/>
      <c r="P317" s="1"/>
      <c r="Q317" s="1"/>
      <c r="R317" s="1"/>
      <c r="S317" s="1"/>
      <c r="T317" s="1"/>
      <c r="U317" s="1"/>
      <c r="V317" s="1"/>
      <c r="W317" s="1"/>
      <c r="X317" s="1"/>
      <c r="Y317" s="47"/>
      <c r="Z317" s="1"/>
      <c r="AA317" s="55"/>
      <c r="AB317" s="1"/>
      <c r="AC317" s="1"/>
      <c r="AD317" s="55">
        <v>4</v>
      </c>
      <c r="AE317" s="55"/>
      <c r="AF317" s="55"/>
      <c r="AG317" s="1"/>
      <c r="AH317" s="1"/>
      <c r="AI317" s="1"/>
      <c r="AJ317" s="1">
        <v>0</v>
      </c>
      <c r="AK317" s="1" t="s">
        <v>32</v>
      </c>
      <c r="AL317" s="1" t="s">
        <v>32</v>
      </c>
      <c r="AM317" s="17">
        <v>44984</v>
      </c>
      <c r="AN317" s="18" t="s">
        <v>417</v>
      </c>
      <c r="AO317" s="18"/>
      <c r="AP317" s="18"/>
      <c r="AQ317" s="18"/>
      <c r="AS317" s="10"/>
    </row>
    <row r="318" spans="2:45">
      <c r="B318" s="73">
        <f t="shared" ref="B318:B333" si="5">B317+1</f>
        <v>308</v>
      </c>
      <c r="C318" s="1">
        <v>1</v>
      </c>
      <c r="D318" s="1" t="s">
        <v>522</v>
      </c>
      <c r="E318" s="1" t="s">
        <v>294</v>
      </c>
      <c r="F318" s="1" t="s">
        <v>43</v>
      </c>
      <c r="G318" s="1"/>
      <c r="H318" s="1" t="s">
        <v>523</v>
      </c>
      <c r="I318" s="1"/>
      <c r="J318" s="1" t="s">
        <v>85</v>
      </c>
      <c r="K318" s="1" t="s">
        <v>502</v>
      </c>
      <c r="L318" s="1" t="s">
        <v>486</v>
      </c>
      <c r="M318" s="1">
        <v>0</v>
      </c>
      <c r="N318" s="1">
        <v>0</v>
      </c>
      <c r="O318" s="1">
        <v>0</v>
      </c>
      <c r="P318" s="1">
        <v>0</v>
      </c>
      <c r="Q318" s="1">
        <v>0</v>
      </c>
      <c r="R318" s="1">
        <v>0</v>
      </c>
      <c r="S318" s="1">
        <v>0</v>
      </c>
      <c r="T318" s="1">
        <v>0</v>
      </c>
      <c r="U318" s="1">
        <v>0</v>
      </c>
      <c r="V318" s="1">
        <v>0</v>
      </c>
      <c r="W318" s="1">
        <v>0</v>
      </c>
      <c r="X318" s="1">
        <v>0</v>
      </c>
      <c r="Y318" s="47">
        <v>0</v>
      </c>
      <c r="Z318" s="1">
        <v>0</v>
      </c>
      <c r="AA318" s="1">
        <v>0</v>
      </c>
      <c r="AB318" s="1">
        <v>0</v>
      </c>
      <c r="AC318" s="1">
        <v>0</v>
      </c>
      <c r="AD318" s="1">
        <v>0</v>
      </c>
      <c r="AE318" s="1">
        <v>0</v>
      </c>
      <c r="AF318" s="1">
        <v>0</v>
      </c>
      <c r="AG318" s="1">
        <v>0</v>
      </c>
      <c r="AH318" s="1">
        <v>3</v>
      </c>
      <c r="AI318" s="1">
        <v>4</v>
      </c>
      <c r="AJ318" s="1">
        <v>0</v>
      </c>
      <c r="AK318" s="1" t="s">
        <v>21</v>
      </c>
      <c r="AL318" s="1" t="s">
        <v>21</v>
      </c>
      <c r="AM318" s="17">
        <v>44830</v>
      </c>
      <c r="AN318" s="18" t="s">
        <v>486</v>
      </c>
      <c r="AO318" s="18"/>
      <c r="AP318" s="18"/>
      <c r="AQ318" s="18"/>
      <c r="AS318" s="10"/>
    </row>
    <row r="319" spans="2:45">
      <c r="B319" s="73">
        <f t="shared" si="5"/>
        <v>309</v>
      </c>
      <c r="C319" s="1">
        <v>1</v>
      </c>
      <c r="D319" s="1" t="s">
        <v>212</v>
      </c>
      <c r="E319" s="1" t="s">
        <v>91</v>
      </c>
      <c r="F319" s="1" t="s">
        <v>480</v>
      </c>
      <c r="G319" s="1" t="s">
        <v>480</v>
      </c>
      <c r="H319" s="1" t="s">
        <v>1056</v>
      </c>
      <c r="I319" s="1"/>
      <c r="J319" s="1" t="s">
        <v>85</v>
      </c>
      <c r="K319" s="1" t="s">
        <v>1049</v>
      </c>
      <c r="L319" s="1" t="s">
        <v>452</v>
      </c>
      <c r="M319" s="1">
        <v>0</v>
      </c>
      <c r="N319" s="1">
        <v>0</v>
      </c>
      <c r="O319" s="1">
        <v>0</v>
      </c>
      <c r="P319" s="1">
        <v>0</v>
      </c>
      <c r="Q319" s="1">
        <v>0</v>
      </c>
      <c r="R319" s="1">
        <v>0</v>
      </c>
      <c r="S319" s="1">
        <v>0</v>
      </c>
      <c r="T319" s="1">
        <v>0</v>
      </c>
      <c r="U319" s="1">
        <v>0</v>
      </c>
      <c r="V319" s="1">
        <v>0</v>
      </c>
      <c r="W319" s="1">
        <v>0</v>
      </c>
      <c r="X319" s="1">
        <v>0</v>
      </c>
      <c r="Y319" s="47">
        <v>3</v>
      </c>
      <c r="Z319" s="1">
        <v>0</v>
      </c>
      <c r="AA319" s="55">
        <v>0</v>
      </c>
      <c r="AB319" s="1"/>
      <c r="AC319" s="1"/>
      <c r="AD319" s="1"/>
      <c r="AE319" s="55"/>
      <c r="AF319" s="55">
        <v>1</v>
      </c>
      <c r="AG319" s="1">
        <v>3</v>
      </c>
      <c r="AH319" s="1">
        <v>0</v>
      </c>
      <c r="AI319" s="1">
        <v>0</v>
      </c>
      <c r="AJ319" s="1">
        <v>4</v>
      </c>
      <c r="AK319" s="47" t="s">
        <v>21</v>
      </c>
      <c r="AL319" s="1" t="s">
        <v>21</v>
      </c>
      <c r="AM319" s="17">
        <v>44967</v>
      </c>
      <c r="AN319" s="18" t="s">
        <v>417</v>
      </c>
      <c r="AO319" s="140" t="s">
        <v>1051</v>
      </c>
      <c r="AP319" s="140" t="s">
        <v>1055</v>
      </c>
      <c r="AQ319" s="75">
        <v>0.8</v>
      </c>
    </row>
    <row r="320" spans="2:45">
      <c r="B320" s="73">
        <f t="shared" si="5"/>
        <v>310</v>
      </c>
      <c r="C320" s="1">
        <v>1</v>
      </c>
      <c r="D320" s="1" t="s">
        <v>212</v>
      </c>
      <c r="E320" s="1" t="s">
        <v>91</v>
      </c>
      <c r="F320" s="1" t="s">
        <v>480</v>
      </c>
      <c r="G320" s="1" t="s">
        <v>480</v>
      </c>
      <c r="H320" s="1" t="s">
        <v>1057</v>
      </c>
      <c r="I320" s="1"/>
      <c r="J320" s="1" t="s">
        <v>85</v>
      </c>
      <c r="K320" s="1" t="s">
        <v>1049</v>
      </c>
      <c r="L320" s="1" t="s">
        <v>452</v>
      </c>
      <c r="M320" s="1">
        <v>0</v>
      </c>
      <c r="N320" s="1">
        <v>0</v>
      </c>
      <c r="O320" s="1">
        <v>0</v>
      </c>
      <c r="P320" s="1">
        <v>0</v>
      </c>
      <c r="Q320" s="1">
        <v>0</v>
      </c>
      <c r="R320" s="1">
        <v>0</v>
      </c>
      <c r="S320" s="1">
        <v>0</v>
      </c>
      <c r="T320" s="1">
        <v>0</v>
      </c>
      <c r="U320" s="1">
        <v>0</v>
      </c>
      <c r="V320" s="1">
        <v>0</v>
      </c>
      <c r="W320" s="1">
        <v>0</v>
      </c>
      <c r="X320" s="1">
        <v>0</v>
      </c>
      <c r="Y320" s="47">
        <v>3</v>
      </c>
      <c r="Z320" s="1">
        <v>0</v>
      </c>
      <c r="AA320" s="55">
        <v>0</v>
      </c>
      <c r="AB320" s="1"/>
      <c r="AC320" s="1"/>
      <c r="AD320" s="1"/>
      <c r="AE320" s="55"/>
      <c r="AF320" s="55">
        <v>1</v>
      </c>
      <c r="AG320" s="1">
        <v>3</v>
      </c>
      <c r="AH320" s="1">
        <v>0</v>
      </c>
      <c r="AI320" s="1">
        <v>0</v>
      </c>
      <c r="AJ320" s="1">
        <v>4</v>
      </c>
      <c r="AK320" s="47" t="s">
        <v>21</v>
      </c>
      <c r="AL320" s="1" t="s">
        <v>21</v>
      </c>
      <c r="AM320" s="17">
        <v>44967</v>
      </c>
      <c r="AN320" s="18" t="s">
        <v>417</v>
      </c>
      <c r="AO320" s="140" t="s">
        <v>1051</v>
      </c>
      <c r="AP320" s="140" t="s">
        <v>1055</v>
      </c>
      <c r="AQ320" s="75">
        <v>0.8</v>
      </c>
    </row>
    <row r="321" spans="2:44">
      <c r="B321" s="73">
        <f t="shared" si="5"/>
        <v>311</v>
      </c>
      <c r="C321" s="1">
        <v>1</v>
      </c>
      <c r="D321" s="1" t="s">
        <v>212</v>
      </c>
      <c r="E321" s="1" t="s">
        <v>91</v>
      </c>
      <c r="F321" s="1" t="s">
        <v>480</v>
      </c>
      <c r="G321" s="1" t="s">
        <v>480</v>
      </c>
      <c r="H321" s="1" t="s">
        <v>1064</v>
      </c>
      <c r="I321" s="1"/>
      <c r="J321" s="1" t="s">
        <v>87</v>
      </c>
      <c r="K321" s="1" t="s">
        <v>1049</v>
      </c>
      <c r="L321" s="1" t="s">
        <v>452</v>
      </c>
      <c r="M321" s="1">
        <v>0</v>
      </c>
      <c r="N321" s="1">
        <v>0</v>
      </c>
      <c r="O321" s="1">
        <v>0</v>
      </c>
      <c r="P321" s="1">
        <v>0</v>
      </c>
      <c r="Q321" s="1">
        <v>0</v>
      </c>
      <c r="R321" s="1">
        <v>0</v>
      </c>
      <c r="S321" s="1">
        <v>0</v>
      </c>
      <c r="T321" s="1">
        <v>0</v>
      </c>
      <c r="U321" s="1">
        <v>0</v>
      </c>
      <c r="V321" s="1">
        <v>0</v>
      </c>
      <c r="W321" s="1">
        <v>0</v>
      </c>
      <c r="X321" s="1">
        <v>0</v>
      </c>
      <c r="Y321" s="47">
        <v>4</v>
      </c>
      <c r="Z321" s="1">
        <v>0</v>
      </c>
      <c r="AA321" s="55">
        <v>0</v>
      </c>
      <c r="AB321" s="1">
        <v>0</v>
      </c>
      <c r="AC321" s="1">
        <v>0</v>
      </c>
      <c r="AD321" s="1">
        <v>0</v>
      </c>
      <c r="AE321" s="55">
        <v>0</v>
      </c>
      <c r="AF321" s="55">
        <v>4</v>
      </c>
      <c r="AG321" s="1">
        <v>4</v>
      </c>
      <c r="AH321" s="1">
        <v>0</v>
      </c>
      <c r="AI321" s="1">
        <v>0</v>
      </c>
      <c r="AJ321" s="1">
        <v>4</v>
      </c>
      <c r="AK321" s="47" t="s">
        <v>21</v>
      </c>
      <c r="AL321" s="1" t="s">
        <v>32</v>
      </c>
      <c r="AM321" s="17">
        <v>44967</v>
      </c>
      <c r="AN321" s="18" t="s">
        <v>417</v>
      </c>
      <c r="AO321" s="140" t="s">
        <v>1051</v>
      </c>
      <c r="AP321" s="140" t="s">
        <v>1063</v>
      </c>
      <c r="AQ321" s="75">
        <v>0.9</v>
      </c>
    </row>
    <row r="322" spans="2:44">
      <c r="B322" s="73">
        <f t="shared" si="5"/>
        <v>312</v>
      </c>
      <c r="C322" s="1">
        <v>1</v>
      </c>
      <c r="D322" s="1" t="s">
        <v>212</v>
      </c>
      <c r="E322" s="1" t="s">
        <v>91</v>
      </c>
      <c r="F322" s="1" t="s">
        <v>98</v>
      </c>
      <c r="G322" s="1" t="s">
        <v>98</v>
      </c>
      <c r="H322" s="1" t="s">
        <v>1067</v>
      </c>
      <c r="I322" s="1"/>
      <c r="J322" s="1" t="s">
        <v>88</v>
      </c>
      <c r="K322" s="1" t="s">
        <v>1049</v>
      </c>
      <c r="L322" s="1" t="s">
        <v>452</v>
      </c>
      <c r="M322" s="1">
        <v>0</v>
      </c>
      <c r="N322" s="1">
        <v>0</v>
      </c>
      <c r="O322" s="1">
        <v>0</v>
      </c>
      <c r="P322" s="1">
        <v>0</v>
      </c>
      <c r="Q322" s="1">
        <v>0</v>
      </c>
      <c r="R322" s="1">
        <v>0</v>
      </c>
      <c r="S322" s="1">
        <v>0</v>
      </c>
      <c r="T322" s="1">
        <v>0</v>
      </c>
      <c r="U322" s="1">
        <v>0</v>
      </c>
      <c r="V322" s="1">
        <v>0</v>
      </c>
      <c r="W322" s="1">
        <v>0</v>
      </c>
      <c r="X322" s="1">
        <v>0</v>
      </c>
      <c r="Y322" s="47">
        <v>2</v>
      </c>
      <c r="Z322" s="1">
        <v>0</v>
      </c>
      <c r="AA322" s="55">
        <v>0</v>
      </c>
      <c r="AB322" s="1">
        <v>0</v>
      </c>
      <c r="AC322" s="1">
        <v>0</v>
      </c>
      <c r="AD322" s="1">
        <v>0</v>
      </c>
      <c r="AE322" s="55">
        <v>0</v>
      </c>
      <c r="AF322" s="55">
        <v>0</v>
      </c>
      <c r="AG322" s="1">
        <v>3</v>
      </c>
      <c r="AH322" s="1">
        <v>0</v>
      </c>
      <c r="AI322" s="1">
        <v>0</v>
      </c>
      <c r="AJ322" s="1">
        <v>4</v>
      </c>
      <c r="AK322" s="47" t="s">
        <v>21</v>
      </c>
      <c r="AL322" s="1" t="s">
        <v>21</v>
      </c>
      <c r="AM322" s="17">
        <v>44967</v>
      </c>
      <c r="AN322" s="18" t="s">
        <v>417</v>
      </c>
      <c r="AO322" s="140" t="s">
        <v>1051</v>
      </c>
      <c r="AP322" s="140" t="s">
        <v>1068</v>
      </c>
      <c r="AQ322" s="75">
        <v>0.5</v>
      </c>
    </row>
    <row r="323" spans="2:44">
      <c r="B323" s="73">
        <f t="shared" si="5"/>
        <v>313</v>
      </c>
      <c r="C323" s="1">
        <v>1</v>
      </c>
      <c r="D323" s="1" t="s">
        <v>212</v>
      </c>
      <c r="E323" s="1" t="s">
        <v>91</v>
      </c>
      <c r="F323" s="1" t="s">
        <v>34</v>
      </c>
      <c r="G323" s="1" t="s">
        <v>34</v>
      </c>
      <c r="H323" s="1" t="s">
        <v>1065</v>
      </c>
      <c r="I323" s="1"/>
      <c r="J323" s="1" t="s">
        <v>88</v>
      </c>
      <c r="K323" s="1" t="s">
        <v>1049</v>
      </c>
      <c r="L323" s="1" t="s">
        <v>452</v>
      </c>
      <c r="M323" s="1">
        <v>0</v>
      </c>
      <c r="N323" s="1">
        <v>0</v>
      </c>
      <c r="O323" s="1">
        <v>0</v>
      </c>
      <c r="P323" s="1">
        <v>0</v>
      </c>
      <c r="Q323" s="1">
        <v>0</v>
      </c>
      <c r="R323" s="1">
        <v>0</v>
      </c>
      <c r="S323" s="1">
        <v>0</v>
      </c>
      <c r="T323" s="1">
        <v>0</v>
      </c>
      <c r="U323" s="1">
        <v>0</v>
      </c>
      <c r="V323" s="1">
        <v>0</v>
      </c>
      <c r="W323" s="1">
        <v>0</v>
      </c>
      <c r="X323" s="1">
        <v>0</v>
      </c>
      <c r="Y323" s="47">
        <v>3</v>
      </c>
      <c r="Z323" s="1">
        <v>0</v>
      </c>
      <c r="AA323" s="55">
        <v>0</v>
      </c>
      <c r="AB323" s="1">
        <v>0</v>
      </c>
      <c r="AC323" s="1">
        <v>0</v>
      </c>
      <c r="AD323" s="1">
        <v>0</v>
      </c>
      <c r="AE323" s="55">
        <v>0</v>
      </c>
      <c r="AF323" s="55">
        <v>1</v>
      </c>
      <c r="AG323" s="1">
        <v>2</v>
      </c>
      <c r="AH323" s="1">
        <v>0</v>
      </c>
      <c r="AI323" s="1">
        <v>0</v>
      </c>
      <c r="AJ323" s="1">
        <v>4</v>
      </c>
      <c r="AK323" s="47" t="s">
        <v>21</v>
      </c>
      <c r="AL323" s="1" t="s">
        <v>32</v>
      </c>
      <c r="AM323" s="17">
        <v>44967</v>
      </c>
      <c r="AN323" s="18" t="s">
        <v>417</v>
      </c>
      <c r="AO323" s="140" t="s">
        <v>1051</v>
      </c>
      <c r="AP323" s="140" t="s">
        <v>1066</v>
      </c>
      <c r="AQ323" s="75">
        <v>0.5</v>
      </c>
    </row>
    <row r="324" spans="2:44">
      <c r="B324" s="73">
        <f t="shared" si="5"/>
        <v>314</v>
      </c>
      <c r="C324" s="1">
        <v>1</v>
      </c>
      <c r="D324" s="1" t="s">
        <v>212</v>
      </c>
      <c r="E324" s="1" t="s">
        <v>91</v>
      </c>
      <c r="F324" s="1" t="s">
        <v>96</v>
      </c>
      <c r="G324" s="1" t="s">
        <v>305</v>
      </c>
      <c r="H324" s="1" t="s">
        <v>1071</v>
      </c>
      <c r="I324" s="1"/>
      <c r="J324" s="1" t="s">
        <v>85</v>
      </c>
      <c r="K324" s="1" t="s">
        <v>1049</v>
      </c>
      <c r="L324" s="1" t="s">
        <v>452</v>
      </c>
      <c r="M324" s="1">
        <v>0</v>
      </c>
      <c r="N324" s="1">
        <v>0</v>
      </c>
      <c r="O324" s="1">
        <v>0</v>
      </c>
      <c r="P324" s="1">
        <v>0</v>
      </c>
      <c r="Q324" s="1">
        <v>0</v>
      </c>
      <c r="R324" s="1">
        <v>0</v>
      </c>
      <c r="S324" s="1">
        <v>0</v>
      </c>
      <c r="T324" s="1">
        <v>0</v>
      </c>
      <c r="U324" s="1">
        <v>0</v>
      </c>
      <c r="V324" s="1">
        <v>0</v>
      </c>
      <c r="W324" s="1">
        <v>0</v>
      </c>
      <c r="X324" s="1">
        <v>0</v>
      </c>
      <c r="Y324" s="47">
        <v>2</v>
      </c>
      <c r="Z324" s="1">
        <v>0</v>
      </c>
      <c r="AA324" s="55">
        <v>0</v>
      </c>
      <c r="AB324" s="1">
        <v>0</v>
      </c>
      <c r="AC324" s="1">
        <v>0</v>
      </c>
      <c r="AD324" s="1">
        <v>0</v>
      </c>
      <c r="AE324" s="55">
        <v>0</v>
      </c>
      <c r="AF324" s="1">
        <v>3</v>
      </c>
      <c r="AG324" s="1">
        <v>4</v>
      </c>
      <c r="AH324" s="1">
        <v>0</v>
      </c>
      <c r="AI324" s="1">
        <v>0</v>
      </c>
      <c r="AJ324" s="1">
        <v>4</v>
      </c>
      <c r="AK324" s="47" t="s">
        <v>21</v>
      </c>
      <c r="AL324" s="1" t="s">
        <v>32</v>
      </c>
      <c r="AM324" s="17">
        <v>44967</v>
      </c>
      <c r="AN324" s="18" t="s">
        <v>417</v>
      </c>
      <c r="AO324" s="140" t="s">
        <v>1051</v>
      </c>
      <c r="AP324" s="140" t="s">
        <v>1075</v>
      </c>
      <c r="AQ324" s="75">
        <v>1</v>
      </c>
    </row>
    <row r="325" spans="2:44">
      <c r="B325" s="73">
        <f t="shared" si="5"/>
        <v>315</v>
      </c>
      <c r="C325" s="1">
        <v>1</v>
      </c>
      <c r="D325" s="1" t="s">
        <v>212</v>
      </c>
      <c r="E325" s="1" t="s">
        <v>91</v>
      </c>
      <c r="F325" s="1" t="s">
        <v>96</v>
      </c>
      <c r="G325" s="1" t="s">
        <v>96</v>
      </c>
      <c r="H325" s="1" t="s">
        <v>1072</v>
      </c>
      <c r="I325" s="1"/>
      <c r="J325" s="1" t="s">
        <v>85</v>
      </c>
      <c r="K325" s="1" t="s">
        <v>1049</v>
      </c>
      <c r="L325" s="1" t="s">
        <v>452</v>
      </c>
      <c r="M325" s="1">
        <v>0</v>
      </c>
      <c r="N325" s="1">
        <v>0</v>
      </c>
      <c r="O325" s="1">
        <v>0</v>
      </c>
      <c r="P325" s="1">
        <v>0</v>
      </c>
      <c r="Q325" s="1">
        <v>0</v>
      </c>
      <c r="R325" s="1">
        <v>0</v>
      </c>
      <c r="S325" s="1">
        <v>0</v>
      </c>
      <c r="T325" s="1">
        <v>0</v>
      </c>
      <c r="U325" s="1">
        <v>0</v>
      </c>
      <c r="V325" s="1">
        <v>0</v>
      </c>
      <c r="W325" s="1">
        <v>0</v>
      </c>
      <c r="X325" s="1">
        <v>0</v>
      </c>
      <c r="Y325" s="47">
        <v>1</v>
      </c>
      <c r="Z325" s="1">
        <v>0</v>
      </c>
      <c r="AA325" s="55">
        <v>0</v>
      </c>
      <c r="AB325" s="1">
        <v>0</v>
      </c>
      <c r="AC325" s="1">
        <v>0</v>
      </c>
      <c r="AD325" s="1">
        <v>0</v>
      </c>
      <c r="AE325" s="55">
        <v>0</v>
      </c>
      <c r="AF325" s="55">
        <v>0</v>
      </c>
      <c r="AG325" s="1">
        <v>4</v>
      </c>
      <c r="AH325" s="1">
        <v>0</v>
      </c>
      <c r="AI325" s="1">
        <v>0</v>
      </c>
      <c r="AJ325" s="1">
        <v>4</v>
      </c>
      <c r="AK325" s="47" t="s">
        <v>21</v>
      </c>
      <c r="AL325" s="1" t="s">
        <v>32</v>
      </c>
      <c r="AM325" s="17" t="s">
        <v>1052</v>
      </c>
      <c r="AN325" s="18" t="s">
        <v>417</v>
      </c>
      <c r="AO325" s="140" t="s">
        <v>1051</v>
      </c>
      <c r="AP325" s="140" t="s">
        <v>1075</v>
      </c>
      <c r="AQ325" s="75">
        <v>1</v>
      </c>
    </row>
    <row r="326" spans="2:44">
      <c r="B326" s="73">
        <f t="shared" si="5"/>
        <v>316</v>
      </c>
      <c r="C326" s="1">
        <v>1</v>
      </c>
      <c r="D326" s="1" t="s">
        <v>212</v>
      </c>
      <c r="E326" s="1" t="s">
        <v>91</v>
      </c>
      <c r="F326" s="1" t="s">
        <v>96</v>
      </c>
      <c r="G326" s="1" t="s">
        <v>96</v>
      </c>
      <c r="H326" s="1" t="s">
        <v>1073</v>
      </c>
      <c r="I326" s="1"/>
      <c r="J326" s="1" t="s">
        <v>85</v>
      </c>
      <c r="K326" s="1" t="s">
        <v>1049</v>
      </c>
      <c r="L326" s="1" t="s">
        <v>452</v>
      </c>
      <c r="M326" s="1">
        <v>0</v>
      </c>
      <c r="N326" s="1">
        <v>0</v>
      </c>
      <c r="O326" s="1">
        <v>0</v>
      </c>
      <c r="P326" s="1">
        <v>0</v>
      </c>
      <c r="Q326" s="1">
        <v>0</v>
      </c>
      <c r="R326" s="1">
        <v>0</v>
      </c>
      <c r="S326" s="1">
        <v>0</v>
      </c>
      <c r="T326" s="1">
        <v>0</v>
      </c>
      <c r="U326" s="1">
        <v>0</v>
      </c>
      <c r="V326" s="1">
        <v>0</v>
      </c>
      <c r="W326" s="1">
        <v>0</v>
      </c>
      <c r="X326" s="1">
        <v>0</v>
      </c>
      <c r="Y326" s="47">
        <v>1</v>
      </c>
      <c r="Z326" s="1">
        <v>0</v>
      </c>
      <c r="AA326" s="55">
        <v>0</v>
      </c>
      <c r="AB326" s="1">
        <v>0</v>
      </c>
      <c r="AC326" s="1">
        <v>0</v>
      </c>
      <c r="AD326" s="1">
        <v>0</v>
      </c>
      <c r="AE326" s="55">
        <v>0</v>
      </c>
      <c r="AF326" s="55">
        <v>0</v>
      </c>
      <c r="AG326" s="1">
        <v>3</v>
      </c>
      <c r="AH326" s="1">
        <v>0</v>
      </c>
      <c r="AI326" s="1">
        <v>0</v>
      </c>
      <c r="AJ326" s="1">
        <v>4</v>
      </c>
      <c r="AK326" s="47" t="s">
        <v>21</v>
      </c>
      <c r="AL326" s="1" t="s">
        <v>32</v>
      </c>
      <c r="AM326" s="17" t="s">
        <v>1052</v>
      </c>
      <c r="AN326" s="18" t="s">
        <v>417</v>
      </c>
      <c r="AO326" s="140" t="s">
        <v>1051</v>
      </c>
      <c r="AP326" s="140" t="s">
        <v>1076</v>
      </c>
      <c r="AQ326" s="75">
        <v>1</v>
      </c>
    </row>
    <row r="327" spans="2:44">
      <c r="B327" s="73">
        <f t="shared" si="5"/>
        <v>317</v>
      </c>
      <c r="C327" s="1">
        <v>1</v>
      </c>
      <c r="D327" s="1" t="s">
        <v>212</v>
      </c>
      <c r="E327" s="1" t="s">
        <v>91</v>
      </c>
      <c r="F327" s="1" t="s">
        <v>96</v>
      </c>
      <c r="G327" s="1" t="s">
        <v>96</v>
      </c>
      <c r="H327" s="1" t="s">
        <v>1079</v>
      </c>
      <c r="I327" s="1"/>
      <c r="J327" s="1" t="s">
        <v>86</v>
      </c>
      <c r="K327" s="1" t="s">
        <v>452</v>
      </c>
      <c r="L327" s="1" t="s">
        <v>1049</v>
      </c>
      <c r="M327" s="1">
        <v>0</v>
      </c>
      <c r="N327" s="1">
        <v>0</v>
      </c>
      <c r="O327" s="1">
        <v>0</v>
      </c>
      <c r="P327" s="1">
        <v>0</v>
      </c>
      <c r="Q327" s="1">
        <v>0</v>
      </c>
      <c r="R327" s="1">
        <v>0</v>
      </c>
      <c r="S327" s="1">
        <v>0</v>
      </c>
      <c r="T327" s="1">
        <v>0</v>
      </c>
      <c r="U327" s="1">
        <v>0</v>
      </c>
      <c r="V327" s="1">
        <v>0</v>
      </c>
      <c r="W327" s="1">
        <v>0</v>
      </c>
      <c r="X327" s="1">
        <v>0</v>
      </c>
      <c r="Y327" s="47">
        <v>1</v>
      </c>
      <c r="Z327" s="1">
        <v>0</v>
      </c>
      <c r="AA327" s="55">
        <v>0</v>
      </c>
      <c r="AB327" s="1">
        <v>0</v>
      </c>
      <c r="AC327" s="1">
        <v>0</v>
      </c>
      <c r="AD327" s="1">
        <v>0</v>
      </c>
      <c r="AE327" s="55">
        <v>0</v>
      </c>
      <c r="AF327" s="55">
        <v>0</v>
      </c>
      <c r="AG327" s="1">
        <v>4</v>
      </c>
      <c r="AH327" s="1">
        <v>0</v>
      </c>
      <c r="AI327" s="1">
        <v>0</v>
      </c>
      <c r="AJ327" s="1">
        <v>2</v>
      </c>
      <c r="AK327" s="47" t="s">
        <v>21</v>
      </c>
      <c r="AL327" s="1" t="s">
        <v>32</v>
      </c>
      <c r="AM327" s="17" t="s">
        <v>1052</v>
      </c>
      <c r="AN327" s="18" t="s">
        <v>417</v>
      </c>
      <c r="AO327" s="140" t="s">
        <v>1051</v>
      </c>
      <c r="AP327" s="140" t="s">
        <v>1080</v>
      </c>
      <c r="AQ327" s="75">
        <v>0.5</v>
      </c>
      <c r="AR327" s="10" t="s">
        <v>1081</v>
      </c>
    </row>
    <row r="328" spans="2:44">
      <c r="B328" s="73">
        <f t="shared" si="5"/>
        <v>318</v>
      </c>
      <c r="C328" s="1">
        <v>1</v>
      </c>
      <c r="D328" s="54" t="s">
        <v>386</v>
      </c>
      <c r="E328" s="1" t="s">
        <v>294</v>
      </c>
      <c r="F328" s="1" t="s">
        <v>57</v>
      </c>
      <c r="G328" s="1" t="s">
        <v>250</v>
      </c>
      <c r="H328" s="1" t="s">
        <v>1104</v>
      </c>
      <c r="I328" s="1"/>
      <c r="J328" s="1" t="s">
        <v>87</v>
      </c>
      <c r="K328" s="1" t="s">
        <v>453</v>
      </c>
      <c r="L328" s="1" t="s">
        <v>12</v>
      </c>
      <c r="M328" s="1">
        <v>0</v>
      </c>
      <c r="N328" s="1">
        <v>0</v>
      </c>
      <c r="O328" s="1">
        <v>3</v>
      </c>
      <c r="P328" s="1">
        <v>0</v>
      </c>
      <c r="Q328" s="1">
        <v>0</v>
      </c>
      <c r="R328" s="60">
        <v>0</v>
      </c>
      <c r="S328" s="1">
        <v>0</v>
      </c>
      <c r="T328" s="1">
        <v>0</v>
      </c>
      <c r="U328" s="1">
        <v>0</v>
      </c>
      <c r="V328" s="1">
        <v>0</v>
      </c>
      <c r="W328" s="1">
        <v>0</v>
      </c>
      <c r="X328" s="1">
        <v>0</v>
      </c>
      <c r="Y328" s="1">
        <v>0</v>
      </c>
      <c r="Z328" s="1">
        <v>0</v>
      </c>
      <c r="AA328" s="55">
        <v>0</v>
      </c>
      <c r="AB328" s="1">
        <v>4</v>
      </c>
      <c r="AC328" s="1"/>
      <c r="AD328" s="1"/>
      <c r="AE328" s="55"/>
      <c r="AF328" s="55"/>
      <c r="AG328" s="1">
        <v>0</v>
      </c>
      <c r="AH328" s="1">
        <v>0</v>
      </c>
      <c r="AI328" s="1">
        <v>0</v>
      </c>
      <c r="AJ328" s="1">
        <v>0</v>
      </c>
      <c r="AK328" s="1" t="s">
        <v>32</v>
      </c>
      <c r="AL328" s="1" t="s">
        <v>32</v>
      </c>
      <c r="AM328" s="17"/>
      <c r="AN328" s="18"/>
      <c r="AO328" s="18"/>
      <c r="AP328" s="140" t="s">
        <v>1110</v>
      </c>
      <c r="AQ328" s="84">
        <v>0.8</v>
      </c>
    </row>
    <row r="329" spans="2:44">
      <c r="B329" s="73">
        <f t="shared" si="5"/>
        <v>319</v>
      </c>
      <c r="C329" s="1">
        <v>1</v>
      </c>
      <c r="D329" s="54" t="s">
        <v>386</v>
      </c>
      <c r="E329" s="1" t="s">
        <v>294</v>
      </c>
      <c r="F329" s="1" t="s">
        <v>57</v>
      </c>
      <c r="G329" s="1" t="s">
        <v>250</v>
      </c>
      <c r="H329" s="1" t="s">
        <v>1105</v>
      </c>
      <c r="I329" s="1"/>
      <c r="J329" s="1" t="s">
        <v>87</v>
      </c>
      <c r="K329" s="1" t="s">
        <v>453</v>
      </c>
      <c r="L329" s="1" t="s">
        <v>12</v>
      </c>
      <c r="M329" s="1">
        <v>0</v>
      </c>
      <c r="N329" s="1">
        <v>0</v>
      </c>
      <c r="O329" s="1">
        <v>3</v>
      </c>
      <c r="P329" s="1">
        <v>0</v>
      </c>
      <c r="Q329" s="1">
        <v>0</v>
      </c>
      <c r="R329" s="60">
        <v>0</v>
      </c>
      <c r="S329" s="1">
        <v>0</v>
      </c>
      <c r="T329" s="1">
        <v>0</v>
      </c>
      <c r="U329" s="1">
        <v>0</v>
      </c>
      <c r="V329" s="1">
        <v>0</v>
      </c>
      <c r="W329" s="1">
        <v>0</v>
      </c>
      <c r="X329" s="1">
        <v>0</v>
      </c>
      <c r="Y329" s="1">
        <v>0</v>
      </c>
      <c r="Z329" s="1">
        <v>0</v>
      </c>
      <c r="AA329" s="55">
        <v>0</v>
      </c>
      <c r="AB329" s="1">
        <v>4</v>
      </c>
      <c r="AC329" s="1"/>
      <c r="AD329" s="1"/>
      <c r="AE329" s="55"/>
      <c r="AF329" s="55"/>
      <c r="AG329" s="1">
        <v>0</v>
      </c>
      <c r="AH329" s="1">
        <v>0</v>
      </c>
      <c r="AI329" s="1">
        <v>0</v>
      </c>
      <c r="AJ329" s="1">
        <v>0</v>
      </c>
      <c r="AK329" s="1" t="s">
        <v>32</v>
      </c>
      <c r="AL329" s="1" t="s">
        <v>32</v>
      </c>
      <c r="AM329" s="17"/>
      <c r="AN329" s="18"/>
      <c r="AO329" s="18"/>
      <c r="AP329" s="140" t="s">
        <v>1111</v>
      </c>
      <c r="AQ329" s="84">
        <v>0.8</v>
      </c>
    </row>
    <row r="330" spans="2:44">
      <c r="B330" s="73">
        <f t="shared" si="5"/>
        <v>320</v>
      </c>
      <c r="C330" s="1">
        <v>1</v>
      </c>
      <c r="D330" s="54" t="s">
        <v>386</v>
      </c>
      <c r="E330" s="1" t="s">
        <v>294</v>
      </c>
      <c r="F330" s="1" t="s">
        <v>57</v>
      </c>
      <c r="G330" s="1" t="s">
        <v>250</v>
      </c>
      <c r="H330" s="1" t="s">
        <v>1106</v>
      </c>
      <c r="I330" s="1"/>
      <c r="J330" s="1" t="s">
        <v>87</v>
      </c>
      <c r="K330" s="1" t="s">
        <v>453</v>
      </c>
      <c r="L330" s="1" t="s">
        <v>12</v>
      </c>
      <c r="M330" s="1">
        <v>0</v>
      </c>
      <c r="N330" s="1">
        <v>0</v>
      </c>
      <c r="O330" s="1">
        <v>3</v>
      </c>
      <c r="P330" s="1">
        <v>0</v>
      </c>
      <c r="Q330" s="1">
        <v>0</v>
      </c>
      <c r="R330" s="60">
        <v>0</v>
      </c>
      <c r="S330" s="1">
        <v>0</v>
      </c>
      <c r="T330" s="1">
        <v>0</v>
      </c>
      <c r="U330" s="1">
        <v>0</v>
      </c>
      <c r="V330" s="1">
        <v>0</v>
      </c>
      <c r="W330" s="1">
        <v>0</v>
      </c>
      <c r="X330" s="1">
        <v>0</v>
      </c>
      <c r="Y330" s="1">
        <v>0</v>
      </c>
      <c r="Z330" s="1">
        <v>0</v>
      </c>
      <c r="AA330" s="55">
        <v>0</v>
      </c>
      <c r="AB330" s="1">
        <v>4</v>
      </c>
      <c r="AC330" s="1"/>
      <c r="AD330" s="1"/>
      <c r="AE330" s="55"/>
      <c r="AF330" s="55"/>
      <c r="AG330" s="1">
        <v>0</v>
      </c>
      <c r="AH330" s="1">
        <v>0</v>
      </c>
      <c r="AI330" s="1">
        <v>0</v>
      </c>
      <c r="AJ330" s="1">
        <v>0</v>
      </c>
      <c r="AK330" s="1" t="s">
        <v>32</v>
      </c>
      <c r="AL330" s="1" t="s">
        <v>32</v>
      </c>
      <c r="AM330" s="17"/>
      <c r="AN330" s="18"/>
      <c r="AO330" s="18"/>
      <c r="AP330" s="140" t="s">
        <v>1112</v>
      </c>
      <c r="AQ330" s="84">
        <v>0.8</v>
      </c>
    </row>
    <row r="331" spans="2:44">
      <c r="B331" s="73">
        <f t="shared" si="5"/>
        <v>321</v>
      </c>
      <c r="C331" s="1">
        <v>1</v>
      </c>
      <c r="D331" s="54" t="s">
        <v>386</v>
      </c>
      <c r="E331" s="1" t="s">
        <v>294</v>
      </c>
      <c r="F331" s="1" t="s">
        <v>57</v>
      </c>
      <c r="G331" s="1" t="s">
        <v>250</v>
      </c>
      <c r="H331" s="1" t="s">
        <v>1107</v>
      </c>
      <c r="I331" s="1"/>
      <c r="J331" s="1" t="s">
        <v>87</v>
      </c>
      <c r="K331" s="1" t="s">
        <v>453</v>
      </c>
      <c r="L331" s="1" t="s">
        <v>12</v>
      </c>
      <c r="M331" s="1">
        <v>0</v>
      </c>
      <c r="N331" s="1">
        <v>0</v>
      </c>
      <c r="O331" s="1">
        <v>3</v>
      </c>
      <c r="P331" s="1">
        <v>0</v>
      </c>
      <c r="Q331" s="1">
        <v>0</v>
      </c>
      <c r="R331" s="60">
        <v>0</v>
      </c>
      <c r="S331" s="1">
        <v>0</v>
      </c>
      <c r="T331" s="1">
        <v>0</v>
      </c>
      <c r="U331" s="1">
        <v>0</v>
      </c>
      <c r="V331" s="1">
        <v>0</v>
      </c>
      <c r="W331" s="1">
        <v>0</v>
      </c>
      <c r="X331" s="1">
        <v>0</v>
      </c>
      <c r="Y331" s="1">
        <v>0</v>
      </c>
      <c r="Z331" s="1">
        <v>0</v>
      </c>
      <c r="AA331" s="55">
        <v>0</v>
      </c>
      <c r="AB331" s="1">
        <v>4</v>
      </c>
      <c r="AC331" s="1"/>
      <c r="AD331" s="1"/>
      <c r="AE331" s="55"/>
      <c r="AF331" s="55"/>
      <c r="AG331" s="1">
        <v>0</v>
      </c>
      <c r="AH331" s="1">
        <v>0</v>
      </c>
      <c r="AI331" s="1">
        <v>0</v>
      </c>
      <c r="AJ331" s="1">
        <v>0</v>
      </c>
      <c r="AK331" s="1" t="s">
        <v>32</v>
      </c>
      <c r="AL331" s="1" t="s">
        <v>32</v>
      </c>
      <c r="AM331" s="17"/>
      <c r="AN331" s="18"/>
      <c r="AO331" s="18"/>
      <c r="AP331" s="140" t="s">
        <v>1113</v>
      </c>
      <c r="AQ331" s="84">
        <v>0.8</v>
      </c>
    </row>
    <row r="332" spans="2:44">
      <c r="B332" s="73">
        <f t="shared" si="5"/>
        <v>322</v>
      </c>
      <c r="C332" s="1">
        <v>1</v>
      </c>
      <c r="D332" s="54" t="s">
        <v>386</v>
      </c>
      <c r="E332" s="1" t="s">
        <v>294</v>
      </c>
      <c r="F332" s="1" t="s">
        <v>57</v>
      </c>
      <c r="G332" s="1" t="s">
        <v>250</v>
      </c>
      <c r="H332" s="1" t="s">
        <v>1108</v>
      </c>
      <c r="I332" s="1"/>
      <c r="J332" s="1" t="s">
        <v>87</v>
      </c>
      <c r="K332" s="1" t="s">
        <v>453</v>
      </c>
      <c r="L332" s="1" t="s">
        <v>12</v>
      </c>
      <c r="M332" s="1">
        <v>0</v>
      </c>
      <c r="N332" s="1">
        <v>0</v>
      </c>
      <c r="O332" s="1">
        <v>3</v>
      </c>
      <c r="P332" s="1">
        <v>0</v>
      </c>
      <c r="Q332" s="1">
        <v>0</v>
      </c>
      <c r="R332" s="60">
        <v>0</v>
      </c>
      <c r="S332" s="1">
        <v>0</v>
      </c>
      <c r="T332" s="1">
        <v>0</v>
      </c>
      <c r="U332" s="1">
        <v>0</v>
      </c>
      <c r="V332" s="1">
        <v>0</v>
      </c>
      <c r="W332" s="1">
        <v>0</v>
      </c>
      <c r="X332" s="1">
        <v>0</v>
      </c>
      <c r="Y332" s="1">
        <v>0</v>
      </c>
      <c r="Z332" s="1">
        <v>0</v>
      </c>
      <c r="AA332" s="55">
        <v>0</v>
      </c>
      <c r="AB332" s="1">
        <v>4</v>
      </c>
      <c r="AC332" s="1"/>
      <c r="AD332" s="1"/>
      <c r="AE332" s="55"/>
      <c r="AF332" s="55"/>
      <c r="AG332" s="1">
        <v>0</v>
      </c>
      <c r="AH332" s="1">
        <v>0</v>
      </c>
      <c r="AI332" s="1">
        <v>0</v>
      </c>
      <c r="AJ332" s="1">
        <v>0</v>
      </c>
      <c r="AK332" s="1" t="s">
        <v>32</v>
      </c>
      <c r="AL332" s="1" t="s">
        <v>32</v>
      </c>
      <c r="AM332" s="17"/>
      <c r="AN332" s="18"/>
      <c r="AO332" s="18"/>
      <c r="AP332" s="140" t="s">
        <v>1114</v>
      </c>
      <c r="AQ332" s="84">
        <v>0.8</v>
      </c>
    </row>
    <row r="333" spans="2:44">
      <c r="B333" s="73">
        <f t="shared" si="5"/>
        <v>323</v>
      </c>
      <c r="C333" s="1">
        <v>1</v>
      </c>
      <c r="D333" s="54" t="s">
        <v>386</v>
      </c>
      <c r="E333" s="1" t="s">
        <v>294</v>
      </c>
      <c r="F333" s="1" t="s">
        <v>57</v>
      </c>
      <c r="G333" s="1" t="s">
        <v>250</v>
      </c>
      <c r="H333" s="1" t="s">
        <v>1109</v>
      </c>
      <c r="I333" s="1"/>
      <c r="J333" s="1" t="s">
        <v>87</v>
      </c>
      <c r="K333" s="1" t="s">
        <v>453</v>
      </c>
      <c r="L333" s="1" t="s">
        <v>12</v>
      </c>
      <c r="M333" s="1">
        <v>0</v>
      </c>
      <c r="N333" s="1">
        <v>0</v>
      </c>
      <c r="O333" s="1">
        <v>3</v>
      </c>
      <c r="P333" s="1">
        <v>0</v>
      </c>
      <c r="Q333" s="1">
        <v>0</v>
      </c>
      <c r="R333" s="60">
        <v>0</v>
      </c>
      <c r="S333" s="1">
        <v>0</v>
      </c>
      <c r="T333" s="1">
        <v>0</v>
      </c>
      <c r="U333" s="1">
        <v>0</v>
      </c>
      <c r="V333" s="1">
        <v>0</v>
      </c>
      <c r="W333" s="1">
        <v>0</v>
      </c>
      <c r="X333" s="1">
        <v>0</v>
      </c>
      <c r="Y333" s="1">
        <v>0</v>
      </c>
      <c r="Z333" s="1">
        <v>0</v>
      </c>
      <c r="AA333" s="55">
        <v>0</v>
      </c>
      <c r="AB333" s="1">
        <v>4</v>
      </c>
      <c r="AC333" s="1"/>
      <c r="AD333" s="1"/>
      <c r="AE333" s="55"/>
      <c r="AF333" s="55"/>
      <c r="AG333" s="1">
        <v>0</v>
      </c>
      <c r="AH333" s="1">
        <v>0</v>
      </c>
      <c r="AI333" s="1">
        <v>0</v>
      </c>
      <c r="AJ333" s="1">
        <v>0</v>
      </c>
      <c r="AK333" s="1" t="s">
        <v>32</v>
      </c>
      <c r="AL333" s="1" t="s">
        <v>32</v>
      </c>
      <c r="AM333" s="17"/>
      <c r="AN333" s="18"/>
      <c r="AO333" s="18"/>
      <c r="AP333" s="140" t="s">
        <v>1115</v>
      </c>
      <c r="AQ333" s="84">
        <v>0.8</v>
      </c>
    </row>
    <row r="334" spans="2:44">
      <c r="B334" s="73">
        <f>B333+1</f>
        <v>324</v>
      </c>
      <c r="C334" s="1">
        <v>1</v>
      </c>
      <c r="D334" s="1" t="s">
        <v>212</v>
      </c>
      <c r="E334" s="1" t="s">
        <v>101</v>
      </c>
      <c r="F334" s="1" t="s">
        <v>1143</v>
      </c>
      <c r="G334" s="1" t="s">
        <v>1143</v>
      </c>
      <c r="H334" s="1" t="s">
        <v>1144</v>
      </c>
      <c r="I334" s="1"/>
      <c r="J334" s="1" t="s">
        <v>85</v>
      </c>
      <c r="K334" s="1" t="s">
        <v>452</v>
      </c>
      <c r="L334" s="1" t="s">
        <v>1049</v>
      </c>
      <c r="M334" s="1"/>
      <c r="N334" s="1"/>
      <c r="O334" s="1"/>
      <c r="P334" s="1"/>
      <c r="Q334" s="1"/>
      <c r="R334" s="1"/>
      <c r="S334" s="1"/>
      <c r="T334" s="1"/>
      <c r="U334" s="1"/>
      <c r="V334" s="1"/>
      <c r="W334" s="1"/>
      <c r="X334" s="1"/>
      <c r="Y334" s="1">
        <v>2</v>
      </c>
      <c r="Z334" s="1"/>
      <c r="AA334" s="55"/>
      <c r="AB334" s="1"/>
      <c r="AC334" s="1"/>
      <c r="AD334" s="1"/>
      <c r="AE334" s="55"/>
      <c r="AF334" s="1">
        <v>3</v>
      </c>
      <c r="AG334" s="1">
        <v>4</v>
      </c>
      <c r="AH334" s="1"/>
      <c r="AI334" s="1"/>
      <c r="AJ334" s="1">
        <v>3</v>
      </c>
      <c r="AK334" s="1" t="s">
        <v>21</v>
      </c>
      <c r="AL334" s="1" t="s">
        <v>21</v>
      </c>
      <c r="AM334" s="17">
        <v>44967</v>
      </c>
      <c r="AN334" s="18" t="s">
        <v>417</v>
      </c>
      <c r="AO334" s="140" t="s">
        <v>1146</v>
      </c>
      <c r="AP334" s="140" t="s">
        <v>1147</v>
      </c>
      <c r="AQ334" s="75">
        <v>0.9</v>
      </c>
    </row>
    <row r="335" spans="2:44">
      <c r="B335" s="73">
        <f>B334+1</f>
        <v>325</v>
      </c>
      <c r="C335" s="1">
        <v>1</v>
      </c>
      <c r="D335" s="1" t="s">
        <v>212</v>
      </c>
      <c r="E335" s="1" t="s">
        <v>91</v>
      </c>
      <c r="F335" s="1" t="s">
        <v>1096</v>
      </c>
      <c r="G335" s="1" t="s">
        <v>1096</v>
      </c>
      <c r="H335" s="1" t="s">
        <v>1148</v>
      </c>
      <c r="I335" s="1"/>
      <c r="J335" s="1" t="s">
        <v>1145</v>
      </c>
      <c r="K335" s="1" t="s">
        <v>452</v>
      </c>
      <c r="L335" s="1" t="s">
        <v>1049</v>
      </c>
      <c r="M335" s="1"/>
      <c r="N335" s="1"/>
      <c r="O335" s="1"/>
      <c r="P335" s="1"/>
      <c r="Q335" s="1"/>
      <c r="R335" s="1"/>
      <c r="S335" s="1"/>
      <c r="T335" s="1"/>
      <c r="U335" s="1"/>
      <c r="V335" s="1"/>
      <c r="W335" s="1"/>
      <c r="X335" s="1"/>
      <c r="Y335" s="1">
        <v>2</v>
      </c>
      <c r="Z335" s="1"/>
      <c r="AA335" s="55"/>
      <c r="AB335" s="1"/>
      <c r="AC335" s="1"/>
      <c r="AD335" s="1"/>
      <c r="AE335" s="55"/>
      <c r="AF335" s="1">
        <v>3</v>
      </c>
      <c r="AG335" s="1">
        <v>4</v>
      </c>
      <c r="AH335" s="1"/>
      <c r="AI335" s="1"/>
      <c r="AJ335" s="1">
        <v>4</v>
      </c>
      <c r="AK335" s="1" t="s">
        <v>21</v>
      </c>
      <c r="AL335" s="1" t="s">
        <v>21</v>
      </c>
      <c r="AM335" s="17">
        <v>44984</v>
      </c>
      <c r="AN335" s="18" t="s">
        <v>417</v>
      </c>
      <c r="AO335" s="140" t="s">
        <v>1152</v>
      </c>
      <c r="AP335" s="140" t="s">
        <v>1153</v>
      </c>
      <c r="AQ335" s="75">
        <v>0.9</v>
      </c>
    </row>
    <row r="336" spans="2:44">
      <c r="B336" s="73">
        <f>B335+1</f>
        <v>326</v>
      </c>
      <c r="C336" s="1">
        <v>1</v>
      </c>
      <c r="D336" s="1" t="s">
        <v>212</v>
      </c>
      <c r="E336" s="1" t="s">
        <v>91</v>
      </c>
      <c r="F336" s="1" t="s">
        <v>1096</v>
      </c>
      <c r="G336" s="1" t="s">
        <v>1096</v>
      </c>
      <c r="H336" s="1" t="s">
        <v>1149</v>
      </c>
      <c r="I336" s="1"/>
      <c r="J336" s="1" t="s">
        <v>1145</v>
      </c>
      <c r="K336" s="1" t="s">
        <v>452</v>
      </c>
      <c r="L336" s="1" t="s">
        <v>1049</v>
      </c>
      <c r="M336" s="1"/>
      <c r="N336" s="1"/>
      <c r="O336" s="1"/>
      <c r="P336" s="1"/>
      <c r="Q336" s="1"/>
      <c r="R336" s="1"/>
      <c r="S336" s="1"/>
      <c r="T336" s="1"/>
      <c r="U336" s="1"/>
      <c r="V336" s="1"/>
      <c r="W336" s="1"/>
      <c r="X336" s="1"/>
      <c r="Y336" s="1">
        <v>2</v>
      </c>
      <c r="Z336" s="1"/>
      <c r="AA336" s="55"/>
      <c r="AB336" s="1"/>
      <c r="AC336" s="1"/>
      <c r="AD336" s="1"/>
      <c r="AE336" s="55"/>
      <c r="AF336" s="1">
        <v>3</v>
      </c>
      <c r="AG336" s="1">
        <v>4</v>
      </c>
      <c r="AH336" s="1"/>
      <c r="AI336" s="1"/>
      <c r="AJ336" s="1">
        <v>4</v>
      </c>
      <c r="AK336" s="1" t="s">
        <v>21</v>
      </c>
      <c r="AL336" s="1" t="s">
        <v>21</v>
      </c>
      <c r="AM336" s="17">
        <v>44984</v>
      </c>
      <c r="AN336" s="18" t="s">
        <v>417</v>
      </c>
      <c r="AO336" s="140" t="s">
        <v>1152</v>
      </c>
      <c r="AP336" s="140" t="s">
        <v>1153</v>
      </c>
      <c r="AQ336" s="75">
        <v>0.9</v>
      </c>
    </row>
    <row r="337" spans="2:43">
      <c r="B337" s="73">
        <f>B336+1</f>
        <v>327</v>
      </c>
      <c r="C337" s="1">
        <v>1</v>
      </c>
      <c r="D337" s="1" t="s">
        <v>212</v>
      </c>
      <c r="E337" s="1" t="s">
        <v>91</v>
      </c>
      <c r="F337" s="1" t="s">
        <v>1096</v>
      </c>
      <c r="G337" s="1" t="s">
        <v>1096</v>
      </c>
      <c r="H337" s="1" t="s">
        <v>1150</v>
      </c>
      <c r="I337" s="1"/>
      <c r="J337" s="1" t="s">
        <v>1145</v>
      </c>
      <c r="K337" s="1" t="s">
        <v>452</v>
      </c>
      <c r="L337" s="1" t="s">
        <v>1049</v>
      </c>
      <c r="M337" s="1"/>
      <c r="N337" s="1"/>
      <c r="O337" s="1"/>
      <c r="P337" s="1"/>
      <c r="Q337" s="1"/>
      <c r="R337" s="1"/>
      <c r="S337" s="1"/>
      <c r="T337" s="1"/>
      <c r="U337" s="1"/>
      <c r="V337" s="1"/>
      <c r="W337" s="1"/>
      <c r="X337" s="1"/>
      <c r="Y337" s="1">
        <v>2</v>
      </c>
      <c r="Z337" s="1"/>
      <c r="AA337" s="55"/>
      <c r="AB337" s="1"/>
      <c r="AC337" s="1"/>
      <c r="AD337" s="1"/>
      <c r="AE337" s="55"/>
      <c r="AF337" s="1">
        <v>3</v>
      </c>
      <c r="AG337" s="1">
        <v>4</v>
      </c>
      <c r="AH337" s="1"/>
      <c r="AI337" s="1"/>
      <c r="AJ337" s="1">
        <v>4</v>
      </c>
      <c r="AK337" s="1" t="s">
        <v>21</v>
      </c>
      <c r="AL337" s="1" t="s">
        <v>21</v>
      </c>
      <c r="AM337" s="17">
        <v>44984</v>
      </c>
      <c r="AN337" s="18" t="s">
        <v>417</v>
      </c>
      <c r="AO337" s="140" t="s">
        <v>1152</v>
      </c>
      <c r="AP337" s="140" t="s">
        <v>1153</v>
      </c>
      <c r="AQ337" s="75">
        <v>0.9</v>
      </c>
    </row>
    <row r="338" spans="2:43">
      <c r="B338" s="73">
        <f>B337+1</f>
        <v>328</v>
      </c>
      <c r="C338" s="1">
        <v>1</v>
      </c>
      <c r="D338" s="1" t="s">
        <v>212</v>
      </c>
      <c r="E338" s="1" t="s">
        <v>91</v>
      </c>
      <c r="F338" s="1" t="s">
        <v>1096</v>
      </c>
      <c r="G338" s="1" t="s">
        <v>1096</v>
      </c>
      <c r="H338" s="1" t="s">
        <v>1151</v>
      </c>
      <c r="I338" s="1"/>
      <c r="J338" s="1" t="s">
        <v>1145</v>
      </c>
      <c r="K338" s="1" t="s">
        <v>452</v>
      </c>
      <c r="L338" s="1" t="s">
        <v>1049</v>
      </c>
      <c r="M338" s="1"/>
      <c r="N338" s="1"/>
      <c r="O338" s="1"/>
      <c r="P338" s="1"/>
      <c r="Q338" s="1"/>
      <c r="R338" s="1"/>
      <c r="S338" s="1"/>
      <c r="T338" s="1"/>
      <c r="U338" s="1"/>
      <c r="V338" s="1"/>
      <c r="W338" s="1"/>
      <c r="X338" s="1"/>
      <c r="Y338" s="1">
        <v>2</v>
      </c>
      <c r="Z338" s="1"/>
      <c r="AA338" s="55"/>
      <c r="AB338" s="1"/>
      <c r="AC338" s="1"/>
      <c r="AD338" s="1"/>
      <c r="AE338" s="55"/>
      <c r="AF338" s="1">
        <v>3</v>
      </c>
      <c r="AG338" s="1">
        <v>4</v>
      </c>
      <c r="AH338" s="1"/>
      <c r="AI338" s="1"/>
      <c r="AJ338" s="1">
        <v>4</v>
      </c>
      <c r="AK338" s="1" t="s">
        <v>21</v>
      </c>
      <c r="AL338" s="1" t="s">
        <v>21</v>
      </c>
      <c r="AM338" s="17">
        <v>44984</v>
      </c>
      <c r="AN338" s="18" t="s">
        <v>417</v>
      </c>
      <c r="AO338" s="140" t="s">
        <v>1152</v>
      </c>
      <c r="AP338" s="140" t="s">
        <v>1153</v>
      </c>
      <c r="AQ338" s="75">
        <v>0.9</v>
      </c>
    </row>
    <row r="339" spans="2:43">
      <c r="B339" s="73">
        <f t="shared" ref="B339:B350" si="6">B338+1</f>
        <v>329</v>
      </c>
      <c r="C339" s="1">
        <v>1</v>
      </c>
      <c r="D339" s="1" t="s">
        <v>383</v>
      </c>
      <c r="E339" s="1" t="s">
        <v>381</v>
      </c>
      <c r="F339" s="1" t="s">
        <v>380</v>
      </c>
      <c r="G339" s="1"/>
      <c r="H339" s="1" t="s">
        <v>1157</v>
      </c>
      <c r="I339" s="1"/>
      <c r="J339" s="1" t="s">
        <v>85</v>
      </c>
      <c r="K339" s="1" t="s">
        <v>165</v>
      </c>
      <c r="L339" s="1" t="s">
        <v>491</v>
      </c>
      <c r="M339" s="55">
        <v>0</v>
      </c>
      <c r="N339" s="55">
        <v>0</v>
      </c>
      <c r="O339" s="55">
        <v>0</v>
      </c>
      <c r="P339" s="55">
        <v>0</v>
      </c>
      <c r="Q339" s="55">
        <v>0</v>
      </c>
      <c r="R339" s="55">
        <v>0</v>
      </c>
      <c r="S339" s="55">
        <v>0</v>
      </c>
      <c r="T339" s="55">
        <v>0</v>
      </c>
      <c r="U339" s="55">
        <v>0</v>
      </c>
      <c r="V339" s="55">
        <v>0</v>
      </c>
      <c r="W339" s="56">
        <v>4</v>
      </c>
      <c r="X339" s="55">
        <v>0</v>
      </c>
      <c r="Y339" s="55">
        <v>0</v>
      </c>
      <c r="Z339" s="55">
        <v>0</v>
      </c>
      <c r="AA339" s="55">
        <v>0</v>
      </c>
      <c r="AB339" s="55">
        <v>0</v>
      </c>
      <c r="AC339" s="55">
        <v>0</v>
      </c>
      <c r="AD339" s="55">
        <v>3</v>
      </c>
      <c r="AE339" s="55">
        <v>0</v>
      </c>
      <c r="AF339" s="55">
        <v>3</v>
      </c>
      <c r="AG339" s="1">
        <v>0</v>
      </c>
      <c r="AH339" s="1">
        <v>0</v>
      </c>
      <c r="AI339" s="1">
        <v>0</v>
      </c>
      <c r="AJ339" s="1">
        <v>0</v>
      </c>
      <c r="AK339" s="56" t="s">
        <v>21</v>
      </c>
      <c r="AL339" s="1" t="s">
        <v>21</v>
      </c>
      <c r="AM339" s="17"/>
      <c r="AN339" s="18" t="s">
        <v>417</v>
      </c>
      <c r="AO339" s="140" t="s">
        <v>1171</v>
      </c>
      <c r="AP339" s="140" t="s">
        <v>1174</v>
      </c>
      <c r="AQ339" s="84">
        <v>0.8</v>
      </c>
    </row>
    <row r="340" spans="2:43">
      <c r="B340" s="73">
        <f t="shared" si="6"/>
        <v>330</v>
      </c>
      <c r="C340" s="1">
        <v>1</v>
      </c>
      <c r="D340" s="1" t="s">
        <v>383</v>
      </c>
      <c r="E340" s="1" t="s">
        <v>381</v>
      </c>
      <c r="F340" s="1" t="s">
        <v>380</v>
      </c>
      <c r="G340" s="1"/>
      <c r="H340" s="1" t="s">
        <v>1156</v>
      </c>
      <c r="I340" s="1"/>
      <c r="J340" s="1" t="s">
        <v>85</v>
      </c>
      <c r="K340" s="1" t="s">
        <v>165</v>
      </c>
      <c r="L340" s="1" t="s">
        <v>491</v>
      </c>
      <c r="M340" s="55">
        <v>0</v>
      </c>
      <c r="N340" s="55">
        <v>0</v>
      </c>
      <c r="O340" s="55">
        <v>0</v>
      </c>
      <c r="P340" s="55">
        <v>0</v>
      </c>
      <c r="Q340" s="55">
        <v>0</v>
      </c>
      <c r="R340" s="55">
        <v>0</v>
      </c>
      <c r="S340" s="55">
        <v>0</v>
      </c>
      <c r="T340" s="55">
        <v>0</v>
      </c>
      <c r="U340" s="55">
        <v>0</v>
      </c>
      <c r="V340" s="55">
        <v>0</v>
      </c>
      <c r="W340" s="56">
        <v>4</v>
      </c>
      <c r="X340" s="55">
        <v>0</v>
      </c>
      <c r="Y340" s="55">
        <v>0</v>
      </c>
      <c r="Z340" s="55">
        <v>0</v>
      </c>
      <c r="AA340" s="55">
        <v>0</v>
      </c>
      <c r="AB340" s="55">
        <v>0</v>
      </c>
      <c r="AC340" s="55">
        <v>0</v>
      </c>
      <c r="AD340" s="55">
        <v>3</v>
      </c>
      <c r="AE340" s="55">
        <v>0</v>
      </c>
      <c r="AF340" s="55">
        <v>3</v>
      </c>
      <c r="AG340" s="1">
        <v>0</v>
      </c>
      <c r="AH340" s="1">
        <v>0</v>
      </c>
      <c r="AI340" s="1">
        <v>0</v>
      </c>
      <c r="AJ340" s="1">
        <v>0</v>
      </c>
      <c r="AK340" s="56" t="s">
        <v>21</v>
      </c>
      <c r="AL340" s="1" t="s">
        <v>21</v>
      </c>
      <c r="AM340" s="17"/>
      <c r="AN340" s="18" t="s">
        <v>417</v>
      </c>
      <c r="AO340" s="140" t="s">
        <v>1171</v>
      </c>
      <c r="AP340" s="140" t="s">
        <v>1174</v>
      </c>
      <c r="AQ340" s="86">
        <v>0.9</v>
      </c>
    </row>
    <row r="341" spans="2:43">
      <c r="B341" s="73">
        <f t="shared" si="6"/>
        <v>331</v>
      </c>
      <c r="C341" s="1">
        <v>1</v>
      </c>
      <c r="D341" s="1" t="s">
        <v>383</v>
      </c>
      <c r="E341" s="1" t="s">
        <v>381</v>
      </c>
      <c r="F341" s="1" t="s">
        <v>380</v>
      </c>
      <c r="G341" s="1"/>
      <c r="H341" s="1" t="s">
        <v>1159</v>
      </c>
      <c r="I341" s="1"/>
      <c r="J341" s="1" t="s">
        <v>85</v>
      </c>
      <c r="K341" s="1" t="s">
        <v>165</v>
      </c>
      <c r="L341" s="1" t="s">
        <v>491</v>
      </c>
      <c r="M341" s="55">
        <v>0</v>
      </c>
      <c r="N341" s="55">
        <v>0</v>
      </c>
      <c r="O341" s="55">
        <v>0</v>
      </c>
      <c r="P341" s="55">
        <v>0</v>
      </c>
      <c r="Q341" s="55">
        <v>0</v>
      </c>
      <c r="R341" s="55">
        <v>0</v>
      </c>
      <c r="S341" s="55">
        <v>0</v>
      </c>
      <c r="T341" s="55">
        <v>0</v>
      </c>
      <c r="U341" s="55">
        <v>0</v>
      </c>
      <c r="V341" s="55">
        <v>0</v>
      </c>
      <c r="W341" s="56">
        <v>4</v>
      </c>
      <c r="X341" s="55">
        <v>0</v>
      </c>
      <c r="Y341" s="55">
        <v>0</v>
      </c>
      <c r="Z341" s="55">
        <v>0</v>
      </c>
      <c r="AA341" s="55">
        <v>0</v>
      </c>
      <c r="AB341" s="55">
        <v>0</v>
      </c>
      <c r="AC341" s="55">
        <v>0</v>
      </c>
      <c r="AD341" s="55">
        <v>3</v>
      </c>
      <c r="AE341" s="55">
        <v>0</v>
      </c>
      <c r="AF341" s="55">
        <v>3</v>
      </c>
      <c r="AG341" s="1">
        <v>0</v>
      </c>
      <c r="AH341" s="1">
        <v>0</v>
      </c>
      <c r="AI341" s="1">
        <v>0</v>
      </c>
      <c r="AJ341" s="1">
        <v>0</v>
      </c>
      <c r="AK341" s="56" t="s">
        <v>21</v>
      </c>
      <c r="AL341" s="1" t="s">
        <v>21</v>
      </c>
      <c r="AM341" s="17"/>
      <c r="AN341" s="18" t="s">
        <v>417</v>
      </c>
      <c r="AO341" s="140" t="s">
        <v>1171</v>
      </c>
      <c r="AP341" s="140" t="s">
        <v>1174</v>
      </c>
      <c r="AQ341" s="86">
        <v>0.9</v>
      </c>
    </row>
    <row r="342" spans="2:43">
      <c r="B342" s="73">
        <f t="shared" si="6"/>
        <v>332</v>
      </c>
      <c r="C342" s="1">
        <v>1</v>
      </c>
      <c r="D342" s="1" t="s">
        <v>383</v>
      </c>
      <c r="E342" s="1" t="s">
        <v>381</v>
      </c>
      <c r="F342" s="1" t="s">
        <v>380</v>
      </c>
      <c r="G342" s="1"/>
      <c r="H342" s="1" t="s">
        <v>1160</v>
      </c>
      <c r="I342" s="1"/>
      <c r="J342" s="1" t="s">
        <v>85</v>
      </c>
      <c r="K342" s="1" t="s">
        <v>165</v>
      </c>
      <c r="L342" s="1" t="s">
        <v>491</v>
      </c>
      <c r="M342" s="55">
        <v>0</v>
      </c>
      <c r="N342" s="55">
        <v>0</v>
      </c>
      <c r="O342" s="55">
        <v>0</v>
      </c>
      <c r="P342" s="55">
        <v>0</v>
      </c>
      <c r="Q342" s="55">
        <v>0</v>
      </c>
      <c r="R342" s="55">
        <v>0</v>
      </c>
      <c r="S342" s="55">
        <v>0</v>
      </c>
      <c r="T342" s="55">
        <v>0</v>
      </c>
      <c r="U342" s="55">
        <v>0</v>
      </c>
      <c r="V342" s="55">
        <v>0</v>
      </c>
      <c r="W342" s="56">
        <v>4</v>
      </c>
      <c r="X342" s="55">
        <v>0</v>
      </c>
      <c r="Y342" s="55">
        <v>0</v>
      </c>
      <c r="Z342" s="55">
        <v>0</v>
      </c>
      <c r="AA342" s="55">
        <v>0</v>
      </c>
      <c r="AB342" s="55">
        <v>0</v>
      </c>
      <c r="AC342" s="55">
        <v>0</v>
      </c>
      <c r="AD342" s="55">
        <v>3</v>
      </c>
      <c r="AE342" s="55">
        <v>0</v>
      </c>
      <c r="AF342" s="55">
        <v>3</v>
      </c>
      <c r="AG342" s="1">
        <v>0</v>
      </c>
      <c r="AH342" s="1">
        <v>0</v>
      </c>
      <c r="AI342" s="1">
        <v>0</v>
      </c>
      <c r="AJ342" s="1">
        <v>0</v>
      </c>
      <c r="AK342" s="56" t="s">
        <v>21</v>
      </c>
      <c r="AL342" s="1" t="s">
        <v>21</v>
      </c>
      <c r="AM342" s="17"/>
      <c r="AN342" s="18" t="s">
        <v>417</v>
      </c>
      <c r="AO342" s="140" t="s">
        <v>1171</v>
      </c>
      <c r="AP342" s="140" t="s">
        <v>1174</v>
      </c>
      <c r="AQ342" s="86">
        <v>0.9</v>
      </c>
    </row>
    <row r="343" spans="2:43">
      <c r="B343" s="73">
        <f t="shared" si="6"/>
        <v>333</v>
      </c>
      <c r="C343" s="1">
        <v>1</v>
      </c>
      <c r="D343" s="1" t="s">
        <v>383</v>
      </c>
      <c r="E343" s="1" t="s">
        <v>381</v>
      </c>
      <c r="F343" s="1" t="s">
        <v>380</v>
      </c>
      <c r="G343" s="1"/>
      <c r="H343" s="1" t="s">
        <v>1161</v>
      </c>
      <c r="I343" s="1"/>
      <c r="J343" s="1" t="s">
        <v>85</v>
      </c>
      <c r="K343" s="1" t="s">
        <v>165</v>
      </c>
      <c r="L343" s="1" t="s">
        <v>491</v>
      </c>
      <c r="M343" s="55">
        <v>0</v>
      </c>
      <c r="N343" s="55">
        <v>0</v>
      </c>
      <c r="O343" s="55">
        <v>0</v>
      </c>
      <c r="P343" s="55">
        <v>0</v>
      </c>
      <c r="Q343" s="55">
        <v>0</v>
      </c>
      <c r="R343" s="55">
        <v>0</v>
      </c>
      <c r="S343" s="55">
        <v>0</v>
      </c>
      <c r="T343" s="55">
        <v>0</v>
      </c>
      <c r="U343" s="55">
        <v>0</v>
      </c>
      <c r="V343" s="55">
        <v>0</v>
      </c>
      <c r="W343" s="56">
        <v>4</v>
      </c>
      <c r="X343" s="55">
        <v>0</v>
      </c>
      <c r="Y343" s="55">
        <v>0</v>
      </c>
      <c r="Z343" s="55">
        <v>0</v>
      </c>
      <c r="AA343" s="55">
        <v>0</v>
      </c>
      <c r="AB343" s="55">
        <v>0</v>
      </c>
      <c r="AC343" s="55">
        <v>0</v>
      </c>
      <c r="AD343" s="55">
        <v>3</v>
      </c>
      <c r="AE343" s="55">
        <v>0</v>
      </c>
      <c r="AF343" s="55">
        <v>3</v>
      </c>
      <c r="AG343" s="1">
        <v>0</v>
      </c>
      <c r="AH343" s="1">
        <v>0</v>
      </c>
      <c r="AI343" s="1">
        <v>0</v>
      </c>
      <c r="AJ343" s="1">
        <v>0</v>
      </c>
      <c r="AK343" s="56" t="s">
        <v>21</v>
      </c>
      <c r="AL343" s="1" t="s">
        <v>21</v>
      </c>
      <c r="AM343" s="17"/>
      <c r="AN343" s="18" t="s">
        <v>417</v>
      </c>
      <c r="AO343" s="140" t="s">
        <v>1171</v>
      </c>
      <c r="AP343" s="140" t="s">
        <v>1174</v>
      </c>
      <c r="AQ343" s="86">
        <v>0.9</v>
      </c>
    </row>
    <row r="344" spans="2:43">
      <c r="B344" s="73">
        <f t="shared" si="6"/>
        <v>334</v>
      </c>
      <c r="C344" s="1">
        <v>1</v>
      </c>
      <c r="D344" s="1" t="s">
        <v>383</v>
      </c>
      <c r="E344" s="1" t="s">
        <v>381</v>
      </c>
      <c r="F344" s="1" t="s">
        <v>380</v>
      </c>
      <c r="G344" s="1"/>
      <c r="H344" s="1" t="s">
        <v>1162</v>
      </c>
      <c r="I344" s="1"/>
      <c r="J344" s="1" t="s">
        <v>87</v>
      </c>
      <c r="K344" s="1" t="s">
        <v>165</v>
      </c>
      <c r="L344" s="1" t="s">
        <v>491</v>
      </c>
      <c r="M344" s="55">
        <v>0</v>
      </c>
      <c r="N344" s="55">
        <v>0</v>
      </c>
      <c r="O344" s="55">
        <v>0</v>
      </c>
      <c r="P344" s="55">
        <v>0</v>
      </c>
      <c r="Q344" s="55">
        <v>0</v>
      </c>
      <c r="R344" s="55">
        <v>0</v>
      </c>
      <c r="S344" s="55">
        <v>0</v>
      </c>
      <c r="T344" s="55">
        <v>0</v>
      </c>
      <c r="U344" s="55">
        <v>0</v>
      </c>
      <c r="V344" s="55">
        <v>0</v>
      </c>
      <c r="W344" s="56">
        <v>4</v>
      </c>
      <c r="X344" s="55">
        <v>0</v>
      </c>
      <c r="Y344" s="55">
        <v>0</v>
      </c>
      <c r="Z344" s="55">
        <v>0</v>
      </c>
      <c r="AA344" s="55">
        <v>0</v>
      </c>
      <c r="AB344" s="55">
        <v>0</v>
      </c>
      <c r="AC344" s="55">
        <v>0</v>
      </c>
      <c r="AD344" s="55">
        <v>3</v>
      </c>
      <c r="AE344" s="55">
        <v>0</v>
      </c>
      <c r="AF344" s="55">
        <v>3</v>
      </c>
      <c r="AG344" s="1">
        <v>0</v>
      </c>
      <c r="AH344" s="1">
        <v>0</v>
      </c>
      <c r="AI344" s="1">
        <v>0</v>
      </c>
      <c r="AJ344" s="1">
        <v>0</v>
      </c>
      <c r="AK344" s="56" t="s">
        <v>21</v>
      </c>
      <c r="AL344" s="1" t="s">
        <v>21</v>
      </c>
      <c r="AM344" s="17"/>
      <c r="AN344" s="18" t="s">
        <v>417</v>
      </c>
      <c r="AO344" s="140" t="s">
        <v>1171</v>
      </c>
      <c r="AP344" s="140" t="s">
        <v>1174</v>
      </c>
      <c r="AQ344" s="86">
        <v>0.9</v>
      </c>
    </row>
    <row r="345" spans="2:43">
      <c r="B345" s="73">
        <f t="shared" si="6"/>
        <v>335</v>
      </c>
      <c r="C345" s="1">
        <v>1</v>
      </c>
      <c r="D345" s="1" t="s">
        <v>383</v>
      </c>
      <c r="E345" s="1" t="s">
        <v>381</v>
      </c>
      <c r="F345" s="1" t="s">
        <v>380</v>
      </c>
      <c r="G345" s="1"/>
      <c r="H345" s="1" t="s">
        <v>1163</v>
      </c>
      <c r="I345" s="1"/>
      <c r="J345" s="1" t="s">
        <v>86</v>
      </c>
      <c r="K345" s="1" t="s">
        <v>165</v>
      </c>
      <c r="L345" s="1" t="s">
        <v>491</v>
      </c>
      <c r="M345" s="55">
        <v>0</v>
      </c>
      <c r="N345" s="55">
        <v>0</v>
      </c>
      <c r="O345" s="55">
        <v>0</v>
      </c>
      <c r="P345" s="55">
        <v>0</v>
      </c>
      <c r="Q345" s="55">
        <v>0</v>
      </c>
      <c r="R345" s="55">
        <v>0</v>
      </c>
      <c r="S345" s="55">
        <v>0</v>
      </c>
      <c r="T345" s="55">
        <v>0</v>
      </c>
      <c r="U345" s="55">
        <v>0</v>
      </c>
      <c r="V345" s="55">
        <v>0</v>
      </c>
      <c r="W345" s="56">
        <v>4</v>
      </c>
      <c r="X345" s="55">
        <v>0</v>
      </c>
      <c r="Y345" s="55">
        <v>0</v>
      </c>
      <c r="Z345" s="55">
        <v>0</v>
      </c>
      <c r="AA345" s="55">
        <v>0</v>
      </c>
      <c r="AB345" s="55">
        <v>0</v>
      </c>
      <c r="AC345" s="55">
        <v>0</v>
      </c>
      <c r="AD345" s="55">
        <v>0</v>
      </c>
      <c r="AE345" s="55">
        <v>0</v>
      </c>
      <c r="AF345" s="55">
        <v>0</v>
      </c>
      <c r="AG345" s="1">
        <v>0</v>
      </c>
      <c r="AH345" s="1">
        <v>0</v>
      </c>
      <c r="AI345" s="1">
        <v>0</v>
      </c>
      <c r="AJ345" s="1">
        <v>0</v>
      </c>
      <c r="AK345" s="57" t="s">
        <v>32</v>
      </c>
      <c r="AL345" s="1" t="s">
        <v>32</v>
      </c>
      <c r="AM345" s="17"/>
      <c r="AN345" s="18" t="s">
        <v>417</v>
      </c>
      <c r="AO345" s="18"/>
      <c r="AP345" s="140" t="s">
        <v>1174</v>
      </c>
      <c r="AQ345" s="87">
        <v>0.5</v>
      </c>
    </row>
    <row r="346" spans="2:43">
      <c r="B346" s="73">
        <f t="shared" si="6"/>
        <v>336</v>
      </c>
      <c r="C346" s="1">
        <v>1</v>
      </c>
      <c r="D346" s="1" t="s">
        <v>383</v>
      </c>
      <c r="E346" s="1" t="s">
        <v>381</v>
      </c>
      <c r="F346" s="1" t="s">
        <v>380</v>
      </c>
      <c r="G346" s="1"/>
      <c r="H346" s="1" t="s">
        <v>1164</v>
      </c>
      <c r="I346" s="1"/>
      <c r="J346" s="1" t="s">
        <v>87</v>
      </c>
      <c r="K346" s="1" t="s">
        <v>165</v>
      </c>
      <c r="L346" s="1" t="s">
        <v>491</v>
      </c>
      <c r="M346" s="55">
        <v>0</v>
      </c>
      <c r="N346" s="55">
        <v>0</v>
      </c>
      <c r="O346" s="55">
        <v>0</v>
      </c>
      <c r="P346" s="55">
        <v>0</v>
      </c>
      <c r="Q346" s="55">
        <v>0</v>
      </c>
      <c r="R346" s="55">
        <v>0</v>
      </c>
      <c r="S346" s="55">
        <v>0</v>
      </c>
      <c r="T346" s="55">
        <v>0</v>
      </c>
      <c r="U346" s="55">
        <v>0</v>
      </c>
      <c r="V346" s="55">
        <v>0</v>
      </c>
      <c r="W346" s="56">
        <v>4</v>
      </c>
      <c r="X346" s="55">
        <v>0</v>
      </c>
      <c r="Y346" s="55">
        <v>0</v>
      </c>
      <c r="Z346" s="55">
        <v>0</v>
      </c>
      <c r="AA346" s="55">
        <v>0</v>
      </c>
      <c r="AB346" s="55">
        <v>0</v>
      </c>
      <c r="AC346" s="55">
        <v>0</v>
      </c>
      <c r="AD346" s="55">
        <v>3</v>
      </c>
      <c r="AE346" s="55">
        <v>0</v>
      </c>
      <c r="AF346" s="55">
        <v>3</v>
      </c>
      <c r="AG346" s="1">
        <v>0</v>
      </c>
      <c r="AH346" s="1">
        <v>0</v>
      </c>
      <c r="AI346" s="1">
        <v>0</v>
      </c>
      <c r="AJ346" s="1">
        <v>0</v>
      </c>
      <c r="AK346" s="56" t="s">
        <v>21</v>
      </c>
      <c r="AL346" s="1" t="s">
        <v>21</v>
      </c>
      <c r="AM346" s="17"/>
      <c r="AN346" s="18" t="s">
        <v>417</v>
      </c>
      <c r="AO346" s="140" t="s">
        <v>1171</v>
      </c>
      <c r="AP346" s="18" t="s">
        <v>1175</v>
      </c>
      <c r="AQ346" s="84">
        <v>0.8</v>
      </c>
    </row>
    <row r="347" spans="2:43">
      <c r="B347" s="73">
        <f t="shared" si="6"/>
        <v>337</v>
      </c>
      <c r="C347" s="1">
        <v>1</v>
      </c>
      <c r="D347" s="1" t="s">
        <v>383</v>
      </c>
      <c r="E347" s="1" t="s">
        <v>381</v>
      </c>
      <c r="F347" s="1" t="s">
        <v>380</v>
      </c>
      <c r="G347" s="1"/>
      <c r="H347" s="1" t="s">
        <v>1165</v>
      </c>
      <c r="I347" s="1"/>
      <c r="J347" s="1" t="s">
        <v>87</v>
      </c>
      <c r="K347" s="1" t="s">
        <v>165</v>
      </c>
      <c r="L347" s="1" t="s">
        <v>491</v>
      </c>
      <c r="M347" s="55">
        <v>0</v>
      </c>
      <c r="N347" s="55">
        <v>0</v>
      </c>
      <c r="O347" s="55">
        <v>0</v>
      </c>
      <c r="P347" s="55">
        <v>0</v>
      </c>
      <c r="Q347" s="55">
        <v>0</v>
      </c>
      <c r="R347" s="55">
        <v>0</v>
      </c>
      <c r="S347" s="55">
        <v>0</v>
      </c>
      <c r="T347" s="55">
        <v>0</v>
      </c>
      <c r="U347" s="55">
        <v>0</v>
      </c>
      <c r="V347" s="55">
        <v>0</v>
      </c>
      <c r="W347" s="56">
        <v>4</v>
      </c>
      <c r="X347" s="55">
        <v>0</v>
      </c>
      <c r="Y347" s="55">
        <v>0</v>
      </c>
      <c r="Z347" s="55">
        <v>0</v>
      </c>
      <c r="AA347" s="55">
        <v>0</v>
      </c>
      <c r="AB347" s="55">
        <v>0</v>
      </c>
      <c r="AC347" s="55">
        <v>0</v>
      </c>
      <c r="AD347" s="55">
        <v>0</v>
      </c>
      <c r="AE347" s="55">
        <v>0</v>
      </c>
      <c r="AF347" s="55">
        <v>0</v>
      </c>
      <c r="AG347" s="1">
        <v>0</v>
      </c>
      <c r="AH347" s="1">
        <v>0</v>
      </c>
      <c r="AI347" s="1">
        <v>0</v>
      </c>
      <c r="AJ347" s="1">
        <v>0</v>
      </c>
      <c r="AK347" s="57" t="s">
        <v>32</v>
      </c>
      <c r="AL347" s="1" t="s">
        <v>32</v>
      </c>
      <c r="AM347" s="17"/>
      <c r="AN347" s="18" t="s">
        <v>417</v>
      </c>
      <c r="AO347" s="18"/>
      <c r="AP347" s="140" t="s">
        <v>1178</v>
      </c>
      <c r="AQ347" s="87">
        <v>0.5</v>
      </c>
    </row>
    <row r="348" spans="2:43">
      <c r="B348" s="73">
        <f t="shared" si="6"/>
        <v>338</v>
      </c>
      <c r="C348" s="1">
        <v>1</v>
      </c>
      <c r="D348" s="1" t="s">
        <v>383</v>
      </c>
      <c r="E348" s="1" t="s">
        <v>381</v>
      </c>
      <c r="F348" s="1" t="s">
        <v>380</v>
      </c>
      <c r="G348" s="1"/>
      <c r="H348" s="1" t="s">
        <v>1167</v>
      </c>
      <c r="I348" s="1"/>
      <c r="J348" s="1" t="s">
        <v>86</v>
      </c>
      <c r="K348" s="1" t="s">
        <v>165</v>
      </c>
      <c r="L348" s="1" t="s">
        <v>491</v>
      </c>
      <c r="M348" s="55">
        <v>0</v>
      </c>
      <c r="N348" s="55">
        <v>0</v>
      </c>
      <c r="O348" s="55">
        <v>0</v>
      </c>
      <c r="P348" s="55">
        <v>0</v>
      </c>
      <c r="Q348" s="55">
        <v>0</v>
      </c>
      <c r="R348" s="55">
        <v>0</v>
      </c>
      <c r="S348" s="55">
        <v>0</v>
      </c>
      <c r="T348" s="55">
        <v>0</v>
      </c>
      <c r="U348" s="55">
        <v>0</v>
      </c>
      <c r="V348" s="55">
        <v>0</v>
      </c>
      <c r="W348" s="56">
        <v>4</v>
      </c>
      <c r="X348" s="55">
        <v>0</v>
      </c>
      <c r="Y348" s="55">
        <v>0</v>
      </c>
      <c r="Z348" s="55">
        <v>0</v>
      </c>
      <c r="AA348" s="55">
        <v>0</v>
      </c>
      <c r="AB348" s="55">
        <v>0</v>
      </c>
      <c r="AC348" s="55">
        <v>0</v>
      </c>
      <c r="AD348" s="55">
        <v>0</v>
      </c>
      <c r="AE348" s="55">
        <v>0</v>
      </c>
      <c r="AF348" s="55">
        <v>0</v>
      </c>
      <c r="AG348" s="1">
        <v>0</v>
      </c>
      <c r="AH348" s="1">
        <v>0</v>
      </c>
      <c r="AI348" s="1">
        <v>0</v>
      </c>
      <c r="AJ348" s="1">
        <v>0</v>
      </c>
      <c r="AK348" s="57" t="s">
        <v>32</v>
      </c>
      <c r="AL348" s="1" t="s">
        <v>32</v>
      </c>
      <c r="AM348" s="17"/>
      <c r="AN348" s="18" t="s">
        <v>417</v>
      </c>
      <c r="AO348" s="18"/>
      <c r="AP348" s="18" t="s">
        <v>1175</v>
      </c>
      <c r="AQ348" s="84">
        <v>0.8</v>
      </c>
    </row>
    <row r="349" spans="2:43">
      <c r="B349" s="73">
        <f t="shared" si="6"/>
        <v>339</v>
      </c>
      <c r="C349" s="1">
        <v>1</v>
      </c>
      <c r="D349" s="1" t="s">
        <v>383</v>
      </c>
      <c r="E349" s="1" t="s">
        <v>381</v>
      </c>
      <c r="F349" s="1" t="s">
        <v>380</v>
      </c>
      <c r="G349" s="1"/>
      <c r="H349" s="1" t="s">
        <v>1168</v>
      </c>
      <c r="I349" s="1"/>
      <c r="J349" s="1" t="s">
        <v>87</v>
      </c>
      <c r="K349" s="1" t="s">
        <v>165</v>
      </c>
      <c r="L349" s="1" t="s">
        <v>491</v>
      </c>
      <c r="M349" s="55">
        <v>0</v>
      </c>
      <c r="N349" s="55">
        <v>0</v>
      </c>
      <c r="O349" s="55">
        <v>0</v>
      </c>
      <c r="P349" s="55">
        <v>0</v>
      </c>
      <c r="Q349" s="55">
        <v>0</v>
      </c>
      <c r="R349" s="55">
        <v>0</v>
      </c>
      <c r="S349" s="55">
        <v>0</v>
      </c>
      <c r="T349" s="55">
        <v>0</v>
      </c>
      <c r="U349" s="55">
        <v>0</v>
      </c>
      <c r="V349" s="55">
        <v>0</v>
      </c>
      <c r="W349" s="56">
        <v>4</v>
      </c>
      <c r="X349" s="55">
        <v>0</v>
      </c>
      <c r="Y349" s="55">
        <v>0</v>
      </c>
      <c r="Z349" s="55">
        <v>0</v>
      </c>
      <c r="AA349" s="55">
        <v>0</v>
      </c>
      <c r="AB349" s="55">
        <v>0</v>
      </c>
      <c r="AC349" s="55">
        <v>0</v>
      </c>
      <c r="AD349" s="55">
        <v>0</v>
      </c>
      <c r="AE349" s="55">
        <v>0</v>
      </c>
      <c r="AF349" s="55">
        <v>0</v>
      </c>
      <c r="AG349" s="1">
        <v>0</v>
      </c>
      <c r="AH349" s="1">
        <v>0</v>
      </c>
      <c r="AI349" s="1">
        <v>0</v>
      </c>
      <c r="AJ349" s="1">
        <v>0</v>
      </c>
      <c r="AK349" s="57" t="s">
        <v>32</v>
      </c>
      <c r="AL349" s="1" t="s">
        <v>32</v>
      </c>
      <c r="AM349" s="17"/>
      <c r="AN349" s="18" t="s">
        <v>417</v>
      </c>
      <c r="AO349" s="18"/>
      <c r="AP349" s="18" t="s">
        <v>1175</v>
      </c>
      <c r="AQ349" s="84">
        <v>0.8</v>
      </c>
    </row>
    <row r="350" spans="2:43">
      <c r="B350" s="73">
        <f t="shared" si="6"/>
        <v>340</v>
      </c>
      <c r="C350" s="1">
        <v>1</v>
      </c>
      <c r="D350" s="1" t="s">
        <v>383</v>
      </c>
      <c r="E350" s="1" t="s">
        <v>381</v>
      </c>
      <c r="F350" s="1" t="s">
        <v>380</v>
      </c>
      <c r="G350" s="1"/>
      <c r="H350" s="1" t="s">
        <v>1170</v>
      </c>
      <c r="I350" s="1"/>
      <c r="J350" s="1" t="s">
        <v>85</v>
      </c>
      <c r="K350" s="1" t="s">
        <v>165</v>
      </c>
      <c r="L350" s="1" t="s">
        <v>491</v>
      </c>
      <c r="M350" s="55">
        <v>0</v>
      </c>
      <c r="N350" s="55">
        <v>0</v>
      </c>
      <c r="O350" s="55">
        <v>0</v>
      </c>
      <c r="P350" s="55">
        <v>0</v>
      </c>
      <c r="Q350" s="55">
        <v>0</v>
      </c>
      <c r="R350" s="55">
        <v>0</v>
      </c>
      <c r="S350" s="55">
        <v>0</v>
      </c>
      <c r="T350" s="55">
        <v>0</v>
      </c>
      <c r="U350" s="55">
        <v>0</v>
      </c>
      <c r="V350" s="55">
        <v>0</v>
      </c>
      <c r="W350" s="56">
        <v>4</v>
      </c>
      <c r="X350" s="55">
        <v>0</v>
      </c>
      <c r="Y350" s="55">
        <v>0</v>
      </c>
      <c r="Z350" s="55">
        <v>0</v>
      </c>
      <c r="AA350" s="55">
        <v>0</v>
      </c>
      <c r="AB350" s="55">
        <v>0</v>
      </c>
      <c r="AC350" s="55">
        <v>0</v>
      </c>
      <c r="AD350" s="55">
        <v>0</v>
      </c>
      <c r="AE350" s="55">
        <v>0</v>
      </c>
      <c r="AF350" s="55">
        <v>0</v>
      </c>
      <c r="AG350" s="1">
        <v>0</v>
      </c>
      <c r="AH350" s="1">
        <v>0</v>
      </c>
      <c r="AI350" s="1">
        <v>0</v>
      </c>
      <c r="AJ350" s="1">
        <v>0</v>
      </c>
      <c r="AK350" s="57" t="s">
        <v>32</v>
      </c>
      <c r="AL350" s="1" t="s">
        <v>32</v>
      </c>
      <c r="AM350" s="17"/>
      <c r="AN350" s="18" t="s">
        <v>417</v>
      </c>
      <c r="AO350" s="18"/>
      <c r="AP350" s="140" t="s">
        <v>1174</v>
      </c>
      <c r="AQ350" s="86">
        <v>0.9</v>
      </c>
    </row>
    <row r="351" spans="2:43">
      <c r="B351" s="73">
        <f>B350+1</f>
        <v>341</v>
      </c>
      <c r="C351" s="1">
        <v>1</v>
      </c>
      <c r="D351" s="54" t="s">
        <v>386</v>
      </c>
      <c r="E351" s="1" t="s">
        <v>294</v>
      </c>
      <c r="F351" s="1" t="s">
        <v>57</v>
      </c>
      <c r="G351" s="1"/>
      <c r="H351" s="1" t="s">
        <v>1179</v>
      </c>
      <c r="I351" s="1"/>
      <c r="J351" s="1" t="s">
        <v>87</v>
      </c>
      <c r="K351" s="1" t="s">
        <v>12</v>
      </c>
      <c r="L351" s="1" t="s">
        <v>453</v>
      </c>
      <c r="M351" s="1">
        <v>0</v>
      </c>
      <c r="N351" s="1">
        <v>0</v>
      </c>
      <c r="O351" s="1">
        <v>4</v>
      </c>
      <c r="P351" s="1">
        <v>0</v>
      </c>
      <c r="Q351" s="1">
        <v>0</v>
      </c>
      <c r="R351" s="1">
        <v>0</v>
      </c>
      <c r="S351" s="1">
        <v>0</v>
      </c>
      <c r="T351" s="1">
        <v>0</v>
      </c>
      <c r="U351" s="1">
        <v>0</v>
      </c>
      <c r="V351" s="1">
        <v>0</v>
      </c>
      <c r="W351" s="1">
        <v>0</v>
      </c>
      <c r="X351" s="1">
        <v>0</v>
      </c>
      <c r="Y351" s="1">
        <v>0</v>
      </c>
      <c r="Z351" s="1">
        <v>0</v>
      </c>
      <c r="AA351" s="55">
        <v>0</v>
      </c>
      <c r="AB351" s="1">
        <v>4</v>
      </c>
      <c r="AC351" s="1">
        <v>0</v>
      </c>
      <c r="AD351" s="1">
        <v>0</v>
      </c>
      <c r="AE351" s="1">
        <v>0</v>
      </c>
      <c r="AF351" s="1">
        <v>0</v>
      </c>
      <c r="AG351" s="1">
        <v>0</v>
      </c>
      <c r="AH351" s="1">
        <v>0</v>
      </c>
      <c r="AI351" s="1">
        <v>0</v>
      </c>
      <c r="AJ351" s="1">
        <v>0</v>
      </c>
      <c r="AK351" s="1" t="s">
        <v>32</v>
      </c>
      <c r="AL351" s="1" t="s">
        <v>32</v>
      </c>
      <c r="AM351" s="17"/>
      <c r="AN351" s="18"/>
      <c r="AO351" s="18"/>
      <c r="AP351" s="18"/>
      <c r="AQ351" s="84">
        <v>0.8</v>
      </c>
    </row>
    <row r="352" spans="2:43">
      <c r="B352" s="73">
        <f>B351+1</f>
        <v>342</v>
      </c>
      <c r="C352" s="1">
        <v>1</v>
      </c>
      <c r="D352" s="54" t="s">
        <v>386</v>
      </c>
      <c r="E352" s="1" t="s">
        <v>294</v>
      </c>
      <c r="F352" s="1" t="s">
        <v>57</v>
      </c>
      <c r="G352" s="1"/>
      <c r="H352" s="1" t="s">
        <v>1186</v>
      </c>
      <c r="I352" s="1"/>
      <c r="J352" s="1" t="s">
        <v>85</v>
      </c>
      <c r="K352" s="1" t="s">
        <v>12</v>
      </c>
      <c r="L352" s="1" t="s">
        <v>453</v>
      </c>
      <c r="M352" s="1">
        <v>0</v>
      </c>
      <c r="N352" s="1">
        <v>0</v>
      </c>
      <c r="O352" s="1">
        <v>4</v>
      </c>
      <c r="P352" s="1">
        <v>0</v>
      </c>
      <c r="Q352" s="1">
        <v>0</v>
      </c>
      <c r="R352" s="1">
        <v>0</v>
      </c>
      <c r="S352" s="1">
        <v>0</v>
      </c>
      <c r="T352" s="1">
        <v>0</v>
      </c>
      <c r="U352" s="1">
        <v>0</v>
      </c>
      <c r="V352" s="1">
        <v>0</v>
      </c>
      <c r="W352" s="1">
        <v>0</v>
      </c>
      <c r="X352" s="1">
        <v>0</v>
      </c>
      <c r="Y352" s="1">
        <v>0</v>
      </c>
      <c r="Z352" s="1">
        <v>0</v>
      </c>
      <c r="AA352" s="1">
        <v>0</v>
      </c>
      <c r="AB352" s="1">
        <v>4</v>
      </c>
      <c r="AC352" s="1">
        <v>0</v>
      </c>
      <c r="AD352" s="1">
        <v>0</v>
      </c>
      <c r="AE352" s="1">
        <v>0</v>
      </c>
      <c r="AF352" s="1">
        <v>0</v>
      </c>
      <c r="AG352" s="1">
        <v>0</v>
      </c>
      <c r="AH352" s="1">
        <v>0</v>
      </c>
      <c r="AI352" s="1">
        <v>0</v>
      </c>
      <c r="AJ352" s="1">
        <v>0</v>
      </c>
      <c r="AK352" s="1" t="s">
        <v>32</v>
      </c>
      <c r="AL352" s="1" t="s">
        <v>32</v>
      </c>
      <c r="AM352" s="17"/>
      <c r="AN352" s="18"/>
      <c r="AO352" s="18"/>
      <c r="AP352" s="18"/>
      <c r="AQ352" s="86">
        <v>0.9</v>
      </c>
    </row>
    <row r="353" spans="2:43">
      <c r="B353" s="73">
        <f>B352+1</f>
        <v>343</v>
      </c>
      <c r="C353" s="1">
        <v>1</v>
      </c>
      <c r="D353" s="54" t="s">
        <v>386</v>
      </c>
      <c r="E353" s="1" t="s">
        <v>294</v>
      </c>
      <c r="F353" s="1" t="s">
        <v>57</v>
      </c>
      <c r="G353" s="1"/>
      <c r="H353" s="1" t="s">
        <v>1184</v>
      </c>
      <c r="I353" s="1"/>
      <c r="J353" s="1" t="s">
        <v>86</v>
      </c>
      <c r="K353" s="1" t="s">
        <v>12</v>
      </c>
      <c r="L353" s="1" t="s">
        <v>453</v>
      </c>
      <c r="M353" s="1">
        <v>0</v>
      </c>
      <c r="N353" s="1">
        <v>0</v>
      </c>
      <c r="O353" s="1">
        <v>4</v>
      </c>
      <c r="P353" s="1">
        <v>0</v>
      </c>
      <c r="Q353" s="1">
        <v>0</v>
      </c>
      <c r="R353" s="1">
        <v>0</v>
      </c>
      <c r="S353" s="1">
        <v>0</v>
      </c>
      <c r="T353" s="1">
        <v>0</v>
      </c>
      <c r="U353" s="1">
        <v>0</v>
      </c>
      <c r="V353" s="1">
        <v>0</v>
      </c>
      <c r="W353" s="1">
        <v>0</v>
      </c>
      <c r="X353" s="1">
        <v>0</v>
      </c>
      <c r="Y353" s="1">
        <v>0</v>
      </c>
      <c r="Z353" s="1">
        <v>0</v>
      </c>
      <c r="AA353" s="1">
        <v>0</v>
      </c>
      <c r="AB353" s="1">
        <v>4</v>
      </c>
      <c r="AC353" s="1">
        <v>0</v>
      </c>
      <c r="AD353" s="1">
        <v>0</v>
      </c>
      <c r="AE353" s="1">
        <v>0</v>
      </c>
      <c r="AF353" s="1">
        <v>0</v>
      </c>
      <c r="AG353" s="1">
        <v>0</v>
      </c>
      <c r="AH353" s="1">
        <v>0</v>
      </c>
      <c r="AI353" s="1">
        <v>0</v>
      </c>
      <c r="AJ353" s="1">
        <v>0</v>
      </c>
      <c r="AK353" s="1" t="s">
        <v>32</v>
      </c>
      <c r="AL353" s="1" t="s">
        <v>32</v>
      </c>
      <c r="AM353" s="17"/>
      <c r="AN353" s="18"/>
      <c r="AO353" s="18"/>
      <c r="AP353" s="18"/>
      <c r="AQ353" s="145">
        <v>0</v>
      </c>
    </row>
    <row r="354" spans="2:43">
      <c r="B354" s="73">
        <f>B353+1</f>
        <v>344</v>
      </c>
      <c r="C354" s="1">
        <v>1</v>
      </c>
      <c r="D354" s="54" t="s">
        <v>1198</v>
      </c>
      <c r="E354" s="1" t="s">
        <v>10</v>
      </c>
      <c r="F354" s="1" t="s">
        <v>113</v>
      </c>
      <c r="G354" s="1"/>
      <c r="H354" s="1" t="s">
        <v>1200</v>
      </c>
      <c r="I354" s="1"/>
      <c r="J354" s="1" t="s">
        <v>85</v>
      </c>
      <c r="K354" s="1" t="s">
        <v>408</v>
      </c>
      <c r="L354" s="1" t="s">
        <v>330</v>
      </c>
      <c r="M354" s="1"/>
      <c r="N354" s="1"/>
      <c r="O354" s="1"/>
      <c r="P354" s="1"/>
      <c r="Q354" s="1"/>
      <c r="R354" s="1"/>
      <c r="S354" s="1"/>
      <c r="T354" s="1"/>
      <c r="U354" s="1"/>
      <c r="V354" s="1"/>
      <c r="W354" s="1"/>
      <c r="X354" s="1"/>
      <c r="Y354" s="1"/>
      <c r="Z354" s="1">
        <v>2</v>
      </c>
      <c r="AA354" s="55"/>
      <c r="AB354" s="1"/>
      <c r="AC354" s="1"/>
      <c r="AD354" s="1"/>
      <c r="AE354" s="55"/>
      <c r="AF354" s="55"/>
      <c r="AG354" s="1"/>
      <c r="AH354" s="1"/>
      <c r="AI354" s="1"/>
      <c r="AJ354" s="1"/>
      <c r="AK354" s="1" t="s">
        <v>21</v>
      </c>
      <c r="AL354" s="1" t="s">
        <v>21</v>
      </c>
      <c r="AM354" s="17"/>
      <c r="AN354" s="18"/>
      <c r="AO354" s="18"/>
      <c r="AP354" s="18"/>
      <c r="AQ354" s="148"/>
    </row>
    <row r="355" spans="2:43">
      <c r="B355" s="73">
        <f>B353+1</f>
        <v>344</v>
      </c>
      <c r="C355" s="1">
        <v>1</v>
      </c>
      <c r="D355" s="54" t="s">
        <v>1198</v>
      </c>
      <c r="E355" s="1" t="s">
        <v>1199</v>
      </c>
      <c r="F355" s="1" t="s">
        <v>113</v>
      </c>
      <c r="G355" s="1"/>
      <c r="H355" s="1" t="s">
        <v>1201</v>
      </c>
      <c r="I355" s="1"/>
      <c r="J355" s="1" t="s">
        <v>87</v>
      </c>
      <c r="K355" s="1" t="s">
        <v>408</v>
      </c>
      <c r="L355" s="1" t="s">
        <v>330</v>
      </c>
      <c r="M355" s="1"/>
      <c r="N355" s="1"/>
      <c r="O355" s="1"/>
      <c r="P355" s="1"/>
      <c r="Q355" s="1"/>
      <c r="R355" s="1"/>
      <c r="S355" s="1"/>
      <c r="T355" s="1"/>
      <c r="U355" s="1"/>
      <c r="V355" s="1"/>
      <c r="W355" s="1"/>
      <c r="X355" s="1"/>
      <c r="Y355" s="1"/>
      <c r="Z355" s="1">
        <v>2</v>
      </c>
      <c r="AA355" s="55"/>
      <c r="AB355" s="1"/>
      <c r="AC355" s="1"/>
      <c r="AD355" s="1"/>
      <c r="AE355" s="55"/>
      <c r="AF355" s="55"/>
      <c r="AG355" s="1"/>
      <c r="AH355" s="1"/>
      <c r="AI355" s="1"/>
      <c r="AJ355" s="1"/>
      <c r="AK355" s="1" t="s">
        <v>21</v>
      </c>
      <c r="AL355" s="1" t="s">
        <v>21</v>
      </c>
      <c r="AM355" s="17"/>
      <c r="AN355" s="18"/>
      <c r="AO355" s="18"/>
      <c r="AP355" s="18"/>
      <c r="AQ355" s="148"/>
    </row>
    <row r="356" spans="2:43">
      <c r="B356" s="73">
        <f>B353+1</f>
        <v>344</v>
      </c>
      <c r="C356" s="1">
        <v>1</v>
      </c>
      <c r="D356" s="54" t="s">
        <v>109</v>
      </c>
      <c r="E356" s="1" t="s">
        <v>294</v>
      </c>
      <c r="F356" s="1" t="s">
        <v>109</v>
      </c>
      <c r="G356" s="1" t="s">
        <v>1196</v>
      </c>
      <c r="H356" s="1" t="s">
        <v>1197</v>
      </c>
      <c r="I356" s="1"/>
      <c r="J356" s="1" t="s">
        <v>85</v>
      </c>
      <c r="K356" s="1" t="s">
        <v>408</v>
      </c>
      <c r="L356" s="1" t="s">
        <v>330</v>
      </c>
      <c r="M356" s="1"/>
      <c r="N356" s="1"/>
      <c r="O356" s="1"/>
      <c r="P356" s="1"/>
      <c r="Q356" s="1"/>
      <c r="R356" s="1"/>
      <c r="S356" s="1"/>
      <c r="T356" s="1"/>
      <c r="U356" s="1"/>
      <c r="V356" s="1"/>
      <c r="W356" s="1"/>
      <c r="X356" s="1"/>
      <c r="Y356" s="1"/>
      <c r="Z356" s="1">
        <v>2</v>
      </c>
      <c r="AA356" s="55"/>
      <c r="AB356" s="1"/>
      <c r="AC356" s="1"/>
      <c r="AD356" s="1"/>
      <c r="AE356" s="55"/>
      <c r="AF356" s="55"/>
      <c r="AG356" s="1"/>
      <c r="AH356" s="1"/>
      <c r="AI356" s="1"/>
      <c r="AJ356" s="1"/>
      <c r="AK356" s="1" t="s">
        <v>21</v>
      </c>
      <c r="AL356" s="1" t="s">
        <v>21</v>
      </c>
      <c r="AM356" s="17"/>
      <c r="AN356" s="18"/>
      <c r="AO356" s="18"/>
      <c r="AP356" s="18"/>
      <c r="AQ356" s="148"/>
    </row>
    <row r="357" spans="2:43">
      <c r="B357" s="73">
        <f>B353+1</f>
        <v>344</v>
      </c>
      <c r="C357" s="1">
        <v>1</v>
      </c>
      <c r="D357" s="1" t="s">
        <v>1188</v>
      </c>
      <c r="E357" s="1" t="s">
        <v>1187</v>
      </c>
      <c r="F357" s="1" t="s">
        <v>1188</v>
      </c>
      <c r="G357" s="1" t="s">
        <v>1189</v>
      </c>
      <c r="H357" s="1" t="s">
        <v>1191</v>
      </c>
      <c r="I357" s="1"/>
      <c r="J357" s="1" t="s">
        <v>85</v>
      </c>
      <c r="K357" s="1" t="s">
        <v>340</v>
      </c>
      <c r="L357" s="1" t="s">
        <v>1195</v>
      </c>
      <c r="M357" s="55">
        <v>0</v>
      </c>
      <c r="N357" s="55">
        <v>0</v>
      </c>
      <c r="O357" s="55">
        <v>0</v>
      </c>
      <c r="P357" s="55">
        <v>0</v>
      </c>
      <c r="Q357" s="55">
        <v>0</v>
      </c>
      <c r="R357" s="55">
        <v>0</v>
      </c>
      <c r="S357" s="55">
        <v>0</v>
      </c>
      <c r="T357" s="55">
        <v>0</v>
      </c>
      <c r="U357" s="55">
        <v>0</v>
      </c>
      <c r="V357" s="55">
        <v>0</v>
      </c>
      <c r="W357" s="55">
        <v>0</v>
      </c>
      <c r="X357" s="1">
        <v>4</v>
      </c>
      <c r="Y357" s="55">
        <v>0</v>
      </c>
      <c r="Z357" s="55">
        <v>0</v>
      </c>
      <c r="AA357" s="55">
        <v>0</v>
      </c>
      <c r="AB357" s="55">
        <v>0</v>
      </c>
      <c r="AC357" s="55">
        <v>0</v>
      </c>
      <c r="AD357" s="55">
        <v>0</v>
      </c>
      <c r="AE357" s="55">
        <v>0</v>
      </c>
      <c r="AF357" s="55">
        <v>0</v>
      </c>
      <c r="AG357" s="55">
        <v>0</v>
      </c>
      <c r="AH357" s="55">
        <v>0</v>
      </c>
      <c r="AI357" s="55">
        <v>0</v>
      </c>
      <c r="AJ357" s="55">
        <v>0</v>
      </c>
      <c r="AK357" s="1" t="s">
        <v>32</v>
      </c>
      <c r="AL357" s="1" t="s">
        <v>32</v>
      </c>
      <c r="AM357" s="17"/>
      <c r="AN357" s="18"/>
      <c r="AO357" s="18"/>
      <c r="AP357" s="18"/>
      <c r="AQ357" s="18"/>
    </row>
    <row r="358" spans="2:43">
      <c r="B358" s="73">
        <f t="shared" ref="B358:B360" si="7">B357+1</f>
        <v>345</v>
      </c>
      <c r="C358" s="1">
        <v>1</v>
      </c>
      <c r="D358" s="1" t="s">
        <v>1188</v>
      </c>
      <c r="E358" s="1" t="s">
        <v>101</v>
      </c>
      <c r="F358" s="1" t="s">
        <v>1188</v>
      </c>
      <c r="G358" s="1" t="s">
        <v>1190</v>
      </c>
      <c r="H358" s="1" t="s">
        <v>1192</v>
      </c>
      <c r="I358" s="1"/>
      <c r="J358" s="1" t="s">
        <v>87</v>
      </c>
      <c r="K358" s="1" t="s">
        <v>340</v>
      </c>
      <c r="L358" s="1" t="s">
        <v>1195</v>
      </c>
      <c r="M358" s="55">
        <v>0</v>
      </c>
      <c r="N358" s="55">
        <v>0</v>
      </c>
      <c r="O358" s="55">
        <v>0</v>
      </c>
      <c r="P358" s="55">
        <v>0</v>
      </c>
      <c r="Q358" s="55">
        <v>0</v>
      </c>
      <c r="R358" s="55">
        <v>0</v>
      </c>
      <c r="S358" s="55">
        <v>0</v>
      </c>
      <c r="T358" s="55">
        <v>0</v>
      </c>
      <c r="U358" s="55">
        <v>0</v>
      </c>
      <c r="V358" s="55">
        <v>0</v>
      </c>
      <c r="W358" s="55">
        <v>0</v>
      </c>
      <c r="X358" s="1">
        <v>4</v>
      </c>
      <c r="Y358" s="55">
        <v>0</v>
      </c>
      <c r="Z358" s="55">
        <v>0</v>
      </c>
      <c r="AA358" s="55">
        <v>0</v>
      </c>
      <c r="AB358" s="55">
        <v>0</v>
      </c>
      <c r="AC358" s="55">
        <v>0</v>
      </c>
      <c r="AD358" s="55">
        <v>0</v>
      </c>
      <c r="AE358" s="55">
        <v>0</v>
      </c>
      <c r="AF358" s="55">
        <v>0</v>
      </c>
      <c r="AG358" s="55">
        <v>0</v>
      </c>
      <c r="AH358" s="55">
        <v>0</v>
      </c>
      <c r="AI358" s="55">
        <v>0</v>
      </c>
      <c r="AJ358" s="55">
        <v>0</v>
      </c>
      <c r="AK358" s="1" t="s">
        <v>32</v>
      </c>
      <c r="AL358" s="1" t="s">
        <v>32</v>
      </c>
      <c r="AM358" s="17"/>
      <c r="AN358" s="18"/>
      <c r="AO358" s="18"/>
      <c r="AP358" s="18"/>
      <c r="AQ358" s="18"/>
    </row>
    <row r="359" spans="2:43">
      <c r="B359" s="73">
        <f t="shared" si="7"/>
        <v>346</v>
      </c>
      <c r="C359" s="1">
        <v>1</v>
      </c>
      <c r="D359" s="1" t="s">
        <v>1188</v>
      </c>
      <c r="E359" s="1" t="s">
        <v>294</v>
      </c>
      <c r="F359" s="1" t="s">
        <v>1188</v>
      </c>
      <c r="G359" s="1" t="s">
        <v>1188</v>
      </c>
      <c r="H359" s="1" t="s">
        <v>1193</v>
      </c>
      <c r="I359" s="1"/>
      <c r="J359" s="1" t="s">
        <v>87</v>
      </c>
      <c r="K359" s="1" t="s">
        <v>340</v>
      </c>
      <c r="L359" s="1" t="s">
        <v>1195</v>
      </c>
      <c r="M359" s="55">
        <v>0</v>
      </c>
      <c r="N359" s="55">
        <v>0</v>
      </c>
      <c r="O359" s="55">
        <v>0</v>
      </c>
      <c r="P359" s="55">
        <v>0</v>
      </c>
      <c r="Q359" s="55">
        <v>0</v>
      </c>
      <c r="R359" s="55">
        <v>0</v>
      </c>
      <c r="S359" s="55">
        <v>0</v>
      </c>
      <c r="T359" s="55">
        <v>0</v>
      </c>
      <c r="U359" s="55">
        <v>0</v>
      </c>
      <c r="V359" s="55">
        <v>0</v>
      </c>
      <c r="W359" s="55">
        <v>0</v>
      </c>
      <c r="X359" s="1">
        <v>4</v>
      </c>
      <c r="Y359" s="55">
        <v>0</v>
      </c>
      <c r="Z359" s="55">
        <v>0</v>
      </c>
      <c r="AA359" s="55">
        <v>0</v>
      </c>
      <c r="AB359" s="55">
        <v>0</v>
      </c>
      <c r="AC359" s="55">
        <v>0</v>
      </c>
      <c r="AD359" s="55">
        <v>0</v>
      </c>
      <c r="AE359" s="55">
        <v>0</v>
      </c>
      <c r="AF359" s="55">
        <v>0</v>
      </c>
      <c r="AG359" s="55">
        <v>0</v>
      </c>
      <c r="AH359" s="55">
        <v>0</v>
      </c>
      <c r="AI359" s="55">
        <v>0</v>
      </c>
      <c r="AJ359" s="55">
        <v>0</v>
      </c>
      <c r="AK359" s="1" t="s">
        <v>32</v>
      </c>
      <c r="AL359" s="1" t="s">
        <v>32</v>
      </c>
      <c r="AM359" s="17"/>
      <c r="AN359" s="18"/>
      <c r="AO359" s="18"/>
      <c r="AP359" s="18"/>
      <c r="AQ359" s="18"/>
    </row>
    <row r="360" spans="2:43">
      <c r="B360" s="73">
        <f t="shared" si="7"/>
        <v>347</v>
      </c>
      <c r="C360" s="1">
        <v>1</v>
      </c>
      <c r="D360" s="1" t="s">
        <v>1188</v>
      </c>
      <c r="E360" s="1" t="s">
        <v>294</v>
      </c>
      <c r="F360" s="1" t="s">
        <v>1188</v>
      </c>
      <c r="G360" s="1" t="s">
        <v>1188</v>
      </c>
      <c r="H360" s="1" t="s">
        <v>1194</v>
      </c>
      <c r="I360" s="1"/>
      <c r="J360" s="1" t="s">
        <v>86</v>
      </c>
      <c r="K360" s="1" t="s">
        <v>340</v>
      </c>
      <c r="L360" s="1" t="s">
        <v>1195</v>
      </c>
      <c r="M360" s="55">
        <v>0</v>
      </c>
      <c r="N360" s="55">
        <v>0</v>
      </c>
      <c r="O360" s="55">
        <v>0</v>
      </c>
      <c r="P360" s="55">
        <v>0</v>
      </c>
      <c r="Q360" s="55">
        <v>0</v>
      </c>
      <c r="R360" s="55">
        <v>0</v>
      </c>
      <c r="S360" s="55">
        <v>0</v>
      </c>
      <c r="T360" s="55">
        <v>0</v>
      </c>
      <c r="U360" s="55">
        <v>0</v>
      </c>
      <c r="V360" s="55">
        <v>0</v>
      </c>
      <c r="W360" s="55">
        <v>0</v>
      </c>
      <c r="X360" s="1">
        <v>4</v>
      </c>
      <c r="Y360" s="55">
        <v>0</v>
      </c>
      <c r="Z360" s="55">
        <v>0</v>
      </c>
      <c r="AA360" s="55">
        <v>0</v>
      </c>
      <c r="AB360" s="55">
        <v>0</v>
      </c>
      <c r="AC360" s="55">
        <v>0</v>
      </c>
      <c r="AD360" s="55">
        <v>0</v>
      </c>
      <c r="AE360" s="55">
        <v>0</v>
      </c>
      <c r="AF360" s="55">
        <v>0</v>
      </c>
      <c r="AG360" s="55">
        <v>0</v>
      </c>
      <c r="AH360" s="55">
        <v>0</v>
      </c>
      <c r="AI360" s="55">
        <v>0</v>
      </c>
      <c r="AJ360" s="55">
        <v>0</v>
      </c>
      <c r="AK360" s="1" t="s">
        <v>32</v>
      </c>
      <c r="AL360" s="1" t="s">
        <v>32</v>
      </c>
      <c r="AM360" s="17"/>
      <c r="AN360" s="18"/>
      <c r="AO360" s="18"/>
      <c r="AP360" s="18"/>
      <c r="AQ360" s="18"/>
    </row>
  </sheetData>
  <mergeCells count="8">
    <mergeCell ref="AO1:AQ1"/>
    <mergeCell ref="Q3:T3"/>
    <mergeCell ref="Q2:T2"/>
    <mergeCell ref="Q1:T1"/>
    <mergeCell ref="E4:H7"/>
    <mergeCell ref="Q4:T4"/>
    <mergeCell ref="Q5:T5"/>
    <mergeCell ref="Q6:T6"/>
  </mergeCells>
  <conditionalFormatting sqref="AA27:AF56 AE271:AF271 AE267:AF268 AE264:AF264 AA59:AF62 AF243:AF244 AA63:AI151 AA163:AG165 AH161:AI165 AA152:AG154 AA166:AI203 AG234:AI242 M11:AI11 M35:Y35 M27:Z34 M272:AF292 M12:AF26 M163:Z203 M160:AI160 M204:AI214 M219:AA219 M229:AF230 M59:Z154 M159:AG159 M161:AG162 M234:AF236 M237:Z242 M245:Z246 M57:AF58 M304:AF307 M318:AI318 AJ198:AJ199 AJ11:AJ145 M293:AJ303 M221:AA221 AG221:AI221 AG228:AI230 M228:AA228 M216:AF218 AG216:AI219 M36:Z56 Y293:Y327">
    <cfRule type="containsBlanks" dxfId="1852" priority="1650" stopIfTrue="1">
      <formula>LEN(TRIM(M11))=0</formula>
    </cfRule>
    <cfRule type="cellIs" dxfId="1851" priority="1651" operator="equal">
      <formula>4</formula>
    </cfRule>
    <cfRule type="cellIs" dxfId="1850" priority="1652" operator="equal">
      <formula>3</formula>
    </cfRule>
    <cfRule type="cellIs" dxfId="1849" priority="1653" operator="equal">
      <formula>2</formula>
    </cfRule>
    <cfRule type="cellIs" dxfId="1848" priority="1654" operator="equal">
      <formula>1</formula>
    </cfRule>
    <cfRule type="cellIs" dxfId="1847" priority="1655" operator="equal">
      <formula>0</formula>
    </cfRule>
  </conditionalFormatting>
  <conditionalFormatting sqref="AK11:AL15 AK163:AL187 AK159:AL161 AK190:AL199 AK293:AL300 AK17:AL56 AK221:AL221 AK228:AL230 AK59:AL154 AK200 AK216:AL219 AK201:AL214 AK204:AK317 AL216:AL350">
    <cfRule type="containsBlanks" dxfId="1846" priority="1647" stopIfTrue="1">
      <formula>LEN(TRIM(AK11))=0</formula>
    </cfRule>
    <cfRule type="containsText" dxfId="1845" priority="1648" operator="containsText" text="NO">
      <formula>NOT(ISERROR(SEARCH("NO",AK11)))</formula>
    </cfRule>
    <cfRule type="containsText" dxfId="1844" priority="1649" operator="containsText" text="YES">
      <formula>NOT(ISERROR(SEARCH("YES",AK11)))</formula>
    </cfRule>
  </conditionalFormatting>
  <conditionalFormatting sqref="C55:F55 X54:X56 C35:K35 C41:K41 C75:K75 C100:K100 C171:K171 AE271:AF271 AE267:AF268 AA27:AF56 AA59:AF62 AK288:AR291 AM156:AR158 C155:L158 AK152:AQ154 AM155:AQ155 AA219 AA229:AF230 X200:X214 AF243:AF244 D216:E219 D301:E303 AA63:AI151 AA163:AG165 AH161:AI165 AH294:AI303 AA152:AG154 AK17:AR43 B17:B57 AM188:AQ189 AA166:AI203 B59:B161 C292:I292 AK292:AM292 D237:D242 B163:B214 AK237:AQ242 B308:B317 AK163:AR163 H55:Z55 C36:Z40 M75:Z75 M100:Z100 M171:Z171 M35:Y35 M41:Z41 C56:Z56 B12:AF16 C288:AF291 C163:Z170 K301:AI303 C159:AG159 C161:AG161 K292:AF292 C27:Z34 C204:AI214 C279:AF279 M234:AI242 C17:AF26 M188:Z189 M245:Z246 M272:AF278 M280:AF287 C57:AF57 B162:AG162 F304:AF304 H58:AF58 B305:AF307 B11:AI11 AK11:AR15 C160:AI160 AK159:AR161 C293:AI296 D300:J300 M318:AI318 AJ198:AJ199 AJ11:AJ145 AJ293:AJ303 AK166:AR167 AK164:AP165 AR164:AR165 AK168:AP168 AR168 B221 AG221:AI221 D221:E221 X221 AA221 AA228 X228:X230 D228:E230 AG228:AI230 B228:B230 B234:B304 AK150:AP151 AR150:AR151 AK200 C59:Z74 C76:Z99 C172:Z187 C190:Z203 K243:L246 C297:J299 L297:AI300 B216:B219 AG216:AI219 X216:X219 AA216:AF218 C42:Z54 AK45:AR45 AK44:AP44 AR44 AK48:AR49 AK46:AP47 AR46:AR47 AK54:AR56 AK50:AP53 AR50:AR53 AK140:AP140 AR140 AK169:AR187 AM200:AR200 AK297:AM300 AO297:AR300 AK141:AR149 C101:Z154 Y293:Y327 AK59:AR139 AK293:AR296 AK190:AR199 AK201:AR203 AK279:AL279 AK204:AK317 AK207:AR214 AK204:AL206 AO279:AR279 AN204:AR206">
    <cfRule type="expression" dxfId="1843" priority="1634">
      <formula>AND($C11=0,$C11&lt;&gt;"")</formula>
    </cfRule>
  </conditionalFormatting>
  <conditionalFormatting sqref="G55">
    <cfRule type="expression" dxfId="1842" priority="1633">
      <formula>AND($C55=0,$C55&lt;&gt;"")</formula>
    </cfRule>
  </conditionalFormatting>
  <conditionalFormatting sqref="AK189:AL189">
    <cfRule type="containsBlanks" dxfId="1841" priority="1624" stopIfTrue="1">
      <formula>LEN(TRIM(AK189))=0</formula>
    </cfRule>
    <cfRule type="containsText" dxfId="1840" priority="1625" operator="containsText" text="NO">
      <formula>NOT(ISERROR(SEARCH("NO",AK189)))</formula>
    </cfRule>
    <cfRule type="containsText" dxfId="1839" priority="1626" operator="containsText" text="YES">
      <formula>NOT(ISERROR(SEARCH("YES",AK189)))</formula>
    </cfRule>
  </conditionalFormatting>
  <conditionalFormatting sqref="C189:J189 AR189 AK189:AL189">
    <cfRule type="expression" dxfId="1838" priority="1623">
      <formula>AND($C189=0,$C189&lt;&gt;"")</formula>
    </cfRule>
  </conditionalFormatting>
  <conditionalFormatting sqref="AK188:AL188">
    <cfRule type="containsBlanks" dxfId="1837" priority="1614" stopIfTrue="1">
      <formula>LEN(TRIM(AK188))=0</formula>
    </cfRule>
    <cfRule type="containsText" dxfId="1836" priority="1615" operator="containsText" text="NO">
      <formula>NOT(ISERROR(SEARCH("NO",AK188)))</formula>
    </cfRule>
    <cfRule type="containsText" dxfId="1835" priority="1616" operator="containsText" text="YES">
      <formula>NOT(ISERROR(SEARCH("YES",AK188)))</formula>
    </cfRule>
  </conditionalFormatting>
  <conditionalFormatting sqref="C188:J188 AR188 AK188:AL188">
    <cfRule type="expression" dxfId="1834" priority="1613">
      <formula>AND($C188=0,$C188&lt;&gt;"")</formula>
    </cfRule>
  </conditionalFormatting>
  <conditionalFormatting sqref="L188">
    <cfRule type="expression" dxfId="1833" priority="1608">
      <formula>AND($C188=0,$C188&lt;&gt;"")</formula>
    </cfRule>
  </conditionalFormatting>
  <conditionalFormatting sqref="L189">
    <cfRule type="expression" dxfId="1832" priority="1607">
      <formula>AND($C189=0,$C189&lt;&gt;"")</formula>
    </cfRule>
  </conditionalFormatting>
  <conditionalFormatting sqref="K188">
    <cfRule type="expression" dxfId="1831" priority="1606">
      <formula>AND($C188=0,$C188&lt;&gt;"")</formula>
    </cfRule>
  </conditionalFormatting>
  <conditionalFormatting sqref="K189">
    <cfRule type="expression" dxfId="1830" priority="1605">
      <formula>AND($C189=0,$C189&lt;&gt;"")</formula>
    </cfRule>
  </conditionalFormatting>
  <conditionalFormatting sqref="C234:G234">
    <cfRule type="expression" dxfId="1829" priority="1604">
      <formula>AND($C234=0,$C234&lt;&gt;"")</formula>
    </cfRule>
  </conditionalFormatting>
  <conditionalFormatting sqref="AR234">
    <cfRule type="expression" dxfId="1828" priority="1577">
      <formula>AND($C234=0,$C234&lt;&gt;"")</formula>
    </cfRule>
  </conditionalFormatting>
  <conditionalFormatting sqref="D235">
    <cfRule type="expression" dxfId="1827" priority="1576">
      <formula>AND($C235=0,$C235&lt;&gt;"")</formula>
    </cfRule>
  </conditionalFormatting>
  <conditionalFormatting sqref="K235:L242">
    <cfRule type="expression" dxfId="1826" priority="1549">
      <formula>AND($C235=0,$C235&lt;&gt;"")</formula>
    </cfRule>
  </conditionalFormatting>
  <conditionalFormatting sqref="AK234:AL234">
    <cfRule type="containsBlanks" dxfId="1825" priority="1515" stopIfTrue="1">
      <formula>LEN(TRIM(AK234))=0</formula>
    </cfRule>
    <cfRule type="containsText" dxfId="1824" priority="1516" operator="containsText" text="NO">
      <formula>NOT(ISERROR(SEARCH("NO",AK234)))</formula>
    </cfRule>
    <cfRule type="containsText" dxfId="1823" priority="1517" operator="containsText" text="YES">
      <formula>NOT(ISERROR(SEARCH("YES",AK234)))</formula>
    </cfRule>
  </conditionalFormatting>
  <conditionalFormatting sqref="AK234:AQ234">
    <cfRule type="expression" dxfId="1822" priority="1514">
      <formula>AND($C234=0,$C234&lt;&gt;"")</formula>
    </cfRule>
  </conditionalFormatting>
  <conditionalFormatting sqref="AA244:AE244 AA246:AG246 AA248:AF248 AA251:AF251 AA253:AF253 AA255:AF255 AA257:AF257 AA259:AF259 AG244 AA237:AF242">
    <cfRule type="containsBlanks" dxfId="1821" priority="1508" stopIfTrue="1">
      <formula>LEN(TRIM(AA237))=0</formula>
    </cfRule>
    <cfRule type="cellIs" dxfId="1820" priority="1509" operator="equal">
      <formula>4</formula>
    </cfRule>
    <cfRule type="cellIs" dxfId="1819" priority="1510" operator="equal">
      <formula>3</formula>
    </cfRule>
    <cfRule type="cellIs" dxfId="1818" priority="1511" operator="equal">
      <formula>2</formula>
    </cfRule>
    <cfRule type="cellIs" dxfId="1817" priority="1512" operator="equal">
      <formula>1</formula>
    </cfRule>
    <cfRule type="cellIs" dxfId="1816" priority="1513" operator="equal">
      <formula>0</formula>
    </cfRule>
  </conditionalFormatting>
  <conditionalFormatting sqref="AK235:AL235">
    <cfRule type="containsBlanks" dxfId="1815" priority="1505" stopIfTrue="1">
      <formula>LEN(TRIM(AK235))=0</formula>
    </cfRule>
    <cfRule type="containsText" dxfId="1814" priority="1506" operator="containsText" text="NO">
      <formula>NOT(ISERROR(SEARCH("NO",AK235)))</formula>
    </cfRule>
    <cfRule type="containsText" dxfId="1813" priority="1507" operator="containsText" text="YES">
      <formula>NOT(ISERROR(SEARCH("YES",AK235)))</formula>
    </cfRule>
  </conditionalFormatting>
  <conditionalFormatting sqref="AA244:AE244 AA246:AG246 AA248:AF248 AA251:AF251 AA253:AF253 AA255:AF255 AA257:AF257 AA259:AF259 AK235:AQ235 AG244">
    <cfRule type="expression" dxfId="1812" priority="1504">
      <formula>AND($C235=0,$C235&lt;&gt;"")</formula>
    </cfRule>
  </conditionalFormatting>
  <conditionalFormatting sqref="D236">
    <cfRule type="expression" dxfId="1811" priority="1503">
      <formula>AND($C236=0,$C236&lt;&gt;"")</formula>
    </cfRule>
  </conditionalFormatting>
  <conditionalFormatting sqref="AA243:AE243 AA245:AG245 AA249:AF249 AA252:AF252 AA254:AF254 AA256:AF256 AA258:AF258 AA260:AF260 AE250:AF250 AE261:AF262 AG243:AI243 AH244:AI262 AA247:AF247">
    <cfRule type="containsBlanks" dxfId="1810" priority="1496" stopIfTrue="1">
      <formula>LEN(TRIM(AA243))=0</formula>
    </cfRule>
    <cfRule type="cellIs" dxfId="1809" priority="1497" operator="equal">
      <formula>4</formula>
    </cfRule>
    <cfRule type="cellIs" dxfId="1808" priority="1498" operator="equal">
      <formula>3</formula>
    </cfRule>
    <cfRule type="cellIs" dxfId="1807" priority="1499" operator="equal">
      <formula>2</formula>
    </cfRule>
    <cfRule type="cellIs" dxfId="1806" priority="1500" operator="equal">
      <formula>1</formula>
    </cfRule>
    <cfRule type="cellIs" dxfId="1805" priority="1501" operator="equal">
      <formula>0</formula>
    </cfRule>
  </conditionalFormatting>
  <conditionalFormatting sqref="AK236:AL236">
    <cfRule type="containsBlanks" dxfId="1804" priority="1493" stopIfTrue="1">
      <formula>LEN(TRIM(AK236))=0</formula>
    </cfRule>
    <cfRule type="containsText" dxfId="1803" priority="1494" operator="containsText" text="NO">
      <formula>NOT(ISERROR(SEARCH("NO",AK236)))</formula>
    </cfRule>
    <cfRule type="containsText" dxfId="1802" priority="1495" operator="containsText" text="YES">
      <formula>NOT(ISERROR(SEARCH("YES",AK236)))</formula>
    </cfRule>
  </conditionalFormatting>
  <conditionalFormatting sqref="AA243:AE243 AA245:AG245 AA249:AF249 AA252:AF252 AA254:AF254 AA256:AF256 AA258:AF258 AA260:AF260 AE250:AF250 AE261:AF262 AK236:AQ236 AG243:AI243 AH244:AI262 AA247:AF247">
    <cfRule type="expression" dxfId="1801" priority="1492">
      <formula>AND($C236=0,$C236&lt;&gt;"")</formula>
    </cfRule>
  </conditionalFormatting>
  <conditionalFormatting sqref="AK237:AL242">
    <cfRule type="containsBlanks" dxfId="1800" priority="1481" stopIfTrue="1">
      <formula>LEN(TRIM(AK237))=0</formula>
    </cfRule>
    <cfRule type="containsText" dxfId="1799" priority="1482" operator="containsText" text="NO">
      <formula>NOT(ISERROR(SEARCH("NO",AK237)))</formula>
    </cfRule>
    <cfRule type="containsText" dxfId="1798" priority="1483" operator="containsText" text="YES">
      <formula>NOT(ISERROR(SEARCH("YES",AK237)))</formula>
    </cfRule>
  </conditionalFormatting>
  <conditionalFormatting sqref="D243">
    <cfRule type="expression" dxfId="1797" priority="1479">
      <formula>AND($C243=0,$C243&lt;&gt;"")</formula>
    </cfRule>
  </conditionalFormatting>
  <conditionalFormatting sqref="E243">
    <cfRule type="expression" dxfId="1796" priority="1478">
      <formula>AND($C243=0,$C243&lt;&gt;"")</formula>
    </cfRule>
  </conditionalFormatting>
  <conditionalFormatting sqref="M243:Z243">
    <cfRule type="containsBlanks" dxfId="1795" priority="1472" stopIfTrue="1">
      <formula>LEN(TRIM(M243))=0</formula>
    </cfRule>
    <cfRule type="cellIs" dxfId="1794" priority="1473" operator="equal">
      <formula>4</formula>
    </cfRule>
    <cfRule type="cellIs" dxfId="1793" priority="1474" operator="equal">
      <formula>3</formula>
    </cfRule>
    <cfRule type="cellIs" dxfId="1792" priority="1475" operator="equal">
      <formula>2</formula>
    </cfRule>
    <cfRule type="cellIs" dxfId="1791" priority="1476" operator="equal">
      <formula>1</formula>
    </cfRule>
    <cfRule type="cellIs" dxfId="1790" priority="1477" operator="equal">
      <formula>0</formula>
    </cfRule>
  </conditionalFormatting>
  <conditionalFormatting sqref="AK243:AL243">
    <cfRule type="containsBlanks" dxfId="1789" priority="1469" stopIfTrue="1">
      <formula>LEN(TRIM(AK243))=0</formula>
    </cfRule>
    <cfRule type="containsText" dxfId="1788" priority="1470" operator="containsText" text="NO">
      <formula>NOT(ISERROR(SEARCH("NO",AK243)))</formula>
    </cfRule>
    <cfRule type="containsText" dxfId="1787" priority="1471" operator="containsText" text="YES">
      <formula>NOT(ISERROR(SEARCH("YES",AK243)))</formula>
    </cfRule>
  </conditionalFormatting>
  <conditionalFormatting sqref="F243:J243 AK243:AL243 M243:Z243">
    <cfRule type="expression" dxfId="1786" priority="1468">
      <formula>AND($C243=0,$C243&lt;&gt;"")</formula>
    </cfRule>
  </conditionalFormatting>
  <conditionalFormatting sqref="D244">
    <cfRule type="expression" dxfId="1785" priority="1467">
      <formula>AND($C244=0,$C244&lt;&gt;"")</formula>
    </cfRule>
  </conditionalFormatting>
  <conditionalFormatting sqref="E244">
    <cfRule type="expression" dxfId="1784" priority="1466">
      <formula>AND($C244=0,$C244&lt;&gt;"")</formula>
    </cfRule>
  </conditionalFormatting>
  <conditionalFormatting sqref="M244:Z244">
    <cfRule type="containsBlanks" dxfId="1783" priority="1460" stopIfTrue="1">
      <formula>LEN(TRIM(M244))=0</formula>
    </cfRule>
    <cfRule type="cellIs" dxfId="1782" priority="1461" operator="equal">
      <formula>4</formula>
    </cfRule>
    <cfRule type="cellIs" dxfId="1781" priority="1462" operator="equal">
      <formula>3</formula>
    </cfRule>
    <cfRule type="cellIs" dxfId="1780" priority="1463" operator="equal">
      <formula>2</formula>
    </cfRule>
    <cfRule type="cellIs" dxfId="1779" priority="1464" operator="equal">
      <formula>1</formula>
    </cfRule>
    <cfRule type="cellIs" dxfId="1778" priority="1465" operator="equal">
      <formula>0</formula>
    </cfRule>
  </conditionalFormatting>
  <conditionalFormatting sqref="AK244:AL244">
    <cfRule type="containsBlanks" dxfId="1777" priority="1457" stopIfTrue="1">
      <formula>LEN(TRIM(AK244))=0</formula>
    </cfRule>
    <cfRule type="containsText" dxfId="1776" priority="1458" operator="containsText" text="NO">
      <formula>NOT(ISERROR(SEARCH("NO",AK244)))</formula>
    </cfRule>
    <cfRule type="containsText" dxfId="1775" priority="1459" operator="containsText" text="YES">
      <formula>NOT(ISERROR(SEARCH("YES",AK244)))</formula>
    </cfRule>
  </conditionalFormatting>
  <conditionalFormatting sqref="F244:J244 AK244:AL244 M244:Z244">
    <cfRule type="expression" dxfId="1774" priority="1456">
      <formula>AND($C244=0,$C244&lt;&gt;"")</formula>
    </cfRule>
  </conditionalFormatting>
  <conditionalFormatting sqref="AK245:AL245">
    <cfRule type="containsBlanks" dxfId="1773" priority="1447" stopIfTrue="1">
      <formula>LEN(TRIM(AK245))=0</formula>
    </cfRule>
    <cfRule type="containsText" dxfId="1772" priority="1448" operator="containsText" text="NO">
      <formula>NOT(ISERROR(SEARCH("NO",AK245)))</formula>
    </cfRule>
    <cfRule type="containsText" dxfId="1771" priority="1449" operator="containsText" text="YES">
      <formula>NOT(ISERROR(SEARCH("YES",AK245)))</formula>
    </cfRule>
  </conditionalFormatting>
  <conditionalFormatting sqref="D245:J245 AK245:AL245">
    <cfRule type="expression" dxfId="1770" priority="1446">
      <formula>AND($C245=0,$C245&lt;&gt;"")</formula>
    </cfRule>
  </conditionalFormatting>
  <conditionalFormatting sqref="AL246">
    <cfRule type="containsBlanks" dxfId="1769" priority="1437" stopIfTrue="1">
      <formula>LEN(TRIM(AL246))=0</formula>
    </cfRule>
    <cfRule type="containsText" dxfId="1768" priority="1438" operator="containsText" text="NO">
      <formula>NOT(ISERROR(SEARCH("NO",AL246)))</formula>
    </cfRule>
    <cfRule type="containsText" dxfId="1767" priority="1439" operator="containsText" text="YES">
      <formula>NOT(ISERROR(SEARCH("YES",AL246)))</formula>
    </cfRule>
  </conditionalFormatting>
  <conditionalFormatting sqref="D246:J246 J247 AL246">
    <cfRule type="expression" dxfId="1766" priority="1436">
      <formula>AND($C246=0,$C246&lt;&gt;"")</formula>
    </cfRule>
  </conditionalFormatting>
  <conditionalFormatting sqref="Z35">
    <cfRule type="containsBlanks" dxfId="1765" priority="1426" stopIfTrue="1">
      <formula>LEN(TRIM(Z35))=0</formula>
    </cfRule>
    <cfRule type="cellIs" dxfId="1764" priority="1427" operator="equal">
      <formula>4</formula>
    </cfRule>
    <cfRule type="cellIs" dxfId="1763" priority="1428" operator="equal">
      <formula>3</formula>
    </cfRule>
    <cfRule type="cellIs" dxfId="1762" priority="1429" operator="equal">
      <formula>2</formula>
    </cfRule>
    <cfRule type="cellIs" dxfId="1761" priority="1430" operator="equal">
      <formula>1</formula>
    </cfRule>
    <cfRule type="cellIs" dxfId="1760" priority="1431" operator="equal">
      <formula>0</formula>
    </cfRule>
  </conditionalFormatting>
  <conditionalFormatting sqref="Z35">
    <cfRule type="expression" dxfId="1759" priority="1425">
      <formula>AND($C35=0,$C35&lt;&gt;"")</formula>
    </cfRule>
  </conditionalFormatting>
  <conditionalFormatting sqref="L171 L100 L75 L41">
    <cfRule type="expression" dxfId="1758" priority="1424">
      <formula>AND($C41=0,$C41&lt;&gt;"")</formula>
    </cfRule>
  </conditionalFormatting>
  <conditionalFormatting sqref="L35">
    <cfRule type="expression" dxfId="1757" priority="1423">
      <formula>AND($C35=0,$C35&lt;&gt;"")</formula>
    </cfRule>
  </conditionalFormatting>
  <conditionalFormatting sqref="AL272">
    <cfRule type="containsBlanks" dxfId="1756" priority="1414" stopIfTrue="1">
      <formula>LEN(TRIM(AL272))=0</formula>
    </cfRule>
    <cfRule type="containsText" dxfId="1755" priority="1415" operator="containsText" text="NO">
      <formula>NOT(ISERROR(SEARCH("NO",AL272)))</formula>
    </cfRule>
    <cfRule type="containsText" dxfId="1754" priority="1416" operator="containsText" text="YES">
      <formula>NOT(ISERROR(SEARCH("YES",AL272)))</formula>
    </cfRule>
  </conditionalFormatting>
  <conditionalFormatting sqref="C272:J272 AL272 AO272:AR272">
    <cfRule type="expression" dxfId="1753" priority="1413">
      <formula>AND($C272=0,$C272&lt;&gt;"")</formula>
    </cfRule>
  </conditionalFormatting>
  <conditionalFormatting sqref="AK273:AL273">
    <cfRule type="containsBlanks" dxfId="1752" priority="1404" stopIfTrue="1">
      <formula>LEN(TRIM(AK273))=0</formula>
    </cfRule>
    <cfRule type="containsText" dxfId="1751" priority="1405" operator="containsText" text="NO">
      <formula>NOT(ISERROR(SEARCH("NO",AK273)))</formula>
    </cfRule>
    <cfRule type="containsText" dxfId="1750" priority="1406" operator="containsText" text="YES">
      <formula>NOT(ISERROR(SEARCH("YES",AK273)))</formula>
    </cfRule>
  </conditionalFormatting>
  <conditionalFormatting sqref="C273:J273 AK273:AR273">
    <cfRule type="expression" dxfId="1749" priority="1403">
      <formula>AND($C273=0,$C273&lt;&gt;"")</formula>
    </cfRule>
  </conditionalFormatting>
  <conditionalFormatting sqref="AL274">
    <cfRule type="containsBlanks" dxfId="1748" priority="1394" stopIfTrue="1">
      <formula>LEN(TRIM(AL274))=0</formula>
    </cfRule>
    <cfRule type="containsText" dxfId="1747" priority="1395" operator="containsText" text="NO">
      <formula>NOT(ISERROR(SEARCH("NO",AL274)))</formula>
    </cfRule>
    <cfRule type="containsText" dxfId="1746" priority="1396" operator="containsText" text="YES">
      <formula>NOT(ISERROR(SEARCH("YES",AL274)))</formula>
    </cfRule>
  </conditionalFormatting>
  <conditionalFormatting sqref="C274:J274 AL274 AO274:AR274">
    <cfRule type="expression" dxfId="1745" priority="1393">
      <formula>AND($C274=0,$C274&lt;&gt;"")</formula>
    </cfRule>
  </conditionalFormatting>
  <conditionalFormatting sqref="C275:G275">
    <cfRule type="expression" dxfId="1744" priority="1391">
      <formula>AND($C275=0,$C275&lt;&gt;"")</formula>
    </cfRule>
  </conditionalFormatting>
  <conditionalFormatting sqref="AR275">
    <cfRule type="expression" dxfId="1743" priority="1389">
      <formula>AND($C275=0,$C275&lt;&gt;"")</formula>
    </cfRule>
  </conditionalFormatting>
  <conditionalFormatting sqref="AL275">
    <cfRule type="containsBlanks" dxfId="1742" priority="1380" stopIfTrue="1">
      <formula>LEN(TRIM(AL275))=0</formula>
    </cfRule>
    <cfRule type="containsText" dxfId="1741" priority="1381" operator="containsText" text="NO">
      <formula>NOT(ISERROR(SEARCH("NO",AL275)))</formula>
    </cfRule>
    <cfRule type="containsText" dxfId="1740" priority="1382" operator="containsText" text="YES">
      <formula>NOT(ISERROR(SEARCH("YES",AL275)))</formula>
    </cfRule>
  </conditionalFormatting>
  <conditionalFormatting sqref="AL275 AO275:AQ275">
    <cfRule type="expression" dxfId="1739" priority="1379">
      <formula>AND($C275=0,$C275&lt;&gt;"")</formula>
    </cfRule>
  </conditionalFormatting>
  <conditionalFormatting sqref="C276:G276">
    <cfRule type="expression" dxfId="1738" priority="1363">
      <formula>AND($C276=0,$C276&lt;&gt;"")</formula>
    </cfRule>
  </conditionalFormatting>
  <conditionalFormatting sqref="AR276">
    <cfRule type="expression" dxfId="1737" priority="1361">
      <formula>AND($C276=0,$C276&lt;&gt;"")</formula>
    </cfRule>
  </conditionalFormatting>
  <conditionalFormatting sqref="AL276">
    <cfRule type="containsBlanks" dxfId="1736" priority="1352" stopIfTrue="1">
      <formula>LEN(TRIM(AL276))=0</formula>
    </cfRule>
    <cfRule type="containsText" dxfId="1735" priority="1353" operator="containsText" text="NO">
      <formula>NOT(ISERROR(SEARCH("NO",AL276)))</formula>
    </cfRule>
    <cfRule type="containsText" dxfId="1734" priority="1354" operator="containsText" text="YES">
      <formula>NOT(ISERROR(SEARCH("YES",AL276)))</formula>
    </cfRule>
  </conditionalFormatting>
  <conditionalFormatting sqref="AL276 AO276:AQ276">
    <cfRule type="expression" dxfId="1733" priority="1351">
      <formula>AND($C276=0,$C276&lt;&gt;"")</formula>
    </cfRule>
  </conditionalFormatting>
  <conditionalFormatting sqref="C277:G277">
    <cfRule type="expression" dxfId="1732" priority="1349">
      <formula>AND($C277=0,$C277&lt;&gt;"")</formula>
    </cfRule>
  </conditionalFormatting>
  <conditionalFormatting sqref="AR277">
    <cfRule type="expression" dxfId="1731" priority="1347">
      <formula>AND($C277=0,$C277&lt;&gt;"")</formula>
    </cfRule>
  </conditionalFormatting>
  <conditionalFormatting sqref="AL277">
    <cfRule type="containsBlanks" dxfId="1730" priority="1338" stopIfTrue="1">
      <formula>LEN(TRIM(AL277))=0</formula>
    </cfRule>
    <cfRule type="containsText" dxfId="1729" priority="1339" operator="containsText" text="NO">
      <formula>NOT(ISERROR(SEARCH("NO",AL277)))</formula>
    </cfRule>
    <cfRule type="containsText" dxfId="1728" priority="1340" operator="containsText" text="YES">
      <formula>NOT(ISERROR(SEARCH("YES",AL277)))</formula>
    </cfRule>
  </conditionalFormatting>
  <conditionalFormatting sqref="AL277 AO277:AQ277">
    <cfRule type="expression" dxfId="1727" priority="1337">
      <formula>AND($C277=0,$C277&lt;&gt;"")</formula>
    </cfRule>
  </conditionalFormatting>
  <conditionalFormatting sqref="C278:G278">
    <cfRule type="expression" dxfId="1726" priority="1335">
      <formula>AND($C278=0,$C278&lt;&gt;"")</formula>
    </cfRule>
  </conditionalFormatting>
  <conditionalFormatting sqref="AR278">
    <cfRule type="expression" dxfId="1725" priority="1333">
      <formula>AND($C278=0,$C278&lt;&gt;"")</formula>
    </cfRule>
  </conditionalFormatting>
  <conditionalFormatting sqref="AL278">
    <cfRule type="containsBlanks" dxfId="1724" priority="1324" stopIfTrue="1">
      <formula>LEN(TRIM(AL278))=0</formula>
    </cfRule>
    <cfRule type="containsText" dxfId="1723" priority="1325" operator="containsText" text="NO">
      <formula>NOT(ISERROR(SEARCH("NO",AL278)))</formula>
    </cfRule>
    <cfRule type="containsText" dxfId="1722" priority="1326" operator="containsText" text="YES">
      <formula>NOT(ISERROR(SEARCH("YES",AL278)))</formula>
    </cfRule>
  </conditionalFormatting>
  <conditionalFormatting sqref="AL278 AO278:AQ278">
    <cfRule type="expression" dxfId="1721" priority="1323">
      <formula>AND($C278=0,$C278&lt;&gt;"")</formula>
    </cfRule>
  </conditionalFormatting>
  <conditionalFormatting sqref="AK279:AL279">
    <cfRule type="containsBlanks" dxfId="1720" priority="1313" stopIfTrue="1">
      <formula>LEN(TRIM(AK279))=0</formula>
    </cfRule>
    <cfRule type="containsText" dxfId="1719" priority="1314" operator="containsText" text="NO">
      <formula>NOT(ISERROR(SEARCH("NO",AK279)))</formula>
    </cfRule>
    <cfRule type="containsText" dxfId="1718" priority="1315" operator="containsText" text="YES">
      <formula>NOT(ISERROR(SEARCH("YES",AK279)))</formula>
    </cfRule>
  </conditionalFormatting>
  <conditionalFormatting sqref="C280:I280 AK280:AR280">
    <cfRule type="expression" dxfId="1717" priority="1306">
      <formula>AND($C280=0,$C280&lt;&gt;"")</formula>
    </cfRule>
  </conditionalFormatting>
  <conditionalFormatting sqref="AK280:AL280">
    <cfRule type="containsBlanks" dxfId="1716" priority="1302" stopIfTrue="1">
      <formula>LEN(TRIM(AK280))=0</formula>
    </cfRule>
    <cfRule type="containsText" dxfId="1715" priority="1303" operator="containsText" text="NO">
      <formula>NOT(ISERROR(SEARCH("NO",AK280)))</formula>
    </cfRule>
    <cfRule type="containsText" dxfId="1714" priority="1304" operator="containsText" text="YES">
      <formula>NOT(ISERROR(SEARCH("YES",AK280)))</formula>
    </cfRule>
  </conditionalFormatting>
  <conditionalFormatting sqref="C281:I281 AL281 AO281:AR281">
    <cfRule type="expression" dxfId="1713" priority="1295">
      <formula>AND($C281=0,$C281&lt;&gt;"")</formula>
    </cfRule>
  </conditionalFormatting>
  <conditionalFormatting sqref="AL281">
    <cfRule type="containsBlanks" dxfId="1712" priority="1291" stopIfTrue="1">
      <formula>LEN(TRIM(AL281))=0</formula>
    </cfRule>
    <cfRule type="containsText" dxfId="1711" priority="1292" operator="containsText" text="NO">
      <formula>NOT(ISERROR(SEARCH("NO",AL281)))</formula>
    </cfRule>
    <cfRule type="containsText" dxfId="1710" priority="1293" operator="containsText" text="YES">
      <formula>NOT(ISERROR(SEARCH("YES",AL281)))</formula>
    </cfRule>
  </conditionalFormatting>
  <conditionalFormatting sqref="J280">
    <cfRule type="expression" dxfId="1709" priority="1290">
      <formula>AND($C280=0,$C280&lt;&gt;"")</formula>
    </cfRule>
  </conditionalFormatting>
  <conditionalFormatting sqref="J281">
    <cfRule type="expression" dxfId="1708" priority="1289">
      <formula>AND($C281=0,$C281&lt;&gt;"")</formula>
    </cfRule>
  </conditionalFormatting>
  <conditionalFormatting sqref="C282:D282 K282 F282:I282 AK282:AR282">
    <cfRule type="expression" dxfId="1707" priority="1282">
      <formula>AND($C282=0,$C282&lt;&gt;"")</formula>
    </cfRule>
  </conditionalFormatting>
  <conditionalFormatting sqref="AK282:AL282">
    <cfRule type="containsBlanks" dxfId="1706" priority="1278" stopIfTrue="1">
      <formula>LEN(TRIM(AK282))=0</formula>
    </cfRule>
    <cfRule type="containsText" dxfId="1705" priority="1279" operator="containsText" text="NO">
      <formula>NOT(ISERROR(SEARCH("NO",AK282)))</formula>
    </cfRule>
    <cfRule type="containsText" dxfId="1704" priority="1280" operator="containsText" text="YES">
      <formula>NOT(ISERROR(SEARCH("YES",AK282)))</formula>
    </cfRule>
  </conditionalFormatting>
  <conditionalFormatting sqref="C283:D283 K283 F283:I283 AK283:AR283">
    <cfRule type="expression" dxfId="1703" priority="1270">
      <formula>AND($C283=0,$C283&lt;&gt;"")</formula>
    </cfRule>
  </conditionalFormatting>
  <conditionalFormatting sqref="J282">
    <cfRule type="expression" dxfId="1702" priority="1262">
      <formula>AND($C282=0,$C282&lt;&gt;"")</formula>
    </cfRule>
  </conditionalFormatting>
  <conditionalFormatting sqref="AK283:AL283">
    <cfRule type="containsBlanks" dxfId="1701" priority="1266" stopIfTrue="1">
      <formula>LEN(TRIM(AK283))=0</formula>
    </cfRule>
    <cfRule type="containsText" dxfId="1700" priority="1267" operator="containsText" text="NO">
      <formula>NOT(ISERROR(SEARCH("NO",AK283)))</formula>
    </cfRule>
    <cfRule type="containsText" dxfId="1699" priority="1268" operator="containsText" text="YES">
      <formula>NOT(ISERROR(SEARCH("YES",AK283)))</formula>
    </cfRule>
  </conditionalFormatting>
  <conditionalFormatting sqref="E282">
    <cfRule type="expression" dxfId="1698" priority="1264">
      <formula>AND($C282=0,$C282&lt;&gt;"")</formula>
    </cfRule>
  </conditionalFormatting>
  <conditionalFormatting sqref="E283">
    <cfRule type="expression" dxfId="1697" priority="1263">
      <formula>AND($C283=0,$C283&lt;&gt;"")</formula>
    </cfRule>
  </conditionalFormatting>
  <conditionalFormatting sqref="J283">
    <cfRule type="expression" dxfId="1696" priority="1261">
      <formula>AND($C283=0,$C283&lt;&gt;"")</formula>
    </cfRule>
  </conditionalFormatting>
  <conditionalFormatting sqref="L282">
    <cfRule type="expression" dxfId="1695" priority="1260">
      <formula>AND($C282=0,$C282&lt;&gt;"")</formula>
    </cfRule>
  </conditionalFormatting>
  <conditionalFormatting sqref="L283">
    <cfRule type="expression" dxfId="1694" priority="1259">
      <formula>AND($C283=0,$C283&lt;&gt;"")</formula>
    </cfRule>
  </conditionalFormatting>
  <conditionalFormatting sqref="AK57:AL57">
    <cfRule type="containsBlanks" dxfId="1693" priority="1240" stopIfTrue="1">
      <formula>LEN(TRIM(AK57))=0</formula>
    </cfRule>
    <cfRule type="containsText" dxfId="1692" priority="1241" operator="containsText" text="NO">
      <formula>NOT(ISERROR(SEARCH("NO",AK57)))</formula>
    </cfRule>
    <cfRule type="containsText" dxfId="1691" priority="1242" operator="containsText" text="YES">
      <formula>NOT(ISERROR(SEARCH("YES",AK57)))</formula>
    </cfRule>
  </conditionalFormatting>
  <conditionalFormatting sqref="AK57:AR57">
    <cfRule type="expression" dxfId="1690" priority="1239">
      <formula>AND($C57=0,$C57&lt;&gt;"")</formula>
    </cfRule>
  </conditionalFormatting>
  <conditionalFormatting sqref="AK284:AL284">
    <cfRule type="containsBlanks" dxfId="1689" priority="1229" stopIfTrue="1">
      <formula>LEN(TRIM(AK284))=0</formula>
    </cfRule>
    <cfRule type="containsText" dxfId="1688" priority="1230" operator="containsText" text="NO">
      <formula>NOT(ISERROR(SEARCH("NO",AK284)))</formula>
    </cfRule>
    <cfRule type="containsText" dxfId="1687" priority="1231" operator="containsText" text="YES">
      <formula>NOT(ISERROR(SEARCH("YES",AK284)))</formula>
    </cfRule>
  </conditionalFormatting>
  <conditionalFormatting sqref="C284:K284 AK284:AR284">
    <cfRule type="expression" dxfId="1686" priority="1228">
      <formula>AND($C284=0,$C284&lt;&gt;"")</formula>
    </cfRule>
  </conditionalFormatting>
  <conditionalFormatting sqref="AK285:AL285">
    <cfRule type="containsBlanks" dxfId="1685" priority="1219" stopIfTrue="1">
      <formula>LEN(TRIM(AK285))=0</formula>
    </cfRule>
    <cfRule type="containsText" dxfId="1684" priority="1220" operator="containsText" text="NO">
      <formula>NOT(ISERROR(SEARCH("NO",AK285)))</formula>
    </cfRule>
    <cfRule type="containsText" dxfId="1683" priority="1221" operator="containsText" text="YES">
      <formula>NOT(ISERROR(SEARCH("YES",AK285)))</formula>
    </cfRule>
  </conditionalFormatting>
  <conditionalFormatting sqref="C285:K285 AK285:AL285">
    <cfRule type="expression" dxfId="1682" priority="1218">
      <formula>AND($C285=0,$C285&lt;&gt;"")</formula>
    </cfRule>
  </conditionalFormatting>
  <conditionalFormatting sqref="AR285">
    <cfRule type="expression" dxfId="1681" priority="1217">
      <formula>AND($C285=0,$C285&lt;&gt;"")</formula>
    </cfRule>
  </conditionalFormatting>
  <conditionalFormatting sqref="AM285:AQ285">
    <cfRule type="expression" dxfId="1680" priority="1216">
      <formula>AND($C285=0,$C285&lt;&gt;"")</formula>
    </cfRule>
  </conditionalFormatting>
  <conditionalFormatting sqref="AA261:AD262 AA271:AD271 AA270:AC270">
    <cfRule type="containsBlanks" dxfId="1679" priority="1210" stopIfTrue="1">
      <formula>LEN(TRIM(AA261))=0</formula>
    </cfRule>
    <cfRule type="cellIs" dxfId="1678" priority="1211" operator="equal">
      <formula>4</formula>
    </cfRule>
    <cfRule type="cellIs" dxfId="1677" priority="1212" operator="equal">
      <formula>3</formula>
    </cfRule>
    <cfRule type="cellIs" dxfId="1676" priority="1213" operator="equal">
      <formula>2</formula>
    </cfRule>
    <cfRule type="cellIs" dxfId="1675" priority="1214" operator="equal">
      <formula>1</formula>
    </cfRule>
    <cfRule type="cellIs" dxfId="1674" priority="1215" operator="equal">
      <formula>0</formula>
    </cfRule>
  </conditionalFormatting>
  <conditionalFormatting sqref="AA261:AD262 AA271:AD271 AA270:AC270">
    <cfRule type="expression" dxfId="1673" priority="1209">
      <formula>AND($C261=0,$C261&lt;&gt;"")</formula>
    </cfRule>
  </conditionalFormatting>
  <conditionalFormatting sqref="AA264:AD268">
    <cfRule type="containsBlanks" dxfId="1672" priority="1196" stopIfTrue="1">
      <formula>LEN(TRIM(AA264))=0</formula>
    </cfRule>
    <cfRule type="cellIs" dxfId="1671" priority="1197" operator="equal">
      <formula>4</formula>
    </cfRule>
    <cfRule type="cellIs" dxfId="1670" priority="1198" operator="equal">
      <formula>3</formula>
    </cfRule>
    <cfRule type="cellIs" dxfId="1669" priority="1199" operator="equal">
      <formula>2</formula>
    </cfRule>
    <cfRule type="cellIs" dxfId="1668" priority="1200" operator="equal">
      <formula>1</formula>
    </cfRule>
    <cfRule type="cellIs" dxfId="1667" priority="1201" operator="equal">
      <formula>0</formula>
    </cfRule>
  </conditionalFormatting>
  <conditionalFormatting sqref="AE264:AF264">
    <cfRule type="expression" dxfId="1666" priority="3858">
      <formula>AND($C266=0,$C266&lt;&gt;"")</formula>
    </cfRule>
  </conditionalFormatting>
  <conditionalFormatting sqref="AE265:AF266">
    <cfRule type="containsBlanks" dxfId="1665" priority="1168" stopIfTrue="1">
      <formula>LEN(TRIM(AE265))=0</formula>
    </cfRule>
    <cfRule type="cellIs" dxfId="1664" priority="1169" operator="equal">
      <formula>4</formula>
    </cfRule>
    <cfRule type="cellIs" dxfId="1663" priority="1170" operator="equal">
      <formula>3</formula>
    </cfRule>
    <cfRule type="cellIs" dxfId="1662" priority="1171" operator="equal">
      <formula>2</formula>
    </cfRule>
    <cfRule type="cellIs" dxfId="1661" priority="1172" operator="equal">
      <formula>1</formula>
    </cfRule>
    <cfRule type="cellIs" dxfId="1660" priority="1173" operator="equal">
      <formula>0</formula>
    </cfRule>
  </conditionalFormatting>
  <conditionalFormatting sqref="AE265:AF266">
    <cfRule type="expression" dxfId="1659" priority="1167">
      <formula>AND($C265=0,$C265&lt;&gt;"")</formula>
    </cfRule>
  </conditionalFormatting>
  <conditionalFormatting sqref="C286:D286 K286 F286:I286 AK286:AR286">
    <cfRule type="expression" dxfId="1658" priority="1158">
      <formula>AND($C286=0,$C286&lt;&gt;"")</formula>
    </cfRule>
  </conditionalFormatting>
  <conditionalFormatting sqref="AK286:AL286">
    <cfRule type="containsBlanks" dxfId="1657" priority="1155" stopIfTrue="1">
      <formula>LEN(TRIM(AK286))=0</formula>
    </cfRule>
    <cfRule type="containsText" dxfId="1656" priority="1156" operator="containsText" text="NO">
      <formula>NOT(ISERROR(SEARCH("NO",AK286)))</formula>
    </cfRule>
    <cfRule type="containsText" dxfId="1655" priority="1157" operator="containsText" text="YES">
      <formula>NOT(ISERROR(SEARCH("YES",AK286)))</formula>
    </cfRule>
  </conditionalFormatting>
  <conditionalFormatting sqref="E286">
    <cfRule type="expression" dxfId="1654" priority="1154">
      <formula>AND($C286=0,$C286&lt;&gt;"")</formula>
    </cfRule>
  </conditionalFormatting>
  <conditionalFormatting sqref="J286">
    <cfRule type="expression" dxfId="1653" priority="1153">
      <formula>AND($C286=0,$C286&lt;&gt;"")</formula>
    </cfRule>
  </conditionalFormatting>
  <conditionalFormatting sqref="L286">
    <cfRule type="expression" dxfId="1652" priority="1152">
      <formula>AND($C286=0,$C286&lt;&gt;"")</formula>
    </cfRule>
  </conditionalFormatting>
  <conditionalFormatting sqref="C287:D287 K287 F287:I287 AK287:AR287">
    <cfRule type="expression" dxfId="1651" priority="1144">
      <formula>AND($C287=0,$C287&lt;&gt;"")</formula>
    </cfRule>
  </conditionalFormatting>
  <conditionalFormatting sqref="AK287:AL287">
    <cfRule type="containsBlanks" dxfId="1650" priority="1141" stopIfTrue="1">
      <formula>LEN(TRIM(AK287))=0</formula>
    </cfRule>
    <cfRule type="containsText" dxfId="1649" priority="1142" operator="containsText" text="NO">
      <formula>NOT(ISERROR(SEARCH("NO",AK287)))</formula>
    </cfRule>
    <cfRule type="containsText" dxfId="1648" priority="1143" operator="containsText" text="YES">
      <formula>NOT(ISERROR(SEARCH("YES",AK287)))</formula>
    </cfRule>
  </conditionalFormatting>
  <conditionalFormatting sqref="E287">
    <cfRule type="expression" dxfId="1647" priority="1140">
      <formula>AND($C287=0,$C287&lt;&gt;"")</formula>
    </cfRule>
  </conditionalFormatting>
  <conditionalFormatting sqref="J287">
    <cfRule type="expression" dxfId="1646" priority="1139">
      <formula>AND($C287=0,$C287&lt;&gt;"")</formula>
    </cfRule>
  </conditionalFormatting>
  <conditionalFormatting sqref="L287">
    <cfRule type="expression" dxfId="1645" priority="1138">
      <formula>AND($C287=0,$C287&lt;&gt;"")</formula>
    </cfRule>
  </conditionalFormatting>
  <conditionalFormatting sqref="AK289:AL292">
    <cfRule type="containsBlanks" dxfId="1644" priority="1118" stopIfTrue="1">
      <formula>LEN(TRIM(AK289))=0</formula>
    </cfRule>
    <cfRule type="containsText" dxfId="1643" priority="1119" operator="containsText" text="NO">
      <formula>NOT(ISERROR(SEARCH("NO",AK289)))</formula>
    </cfRule>
    <cfRule type="containsText" dxfId="1642" priority="1120" operator="containsText" text="YES">
      <formula>NOT(ISERROR(SEARCH("YES",AK289)))</formula>
    </cfRule>
  </conditionalFormatting>
  <conditionalFormatting sqref="AK288:AL288">
    <cfRule type="containsBlanks" dxfId="1641" priority="1095" stopIfTrue="1">
      <formula>LEN(TRIM(AK288))=0</formula>
    </cfRule>
    <cfRule type="containsText" dxfId="1640" priority="1096" operator="containsText" text="NO">
      <formula>NOT(ISERROR(SEARCH("NO",AK288)))</formula>
    </cfRule>
    <cfRule type="containsText" dxfId="1639" priority="1097" operator="containsText" text="YES">
      <formula>NOT(ISERROR(SEARCH("YES",AK288)))</formula>
    </cfRule>
  </conditionalFormatting>
  <conditionalFormatting sqref="L284">
    <cfRule type="expression" dxfId="1638" priority="1091">
      <formula>AND($C284=0,$C284&lt;&gt;"")</formula>
    </cfRule>
  </conditionalFormatting>
  <conditionalFormatting sqref="L285">
    <cfRule type="expression" dxfId="1637" priority="1090">
      <formula>AND($C285=0,$C285&lt;&gt;"")</formula>
    </cfRule>
  </conditionalFormatting>
  <conditionalFormatting sqref="AG12:AI15 AG265:AI268 AG247:AG262 AG269 AG17:AI57 AG270:AI292 AG59:AI62 AG264">
    <cfRule type="containsBlanks" dxfId="1636" priority="1084" stopIfTrue="1">
      <formula>LEN(TRIM(AG12))=0</formula>
    </cfRule>
    <cfRule type="cellIs" dxfId="1635" priority="1085" operator="equal">
      <formula>4</formula>
    </cfRule>
    <cfRule type="cellIs" dxfId="1634" priority="1086" operator="equal">
      <formula>3</formula>
    </cfRule>
    <cfRule type="cellIs" dxfId="1633" priority="1087" operator="equal">
      <formula>2</formula>
    </cfRule>
    <cfRule type="cellIs" dxfId="1632" priority="1088" operator="equal">
      <formula>1</formula>
    </cfRule>
    <cfRule type="cellIs" dxfId="1631" priority="1089" operator="equal">
      <formula>0</formula>
    </cfRule>
  </conditionalFormatting>
  <conditionalFormatting sqref="AG12:AI15 AG265:AI268 AG247:AG262 AG269 AG17:AI57 AG270:AI292 AG59:AI62 AG264">
    <cfRule type="expression" dxfId="1630" priority="1083">
      <formula>AND($C12=0,$C12&lt;&gt;"")</formula>
    </cfRule>
  </conditionalFormatting>
  <conditionalFormatting sqref="AK162:AL162">
    <cfRule type="containsBlanks" dxfId="1629" priority="1074" stopIfTrue="1">
      <formula>LEN(TRIM(AK162))=0</formula>
    </cfRule>
    <cfRule type="containsText" dxfId="1628" priority="1075" operator="containsText" text="NO">
      <formula>NOT(ISERROR(SEARCH("NO",AK162)))</formula>
    </cfRule>
    <cfRule type="containsText" dxfId="1627" priority="1076" operator="containsText" text="YES">
      <formula>NOT(ISERROR(SEARCH("YES",AK162)))</formula>
    </cfRule>
  </conditionalFormatting>
  <conditionalFormatting sqref="AK162:AR162">
    <cfRule type="expression" dxfId="1626" priority="1073">
      <formula>AND($C162=0,$C162&lt;&gt;"")</formula>
    </cfRule>
  </conditionalFormatting>
  <conditionalFormatting sqref="AR152:AR155">
    <cfRule type="expression" dxfId="1625" priority="1072">
      <formula>AND($C152=0,$C152&lt;&gt;"")</formula>
    </cfRule>
  </conditionalFormatting>
  <conditionalFormatting sqref="AB219:AF219 AB221:AF221 AB228:AF228">
    <cfRule type="containsBlanks" dxfId="1624" priority="1066" stopIfTrue="1">
      <formula>LEN(TRIM(AB219))=0</formula>
    </cfRule>
    <cfRule type="cellIs" dxfId="1623" priority="1067" operator="equal">
      <formula>4</formula>
    </cfRule>
    <cfRule type="cellIs" dxfId="1622" priority="1068" operator="equal">
      <formula>3</formula>
    </cfRule>
    <cfRule type="cellIs" dxfId="1621" priority="1069" operator="equal">
      <formula>2</formula>
    </cfRule>
    <cfRule type="cellIs" dxfId="1620" priority="1070" operator="equal">
      <formula>1</formula>
    </cfRule>
    <cfRule type="cellIs" dxfId="1619" priority="1071" operator="equal">
      <formula>0</formula>
    </cfRule>
  </conditionalFormatting>
  <conditionalFormatting sqref="AB219:AF219 AB221:AF221 AB228:AF228">
    <cfRule type="expression" dxfId="1618" priority="1062">
      <formula>AND($C219=0,$C219&lt;&gt;"")</formula>
    </cfRule>
  </conditionalFormatting>
  <conditionalFormatting sqref="AK301">
    <cfRule type="expression" dxfId="1617" priority="1054">
      <formula>AND($C301=0,$C301&lt;&gt;"")</formula>
    </cfRule>
  </conditionalFormatting>
  <conditionalFormatting sqref="AK301">
    <cfRule type="containsBlanks" dxfId="1616" priority="1051" stopIfTrue="1">
      <formula>LEN(TRIM(AK301))=0</formula>
    </cfRule>
    <cfRule type="containsText" dxfId="1615" priority="1052" operator="containsText" text="NO">
      <formula>NOT(ISERROR(SEARCH("NO",AK301)))</formula>
    </cfRule>
    <cfRule type="containsText" dxfId="1614" priority="1053" operator="containsText" text="YES">
      <formula>NOT(ISERROR(SEARCH("YES",AK301)))</formula>
    </cfRule>
  </conditionalFormatting>
  <conditionalFormatting sqref="AK302:AK303">
    <cfRule type="expression" dxfId="1613" priority="1050">
      <formula>AND($C302=0,$C302&lt;&gt;"")</formula>
    </cfRule>
  </conditionalFormatting>
  <conditionalFormatting sqref="AK302:AK303">
    <cfRule type="containsBlanks" dxfId="1612" priority="1047" stopIfTrue="1">
      <formula>LEN(TRIM(AK302))=0</formula>
    </cfRule>
    <cfRule type="containsText" dxfId="1611" priority="1048" operator="containsText" text="NO">
      <formula>NOT(ISERROR(SEARCH("NO",AK302)))</formula>
    </cfRule>
    <cfRule type="containsText" dxfId="1610" priority="1049" operator="containsText" text="YES">
      <formula>NOT(ISERROR(SEARCH("YES",AK302)))</formula>
    </cfRule>
  </conditionalFormatting>
  <conditionalFormatting sqref="AL301">
    <cfRule type="expression" dxfId="1609" priority="1046">
      <formula>AND($C301=0,$C301&lt;&gt;"")</formula>
    </cfRule>
  </conditionalFormatting>
  <conditionalFormatting sqref="AL301">
    <cfRule type="containsBlanks" dxfId="1608" priority="1043" stopIfTrue="1">
      <formula>LEN(TRIM(AL301))=0</formula>
    </cfRule>
    <cfRule type="containsText" dxfId="1607" priority="1044" operator="containsText" text="NO">
      <formula>NOT(ISERROR(SEARCH("NO",AL301)))</formula>
    </cfRule>
    <cfRule type="containsText" dxfId="1606" priority="1045" operator="containsText" text="YES">
      <formula>NOT(ISERROR(SEARCH("YES",AL301)))</formula>
    </cfRule>
  </conditionalFormatting>
  <conditionalFormatting sqref="AL302:AL303">
    <cfRule type="expression" dxfId="1605" priority="1042">
      <formula>AND($C302=0,$C302&lt;&gt;"")</formula>
    </cfRule>
  </conditionalFormatting>
  <conditionalFormatting sqref="AL302:AL303">
    <cfRule type="containsBlanks" dxfId="1604" priority="1039" stopIfTrue="1">
      <formula>LEN(TRIM(AL302))=0</formula>
    </cfRule>
    <cfRule type="containsText" dxfId="1603" priority="1040" operator="containsText" text="NO">
      <formula>NOT(ISERROR(SEARCH("NO",AL302)))</formula>
    </cfRule>
    <cfRule type="containsText" dxfId="1602" priority="1041" operator="containsText" text="YES">
      <formula>NOT(ISERROR(SEARCH("YES",AL302)))</formula>
    </cfRule>
  </conditionalFormatting>
  <conditionalFormatting sqref="AK304:AR304 C304:D304">
    <cfRule type="expression" dxfId="1601" priority="1027">
      <formula>AND($C304=0,$C304&lt;&gt;"")</formula>
    </cfRule>
  </conditionalFormatting>
  <conditionalFormatting sqref="AK304:AL304">
    <cfRule type="containsBlanks" dxfId="1600" priority="1018" stopIfTrue="1">
      <formula>LEN(TRIM(AK304))=0</formula>
    </cfRule>
    <cfRule type="containsText" dxfId="1599" priority="1019" operator="containsText" text="NO">
      <formula>NOT(ISERROR(SEARCH("NO",AK304)))</formula>
    </cfRule>
    <cfRule type="containsText" dxfId="1598" priority="1020" operator="containsText" text="YES">
      <formula>NOT(ISERROR(SEARCH("YES",AK304)))</formula>
    </cfRule>
  </conditionalFormatting>
  <conditionalFormatting sqref="AG304:AI304">
    <cfRule type="containsBlanks" dxfId="1597" priority="1012" stopIfTrue="1">
      <formula>LEN(TRIM(AG304))=0</formula>
    </cfRule>
    <cfRule type="cellIs" dxfId="1596" priority="1013" operator="equal">
      <formula>4</formula>
    </cfRule>
    <cfRule type="cellIs" dxfId="1595" priority="1014" operator="equal">
      <formula>3</formula>
    </cfRule>
    <cfRule type="cellIs" dxfId="1594" priority="1015" operator="equal">
      <formula>2</formula>
    </cfRule>
    <cfRule type="cellIs" dxfId="1593" priority="1016" operator="equal">
      <formula>1</formula>
    </cfRule>
    <cfRule type="cellIs" dxfId="1592" priority="1017" operator="equal">
      <formula>0</formula>
    </cfRule>
  </conditionalFormatting>
  <conditionalFormatting sqref="AG304:AI304">
    <cfRule type="expression" dxfId="1591" priority="1011">
      <formula>AND($C304=0,$C304&lt;&gt;"")</formula>
    </cfRule>
  </conditionalFormatting>
  <conditionalFormatting sqref="AH152:AI154 AH159:AI159">
    <cfRule type="containsBlanks" dxfId="1590" priority="988" stopIfTrue="1">
      <formula>LEN(TRIM(AH152))=0</formula>
    </cfRule>
    <cfRule type="cellIs" dxfId="1589" priority="989" operator="equal">
      <formula>4</formula>
    </cfRule>
    <cfRule type="cellIs" dxfId="1588" priority="990" operator="equal">
      <formula>3</formula>
    </cfRule>
    <cfRule type="cellIs" dxfId="1587" priority="991" operator="equal">
      <formula>2</formula>
    </cfRule>
    <cfRule type="cellIs" dxfId="1586" priority="992" operator="equal">
      <formula>1</formula>
    </cfRule>
    <cfRule type="cellIs" dxfId="1585" priority="993" operator="equal">
      <formula>0</formula>
    </cfRule>
  </conditionalFormatting>
  <conditionalFormatting sqref="AH152:AI154 AH159:AI159">
    <cfRule type="expression" dxfId="1584" priority="987">
      <formula>AND($C152=0,$C152&lt;&gt;"")</formula>
    </cfRule>
  </conditionalFormatting>
  <conditionalFormatting sqref="AK16:AL16">
    <cfRule type="containsBlanks" dxfId="1583" priority="978" stopIfTrue="1">
      <formula>LEN(TRIM(AK16))=0</formula>
    </cfRule>
    <cfRule type="containsText" dxfId="1582" priority="979" operator="containsText" text="NO">
      <formula>NOT(ISERROR(SEARCH("NO",AK16)))</formula>
    </cfRule>
    <cfRule type="containsText" dxfId="1581" priority="980" operator="containsText" text="YES">
      <formula>NOT(ISERROR(SEARCH("YES",AK16)))</formula>
    </cfRule>
  </conditionalFormatting>
  <conditionalFormatting sqref="AK16:AR16">
    <cfRule type="expression" dxfId="1580" priority="977">
      <formula>AND($C16=0,$C16&lt;&gt;"")</formula>
    </cfRule>
  </conditionalFormatting>
  <conditionalFormatting sqref="AG16:AI16">
    <cfRule type="containsBlanks" dxfId="1579" priority="971" stopIfTrue="1">
      <formula>LEN(TRIM(AG16))=0</formula>
    </cfRule>
    <cfRule type="cellIs" dxfId="1578" priority="972" operator="equal">
      <formula>4</formula>
    </cfRule>
    <cfRule type="cellIs" dxfId="1577" priority="973" operator="equal">
      <formula>3</formula>
    </cfRule>
    <cfRule type="cellIs" dxfId="1576" priority="974" operator="equal">
      <formula>2</formula>
    </cfRule>
    <cfRule type="cellIs" dxfId="1575" priority="975" operator="equal">
      <formula>1</formula>
    </cfRule>
    <cfRule type="cellIs" dxfId="1574" priority="976" operator="equal">
      <formula>0</formula>
    </cfRule>
  </conditionalFormatting>
  <conditionalFormatting sqref="AG16:AI16">
    <cfRule type="expression" dxfId="1573" priority="970">
      <formula>AND($C16=0,$C16&lt;&gt;"")</formula>
    </cfRule>
  </conditionalFormatting>
  <conditionalFormatting sqref="J292">
    <cfRule type="expression" dxfId="1572" priority="929">
      <formula>AND($C292=0,$C292&lt;&gt;"")</formula>
    </cfRule>
  </conditionalFormatting>
  <conditionalFormatting sqref="AR292">
    <cfRule type="expression" dxfId="1571" priority="926">
      <formula>AND($C292=0,$C292&lt;&gt;"")</formula>
    </cfRule>
  </conditionalFormatting>
  <conditionalFormatting sqref="AK58:AL58">
    <cfRule type="containsBlanks" dxfId="1570" priority="904" stopIfTrue="1">
      <formula>LEN(TRIM(AK58))=0</formula>
    </cfRule>
    <cfRule type="containsText" dxfId="1569" priority="905" operator="containsText" text="NO">
      <formula>NOT(ISERROR(SEARCH("NO",AK58)))</formula>
    </cfRule>
    <cfRule type="containsText" dxfId="1568" priority="906" operator="containsText" text="YES">
      <formula>NOT(ISERROR(SEARCH("YES",AK58)))</formula>
    </cfRule>
  </conditionalFormatting>
  <conditionalFormatting sqref="AK58:AR58 B58:F58">
    <cfRule type="expression" dxfId="1567" priority="903">
      <formula>AND($C58=0,$C58&lt;&gt;"")</formula>
    </cfRule>
  </conditionalFormatting>
  <conditionalFormatting sqref="G58">
    <cfRule type="expression" dxfId="1566" priority="902">
      <formula>AND($C58=0,$C58&lt;&gt;"")</formula>
    </cfRule>
  </conditionalFormatting>
  <conditionalFormatting sqref="AG58:AI58">
    <cfRule type="containsBlanks" dxfId="1565" priority="896" stopIfTrue="1">
      <formula>LEN(TRIM(AG58))=0</formula>
    </cfRule>
    <cfRule type="cellIs" dxfId="1564" priority="897" operator="equal">
      <formula>4</formula>
    </cfRule>
    <cfRule type="cellIs" dxfId="1563" priority="898" operator="equal">
      <formula>3</formula>
    </cfRule>
    <cfRule type="cellIs" dxfId="1562" priority="899" operator="equal">
      <formula>2</formula>
    </cfRule>
    <cfRule type="cellIs" dxfId="1561" priority="900" operator="equal">
      <formula>1</formula>
    </cfRule>
    <cfRule type="cellIs" dxfId="1560" priority="901" operator="equal">
      <formula>0</formula>
    </cfRule>
  </conditionalFormatting>
  <conditionalFormatting sqref="AG58:AI58">
    <cfRule type="expression" dxfId="1559" priority="895">
      <formula>AND($C58=0,$C58&lt;&gt;"")</formula>
    </cfRule>
  </conditionalFormatting>
  <conditionalFormatting sqref="AN292:AQ292">
    <cfRule type="expression" dxfId="1558" priority="894">
      <formula>AND($C292=0,$C292&lt;&gt;"")</formula>
    </cfRule>
  </conditionalFormatting>
  <conditionalFormatting sqref="C308:G308">
    <cfRule type="expression" dxfId="1557" priority="891">
      <formula>AND($C308=0,$C308&lt;&gt;"")</formula>
    </cfRule>
  </conditionalFormatting>
  <conditionalFormatting sqref="K234">
    <cfRule type="expression" dxfId="1556" priority="890">
      <formula>AND($C234=0,$C234&lt;&gt;"")</formula>
    </cfRule>
  </conditionalFormatting>
  <conditionalFormatting sqref="K272">
    <cfRule type="expression" dxfId="1555" priority="889">
      <formula>AND($C272=0,$C272&lt;&gt;"")</formula>
    </cfRule>
  </conditionalFormatting>
  <conditionalFormatting sqref="K273">
    <cfRule type="expression" dxfId="1554" priority="888">
      <formula>AND($C273=0,$C273&lt;&gt;"")</formula>
    </cfRule>
  </conditionalFormatting>
  <conditionalFormatting sqref="K274">
    <cfRule type="expression" dxfId="1553" priority="887">
      <formula>AND($C274=0,$C274&lt;&gt;"")</formula>
    </cfRule>
  </conditionalFormatting>
  <conditionalFormatting sqref="K275">
    <cfRule type="expression" dxfId="1552" priority="886">
      <formula>AND($C275=0,$C275&lt;&gt;"")</formula>
    </cfRule>
  </conditionalFormatting>
  <conditionalFormatting sqref="K276">
    <cfRule type="expression" dxfId="1551" priority="885">
      <formula>AND($C276=0,$C276&lt;&gt;"")</formula>
    </cfRule>
  </conditionalFormatting>
  <conditionalFormatting sqref="K277">
    <cfRule type="expression" dxfId="1550" priority="884">
      <formula>AND($C277=0,$C277&lt;&gt;"")</formula>
    </cfRule>
  </conditionalFormatting>
  <conditionalFormatting sqref="K278">
    <cfRule type="expression" dxfId="1549" priority="883">
      <formula>AND($C278=0,$C278&lt;&gt;"")</formula>
    </cfRule>
  </conditionalFormatting>
  <conditionalFormatting sqref="K280">
    <cfRule type="expression" dxfId="1548" priority="882">
      <formula>AND($C280=0,$C280&lt;&gt;"")</formula>
    </cfRule>
  </conditionalFormatting>
  <conditionalFormatting sqref="K281">
    <cfRule type="expression" dxfId="1547" priority="881">
      <formula>AND($C281=0,$C281&lt;&gt;"")</formula>
    </cfRule>
  </conditionalFormatting>
  <conditionalFormatting sqref="K308">
    <cfRule type="expression" dxfId="1546" priority="880">
      <formula>AND($C308=0,$C308&lt;&gt;"")</formula>
    </cfRule>
  </conditionalFormatting>
  <conditionalFormatting sqref="L234">
    <cfRule type="expression" dxfId="1545" priority="879">
      <formula>AND($C234=0,$C234&lt;&gt;"")</formula>
    </cfRule>
  </conditionalFormatting>
  <conditionalFormatting sqref="L272">
    <cfRule type="expression" dxfId="1544" priority="878">
      <formula>AND($C272=0,$C272&lt;&gt;"")</formula>
    </cfRule>
  </conditionalFormatting>
  <conditionalFormatting sqref="L273">
    <cfRule type="expression" dxfId="1543" priority="877">
      <formula>AND($C273=0,$C273&lt;&gt;"")</formula>
    </cfRule>
  </conditionalFormatting>
  <conditionalFormatting sqref="L274">
    <cfRule type="expression" dxfId="1542" priority="876">
      <formula>AND($C274=0,$C274&lt;&gt;"")</formula>
    </cfRule>
  </conditionalFormatting>
  <conditionalFormatting sqref="L275">
    <cfRule type="expression" dxfId="1541" priority="875">
      <formula>AND($C275=0,$C275&lt;&gt;"")</formula>
    </cfRule>
  </conditionalFormatting>
  <conditionalFormatting sqref="L276">
    <cfRule type="expression" dxfId="1540" priority="874">
      <formula>AND($C276=0,$C276&lt;&gt;"")</formula>
    </cfRule>
  </conditionalFormatting>
  <conditionalFormatting sqref="L277">
    <cfRule type="expression" dxfId="1539" priority="873">
      <formula>AND($C277=0,$C277&lt;&gt;"")</formula>
    </cfRule>
  </conditionalFormatting>
  <conditionalFormatting sqref="L278">
    <cfRule type="expression" dxfId="1538" priority="872">
      <formula>AND($C278=0,$C278&lt;&gt;"")</formula>
    </cfRule>
  </conditionalFormatting>
  <conditionalFormatting sqref="L280">
    <cfRule type="expression" dxfId="1537" priority="871">
      <formula>AND($C280=0,$C280&lt;&gt;"")</formula>
    </cfRule>
  </conditionalFormatting>
  <conditionalFormatting sqref="L281">
    <cfRule type="expression" dxfId="1536" priority="870">
      <formula>AND($C281=0,$C281&lt;&gt;"")</formula>
    </cfRule>
  </conditionalFormatting>
  <conditionalFormatting sqref="L308">
    <cfRule type="expression" dxfId="1535" priority="869">
      <formula>AND($C308=0,$C308&lt;&gt;"")</formula>
    </cfRule>
  </conditionalFormatting>
  <conditionalFormatting sqref="K309">
    <cfRule type="expression" dxfId="1534" priority="868">
      <formula>AND($C309=0,$C309&lt;&gt;"")</formula>
    </cfRule>
  </conditionalFormatting>
  <conditionalFormatting sqref="K310">
    <cfRule type="expression" dxfId="1533" priority="867">
      <formula>AND($C310=0,$C310&lt;&gt;"")</formula>
    </cfRule>
  </conditionalFormatting>
  <conditionalFormatting sqref="K311">
    <cfRule type="expression" dxfId="1532" priority="866">
      <formula>AND($C311=0,$C311&lt;&gt;"")</formula>
    </cfRule>
  </conditionalFormatting>
  <conditionalFormatting sqref="K312">
    <cfRule type="expression" dxfId="1531" priority="865">
      <formula>AND($C312=0,$C312&lt;&gt;"")</formula>
    </cfRule>
  </conditionalFormatting>
  <conditionalFormatting sqref="K313">
    <cfRule type="expression" dxfId="1530" priority="864">
      <formula>AND($C313=0,$C313&lt;&gt;"")</formula>
    </cfRule>
  </conditionalFormatting>
  <conditionalFormatting sqref="K314">
    <cfRule type="expression" dxfId="1529" priority="863">
      <formula>AND($C314=0,$C314&lt;&gt;"")</formula>
    </cfRule>
  </conditionalFormatting>
  <conditionalFormatting sqref="K315">
    <cfRule type="expression" dxfId="1528" priority="862">
      <formula>AND($C315=0,$C315&lt;&gt;"")</formula>
    </cfRule>
  </conditionalFormatting>
  <conditionalFormatting sqref="K316">
    <cfRule type="expression" dxfId="1527" priority="861">
      <formula>AND($C316=0,$C316&lt;&gt;"")</formula>
    </cfRule>
  </conditionalFormatting>
  <conditionalFormatting sqref="K317">
    <cfRule type="expression" dxfId="1526" priority="860">
      <formula>AND($C317=0,$C317&lt;&gt;"")</formula>
    </cfRule>
  </conditionalFormatting>
  <conditionalFormatting sqref="E314:G314">
    <cfRule type="expression" dxfId="1525" priority="859">
      <formula>AND($C314=0,$C314&lt;&gt;"")</formula>
    </cfRule>
  </conditionalFormatting>
  <conditionalFormatting sqref="E309:G309">
    <cfRule type="expression" dxfId="1524" priority="858">
      <formula>AND($C309=0,$C309&lt;&gt;"")</formula>
    </cfRule>
  </conditionalFormatting>
  <conditionalFormatting sqref="E310:G310">
    <cfRule type="expression" dxfId="1523" priority="857">
      <formula>AND($C310=0,$C310&lt;&gt;"")</formula>
    </cfRule>
  </conditionalFormatting>
  <conditionalFormatting sqref="E311:G311">
    <cfRule type="expression" dxfId="1522" priority="856">
      <formula>AND($C311=0,$C311&lt;&gt;"")</formula>
    </cfRule>
  </conditionalFormatting>
  <conditionalFormatting sqref="E312:G312">
    <cfRule type="expression" dxfId="1521" priority="855">
      <formula>AND($C312=0,$C312&lt;&gt;"")</formula>
    </cfRule>
  </conditionalFormatting>
  <conditionalFormatting sqref="E313:G313">
    <cfRule type="expression" dxfId="1520" priority="854">
      <formula>AND($C313=0,$C313&lt;&gt;"")</formula>
    </cfRule>
  </conditionalFormatting>
  <conditionalFormatting sqref="E315:G315">
    <cfRule type="expression" dxfId="1519" priority="853">
      <formula>AND($C315=0,$C315&lt;&gt;"")</formula>
    </cfRule>
  </conditionalFormatting>
  <conditionalFormatting sqref="E316:G316">
    <cfRule type="expression" dxfId="1518" priority="852">
      <formula>AND($C316=0,$C316&lt;&gt;"")</formula>
    </cfRule>
  </conditionalFormatting>
  <conditionalFormatting sqref="E317:G317">
    <cfRule type="expression" dxfId="1517" priority="851">
      <formula>AND($C317=0,$C317&lt;&gt;"")</formula>
    </cfRule>
  </conditionalFormatting>
  <conditionalFormatting sqref="D309">
    <cfRule type="expression" dxfId="1516" priority="850">
      <formula>AND($C309=0,$C309&lt;&gt;"")</formula>
    </cfRule>
  </conditionalFormatting>
  <conditionalFormatting sqref="D310">
    <cfRule type="expression" dxfId="1515" priority="849">
      <formula>AND($C310=0,$C310&lt;&gt;"")</formula>
    </cfRule>
  </conditionalFormatting>
  <conditionalFormatting sqref="D311">
    <cfRule type="expression" dxfId="1514" priority="848">
      <formula>AND($C311=0,$C311&lt;&gt;"")</formula>
    </cfRule>
  </conditionalFormatting>
  <conditionalFormatting sqref="D312">
    <cfRule type="expression" dxfId="1513" priority="847">
      <formula>AND($C312=0,$C312&lt;&gt;"")</formula>
    </cfRule>
  </conditionalFormatting>
  <conditionalFormatting sqref="D314">
    <cfRule type="expression" dxfId="1512" priority="846">
      <formula>AND($C314=0,$C314&lt;&gt;"")</formula>
    </cfRule>
  </conditionalFormatting>
  <conditionalFormatting sqref="D315">
    <cfRule type="expression" dxfId="1511" priority="845">
      <formula>AND($C315=0,$C315&lt;&gt;"")</formula>
    </cfRule>
  </conditionalFormatting>
  <conditionalFormatting sqref="D316">
    <cfRule type="expression" dxfId="1510" priority="844">
      <formula>AND($C316=0,$C316&lt;&gt;"")</formula>
    </cfRule>
  </conditionalFormatting>
  <conditionalFormatting sqref="D317">
    <cfRule type="expression" dxfId="1509" priority="843">
      <formula>AND($C317=0,$C317&lt;&gt;"")</formula>
    </cfRule>
  </conditionalFormatting>
  <conditionalFormatting sqref="AK318">
    <cfRule type="containsBlanks" dxfId="1508" priority="833" stopIfTrue="1">
      <formula>LEN(TRIM(AK318))=0</formula>
    </cfRule>
    <cfRule type="containsText" dxfId="1507" priority="834" operator="containsText" text="NO">
      <formula>NOT(ISERROR(SEARCH("NO",AK318)))</formula>
    </cfRule>
    <cfRule type="containsText" dxfId="1506" priority="835" operator="containsText" text="YES">
      <formula>NOT(ISERROR(SEARCH("YES",AK318)))</formula>
    </cfRule>
  </conditionalFormatting>
  <conditionalFormatting sqref="AK318">
    <cfRule type="expression" dxfId="1505" priority="832">
      <formula>AND($C318=0,$C318&lt;&gt;"")</formula>
    </cfRule>
  </conditionalFormatting>
  <conditionalFormatting sqref="AL318">
    <cfRule type="containsBlanks" dxfId="1504" priority="829" stopIfTrue="1">
      <formula>LEN(TRIM(AL318))=0</formula>
    </cfRule>
    <cfRule type="containsText" dxfId="1503" priority="830" operator="containsText" text="NO">
      <formula>NOT(ISERROR(SEARCH("NO",AL318)))</formula>
    </cfRule>
    <cfRule type="containsText" dxfId="1502" priority="831" operator="containsText" text="YES">
      <formula>NOT(ISERROR(SEARCH("YES",AL318)))</formula>
    </cfRule>
  </conditionalFormatting>
  <conditionalFormatting sqref="AL318">
    <cfRule type="expression" dxfId="1501" priority="828">
      <formula>AND($C318=0,$C318&lt;&gt;"")</formula>
    </cfRule>
  </conditionalFormatting>
  <conditionalFormatting sqref="AK305:AL305">
    <cfRule type="containsBlanks" dxfId="1500" priority="809" stopIfTrue="1">
      <formula>LEN(TRIM(AK305))=0</formula>
    </cfRule>
    <cfRule type="containsText" dxfId="1499" priority="810" operator="containsText" text="NO">
      <formula>NOT(ISERROR(SEARCH("NO",AK305)))</formula>
    </cfRule>
    <cfRule type="containsText" dxfId="1498" priority="811" operator="containsText" text="YES">
      <formula>NOT(ISERROR(SEARCH("YES",AK305)))</formula>
    </cfRule>
  </conditionalFormatting>
  <conditionalFormatting sqref="AK305:AR305">
    <cfRule type="expression" dxfId="1497" priority="808">
      <formula>AND($C305=0,$C305&lt;&gt;"")</formula>
    </cfRule>
  </conditionalFormatting>
  <conditionalFormatting sqref="AG305:AI305">
    <cfRule type="containsBlanks" dxfId="1496" priority="802" stopIfTrue="1">
      <formula>LEN(TRIM(AG305))=0</formula>
    </cfRule>
    <cfRule type="cellIs" dxfId="1495" priority="803" operator="equal">
      <formula>4</formula>
    </cfRule>
    <cfRule type="cellIs" dxfId="1494" priority="804" operator="equal">
      <formula>3</formula>
    </cfRule>
    <cfRule type="cellIs" dxfId="1493" priority="805" operator="equal">
      <formula>2</formula>
    </cfRule>
    <cfRule type="cellIs" dxfId="1492" priority="806" operator="equal">
      <formula>1</formula>
    </cfRule>
    <cfRule type="cellIs" dxfId="1491" priority="807" operator="equal">
      <formula>0</formula>
    </cfRule>
  </conditionalFormatting>
  <conditionalFormatting sqref="AG305:AI305">
    <cfRule type="expression" dxfId="1490" priority="801">
      <formula>AND($C305=0,$C305&lt;&gt;"")</formula>
    </cfRule>
  </conditionalFormatting>
  <conditionalFormatting sqref="AK306:AR306">
    <cfRule type="expression" dxfId="1489" priority="800">
      <formula>AND($C306=0,$C306&lt;&gt;"")</formula>
    </cfRule>
  </conditionalFormatting>
  <conditionalFormatting sqref="AK306:AL306">
    <cfRule type="containsBlanks" dxfId="1488" priority="791" stopIfTrue="1">
      <formula>LEN(TRIM(AK306))=0</formula>
    </cfRule>
    <cfRule type="containsText" dxfId="1487" priority="792" operator="containsText" text="NO">
      <formula>NOT(ISERROR(SEARCH("NO",AK306)))</formula>
    </cfRule>
    <cfRule type="containsText" dxfId="1486" priority="793" operator="containsText" text="YES">
      <formula>NOT(ISERROR(SEARCH("YES",AK306)))</formula>
    </cfRule>
  </conditionalFormatting>
  <conditionalFormatting sqref="AG306:AI306">
    <cfRule type="containsBlanks" dxfId="1485" priority="785" stopIfTrue="1">
      <formula>LEN(TRIM(AG306))=0</formula>
    </cfRule>
    <cfRule type="cellIs" dxfId="1484" priority="786" operator="equal">
      <formula>4</formula>
    </cfRule>
    <cfRule type="cellIs" dxfId="1483" priority="787" operator="equal">
      <formula>3</formula>
    </cfRule>
    <cfRule type="cellIs" dxfId="1482" priority="788" operator="equal">
      <formula>2</formula>
    </cfRule>
    <cfRule type="cellIs" dxfId="1481" priority="789" operator="equal">
      <formula>1</formula>
    </cfRule>
    <cfRule type="cellIs" dxfId="1480" priority="790" operator="equal">
      <formula>0</formula>
    </cfRule>
  </conditionalFormatting>
  <conditionalFormatting sqref="AG306:AI306">
    <cfRule type="expression" dxfId="1479" priority="784">
      <formula>AND($C306=0,$C306&lt;&gt;"")</formula>
    </cfRule>
  </conditionalFormatting>
  <conditionalFormatting sqref="AK307:AR307">
    <cfRule type="expression" dxfId="1478" priority="783">
      <formula>AND($C307=0,$C307&lt;&gt;"")</formula>
    </cfRule>
  </conditionalFormatting>
  <conditionalFormatting sqref="AK307:AL307">
    <cfRule type="containsBlanks" dxfId="1477" priority="774" stopIfTrue="1">
      <formula>LEN(TRIM(AK307))=0</formula>
    </cfRule>
    <cfRule type="containsText" dxfId="1476" priority="775" operator="containsText" text="NO">
      <formula>NOT(ISERROR(SEARCH("NO",AK307)))</formula>
    </cfRule>
    <cfRule type="containsText" dxfId="1475" priority="776" operator="containsText" text="YES">
      <formula>NOT(ISERROR(SEARCH("YES",AK307)))</formula>
    </cfRule>
  </conditionalFormatting>
  <conditionalFormatting sqref="AG307:AI307">
    <cfRule type="containsBlanks" dxfId="1474" priority="768" stopIfTrue="1">
      <formula>LEN(TRIM(AG307))=0</formula>
    </cfRule>
    <cfRule type="cellIs" dxfId="1473" priority="769" operator="equal">
      <formula>4</formula>
    </cfRule>
    <cfRule type="cellIs" dxfId="1472" priority="770" operator="equal">
      <formula>3</formula>
    </cfRule>
    <cfRule type="cellIs" dxfId="1471" priority="771" operator="equal">
      <formula>2</formula>
    </cfRule>
    <cfRule type="cellIs" dxfId="1470" priority="772" operator="equal">
      <formula>1</formula>
    </cfRule>
    <cfRule type="cellIs" dxfId="1469" priority="773" operator="equal">
      <formula>0</formula>
    </cfRule>
  </conditionalFormatting>
  <conditionalFormatting sqref="AG307:AI307">
    <cfRule type="expression" dxfId="1468" priority="767">
      <formula>AND($C307=0,$C307&lt;&gt;"")</formula>
    </cfRule>
  </conditionalFormatting>
  <conditionalFormatting sqref="E304">
    <cfRule type="expression" dxfId="1467" priority="766">
      <formula>AND($C304=0,$C304&lt;&gt;"")</formula>
    </cfRule>
  </conditionalFormatting>
  <conditionalFormatting sqref="AO322">
    <cfRule type="expression" dxfId="1466" priority="765">
      <formula>AND($C322=0,$C322&lt;&gt;"")</formula>
    </cfRule>
  </conditionalFormatting>
  <conditionalFormatting sqref="AO324:AO326">
    <cfRule type="expression" dxfId="1465" priority="764">
      <formula>AND($C324=0,$C324&lt;&gt;"")</formula>
    </cfRule>
  </conditionalFormatting>
  <conditionalFormatting sqref="AQ324:AQ326">
    <cfRule type="expression" dxfId="1464" priority="763">
      <formula>AND($C324=0,$C324&lt;&gt;"")</formula>
    </cfRule>
  </conditionalFormatting>
  <conditionalFormatting sqref="AO327">
    <cfRule type="expression" dxfId="1463" priority="762">
      <formula>AND($C327=0,$C327&lt;&gt;"")</formula>
    </cfRule>
  </conditionalFormatting>
  <conditionalFormatting sqref="AJ304:AJ318 AJ200:AJ214 AJ146:AJ197 AJ221 AJ228:AJ230 AJ234:AJ292 AJ216:AJ219">
    <cfRule type="containsBlanks" dxfId="1462" priority="756" stopIfTrue="1">
      <formula>LEN(TRIM(AJ146))=0</formula>
    </cfRule>
    <cfRule type="cellIs" dxfId="1461" priority="757" operator="equal">
      <formula>4</formula>
    </cfRule>
    <cfRule type="cellIs" dxfId="1460" priority="758" operator="equal">
      <formula>3</formula>
    </cfRule>
    <cfRule type="cellIs" dxfId="1459" priority="759" operator="equal">
      <formula>2</formula>
    </cfRule>
    <cfRule type="cellIs" dxfId="1458" priority="760" operator="equal">
      <formula>1</formula>
    </cfRule>
    <cfRule type="cellIs" dxfId="1457" priority="761" operator="equal">
      <formula>0</formula>
    </cfRule>
  </conditionalFormatting>
  <conditionalFormatting sqref="AJ304:AJ318 AJ200:AJ214 AJ146:AJ197 AJ221 AJ228:AJ230 AJ234:AJ292 AJ216:AJ219">
    <cfRule type="expression" dxfId="1456" priority="755">
      <formula>AND($C146=0,$C146&lt;&gt;"")</formula>
    </cfRule>
  </conditionalFormatting>
  <conditionalFormatting sqref="B220:XFD220">
    <cfRule type="expression" dxfId="1455" priority="754">
      <formula>AND($C220=0,$C220&lt;&gt;"")</formula>
    </cfRule>
  </conditionalFormatting>
  <conditionalFormatting sqref="B222:XFD227">
    <cfRule type="expression" dxfId="1454" priority="753">
      <formula>AND($C222=0,$C222&lt;&gt;"")</formula>
    </cfRule>
  </conditionalFormatting>
  <conditionalFormatting sqref="B231:XFD233">
    <cfRule type="expression" dxfId="1453" priority="752">
      <formula>AND($C231=0,$C231&lt;&gt;"")</formula>
    </cfRule>
  </conditionalFormatting>
  <conditionalFormatting sqref="M328:AI328">
    <cfRule type="containsBlanks" dxfId="1452" priority="746" stopIfTrue="1">
      <formula>LEN(TRIM(M328))=0</formula>
    </cfRule>
    <cfRule type="cellIs" dxfId="1451" priority="747" operator="equal">
      <formula>4</formula>
    </cfRule>
    <cfRule type="cellIs" dxfId="1450" priority="748" operator="equal">
      <formula>3</formula>
    </cfRule>
    <cfRule type="cellIs" dxfId="1449" priority="749" operator="equal">
      <formula>2</formula>
    </cfRule>
    <cfRule type="cellIs" dxfId="1448" priority="750" operator="equal">
      <formula>1</formula>
    </cfRule>
    <cfRule type="cellIs" dxfId="1447" priority="751" operator="equal">
      <formula>0</formula>
    </cfRule>
  </conditionalFormatting>
  <conditionalFormatting sqref="AK328:AL328">
    <cfRule type="containsBlanks" dxfId="1446" priority="743" stopIfTrue="1">
      <formula>LEN(TRIM(AK328))=0</formula>
    </cfRule>
    <cfRule type="containsText" dxfId="1445" priority="744" operator="containsText" text="NO">
      <formula>NOT(ISERROR(SEARCH("NO",AK328)))</formula>
    </cfRule>
    <cfRule type="containsText" dxfId="1444" priority="745" operator="containsText" text="YES">
      <formula>NOT(ISERROR(SEARCH("YES",AK328)))</formula>
    </cfRule>
  </conditionalFormatting>
  <conditionalFormatting sqref="X328 D328:E328 AA328:AI328 B328">
    <cfRule type="expression" dxfId="1443" priority="742">
      <formula>AND($C328=0,$C328&lt;&gt;"")</formula>
    </cfRule>
  </conditionalFormatting>
  <conditionalFormatting sqref="AJ328">
    <cfRule type="containsBlanks" dxfId="1442" priority="736" stopIfTrue="1">
      <formula>LEN(TRIM(AJ328))=0</formula>
    </cfRule>
    <cfRule type="cellIs" dxfId="1441" priority="737" operator="equal">
      <formula>4</formula>
    </cfRule>
    <cfRule type="cellIs" dxfId="1440" priority="738" operator="equal">
      <formula>3</formula>
    </cfRule>
    <cfRule type="cellIs" dxfId="1439" priority="739" operator="equal">
      <formula>2</formula>
    </cfRule>
    <cfRule type="cellIs" dxfId="1438" priority="740" operator="equal">
      <formula>1</formula>
    </cfRule>
    <cfRule type="cellIs" dxfId="1437" priority="741" operator="equal">
      <formula>0</formula>
    </cfRule>
  </conditionalFormatting>
  <conditionalFormatting sqref="AJ328">
    <cfRule type="expression" dxfId="1436" priority="735">
      <formula>AND($C328=0,$C328&lt;&gt;"")</formula>
    </cfRule>
  </conditionalFormatting>
  <conditionalFormatting sqref="M329:AI329">
    <cfRule type="containsBlanks" dxfId="1435" priority="729" stopIfTrue="1">
      <formula>LEN(TRIM(M329))=0</formula>
    </cfRule>
    <cfRule type="cellIs" dxfId="1434" priority="730" operator="equal">
      <formula>4</formula>
    </cfRule>
    <cfRule type="cellIs" dxfId="1433" priority="731" operator="equal">
      <formula>3</formula>
    </cfRule>
    <cfRule type="cellIs" dxfId="1432" priority="732" operator="equal">
      <formula>2</formula>
    </cfRule>
    <cfRule type="cellIs" dxfId="1431" priority="733" operator="equal">
      <formula>1</formula>
    </cfRule>
    <cfRule type="cellIs" dxfId="1430" priority="734" operator="equal">
      <formula>0</formula>
    </cfRule>
  </conditionalFormatting>
  <conditionalFormatting sqref="AK329:AL329">
    <cfRule type="containsBlanks" dxfId="1429" priority="726" stopIfTrue="1">
      <formula>LEN(TRIM(AK329))=0</formula>
    </cfRule>
    <cfRule type="containsText" dxfId="1428" priority="727" operator="containsText" text="NO">
      <formula>NOT(ISERROR(SEARCH("NO",AK329)))</formula>
    </cfRule>
    <cfRule type="containsText" dxfId="1427" priority="728" operator="containsText" text="YES">
      <formula>NOT(ISERROR(SEARCH("YES",AK329)))</formula>
    </cfRule>
  </conditionalFormatting>
  <conditionalFormatting sqref="X329 D329:E329 AA329:AI329 B329">
    <cfRule type="expression" dxfId="1426" priority="725">
      <formula>AND($C329=0,$C329&lt;&gt;"")</formula>
    </cfRule>
  </conditionalFormatting>
  <conditionalFormatting sqref="AJ329">
    <cfRule type="containsBlanks" dxfId="1425" priority="719" stopIfTrue="1">
      <formula>LEN(TRIM(AJ329))=0</formula>
    </cfRule>
    <cfRule type="cellIs" dxfId="1424" priority="720" operator="equal">
      <formula>4</formula>
    </cfRule>
    <cfRule type="cellIs" dxfId="1423" priority="721" operator="equal">
      <formula>3</formula>
    </cfRule>
    <cfRule type="cellIs" dxfId="1422" priority="722" operator="equal">
      <formula>2</formula>
    </cfRule>
    <cfRule type="cellIs" dxfId="1421" priority="723" operator="equal">
      <formula>1</formula>
    </cfRule>
    <cfRule type="cellIs" dxfId="1420" priority="724" operator="equal">
      <formula>0</formula>
    </cfRule>
  </conditionalFormatting>
  <conditionalFormatting sqref="AJ329">
    <cfRule type="expression" dxfId="1419" priority="718">
      <formula>AND($C329=0,$C329&lt;&gt;"")</formula>
    </cfRule>
  </conditionalFormatting>
  <conditionalFormatting sqref="M330:AI330">
    <cfRule type="containsBlanks" dxfId="1418" priority="712" stopIfTrue="1">
      <formula>LEN(TRIM(M330))=0</formula>
    </cfRule>
    <cfRule type="cellIs" dxfId="1417" priority="713" operator="equal">
      <formula>4</formula>
    </cfRule>
    <cfRule type="cellIs" dxfId="1416" priority="714" operator="equal">
      <formula>3</formula>
    </cfRule>
    <cfRule type="cellIs" dxfId="1415" priority="715" operator="equal">
      <formula>2</formula>
    </cfRule>
    <cfRule type="cellIs" dxfId="1414" priority="716" operator="equal">
      <formula>1</formula>
    </cfRule>
    <cfRule type="cellIs" dxfId="1413" priority="717" operator="equal">
      <formula>0</formula>
    </cfRule>
  </conditionalFormatting>
  <conditionalFormatting sqref="AK330:AL330">
    <cfRule type="containsBlanks" dxfId="1412" priority="709" stopIfTrue="1">
      <formula>LEN(TRIM(AK330))=0</formula>
    </cfRule>
    <cfRule type="containsText" dxfId="1411" priority="710" operator="containsText" text="NO">
      <formula>NOT(ISERROR(SEARCH("NO",AK330)))</formula>
    </cfRule>
    <cfRule type="containsText" dxfId="1410" priority="711" operator="containsText" text="YES">
      <formula>NOT(ISERROR(SEARCH("YES",AK330)))</formula>
    </cfRule>
  </conditionalFormatting>
  <conditionalFormatting sqref="X330 D330:E330 AA330:AI330 B330">
    <cfRule type="expression" dxfId="1409" priority="708">
      <formula>AND($C330=0,$C330&lt;&gt;"")</formula>
    </cfRule>
  </conditionalFormatting>
  <conditionalFormatting sqref="AJ330">
    <cfRule type="containsBlanks" dxfId="1408" priority="702" stopIfTrue="1">
      <formula>LEN(TRIM(AJ330))=0</formula>
    </cfRule>
    <cfRule type="cellIs" dxfId="1407" priority="703" operator="equal">
      <formula>4</formula>
    </cfRule>
    <cfRule type="cellIs" dxfId="1406" priority="704" operator="equal">
      <formula>3</formula>
    </cfRule>
    <cfRule type="cellIs" dxfId="1405" priority="705" operator="equal">
      <formula>2</formula>
    </cfRule>
    <cfRule type="cellIs" dxfId="1404" priority="706" operator="equal">
      <formula>1</formula>
    </cfRule>
    <cfRule type="cellIs" dxfId="1403" priority="707" operator="equal">
      <formula>0</formula>
    </cfRule>
  </conditionalFormatting>
  <conditionalFormatting sqref="AJ330">
    <cfRule type="expression" dxfId="1402" priority="701">
      <formula>AND($C330=0,$C330&lt;&gt;"")</formula>
    </cfRule>
  </conditionalFormatting>
  <conditionalFormatting sqref="M331:AI331">
    <cfRule type="containsBlanks" dxfId="1401" priority="695" stopIfTrue="1">
      <formula>LEN(TRIM(M331))=0</formula>
    </cfRule>
    <cfRule type="cellIs" dxfId="1400" priority="696" operator="equal">
      <formula>4</formula>
    </cfRule>
    <cfRule type="cellIs" dxfId="1399" priority="697" operator="equal">
      <formula>3</formula>
    </cfRule>
    <cfRule type="cellIs" dxfId="1398" priority="698" operator="equal">
      <formula>2</formula>
    </cfRule>
    <cfRule type="cellIs" dxfId="1397" priority="699" operator="equal">
      <formula>1</formula>
    </cfRule>
    <cfRule type="cellIs" dxfId="1396" priority="700" operator="equal">
      <formula>0</formula>
    </cfRule>
  </conditionalFormatting>
  <conditionalFormatting sqref="AK331:AL331">
    <cfRule type="containsBlanks" dxfId="1395" priority="692" stopIfTrue="1">
      <formula>LEN(TRIM(AK331))=0</formula>
    </cfRule>
    <cfRule type="containsText" dxfId="1394" priority="693" operator="containsText" text="NO">
      <formula>NOT(ISERROR(SEARCH("NO",AK331)))</formula>
    </cfRule>
    <cfRule type="containsText" dxfId="1393" priority="694" operator="containsText" text="YES">
      <formula>NOT(ISERROR(SEARCH("YES",AK331)))</formula>
    </cfRule>
  </conditionalFormatting>
  <conditionalFormatting sqref="X331 D331:E331 AA331:AI331 B331">
    <cfRule type="expression" dxfId="1392" priority="691">
      <formula>AND($C331=0,$C331&lt;&gt;"")</formula>
    </cfRule>
  </conditionalFormatting>
  <conditionalFormatting sqref="AJ331">
    <cfRule type="containsBlanks" dxfId="1391" priority="685" stopIfTrue="1">
      <formula>LEN(TRIM(AJ331))=0</formula>
    </cfRule>
    <cfRule type="cellIs" dxfId="1390" priority="686" operator="equal">
      <formula>4</formula>
    </cfRule>
    <cfRule type="cellIs" dxfId="1389" priority="687" operator="equal">
      <formula>3</formula>
    </cfRule>
    <cfRule type="cellIs" dxfId="1388" priority="688" operator="equal">
      <formula>2</formula>
    </cfRule>
    <cfRule type="cellIs" dxfId="1387" priority="689" operator="equal">
      <formula>1</formula>
    </cfRule>
    <cfRule type="cellIs" dxfId="1386" priority="690" operator="equal">
      <formula>0</formula>
    </cfRule>
  </conditionalFormatting>
  <conditionalFormatting sqref="AJ331">
    <cfRule type="expression" dxfId="1385" priority="684">
      <formula>AND($C331=0,$C331&lt;&gt;"")</formula>
    </cfRule>
  </conditionalFormatting>
  <conditionalFormatting sqref="M332:AI332">
    <cfRule type="containsBlanks" dxfId="1384" priority="678" stopIfTrue="1">
      <formula>LEN(TRIM(M332))=0</formula>
    </cfRule>
    <cfRule type="cellIs" dxfId="1383" priority="679" operator="equal">
      <formula>4</formula>
    </cfRule>
    <cfRule type="cellIs" dxfId="1382" priority="680" operator="equal">
      <formula>3</formula>
    </cfRule>
    <cfRule type="cellIs" dxfId="1381" priority="681" operator="equal">
      <formula>2</formula>
    </cfRule>
    <cfRule type="cellIs" dxfId="1380" priority="682" operator="equal">
      <formula>1</formula>
    </cfRule>
    <cfRule type="cellIs" dxfId="1379" priority="683" operator="equal">
      <formula>0</formula>
    </cfRule>
  </conditionalFormatting>
  <conditionalFormatting sqref="AK332:AL332">
    <cfRule type="containsBlanks" dxfId="1378" priority="675" stopIfTrue="1">
      <formula>LEN(TRIM(AK332))=0</formula>
    </cfRule>
    <cfRule type="containsText" dxfId="1377" priority="676" operator="containsText" text="NO">
      <formula>NOT(ISERROR(SEARCH("NO",AK332)))</formula>
    </cfRule>
    <cfRule type="containsText" dxfId="1376" priority="677" operator="containsText" text="YES">
      <formula>NOT(ISERROR(SEARCH("YES",AK332)))</formula>
    </cfRule>
  </conditionalFormatting>
  <conditionalFormatting sqref="X332 D332:E332 AA332:AI332 B332">
    <cfRule type="expression" dxfId="1375" priority="674">
      <formula>AND($C332=0,$C332&lt;&gt;"")</formula>
    </cfRule>
  </conditionalFormatting>
  <conditionalFormatting sqref="AJ332">
    <cfRule type="containsBlanks" dxfId="1374" priority="668" stopIfTrue="1">
      <formula>LEN(TRIM(AJ332))=0</formula>
    </cfRule>
    <cfRule type="cellIs" dxfId="1373" priority="669" operator="equal">
      <formula>4</formula>
    </cfRule>
    <cfRule type="cellIs" dxfId="1372" priority="670" operator="equal">
      <formula>3</formula>
    </cfRule>
    <cfRule type="cellIs" dxfId="1371" priority="671" operator="equal">
      <formula>2</formula>
    </cfRule>
    <cfRule type="cellIs" dxfId="1370" priority="672" operator="equal">
      <formula>1</formula>
    </cfRule>
    <cfRule type="cellIs" dxfId="1369" priority="673" operator="equal">
      <formula>0</formula>
    </cfRule>
  </conditionalFormatting>
  <conditionalFormatting sqref="AJ332">
    <cfRule type="expression" dxfId="1368" priority="667">
      <formula>AND($C332=0,$C332&lt;&gt;"")</formula>
    </cfRule>
  </conditionalFormatting>
  <conditionalFormatting sqref="M333:AI333">
    <cfRule type="containsBlanks" dxfId="1367" priority="661" stopIfTrue="1">
      <formula>LEN(TRIM(M333))=0</formula>
    </cfRule>
    <cfRule type="cellIs" dxfId="1366" priority="662" operator="equal">
      <formula>4</formula>
    </cfRule>
    <cfRule type="cellIs" dxfId="1365" priority="663" operator="equal">
      <formula>3</formula>
    </cfRule>
    <cfRule type="cellIs" dxfId="1364" priority="664" operator="equal">
      <formula>2</formula>
    </cfRule>
    <cfRule type="cellIs" dxfId="1363" priority="665" operator="equal">
      <formula>1</formula>
    </cfRule>
    <cfRule type="cellIs" dxfId="1362" priority="666" operator="equal">
      <formula>0</formula>
    </cfRule>
  </conditionalFormatting>
  <conditionalFormatting sqref="AK333:AL333">
    <cfRule type="containsBlanks" dxfId="1361" priority="658" stopIfTrue="1">
      <formula>LEN(TRIM(AK333))=0</formula>
    </cfRule>
    <cfRule type="containsText" dxfId="1360" priority="659" operator="containsText" text="NO">
      <formula>NOT(ISERROR(SEARCH("NO",AK333)))</formula>
    </cfRule>
    <cfRule type="containsText" dxfId="1359" priority="660" operator="containsText" text="YES">
      <formula>NOT(ISERROR(SEARCH("YES",AK333)))</formula>
    </cfRule>
  </conditionalFormatting>
  <conditionalFormatting sqref="X333 D333:E333 AA333:AI333 B333">
    <cfRule type="expression" dxfId="1358" priority="657">
      <formula>AND($C333=0,$C333&lt;&gt;"")</formula>
    </cfRule>
  </conditionalFormatting>
  <conditionalFormatting sqref="AJ333">
    <cfRule type="containsBlanks" dxfId="1357" priority="651" stopIfTrue="1">
      <formula>LEN(TRIM(AJ333))=0</formula>
    </cfRule>
    <cfRule type="cellIs" dxfId="1356" priority="652" operator="equal">
      <formula>4</formula>
    </cfRule>
    <cfRule type="cellIs" dxfId="1355" priority="653" operator="equal">
      <formula>3</formula>
    </cfRule>
    <cfRule type="cellIs" dxfId="1354" priority="654" operator="equal">
      <formula>2</formula>
    </cfRule>
    <cfRule type="cellIs" dxfId="1353" priority="655" operator="equal">
      <formula>1</formula>
    </cfRule>
    <cfRule type="cellIs" dxfId="1352" priority="656" operator="equal">
      <formula>0</formula>
    </cfRule>
  </conditionalFormatting>
  <conditionalFormatting sqref="AJ333">
    <cfRule type="expression" dxfId="1351" priority="650">
      <formula>AND($C333=0,$C333&lt;&gt;"")</formula>
    </cfRule>
  </conditionalFormatting>
  <conditionalFormatting sqref="AL200">
    <cfRule type="containsBlanks" dxfId="1350" priority="647" stopIfTrue="1">
      <formula>LEN(TRIM(AL200))=0</formula>
    </cfRule>
    <cfRule type="containsText" dxfId="1349" priority="648" operator="containsText" text="NO">
      <formula>NOT(ISERROR(SEARCH("NO",AL200)))</formula>
    </cfRule>
    <cfRule type="containsText" dxfId="1348" priority="649" operator="containsText" text="YES">
      <formula>NOT(ISERROR(SEARCH("YES",AL200)))</formula>
    </cfRule>
  </conditionalFormatting>
  <conditionalFormatting sqref="AL200">
    <cfRule type="expression" dxfId="1347" priority="646">
      <formula>AND($C200=0,$C200&lt;&gt;"")</formula>
    </cfRule>
  </conditionalFormatting>
  <conditionalFormatting sqref="K297:K300">
    <cfRule type="expression" dxfId="1346" priority="645">
      <formula>AND($C297=0,$C297&lt;&gt;"")</formula>
    </cfRule>
  </conditionalFormatting>
  <conditionalFormatting sqref="AN245:AQ245">
    <cfRule type="expression" dxfId="1345" priority="644">
      <formula>AND($C245=0,$C245&lt;&gt;"")</formula>
    </cfRule>
  </conditionalFormatting>
  <conditionalFormatting sqref="AN246:AQ246 AN297:AN300">
    <cfRule type="expression" dxfId="1344" priority="643">
      <formula>AND($C246=0,$C246&lt;&gt;"")</formula>
    </cfRule>
  </conditionalFormatting>
  <conditionalFormatting sqref="AG319:AG327">
    <cfRule type="containsBlanks" dxfId="1343" priority="637" stopIfTrue="1">
      <formula>LEN(TRIM(AG319))=0</formula>
    </cfRule>
    <cfRule type="cellIs" dxfId="1342" priority="638" operator="equal">
      <formula>4</formula>
    </cfRule>
    <cfRule type="cellIs" dxfId="1341" priority="639" operator="equal">
      <formula>3</formula>
    </cfRule>
    <cfRule type="cellIs" dxfId="1340" priority="640" operator="equal">
      <formula>2</formula>
    </cfRule>
    <cfRule type="cellIs" dxfId="1339" priority="641" operator="equal">
      <formula>1</formula>
    </cfRule>
    <cfRule type="cellIs" dxfId="1338" priority="642" operator="equal">
      <formula>0</formula>
    </cfRule>
  </conditionalFormatting>
  <conditionalFormatting sqref="AG319:AG327">
    <cfRule type="expression" dxfId="1337" priority="636">
      <formula>AND($C319=0,$C319&lt;&gt;"")</formula>
    </cfRule>
  </conditionalFormatting>
  <conditionalFormatting sqref="AK319:AK327">
    <cfRule type="expression" dxfId="1336" priority="635">
      <formula>AND($C319=0,$C319&lt;&gt;"")</formula>
    </cfRule>
  </conditionalFormatting>
  <conditionalFormatting sqref="AK319:AK327">
    <cfRule type="containsBlanks" dxfId="1335" priority="632" stopIfTrue="1">
      <formula>LEN(TRIM(AK319))=0</formula>
    </cfRule>
    <cfRule type="containsText" dxfId="1334" priority="633" operator="containsText" text="NO">
      <formula>NOT(ISERROR(SEARCH("NO",AK319)))</formula>
    </cfRule>
    <cfRule type="containsText" dxfId="1333" priority="634" operator="containsText" text="YES">
      <formula>NOT(ISERROR(SEARCH("YES",AK319)))</formula>
    </cfRule>
  </conditionalFormatting>
  <conditionalFormatting sqref="AL319:AL327">
    <cfRule type="expression" dxfId="1332" priority="631">
      <formula>AND($C319=0,$C319&lt;&gt;"")</formula>
    </cfRule>
  </conditionalFormatting>
  <conditionalFormatting sqref="AL319:AL327">
    <cfRule type="containsBlanks" dxfId="1331" priority="628" stopIfTrue="1">
      <formula>LEN(TRIM(AL319))=0</formula>
    </cfRule>
    <cfRule type="containsText" dxfId="1330" priority="629" operator="containsText" text="NO">
      <formula>NOT(ISERROR(SEARCH("NO",AL319)))</formula>
    </cfRule>
    <cfRule type="containsText" dxfId="1329" priority="630" operator="containsText" text="YES">
      <formula>NOT(ISERROR(SEARCH("YES",AL319)))</formula>
    </cfRule>
  </conditionalFormatting>
  <conditionalFormatting sqref="AG334">
    <cfRule type="containsBlanks" dxfId="1328" priority="622" stopIfTrue="1">
      <formula>LEN(TRIM(AG334))=0</formula>
    </cfRule>
    <cfRule type="cellIs" dxfId="1327" priority="623" operator="equal">
      <formula>4</formula>
    </cfRule>
    <cfRule type="cellIs" dxfId="1326" priority="624" operator="equal">
      <formula>3</formula>
    </cfRule>
    <cfRule type="cellIs" dxfId="1325" priority="625" operator="equal">
      <formula>2</formula>
    </cfRule>
    <cfRule type="cellIs" dxfId="1324" priority="626" operator="equal">
      <formula>1</formula>
    </cfRule>
    <cfRule type="cellIs" dxfId="1323" priority="627" operator="equal">
      <formula>0</formula>
    </cfRule>
  </conditionalFormatting>
  <conditionalFormatting sqref="AG334">
    <cfRule type="expression" dxfId="1322" priority="621">
      <formula>AND($C334=0,$C334&lt;&gt;"")</formula>
    </cfRule>
  </conditionalFormatting>
  <conditionalFormatting sqref="AK334:AL334">
    <cfRule type="containsBlanks" dxfId="1321" priority="618" stopIfTrue="1">
      <formula>LEN(TRIM(AK334))=0</formula>
    </cfRule>
    <cfRule type="containsText" dxfId="1320" priority="619" operator="containsText" text="NO">
      <formula>NOT(ISERROR(SEARCH("NO",AK334)))</formula>
    </cfRule>
    <cfRule type="containsText" dxfId="1319" priority="620" operator="containsText" text="YES">
      <formula>NOT(ISERROR(SEARCH("YES",AK334)))</formula>
    </cfRule>
  </conditionalFormatting>
  <conditionalFormatting sqref="AG335:AG338">
    <cfRule type="containsBlanks" dxfId="1318" priority="612" stopIfTrue="1">
      <formula>LEN(TRIM(AG335))=0</formula>
    </cfRule>
    <cfRule type="cellIs" dxfId="1317" priority="613" operator="equal">
      <formula>4</formula>
    </cfRule>
    <cfRule type="cellIs" dxfId="1316" priority="614" operator="equal">
      <formula>3</formula>
    </cfRule>
    <cfRule type="cellIs" dxfId="1315" priority="615" operator="equal">
      <formula>2</formula>
    </cfRule>
    <cfRule type="cellIs" dxfId="1314" priority="616" operator="equal">
      <formula>1</formula>
    </cfRule>
    <cfRule type="cellIs" dxfId="1313" priority="617" operator="equal">
      <formula>0</formula>
    </cfRule>
  </conditionalFormatting>
  <conditionalFormatting sqref="AG335:AG338">
    <cfRule type="expression" dxfId="1312" priority="611">
      <formula>AND($C335=0,$C335&lt;&gt;"")</formula>
    </cfRule>
  </conditionalFormatting>
  <conditionalFormatting sqref="AK335:AL338">
    <cfRule type="containsBlanks" dxfId="1311" priority="608" stopIfTrue="1">
      <formula>LEN(TRIM(AK335))=0</formula>
    </cfRule>
    <cfRule type="containsText" dxfId="1310" priority="609" operator="containsText" text="NO">
      <formula>NOT(ISERROR(SEARCH("NO",AK335)))</formula>
    </cfRule>
    <cfRule type="containsText" dxfId="1309" priority="610" operator="containsText" text="YES">
      <formula>NOT(ISERROR(SEARCH("YES",AK335)))</formula>
    </cfRule>
  </conditionalFormatting>
  <conditionalFormatting sqref="B339">
    <cfRule type="expression" dxfId="1308" priority="607">
      <formula>AND($C339=0,$C339&lt;&gt;"")</formula>
    </cfRule>
  </conditionalFormatting>
  <conditionalFormatting sqref="AE339:AF339 AH339:AI339">
    <cfRule type="containsBlanks" dxfId="1307" priority="601" stopIfTrue="1">
      <formula>LEN(TRIM(AE339))=0</formula>
    </cfRule>
    <cfRule type="cellIs" dxfId="1306" priority="602" operator="equal">
      <formula>4</formula>
    </cfRule>
    <cfRule type="cellIs" dxfId="1305" priority="603" operator="equal">
      <formula>3</formula>
    </cfRule>
    <cfRule type="cellIs" dxfId="1304" priority="604" operator="equal">
      <formula>2</formula>
    </cfRule>
    <cfRule type="cellIs" dxfId="1303" priority="605" operator="equal">
      <formula>1</formula>
    </cfRule>
    <cfRule type="cellIs" dxfId="1302" priority="606" operator="equal">
      <formula>0</formula>
    </cfRule>
  </conditionalFormatting>
  <conditionalFormatting sqref="AE339:AF339 AH339:AI339">
    <cfRule type="expression" dxfId="1301" priority="600">
      <formula>AND($C339=0,$C339&lt;&gt;"")</formula>
    </cfRule>
  </conditionalFormatting>
  <conditionalFormatting sqref="AG339">
    <cfRule type="containsBlanks" dxfId="1300" priority="594" stopIfTrue="1">
      <formula>LEN(TRIM(AG339))=0</formula>
    </cfRule>
    <cfRule type="cellIs" dxfId="1299" priority="595" operator="equal">
      <formula>4</formula>
    </cfRule>
    <cfRule type="cellIs" dxfId="1298" priority="596" operator="equal">
      <formula>3</formula>
    </cfRule>
    <cfRule type="cellIs" dxfId="1297" priority="597" operator="equal">
      <formula>2</formula>
    </cfRule>
    <cfRule type="cellIs" dxfId="1296" priority="598" operator="equal">
      <formula>1</formula>
    </cfRule>
    <cfRule type="cellIs" dxfId="1295" priority="599" operator="equal">
      <formula>0</formula>
    </cfRule>
  </conditionalFormatting>
  <conditionalFormatting sqref="AG339">
    <cfRule type="expression" dxfId="1294" priority="593">
      <formula>AND($C339=0,$C339&lt;&gt;"")</formula>
    </cfRule>
  </conditionalFormatting>
  <conditionalFormatting sqref="AJ339">
    <cfRule type="containsBlanks" dxfId="1293" priority="587" stopIfTrue="1">
      <formula>LEN(TRIM(AJ339))=0</formula>
    </cfRule>
    <cfRule type="cellIs" dxfId="1292" priority="588" operator="equal">
      <formula>4</formula>
    </cfRule>
    <cfRule type="cellIs" dxfId="1291" priority="589" operator="equal">
      <formula>3</formula>
    </cfRule>
    <cfRule type="cellIs" dxfId="1290" priority="590" operator="equal">
      <formula>2</formula>
    </cfRule>
    <cfRule type="cellIs" dxfId="1289" priority="591" operator="equal">
      <formula>1</formula>
    </cfRule>
    <cfRule type="cellIs" dxfId="1288" priority="592" operator="equal">
      <formula>0</formula>
    </cfRule>
  </conditionalFormatting>
  <conditionalFormatting sqref="AJ339">
    <cfRule type="expression" dxfId="1287" priority="586">
      <formula>AND($C339=0,$C339&lt;&gt;"")</formula>
    </cfRule>
  </conditionalFormatting>
  <conditionalFormatting sqref="B340">
    <cfRule type="expression" dxfId="1286" priority="585">
      <formula>AND($C340=0,$C340&lt;&gt;"")</formula>
    </cfRule>
  </conditionalFormatting>
  <conditionalFormatting sqref="AE340:AF340 AH340:AI340">
    <cfRule type="containsBlanks" dxfId="1285" priority="579" stopIfTrue="1">
      <formula>LEN(TRIM(AE340))=0</formula>
    </cfRule>
    <cfRule type="cellIs" dxfId="1284" priority="580" operator="equal">
      <formula>4</formula>
    </cfRule>
    <cfRule type="cellIs" dxfId="1283" priority="581" operator="equal">
      <formula>3</formula>
    </cfRule>
    <cfRule type="cellIs" dxfId="1282" priority="582" operator="equal">
      <formula>2</formula>
    </cfRule>
    <cfRule type="cellIs" dxfId="1281" priority="583" operator="equal">
      <formula>1</formula>
    </cfRule>
    <cfRule type="cellIs" dxfId="1280" priority="584" operator="equal">
      <formula>0</formula>
    </cfRule>
  </conditionalFormatting>
  <conditionalFormatting sqref="AE340:AF340 AH340:AI340">
    <cfRule type="expression" dxfId="1279" priority="578">
      <formula>AND($C340=0,$C340&lt;&gt;"")</formula>
    </cfRule>
  </conditionalFormatting>
  <conditionalFormatting sqref="AG340">
    <cfRule type="containsBlanks" dxfId="1278" priority="572" stopIfTrue="1">
      <formula>LEN(TRIM(AG340))=0</formula>
    </cfRule>
    <cfRule type="cellIs" dxfId="1277" priority="573" operator="equal">
      <formula>4</formula>
    </cfRule>
    <cfRule type="cellIs" dxfId="1276" priority="574" operator="equal">
      <formula>3</formula>
    </cfRule>
    <cfRule type="cellIs" dxfId="1275" priority="575" operator="equal">
      <formula>2</formula>
    </cfRule>
    <cfRule type="cellIs" dxfId="1274" priority="576" operator="equal">
      <formula>1</formula>
    </cfRule>
    <cfRule type="cellIs" dxfId="1273" priority="577" operator="equal">
      <formula>0</formula>
    </cfRule>
  </conditionalFormatting>
  <conditionalFormatting sqref="AG340">
    <cfRule type="expression" dxfId="1272" priority="571">
      <formula>AND($C340=0,$C340&lt;&gt;"")</formula>
    </cfRule>
  </conditionalFormatting>
  <conditionalFormatting sqref="AJ340">
    <cfRule type="containsBlanks" dxfId="1271" priority="565" stopIfTrue="1">
      <formula>LEN(TRIM(AJ340))=0</formula>
    </cfRule>
    <cfRule type="cellIs" dxfId="1270" priority="566" operator="equal">
      <formula>4</formula>
    </cfRule>
    <cfRule type="cellIs" dxfId="1269" priority="567" operator="equal">
      <formula>3</formula>
    </cfRule>
    <cfRule type="cellIs" dxfId="1268" priority="568" operator="equal">
      <formula>2</formula>
    </cfRule>
    <cfRule type="cellIs" dxfId="1267" priority="569" operator="equal">
      <formula>1</formula>
    </cfRule>
    <cfRule type="cellIs" dxfId="1266" priority="570" operator="equal">
      <formula>0</formula>
    </cfRule>
  </conditionalFormatting>
  <conditionalFormatting sqref="AJ340">
    <cfRule type="expression" dxfId="1265" priority="564">
      <formula>AND($C340=0,$C340&lt;&gt;"")</formula>
    </cfRule>
  </conditionalFormatting>
  <conditionalFormatting sqref="B341">
    <cfRule type="expression" dxfId="1264" priority="563">
      <formula>AND($C341=0,$C341&lt;&gt;"")</formula>
    </cfRule>
  </conditionalFormatting>
  <conditionalFormatting sqref="AE341:AF341 AH341:AI341">
    <cfRule type="containsBlanks" dxfId="1263" priority="557" stopIfTrue="1">
      <formula>LEN(TRIM(AE341))=0</formula>
    </cfRule>
    <cfRule type="cellIs" dxfId="1262" priority="558" operator="equal">
      <formula>4</formula>
    </cfRule>
    <cfRule type="cellIs" dxfId="1261" priority="559" operator="equal">
      <formula>3</formula>
    </cfRule>
    <cfRule type="cellIs" dxfId="1260" priority="560" operator="equal">
      <formula>2</formula>
    </cfRule>
    <cfRule type="cellIs" dxfId="1259" priority="561" operator="equal">
      <formula>1</formula>
    </cfRule>
    <cfRule type="cellIs" dxfId="1258" priority="562" operator="equal">
      <formula>0</formula>
    </cfRule>
  </conditionalFormatting>
  <conditionalFormatting sqref="AE341:AF341 AH341:AI341">
    <cfRule type="expression" dxfId="1257" priority="556">
      <formula>AND($C341=0,$C341&lt;&gt;"")</formula>
    </cfRule>
  </conditionalFormatting>
  <conditionalFormatting sqref="AG341">
    <cfRule type="containsBlanks" dxfId="1256" priority="550" stopIfTrue="1">
      <formula>LEN(TRIM(AG341))=0</formula>
    </cfRule>
    <cfRule type="cellIs" dxfId="1255" priority="551" operator="equal">
      <formula>4</formula>
    </cfRule>
    <cfRule type="cellIs" dxfId="1254" priority="552" operator="equal">
      <formula>3</formula>
    </cfRule>
    <cfRule type="cellIs" dxfId="1253" priority="553" operator="equal">
      <formula>2</formula>
    </cfRule>
    <cfRule type="cellIs" dxfId="1252" priority="554" operator="equal">
      <formula>1</formula>
    </cfRule>
    <cfRule type="cellIs" dxfId="1251" priority="555" operator="equal">
      <formula>0</formula>
    </cfRule>
  </conditionalFormatting>
  <conditionalFormatting sqref="AG341">
    <cfRule type="expression" dxfId="1250" priority="549">
      <formula>AND($C341=0,$C341&lt;&gt;"")</formula>
    </cfRule>
  </conditionalFormatting>
  <conditionalFormatting sqref="AJ341">
    <cfRule type="containsBlanks" dxfId="1249" priority="543" stopIfTrue="1">
      <formula>LEN(TRIM(AJ341))=0</formula>
    </cfRule>
    <cfRule type="cellIs" dxfId="1248" priority="544" operator="equal">
      <formula>4</formula>
    </cfRule>
    <cfRule type="cellIs" dxfId="1247" priority="545" operator="equal">
      <formula>3</formula>
    </cfRule>
    <cfRule type="cellIs" dxfId="1246" priority="546" operator="equal">
      <formula>2</formula>
    </cfRule>
    <cfRule type="cellIs" dxfId="1245" priority="547" operator="equal">
      <formula>1</formula>
    </cfRule>
    <cfRule type="cellIs" dxfId="1244" priority="548" operator="equal">
      <formula>0</formula>
    </cfRule>
  </conditionalFormatting>
  <conditionalFormatting sqref="AJ341">
    <cfRule type="expression" dxfId="1243" priority="542">
      <formula>AND($C341=0,$C341&lt;&gt;"")</formula>
    </cfRule>
  </conditionalFormatting>
  <conditionalFormatting sqref="B342">
    <cfRule type="expression" dxfId="1242" priority="541">
      <formula>AND($C342=0,$C342&lt;&gt;"")</formula>
    </cfRule>
  </conditionalFormatting>
  <conditionalFormatting sqref="AE342:AF342 AH342:AI342">
    <cfRule type="containsBlanks" dxfId="1241" priority="535" stopIfTrue="1">
      <formula>LEN(TRIM(AE342))=0</formula>
    </cfRule>
    <cfRule type="cellIs" dxfId="1240" priority="536" operator="equal">
      <formula>4</formula>
    </cfRule>
    <cfRule type="cellIs" dxfId="1239" priority="537" operator="equal">
      <formula>3</formula>
    </cfRule>
    <cfRule type="cellIs" dxfId="1238" priority="538" operator="equal">
      <formula>2</formula>
    </cfRule>
    <cfRule type="cellIs" dxfId="1237" priority="539" operator="equal">
      <formula>1</formula>
    </cfRule>
    <cfRule type="cellIs" dxfId="1236" priority="540" operator="equal">
      <formula>0</formula>
    </cfRule>
  </conditionalFormatting>
  <conditionalFormatting sqref="AE342:AF342 AH342:AI342">
    <cfRule type="expression" dxfId="1235" priority="534">
      <formula>AND($C342=0,$C342&lt;&gt;"")</formula>
    </cfRule>
  </conditionalFormatting>
  <conditionalFormatting sqref="AG342">
    <cfRule type="containsBlanks" dxfId="1234" priority="528" stopIfTrue="1">
      <formula>LEN(TRIM(AG342))=0</formula>
    </cfRule>
    <cfRule type="cellIs" dxfId="1233" priority="529" operator="equal">
      <formula>4</formula>
    </cfRule>
    <cfRule type="cellIs" dxfId="1232" priority="530" operator="equal">
      <formula>3</formula>
    </cfRule>
    <cfRule type="cellIs" dxfId="1231" priority="531" operator="equal">
      <formula>2</formula>
    </cfRule>
    <cfRule type="cellIs" dxfId="1230" priority="532" operator="equal">
      <formula>1</formula>
    </cfRule>
    <cfRule type="cellIs" dxfId="1229" priority="533" operator="equal">
      <formula>0</formula>
    </cfRule>
  </conditionalFormatting>
  <conditionalFormatting sqref="AG342">
    <cfRule type="expression" dxfId="1228" priority="527">
      <formula>AND($C342=0,$C342&lt;&gt;"")</formula>
    </cfRule>
  </conditionalFormatting>
  <conditionalFormatting sqref="AJ342">
    <cfRule type="containsBlanks" dxfId="1227" priority="521" stopIfTrue="1">
      <formula>LEN(TRIM(AJ342))=0</formula>
    </cfRule>
    <cfRule type="cellIs" dxfId="1226" priority="522" operator="equal">
      <formula>4</formula>
    </cfRule>
    <cfRule type="cellIs" dxfId="1225" priority="523" operator="equal">
      <formula>3</formula>
    </cfRule>
    <cfRule type="cellIs" dxfId="1224" priority="524" operator="equal">
      <formula>2</formula>
    </cfRule>
    <cfRule type="cellIs" dxfId="1223" priority="525" operator="equal">
      <formula>1</formula>
    </cfRule>
    <cfRule type="cellIs" dxfId="1222" priority="526" operator="equal">
      <formula>0</formula>
    </cfRule>
  </conditionalFormatting>
  <conditionalFormatting sqref="AJ342">
    <cfRule type="expression" dxfId="1221" priority="520">
      <formula>AND($C342=0,$C342&lt;&gt;"")</formula>
    </cfRule>
  </conditionalFormatting>
  <conditionalFormatting sqref="B343">
    <cfRule type="expression" dxfId="1220" priority="519">
      <formula>AND($C343=0,$C343&lt;&gt;"")</formula>
    </cfRule>
  </conditionalFormatting>
  <conditionalFormatting sqref="AE343:AF343 AH343:AI343">
    <cfRule type="containsBlanks" dxfId="1219" priority="513" stopIfTrue="1">
      <formula>LEN(TRIM(AE343))=0</formula>
    </cfRule>
    <cfRule type="cellIs" dxfId="1218" priority="514" operator="equal">
      <formula>4</formula>
    </cfRule>
    <cfRule type="cellIs" dxfId="1217" priority="515" operator="equal">
      <formula>3</formula>
    </cfRule>
    <cfRule type="cellIs" dxfId="1216" priority="516" operator="equal">
      <formula>2</formula>
    </cfRule>
    <cfRule type="cellIs" dxfId="1215" priority="517" operator="equal">
      <formula>1</formula>
    </cfRule>
    <cfRule type="cellIs" dxfId="1214" priority="518" operator="equal">
      <formula>0</formula>
    </cfRule>
  </conditionalFormatting>
  <conditionalFormatting sqref="AE343:AF343 AH343:AI343">
    <cfRule type="expression" dxfId="1213" priority="512">
      <formula>AND($C343=0,$C343&lt;&gt;"")</formula>
    </cfRule>
  </conditionalFormatting>
  <conditionalFormatting sqref="AG343">
    <cfRule type="containsBlanks" dxfId="1212" priority="506" stopIfTrue="1">
      <formula>LEN(TRIM(AG343))=0</formula>
    </cfRule>
    <cfRule type="cellIs" dxfId="1211" priority="507" operator="equal">
      <formula>4</formula>
    </cfRule>
    <cfRule type="cellIs" dxfId="1210" priority="508" operator="equal">
      <formula>3</formula>
    </cfRule>
    <cfRule type="cellIs" dxfId="1209" priority="509" operator="equal">
      <formula>2</formula>
    </cfRule>
    <cfRule type="cellIs" dxfId="1208" priority="510" operator="equal">
      <formula>1</formula>
    </cfRule>
    <cfRule type="cellIs" dxfId="1207" priority="511" operator="equal">
      <formula>0</formula>
    </cfRule>
  </conditionalFormatting>
  <conditionalFormatting sqref="AG343">
    <cfRule type="expression" dxfId="1206" priority="505">
      <formula>AND($C343=0,$C343&lt;&gt;"")</formula>
    </cfRule>
  </conditionalFormatting>
  <conditionalFormatting sqref="AJ343">
    <cfRule type="containsBlanks" dxfId="1205" priority="499" stopIfTrue="1">
      <formula>LEN(TRIM(AJ343))=0</formula>
    </cfRule>
    <cfRule type="cellIs" dxfId="1204" priority="500" operator="equal">
      <formula>4</formula>
    </cfRule>
    <cfRule type="cellIs" dxfId="1203" priority="501" operator="equal">
      <formula>3</formula>
    </cfRule>
    <cfRule type="cellIs" dxfId="1202" priority="502" operator="equal">
      <formula>2</formula>
    </cfRule>
    <cfRule type="cellIs" dxfId="1201" priority="503" operator="equal">
      <formula>1</formula>
    </cfRule>
    <cfRule type="cellIs" dxfId="1200" priority="504" operator="equal">
      <formula>0</formula>
    </cfRule>
  </conditionalFormatting>
  <conditionalFormatting sqref="AJ343">
    <cfRule type="expression" dxfId="1199" priority="498">
      <formula>AND($C343=0,$C343&lt;&gt;"")</formula>
    </cfRule>
  </conditionalFormatting>
  <conditionalFormatting sqref="B344">
    <cfRule type="expression" dxfId="1198" priority="497">
      <formula>AND($C344=0,$C344&lt;&gt;"")</formula>
    </cfRule>
  </conditionalFormatting>
  <conditionalFormatting sqref="AE344:AF344 AH344:AI344">
    <cfRule type="containsBlanks" dxfId="1197" priority="491" stopIfTrue="1">
      <formula>LEN(TRIM(AE344))=0</formula>
    </cfRule>
    <cfRule type="cellIs" dxfId="1196" priority="492" operator="equal">
      <formula>4</formula>
    </cfRule>
    <cfRule type="cellIs" dxfId="1195" priority="493" operator="equal">
      <formula>3</formula>
    </cfRule>
    <cfRule type="cellIs" dxfId="1194" priority="494" operator="equal">
      <formula>2</formula>
    </cfRule>
    <cfRule type="cellIs" dxfId="1193" priority="495" operator="equal">
      <formula>1</formula>
    </cfRule>
    <cfRule type="cellIs" dxfId="1192" priority="496" operator="equal">
      <formula>0</formula>
    </cfRule>
  </conditionalFormatting>
  <conditionalFormatting sqref="AE344:AF344 AH344:AI344">
    <cfRule type="expression" dxfId="1191" priority="490">
      <formula>AND($C344=0,$C344&lt;&gt;"")</formula>
    </cfRule>
  </conditionalFormatting>
  <conditionalFormatting sqref="AG344">
    <cfRule type="containsBlanks" dxfId="1190" priority="484" stopIfTrue="1">
      <formula>LEN(TRIM(AG344))=0</formula>
    </cfRule>
    <cfRule type="cellIs" dxfId="1189" priority="485" operator="equal">
      <formula>4</formula>
    </cfRule>
    <cfRule type="cellIs" dxfId="1188" priority="486" operator="equal">
      <formula>3</formula>
    </cfRule>
    <cfRule type="cellIs" dxfId="1187" priority="487" operator="equal">
      <formula>2</formula>
    </cfRule>
    <cfRule type="cellIs" dxfId="1186" priority="488" operator="equal">
      <formula>1</formula>
    </cfRule>
    <cfRule type="cellIs" dxfId="1185" priority="489" operator="equal">
      <formula>0</formula>
    </cfRule>
  </conditionalFormatting>
  <conditionalFormatting sqref="AG344">
    <cfRule type="expression" dxfId="1184" priority="483">
      <formula>AND($C344=0,$C344&lt;&gt;"")</formula>
    </cfRule>
  </conditionalFormatting>
  <conditionalFormatting sqref="AJ344">
    <cfRule type="containsBlanks" dxfId="1183" priority="477" stopIfTrue="1">
      <formula>LEN(TRIM(AJ344))=0</formula>
    </cfRule>
    <cfRule type="cellIs" dxfId="1182" priority="478" operator="equal">
      <formula>4</formula>
    </cfRule>
    <cfRule type="cellIs" dxfId="1181" priority="479" operator="equal">
      <formula>3</formula>
    </cfRule>
    <cfRule type="cellIs" dxfId="1180" priority="480" operator="equal">
      <formula>2</formula>
    </cfRule>
    <cfRule type="cellIs" dxfId="1179" priority="481" operator="equal">
      <formula>1</formula>
    </cfRule>
    <cfRule type="cellIs" dxfId="1178" priority="482" operator="equal">
      <formula>0</formula>
    </cfRule>
  </conditionalFormatting>
  <conditionalFormatting sqref="AJ344">
    <cfRule type="expression" dxfId="1177" priority="476">
      <formula>AND($C344=0,$C344&lt;&gt;"")</formula>
    </cfRule>
  </conditionalFormatting>
  <conditionalFormatting sqref="B345">
    <cfRule type="expression" dxfId="1176" priority="475">
      <formula>AND($C345=0,$C345&lt;&gt;"")</formula>
    </cfRule>
  </conditionalFormatting>
  <conditionalFormatting sqref="AE345:AF345 AH345:AI345">
    <cfRule type="containsBlanks" dxfId="1175" priority="469" stopIfTrue="1">
      <formula>LEN(TRIM(AE345))=0</formula>
    </cfRule>
    <cfRule type="cellIs" dxfId="1174" priority="470" operator="equal">
      <formula>4</formula>
    </cfRule>
    <cfRule type="cellIs" dxfId="1173" priority="471" operator="equal">
      <formula>3</formula>
    </cfRule>
    <cfRule type="cellIs" dxfId="1172" priority="472" operator="equal">
      <formula>2</formula>
    </cfRule>
    <cfRule type="cellIs" dxfId="1171" priority="473" operator="equal">
      <formula>1</formula>
    </cfRule>
    <cfRule type="cellIs" dxfId="1170" priority="474" operator="equal">
      <formula>0</formula>
    </cfRule>
  </conditionalFormatting>
  <conditionalFormatting sqref="AE345:AF345 AH345:AI345">
    <cfRule type="expression" dxfId="1169" priority="468">
      <formula>AND($C345=0,$C345&lt;&gt;"")</formula>
    </cfRule>
  </conditionalFormatting>
  <conditionalFormatting sqref="AG345">
    <cfRule type="containsBlanks" dxfId="1168" priority="462" stopIfTrue="1">
      <formula>LEN(TRIM(AG345))=0</formula>
    </cfRule>
    <cfRule type="cellIs" dxfId="1167" priority="463" operator="equal">
      <formula>4</formula>
    </cfRule>
    <cfRule type="cellIs" dxfId="1166" priority="464" operator="equal">
      <formula>3</formula>
    </cfRule>
    <cfRule type="cellIs" dxfId="1165" priority="465" operator="equal">
      <formula>2</formula>
    </cfRule>
    <cfRule type="cellIs" dxfId="1164" priority="466" operator="equal">
      <formula>1</formula>
    </cfRule>
    <cfRule type="cellIs" dxfId="1163" priority="467" operator="equal">
      <formula>0</formula>
    </cfRule>
  </conditionalFormatting>
  <conditionalFormatting sqref="AG345">
    <cfRule type="expression" dxfId="1162" priority="461">
      <formula>AND($C345=0,$C345&lt;&gt;"")</formula>
    </cfRule>
  </conditionalFormatting>
  <conditionalFormatting sqref="AJ345">
    <cfRule type="containsBlanks" dxfId="1161" priority="455" stopIfTrue="1">
      <formula>LEN(TRIM(AJ345))=0</formula>
    </cfRule>
    <cfRule type="cellIs" dxfId="1160" priority="456" operator="equal">
      <formula>4</formula>
    </cfRule>
    <cfRule type="cellIs" dxfId="1159" priority="457" operator="equal">
      <formula>3</formula>
    </cfRule>
    <cfRule type="cellIs" dxfId="1158" priority="458" operator="equal">
      <formula>2</formula>
    </cfRule>
    <cfRule type="cellIs" dxfId="1157" priority="459" operator="equal">
      <formula>1</formula>
    </cfRule>
    <cfRule type="cellIs" dxfId="1156" priority="460" operator="equal">
      <formula>0</formula>
    </cfRule>
  </conditionalFormatting>
  <conditionalFormatting sqref="AJ345">
    <cfRule type="expression" dxfId="1155" priority="454">
      <formula>AND($C345=0,$C345&lt;&gt;"")</formula>
    </cfRule>
  </conditionalFormatting>
  <conditionalFormatting sqref="B346">
    <cfRule type="expression" dxfId="1154" priority="453">
      <formula>AND($C346=0,$C346&lt;&gt;"")</formula>
    </cfRule>
  </conditionalFormatting>
  <conditionalFormatting sqref="AE346:AF346 AH346:AI346">
    <cfRule type="containsBlanks" dxfId="1153" priority="447" stopIfTrue="1">
      <formula>LEN(TRIM(AE346))=0</formula>
    </cfRule>
    <cfRule type="cellIs" dxfId="1152" priority="448" operator="equal">
      <formula>4</formula>
    </cfRule>
    <cfRule type="cellIs" dxfId="1151" priority="449" operator="equal">
      <formula>3</formula>
    </cfRule>
    <cfRule type="cellIs" dxfId="1150" priority="450" operator="equal">
      <formula>2</formula>
    </cfRule>
    <cfRule type="cellIs" dxfId="1149" priority="451" operator="equal">
      <formula>1</formula>
    </cfRule>
    <cfRule type="cellIs" dxfId="1148" priority="452" operator="equal">
      <formula>0</formula>
    </cfRule>
  </conditionalFormatting>
  <conditionalFormatting sqref="AE346:AF346 AH346:AI346">
    <cfRule type="expression" dxfId="1147" priority="446">
      <formula>AND($C346=0,$C346&lt;&gt;"")</formula>
    </cfRule>
  </conditionalFormatting>
  <conditionalFormatting sqref="AG346">
    <cfRule type="containsBlanks" dxfId="1146" priority="440" stopIfTrue="1">
      <formula>LEN(TRIM(AG346))=0</formula>
    </cfRule>
    <cfRule type="cellIs" dxfId="1145" priority="441" operator="equal">
      <formula>4</formula>
    </cfRule>
    <cfRule type="cellIs" dxfId="1144" priority="442" operator="equal">
      <formula>3</formula>
    </cfRule>
    <cfRule type="cellIs" dxfId="1143" priority="443" operator="equal">
      <formula>2</formula>
    </cfRule>
    <cfRule type="cellIs" dxfId="1142" priority="444" operator="equal">
      <formula>1</formula>
    </cfRule>
    <cfRule type="cellIs" dxfId="1141" priority="445" operator="equal">
      <formula>0</formula>
    </cfRule>
  </conditionalFormatting>
  <conditionalFormatting sqref="AG346">
    <cfRule type="expression" dxfId="1140" priority="439">
      <formula>AND($C346=0,$C346&lt;&gt;"")</formula>
    </cfRule>
  </conditionalFormatting>
  <conditionalFormatting sqref="AJ346">
    <cfRule type="containsBlanks" dxfId="1139" priority="433" stopIfTrue="1">
      <formula>LEN(TRIM(AJ346))=0</formula>
    </cfRule>
    <cfRule type="cellIs" dxfId="1138" priority="434" operator="equal">
      <formula>4</formula>
    </cfRule>
    <cfRule type="cellIs" dxfId="1137" priority="435" operator="equal">
      <formula>3</formula>
    </cfRule>
    <cfRule type="cellIs" dxfId="1136" priority="436" operator="equal">
      <formula>2</formula>
    </cfRule>
    <cfRule type="cellIs" dxfId="1135" priority="437" operator="equal">
      <formula>1</formula>
    </cfRule>
    <cfRule type="cellIs" dxfId="1134" priority="438" operator="equal">
      <formula>0</formula>
    </cfRule>
  </conditionalFormatting>
  <conditionalFormatting sqref="AJ346">
    <cfRule type="expression" dxfId="1133" priority="432">
      <formula>AND($C346=0,$C346&lt;&gt;"")</formula>
    </cfRule>
  </conditionalFormatting>
  <conditionalFormatting sqref="B347">
    <cfRule type="expression" dxfId="1132" priority="431">
      <formula>AND($C347=0,$C347&lt;&gt;"")</formula>
    </cfRule>
  </conditionalFormatting>
  <conditionalFormatting sqref="AE347:AF347 AH347:AI347">
    <cfRule type="containsBlanks" dxfId="1131" priority="425" stopIfTrue="1">
      <formula>LEN(TRIM(AE347))=0</formula>
    </cfRule>
    <cfRule type="cellIs" dxfId="1130" priority="426" operator="equal">
      <formula>4</formula>
    </cfRule>
    <cfRule type="cellIs" dxfId="1129" priority="427" operator="equal">
      <formula>3</formula>
    </cfRule>
    <cfRule type="cellIs" dxfId="1128" priority="428" operator="equal">
      <formula>2</formula>
    </cfRule>
    <cfRule type="cellIs" dxfId="1127" priority="429" operator="equal">
      <formula>1</formula>
    </cfRule>
    <cfRule type="cellIs" dxfId="1126" priority="430" operator="equal">
      <formula>0</formula>
    </cfRule>
  </conditionalFormatting>
  <conditionalFormatting sqref="AE347:AF347 AH347:AI347">
    <cfRule type="expression" dxfId="1125" priority="424">
      <formula>AND($C347=0,$C347&lt;&gt;"")</formula>
    </cfRule>
  </conditionalFormatting>
  <conditionalFormatting sqref="AG347">
    <cfRule type="containsBlanks" dxfId="1124" priority="418" stopIfTrue="1">
      <formula>LEN(TRIM(AG347))=0</formula>
    </cfRule>
    <cfRule type="cellIs" dxfId="1123" priority="419" operator="equal">
      <formula>4</formula>
    </cfRule>
    <cfRule type="cellIs" dxfId="1122" priority="420" operator="equal">
      <formula>3</formula>
    </cfRule>
    <cfRule type="cellIs" dxfId="1121" priority="421" operator="equal">
      <formula>2</formula>
    </cfRule>
    <cfRule type="cellIs" dxfId="1120" priority="422" operator="equal">
      <formula>1</formula>
    </cfRule>
    <cfRule type="cellIs" dxfId="1119" priority="423" operator="equal">
      <formula>0</formula>
    </cfRule>
  </conditionalFormatting>
  <conditionalFormatting sqref="AG347">
    <cfRule type="expression" dxfId="1118" priority="417">
      <formula>AND($C347=0,$C347&lt;&gt;"")</formula>
    </cfRule>
  </conditionalFormatting>
  <conditionalFormatting sqref="AJ347">
    <cfRule type="containsBlanks" dxfId="1117" priority="411" stopIfTrue="1">
      <formula>LEN(TRIM(AJ347))=0</formula>
    </cfRule>
    <cfRule type="cellIs" dxfId="1116" priority="412" operator="equal">
      <formula>4</formula>
    </cfRule>
    <cfRule type="cellIs" dxfId="1115" priority="413" operator="equal">
      <formula>3</formula>
    </cfRule>
    <cfRule type="cellIs" dxfId="1114" priority="414" operator="equal">
      <formula>2</formula>
    </cfRule>
    <cfRule type="cellIs" dxfId="1113" priority="415" operator="equal">
      <formula>1</formula>
    </cfRule>
    <cfRule type="cellIs" dxfId="1112" priority="416" operator="equal">
      <formula>0</formula>
    </cfRule>
  </conditionalFormatting>
  <conditionalFormatting sqref="AJ347">
    <cfRule type="expression" dxfId="1111" priority="410">
      <formula>AND($C347=0,$C347&lt;&gt;"")</formula>
    </cfRule>
  </conditionalFormatting>
  <conditionalFormatting sqref="B348">
    <cfRule type="expression" dxfId="1110" priority="409">
      <formula>AND($C348=0,$C348&lt;&gt;"")</formula>
    </cfRule>
  </conditionalFormatting>
  <conditionalFormatting sqref="AE348:AF348 AH348:AI348">
    <cfRule type="containsBlanks" dxfId="1109" priority="403" stopIfTrue="1">
      <formula>LEN(TRIM(AE348))=0</formula>
    </cfRule>
    <cfRule type="cellIs" dxfId="1108" priority="404" operator="equal">
      <formula>4</formula>
    </cfRule>
    <cfRule type="cellIs" dxfId="1107" priority="405" operator="equal">
      <formula>3</formula>
    </cfRule>
    <cfRule type="cellIs" dxfId="1106" priority="406" operator="equal">
      <formula>2</formula>
    </cfRule>
    <cfRule type="cellIs" dxfId="1105" priority="407" operator="equal">
      <formula>1</formula>
    </cfRule>
    <cfRule type="cellIs" dxfId="1104" priority="408" operator="equal">
      <formula>0</formula>
    </cfRule>
  </conditionalFormatting>
  <conditionalFormatting sqref="AE348:AF348 AH348:AI348">
    <cfRule type="expression" dxfId="1103" priority="402">
      <formula>AND($C348=0,$C348&lt;&gt;"")</formula>
    </cfRule>
  </conditionalFormatting>
  <conditionalFormatting sqref="AG348">
    <cfRule type="containsBlanks" dxfId="1102" priority="396" stopIfTrue="1">
      <formula>LEN(TRIM(AG348))=0</formula>
    </cfRule>
    <cfRule type="cellIs" dxfId="1101" priority="397" operator="equal">
      <formula>4</formula>
    </cfRule>
    <cfRule type="cellIs" dxfId="1100" priority="398" operator="equal">
      <formula>3</formula>
    </cfRule>
    <cfRule type="cellIs" dxfId="1099" priority="399" operator="equal">
      <formula>2</formula>
    </cfRule>
    <cfRule type="cellIs" dxfId="1098" priority="400" operator="equal">
      <formula>1</formula>
    </cfRule>
    <cfRule type="cellIs" dxfId="1097" priority="401" operator="equal">
      <formula>0</formula>
    </cfRule>
  </conditionalFormatting>
  <conditionalFormatting sqref="AG348">
    <cfRule type="expression" dxfId="1096" priority="395">
      <formula>AND($C348=0,$C348&lt;&gt;"")</formula>
    </cfRule>
  </conditionalFormatting>
  <conditionalFormatting sqref="AJ348">
    <cfRule type="containsBlanks" dxfId="1095" priority="389" stopIfTrue="1">
      <formula>LEN(TRIM(AJ348))=0</formula>
    </cfRule>
    <cfRule type="cellIs" dxfId="1094" priority="390" operator="equal">
      <formula>4</formula>
    </cfRule>
    <cfRule type="cellIs" dxfId="1093" priority="391" operator="equal">
      <formula>3</formula>
    </cfRule>
    <cfRule type="cellIs" dxfId="1092" priority="392" operator="equal">
      <formula>2</formula>
    </cfRule>
    <cfRule type="cellIs" dxfId="1091" priority="393" operator="equal">
      <formula>1</formula>
    </cfRule>
    <cfRule type="cellIs" dxfId="1090" priority="394" operator="equal">
      <formula>0</formula>
    </cfRule>
  </conditionalFormatting>
  <conditionalFormatting sqref="AJ348">
    <cfRule type="expression" dxfId="1089" priority="388">
      <formula>AND($C348=0,$C348&lt;&gt;"")</formula>
    </cfRule>
  </conditionalFormatting>
  <conditionalFormatting sqref="B349">
    <cfRule type="expression" dxfId="1088" priority="387">
      <formula>AND($C349=0,$C349&lt;&gt;"")</formula>
    </cfRule>
  </conditionalFormatting>
  <conditionalFormatting sqref="AE349:AF349 AH349:AI349">
    <cfRule type="containsBlanks" dxfId="1087" priority="381" stopIfTrue="1">
      <formula>LEN(TRIM(AE349))=0</formula>
    </cfRule>
    <cfRule type="cellIs" dxfId="1086" priority="382" operator="equal">
      <formula>4</formula>
    </cfRule>
    <cfRule type="cellIs" dxfId="1085" priority="383" operator="equal">
      <formula>3</formula>
    </cfRule>
    <cfRule type="cellIs" dxfId="1084" priority="384" operator="equal">
      <formula>2</formula>
    </cfRule>
    <cfRule type="cellIs" dxfId="1083" priority="385" operator="equal">
      <formula>1</formula>
    </cfRule>
    <cfRule type="cellIs" dxfId="1082" priority="386" operator="equal">
      <formula>0</formula>
    </cfRule>
  </conditionalFormatting>
  <conditionalFormatting sqref="AE349:AF349 AH349:AI349">
    <cfRule type="expression" dxfId="1081" priority="380">
      <formula>AND($C349=0,$C349&lt;&gt;"")</formula>
    </cfRule>
  </conditionalFormatting>
  <conditionalFormatting sqref="AG349">
    <cfRule type="containsBlanks" dxfId="1080" priority="374" stopIfTrue="1">
      <formula>LEN(TRIM(AG349))=0</formula>
    </cfRule>
    <cfRule type="cellIs" dxfId="1079" priority="375" operator="equal">
      <formula>4</formula>
    </cfRule>
    <cfRule type="cellIs" dxfId="1078" priority="376" operator="equal">
      <formula>3</formula>
    </cfRule>
    <cfRule type="cellIs" dxfId="1077" priority="377" operator="equal">
      <formula>2</formula>
    </cfRule>
    <cfRule type="cellIs" dxfId="1076" priority="378" operator="equal">
      <formula>1</formula>
    </cfRule>
    <cfRule type="cellIs" dxfId="1075" priority="379" operator="equal">
      <formula>0</formula>
    </cfRule>
  </conditionalFormatting>
  <conditionalFormatting sqref="AG349">
    <cfRule type="expression" dxfId="1074" priority="373">
      <formula>AND($C349=0,$C349&lt;&gt;"")</formula>
    </cfRule>
  </conditionalFormatting>
  <conditionalFormatting sqref="AJ349">
    <cfRule type="containsBlanks" dxfId="1073" priority="367" stopIfTrue="1">
      <formula>LEN(TRIM(AJ349))=0</formula>
    </cfRule>
    <cfRule type="cellIs" dxfId="1072" priority="368" operator="equal">
      <formula>4</formula>
    </cfRule>
    <cfRule type="cellIs" dxfId="1071" priority="369" operator="equal">
      <formula>3</formula>
    </cfRule>
    <cfRule type="cellIs" dxfId="1070" priority="370" operator="equal">
      <formula>2</formula>
    </cfRule>
    <cfRule type="cellIs" dxfId="1069" priority="371" operator="equal">
      <formula>1</formula>
    </cfRule>
    <cfRule type="cellIs" dxfId="1068" priority="372" operator="equal">
      <formula>0</formula>
    </cfRule>
  </conditionalFormatting>
  <conditionalFormatting sqref="AJ349">
    <cfRule type="expression" dxfId="1067" priority="366">
      <formula>AND($C349=0,$C349&lt;&gt;"")</formula>
    </cfRule>
  </conditionalFormatting>
  <conditionalFormatting sqref="B350">
    <cfRule type="expression" dxfId="1066" priority="365">
      <formula>AND($C350=0,$C350&lt;&gt;"")</formula>
    </cfRule>
  </conditionalFormatting>
  <conditionalFormatting sqref="AE350:AF350 AH350:AI350">
    <cfRule type="containsBlanks" dxfId="1065" priority="359" stopIfTrue="1">
      <formula>LEN(TRIM(AE350))=0</formula>
    </cfRule>
    <cfRule type="cellIs" dxfId="1064" priority="360" operator="equal">
      <formula>4</formula>
    </cfRule>
    <cfRule type="cellIs" dxfId="1063" priority="361" operator="equal">
      <formula>3</formula>
    </cfRule>
    <cfRule type="cellIs" dxfId="1062" priority="362" operator="equal">
      <formula>2</formula>
    </cfRule>
    <cfRule type="cellIs" dxfId="1061" priority="363" operator="equal">
      <formula>1</formula>
    </cfRule>
    <cfRule type="cellIs" dxfId="1060" priority="364" operator="equal">
      <formula>0</formula>
    </cfRule>
  </conditionalFormatting>
  <conditionalFormatting sqref="AE350:AF350 AH350:AI350">
    <cfRule type="expression" dxfId="1059" priority="358">
      <formula>AND($C350=0,$C350&lt;&gt;"")</formula>
    </cfRule>
  </conditionalFormatting>
  <conditionalFormatting sqref="AG350">
    <cfRule type="containsBlanks" dxfId="1058" priority="352" stopIfTrue="1">
      <formula>LEN(TRIM(AG350))=0</formula>
    </cfRule>
    <cfRule type="cellIs" dxfId="1057" priority="353" operator="equal">
      <formula>4</formula>
    </cfRule>
    <cfRule type="cellIs" dxfId="1056" priority="354" operator="equal">
      <formula>3</formula>
    </cfRule>
    <cfRule type="cellIs" dxfId="1055" priority="355" operator="equal">
      <formula>2</formula>
    </cfRule>
    <cfRule type="cellIs" dxfId="1054" priority="356" operator="equal">
      <formula>1</formula>
    </cfRule>
    <cfRule type="cellIs" dxfId="1053" priority="357" operator="equal">
      <formula>0</formula>
    </cfRule>
  </conditionalFormatting>
  <conditionalFormatting sqref="AG350">
    <cfRule type="expression" dxfId="1052" priority="351">
      <formula>AND($C350=0,$C350&lt;&gt;"")</formula>
    </cfRule>
  </conditionalFormatting>
  <conditionalFormatting sqref="AJ350">
    <cfRule type="containsBlanks" dxfId="1051" priority="345" stopIfTrue="1">
      <formula>LEN(TRIM(AJ350))=0</formula>
    </cfRule>
    <cfRule type="cellIs" dxfId="1050" priority="346" operator="equal">
      <formula>4</formula>
    </cfRule>
    <cfRule type="cellIs" dxfId="1049" priority="347" operator="equal">
      <formula>3</formula>
    </cfRule>
    <cfRule type="cellIs" dxfId="1048" priority="348" operator="equal">
      <formula>2</formula>
    </cfRule>
    <cfRule type="cellIs" dxfId="1047" priority="349" operator="equal">
      <formula>1</formula>
    </cfRule>
    <cfRule type="cellIs" dxfId="1046" priority="350" operator="equal">
      <formula>0</formula>
    </cfRule>
  </conditionalFormatting>
  <conditionalFormatting sqref="AJ350">
    <cfRule type="expression" dxfId="1045" priority="344">
      <formula>AND($C350=0,$C350&lt;&gt;"")</formula>
    </cfRule>
  </conditionalFormatting>
  <conditionalFormatting sqref="AD339:AD350">
    <cfRule type="containsBlanks" dxfId="1044" priority="309" stopIfTrue="1">
      <formula>LEN(TRIM(AD339))=0</formula>
    </cfRule>
    <cfRule type="cellIs" dxfId="1043" priority="310" operator="equal">
      <formula>4</formula>
    </cfRule>
    <cfRule type="cellIs" dxfId="1042" priority="311" operator="equal">
      <formula>3</formula>
    </cfRule>
    <cfRule type="cellIs" dxfId="1041" priority="312" operator="equal">
      <formula>2</formula>
    </cfRule>
    <cfRule type="cellIs" dxfId="1040" priority="313" operator="equal">
      <formula>1</formula>
    </cfRule>
    <cfRule type="cellIs" dxfId="1039" priority="314" operator="equal">
      <formula>0</formula>
    </cfRule>
  </conditionalFormatting>
  <conditionalFormatting sqref="AD339:AD350">
    <cfRule type="expression" dxfId="1038" priority="308">
      <formula>AND($C339=0,$C339&lt;&gt;"")</formula>
    </cfRule>
  </conditionalFormatting>
  <conditionalFormatting sqref="AD250">
    <cfRule type="containsBlanks" dxfId="1037" priority="302" stopIfTrue="1">
      <formula>LEN(TRIM(AD250))=0</formula>
    </cfRule>
    <cfRule type="cellIs" dxfId="1036" priority="303" operator="equal">
      <formula>4</formula>
    </cfRule>
    <cfRule type="cellIs" dxfId="1035" priority="304" operator="equal">
      <formula>3</formula>
    </cfRule>
    <cfRule type="cellIs" dxfId="1034" priority="305" operator="equal">
      <formula>2</formula>
    </cfRule>
    <cfRule type="cellIs" dxfId="1033" priority="306" operator="equal">
      <formula>1</formula>
    </cfRule>
    <cfRule type="cellIs" dxfId="1032" priority="307" operator="equal">
      <formula>0</formula>
    </cfRule>
  </conditionalFormatting>
  <conditionalFormatting sqref="AD250">
    <cfRule type="expression" dxfId="1031" priority="301">
      <formula>AND($C250=0,$C250&lt;&gt;"")</formula>
    </cfRule>
  </conditionalFormatting>
  <conditionalFormatting sqref="AD269:AF270">
    <cfRule type="containsBlanks" dxfId="1030" priority="295" stopIfTrue="1">
      <formula>LEN(TRIM(AD269))=0</formula>
    </cfRule>
    <cfRule type="cellIs" dxfId="1029" priority="296" operator="equal">
      <formula>4</formula>
    </cfRule>
    <cfRule type="cellIs" dxfId="1028" priority="297" operator="equal">
      <formula>3</formula>
    </cfRule>
    <cfRule type="cellIs" dxfId="1027" priority="298" operator="equal">
      <formula>2</formula>
    </cfRule>
    <cfRule type="cellIs" dxfId="1026" priority="299" operator="equal">
      <formula>1</formula>
    </cfRule>
    <cfRule type="cellIs" dxfId="1025" priority="300" operator="equal">
      <formula>0</formula>
    </cfRule>
  </conditionalFormatting>
  <conditionalFormatting sqref="AD269:AF270">
    <cfRule type="expression" dxfId="1024" priority="294">
      <formula>AND($C269=0,$C269&lt;&gt;"")</formula>
    </cfRule>
  </conditionalFormatting>
  <conditionalFormatting sqref="AM215:AR215 B215:L215">
    <cfRule type="expression" dxfId="1023" priority="292">
      <formula>AND($C215=0,$C215&lt;&gt;"")</formula>
    </cfRule>
  </conditionalFormatting>
  <conditionalFormatting sqref="AJ215">
    <cfRule type="containsBlanks" dxfId="1022" priority="286" stopIfTrue="1">
      <formula>LEN(TRIM(AJ215))=0</formula>
    </cfRule>
    <cfRule type="cellIs" dxfId="1021" priority="287" operator="equal">
      <formula>4</formula>
    </cfRule>
    <cfRule type="cellIs" dxfId="1020" priority="288" operator="equal">
      <formula>3</formula>
    </cfRule>
    <cfRule type="cellIs" dxfId="1019" priority="289" operator="equal">
      <formula>2</formula>
    </cfRule>
    <cfRule type="cellIs" dxfId="1018" priority="290" operator="equal">
      <formula>1</formula>
    </cfRule>
    <cfRule type="cellIs" dxfId="1017" priority="291" operator="equal">
      <formula>0</formula>
    </cfRule>
  </conditionalFormatting>
  <conditionalFormatting sqref="AJ215">
    <cfRule type="expression" dxfId="1016" priority="285">
      <formula>AND($C215=0,$C215&lt;&gt;"")</formula>
    </cfRule>
  </conditionalFormatting>
  <conditionalFormatting sqref="D351:E351">
    <cfRule type="expression" dxfId="1015" priority="283">
      <formula>AND($C351=0,$C351&lt;&gt;"")</formula>
    </cfRule>
  </conditionalFormatting>
  <conditionalFormatting sqref="AB351:AI351">
    <cfRule type="containsBlanks" dxfId="1014" priority="277" stopIfTrue="1">
      <formula>LEN(TRIM(AB351))=0</formula>
    </cfRule>
    <cfRule type="cellIs" dxfId="1013" priority="278" operator="equal">
      <formula>4</formula>
    </cfRule>
    <cfRule type="cellIs" dxfId="1012" priority="279" operator="equal">
      <formula>3</formula>
    </cfRule>
    <cfRule type="cellIs" dxfId="1011" priority="280" operator="equal">
      <formula>2</formula>
    </cfRule>
    <cfRule type="cellIs" dxfId="1010" priority="281" operator="equal">
      <formula>1</formula>
    </cfRule>
    <cfRule type="cellIs" dxfId="1009" priority="282" operator="equal">
      <formula>0</formula>
    </cfRule>
  </conditionalFormatting>
  <conditionalFormatting sqref="AB351:AI351">
    <cfRule type="expression" dxfId="1008" priority="276">
      <formula>AND($C351=0,$C351&lt;&gt;"")</formula>
    </cfRule>
  </conditionalFormatting>
  <conditionalFormatting sqref="AJ351">
    <cfRule type="containsBlanks" dxfId="1007" priority="270" stopIfTrue="1">
      <formula>LEN(TRIM(AJ351))=0</formula>
    </cfRule>
    <cfRule type="cellIs" dxfId="1006" priority="271" operator="equal">
      <formula>4</formula>
    </cfRule>
    <cfRule type="cellIs" dxfId="1005" priority="272" operator="equal">
      <formula>3</formula>
    </cfRule>
    <cfRule type="cellIs" dxfId="1004" priority="273" operator="equal">
      <formula>2</formula>
    </cfRule>
    <cfRule type="cellIs" dxfId="1003" priority="274" operator="equal">
      <formula>1</formula>
    </cfRule>
    <cfRule type="cellIs" dxfId="1002" priority="275" operator="equal">
      <formula>0</formula>
    </cfRule>
  </conditionalFormatting>
  <conditionalFormatting sqref="AJ351">
    <cfRule type="expression" dxfId="1001" priority="269">
      <formula>AND($C351=0,$C351&lt;&gt;"")</formula>
    </cfRule>
  </conditionalFormatting>
  <conditionalFormatting sqref="M351:Z351">
    <cfRule type="containsBlanks" dxfId="1000" priority="263" stopIfTrue="1">
      <formula>LEN(TRIM(M351))=0</formula>
    </cfRule>
    <cfRule type="cellIs" dxfId="999" priority="264" operator="equal">
      <formula>4</formula>
    </cfRule>
    <cfRule type="cellIs" dxfId="998" priority="265" operator="equal">
      <formula>3</formula>
    </cfRule>
    <cfRule type="cellIs" dxfId="997" priority="266" operator="equal">
      <formula>2</formula>
    </cfRule>
    <cfRule type="cellIs" dxfId="996" priority="267" operator="equal">
      <formula>1</formula>
    </cfRule>
    <cfRule type="cellIs" dxfId="995" priority="268" operator="equal">
      <formula>0</formula>
    </cfRule>
  </conditionalFormatting>
  <conditionalFormatting sqref="D352:E352">
    <cfRule type="expression" dxfId="994" priority="262">
      <formula>AND($C352=0,$C352&lt;&gt;"")</formula>
    </cfRule>
  </conditionalFormatting>
  <conditionalFormatting sqref="M352:AJ352">
    <cfRule type="containsBlanks" dxfId="993" priority="256" stopIfTrue="1">
      <formula>LEN(TRIM(M352))=0</formula>
    </cfRule>
    <cfRule type="cellIs" dxfId="992" priority="257" operator="equal">
      <formula>4</formula>
    </cfRule>
    <cfRule type="cellIs" dxfId="991" priority="258" operator="equal">
      <formula>3</formula>
    </cfRule>
    <cfRule type="cellIs" dxfId="990" priority="259" operator="equal">
      <formula>2</formula>
    </cfRule>
    <cfRule type="cellIs" dxfId="989" priority="260" operator="equal">
      <formula>1</formula>
    </cfRule>
    <cfRule type="cellIs" dxfId="988" priority="261" operator="equal">
      <formula>0</formula>
    </cfRule>
  </conditionalFormatting>
  <conditionalFormatting sqref="D353:E356">
    <cfRule type="expression" dxfId="987" priority="255">
      <formula>AND($C353=0,$C353&lt;&gt;"")</formula>
    </cfRule>
  </conditionalFormatting>
  <conditionalFormatting sqref="M353:AJ356">
    <cfRule type="containsBlanks" dxfId="986" priority="249" stopIfTrue="1">
      <formula>LEN(TRIM(M353))=0</formula>
    </cfRule>
    <cfRule type="cellIs" dxfId="985" priority="250" operator="equal">
      <formula>4</formula>
    </cfRule>
    <cfRule type="cellIs" dxfId="984" priority="251" operator="equal">
      <formula>3</formula>
    </cfRule>
    <cfRule type="cellIs" dxfId="983" priority="252" operator="equal">
      <formula>2</formula>
    </cfRule>
    <cfRule type="cellIs" dxfId="982" priority="253" operator="equal">
      <formula>1</formula>
    </cfRule>
    <cfRule type="cellIs" dxfId="981" priority="254" operator="equal">
      <formula>0</formula>
    </cfRule>
  </conditionalFormatting>
  <conditionalFormatting sqref="AK351:AK356">
    <cfRule type="containsBlanks" dxfId="980" priority="246" stopIfTrue="1">
      <formula>LEN(TRIM(AK351))=0</formula>
    </cfRule>
    <cfRule type="containsText" dxfId="979" priority="247" operator="containsText" text="NO">
      <formula>NOT(ISERROR(SEARCH("NO",AK351)))</formula>
    </cfRule>
    <cfRule type="containsText" dxfId="978" priority="248" operator="containsText" text="YES">
      <formula>NOT(ISERROR(SEARCH("YES",AK351)))</formula>
    </cfRule>
  </conditionalFormatting>
  <conditionalFormatting sqref="AL353:AL356">
    <cfRule type="containsBlanks" dxfId="977" priority="243" stopIfTrue="1">
      <formula>LEN(TRIM(AL353))=0</formula>
    </cfRule>
    <cfRule type="containsText" dxfId="976" priority="244" operator="containsText" text="NO">
      <formula>NOT(ISERROR(SEARCH("NO",AL353)))</formula>
    </cfRule>
    <cfRule type="containsText" dxfId="975" priority="245" operator="containsText" text="YES">
      <formula>NOT(ISERROR(SEARCH("YES",AL353)))</formula>
    </cfRule>
  </conditionalFormatting>
  <conditionalFormatting sqref="AL352">
    <cfRule type="containsBlanks" dxfId="974" priority="240" stopIfTrue="1">
      <formula>LEN(TRIM(AL352))=0</formula>
    </cfRule>
    <cfRule type="containsText" dxfId="973" priority="241" operator="containsText" text="NO">
      <formula>NOT(ISERROR(SEARCH("NO",AL352)))</formula>
    </cfRule>
    <cfRule type="containsText" dxfId="972" priority="242" operator="containsText" text="YES">
      <formula>NOT(ISERROR(SEARCH("YES",AL352)))</formula>
    </cfRule>
  </conditionalFormatting>
  <conditionalFormatting sqref="AL351">
    <cfRule type="containsBlanks" dxfId="971" priority="237" stopIfTrue="1">
      <formula>LEN(TRIM(AL351))=0</formula>
    </cfRule>
    <cfRule type="containsText" dxfId="970" priority="238" operator="containsText" text="NO">
      <formula>NOT(ISERROR(SEARCH("NO",AL351)))</formula>
    </cfRule>
    <cfRule type="containsText" dxfId="969" priority="239" operator="containsText" text="YES">
      <formula>NOT(ISERROR(SEARCH("YES",AL351)))</formula>
    </cfRule>
  </conditionalFormatting>
  <conditionalFormatting sqref="AK357:AK360">
    <cfRule type="containsBlanks" dxfId="968" priority="234" stopIfTrue="1">
      <formula>LEN(TRIM(AK357))=0</formula>
    </cfRule>
    <cfRule type="containsText" dxfId="967" priority="235" operator="containsText" text="NO">
      <formula>NOT(ISERROR(SEARCH("NO",AK357)))</formula>
    </cfRule>
    <cfRule type="containsText" dxfId="966" priority="236" operator="containsText" text="YES">
      <formula>NOT(ISERROR(SEARCH("YES",AK357)))</formula>
    </cfRule>
  </conditionalFormatting>
  <conditionalFormatting sqref="AL357:AL360">
    <cfRule type="containsBlanks" dxfId="965" priority="231" stopIfTrue="1">
      <formula>LEN(TRIM(AL357))=0</formula>
    </cfRule>
    <cfRule type="containsText" dxfId="964" priority="232" operator="containsText" text="NO">
      <formula>NOT(ISERROR(SEARCH("NO",AL357)))</formula>
    </cfRule>
    <cfRule type="containsText" dxfId="963" priority="233" operator="containsText" text="YES">
      <formula>NOT(ISERROR(SEARCH("YES",AL357)))</formula>
    </cfRule>
  </conditionalFormatting>
  <conditionalFormatting sqref="X357:X360">
    <cfRule type="containsBlanks" dxfId="962" priority="225" stopIfTrue="1">
      <formula>LEN(TRIM(X357))=0</formula>
    </cfRule>
    <cfRule type="cellIs" dxfId="961" priority="226" operator="equal">
      <formula>4</formula>
    </cfRule>
    <cfRule type="cellIs" dxfId="960" priority="227" operator="equal">
      <formula>3</formula>
    </cfRule>
    <cfRule type="cellIs" dxfId="959" priority="228" operator="equal">
      <formula>2</formula>
    </cfRule>
    <cfRule type="cellIs" dxfId="958" priority="229" operator="equal">
      <formula>1</formula>
    </cfRule>
    <cfRule type="cellIs" dxfId="957" priority="230" operator="equal">
      <formula>0</formula>
    </cfRule>
  </conditionalFormatting>
  <conditionalFormatting sqref="AK246">
    <cfRule type="containsBlanks" dxfId="956" priority="222" stopIfTrue="1">
      <formula>LEN(TRIM(AK246))=0</formula>
    </cfRule>
    <cfRule type="containsText" dxfId="955" priority="223" operator="containsText" text="NO">
      <formula>NOT(ISERROR(SEARCH("NO",AK246)))</formula>
    </cfRule>
    <cfRule type="containsText" dxfId="954" priority="224" operator="containsText" text="YES">
      <formula>NOT(ISERROR(SEARCH("YES",AK246)))</formula>
    </cfRule>
  </conditionalFormatting>
  <conditionalFormatting sqref="AK246">
    <cfRule type="expression" dxfId="953" priority="221">
      <formula>AND($C246=0,$C246&lt;&gt;"")</formula>
    </cfRule>
  </conditionalFormatting>
  <conditionalFormatting sqref="AM245">
    <cfRule type="expression" dxfId="952" priority="220">
      <formula>AND($C245=0,$C245&lt;&gt;"")</formula>
    </cfRule>
  </conditionalFormatting>
  <conditionalFormatting sqref="AM246">
    <cfRule type="expression" dxfId="951" priority="219">
      <formula>AND($C246=0,$C246&lt;&gt;"")</formula>
    </cfRule>
  </conditionalFormatting>
  <conditionalFormatting sqref="AN325:AN327">
    <cfRule type="expression" dxfId="950" priority="218">
      <formula>AND($C325=0,$C325&lt;&gt;"")</formula>
    </cfRule>
  </conditionalFormatting>
  <conditionalFormatting sqref="AF323">
    <cfRule type="containsBlanks" dxfId="949" priority="212" stopIfTrue="1">
      <formula>LEN(TRIM(AF323))=0</formula>
    </cfRule>
    <cfRule type="cellIs" dxfId="948" priority="213" operator="equal">
      <formula>4</formula>
    </cfRule>
    <cfRule type="cellIs" dxfId="947" priority="214" operator="equal">
      <formula>3</formula>
    </cfRule>
    <cfRule type="cellIs" dxfId="946" priority="215" operator="equal">
      <formula>2</formula>
    </cfRule>
    <cfRule type="cellIs" dxfId="945" priority="216" operator="equal">
      <formula>1</formula>
    </cfRule>
    <cfRule type="cellIs" dxfId="944" priority="217" operator="equal">
      <formula>0</formula>
    </cfRule>
  </conditionalFormatting>
  <conditionalFormatting sqref="AF323">
    <cfRule type="expression" dxfId="943" priority="211">
      <formula>AND($C323=0,$C323&lt;&gt;"")</formula>
    </cfRule>
  </conditionalFormatting>
  <conditionalFormatting sqref="AJ323">
    <cfRule type="containsBlanks" dxfId="942" priority="205" stopIfTrue="1">
      <formula>LEN(TRIM(AJ323))=0</formula>
    </cfRule>
    <cfRule type="cellIs" dxfId="941" priority="206" operator="equal">
      <formula>4</formula>
    </cfRule>
    <cfRule type="cellIs" dxfId="940" priority="207" operator="equal">
      <formula>3</formula>
    </cfRule>
    <cfRule type="cellIs" dxfId="939" priority="208" operator="equal">
      <formula>2</formula>
    </cfRule>
    <cfRule type="cellIs" dxfId="938" priority="209" operator="equal">
      <formula>1</formula>
    </cfRule>
    <cfRule type="cellIs" dxfId="937" priority="210" operator="equal">
      <formula>0</formula>
    </cfRule>
  </conditionalFormatting>
  <conditionalFormatting sqref="AJ323">
    <cfRule type="expression" dxfId="936" priority="204">
      <formula>AND($C323=0,$C323&lt;&gt;"")</formula>
    </cfRule>
  </conditionalFormatting>
  <conditionalFormatting sqref="AF322">
    <cfRule type="containsBlanks" dxfId="935" priority="198" stopIfTrue="1">
      <formula>LEN(TRIM(AF322))=0</formula>
    </cfRule>
    <cfRule type="cellIs" dxfId="934" priority="199" operator="equal">
      <formula>4</formula>
    </cfRule>
    <cfRule type="cellIs" dxfId="933" priority="200" operator="equal">
      <formula>3</formula>
    </cfRule>
    <cfRule type="cellIs" dxfId="932" priority="201" operator="equal">
      <formula>2</formula>
    </cfRule>
    <cfRule type="cellIs" dxfId="931" priority="202" operator="equal">
      <formula>1</formula>
    </cfRule>
    <cfRule type="cellIs" dxfId="930" priority="203" operator="equal">
      <formula>0</formula>
    </cfRule>
  </conditionalFormatting>
  <conditionalFormatting sqref="AF322">
    <cfRule type="expression" dxfId="929" priority="197">
      <formula>AND($C322=0,$C322&lt;&gt;"")</formula>
    </cfRule>
  </conditionalFormatting>
  <conditionalFormatting sqref="AJ322">
    <cfRule type="containsBlanks" dxfId="928" priority="191" stopIfTrue="1">
      <formula>LEN(TRIM(AJ322))=0</formula>
    </cfRule>
    <cfRule type="cellIs" dxfId="927" priority="192" operator="equal">
      <formula>4</formula>
    </cfRule>
    <cfRule type="cellIs" dxfId="926" priority="193" operator="equal">
      <formula>3</formula>
    </cfRule>
    <cfRule type="cellIs" dxfId="925" priority="194" operator="equal">
      <formula>2</formula>
    </cfRule>
    <cfRule type="cellIs" dxfId="924" priority="195" operator="equal">
      <formula>1</formula>
    </cfRule>
    <cfRule type="cellIs" dxfId="923" priority="196" operator="equal">
      <formula>0</formula>
    </cfRule>
  </conditionalFormatting>
  <conditionalFormatting sqref="AJ322">
    <cfRule type="expression" dxfId="922" priority="190">
      <formula>AND($C322=0,$C322&lt;&gt;"")</formula>
    </cfRule>
  </conditionalFormatting>
  <conditionalFormatting sqref="AM322:AN322">
    <cfRule type="expression" dxfId="921" priority="189">
      <formula>AND($C322=0,$C322&lt;&gt;"")</formula>
    </cfRule>
  </conditionalFormatting>
  <conditionalFormatting sqref="Y334">
    <cfRule type="containsBlanks" dxfId="920" priority="183" stopIfTrue="1">
      <formula>LEN(TRIM(Y334))=0</formula>
    </cfRule>
    <cfRule type="cellIs" dxfId="919" priority="184" operator="equal">
      <formula>4</formula>
    </cfRule>
    <cfRule type="cellIs" dxfId="918" priority="185" operator="equal">
      <formula>3</formula>
    </cfRule>
    <cfRule type="cellIs" dxfId="917" priority="186" operator="equal">
      <formula>2</formula>
    </cfRule>
    <cfRule type="cellIs" dxfId="916" priority="187" operator="equal">
      <formula>1</formula>
    </cfRule>
    <cfRule type="cellIs" dxfId="915" priority="188" operator="equal">
      <formula>0</formula>
    </cfRule>
  </conditionalFormatting>
  <conditionalFormatting sqref="Y334">
    <cfRule type="expression" dxfId="914" priority="182">
      <formula>AND($C334=0,$C334&lt;&gt;"")</formula>
    </cfRule>
  </conditionalFormatting>
  <conditionalFormatting sqref="AJ334">
    <cfRule type="containsBlanks" dxfId="913" priority="176" stopIfTrue="1">
      <formula>LEN(TRIM(AJ334))=0</formula>
    </cfRule>
    <cfRule type="cellIs" dxfId="912" priority="177" operator="equal">
      <formula>4</formula>
    </cfRule>
    <cfRule type="cellIs" dxfId="911" priority="178" operator="equal">
      <formula>3</formula>
    </cfRule>
    <cfRule type="cellIs" dxfId="910" priority="179" operator="equal">
      <formula>2</formula>
    </cfRule>
    <cfRule type="cellIs" dxfId="909" priority="180" operator="equal">
      <formula>1</formula>
    </cfRule>
    <cfRule type="cellIs" dxfId="908" priority="181" operator="equal">
      <formula>0</formula>
    </cfRule>
  </conditionalFormatting>
  <conditionalFormatting sqref="AJ334">
    <cfRule type="expression" dxfId="907" priority="175">
      <formula>AND($C334=0,$C334&lt;&gt;"")</formula>
    </cfRule>
  </conditionalFormatting>
  <conditionalFormatting sqref="AF334">
    <cfRule type="containsBlanks" dxfId="906" priority="169" stopIfTrue="1">
      <formula>LEN(TRIM(AF334))=0</formula>
    </cfRule>
    <cfRule type="cellIs" dxfId="905" priority="170" operator="equal">
      <formula>4</formula>
    </cfRule>
    <cfRule type="cellIs" dxfId="904" priority="171" operator="equal">
      <formula>3</formula>
    </cfRule>
    <cfRule type="cellIs" dxfId="903" priority="172" operator="equal">
      <formula>2</formula>
    </cfRule>
    <cfRule type="cellIs" dxfId="902" priority="173" operator="equal">
      <formula>1</formula>
    </cfRule>
    <cfRule type="cellIs" dxfId="901" priority="174" operator="equal">
      <formula>0</formula>
    </cfRule>
  </conditionalFormatting>
  <conditionalFormatting sqref="AF334">
    <cfRule type="expression" dxfId="900" priority="168">
      <formula>AND($C334=0,$C334&lt;&gt;"")</formula>
    </cfRule>
  </conditionalFormatting>
  <conditionalFormatting sqref="AJ319:AJ321">
    <cfRule type="containsBlanks" dxfId="899" priority="162" stopIfTrue="1">
      <formula>LEN(TRIM(AJ319))=0</formula>
    </cfRule>
    <cfRule type="cellIs" dxfId="898" priority="163" operator="equal">
      <formula>4</formula>
    </cfRule>
    <cfRule type="cellIs" dxfId="897" priority="164" operator="equal">
      <formula>3</formula>
    </cfRule>
    <cfRule type="cellIs" dxfId="896" priority="165" operator="equal">
      <formula>2</formula>
    </cfRule>
    <cfRule type="cellIs" dxfId="895" priority="166" operator="equal">
      <formula>1</formula>
    </cfRule>
    <cfRule type="cellIs" dxfId="894" priority="167" operator="equal">
      <formula>0</formula>
    </cfRule>
  </conditionalFormatting>
  <conditionalFormatting sqref="AJ319:AJ321">
    <cfRule type="expression" dxfId="893" priority="161">
      <formula>AND($C319=0,$C319&lt;&gt;"")</formula>
    </cfRule>
  </conditionalFormatting>
  <conditionalFormatting sqref="AF319:AF321">
    <cfRule type="containsBlanks" dxfId="892" priority="155" stopIfTrue="1">
      <formula>LEN(TRIM(AF319))=0</formula>
    </cfRule>
    <cfRule type="cellIs" dxfId="891" priority="156" operator="equal">
      <formula>4</formula>
    </cfRule>
    <cfRule type="cellIs" dxfId="890" priority="157" operator="equal">
      <formula>3</formula>
    </cfRule>
    <cfRule type="cellIs" dxfId="889" priority="158" operator="equal">
      <formula>2</formula>
    </cfRule>
    <cfRule type="cellIs" dxfId="888" priority="159" operator="equal">
      <formula>1</formula>
    </cfRule>
    <cfRule type="cellIs" dxfId="887" priority="160" operator="equal">
      <formula>0</formula>
    </cfRule>
  </conditionalFormatting>
  <conditionalFormatting sqref="AF319:AF321">
    <cfRule type="expression" dxfId="886" priority="154">
      <formula>AND($C319=0,$C319&lt;&gt;"")</formula>
    </cfRule>
  </conditionalFormatting>
  <conditionalFormatting sqref="AF324">
    <cfRule type="containsBlanks" dxfId="885" priority="148" stopIfTrue="1">
      <formula>LEN(TRIM(AF324))=0</formula>
    </cfRule>
    <cfRule type="cellIs" dxfId="884" priority="149" operator="equal">
      <formula>4</formula>
    </cfRule>
    <cfRule type="cellIs" dxfId="883" priority="150" operator="equal">
      <formula>3</formula>
    </cfRule>
    <cfRule type="cellIs" dxfId="882" priority="151" operator="equal">
      <formula>2</formula>
    </cfRule>
    <cfRule type="cellIs" dxfId="881" priority="152" operator="equal">
      <formula>1</formula>
    </cfRule>
    <cfRule type="cellIs" dxfId="880" priority="153" operator="equal">
      <formula>0</formula>
    </cfRule>
  </conditionalFormatting>
  <conditionalFormatting sqref="AF324">
    <cfRule type="expression" dxfId="879" priority="147">
      <formula>AND($C324=0,$C324&lt;&gt;"")</formula>
    </cfRule>
  </conditionalFormatting>
  <conditionalFormatting sqref="AJ324">
    <cfRule type="containsBlanks" dxfId="878" priority="141" stopIfTrue="1">
      <formula>LEN(TRIM(AJ324))=0</formula>
    </cfRule>
    <cfRule type="cellIs" dxfId="877" priority="142" operator="equal">
      <formula>4</formula>
    </cfRule>
    <cfRule type="cellIs" dxfId="876" priority="143" operator="equal">
      <formula>3</formula>
    </cfRule>
    <cfRule type="cellIs" dxfId="875" priority="144" operator="equal">
      <formula>2</formula>
    </cfRule>
    <cfRule type="cellIs" dxfId="874" priority="145" operator="equal">
      <formula>1</formula>
    </cfRule>
    <cfRule type="cellIs" dxfId="873" priority="146" operator="equal">
      <formula>0</formula>
    </cfRule>
  </conditionalFormatting>
  <conditionalFormatting sqref="AJ324">
    <cfRule type="expression" dxfId="872" priority="140">
      <formula>AND($C324=0,$C324&lt;&gt;"")</formula>
    </cfRule>
  </conditionalFormatting>
  <conditionalFormatting sqref="AM324">
    <cfRule type="expression" dxfId="871" priority="139">
      <formula>AND($C324=0,$C324&lt;&gt;"")</formula>
    </cfRule>
  </conditionalFormatting>
  <conditionalFormatting sqref="AN324">
    <cfRule type="expression" dxfId="870" priority="138">
      <formula>AND($C324=0,$C324&lt;&gt;"")</formula>
    </cfRule>
  </conditionalFormatting>
  <conditionalFormatting sqref="AJ335:AJ338">
    <cfRule type="containsBlanks" dxfId="869" priority="132" stopIfTrue="1">
      <formula>LEN(TRIM(AJ335))=0</formula>
    </cfRule>
    <cfRule type="cellIs" dxfId="868" priority="133" operator="equal">
      <formula>4</formula>
    </cfRule>
    <cfRule type="cellIs" dxfId="867" priority="134" operator="equal">
      <formula>3</formula>
    </cfRule>
    <cfRule type="cellIs" dxfId="866" priority="135" operator="equal">
      <formula>2</formula>
    </cfRule>
    <cfRule type="cellIs" dxfId="865" priority="136" operator="equal">
      <formula>1</formula>
    </cfRule>
    <cfRule type="cellIs" dxfId="864" priority="137" operator="equal">
      <formula>0</formula>
    </cfRule>
  </conditionalFormatting>
  <conditionalFormatting sqref="AJ335:AJ338">
    <cfRule type="expression" dxfId="863" priority="131">
      <formula>AND($C335=0,$C335&lt;&gt;"")</formula>
    </cfRule>
  </conditionalFormatting>
  <conditionalFormatting sqref="Y335:Y338">
    <cfRule type="containsBlanks" dxfId="862" priority="125" stopIfTrue="1">
      <formula>LEN(TRIM(Y335))=0</formula>
    </cfRule>
    <cfRule type="cellIs" dxfId="861" priority="126" operator="equal">
      <formula>4</formula>
    </cfRule>
    <cfRule type="cellIs" dxfId="860" priority="127" operator="equal">
      <formula>3</formula>
    </cfRule>
    <cfRule type="cellIs" dxfId="859" priority="128" operator="equal">
      <formula>2</formula>
    </cfRule>
    <cfRule type="cellIs" dxfId="858" priority="129" operator="equal">
      <formula>1</formula>
    </cfRule>
    <cfRule type="cellIs" dxfId="857" priority="130" operator="equal">
      <formula>0</formula>
    </cfRule>
  </conditionalFormatting>
  <conditionalFormatting sqref="Y335:Y338">
    <cfRule type="expression" dxfId="856" priority="124">
      <formula>AND($C335=0,$C335&lt;&gt;"")</formula>
    </cfRule>
  </conditionalFormatting>
  <conditionalFormatting sqref="AF335:AF338">
    <cfRule type="containsBlanks" dxfId="855" priority="118" stopIfTrue="1">
      <formula>LEN(TRIM(AF335))=0</formula>
    </cfRule>
    <cfRule type="cellIs" dxfId="854" priority="119" operator="equal">
      <formula>4</formula>
    </cfRule>
    <cfRule type="cellIs" dxfId="853" priority="120" operator="equal">
      <formula>3</formula>
    </cfRule>
    <cfRule type="cellIs" dxfId="852" priority="121" operator="equal">
      <formula>2</formula>
    </cfRule>
    <cfRule type="cellIs" dxfId="851" priority="122" operator="equal">
      <formula>1</formula>
    </cfRule>
    <cfRule type="cellIs" dxfId="850" priority="123" operator="equal">
      <formula>0</formula>
    </cfRule>
  </conditionalFormatting>
  <conditionalFormatting sqref="AF335:AF338">
    <cfRule type="expression" dxfId="849" priority="117">
      <formula>AND($C335=0,$C335&lt;&gt;"")</formula>
    </cfRule>
  </conditionalFormatting>
  <conditionalFormatting sqref="AN311">
    <cfRule type="expression" dxfId="848" priority="1">
      <formula>AND($C311=0,$C311&lt;&gt;"")</formula>
    </cfRule>
  </conditionalFormatting>
  <conditionalFormatting sqref="AK272">
    <cfRule type="containsBlanks" dxfId="847" priority="114" stopIfTrue="1">
      <formula>LEN(TRIM(AK272))=0</formula>
    </cfRule>
    <cfRule type="containsText" dxfId="846" priority="115" operator="containsText" text="NO">
      <formula>NOT(ISERROR(SEARCH("NO",AK272)))</formula>
    </cfRule>
    <cfRule type="containsText" dxfId="845" priority="116" operator="containsText" text="YES">
      <formula>NOT(ISERROR(SEARCH("YES",AK272)))</formula>
    </cfRule>
  </conditionalFormatting>
  <conditionalFormatting sqref="AK272">
    <cfRule type="expression" dxfId="844" priority="113">
      <formula>AND($C272=0,$C272&lt;&gt;"")</formula>
    </cfRule>
  </conditionalFormatting>
  <conditionalFormatting sqref="AK274">
    <cfRule type="containsBlanks" dxfId="843" priority="110" stopIfTrue="1">
      <formula>LEN(TRIM(AK274))=0</formula>
    </cfRule>
    <cfRule type="containsText" dxfId="842" priority="111" operator="containsText" text="NO">
      <formula>NOT(ISERROR(SEARCH("NO",AK274)))</formula>
    </cfRule>
    <cfRule type="containsText" dxfId="841" priority="112" operator="containsText" text="YES">
      <formula>NOT(ISERROR(SEARCH("YES",AK274)))</formula>
    </cfRule>
  </conditionalFormatting>
  <conditionalFormatting sqref="AK274">
    <cfRule type="expression" dxfId="840" priority="109">
      <formula>AND($C274=0,$C274&lt;&gt;"")</formula>
    </cfRule>
  </conditionalFormatting>
  <conditionalFormatting sqref="AK275">
    <cfRule type="containsBlanks" dxfId="839" priority="106" stopIfTrue="1">
      <formula>LEN(TRIM(AK275))=0</formula>
    </cfRule>
    <cfRule type="containsText" dxfId="838" priority="107" operator="containsText" text="NO">
      <formula>NOT(ISERROR(SEARCH("NO",AK275)))</formula>
    </cfRule>
    <cfRule type="containsText" dxfId="837" priority="108" operator="containsText" text="YES">
      <formula>NOT(ISERROR(SEARCH("YES",AK275)))</formula>
    </cfRule>
  </conditionalFormatting>
  <conditionalFormatting sqref="AK275">
    <cfRule type="expression" dxfId="836" priority="105">
      <formula>AND($C275=0,$C275&lt;&gt;"")</formula>
    </cfRule>
  </conditionalFormatting>
  <conditionalFormatting sqref="AK276">
    <cfRule type="containsBlanks" dxfId="835" priority="102" stopIfTrue="1">
      <formula>LEN(TRIM(AK276))=0</formula>
    </cfRule>
    <cfRule type="containsText" dxfId="834" priority="103" operator="containsText" text="NO">
      <formula>NOT(ISERROR(SEARCH("NO",AK276)))</formula>
    </cfRule>
    <cfRule type="containsText" dxfId="833" priority="104" operator="containsText" text="YES">
      <formula>NOT(ISERROR(SEARCH("YES",AK276)))</formula>
    </cfRule>
  </conditionalFormatting>
  <conditionalFormatting sqref="AK276">
    <cfRule type="expression" dxfId="832" priority="101">
      <formula>AND($C276=0,$C276&lt;&gt;"")</formula>
    </cfRule>
  </conditionalFormatting>
  <conditionalFormatting sqref="AK277">
    <cfRule type="containsBlanks" dxfId="831" priority="98" stopIfTrue="1">
      <formula>LEN(TRIM(AK277))=0</formula>
    </cfRule>
    <cfRule type="containsText" dxfId="830" priority="99" operator="containsText" text="NO">
      <formula>NOT(ISERROR(SEARCH("NO",AK277)))</formula>
    </cfRule>
    <cfRule type="containsText" dxfId="829" priority="100" operator="containsText" text="YES">
      <formula>NOT(ISERROR(SEARCH("YES",AK277)))</formula>
    </cfRule>
  </conditionalFormatting>
  <conditionalFormatting sqref="AK277">
    <cfRule type="expression" dxfId="828" priority="97">
      <formula>AND($C277=0,$C277&lt;&gt;"")</formula>
    </cfRule>
  </conditionalFormatting>
  <conditionalFormatting sqref="AK278">
    <cfRule type="containsBlanks" dxfId="827" priority="94" stopIfTrue="1">
      <formula>LEN(TRIM(AK278))=0</formula>
    </cfRule>
    <cfRule type="containsText" dxfId="826" priority="95" operator="containsText" text="NO">
      <formula>NOT(ISERROR(SEARCH("NO",AK278)))</formula>
    </cfRule>
    <cfRule type="containsText" dxfId="825" priority="96" operator="containsText" text="YES">
      <formula>NOT(ISERROR(SEARCH("YES",AK278)))</formula>
    </cfRule>
  </conditionalFormatting>
  <conditionalFormatting sqref="AK278">
    <cfRule type="expression" dxfId="824" priority="93">
      <formula>AND($C278=0,$C278&lt;&gt;"")</formula>
    </cfRule>
  </conditionalFormatting>
  <conditionalFormatting sqref="AK279">
    <cfRule type="containsBlanks" dxfId="823" priority="90" stopIfTrue="1">
      <formula>LEN(TRIM(AK279))=0</formula>
    </cfRule>
    <cfRule type="containsText" dxfId="822" priority="91" operator="containsText" text="NO">
      <formula>NOT(ISERROR(SEARCH("NO",AK279)))</formula>
    </cfRule>
    <cfRule type="containsText" dxfId="821" priority="92" operator="containsText" text="YES">
      <formula>NOT(ISERROR(SEARCH("YES",AK279)))</formula>
    </cfRule>
  </conditionalFormatting>
  <conditionalFormatting sqref="AK281">
    <cfRule type="containsBlanks" dxfId="820" priority="87" stopIfTrue="1">
      <formula>LEN(TRIM(AK281))=0</formula>
    </cfRule>
    <cfRule type="containsText" dxfId="819" priority="88" operator="containsText" text="NO">
      <formula>NOT(ISERROR(SEARCH("NO",AK281)))</formula>
    </cfRule>
    <cfRule type="containsText" dxfId="818" priority="89" operator="containsText" text="YES">
      <formula>NOT(ISERROR(SEARCH("YES",AK281)))</formula>
    </cfRule>
  </conditionalFormatting>
  <conditionalFormatting sqref="AK281">
    <cfRule type="expression" dxfId="817" priority="86">
      <formula>AND($C281=0,$C281&lt;&gt;"")</formula>
    </cfRule>
  </conditionalFormatting>
  <conditionalFormatting sqref="AK309">
    <cfRule type="containsBlanks" dxfId="816" priority="83" stopIfTrue="1">
      <formula>LEN(TRIM(AK309))=0</formula>
    </cfRule>
    <cfRule type="containsText" dxfId="815" priority="84" operator="containsText" text="NO">
      <formula>NOT(ISERROR(SEARCH("NO",AK309)))</formula>
    </cfRule>
    <cfRule type="containsText" dxfId="814" priority="85" operator="containsText" text="YES">
      <formula>NOT(ISERROR(SEARCH("YES",AK309)))</formula>
    </cfRule>
  </conditionalFormatting>
  <conditionalFormatting sqref="AK309">
    <cfRule type="expression" dxfId="813" priority="82">
      <formula>AND($C309=0,$C309&lt;&gt;"")</formula>
    </cfRule>
  </conditionalFormatting>
  <conditionalFormatting sqref="AK308">
    <cfRule type="containsBlanks" dxfId="812" priority="79" stopIfTrue="1">
      <formula>LEN(TRIM(AK308))=0</formula>
    </cfRule>
    <cfRule type="containsText" dxfId="811" priority="80" operator="containsText" text="NO">
      <formula>NOT(ISERROR(SEARCH("NO",AK308)))</formula>
    </cfRule>
    <cfRule type="containsText" dxfId="810" priority="81" operator="containsText" text="YES">
      <formula>NOT(ISERROR(SEARCH("YES",AK308)))</formula>
    </cfRule>
  </conditionalFormatting>
  <conditionalFormatting sqref="AK308">
    <cfRule type="expression" dxfId="809" priority="78">
      <formula>AND($C308=0,$C308&lt;&gt;"")</formula>
    </cfRule>
  </conditionalFormatting>
  <conditionalFormatting sqref="AK310">
    <cfRule type="containsBlanks" dxfId="808" priority="75" stopIfTrue="1">
      <formula>LEN(TRIM(AK310))=0</formula>
    </cfRule>
    <cfRule type="containsText" dxfId="807" priority="76" operator="containsText" text="NO">
      <formula>NOT(ISERROR(SEARCH("NO",AK310)))</formula>
    </cfRule>
    <cfRule type="containsText" dxfId="806" priority="77" operator="containsText" text="YES">
      <formula>NOT(ISERROR(SEARCH("YES",AK310)))</formula>
    </cfRule>
  </conditionalFormatting>
  <conditionalFormatting sqref="AK310">
    <cfRule type="expression" dxfId="805" priority="74">
      <formula>AND($C310=0,$C310&lt;&gt;"")</formula>
    </cfRule>
  </conditionalFormatting>
  <conditionalFormatting sqref="AK311">
    <cfRule type="containsBlanks" dxfId="804" priority="71" stopIfTrue="1">
      <formula>LEN(TRIM(AK311))=0</formula>
    </cfRule>
    <cfRule type="containsText" dxfId="803" priority="72" operator="containsText" text="NO">
      <formula>NOT(ISERROR(SEARCH("NO",AK311)))</formula>
    </cfRule>
    <cfRule type="containsText" dxfId="802" priority="73" operator="containsText" text="YES">
      <formula>NOT(ISERROR(SEARCH("YES",AK311)))</formula>
    </cfRule>
  </conditionalFormatting>
  <conditionalFormatting sqref="AK311">
    <cfRule type="expression" dxfId="801" priority="70">
      <formula>AND($C311=0,$C311&lt;&gt;"")</formula>
    </cfRule>
  </conditionalFormatting>
  <conditionalFormatting sqref="AK312">
    <cfRule type="containsBlanks" dxfId="800" priority="67" stopIfTrue="1">
      <formula>LEN(TRIM(AK312))=0</formula>
    </cfRule>
    <cfRule type="containsText" dxfId="799" priority="68" operator="containsText" text="NO">
      <formula>NOT(ISERROR(SEARCH("NO",AK312)))</formula>
    </cfRule>
    <cfRule type="containsText" dxfId="798" priority="69" operator="containsText" text="YES">
      <formula>NOT(ISERROR(SEARCH("YES",AK312)))</formula>
    </cfRule>
  </conditionalFormatting>
  <conditionalFormatting sqref="AK312">
    <cfRule type="expression" dxfId="797" priority="66">
      <formula>AND($C312=0,$C312&lt;&gt;"")</formula>
    </cfRule>
  </conditionalFormatting>
  <conditionalFormatting sqref="AK313">
    <cfRule type="containsBlanks" dxfId="796" priority="63" stopIfTrue="1">
      <formula>LEN(TRIM(AK313))=0</formula>
    </cfRule>
    <cfRule type="containsText" dxfId="795" priority="64" operator="containsText" text="NO">
      <formula>NOT(ISERROR(SEARCH("NO",AK313)))</formula>
    </cfRule>
    <cfRule type="containsText" dxfId="794" priority="65" operator="containsText" text="YES">
      <formula>NOT(ISERROR(SEARCH("YES",AK313)))</formula>
    </cfRule>
  </conditionalFormatting>
  <conditionalFormatting sqref="AL308">
    <cfRule type="expression" dxfId="793" priority="62">
      <formula>AND($C308=0,$C308&lt;&gt;"")</formula>
    </cfRule>
  </conditionalFormatting>
  <conditionalFormatting sqref="AL308">
    <cfRule type="containsBlanks" dxfId="792" priority="59" stopIfTrue="1">
      <formula>LEN(TRIM(AL308))=0</formula>
    </cfRule>
    <cfRule type="containsText" dxfId="791" priority="60" operator="containsText" text="NO">
      <formula>NOT(ISERROR(SEARCH("NO",AL308)))</formula>
    </cfRule>
    <cfRule type="containsText" dxfId="790" priority="61" operator="containsText" text="YES">
      <formula>NOT(ISERROR(SEARCH("YES",AL308)))</formula>
    </cfRule>
  </conditionalFormatting>
  <conditionalFormatting sqref="AL309">
    <cfRule type="expression" dxfId="789" priority="58">
      <formula>AND($C309=0,$C309&lt;&gt;"")</formula>
    </cfRule>
  </conditionalFormatting>
  <conditionalFormatting sqref="AL309">
    <cfRule type="containsBlanks" dxfId="788" priority="55" stopIfTrue="1">
      <formula>LEN(TRIM(AL309))=0</formula>
    </cfRule>
    <cfRule type="containsText" dxfId="787" priority="56" operator="containsText" text="NO">
      <formula>NOT(ISERROR(SEARCH("NO",AL309)))</formula>
    </cfRule>
    <cfRule type="containsText" dxfId="786" priority="57" operator="containsText" text="YES">
      <formula>NOT(ISERROR(SEARCH("YES",AL309)))</formula>
    </cfRule>
  </conditionalFormatting>
  <conditionalFormatting sqref="AL310">
    <cfRule type="expression" dxfId="785" priority="54">
      <formula>AND($C310=0,$C310&lt;&gt;"")</formula>
    </cfRule>
  </conditionalFormatting>
  <conditionalFormatting sqref="AL310">
    <cfRule type="containsBlanks" dxfId="784" priority="51" stopIfTrue="1">
      <formula>LEN(TRIM(AL310))=0</formula>
    </cfRule>
    <cfRule type="containsText" dxfId="783" priority="52" operator="containsText" text="NO">
      <formula>NOT(ISERROR(SEARCH("NO",AL310)))</formula>
    </cfRule>
    <cfRule type="containsText" dxfId="782" priority="53" operator="containsText" text="YES">
      <formula>NOT(ISERROR(SEARCH("YES",AL310)))</formula>
    </cfRule>
  </conditionalFormatting>
  <conditionalFormatting sqref="AL311">
    <cfRule type="expression" dxfId="781" priority="50">
      <formula>AND($C311=0,$C311&lt;&gt;"")</formula>
    </cfRule>
  </conditionalFormatting>
  <conditionalFormatting sqref="AL311">
    <cfRule type="containsBlanks" dxfId="780" priority="47" stopIfTrue="1">
      <formula>LEN(TRIM(AL311))=0</formula>
    </cfRule>
    <cfRule type="containsText" dxfId="779" priority="48" operator="containsText" text="NO">
      <formula>NOT(ISERROR(SEARCH("NO",AL311)))</formula>
    </cfRule>
    <cfRule type="containsText" dxfId="778" priority="49" operator="containsText" text="YES">
      <formula>NOT(ISERROR(SEARCH("YES",AL311)))</formula>
    </cfRule>
  </conditionalFormatting>
  <conditionalFormatting sqref="AL312">
    <cfRule type="expression" dxfId="777" priority="46">
      <formula>AND($C312=0,$C312&lt;&gt;"")</formula>
    </cfRule>
  </conditionalFormatting>
  <conditionalFormatting sqref="AL312">
    <cfRule type="containsBlanks" dxfId="776" priority="43" stopIfTrue="1">
      <formula>LEN(TRIM(AL312))=0</formula>
    </cfRule>
    <cfRule type="containsText" dxfId="775" priority="44" operator="containsText" text="NO">
      <formula>NOT(ISERROR(SEARCH("NO",AL312)))</formula>
    </cfRule>
    <cfRule type="containsText" dxfId="774" priority="45" operator="containsText" text="YES">
      <formula>NOT(ISERROR(SEARCH("YES",AL312)))</formula>
    </cfRule>
  </conditionalFormatting>
  <conditionalFormatting sqref="AL313">
    <cfRule type="expression" dxfId="773" priority="42">
      <formula>AND($C313=0,$C313&lt;&gt;"")</formula>
    </cfRule>
  </conditionalFormatting>
  <conditionalFormatting sqref="AL313">
    <cfRule type="containsBlanks" dxfId="772" priority="39" stopIfTrue="1">
      <formula>LEN(TRIM(AL313))=0</formula>
    </cfRule>
    <cfRule type="containsText" dxfId="771" priority="40" operator="containsText" text="NO">
      <formula>NOT(ISERROR(SEARCH("NO",AL313)))</formula>
    </cfRule>
    <cfRule type="containsText" dxfId="770" priority="41" operator="containsText" text="YES">
      <formula>NOT(ISERROR(SEARCH("YES",AL313)))</formula>
    </cfRule>
  </conditionalFormatting>
  <conditionalFormatting sqref="AL314">
    <cfRule type="expression" dxfId="769" priority="38">
      <formula>AND($C314=0,$C314&lt;&gt;"")</formula>
    </cfRule>
  </conditionalFormatting>
  <conditionalFormatting sqref="AL314">
    <cfRule type="containsBlanks" dxfId="768" priority="35" stopIfTrue="1">
      <formula>LEN(TRIM(AL314))=0</formula>
    </cfRule>
    <cfRule type="containsText" dxfId="767" priority="36" operator="containsText" text="NO">
      <formula>NOT(ISERROR(SEARCH("NO",AL314)))</formula>
    </cfRule>
    <cfRule type="containsText" dxfId="766" priority="37" operator="containsText" text="YES">
      <formula>NOT(ISERROR(SEARCH("YES",AL314)))</formula>
    </cfRule>
  </conditionalFormatting>
  <conditionalFormatting sqref="AL315">
    <cfRule type="expression" dxfId="765" priority="34">
      <formula>AND($C315=0,$C315&lt;&gt;"")</formula>
    </cfRule>
  </conditionalFormatting>
  <conditionalFormatting sqref="AL315">
    <cfRule type="containsBlanks" dxfId="764" priority="31" stopIfTrue="1">
      <formula>LEN(TRIM(AL315))=0</formula>
    </cfRule>
    <cfRule type="containsText" dxfId="763" priority="32" operator="containsText" text="NO">
      <formula>NOT(ISERROR(SEARCH("NO",AL315)))</formula>
    </cfRule>
    <cfRule type="containsText" dxfId="762" priority="33" operator="containsText" text="YES">
      <formula>NOT(ISERROR(SEARCH("YES",AL315)))</formula>
    </cfRule>
  </conditionalFormatting>
  <conditionalFormatting sqref="AL316">
    <cfRule type="expression" dxfId="761" priority="30">
      <formula>AND($C316=0,$C316&lt;&gt;"")</formula>
    </cfRule>
  </conditionalFormatting>
  <conditionalFormatting sqref="AL316">
    <cfRule type="containsBlanks" dxfId="760" priority="27" stopIfTrue="1">
      <formula>LEN(TRIM(AL316))=0</formula>
    </cfRule>
    <cfRule type="containsText" dxfId="759" priority="28" operator="containsText" text="NO">
      <formula>NOT(ISERROR(SEARCH("NO",AL316)))</formula>
    </cfRule>
    <cfRule type="containsText" dxfId="758" priority="29" operator="containsText" text="YES">
      <formula>NOT(ISERROR(SEARCH("YES",AL316)))</formula>
    </cfRule>
  </conditionalFormatting>
  <conditionalFormatting sqref="AL317">
    <cfRule type="expression" dxfId="757" priority="26">
      <formula>AND($C317=0,$C317&lt;&gt;"")</formula>
    </cfRule>
  </conditionalFormatting>
  <conditionalFormatting sqref="AL317">
    <cfRule type="containsBlanks" dxfId="756" priority="23" stopIfTrue="1">
      <formula>LEN(TRIM(AL317))=0</formula>
    </cfRule>
    <cfRule type="containsText" dxfId="755" priority="24" operator="containsText" text="NO">
      <formula>NOT(ISERROR(SEARCH("NO",AL317)))</formula>
    </cfRule>
    <cfRule type="containsText" dxfId="754" priority="25" operator="containsText" text="YES">
      <formula>NOT(ISERROR(SEARCH("YES",AL317)))</formula>
    </cfRule>
  </conditionalFormatting>
  <conditionalFormatting sqref="AF308:AF317">
    <cfRule type="containsBlanks" dxfId="753" priority="17" stopIfTrue="1">
      <formula>LEN(TRIM(AF308))=0</formula>
    </cfRule>
    <cfRule type="cellIs" dxfId="752" priority="18" operator="equal">
      <formula>4</formula>
    </cfRule>
    <cfRule type="cellIs" dxfId="751" priority="19" operator="equal">
      <formula>3</formula>
    </cfRule>
    <cfRule type="cellIs" dxfId="750" priority="20" operator="equal">
      <formula>2</formula>
    </cfRule>
    <cfRule type="cellIs" dxfId="749" priority="21" operator="equal">
      <formula>1</formula>
    </cfRule>
    <cfRule type="cellIs" dxfId="748" priority="22" operator="equal">
      <formula>0</formula>
    </cfRule>
  </conditionalFormatting>
  <conditionalFormatting sqref="AF308:AF317">
    <cfRule type="expression" dxfId="747" priority="16">
      <formula>AND($C308=0,$C308&lt;&gt;"")</formula>
    </cfRule>
  </conditionalFormatting>
  <conditionalFormatting sqref="AD308:AD317">
    <cfRule type="containsBlanks" dxfId="746" priority="10" stopIfTrue="1">
      <formula>LEN(TRIM(AD308))=0</formula>
    </cfRule>
    <cfRule type="cellIs" dxfId="745" priority="11" operator="equal">
      <formula>4</formula>
    </cfRule>
    <cfRule type="cellIs" dxfId="744" priority="12" operator="equal">
      <formula>3</formula>
    </cfRule>
    <cfRule type="cellIs" dxfId="743" priority="13" operator="equal">
      <formula>2</formula>
    </cfRule>
    <cfRule type="cellIs" dxfId="742" priority="14" operator="equal">
      <formula>1</formula>
    </cfRule>
    <cfRule type="cellIs" dxfId="741" priority="15" operator="equal">
      <formula>0</formula>
    </cfRule>
  </conditionalFormatting>
  <conditionalFormatting sqref="AD308:AD317">
    <cfRule type="expression" dxfId="740" priority="9">
      <formula>AND($C308=0,$C308&lt;&gt;"")</formula>
    </cfRule>
  </conditionalFormatting>
  <conditionalFormatting sqref="AN308:AN310 AN281 AN274:AN279 AN272">
    <cfRule type="expression" dxfId="739" priority="8">
      <formula>AND($C272=0,$C272&lt;&gt;"")</formula>
    </cfRule>
  </conditionalFormatting>
  <conditionalFormatting sqref="AN315">
    <cfRule type="expression" dxfId="738" priority="7">
      <formula>AND($C315=0,$C315&lt;&gt;"")</formula>
    </cfRule>
  </conditionalFormatting>
  <conditionalFormatting sqref="AN316">
    <cfRule type="expression" dxfId="737" priority="6">
      <formula>AND($C316=0,$C316&lt;&gt;"")</formula>
    </cfRule>
  </conditionalFormatting>
  <conditionalFormatting sqref="AN317">
    <cfRule type="expression" dxfId="736" priority="5">
      <formula>AND($C317=0,$C317&lt;&gt;"")</formula>
    </cfRule>
  </conditionalFormatting>
  <conditionalFormatting sqref="AN314">
    <cfRule type="expression" dxfId="735" priority="4">
      <formula>AND($C314=0,$C314&lt;&gt;"")</formula>
    </cfRule>
  </conditionalFormatting>
  <conditionalFormatting sqref="AN313">
    <cfRule type="expression" dxfId="734" priority="3">
      <formula>AND($C313=0,$C313&lt;&gt;"")</formula>
    </cfRule>
  </conditionalFormatting>
  <conditionalFormatting sqref="AN312">
    <cfRule type="expression" dxfId="733" priority="2">
      <formula>AND($C312=0,$C312&lt;&gt;"")</formula>
    </cfRule>
  </conditionalFormatting>
  <hyperlinks>
    <hyperlink ref="AO301" r:id="rId1"/>
    <hyperlink ref="AO302" r:id="rId2"/>
    <hyperlink ref="AP301" r:id="rId3"/>
    <hyperlink ref="AP302" r:id="rId4"/>
    <hyperlink ref="AO303" r:id="rId5"/>
    <hyperlink ref="AP303" r:id="rId6"/>
    <hyperlink ref="AO319" r:id="rId7"/>
    <hyperlink ref="AO320" r:id="rId8"/>
    <hyperlink ref="AP319" r:id="rId9"/>
    <hyperlink ref="AP320" r:id="rId10"/>
    <hyperlink ref="AP74" r:id="rId11"/>
    <hyperlink ref="AP294" r:id="rId12"/>
    <hyperlink ref="AP69" r:id="rId13"/>
    <hyperlink ref="AP295" r:id="rId14"/>
    <hyperlink ref="AP68" r:id="rId15"/>
    <hyperlink ref="AP296" r:id="rId16"/>
    <hyperlink ref="AP111" r:id="rId17"/>
    <hyperlink ref="AO321" r:id="rId18"/>
    <hyperlink ref="AP321" r:id="rId19"/>
    <hyperlink ref="AO323" r:id="rId20"/>
    <hyperlink ref="AP323" r:id="rId21"/>
    <hyperlink ref="AP322" r:id="rId22"/>
    <hyperlink ref="AO70" r:id="rId23"/>
    <hyperlink ref="AO92" r:id="rId24"/>
    <hyperlink ref="AO105:AO107" r:id="rId25" display="\\BG279K12FPS01\Administrative$\Reporting\Data_Reporting\Private\1. Projects\8. Sofia\3. Working Instructions\Sofia Manuals"/>
    <hyperlink ref="AO110" r:id="rId26"/>
    <hyperlink ref="AO141" r:id="rId27"/>
    <hyperlink ref="AO145" r:id="rId28"/>
    <hyperlink ref="AO198:AO199" r:id="rId29" display="\\BG279K12FPS01\Administrative$\Reporting\Data_Reporting\Private\1. Projects\8. Sofia\3. Working Instructions\Sofia Manuals"/>
    <hyperlink ref="AO293" r:id="rId30"/>
    <hyperlink ref="AO324:AO326" r:id="rId31" display="\\BG279K12FPS01\Administrative$\Reporting\Data_Reporting\Private\1. Projects\8. Sofia\3. Working Instructions\Sofia Manuals"/>
    <hyperlink ref="AP70" r:id="rId32"/>
    <hyperlink ref="AP92" r:id="rId33"/>
    <hyperlink ref="AP145" r:id="rId34"/>
    <hyperlink ref="AP198" r:id="rId35"/>
    <hyperlink ref="AP199" r:id="rId36"/>
    <hyperlink ref="AP293" r:id="rId37"/>
    <hyperlink ref="AP324" r:id="rId38"/>
    <hyperlink ref="AP325" r:id="rId39"/>
    <hyperlink ref="AP105" r:id="rId40"/>
    <hyperlink ref="AP106" r:id="rId41"/>
    <hyperlink ref="AP326" r:id="rId42"/>
    <hyperlink ref="AP107" r:id="rId43"/>
    <hyperlink ref="AP110" r:id="rId44"/>
    <hyperlink ref="AP141" r:id="rId45"/>
    <hyperlink ref="AO327" r:id="rId46"/>
    <hyperlink ref="AP327" r:id="rId47"/>
    <hyperlink ref="AP328" r:id="rId48"/>
    <hyperlink ref="AP329" r:id="rId49"/>
    <hyperlink ref="AP330" r:id="rId50"/>
    <hyperlink ref="AP331" r:id="rId51"/>
    <hyperlink ref="AP332" r:id="rId52"/>
    <hyperlink ref="AP333" r:id="rId53"/>
    <hyperlink ref="AP230" r:id="rId54"/>
    <hyperlink ref="AP229" r:id="rId55"/>
    <hyperlink ref="AP228" r:id="rId56"/>
    <hyperlink ref="AP221" r:id="rId57"/>
    <hyperlink ref="AP219" r:id="rId58"/>
    <hyperlink ref="AP218" r:id="rId59"/>
    <hyperlink ref="AP217" r:id="rId60"/>
    <hyperlink ref="AP168" r:id="rId61"/>
    <hyperlink ref="AP164" r:id="rId62"/>
    <hyperlink ref="AP165" r:id="rId63"/>
    <hyperlink ref="AO63" r:id="rId64"/>
    <hyperlink ref="AP63" r:id="rId65"/>
    <hyperlink ref="AO71" r:id="rId66"/>
    <hyperlink ref="AP71" r:id="rId67"/>
    <hyperlink ref="AO72" r:id="rId68"/>
    <hyperlink ref="AP72" r:id="rId69"/>
    <hyperlink ref="AP85" r:id="rId70"/>
    <hyperlink ref="AO108" r:id="rId71"/>
    <hyperlink ref="AP108" r:id="rId72"/>
    <hyperlink ref="AP109" r:id="rId73"/>
    <hyperlink ref="AP112" r:id="rId74"/>
    <hyperlink ref="AP113" r:id="rId75"/>
    <hyperlink ref="AO136" r:id="rId76"/>
    <hyperlink ref="AP136" r:id="rId77"/>
    <hyperlink ref="AP144" r:id="rId78"/>
    <hyperlink ref="AP143" r:id="rId79"/>
    <hyperlink ref="AO177" r:id="rId80"/>
    <hyperlink ref="AO178" r:id="rId81"/>
    <hyperlink ref="AO179" r:id="rId82"/>
    <hyperlink ref="AP177" r:id="rId83"/>
    <hyperlink ref="AP178" r:id="rId84"/>
    <hyperlink ref="AP179" r:id="rId85"/>
    <hyperlink ref="AP191" r:id="rId86"/>
    <hyperlink ref="AP200" r:id="rId87"/>
    <hyperlink ref="AO203" r:id="rId88"/>
    <hyperlink ref="AP203" r:id="rId89"/>
    <hyperlink ref="AO245" r:id="rId90"/>
    <hyperlink ref="AP245" r:id="rId91"/>
    <hyperlink ref="AO246" r:id="rId92"/>
    <hyperlink ref="AP246" r:id="rId93"/>
    <hyperlink ref="AO297" r:id="rId94"/>
    <hyperlink ref="AP297" r:id="rId95"/>
    <hyperlink ref="AO298" r:id="rId96"/>
    <hyperlink ref="AO299" r:id="rId97"/>
    <hyperlink ref="AP298" r:id="rId98"/>
    <hyperlink ref="AP299" r:id="rId99"/>
    <hyperlink ref="AP300" r:id="rId100"/>
    <hyperlink ref="AO334" r:id="rId101"/>
    <hyperlink ref="AP334" r:id="rId102"/>
    <hyperlink ref="AO335" r:id="rId103"/>
    <hyperlink ref="AO336:AO338" r:id="rId104" display="\\BG279K12FPS01\Administrative$\Reporting\Data_Reporting\Private\1. Projects\8. Sofia\3. Working Instructions\Sofia Manuals\ZF.one"/>
    <hyperlink ref="AP247" r:id="rId105"/>
    <hyperlink ref="AP248" r:id="rId106"/>
    <hyperlink ref="AP249" r:id="rId107"/>
    <hyperlink ref="AP251" r:id="rId108"/>
    <hyperlink ref="AP256" r:id="rId109"/>
    <hyperlink ref="AP257" r:id="rId110"/>
    <hyperlink ref="AP265" r:id="rId111"/>
    <hyperlink ref="AP268" r:id="rId112"/>
    <hyperlink ref="AP339" r:id="rId113"/>
    <hyperlink ref="AP340" r:id="rId114"/>
    <hyperlink ref="AP341" r:id="rId115"/>
    <hyperlink ref="AP342" r:id="rId116"/>
    <hyperlink ref="AP343" r:id="rId117"/>
    <hyperlink ref="AP344" r:id="rId118"/>
    <hyperlink ref="AP345" r:id="rId119"/>
    <hyperlink ref="AP350" r:id="rId120"/>
    <hyperlink ref="AP347" r:id="rId121"/>
  </hyperlinks>
  <pageMargins left="0.7" right="0.7" top="0.75" bottom="0.75" header="0.3" footer="0.3"/>
  <pageSetup paperSize="9" orientation="portrait" r:id="rId122"/>
  <legacyDrawing r:id="rId123"/>
  <tableParts count="1">
    <tablePart r:id="rId1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B1:AF41"/>
  <sheetViews>
    <sheetView showGridLines="0" zoomScale="85" zoomScaleNormal="85" workbookViewId="0">
      <selection activeCell="S1" sqref="S1:S1048576"/>
    </sheetView>
  </sheetViews>
  <sheetFormatPr defaultRowHeight="14.4"/>
  <cols>
    <col min="1" max="1" width="4.44140625" customWidth="1"/>
    <col min="4" max="4" width="42.44140625" bestFit="1" customWidth="1"/>
    <col min="5" max="5" width="16.44140625" bestFit="1" customWidth="1"/>
    <col min="6" max="6" width="35.44140625" bestFit="1" customWidth="1"/>
    <col min="7" max="7" width="7.44140625" customWidth="1"/>
    <col min="8" max="8" width="10.109375" customWidth="1"/>
    <col min="9" max="20" width="4.44140625" customWidth="1"/>
    <col min="22" max="22" width="8.6640625" bestFit="1" customWidth="1"/>
    <col min="24" max="27" width="18.44140625" customWidth="1"/>
    <col min="28" max="28" width="72.44140625" style="10" bestFit="1" customWidth="1"/>
  </cols>
  <sheetData>
    <row r="1" spans="2:32" ht="15.75" customHeight="1" thickBot="1">
      <c r="L1" s="4" t="s">
        <v>0</v>
      </c>
      <c r="M1" s="155" t="s">
        <v>2</v>
      </c>
      <c r="N1" s="156"/>
      <c r="O1" s="156"/>
      <c r="P1" s="25" t="s">
        <v>3</v>
      </c>
      <c r="Q1" s="26"/>
      <c r="R1" s="26"/>
      <c r="S1" s="22"/>
      <c r="T1" s="22"/>
      <c r="U1" s="26"/>
      <c r="V1" s="26"/>
      <c r="W1" s="26"/>
      <c r="X1" s="22"/>
      <c r="AB1"/>
    </row>
    <row r="2" spans="2:32" ht="15.75" customHeight="1" thickBot="1">
      <c r="L2" s="5">
        <v>0</v>
      </c>
      <c r="M2" s="153" t="s">
        <v>5</v>
      </c>
      <c r="N2" s="154"/>
      <c r="O2" s="154"/>
      <c r="P2" s="27" t="s">
        <v>6</v>
      </c>
      <c r="Q2" s="28"/>
      <c r="R2" s="28"/>
      <c r="S2" s="23"/>
      <c r="T2" s="23"/>
      <c r="U2" s="28"/>
      <c r="V2" s="28"/>
      <c r="W2" s="28"/>
      <c r="X2" s="23"/>
      <c r="AB2"/>
    </row>
    <row r="3" spans="2:32" ht="15.75" customHeight="1" thickBot="1">
      <c r="L3" s="6">
        <v>1</v>
      </c>
      <c r="M3" s="151" t="s">
        <v>4</v>
      </c>
      <c r="N3" s="152"/>
      <c r="O3" s="152"/>
      <c r="P3" s="29" t="s">
        <v>7</v>
      </c>
      <c r="Q3" s="30"/>
      <c r="R3" s="30"/>
      <c r="S3" s="24"/>
      <c r="T3" s="24"/>
      <c r="U3" s="30"/>
      <c r="V3" s="30"/>
      <c r="W3" s="30"/>
      <c r="X3" s="24"/>
      <c r="AB3"/>
    </row>
    <row r="4" spans="2:32" ht="15.75" customHeight="1" thickBot="1">
      <c r="D4" s="157" t="s">
        <v>231</v>
      </c>
      <c r="E4" s="157"/>
      <c r="F4" s="157"/>
      <c r="G4" s="157"/>
      <c r="L4" s="7">
        <v>2</v>
      </c>
      <c r="M4" s="158" t="s">
        <v>1</v>
      </c>
      <c r="N4" s="159"/>
      <c r="O4" s="159"/>
      <c r="P4" s="31" t="s">
        <v>26</v>
      </c>
      <c r="Q4" s="32"/>
      <c r="R4" s="32"/>
      <c r="S4" s="19"/>
      <c r="T4" s="19"/>
      <c r="U4" s="32"/>
      <c r="V4" s="32"/>
      <c r="W4" s="32"/>
      <c r="X4" s="19"/>
      <c r="AB4"/>
    </row>
    <row r="5" spans="2:32" ht="15.75" customHeight="1" thickBot="1">
      <c r="D5" s="157"/>
      <c r="E5" s="157"/>
      <c r="F5" s="157"/>
      <c r="G5" s="157"/>
      <c r="L5" s="8">
        <v>3</v>
      </c>
      <c r="M5" s="160" t="s">
        <v>8</v>
      </c>
      <c r="N5" s="161"/>
      <c r="O5" s="161"/>
      <c r="P5" s="33" t="s">
        <v>24</v>
      </c>
      <c r="Q5" s="34"/>
      <c r="R5" s="34"/>
      <c r="S5" s="20"/>
      <c r="T5" s="20"/>
      <c r="U5" s="34"/>
      <c r="V5" s="34"/>
      <c r="W5" s="34"/>
      <c r="X5" s="20"/>
      <c r="AB5"/>
    </row>
    <row r="6" spans="2:32" ht="15.75" customHeight="1" thickBot="1">
      <c r="D6" s="157"/>
      <c r="E6" s="157"/>
      <c r="F6" s="157"/>
      <c r="G6" s="157"/>
      <c r="L6" s="9">
        <v>4</v>
      </c>
      <c r="M6" s="162" t="s">
        <v>9</v>
      </c>
      <c r="N6" s="163"/>
      <c r="O6" s="163"/>
      <c r="P6" s="35" t="s">
        <v>25</v>
      </c>
      <c r="Q6" s="36"/>
      <c r="R6" s="36"/>
      <c r="S6" s="21"/>
      <c r="T6" s="21"/>
      <c r="U6" s="36"/>
      <c r="V6" s="36"/>
      <c r="W6" s="36"/>
      <c r="X6" s="21"/>
      <c r="AB6"/>
    </row>
    <row r="7" spans="2:32" ht="14.4" customHeight="1">
      <c r="D7" s="157"/>
      <c r="E7" s="157"/>
      <c r="F7" s="157"/>
      <c r="G7" s="157"/>
      <c r="Y7" s="10"/>
      <c r="Z7" s="10"/>
      <c r="AB7"/>
    </row>
    <row r="8" spans="2:32">
      <c r="Y8" s="10"/>
      <c r="Z8" s="10"/>
      <c r="AB8"/>
    </row>
    <row r="9" spans="2:32">
      <c r="Y9" s="10"/>
      <c r="Z9" s="10"/>
      <c r="AB9"/>
    </row>
    <row r="10" spans="2:32" ht="60.75" customHeight="1" thickBot="1">
      <c r="B10" s="2" t="s">
        <v>18</v>
      </c>
      <c r="C10" s="2" t="s">
        <v>188</v>
      </c>
      <c r="D10" s="2" t="s">
        <v>229</v>
      </c>
      <c r="E10" s="2" t="s">
        <v>233</v>
      </c>
      <c r="F10" s="2" t="s">
        <v>234</v>
      </c>
      <c r="G10" s="2" t="s">
        <v>230</v>
      </c>
      <c r="H10" s="2" t="s">
        <v>20</v>
      </c>
      <c r="I10" s="2" t="s">
        <v>10</v>
      </c>
      <c r="J10" s="2" t="s">
        <v>11</v>
      </c>
      <c r="K10" s="2" t="s">
        <v>12</v>
      </c>
      <c r="L10" s="2" t="s">
        <v>13</v>
      </c>
      <c r="M10" s="2" t="s">
        <v>94</v>
      </c>
      <c r="N10" s="2" t="s">
        <v>55</v>
      </c>
      <c r="O10" s="2" t="s">
        <v>61</v>
      </c>
      <c r="P10" s="2" t="s">
        <v>62</v>
      </c>
      <c r="Q10" s="2" t="s">
        <v>143</v>
      </c>
      <c r="R10" s="2" t="s">
        <v>165</v>
      </c>
      <c r="S10" s="2" t="s">
        <v>486</v>
      </c>
      <c r="T10" s="2" t="s">
        <v>502</v>
      </c>
      <c r="U10" s="2" t="s">
        <v>1049</v>
      </c>
      <c r="V10" s="2" t="s">
        <v>452</v>
      </c>
      <c r="W10" s="2" t="s">
        <v>17</v>
      </c>
      <c r="X10" s="2" t="s">
        <v>152</v>
      </c>
      <c r="Y10" s="2" t="s">
        <v>235</v>
      </c>
      <c r="Z10" s="2" t="s">
        <v>155</v>
      </c>
      <c r="AA10" s="2" t="s">
        <v>537</v>
      </c>
      <c r="AB10" s="3" t="s">
        <v>27</v>
      </c>
    </row>
    <row r="11" spans="2:32" ht="15" thickBot="1">
      <c r="B11" s="40">
        <f>ROW()-10</f>
        <v>1</v>
      </c>
      <c r="C11" s="40">
        <v>1</v>
      </c>
      <c r="D11" s="40" t="s">
        <v>236</v>
      </c>
      <c r="E11" s="40" t="s">
        <v>237</v>
      </c>
      <c r="F11" s="40" t="s">
        <v>43</v>
      </c>
      <c r="G11" s="40" t="s">
        <v>62</v>
      </c>
      <c r="H11" s="40" t="s">
        <v>11</v>
      </c>
      <c r="I11" s="42">
        <v>4</v>
      </c>
      <c r="J11" s="42">
        <v>3</v>
      </c>
      <c r="K11" s="42">
        <v>0</v>
      </c>
      <c r="L11" s="42">
        <v>3</v>
      </c>
      <c r="M11" s="42">
        <v>3</v>
      </c>
      <c r="N11" s="42">
        <v>0</v>
      </c>
      <c r="O11" s="42">
        <v>0</v>
      </c>
      <c r="P11" s="42">
        <v>4</v>
      </c>
      <c r="Q11" s="42">
        <v>0</v>
      </c>
      <c r="R11" s="42">
        <v>0</v>
      </c>
      <c r="S11" s="70">
        <v>0</v>
      </c>
      <c r="T11" s="70">
        <v>0</v>
      </c>
      <c r="U11" s="70">
        <v>0</v>
      </c>
      <c r="V11" s="70">
        <v>0</v>
      </c>
      <c r="W11" s="40" t="s">
        <v>21</v>
      </c>
      <c r="X11" s="40" t="s">
        <v>21</v>
      </c>
      <c r="Y11" s="39">
        <v>43467</v>
      </c>
      <c r="Z11" s="37" t="s">
        <v>62</v>
      </c>
      <c r="AA11" s="37"/>
      <c r="AB11" s="38"/>
    </row>
    <row r="12" spans="2:32" ht="15" thickBot="1">
      <c r="B12" s="40">
        <f t="shared" ref="B12:B20" si="0">ROW()-10</f>
        <v>2</v>
      </c>
      <c r="C12" s="40">
        <v>1</v>
      </c>
      <c r="D12" s="40" t="s">
        <v>240</v>
      </c>
      <c r="E12" s="40" t="s">
        <v>241</v>
      </c>
      <c r="F12" s="40" t="s">
        <v>43</v>
      </c>
      <c r="G12" s="40" t="s">
        <v>62</v>
      </c>
      <c r="H12" s="40" t="s">
        <v>11</v>
      </c>
      <c r="I12" s="42">
        <v>4</v>
      </c>
      <c r="J12" s="42">
        <v>4</v>
      </c>
      <c r="K12" s="42">
        <v>0</v>
      </c>
      <c r="L12" s="42">
        <v>0</v>
      </c>
      <c r="M12" s="42">
        <v>0</v>
      </c>
      <c r="N12" s="42">
        <v>0</v>
      </c>
      <c r="O12" s="42">
        <v>0</v>
      </c>
      <c r="P12" s="42">
        <v>4</v>
      </c>
      <c r="Q12" s="42">
        <v>0</v>
      </c>
      <c r="R12" s="42">
        <v>0</v>
      </c>
      <c r="S12" s="70">
        <v>0</v>
      </c>
      <c r="T12" s="70">
        <v>0</v>
      </c>
      <c r="U12" s="70">
        <v>0</v>
      </c>
      <c r="V12" s="70">
        <v>0</v>
      </c>
      <c r="W12" s="40" t="s">
        <v>21</v>
      </c>
      <c r="X12" s="40" t="s">
        <v>21</v>
      </c>
      <c r="Y12" s="39">
        <v>43650</v>
      </c>
      <c r="Z12" s="37" t="s">
        <v>62</v>
      </c>
      <c r="AA12" s="37"/>
      <c r="AB12" s="38"/>
      <c r="AC12" s="10"/>
    </row>
    <row r="13" spans="2:32" ht="15" thickBot="1">
      <c r="B13" s="40">
        <f t="shared" si="0"/>
        <v>3</v>
      </c>
      <c r="C13" s="40">
        <v>0</v>
      </c>
      <c r="D13" s="40" t="s">
        <v>49</v>
      </c>
      <c r="E13" s="40" t="s">
        <v>30</v>
      </c>
      <c r="F13" s="40" t="s">
        <v>113</v>
      </c>
      <c r="G13" s="40" t="s">
        <v>486</v>
      </c>
      <c r="H13" s="40" t="s">
        <v>62</v>
      </c>
      <c r="I13" s="42">
        <v>4</v>
      </c>
      <c r="J13" s="42">
        <v>4</v>
      </c>
      <c r="K13" s="42">
        <v>0</v>
      </c>
      <c r="L13" s="42">
        <v>0</v>
      </c>
      <c r="M13" s="42">
        <v>0</v>
      </c>
      <c r="N13" s="42">
        <v>0</v>
      </c>
      <c r="O13" s="42">
        <v>0</v>
      </c>
      <c r="P13" s="42">
        <v>3</v>
      </c>
      <c r="Q13" s="42">
        <v>0</v>
      </c>
      <c r="R13" s="42">
        <v>0</v>
      </c>
      <c r="S13" s="70">
        <v>3</v>
      </c>
      <c r="T13" s="70">
        <v>2</v>
      </c>
      <c r="U13" s="70">
        <v>0</v>
      </c>
      <c r="V13" s="70">
        <v>0</v>
      </c>
      <c r="W13" s="40" t="s">
        <v>21</v>
      </c>
      <c r="X13" s="40" t="s">
        <v>21</v>
      </c>
      <c r="Y13" s="39" t="s">
        <v>242</v>
      </c>
      <c r="Z13" s="37" t="s">
        <v>11</v>
      </c>
      <c r="AA13" s="37"/>
      <c r="AB13" s="38"/>
      <c r="AC13" s="10"/>
      <c r="AE13" s="10"/>
    </row>
    <row r="14" spans="2:32" ht="15" thickBot="1">
      <c r="B14" s="40">
        <f t="shared" si="0"/>
        <v>4</v>
      </c>
      <c r="C14" s="40">
        <v>0</v>
      </c>
      <c r="D14" s="40" t="s">
        <v>49</v>
      </c>
      <c r="E14" s="40" t="s">
        <v>202</v>
      </c>
      <c r="F14" s="40" t="s">
        <v>113</v>
      </c>
      <c r="G14" s="40" t="s">
        <v>486</v>
      </c>
      <c r="H14" s="40" t="s">
        <v>62</v>
      </c>
      <c r="I14" s="42">
        <v>4</v>
      </c>
      <c r="J14" s="42">
        <v>4</v>
      </c>
      <c r="K14" s="42">
        <v>0</v>
      </c>
      <c r="L14" s="42">
        <v>0</v>
      </c>
      <c r="M14" s="42">
        <v>0</v>
      </c>
      <c r="N14" s="42">
        <v>0</v>
      </c>
      <c r="O14" s="42">
        <v>0</v>
      </c>
      <c r="P14" s="42">
        <v>3</v>
      </c>
      <c r="Q14" s="42">
        <v>0</v>
      </c>
      <c r="R14" s="42">
        <v>0</v>
      </c>
      <c r="S14" s="70">
        <v>3</v>
      </c>
      <c r="T14" s="70">
        <v>2</v>
      </c>
      <c r="U14" s="70">
        <v>0</v>
      </c>
      <c r="V14" s="70">
        <v>0</v>
      </c>
      <c r="W14" s="40" t="s">
        <v>21</v>
      </c>
      <c r="X14" s="40" t="s">
        <v>21</v>
      </c>
      <c r="Y14" s="39" t="s">
        <v>242</v>
      </c>
      <c r="Z14" s="37" t="s">
        <v>11</v>
      </c>
      <c r="AA14" s="37"/>
      <c r="AB14" s="38"/>
      <c r="AC14" s="10"/>
      <c r="AE14" s="10"/>
      <c r="AF14" s="10"/>
    </row>
    <row r="15" spans="2:32" ht="15" thickBot="1">
      <c r="B15" s="40">
        <f t="shared" si="0"/>
        <v>5</v>
      </c>
      <c r="C15" s="40">
        <v>0</v>
      </c>
      <c r="D15" s="40" t="s">
        <v>49</v>
      </c>
      <c r="E15" s="40" t="s">
        <v>196</v>
      </c>
      <c r="F15" s="40" t="s">
        <v>113</v>
      </c>
      <c r="G15" s="40" t="s">
        <v>486</v>
      </c>
      <c r="H15" s="40" t="s">
        <v>62</v>
      </c>
      <c r="I15" s="42">
        <v>4</v>
      </c>
      <c r="J15" s="42">
        <v>4</v>
      </c>
      <c r="K15" s="42">
        <v>0</v>
      </c>
      <c r="L15" s="42">
        <v>0</v>
      </c>
      <c r="M15" s="42">
        <v>0</v>
      </c>
      <c r="N15" s="42">
        <v>0</v>
      </c>
      <c r="O15" s="42">
        <v>0</v>
      </c>
      <c r="P15" s="42">
        <v>3</v>
      </c>
      <c r="Q15" s="42">
        <v>0</v>
      </c>
      <c r="R15" s="42">
        <v>0</v>
      </c>
      <c r="S15" s="70">
        <v>3</v>
      </c>
      <c r="T15" s="70">
        <v>2</v>
      </c>
      <c r="U15" s="70">
        <v>0</v>
      </c>
      <c r="V15" s="70">
        <v>0</v>
      </c>
      <c r="W15" s="40" t="s">
        <v>21</v>
      </c>
      <c r="X15" s="40" t="s">
        <v>21</v>
      </c>
      <c r="Y15" s="39" t="s">
        <v>242</v>
      </c>
      <c r="Z15" s="37" t="s">
        <v>11</v>
      </c>
      <c r="AA15" s="37"/>
      <c r="AB15" s="38"/>
      <c r="AC15" s="10"/>
      <c r="AE15" s="10"/>
      <c r="AF15" s="10"/>
    </row>
    <row r="16" spans="2:32" ht="15" thickBot="1">
      <c r="B16" s="40">
        <f t="shared" si="0"/>
        <v>6</v>
      </c>
      <c r="C16" s="40">
        <v>1</v>
      </c>
      <c r="D16" s="40" t="s">
        <v>244</v>
      </c>
      <c r="E16" s="40" t="s">
        <v>202</v>
      </c>
      <c r="F16" s="40" t="s">
        <v>238</v>
      </c>
      <c r="G16" s="40" t="s">
        <v>486</v>
      </c>
      <c r="H16" s="40" t="s">
        <v>62</v>
      </c>
      <c r="I16" s="42">
        <v>4</v>
      </c>
      <c r="J16" s="42">
        <v>4</v>
      </c>
      <c r="K16" s="42">
        <v>0</v>
      </c>
      <c r="L16" s="42">
        <v>0</v>
      </c>
      <c r="M16" s="42">
        <v>0</v>
      </c>
      <c r="N16" s="42">
        <v>0</v>
      </c>
      <c r="O16" s="42">
        <v>0</v>
      </c>
      <c r="P16" s="42">
        <v>3</v>
      </c>
      <c r="Q16" s="42">
        <v>0</v>
      </c>
      <c r="R16" s="42">
        <v>0</v>
      </c>
      <c r="S16" s="70">
        <v>4</v>
      </c>
      <c r="T16" s="70">
        <v>4</v>
      </c>
      <c r="U16" s="70">
        <v>0</v>
      </c>
      <c r="V16" s="70">
        <v>0</v>
      </c>
      <c r="W16" s="40" t="s">
        <v>21</v>
      </c>
      <c r="X16" s="40" t="s">
        <v>21</v>
      </c>
      <c r="Y16" s="39">
        <v>43651</v>
      </c>
      <c r="Z16" s="37" t="s">
        <v>62</v>
      </c>
      <c r="AA16" s="37"/>
      <c r="AB16" s="38"/>
      <c r="AC16" s="10"/>
      <c r="AE16" s="10"/>
      <c r="AF16" s="10"/>
    </row>
    <row r="17" spans="2:32" ht="15" thickBot="1">
      <c r="B17" s="40">
        <f t="shared" si="0"/>
        <v>7</v>
      </c>
      <c r="C17" s="40">
        <v>0</v>
      </c>
      <c r="D17" s="40" t="s">
        <v>239</v>
      </c>
      <c r="E17" s="40" t="s">
        <v>30</v>
      </c>
      <c r="F17" s="40" t="s">
        <v>113</v>
      </c>
      <c r="G17" s="40" t="s">
        <v>11</v>
      </c>
      <c r="H17" s="40" t="s">
        <v>62</v>
      </c>
      <c r="I17" s="42">
        <v>4</v>
      </c>
      <c r="J17" s="42">
        <v>4</v>
      </c>
      <c r="K17" s="42">
        <v>0</v>
      </c>
      <c r="L17" s="42">
        <v>2</v>
      </c>
      <c r="M17" s="42">
        <v>0</v>
      </c>
      <c r="N17" s="42">
        <v>0</v>
      </c>
      <c r="O17" s="42">
        <v>0</v>
      </c>
      <c r="P17" s="42">
        <v>3</v>
      </c>
      <c r="Q17" s="42">
        <v>0</v>
      </c>
      <c r="R17" s="42">
        <v>0</v>
      </c>
      <c r="S17" s="70">
        <v>0</v>
      </c>
      <c r="T17" s="70">
        <v>0</v>
      </c>
      <c r="U17" s="70">
        <v>0</v>
      </c>
      <c r="V17" s="70">
        <v>0</v>
      </c>
      <c r="W17" s="40" t="s">
        <v>21</v>
      </c>
      <c r="X17" s="40" t="s">
        <v>21</v>
      </c>
      <c r="Y17" s="39" t="s">
        <v>242</v>
      </c>
      <c r="Z17" s="37" t="s">
        <v>11</v>
      </c>
      <c r="AA17" s="37"/>
      <c r="AB17" s="38"/>
      <c r="AC17" s="10"/>
      <c r="AE17" s="10"/>
      <c r="AF17" s="10"/>
    </row>
    <row r="18" spans="2:32" ht="15" thickBot="1">
      <c r="B18" s="40">
        <f t="shared" si="0"/>
        <v>8</v>
      </c>
      <c r="C18" s="40">
        <v>1</v>
      </c>
      <c r="D18" s="40" t="s">
        <v>243</v>
      </c>
      <c r="E18" s="40" t="s">
        <v>30</v>
      </c>
      <c r="F18" s="40" t="s">
        <v>43</v>
      </c>
      <c r="G18" s="40" t="s">
        <v>62</v>
      </c>
      <c r="H18" s="40" t="s">
        <v>11</v>
      </c>
      <c r="I18" s="42">
        <v>4</v>
      </c>
      <c r="J18" s="42">
        <v>3</v>
      </c>
      <c r="K18" s="42">
        <v>0</v>
      </c>
      <c r="L18" s="42">
        <v>0</v>
      </c>
      <c r="M18" s="42">
        <v>0</v>
      </c>
      <c r="N18" s="42">
        <v>0</v>
      </c>
      <c r="O18" s="42">
        <v>0</v>
      </c>
      <c r="P18" s="42">
        <v>0</v>
      </c>
      <c r="Q18" s="42">
        <v>0</v>
      </c>
      <c r="R18" s="42">
        <v>0</v>
      </c>
      <c r="S18" s="70">
        <v>0</v>
      </c>
      <c r="T18" s="70">
        <v>0</v>
      </c>
      <c r="U18" s="70">
        <v>0</v>
      </c>
      <c r="V18" s="70">
        <v>0</v>
      </c>
      <c r="W18" s="40" t="s">
        <v>21</v>
      </c>
      <c r="X18" s="40" t="s">
        <v>21</v>
      </c>
      <c r="Y18" s="39" t="s">
        <v>242</v>
      </c>
      <c r="Z18" s="37" t="s">
        <v>62</v>
      </c>
      <c r="AA18" s="37"/>
      <c r="AB18" s="38"/>
      <c r="AC18" s="10"/>
    </row>
    <row r="19" spans="2:32" ht="15" thickBot="1">
      <c r="B19" s="40">
        <f t="shared" si="0"/>
        <v>9</v>
      </c>
      <c r="C19" s="40">
        <v>1</v>
      </c>
      <c r="D19" s="40" t="s">
        <v>245</v>
      </c>
      <c r="E19" s="40" t="s">
        <v>91</v>
      </c>
      <c r="F19" s="40" t="s">
        <v>96</v>
      </c>
      <c r="G19" s="40" t="s">
        <v>1049</v>
      </c>
      <c r="H19" s="40" t="s">
        <v>452</v>
      </c>
      <c r="I19" s="42">
        <v>0</v>
      </c>
      <c r="J19" s="42">
        <v>0</v>
      </c>
      <c r="K19" s="42">
        <v>0</v>
      </c>
      <c r="L19" s="42">
        <v>0</v>
      </c>
      <c r="M19" s="42">
        <v>0</v>
      </c>
      <c r="N19" s="42">
        <v>0</v>
      </c>
      <c r="O19" s="42">
        <v>4</v>
      </c>
      <c r="P19" s="42">
        <v>0</v>
      </c>
      <c r="Q19" s="42">
        <v>0</v>
      </c>
      <c r="R19" s="42">
        <v>0</v>
      </c>
      <c r="S19" s="70">
        <v>0</v>
      </c>
      <c r="T19" s="70">
        <v>0</v>
      </c>
      <c r="U19" s="70">
        <v>4</v>
      </c>
      <c r="V19" s="70">
        <v>3</v>
      </c>
      <c r="W19" s="40" t="s">
        <v>21</v>
      </c>
      <c r="X19" s="40" t="s">
        <v>21</v>
      </c>
      <c r="Y19" s="39">
        <v>43617</v>
      </c>
      <c r="Z19" s="37" t="s">
        <v>61</v>
      </c>
      <c r="AA19" s="142" t="s">
        <v>1051</v>
      </c>
      <c r="AB19" s="38" t="s">
        <v>1083</v>
      </c>
      <c r="AC19" s="10"/>
    </row>
    <row r="20" spans="2:32" ht="15" thickBot="1">
      <c r="B20" s="40">
        <f t="shared" si="0"/>
        <v>10</v>
      </c>
      <c r="C20" s="40">
        <v>0</v>
      </c>
      <c r="D20" s="40" t="s">
        <v>246</v>
      </c>
      <c r="E20" s="40" t="s">
        <v>91</v>
      </c>
      <c r="F20" s="40" t="s">
        <v>92</v>
      </c>
      <c r="G20" s="40" t="s">
        <v>1049</v>
      </c>
      <c r="H20" s="40" t="s">
        <v>452</v>
      </c>
      <c r="I20" s="42">
        <v>0</v>
      </c>
      <c r="J20" s="42">
        <v>0</v>
      </c>
      <c r="K20" s="42">
        <v>0</v>
      </c>
      <c r="L20" s="42">
        <v>0</v>
      </c>
      <c r="M20" s="42">
        <v>0</v>
      </c>
      <c r="N20" s="42">
        <v>0</v>
      </c>
      <c r="O20" s="42">
        <v>3</v>
      </c>
      <c r="P20" s="42">
        <v>0</v>
      </c>
      <c r="Q20" s="42">
        <v>0</v>
      </c>
      <c r="R20" s="42">
        <v>0</v>
      </c>
      <c r="S20" s="70">
        <v>0</v>
      </c>
      <c r="T20" s="70">
        <v>0</v>
      </c>
      <c r="U20" s="70">
        <v>4</v>
      </c>
      <c r="V20" s="70">
        <v>3</v>
      </c>
      <c r="W20" s="40" t="s">
        <v>21</v>
      </c>
      <c r="X20" s="40" t="s">
        <v>21</v>
      </c>
      <c r="Y20" s="39">
        <v>43607</v>
      </c>
      <c r="Z20" s="37" t="s">
        <v>61</v>
      </c>
      <c r="AA20" s="142" t="s">
        <v>1051</v>
      </c>
      <c r="AB20" s="38" t="s">
        <v>1085</v>
      </c>
      <c r="AC20" s="10"/>
    </row>
    <row r="21" spans="2:32" ht="15" thickBot="1">
      <c r="B21" s="40">
        <f t="shared" ref="B21:B30" si="1">ROW()-10</f>
        <v>11</v>
      </c>
      <c r="C21" s="40">
        <v>0</v>
      </c>
      <c r="D21" s="40" t="s">
        <v>247</v>
      </c>
      <c r="E21" s="40" t="s">
        <v>101</v>
      </c>
      <c r="F21" s="40" t="s">
        <v>118</v>
      </c>
      <c r="G21" s="40" t="s">
        <v>170</v>
      </c>
      <c r="H21" s="40" t="s">
        <v>61</v>
      </c>
      <c r="I21" s="42">
        <v>0</v>
      </c>
      <c r="J21" s="42">
        <v>0</v>
      </c>
      <c r="K21" s="42">
        <v>0</v>
      </c>
      <c r="L21" s="42">
        <v>0</v>
      </c>
      <c r="M21" s="42">
        <v>0</v>
      </c>
      <c r="N21" s="42">
        <v>0</v>
      </c>
      <c r="O21" s="42">
        <v>4</v>
      </c>
      <c r="P21" s="42">
        <v>0</v>
      </c>
      <c r="Q21" s="42">
        <v>0</v>
      </c>
      <c r="R21" s="42">
        <v>0</v>
      </c>
      <c r="S21" s="70">
        <v>0</v>
      </c>
      <c r="T21" s="70">
        <v>0</v>
      </c>
      <c r="U21" s="70">
        <v>3</v>
      </c>
      <c r="V21" s="70">
        <v>3</v>
      </c>
      <c r="W21" s="40" t="s">
        <v>95</v>
      </c>
      <c r="X21" s="40" t="s">
        <v>21</v>
      </c>
      <c r="Y21" s="39">
        <v>43642</v>
      </c>
      <c r="Z21" s="37" t="s">
        <v>61</v>
      </c>
      <c r="AA21" s="37"/>
      <c r="AB21" s="38"/>
      <c r="AC21" s="10"/>
    </row>
    <row r="22" spans="2:32" ht="15" thickBot="1">
      <c r="B22" s="40">
        <f t="shared" si="1"/>
        <v>12</v>
      </c>
      <c r="C22" s="40">
        <v>0</v>
      </c>
      <c r="D22" s="40" t="s">
        <v>354</v>
      </c>
      <c r="E22" s="40" t="s">
        <v>101</v>
      </c>
      <c r="F22" s="40" t="s">
        <v>118</v>
      </c>
      <c r="G22" s="40" t="s">
        <v>61</v>
      </c>
      <c r="H22" s="40" t="s">
        <v>170</v>
      </c>
      <c r="I22" s="42">
        <v>0</v>
      </c>
      <c r="J22" s="42">
        <v>0</v>
      </c>
      <c r="K22" s="42">
        <v>0</v>
      </c>
      <c r="L22" s="42">
        <v>0</v>
      </c>
      <c r="M22" s="42">
        <v>0</v>
      </c>
      <c r="N22" s="42">
        <v>0</v>
      </c>
      <c r="O22" s="42">
        <v>4</v>
      </c>
      <c r="P22" s="42">
        <v>0</v>
      </c>
      <c r="Q22" s="42">
        <v>0</v>
      </c>
      <c r="R22" s="42">
        <v>0</v>
      </c>
      <c r="S22" s="70">
        <v>0</v>
      </c>
      <c r="T22" s="70">
        <v>0</v>
      </c>
      <c r="U22" s="70">
        <v>3</v>
      </c>
      <c r="V22" s="70">
        <v>3</v>
      </c>
      <c r="W22" s="40" t="s">
        <v>32</v>
      </c>
      <c r="X22" s="40" t="s">
        <v>32</v>
      </c>
      <c r="Y22" s="39">
        <v>43671</v>
      </c>
      <c r="Z22" s="37" t="s">
        <v>170</v>
      </c>
      <c r="AA22" s="37"/>
      <c r="AB22" s="38"/>
      <c r="AC22" s="10"/>
    </row>
    <row r="23" spans="2:32" ht="15" thickBot="1">
      <c r="B23" s="40">
        <f t="shared" si="1"/>
        <v>13</v>
      </c>
      <c r="C23" s="40">
        <v>1</v>
      </c>
      <c r="D23" s="40" t="s">
        <v>351</v>
      </c>
      <c r="E23" s="40" t="s">
        <v>101</v>
      </c>
      <c r="F23" s="40" t="s">
        <v>102</v>
      </c>
      <c r="G23" s="40" t="s">
        <v>1049</v>
      </c>
      <c r="H23" s="40" t="s">
        <v>452</v>
      </c>
      <c r="I23" s="42">
        <v>0</v>
      </c>
      <c r="J23" s="42">
        <v>0</v>
      </c>
      <c r="K23" s="42">
        <v>0</v>
      </c>
      <c r="L23" s="42">
        <v>0</v>
      </c>
      <c r="M23" s="42">
        <v>0</v>
      </c>
      <c r="N23" s="42">
        <v>0</v>
      </c>
      <c r="O23" s="42">
        <v>4</v>
      </c>
      <c r="P23" s="42">
        <v>0</v>
      </c>
      <c r="Q23" s="42">
        <v>0</v>
      </c>
      <c r="R23" s="42">
        <v>0</v>
      </c>
      <c r="S23" s="70">
        <v>0</v>
      </c>
      <c r="T23" s="70">
        <v>0</v>
      </c>
      <c r="U23" s="70">
        <v>4</v>
      </c>
      <c r="V23" s="70">
        <v>4</v>
      </c>
      <c r="W23" s="40" t="s">
        <v>21</v>
      </c>
      <c r="X23" s="40" t="s">
        <v>32</v>
      </c>
      <c r="Y23" s="39">
        <v>43642</v>
      </c>
      <c r="Z23" s="37" t="s">
        <v>61</v>
      </c>
      <c r="AA23" s="142" t="s">
        <v>1051</v>
      </c>
      <c r="AB23" s="38" t="s">
        <v>1052</v>
      </c>
      <c r="AC23" s="10"/>
    </row>
    <row r="24" spans="2:32" ht="15" thickBot="1">
      <c r="B24" s="40">
        <f t="shared" si="1"/>
        <v>14</v>
      </c>
      <c r="C24" s="40">
        <v>1</v>
      </c>
      <c r="D24" s="40" t="s">
        <v>350</v>
      </c>
      <c r="E24" s="40" t="s">
        <v>101</v>
      </c>
      <c r="F24" s="40" t="s">
        <v>104</v>
      </c>
      <c r="G24" s="40" t="s">
        <v>1049</v>
      </c>
      <c r="H24" s="40" t="s">
        <v>452</v>
      </c>
      <c r="I24" s="42">
        <v>0</v>
      </c>
      <c r="J24" s="42">
        <v>0</v>
      </c>
      <c r="K24" s="42">
        <v>0</v>
      </c>
      <c r="L24" s="42">
        <v>0</v>
      </c>
      <c r="M24" s="42">
        <v>0</v>
      </c>
      <c r="N24" s="42">
        <v>0</v>
      </c>
      <c r="O24" s="42">
        <v>4</v>
      </c>
      <c r="P24" s="42">
        <v>0</v>
      </c>
      <c r="Q24" s="42">
        <v>0</v>
      </c>
      <c r="R24" s="42">
        <v>0</v>
      </c>
      <c r="S24" s="70">
        <v>0</v>
      </c>
      <c r="T24" s="70">
        <v>0</v>
      </c>
      <c r="U24" s="70">
        <v>4</v>
      </c>
      <c r="V24" s="70">
        <v>4</v>
      </c>
      <c r="W24" s="40" t="s">
        <v>21</v>
      </c>
      <c r="X24" s="40" t="s">
        <v>32</v>
      </c>
      <c r="Y24" s="39">
        <v>43642</v>
      </c>
      <c r="Z24" s="37" t="s">
        <v>61</v>
      </c>
      <c r="AA24" s="142" t="s">
        <v>1051</v>
      </c>
      <c r="AB24" s="38" t="s">
        <v>1052</v>
      </c>
      <c r="AC24" s="10"/>
    </row>
    <row r="25" spans="2:32" ht="15" thickBot="1">
      <c r="B25" s="40">
        <f t="shared" si="1"/>
        <v>15</v>
      </c>
      <c r="C25" s="40">
        <v>1</v>
      </c>
      <c r="D25" s="40" t="s">
        <v>1082</v>
      </c>
      <c r="E25" s="40" t="s">
        <v>91</v>
      </c>
      <c r="F25" s="40" t="s">
        <v>96</v>
      </c>
      <c r="G25" s="40" t="s">
        <v>1049</v>
      </c>
      <c r="H25" s="40" t="s">
        <v>452</v>
      </c>
      <c r="I25" s="42">
        <v>0</v>
      </c>
      <c r="J25" s="42">
        <v>0</v>
      </c>
      <c r="K25" s="42">
        <v>0</v>
      </c>
      <c r="L25" s="42">
        <v>0</v>
      </c>
      <c r="M25" s="42">
        <v>0</v>
      </c>
      <c r="N25" s="42">
        <v>0</v>
      </c>
      <c r="O25" s="42">
        <v>4</v>
      </c>
      <c r="P25" s="42">
        <v>0</v>
      </c>
      <c r="Q25" s="42">
        <v>0</v>
      </c>
      <c r="R25" s="42">
        <v>0</v>
      </c>
      <c r="S25" s="70">
        <v>0</v>
      </c>
      <c r="T25" s="70">
        <v>0</v>
      </c>
      <c r="U25" s="70">
        <v>4</v>
      </c>
      <c r="V25" s="70">
        <v>3</v>
      </c>
      <c r="W25" s="40" t="s">
        <v>21</v>
      </c>
      <c r="X25" s="40" t="s">
        <v>21</v>
      </c>
      <c r="Y25" s="39">
        <v>43617</v>
      </c>
      <c r="Z25" s="37" t="s">
        <v>61</v>
      </c>
      <c r="AA25" s="142" t="s">
        <v>1051</v>
      </c>
      <c r="AB25" s="38" t="s">
        <v>1084</v>
      </c>
      <c r="AC25" s="10"/>
    </row>
    <row r="26" spans="2:32" ht="15" thickBot="1">
      <c r="B26" s="40">
        <f t="shared" si="1"/>
        <v>16</v>
      </c>
      <c r="C26" s="40">
        <v>0</v>
      </c>
      <c r="D26" s="40" t="s">
        <v>355</v>
      </c>
      <c r="E26" s="40" t="s">
        <v>101</v>
      </c>
      <c r="F26" s="40" t="s">
        <v>118</v>
      </c>
      <c r="G26" s="40" t="s">
        <v>61</v>
      </c>
      <c r="H26" s="40" t="s">
        <v>170</v>
      </c>
      <c r="I26" s="42">
        <v>0</v>
      </c>
      <c r="J26" s="42">
        <v>0</v>
      </c>
      <c r="K26" s="42">
        <v>0</v>
      </c>
      <c r="L26" s="42">
        <v>0</v>
      </c>
      <c r="M26" s="42">
        <v>0</v>
      </c>
      <c r="N26" s="42">
        <v>0</v>
      </c>
      <c r="O26" s="42">
        <v>4</v>
      </c>
      <c r="P26" s="42">
        <v>0</v>
      </c>
      <c r="Q26" s="42">
        <v>0</v>
      </c>
      <c r="R26" s="42">
        <v>0</v>
      </c>
      <c r="S26" s="70">
        <v>0</v>
      </c>
      <c r="T26" s="70">
        <v>0</v>
      </c>
      <c r="U26" s="70">
        <v>3</v>
      </c>
      <c r="V26" s="70">
        <v>3</v>
      </c>
      <c r="W26" s="40" t="s">
        <v>32</v>
      </c>
      <c r="X26" s="40" t="s">
        <v>32</v>
      </c>
      <c r="Y26" s="39">
        <v>43937</v>
      </c>
      <c r="Z26" s="37" t="s">
        <v>61</v>
      </c>
      <c r="AA26" s="37"/>
      <c r="AB26" s="38"/>
      <c r="AC26" s="10"/>
    </row>
    <row r="27" spans="2:32" ht="15" thickBot="1">
      <c r="B27" s="40">
        <f t="shared" si="1"/>
        <v>17</v>
      </c>
      <c r="C27" s="40">
        <v>0</v>
      </c>
      <c r="D27" s="40" t="s">
        <v>356</v>
      </c>
      <c r="E27" s="40" t="s">
        <v>101</v>
      </c>
      <c r="F27" s="40" t="s">
        <v>118</v>
      </c>
      <c r="G27" s="40" t="s">
        <v>61</v>
      </c>
      <c r="H27" s="40" t="s">
        <v>170</v>
      </c>
      <c r="I27" s="42">
        <v>0</v>
      </c>
      <c r="J27" s="42">
        <v>0</v>
      </c>
      <c r="K27" s="42">
        <v>0</v>
      </c>
      <c r="L27" s="42">
        <v>0</v>
      </c>
      <c r="M27" s="42">
        <v>0</v>
      </c>
      <c r="N27" s="42">
        <v>0</v>
      </c>
      <c r="O27" s="42">
        <v>4</v>
      </c>
      <c r="P27" s="42">
        <v>0</v>
      </c>
      <c r="Q27" s="42">
        <v>0</v>
      </c>
      <c r="R27" s="42">
        <v>0</v>
      </c>
      <c r="S27" s="70">
        <v>0</v>
      </c>
      <c r="T27" s="70">
        <v>0</v>
      </c>
      <c r="U27" s="70">
        <v>3</v>
      </c>
      <c r="V27" s="70">
        <v>3</v>
      </c>
      <c r="W27" s="40" t="s">
        <v>32</v>
      </c>
      <c r="X27" s="40" t="s">
        <v>32</v>
      </c>
      <c r="Y27" s="39">
        <v>44090</v>
      </c>
      <c r="Z27" s="37" t="s">
        <v>61</v>
      </c>
      <c r="AA27" s="37"/>
      <c r="AB27" s="38"/>
      <c r="AC27" s="10"/>
    </row>
    <row r="28" spans="2:32" ht="15" thickBot="1">
      <c r="B28" s="40">
        <f t="shared" si="1"/>
        <v>18</v>
      </c>
      <c r="C28" s="40">
        <v>1</v>
      </c>
      <c r="D28" s="40" t="s">
        <v>359</v>
      </c>
      <c r="E28" s="40" t="s">
        <v>101</v>
      </c>
      <c r="F28" s="40" t="s">
        <v>282</v>
      </c>
      <c r="G28" s="40" t="s">
        <v>1049</v>
      </c>
      <c r="H28" s="40" t="s">
        <v>452</v>
      </c>
      <c r="I28" s="42">
        <v>0</v>
      </c>
      <c r="J28" s="42">
        <v>0</v>
      </c>
      <c r="K28" s="42">
        <v>0</v>
      </c>
      <c r="L28" s="42">
        <v>0</v>
      </c>
      <c r="M28" s="42">
        <v>0</v>
      </c>
      <c r="N28" s="42">
        <v>0</v>
      </c>
      <c r="O28" s="42">
        <v>4</v>
      </c>
      <c r="P28" s="42">
        <v>0</v>
      </c>
      <c r="Q28" s="42">
        <v>0</v>
      </c>
      <c r="R28" s="42">
        <v>0</v>
      </c>
      <c r="S28" s="70">
        <v>0</v>
      </c>
      <c r="T28" s="70">
        <v>0</v>
      </c>
      <c r="U28" s="70">
        <v>3</v>
      </c>
      <c r="V28" s="70">
        <v>4</v>
      </c>
      <c r="W28" s="40" t="s">
        <v>21</v>
      </c>
      <c r="X28" s="40" t="s">
        <v>32</v>
      </c>
      <c r="Y28" s="39">
        <v>43866</v>
      </c>
      <c r="Z28" s="37" t="s">
        <v>61</v>
      </c>
      <c r="AA28" s="142" t="s">
        <v>1051</v>
      </c>
      <c r="AB28" s="38" t="s">
        <v>1052</v>
      </c>
      <c r="AC28" s="10"/>
    </row>
    <row r="29" spans="2:32" ht="15" thickBot="1">
      <c r="B29" s="40">
        <f t="shared" si="1"/>
        <v>19</v>
      </c>
      <c r="C29" s="40">
        <v>1</v>
      </c>
      <c r="D29" s="40" t="s">
        <v>358</v>
      </c>
      <c r="E29" s="40" t="s">
        <v>101</v>
      </c>
      <c r="F29" s="40" t="s">
        <v>282</v>
      </c>
      <c r="G29" s="40" t="s">
        <v>1049</v>
      </c>
      <c r="H29" s="40" t="s">
        <v>452</v>
      </c>
      <c r="I29" s="42">
        <v>0</v>
      </c>
      <c r="J29" s="42">
        <v>0</v>
      </c>
      <c r="K29" s="42">
        <v>0</v>
      </c>
      <c r="L29" s="42">
        <v>0</v>
      </c>
      <c r="M29" s="42">
        <v>0</v>
      </c>
      <c r="N29" s="42">
        <v>0</v>
      </c>
      <c r="O29" s="42">
        <v>4</v>
      </c>
      <c r="P29" s="42">
        <v>0</v>
      </c>
      <c r="Q29" s="42">
        <v>0</v>
      </c>
      <c r="R29" s="42">
        <v>0</v>
      </c>
      <c r="S29" s="70">
        <v>0</v>
      </c>
      <c r="T29" s="70">
        <v>0</v>
      </c>
      <c r="U29" s="70">
        <v>3</v>
      </c>
      <c r="V29" s="70">
        <v>3</v>
      </c>
      <c r="W29" s="40" t="s">
        <v>32</v>
      </c>
      <c r="X29" s="40" t="s">
        <v>32</v>
      </c>
      <c r="Y29" s="39">
        <v>44090</v>
      </c>
      <c r="Z29" s="37" t="s">
        <v>61</v>
      </c>
      <c r="AA29" s="142" t="s">
        <v>1051</v>
      </c>
      <c r="AB29" s="38" t="s">
        <v>1052</v>
      </c>
      <c r="AC29" s="10"/>
    </row>
    <row r="30" spans="2:32" ht="15" thickBot="1">
      <c r="B30" s="40">
        <f t="shared" si="1"/>
        <v>20</v>
      </c>
      <c r="C30" s="40">
        <v>1</v>
      </c>
      <c r="D30" s="144" t="s">
        <v>360</v>
      </c>
      <c r="E30" s="40" t="s">
        <v>101</v>
      </c>
      <c r="F30" s="40" t="s">
        <v>282</v>
      </c>
      <c r="G30" s="40" t="s">
        <v>1049</v>
      </c>
      <c r="H30" s="40" t="s">
        <v>452</v>
      </c>
      <c r="I30" s="42">
        <v>0</v>
      </c>
      <c r="J30" s="42">
        <v>0</v>
      </c>
      <c r="K30" s="42">
        <v>0</v>
      </c>
      <c r="L30" s="42">
        <v>0</v>
      </c>
      <c r="M30" s="42">
        <v>0</v>
      </c>
      <c r="N30" s="42">
        <v>0</v>
      </c>
      <c r="O30" s="42">
        <v>4</v>
      </c>
      <c r="P30" s="42">
        <v>0</v>
      </c>
      <c r="Q30" s="42">
        <v>0</v>
      </c>
      <c r="R30" s="42">
        <v>0</v>
      </c>
      <c r="S30" s="70">
        <v>0</v>
      </c>
      <c r="T30" s="70">
        <v>0</v>
      </c>
      <c r="U30" s="70">
        <v>3</v>
      </c>
      <c r="V30" s="70">
        <v>3</v>
      </c>
      <c r="W30" s="40" t="s">
        <v>32</v>
      </c>
      <c r="X30" s="40" t="s">
        <v>32</v>
      </c>
      <c r="Y30" s="39">
        <v>44056</v>
      </c>
      <c r="Z30" s="37" t="s">
        <v>61</v>
      </c>
      <c r="AA30" s="142" t="s">
        <v>1051</v>
      </c>
      <c r="AB30" s="38" t="s">
        <v>1052</v>
      </c>
      <c r="AC30" s="10"/>
    </row>
    <row r="31" spans="2:32" ht="15" thickBot="1">
      <c r="B31" s="40">
        <f t="shared" ref="B31:B38" si="2">ROW()-10</f>
        <v>21</v>
      </c>
      <c r="C31" s="40">
        <v>1</v>
      </c>
      <c r="D31" s="40" t="s">
        <v>1090</v>
      </c>
      <c r="E31" s="40" t="s">
        <v>91</v>
      </c>
      <c r="F31" s="40" t="s">
        <v>96</v>
      </c>
      <c r="G31" s="40" t="s">
        <v>1049</v>
      </c>
      <c r="H31" s="40" t="s">
        <v>452</v>
      </c>
      <c r="I31" s="42">
        <v>0</v>
      </c>
      <c r="J31" s="42">
        <v>0</v>
      </c>
      <c r="K31" s="42">
        <v>0</v>
      </c>
      <c r="L31" s="42">
        <v>0</v>
      </c>
      <c r="M31" s="42">
        <v>0</v>
      </c>
      <c r="N31" s="42">
        <v>0</v>
      </c>
      <c r="O31" s="42">
        <v>0</v>
      </c>
      <c r="P31" s="42">
        <v>0</v>
      </c>
      <c r="Q31" s="42">
        <v>0</v>
      </c>
      <c r="R31" s="42">
        <v>0</v>
      </c>
      <c r="S31" s="70">
        <v>0</v>
      </c>
      <c r="T31" s="70">
        <v>0</v>
      </c>
      <c r="U31" s="70">
        <v>4</v>
      </c>
      <c r="V31" s="70">
        <v>3</v>
      </c>
      <c r="W31" s="40" t="s">
        <v>21</v>
      </c>
      <c r="X31" s="40" t="s">
        <v>32</v>
      </c>
      <c r="Y31" s="39" t="s">
        <v>1052</v>
      </c>
      <c r="Z31" s="37" t="s">
        <v>417</v>
      </c>
      <c r="AA31" s="142" t="s">
        <v>1051</v>
      </c>
      <c r="AB31" s="38" t="s">
        <v>1093</v>
      </c>
    </row>
    <row r="32" spans="2:32" ht="15" thickBot="1">
      <c r="B32" s="40">
        <f t="shared" si="2"/>
        <v>22</v>
      </c>
      <c r="C32" s="40">
        <v>1</v>
      </c>
      <c r="D32" s="40" t="s">
        <v>1086</v>
      </c>
      <c r="E32" s="40" t="s">
        <v>91</v>
      </c>
      <c r="F32" s="40" t="s">
        <v>34</v>
      </c>
      <c r="G32" s="40" t="s">
        <v>1049</v>
      </c>
      <c r="H32" s="40" t="s">
        <v>452</v>
      </c>
      <c r="I32" s="42">
        <v>0</v>
      </c>
      <c r="J32" s="42">
        <v>0</v>
      </c>
      <c r="K32" s="42">
        <v>0</v>
      </c>
      <c r="L32" s="42">
        <v>0</v>
      </c>
      <c r="M32" s="42">
        <v>0</v>
      </c>
      <c r="N32" s="42">
        <v>0</v>
      </c>
      <c r="O32" s="42">
        <v>0</v>
      </c>
      <c r="P32" s="42">
        <v>0</v>
      </c>
      <c r="Q32" s="42">
        <v>0</v>
      </c>
      <c r="R32" s="42">
        <v>0</v>
      </c>
      <c r="S32" s="70">
        <v>0</v>
      </c>
      <c r="T32" s="70">
        <v>0</v>
      </c>
      <c r="U32" s="70">
        <v>4</v>
      </c>
      <c r="V32" s="70">
        <v>3</v>
      </c>
      <c r="W32" s="40" t="s">
        <v>21</v>
      </c>
      <c r="X32" s="40" t="s">
        <v>32</v>
      </c>
      <c r="Y32" s="39" t="s">
        <v>1052</v>
      </c>
      <c r="Z32" s="37" t="s">
        <v>417</v>
      </c>
      <c r="AA32" s="142" t="s">
        <v>1051</v>
      </c>
      <c r="AB32" s="38" t="s">
        <v>1083</v>
      </c>
    </row>
    <row r="33" spans="2:28" ht="15" thickBot="1">
      <c r="B33" s="40">
        <f t="shared" si="2"/>
        <v>23</v>
      </c>
      <c r="C33" s="40">
        <v>1</v>
      </c>
      <c r="D33" s="40" t="s">
        <v>1087</v>
      </c>
      <c r="E33" s="40" t="s">
        <v>91</v>
      </c>
      <c r="F33" s="40" t="s">
        <v>34</v>
      </c>
      <c r="G33" s="40" t="s">
        <v>1049</v>
      </c>
      <c r="H33" s="40" t="s">
        <v>452</v>
      </c>
      <c r="I33" s="42">
        <v>0</v>
      </c>
      <c r="J33" s="42">
        <v>0</v>
      </c>
      <c r="K33" s="42">
        <v>0</v>
      </c>
      <c r="L33" s="42">
        <v>0</v>
      </c>
      <c r="M33" s="42">
        <v>0</v>
      </c>
      <c r="N33" s="42">
        <v>0</v>
      </c>
      <c r="O33" s="42">
        <v>0</v>
      </c>
      <c r="P33" s="42">
        <v>0</v>
      </c>
      <c r="Q33" s="42">
        <v>0</v>
      </c>
      <c r="R33" s="42">
        <v>0</v>
      </c>
      <c r="S33" s="70">
        <v>0</v>
      </c>
      <c r="T33" s="70">
        <v>0</v>
      </c>
      <c r="U33" s="70">
        <v>4</v>
      </c>
      <c r="V33" s="70">
        <v>3</v>
      </c>
      <c r="W33" s="40" t="s">
        <v>21</v>
      </c>
      <c r="X33" s="40" t="s">
        <v>32</v>
      </c>
      <c r="Y33" s="39" t="s">
        <v>1052</v>
      </c>
      <c r="Z33" s="37" t="s">
        <v>417</v>
      </c>
      <c r="AA33" s="142" t="s">
        <v>1051</v>
      </c>
      <c r="AB33" s="38" t="s">
        <v>1085</v>
      </c>
    </row>
    <row r="34" spans="2:28" ht="15" thickBot="1">
      <c r="B34" s="40">
        <f t="shared" si="2"/>
        <v>24</v>
      </c>
      <c r="C34" s="40">
        <v>1</v>
      </c>
      <c r="D34" s="40" t="s">
        <v>1088</v>
      </c>
      <c r="E34" s="40" t="s">
        <v>91</v>
      </c>
      <c r="F34" s="40" t="s">
        <v>34</v>
      </c>
      <c r="G34" s="40" t="s">
        <v>1049</v>
      </c>
      <c r="H34" s="40" t="s">
        <v>452</v>
      </c>
      <c r="I34" s="42">
        <v>0</v>
      </c>
      <c r="J34" s="42">
        <v>0</v>
      </c>
      <c r="K34" s="42">
        <v>0</v>
      </c>
      <c r="L34" s="42">
        <v>0</v>
      </c>
      <c r="M34" s="42">
        <v>0</v>
      </c>
      <c r="N34" s="42">
        <v>0</v>
      </c>
      <c r="O34" s="42">
        <v>0</v>
      </c>
      <c r="P34" s="42">
        <v>0</v>
      </c>
      <c r="Q34" s="42">
        <v>0</v>
      </c>
      <c r="R34" s="42">
        <v>0</v>
      </c>
      <c r="S34" s="70">
        <v>0</v>
      </c>
      <c r="T34" s="70">
        <v>0</v>
      </c>
      <c r="U34" s="70">
        <v>4</v>
      </c>
      <c r="V34" s="70">
        <v>3</v>
      </c>
      <c r="W34" s="40" t="s">
        <v>21</v>
      </c>
      <c r="X34" s="40" t="s">
        <v>32</v>
      </c>
      <c r="Y34" s="39" t="s">
        <v>1052</v>
      </c>
      <c r="Z34" s="37" t="s">
        <v>417</v>
      </c>
      <c r="AA34" s="142" t="s">
        <v>1051</v>
      </c>
      <c r="AB34" s="38" t="s">
        <v>1091</v>
      </c>
    </row>
    <row r="35" spans="2:28" ht="15" thickBot="1">
      <c r="B35" s="40">
        <f t="shared" si="2"/>
        <v>25</v>
      </c>
      <c r="C35" s="40">
        <v>1</v>
      </c>
      <c r="D35" s="40" t="s">
        <v>1089</v>
      </c>
      <c r="E35" s="40" t="s">
        <v>91</v>
      </c>
      <c r="F35" s="40" t="s">
        <v>34</v>
      </c>
      <c r="G35" s="40" t="s">
        <v>1049</v>
      </c>
      <c r="H35" s="40" t="s">
        <v>452</v>
      </c>
      <c r="I35" s="42">
        <v>0</v>
      </c>
      <c r="J35" s="42">
        <v>0</v>
      </c>
      <c r="K35" s="42">
        <v>0</v>
      </c>
      <c r="L35" s="42">
        <v>0</v>
      </c>
      <c r="M35" s="42">
        <v>0</v>
      </c>
      <c r="N35" s="42">
        <v>0</v>
      </c>
      <c r="O35" s="42">
        <v>0</v>
      </c>
      <c r="P35" s="42">
        <v>0</v>
      </c>
      <c r="Q35" s="42">
        <v>0</v>
      </c>
      <c r="R35" s="42">
        <v>0</v>
      </c>
      <c r="S35" s="70">
        <v>0</v>
      </c>
      <c r="T35" s="70">
        <v>0</v>
      </c>
      <c r="U35" s="70">
        <v>4</v>
      </c>
      <c r="V35" s="70">
        <v>3</v>
      </c>
      <c r="W35" s="40" t="s">
        <v>21</v>
      </c>
      <c r="X35" s="40" t="s">
        <v>32</v>
      </c>
      <c r="Y35" s="39" t="s">
        <v>1052</v>
      </c>
      <c r="Z35" s="37" t="s">
        <v>417</v>
      </c>
      <c r="AA35" s="142" t="s">
        <v>1051</v>
      </c>
      <c r="AB35" s="38" t="s">
        <v>1092</v>
      </c>
    </row>
    <row r="36" spans="2:28" ht="15" thickBot="1">
      <c r="B36" s="40">
        <f t="shared" si="2"/>
        <v>26</v>
      </c>
      <c r="C36" s="40">
        <v>1</v>
      </c>
      <c r="D36" s="40" t="s">
        <v>1094</v>
      </c>
      <c r="E36" s="40" t="s">
        <v>91</v>
      </c>
      <c r="F36" s="40" t="s">
        <v>480</v>
      </c>
      <c r="G36" s="40" t="s">
        <v>1049</v>
      </c>
      <c r="H36" s="40" t="s">
        <v>452</v>
      </c>
      <c r="I36" s="42">
        <v>0</v>
      </c>
      <c r="J36" s="42">
        <v>0</v>
      </c>
      <c r="K36" s="42">
        <v>0</v>
      </c>
      <c r="L36" s="42">
        <v>0</v>
      </c>
      <c r="M36" s="42">
        <v>0</v>
      </c>
      <c r="N36" s="42">
        <v>0</v>
      </c>
      <c r="O36" s="42">
        <v>0</v>
      </c>
      <c r="P36" s="42">
        <v>0</v>
      </c>
      <c r="Q36" s="42">
        <v>0</v>
      </c>
      <c r="R36" s="42">
        <v>0</v>
      </c>
      <c r="S36" s="70">
        <v>0</v>
      </c>
      <c r="T36" s="70">
        <v>0</v>
      </c>
      <c r="U36" s="70">
        <v>4</v>
      </c>
      <c r="V36" s="70">
        <v>3</v>
      </c>
      <c r="W36" s="40" t="s">
        <v>21</v>
      </c>
      <c r="X36" s="40" t="s">
        <v>32</v>
      </c>
      <c r="Y36" s="39" t="s">
        <v>1052</v>
      </c>
      <c r="Z36" s="37" t="s">
        <v>417</v>
      </c>
      <c r="AA36" s="142" t="s">
        <v>1051</v>
      </c>
      <c r="AB36" s="38" t="s">
        <v>1085</v>
      </c>
    </row>
    <row r="37" spans="2:28" ht="15" thickBot="1">
      <c r="B37" s="40">
        <f t="shared" si="2"/>
        <v>27</v>
      </c>
      <c r="C37" s="40">
        <v>1</v>
      </c>
      <c r="D37" s="40" t="s">
        <v>1095</v>
      </c>
      <c r="E37" s="40" t="s">
        <v>91</v>
      </c>
      <c r="F37" s="40" t="s">
        <v>1096</v>
      </c>
      <c r="G37" s="40" t="s">
        <v>1049</v>
      </c>
      <c r="H37" s="40" t="s">
        <v>452</v>
      </c>
      <c r="I37" s="42">
        <v>0</v>
      </c>
      <c r="J37" s="42">
        <v>0</v>
      </c>
      <c r="K37" s="42">
        <v>0</v>
      </c>
      <c r="L37" s="42">
        <v>0</v>
      </c>
      <c r="M37" s="42">
        <v>0</v>
      </c>
      <c r="N37" s="42">
        <v>0</v>
      </c>
      <c r="O37" s="42">
        <v>0</v>
      </c>
      <c r="P37" s="42">
        <v>0</v>
      </c>
      <c r="Q37" s="42">
        <v>0</v>
      </c>
      <c r="R37" s="42">
        <v>0</v>
      </c>
      <c r="S37" s="70">
        <v>0</v>
      </c>
      <c r="T37" s="70">
        <v>0</v>
      </c>
      <c r="U37" s="70">
        <v>4</v>
      </c>
      <c r="V37" s="70">
        <v>3</v>
      </c>
      <c r="W37" s="40" t="s">
        <v>32</v>
      </c>
      <c r="X37" s="40" t="s">
        <v>32</v>
      </c>
      <c r="Y37" s="39" t="s">
        <v>1052</v>
      </c>
      <c r="Z37" s="37" t="s">
        <v>417</v>
      </c>
      <c r="AA37" s="142" t="s">
        <v>1051</v>
      </c>
      <c r="AB37" s="38" t="s">
        <v>1085</v>
      </c>
    </row>
    <row r="38" spans="2:28" ht="15" thickBot="1">
      <c r="B38" s="40">
        <f t="shared" si="2"/>
        <v>28</v>
      </c>
      <c r="C38" s="40">
        <v>1</v>
      </c>
      <c r="D38" s="40" t="s">
        <v>1097</v>
      </c>
      <c r="E38" s="40" t="s">
        <v>91</v>
      </c>
      <c r="F38" s="40" t="s">
        <v>473</v>
      </c>
      <c r="G38" s="40" t="s">
        <v>1049</v>
      </c>
      <c r="H38" s="40" t="s">
        <v>452</v>
      </c>
      <c r="I38" s="42">
        <v>0</v>
      </c>
      <c r="J38" s="42">
        <v>0</v>
      </c>
      <c r="K38" s="42">
        <v>0</v>
      </c>
      <c r="L38" s="42">
        <v>0</v>
      </c>
      <c r="M38" s="42">
        <v>0</v>
      </c>
      <c r="N38" s="42">
        <v>0</v>
      </c>
      <c r="O38" s="42">
        <v>0</v>
      </c>
      <c r="P38" s="42">
        <v>0</v>
      </c>
      <c r="Q38" s="42">
        <v>0</v>
      </c>
      <c r="R38" s="42">
        <v>0</v>
      </c>
      <c r="S38" s="70">
        <v>0</v>
      </c>
      <c r="T38" s="70">
        <v>0</v>
      </c>
      <c r="U38" s="143">
        <v>3</v>
      </c>
      <c r="V38" s="70">
        <v>3</v>
      </c>
      <c r="W38" s="40" t="s">
        <v>21</v>
      </c>
      <c r="X38" s="40" t="s">
        <v>32</v>
      </c>
      <c r="Y38" s="39" t="s">
        <v>1052</v>
      </c>
      <c r="Z38" s="37" t="s">
        <v>417</v>
      </c>
      <c r="AA38" s="142" t="s">
        <v>1051</v>
      </c>
      <c r="AB38" s="38" t="s">
        <v>1085</v>
      </c>
    </row>
    <row r="39" spans="2:28" ht="15" thickBot="1">
      <c r="B39" s="40">
        <f>ROW()-10</f>
        <v>29</v>
      </c>
      <c r="C39" s="40">
        <v>1</v>
      </c>
      <c r="D39" s="40" t="s">
        <v>1098</v>
      </c>
      <c r="E39" s="40" t="s">
        <v>91</v>
      </c>
      <c r="F39" s="40" t="s">
        <v>473</v>
      </c>
      <c r="G39" s="40" t="s">
        <v>1049</v>
      </c>
      <c r="H39" s="40" t="s">
        <v>452</v>
      </c>
      <c r="I39" s="42">
        <v>0</v>
      </c>
      <c r="J39" s="42">
        <v>0</v>
      </c>
      <c r="K39" s="42">
        <v>0</v>
      </c>
      <c r="L39" s="42">
        <v>0</v>
      </c>
      <c r="M39" s="42">
        <v>0</v>
      </c>
      <c r="N39" s="42">
        <v>0</v>
      </c>
      <c r="O39" s="42">
        <v>0</v>
      </c>
      <c r="P39" s="42">
        <v>0</v>
      </c>
      <c r="Q39" s="42">
        <v>0</v>
      </c>
      <c r="R39" s="42">
        <v>0</v>
      </c>
      <c r="S39" s="70">
        <v>0</v>
      </c>
      <c r="T39" s="70">
        <v>0</v>
      </c>
      <c r="U39" s="143">
        <v>3</v>
      </c>
      <c r="V39" s="70">
        <v>3</v>
      </c>
      <c r="W39" s="40" t="s">
        <v>32</v>
      </c>
      <c r="X39" s="40" t="s">
        <v>32</v>
      </c>
      <c r="Y39" s="39" t="s">
        <v>1052</v>
      </c>
      <c r="Z39" s="37" t="s">
        <v>417</v>
      </c>
      <c r="AA39" s="142" t="s">
        <v>1051</v>
      </c>
      <c r="AB39" s="38" t="s">
        <v>1052</v>
      </c>
    </row>
    <row r="40" spans="2:28" ht="15" thickBot="1">
      <c r="B40" s="40">
        <f>ROW()-10</f>
        <v>30</v>
      </c>
      <c r="C40" s="40">
        <v>1</v>
      </c>
      <c r="D40" s="40" t="s">
        <v>1099</v>
      </c>
      <c r="E40" s="40" t="s">
        <v>101</v>
      </c>
      <c r="F40" s="40" t="s">
        <v>102</v>
      </c>
      <c r="G40" s="40" t="s">
        <v>1049</v>
      </c>
      <c r="H40" s="40" t="s">
        <v>452</v>
      </c>
      <c r="I40" s="42">
        <v>0</v>
      </c>
      <c r="J40" s="42">
        <v>0</v>
      </c>
      <c r="K40" s="42">
        <v>0</v>
      </c>
      <c r="L40" s="42">
        <v>0</v>
      </c>
      <c r="M40" s="42">
        <v>0</v>
      </c>
      <c r="N40" s="42">
        <v>0</v>
      </c>
      <c r="O40" s="42">
        <v>0</v>
      </c>
      <c r="P40" s="42">
        <v>0</v>
      </c>
      <c r="Q40" s="42">
        <v>0</v>
      </c>
      <c r="R40" s="42">
        <v>0</v>
      </c>
      <c r="S40" s="70">
        <v>0</v>
      </c>
      <c r="T40" s="70">
        <v>0</v>
      </c>
      <c r="U40" s="143">
        <v>3</v>
      </c>
      <c r="V40" s="70">
        <v>3</v>
      </c>
      <c r="W40" s="40" t="s">
        <v>21</v>
      </c>
      <c r="X40" s="40" t="s">
        <v>21</v>
      </c>
      <c r="Y40" s="39" t="s">
        <v>1052</v>
      </c>
      <c r="Z40" s="37" t="s">
        <v>417</v>
      </c>
      <c r="AA40" s="142" t="s">
        <v>1051</v>
      </c>
      <c r="AB40" s="38" t="s">
        <v>1052</v>
      </c>
    </row>
    <row r="41" spans="2:28">
      <c r="B41" s="40">
        <f>ROW()-10</f>
        <v>31</v>
      </c>
      <c r="C41" s="40">
        <v>1</v>
      </c>
      <c r="D41" s="40" t="s">
        <v>1100</v>
      </c>
      <c r="E41" s="40" t="s">
        <v>101</v>
      </c>
      <c r="F41" s="40" t="s">
        <v>104</v>
      </c>
      <c r="G41" s="40" t="s">
        <v>1049</v>
      </c>
      <c r="H41" s="40" t="s">
        <v>452</v>
      </c>
      <c r="I41" s="42">
        <v>0</v>
      </c>
      <c r="J41" s="42">
        <v>0</v>
      </c>
      <c r="K41" s="42">
        <v>0</v>
      </c>
      <c r="L41" s="42">
        <v>0</v>
      </c>
      <c r="M41" s="42">
        <v>0</v>
      </c>
      <c r="N41" s="42">
        <v>0</v>
      </c>
      <c r="O41" s="42">
        <v>0</v>
      </c>
      <c r="P41" s="42">
        <v>0</v>
      </c>
      <c r="Q41" s="42">
        <v>0</v>
      </c>
      <c r="R41" s="42">
        <v>0</v>
      </c>
      <c r="S41" s="70">
        <v>0</v>
      </c>
      <c r="T41" s="70">
        <v>0</v>
      </c>
      <c r="U41" s="143">
        <v>3</v>
      </c>
      <c r="V41" s="70">
        <v>3</v>
      </c>
      <c r="W41" s="40" t="s">
        <v>21</v>
      </c>
      <c r="X41" s="40" t="s">
        <v>21</v>
      </c>
      <c r="Y41" s="39" t="s">
        <v>1052</v>
      </c>
      <c r="Z41" s="37" t="s">
        <v>417</v>
      </c>
      <c r="AA41" s="142" t="s">
        <v>1051</v>
      </c>
      <c r="AB41" s="38" t="s">
        <v>1052</v>
      </c>
    </row>
  </sheetData>
  <mergeCells count="7">
    <mergeCell ref="D4:G7"/>
    <mergeCell ref="M1:O1"/>
    <mergeCell ref="M2:O2"/>
    <mergeCell ref="M3:O3"/>
    <mergeCell ref="M4:O4"/>
    <mergeCell ref="M5:O5"/>
    <mergeCell ref="M6:O6"/>
  </mergeCells>
  <conditionalFormatting sqref="I25:R25 I12:R22 S12:T30 U11:V41 I11:T11">
    <cfRule type="containsBlanks" dxfId="732" priority="124">
      <formula>LEN(TRIM(I11))=0</formula>
    </cfRule>
    <cfRule type="cellIs" dxfId="731" priority="125" operator="equal">
      <formula>0</formula>
    </cfRule>
    <cfRule type="cellIs" dxfId="730" priority="126" operator="equal">
      <formula>1</formula>
    </cfRule>
    <cfRule type="cellIs" dxfId="729" priority="127" operator="equal">
      <formula>2</formula>
    </cfRule>
    <cfRule type="cellIs" dxfId="728" priority="128" operator="equal">
      <formula>3</formula>
    </cfRule>
    <cfRule type="cellIs" dxfId="727" priority="129" operator="equal">
      <formula>4</formula>
    </cfRule>
  </conditionalFormatting>
  <conditionalFormatting sqref="Y22:AA22 W11:AA21 W25:AA25">
    <cfRule type="containsBlanks" dxfId="726" priority="2644" stopIfTrue="1">
      <formula>LEN(TRIM(W11))=0</formula>
    </cfRule>
    <cfRule type="containsText" dxfId="725" priority="2645" operator="containsText" text="NO">
      <formula>NOT(ISERROR(SEARCH("NO",W11)))</formula>
    </cfRule>
    <cfRule type="containsText" dxfId="724" priority="2646" operator="containsText" text="YES">
      <formula>NOT(ISERROR(SEARCH("YES",W11)))</formula>
    </cfRule>
  </conditionalFormatting>
  <conditionalFormatting sqref="I23:R23">
    <cfRule type="containsBlanks" dxfId="723" priority="100">
      <formula>LEN(TRIM(I23))=0</formula>
    </cfRule>
    <cfRule type="cellIs" dxfId="722" priority="101" operator="equal">
      <formula>0</formula>
    </cfRule>
    <cfRule type="cellIs" dxfId="721" priority="102" operator="equal">
      <formula>1</formula>
    </cfRule>
    <cfRule type="cellIs" dxfId="720" priority="103" operator="equal">
      <formula>2</formula>
    </cfRule>
    <cfRule type="cellIs" dxfId="719" priority="104" operator="equal">
      <formula>3</formula>
    </cfRule>
    <cfRule type="cellIs" dxfId="718" priority="105" operator="equal">
      <formula>4</formula>
    </cfRule>
  </conditionalFormatting>
  <conditionalFormatting sqref="Y23:AA23 AA23:AA24">
    <cfRule type="containsBlanks" dxfId="717" priority="106" stopIfTrue="1">
      <formula>LEN(TRIM(Y23))=0</formula>
    </cfRule>
    <cfRule type="containsText" dxfId="716" priority="107" operator="containsText" text="NO">
      <formula>NOT(ISERROR(SEARCH("NO",Y23)))</formula>
    </cfRule>
    <cfRule type="containsText" dxfId="715" priority="108" operator="containsText" text="YES">
      <formula>NOT(ISERROR(SEARCH("YES",Y23)))</formula>
    </cfRule>
  </conditionalFormatting>
  <conditionalFormatting sqref="I24:R24">
    <cfRule type="containsBlanks" dxfId="714" priority="91">
      <formula>LEN(TRIM(I24))=0</formula>
    </cfRule>
    <cfRule type="cellIs" dxfId="713" priority="92" operator="equal">
      <formula>0</formula>
    </cfRule>
    <cfRule type="cellIs" dxfId="712" priority="93" operator="equal">
      <formula>1</formula>
    </cfRule>
    <cfRule type="cellIs" dxfId="711" priority="94" operator="equal">
      <formula>2</formula>
    </cfRule>
    <cfRule type="cellIs" dxfId="710" priority="95" operator="equal">
      <formula>3</formula>
    </cfRule>
    <cfRule type="cellIs" dxfId="709" priority="96" operator="equal">
      <formula>4</formula>
    </cfRule>
  </conditionalFormatting>
  <conditionalFormatting sqref="Y24:AA24">
    <cfRule type="containsBlanks" dxfId="708" priority="97" stopIfTrue="1">
      <formula>LEN(TRIM(Y24))=0</formula>
    </cfRule>
    <cfRule type="containsText" dxfId="707" priority="98" operator="containsText" text="NO">
      <formula>NOT(ISERROR(SEARCH("NO",Y24)))</formula>
    </cfRule>
    <cfRule type="containsText" dxfId="706" priority="99" operator="containsText" text="YES">
      <formula>NOT(ISERROR(SEARCH("YES",Y24)))</formula>
    </cfRule>
  </conditionalFormatting>
  <conditionalFormatting sqref="I26:R26">
    <cfRule type="containsBlanks" dxfId="705" priority="82">
      <formula>LEN(TRIM(I26))=0</formula>
    </cfRule>
    <cfRule type="cellIs" dxfId="704" priority="83" operator="equal">
      <formula>0</formula>
    </cfRule>
    <cfRule type="cellIs" dxfId="703" priority="84" operator="equal">
      <formula>1</formula>
    </cfRule>
    <cfRule type="cellIs" dxfId="702" priority="85" operator="equal">
      <formula>2</formula>
    </cfRule>
    <cfRule type="cellIs" dxfId="701" priority="86" operator="equal">
      <formula>3</formula>
    </cfRule>
    <cfRule type="cellIs" dxfId="700" priority="87" operator="equal">
      <formula>4</formula>
    </cfRule>
  </conditionalFormatting>
  <conditionalFormatting sqref="Y26:AA26">
    <cfRule type="containsBlanks" dxfId="699" priority="88" stopIfTrue="1">
      <formula>LEN(TRIM(Y26))=0</formula>
    </cfRule>
    <cfRule type="containsText" dxfId="698" priority="89" operator="containsText" text="NO">
      <formula>NOT(ISERROR(SEARCH("NO",Y26)))</formula>
    </cfRule>
    <cfRule type="containsText" dxfId="697" priority="90" operator="containsText" text="YES">
      <formula>NOT(ISERROR(SEARCH("YES",Y26)))</formula>
    </cfRule>
  </conditionalFormatting>
  <conditionalFormatting sqref="I27:R27">
    <cfRule type="containsBlanks" dxfId="696" priority="73">
      <formula>LEN(TRIM(I27))=0</formula>
    </cfRule>
    <cfRule type="cellIs" dxfId="695" priority="74" operator="equal">
      <formula>0</formula>
    </cfRule>
    <cfRule type="cellIs" dxfId="694" priority="75" operator="equal">
      <formula>1</formula>
    </cfRule>
    <cfRule type="cellIs" dxfId="693" priority="76" operator="equal">
      <formula>2</formula>
    </cfRule>
    <cfRule type="cellIs" dxfId="692" priority="77" operator="equal">
      <formula>3</formula>
    </cfRule>
    <cfRule type="cellIs" dxfId="691" priority="78" operator="equal">
      <formula>4</formula>
    </cfRule>
  </conditionalFormatting>
  <conditionalFormatting sqref="Y27:AA27">
    <cfRule type="containsBlanks" dxfId="690" priority="79" stopIfTrue="1">
      <formula>LEN(TRIM(Y27))=0</formula>
    </cfRule>
    <cfRule type="containsText" dxfId="689" priority="80" operator="containsText" text="NO">
      <formula>NOT(ISERROR(SEARCH("NO",Y27)))</formula>
    </cfRule>
    <cfRule type="containsText" dxfId="688" priority="81" operator="containsText" text="YES">
      <formula>NOT(ISERROR(SEARCH("YES",Y27)))</formula>
    </cfRule>
  </conditionalFormatting>
  <conditionalFormatting sqref="I29:R29">
    <cfRule type="containsBlanks" dxfId="687" priority="64">
      <formula>LEN(TRIM(I29))=0</formula>
    </cfRule>
    <cfRule type="cellIs" dxfId="686" priority="65" operator="equal">
      <formula>0</formula>
    </cfRule>
    <cfRule type="cellIs" dxfId="685" priority="66" operator="equal">
      <formula>1</formula>
    </cfRule>
    <cfRule type="cellIs" dxfId="684" priority="67" operator="equal">
      <formula>2</formula>
    </cfRule>
    <cfRule type="cellIs" dxfId="683" priority="68" operator="equal">
      <formula>3</formula>
    </cfRule>
    <cfRule type="cellIs" dxfId="682" priority="69" operator="equal">
      <formula>4</formula>
    </cfRule>
  </conditionalFormatting>
  <conditionalFormatting sqref="Y29:Z29">
    <cfRule type="containsBlanks" dxfId="681" priority="70" stopIfTrue="1">
      <formula>LEN(TRIM(Y29))=0</formula>
    </cfRule>
    <cfRule type="containsText" dxfId="680" priority="71" operator="containsText" text="NO">
      <formula>NOT(ISERROR(SEARCH("NO",Y29)))</formula>
    </cfRule>
    <cfRule type="containsText" dxfId="679" priority="72" operator="containsText" text="YES">
      <formula>NOT(ISERROR(SEARCH("YES",Y29)))</formula>
    </cfRule>
  </conditionalFormatting>
  <conditionalFormatting sqref="I28:R28">
    <cfRule type="containsBlanks" dxfId="678" priority="55">
      <formula>LEN(TRIM(I28))=0</formula>
    </cfRule>
    <cfRule type="cellIs" dxfId="677" priority="56" operator="equal">
      <formula>0</formula>
    </cfRule>
    <cfRule type="cellIs" dxfId="676" priority="57" operator="equal">
      <formula>1</formula>
    </cfRule>
    <cfRule type="cellIs" dxfId="675" priority="58" operator="equal">
      <formula>2</formula>
    </cfRule>
    <cfRule type="cellIs" dxfId="674" priority="59" operator="equal">
      <formula>3</formula>
    </cfRule>
    <cfRule type="cellIs" dxfId="673" priority="60" operator="equal">
      <formula>4</formula>
    </cfRule>
  </conditionalFormatting>
  <conditionalFormatting sqref="W28:Z28">
    <cfRule type="containsBlanks" dxfId="672" priority="61" stopIfTrue="1">
      <formula>LEN(TRIM(W28))=0</formula>
    </cfRule>
    <cfRule type="containsText" dxfId="671" priority="62" operator="containsText" text="NO">
      <formula>NOT(ISERROR(SEARCH("NO",W28)))</formula>
    </cfRule>
    <cfRule type="containsText" dxfId="670" priority="63" operator="containsText" text="YES">
      <formula>NOT(ISERROR(SEARCH("YES",W28)))</formula>
    </cfRule>
  </conditionalFormatting>
  <conditionalFormatting sqref="W29">
    <cfRule type="containsBlanks" dxfId="669" priority="52" stopIfTrue="1">
      <formula>LEN(TRIM(W29))=0</formula>
    </cfRule>
    <cfRule type="containsText" dxfId="668" priority="53" operator="containsText" text="NO">
      <formula>NOT(ISERROR(SEARCH("NO",W29)))</formula>
    </cfRule>
    <cfRule type="containsText" dxfId="667" priority="54" operator="containsText" text="YES">
      <formula>NOT(ISERROR(SEARCH("YES",W29)))</formula>
    </cfRule>
  </conditionalFormatting>
  <conditionalFormatting sqref="X29">
    <cfRule type="containsBlanks" dxfId="666" priority="49" stopIfTrue="1">
      <formula>LEN(TRIM(X29))=0</formula>
    </cfRule>
    <cfRule type="containsText" dxfId="665" priority="50" operator="containsText" text="NO">
      <formula>NOT(ISERROR(SEARCH("NO",X29)))</formula>
    </cfRule>
    <cfRule type="containsText" dxfId="664" priority="51" operator="containsText" text="YES">
      <formula>NOT(ISERROR(SEARCH("YES",X29)))</formula>
    </cfRule>
  </conditionalFormatting>
  <conditionalFormatting sqref="W27">
    <cfRule type="containsBlanks" dxfId="663" priority="46" stopIfTrue="1">
      <formula>LEN(TRIM(W27))=0</formula>
    </cfRule>
    <cfRule type="containsText" dxfId="662" priority="47" operator="containsText" text="NO">
      <formula>NOT(ISERROR(SEARCH("NO",W27)))</formula>
    </cfRule>
    <cfRule type="containsText" dxfId="661" priority="48" operator="containsText" text="YES">
      <formula>NOT(ISERROR(SEARCH("YES",W27)))</formula>
    </cfRule>
  </conditionalFormatting>
  <conditionalFormatting sqref="X27">
    <cfRule type="containsBlanks" dxfId="660" priority="43" stopIfTrue="1">
      <formula>LEN(TRIM(X27))=0</formula>
    </cfRule>
    <cfRule type="containsText" dxfId="659" priority="44" operator="containsText" text="NO">
      <formula>NOT(ISERROR(SEARCH("NO",X27)))</formula>
    </cfRule>
    <cfRule type="containsText" dxfId="658" priority="45" operator="containsText" text="YES">
      <formula>NOT(ISERROR(SEARCH("YES",X27)))</formula>
    </cfRule>
  </conditionalFormatting>
  <conditionalFormatting sqref="W26">
    <cfRule type="containsBlanks" dxfId="657" priority="40" stopIfTrue="1">
      <formula>LEN(TRIM(W26))=0</formula>
    </cfRule>
    <cfRule type="containsText" dxfId="656" priority="41" operator="containsText" text="NO">
      <formula>NOT(ISERROR(SEARCH("NO",W26)))</formula>
    </cfRule>
    <cfRule type="containsText" dxfId="655" priority="42" operator="containsText" text="YES">
      <formula>NOT(ISERROR(SEARCH("YES",W26)))</formula>
    </cfRule>
  </conditionalFormatting>
  <conditionalFormatting sqref="X26">
    <cfRule type="containsBlanks" dxfId="654" priority="37" stopIfTrue="1">
      <formula>LEN(TRIM(X26))=0</formula>
    </cfRule>
    <cfRule type="containsText" dxfId="653" priority="38" operator="containsText" text="NO">
      <formula>NOT(ISERROR(SEARCH("NO",X26)))</formula>
    </cfRule>
    <cfRule type="containsText" dxfId="652" priority="39" operator="containsText" text="YES">
      <formula>NOT(ISERROR(SEARCH("YES",X26)))</formula>
    </cfRule>
  </conditionalFormatting>
  <conditionalFormatting sqref="W24">
    <cfRule type="containsBlanks" dxfId="651" priority="34" stopIfTrue="1">
      <formula>LEN(TRIM(W24))=0</formula>
    </cfRule>
    <cfRule type="containsText" dxfId="650" priority="35" operator="containsText" text="NO">
      <formula>NOT(ISERROR(SEARCH("NO",W24)))</formula>
    </cfRule>
    <cfRule type="containsText" dxfId="649" priority="36" operator="containsText" text="YES">
      <formula>NOT(ISERROR(SEARCH("YES",W24)))</formula>
    </cfRule>
  </conditionalFormatting>
  <conditionalFormatting sqref="X24">
    <cfRule type="containsBlanks" dxfId="648" priority="31" stopIfTrue="1">
      <formula>LEN(TRIM(X24))=0</formula>
    </cfRule>
    <cfRule type="containsText" dxfId="647" priority="32" operator="containsText" text="NO">
      <formula>NOT(ISERROR(SEARCH("NO",X24)))</formula>
    </cfRule>
    <cfRule type="containsText" dxfId="646" priority="33" operator="containsText" text="YES">
      <formula>NOT(ISERROR(SEARCH("YES",X24)))</formula>
    </cfRule>
  </conditionalFormatting>
  <conditionalFormatting sqref="W23">
    <cfRule type="containsBlanks" dxfId="645" priority="28" stopIfTrue="1">
      <formula>LEN(TRIM(W23))=0</formula>
    </cfRule>
    <cfRule type="containsText" dxfId="644" priority="29" operator="containsText" text="NO">
      <formula>NOT(ISERROR(SEARCH("NO",W23)))</formula>
    </cfRule>
    <cfRule type="containsText" dxfId="643" priority="30" operator="containsText" text="YES">
      <formula>NOT(ISERROR(SEARCH("YES",W23)))</formula>
    </cfRule>
  </conditionalFormatting>
  <conditionalFormatting sqref="X23">
    <cfRule type="containsBlanks" dxfId="642" priority="25" stopIfTrue="1">
      <formula>LEN(TRIM(X23))=0</formula>
    </cfRule>
    <cfRule type="containsText" dxfId="641" priority="26" operator="containsText" text="NO">
      <formula>NOT(ISERROR(SEARCH("NO",X23)))</formula>
    </cfRule>
    <cfRule type="containsText" dxfId="640" priority="27" operator="containsText" text="YES">
      <formula>NOT(ISERROR(SEARCH("YES",X23)))</formula>
    </cfRule>
  </conditionalFormatting>
  <conditionalFormatting sqref="W22">
    <cfRule type="containsBlanks" dxfId="639" priority="22" stopIfTrue="1">
      <formula>LEN(TRIM(W22))=0</formula>
    </cfRule>
    <cfRule type="containsText" dxfId="638" priority="23" operator="containsText" text="NO">
      <formula>NOT(ISERROR(SEARCH("NO",W22)))</formula>
    </cfRule>
    <cfRule type="containsText" dxfId="637" priority="24" operator="containsText" text="YES">
      <formula>NOT(ISERROR(SEARCH("YES",W22)))</formula>
    </cfRule>
  </conditionalFormatting>
  <conditionalFormatting sqref="X22">
    <cfRule type="containsBlanks" dxfId="636" priority="19" stopIfTrue="1">
      <formula>LEN(TRIM(X22))=0</formula>
    </cfRule>
    <cfRule type="containsText" dxfId="635" priority="20" operator="containsText" text="NO">
      <formula>NOT(ISERROR(SEARCH("NO",X22)))</formula>
    </cfRule>
    <cfRule type="containsText" dxfId="634" priority="21" operator="containsText" text="YES">
      <formula>NOT(ISERROR(SEARCH("YES",X22)))</formula>
    </cfRule>
  </conditionalFormatting>
  <conditionalFormatting sqref="I30:R30">
    <cfRule type="containsBlanks" dxfId="633" priority="10">
      <formula>LEN(TRIM(I30))=0</formula>
    </cfRule>
    <cfRule type="cellIs" dxfId="632" priority="11" operator="equal">
      <formula>0</formula>
    </cfRule>
    <cfRule type="cellIs" dxfId="631" priority="12" operator="equal">
      <formula>1</formula>
    </cfRule>
    <cfRule type="cellIs" dxfId="630" priority="13" operator="equal">
      <formula>2</formula>
    </cfRule>
    <cfRule type="cellIs" dxfId="629" priority="14" operator="equal">
      <formula>3</formula>
    </cfRule>
    <cfRule type="cellIs" dxfId="628" priority="15" operator="equal">
      <formula>4</formula>
    </cfRule>
  </conditionalFormatting>
  <conditionalFormatting sqref="Y30:Z30">
    <cfRule type="containsBlanks" dxfId="627" priority="16" stopIfTrue="1">
      <formula>LEN(TRIM(Y30))=0</formula>
    </cfRule>
    <cfRule type="containsText" dxfId="626" priority="17" operator="containsText" text="NO">
      <formula>NOT(ISERROR(SEARCH("NO",Y30)))</formula>
    </cfRule>
    <cfRule type="containsText" dxfId="625" priority="18" operator="containsText" text="YES">
      <formula>NOT(ISERROR(SEARCH("YES",Y30)))</formula>
    </cfRule>
  </conditionalFormatting>
  <conditionalFormatting sqref="W30">
    <cfRule type="containsBlanks" dxfId="624" priority="7" stopIfTrue="1">
      <formula>LEN(TRIM(W30))=0</formula>
    </cfRule>
    <cfRule type="containsText" dxfId="623" priority="8" operator="containsText" text="NO">
      <formula>NOT(ISERROR(SEARCH("NO",W30)))</formula>
    </cfRule>
    <cfRule type="containsText" dxfId="622" priority="9" operator="containsText" text="YES">
      <formula>NOT(ISERROR(SEARCH("YES",W30)))</formula>
    </cfRule>
  </conditionalFormatting>
  <conditionalFormatting sqref="X30">
    <cfRule type="containsBlanks" dxfId="621" priority="4" stopIfTrue="1">
      <formula>LEN(TRIM(X30))=0</formula>
    </cfRule>
    <cfRule type="containsText" dxfId="620" priority="5" operator="containsText" text="NO">
      <formula>NOT(ISERROR(SEARCH("NO",X30)))</formula>
    </cfRule>
    <cfRule type="containsText" dxfId="619" priority="6" operator="containsText" text="YES">
      <formula>NOT(ISERROR(SEARCH("YES",X30)))</formula>
    </cfRule>
  </conditionalFormatting>
  <conditionalFormatting sqref="AA28:AA30">
    <cfRule type="containsBlanks" dxfId="618" priority="1" stopIfTrue="1">
      <formula>LEN(TRIM(AA28))=0</formula>
    </cfRule>
    <cfRule type="containsText" dxfId="617" priority="2" operator="containsText" text="NO">
      <formula>NOT(ISERROR(SEARCH("NO",AA28)))</formula>
    </cfRule>
    <cfRule type="containsText" dxfId="616" priority="3" operator="containsText" text="YES">
      <formula>NOT(ISERROR(SEARCH("YES",AA28)))</formula>
    </cfRule>
  </conditionalFormatting>
  <hyperlinks>
    <hyperlink ref="W13" r:id="rId1"/>
    <hyperlink ref="X13" r:id="rId2"/>
    <hyperlink ref="W14" r:id="rId3"/>
    <hyperlink ref="X14" r:id="rId4"/>
    <hyperlink ref="X15" r:id="rId5"/>
    <hyperlink ref="W15" r:id="rId6"/>
    <hyperlink ref="W16" r:id="rId7"/>
    <hyperlink ref="X16" r:id="rId8"/>
    <hyperlink ref="W17" r:id="rId9"/>
    <hyperlink ref="X17" r:id="rId10"/>
    <hyperlink ref="W18" r:id="rId11"/>
    <hyperlink ref="X18" r:id="rId12"/>
    <hyperlink ref="AA20" r:id="rId13"/>
    <hyperlink ref="AA19" r:id="rId14"/>
    <hyperlink ref="AA25" r:id="rId15"/>
  </hyperlinks>
  <pageMargins left="0.7" right="0.7" top="0.75" bottom="0.75" header="0.3" footer="0.3"/>
  <pageSetup paperSize="9" orientation="portrait" r:id="rId16"/>
  <tableParts count="1">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B1:X19"/>
  <sheetViews>
    <sheetView showGridLines="0" workbookViewId="0">
      <selection activeCell="C12" sqref="C12:H19"/>
    </sheetView>
  </sheetViews>
  <sheetFormatPr defaultRowHeight="14.4"/>
  <cols>
    <col min="3" max="3" width="12" customWidth="1"/>
    <col min="16" max="18" width="10.44140625" customWidth="1"/>
    <col min="19" max="19" width="16" customWidth="1"/>
    <col min="20" max="20" width="25.33203125" customWidth="1"/>
    <col min="22" max="22" width="12" customWidth="1"/>
  </cols>
  <sheetData>
    <row r="1" spans="2:24" ht="15" thickBot="1">
      <c r="K1" s="4" t="s">
        <v>0</v>
      </c>
      <c r="L1" s="155" t="s">
        <v>2</v>
      </c>
      <c r="M1" s="156"/>
      <c r="N1" s="156"/>
      <c r="O1" s="25" t="s">
        <v>3</v>
      </c>
      <c r="P1" s="26"/>
      <c r="Q1" s="26"/>
      <c r="R1" s="26"/>
      <c r="S1" s="26"/>
      <c r="T1" s="22"/>
      <c r="U1" s="22"/>
      <c r="V1" s="22"/>
      <c r="W1" s="26"/>
      <c r="X1" s="26"/>
    </row>
    <row r="2" spans="2:24" ht="15" thickBot="1">
      <c r="K2" s="5">
        <v>0</v>
      </c>
      <c r="L2" s="153" t="s">
        <v>5</v>
      </c>
      <c r="M2" s="154"/>
      <c r="N2" s="154"/>
      <c r="O2" s="27" t="s">
        <v>6</v>
      </c>
      <c r="P2" s="28"/>
      <c r="Q2" s="28"/>
      <c r="R2" s="28"/>
      <c r="S2" s="28"/>
      <c r="T2" s="23"/>
      <c r="U2" s="23"/>
      <c r="V2" s="23"/>
      <c r="W2" s="28"/>
      <c r="X2" s="28"/>
    </row>
    <row r="3" spans="2:24" ht="15" thickBot="1">
      <c r="K3" s="6">
        <v>1</v>
      </c>
      <c r="L3" s="151" t="s">
        <v>4</v>
      </c>
      <c r="M3" s="152"/>
      <c r="N3" s="152"/>
      <c r="O3" s="29" t="s">
        <v>7</v>
      </c>
      <c r="P3" s="30"/>
      <c r="Q3" s="30"/>
      <c r="R3" s="30"/>
      <c r="S3" s="30"/>
      <c r="T3" s="24"/>
      <c r="U3" s="24"/>
      <c r="V3" s="24"/>
      <c r="W3" s="30"/>
      <c r="X3" s="30"/>
    </row>
    <row r="4" spans="2:24" ht="15" customHeight="1" thickBot="1">
      <c r="C4" s="157" t="s">
        <v>231</v>
      </c>
      <c r="D4" s="157"/>
      <c r="E4" s="157"/>
      <c r="F4" s="157"/>
      <c r="G4" s="157"/>
      <c r="H4" s="157"/>
      <c r="I4" s="157"/>
      <c r="K4" s="7">
        <v>2</v>
      </c>
      <c r="L4" s="158" t="s">
        <v>1</v>
      </c>
      <c r="M4" s="159"/>
      <c r="N4" s="159"/>
      <c r="O4" s="31" t="s">
        <v>26</v>
      </c>
      <c r="P4" s="32"/>
      <c r="Q4" s="32"/>
      <c r="R4" s="32"/>
      <c r="S4" s="32"/>
      <c r="T4" s="19"/>
      <c r="U4" s="19"/>
      <c r="V4" s="19"/>
      <c r="W4" s="32"/>
      <c r="X4" s="32"/>
    </row>
    <row r="5" spans="2:24" ht="15" customHeight="1" thickBot="1">
      <c r="C5" s="157"/>
      <c r="D5" s="157"/>
      <c r="E5" s="157"/>
      <c r="F5" s="157"/>
      <c r="G5" s="157"/>
      <c r="H5" s="157"/>
      <c r="I5" s="157"/>
      <c r="K5" s="8">
        <v>3</v>
      </c>
      <c r="L5" s="160" t="s">
        <v>8</v>
      </c>
      <c r="M5" s="161"/>
      <c r="N5" s="161"/>
      <c r="O5" s="33" t="s">
        <v>24</v>
      </c>
      <c r="P5" s="34"/>
      <c r="Q5" s="34"/>
      <c r="R5" s="34"/>
      <c r="S5" s="34"/>
      <c r="T5" s="20"/>
      <c r="U5" s="20"/>
      <c r="V5" s="20"/>
      <c r="W5" s="34"/>
      <c r="X5" s="34"/>
    </row>
    <row r="6" spans="2:24" ht="15" customHeight="1" thickBot="1">
      <c r="C6" s="157"/>
      <c r="D6" s="157"/>
      <c r="E6" s="157"/>
      <c r="F6" s="157"/>
      <c r="G6" s="157"/>
      <c r="H6" s="157"/>
      <c r="I6" s="157"/>
      <c r="K6" s="9">
        <v>4</v>
      </c>
      <c r="L6" s="162" t="s">
        <v>9</v>
      </c>
      <c r="M6" s="163"/>
      <c r="N6" s="163"/>
      <c r="O6" s="35" t="s">
        <v>25</v>
      </c>
      <c r="P6" s="36"/>
      <c r="Q6" s="36"/>
      <c r="R6" s="36"/>
      <c r="S6" s="36"/>
      <c r="T6" s="21"/>
      <c r="U6" s="21"/>
      <c r="V6" s="21"/>
      <c r="W6" s="36"/>
      <c r="X6" s="36"/>
    </row>
    <row r="7" spans="2:24" ht="14.4" customHeight="1">
      <c r="C7" s="157"/>
      <c r="D7" s="157"/>
      <c r="E7" s="157"/>
      <c r="F7" s="157"/>
      <c r="G7" s="157"/>
      <c r="H7" s="157"/>
      <c r="I7" s="157"/>
    </row>
    <row r="11" spans="2:24" ht="15" thickBot="1">
      <c r="B11" s="89" t="s">
        <v>18</v>
      </c>
      <c r="C11" s="90" t="s">
        <v>229</v>
      </c>
      <c r="D11" s="90" t="s">
        <v>312</v>
      </c>
      <c r="E11" s="90" t="s">
        <v>11</v>
      </c>
      <c r="F11" s="90" t="s">
        <v>12</v>
      </c>
      <c r="G11" s="90" t="s">
        <v>13</v>
      </c>
      <c r="H11" s="90" t="s">
        <v>94</v>
      </c>
      <c r="I11" s="90" t="s">
        <v>55</v>
      </c>
      <c r="J11" s="90" t="s">
        <v>61</v>
      </c>
      <c r="K11" s="90" t="s">
        <v>62</v>
      </c>
      <c r="L11" s="90" t="s">
        <v>143</v>
      </c>
      <c r="M11" s="90" t="s">
        <v>165</v>
      </c>
      <c r="N11" s="90" t="s">
        <v>170</v>
      </c>
      <c r="O11" s="90" t="s">
        <v>486</v>
      </c>
      <c r="P11" s="90" t="s">
        <v>330</v>
      </c>
      <c r="Q11" s="90" t="s">
        <v>340</v>
      </c>
      <c r="R11" s="90" t="s">
        <v>502</v>
      </c>
      <c r="S11" s="90" t="s">
        <v>17</v>
      </c>
      <c r="T11" s="90" t="s">
        <v>152</v>
      </c>
      <c r="U11" s="90" t="s">
        <v>537</v>
      </c>
      <c r="V11" s="94" t="s">
        <v>27</v>
      </c>
    </row>
    <row r="12" spans="2:24" ht="15" thickBot="1">
      <c r="B12" s="88">
        <v>1</v>
      </c>
      <c r="C12" s="77" t="s">
        <v>548</v>
      </c>
      <c r="D12" s="82">
        <v>0</v>
      </c>
      <c r="E12" s="82">
        <v>0</v>
      </c>
      <c r="F12" s="82">
        <v>0</v>
      </c>
      <c r="G12" s="82">
        <v>0</v>
      </c>
      <c r="H12" s="82">
        <v>0</v>
      </c>
      <c r="I12" s="82">
        <v>0</v>
      </c>
      <c r="J12" s="82">
        <v>0</v>
      </c>
      <c r="K12" s="82">
        <v>0</v>
      </c>
      <c r="L12" s="82">
        <v>0</v>
      </c>
      <c r="M12" s="82">
        <v>0</v>
      </c>
      <c r="N12" s="82">
        <v>0</v>
      </c>
      <c r="O12" s="76">
        <v>0</v>
      </c>
      <c r="P12" s="76">
        <v>0</v>
      </c>
      <c r="Q12" s="76">
        <v>0</v>
      </c>
      <c r="R12" s="76">
        <v>0</v>
      </c>
      <c r="S12" s="77"/>
      <c r="T12" s="77"/>
      <c r="U12" s="79"/>
      <c r="V12" s="93"/>
    </row>
    <row r="13" spans="2:24" ht="15" thickBot="1">
      <c r="B13" s="91">
        <v>2</v>
      </c>
      <c r="C13" s="92" t="s">
        <v>539</v>
      </c>
      <c r="D13" s="82">
        <v>0</v>
      </c>
      <c r="E13" s="82">
        <v>0</v>
      </c>
      <c r="F13" s="82">
        <v>0</v>
      </c>
      <c r="G13" s="82">
        <v>0</v>
      </c>
      <c r="H13" s="82">
        <v>0</v>
      </c>
      <c r="I13" s="82">
        <v>0</v>
      </c>
      <c r="J13" s="82">
        <v>0</v>
      </c>
      <c r="K13" s="82">
        <v>0</v>
      </c>
      <c r="L13" s="82">
        <v>0</v>
      </c>
      <c r="M13" s="82">
        <v>0</v>
      </c>
      <c r="N13" s="82">
        <v>0</v>
      </c>
      <c r="O13" s="76">
        <v>0</v>
      </c>
      <c r="P13" s="76">
        <v>0</v>
      </c>
      <c r="Q13" s="76">
        <v>0</v>
      </c>
      <c r="R13" s="76">
        <v>0</v>
      </c>
      <c r="S13" s="92"/>
      <c r="T13" s="92"/>
      <c r="U13" s="95"/>
      <c r="V13" s="96"/>
    </row>
    <row r="14" spans="2:24" ht="15" thickBot="1">
      <c r="B14" s="88">
        <v>3</v>
      </c>
      <c r="C14" s="77" t="s">
        <v>540</v>
      </c>
      <c r="D14" s="82">
        <v>0</v>
      </c>
      <c r="E14" s="82">
        <v>0</v>
      </c>
      <c r="F14" s="82">
        <v>0</v>
      </c>
      <c r="G14" s="82">
        <v>0</v>
      </c>
      <c r="H14" s="82">
        <v>0</v>
      </c>
      <c r="I14" s="82">
        <v>0</v>
      </c>
      <c r="J14" s="82">
        <v>0</v>
      </c>
      <c r="K14" s="82">
        <v>0</v>
      </c>
      <c r="L14" s="82">
        <v>0</v>
      </c>
      <c r="M14" s="82">
        <v>0</v>
      </c>
      <c r="N14" s="82">
        <v>0</v>
      </c>
      <c r="O14" s="76">
        <v>0</v>
      </c>
      <c r="P14" s="76">
        <v>0</v>
      </c>
      <c r="Q14" s="76">
        <v>0</v>
      </c>
      <c r="R14" s="76">
        <v>0</v>
      </c>
      <c r="U14" s="79"/>
    </row>
    <row r="15" spans="2:24" ht="15" thickBot="1">
      <c r="B15" s="91">
        <v>4</v>
      </c>
      <c r="C15" s="92" t="s">
        <v>541</v>
      </c>
      <c r="D15" s="82">
        <v>0</v>
      </c>
      <c r="E15" s="82">
        <v>0</v>
      </c>
      <c r="F15" s="82">
        <v>0</v>
      </c>
      <c r="G15" s="82">
        <v>0</v>
      </c>
      <c r="H15" s="82">
        <v>0</v>
      </c>
      <c r="I15" s="82">
        <v>0</v>
      </c>
      <c r="J15" s="82">
        <v>0</v>
      </c>
      <c r="K15" s="82">
        <v>0</v>
      </c>
      <c r="L15" s="82">
        <v>0</v>
      </c>
      <c r="M15" s="82">
        <v>0</v>
      </c>
      <c r="N15" s="82">
        <v>0</v>
      </c>
      <c r="O15" s="76">
        <v>0</v>
      </c>
      <c r="P15" s="76">
        <v>0</v>
      </c>
      <c r="Q15" s="76">
        <v>0</v>
      </c>
      <c r="R15" s="76">
        <v>0</v>
      </c>
      <c r="U15" s="79"/>
    </row>
    <row r="16" spans="2:24" ht="15" thickBot="1">
      <c r="B16" s="88">
        <v>5</v>
      </c>
      <c r="C16" s="77" t="s">
        <v>542</v>
      </c>
      <c r="D16" s="82">
        <v>0</v>
      </c>
      <c r="E16" s="82">
        <v>0</v>
      </c>
      <c r="F16" s="82">
        <v>0</v>
      </c>
      <c r="G16" s="82">
        <v>0</v>
      </c>
      <c r="H16" s="82">
        <v>0</v>
      </c>
      <c r="I16" s="82">
        <v>0</v>
      </c>
      <c r="J16" s="82">
        <v>0</v>
      </c>
      <c r="K16" s="82">
        <v>0</v>
      </c>
      <c r="L16" s="82">
        <v>0</v>
      </c>
      <c r="M16" s="82">
        <v>0</v>
      </c>
      <c r="N16" s="82">
        <v>0</v>
      </c>
      <c r="O16" s="76">
        <v>0</v>
      </c>
      <c r="P16" s="76">
        <v>0</v>
      </c>
      <c r="Q16" s="76">
        <v>0</v>
      </c>
      <c r="R16" s="76">
        <v>0</v>
      </c>
      <c r="U16" s="79"/>
    </row>
    <row r="17" spans="2:22" ht="15" thickBot="1">
      <c r="B17" s="91">
        <v>6</v>
      </c>
      <c r="C17" s="92" t="s">
        <v>549</v>
      </c>
      <c r="D17" s="82">
        <v>0</v>
      </c>
      <c r="E17" s="82">
        <v>0</v>
      </c>
      <c r="F17" s="82">
        <v>0</v>
      </c>
      <c r="G17" s="82">
        <v>0</v>
      </c>
      <c r="H17" s="82">
        <v>0</v>
      </c>
      <c r="I17" s="82">
        <v>0</v>
      </c>
      <c r="J17" s="82">
        <v>0</v>
      </c>
      <c r="K17" s="82">
        <v>0</v>
      </c>
      <c r="L17" s="82">
        <v>0</v>
      </c>
      <c r="M17" s="82">
        <v>0</v>
      </c>
      <c r="N17" s="82">
        <v>0</v>
      </c>
      <c r="O17" s="76">
        <v>0</v>
      </c>
      <c r="P17" s="76">
        <v>0</v>
      </c>
      <c r="Q17" s="76">
        <v>0</v>
      </c>
      <c r="R17" s="76">
        <v>0</v>
      </c>
      <c r="U17" s="79"/>
    </row>
    <row r="18" spans="2:22" ht="15" thickBot="1">
      <c r="B18" s="88">
        <v>7</v>
      </c>
      <c r="C18" s="77" t="s">
        <v>536</v>
      </c>
      <c r="D18" s="82">
        <v>0</v>
      </c>
      <c r="E18" s="82">
        <v>0</v>
      </c>
      <c r="F18" s="82">
        <v>0</v>
      </c>
      <c r="G18" s="82">
        <v>0</v>
      </c>
      <c r="H18" s="82">
        <v>0</v>
      </c>
      <c r="I18" s="82">
        <v>0</v>
      </c>
      <c r="J18" s="82">
        <v>0</v>
      </c>
      <c r="K18" s="82">
        <v>0</v>
      </c>
      <c r="L18" s="82">
        <v>0</v>
      </c>
      <c r="M18" s="82">
        <v>0</v>
      </c>
      <c r="N18" s="82">
        <v>0</v>
      </c>
      <c r="O18" s="76">
        <v>0</v>
      </c>
      <c r="P18" s="76">
        <v>0</v>
      </c>
      <c r="Q18" s="76">
        <v>0</v>
      </c>
      <c r="R18" s="76">
        <v>0</v>
      </c>
      <c r="U18" s="79"/>
    </row>
    <row r="19" spans="2:22">
      <c r="B19" s="91">
        <v>8</v>
      </c>
      <c r="C19" s="92" t="s">
        <v>550</v>
      </c>
      <c r="D19" s="82">
        <v>0</v>
      </c>
      <c r="E19" s="82">
        <v>0</v>
      </c>
      <c r="F19" s="82">
        <v>0</v>
      </c>
      <c r="G19" s="82">
        <v>0</v>
      </c>
      <c r="H19" s="82">
        <v>0</v>
      </c>
      <c r="I19" s="82">
        <v>0</v>
      </c>
      <c r="J19" s="82">
        <v>0</v>
      </c>
      <c r="K19" s="82">
        <v>0</v>
      </c>
      <c r="L19" s="82">
        <v>0</v>
      </c>
      <c r="M19" s="82">
        <v>0</v>
      </c>
      <c r="N19" s="82">
        <v>0</v>
      </c>
      <c r="O19" s="76">
        <v>0</v>
      </c>
      <c r="P19" s="76">
        <v>0</v>
      </c>
      <c r="Q19" s="76">
        <v>0</v>
      </c>
      <c r="R19" s="76">
        <v>0</v>
      </c>
      <c r="S19" s="97"/>
      <c r="T19" s="97"/>
      <c r="U19" s="95"/>
      <c r="V19" s="97"/>
    </row>
  </sheetData>
  <mergeCells count="7">
    <mergeCell ref="L6:N6"/>
    <mergeCell ref="C4:I7"/>
    <mergeCell ref="L1:N1"/>
    <mergeCell ref="L2:N2"/>
    <mergeCell ref="L3:N3"/>
    <mergeCell ref="L4:N4"/>
    <mergeCell ref="L5:N5"/>
  </mergeCells>
  <conditionalFormatting sqref="D12:R19">
    <cfRule type="containsBlanks" dxfId="615" priority="1">
      <formula>LEN(TRIM(D12))=0</formula>
    </cfRule>
    <cfRule type="cellIs" dxfId="614" priority="2" operator="equal">
      <formula>0</formula>
    </cfRule>
    <cfRule type="cellIs" dxfId="613" priority="3" operator="equal">
      <formula>1</formula>
    </cfRule>
    <cfRule type="cellIs" dxfId="612" priority="4" operator="equal">
      <formula>2</formula>
    </cfRule>
    <cfRule type="cellIs" dxfId="611" priority="5" operator="equal">
      <formula>3</formula>
    </cfRule>
    <cfRule type="cellIs" dxfId="610" priority="6" operator="equal">
      <formula>4</formula>
    </cfRule>
  </conditionalFormatting>
  <conditionalFormatting sqref="S12:U19">
    <cfRule type="containsBlanks" dxfId="609" priority="7" stopIfTrue="1">
      <formula>LEN(TRIM(S12))=0</formula>
    </cfRule>
    <cfRule type="containsText" dxfId="608" priority="8" operator="containsText" text="NO">
      <formula>NOT(ISERROR(SEARCH("NO",S12)))</formula>
    </cfRule>
    <cfRule type="containsText" dxfId="607" priority="9" operator="containsText" text="YES">
      <formula>NOT(ISERROR(SEARCH("YES",S12)))</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dimension ref="A1:O231"/>
  <sheetViews>
    <sheetView topLeftCell="K1" workbookViewId="0">
      <selection activeCell="O2" sqref="O2"/>
    </sheetView>
  </sheetViews>
  <sheetFormatPr defaultRowHeight="14.4"/>
  <cols>
    <col min="1" max="1" width="5" bestFit="1" customWidth="1"/>
    <col min="2" max="2" width="8.44140625" bestFit="1" customWidth="1"/>
    <col min="3" max="3" width="68.5546875" bestFit="1" customWidth="1"/>
    <col min="4" max="4" width="79.44140625" bestFit="1" customWidth="1"/>
    <col min="5" max="5" width="19.5546875" bestFit="1" customWidth="1"/>
    <col min="6" max="6" width="19.6640625" bestFit="1" customWidth="1"/>
    <col min="7" max="7" width="12" bestFit="1" customWidth="1"/>
    <col min="8" max="9" width="255.6640625" bestFit="1" customWidth="1"/>
    <col min="10" max="10" width="8.6640625" bestFit="1" customWidth="1"/>
    <col min="11" max="11" width="43.33203125" bestFit="1" customWidth="1"/>
    <col min="12" max="12" width="9.33203125" bestFit="1" customWidth="1"/>
    <col min="13" max="13" width="8.44140625" bestFit="1" customWidth="1"/>
    <col min="14" max="14" width="129.5546875" bestFit="1" customWidth="1"/>
  </cols>
  <sheetData>
    <row r="1" spans="1:15">
      <c r="A1" t="s">
        <v>62</v>
      </c>
      <c r="B1" t="s">
        <v>188</v>
      </c>
      <c r="C1" t="s">
        <v>551</v>
      </c>
      <c r="D1" t="s">
        <v>552</v>
      </c>
      <c r="E1" t="s">
        <v>14</v>
      </c>
      <c r="F1" t="s">
        <v>15</v>
      </c>
      <c r="G1" t="s">
        <v>84</v>
      </c>
      <c r="H1" t="s">
        <v>553</v>
      </c>
      <c r="I1" t="s">
        <v>554</v>
      </c>
      <c r="J1" t="s">
        <v>555</v>
      </c>
      <c r="K1" t="s">
        <v>556</v>
      </c>
      <c r="L1" t="s">
        <v>557</v>
      </c>
      <c r="M1" t="s">
        <v>1206</v>
      </c>
      <c r="N1" t="s">
        <v>558</v>
      </c>
      <c r="O1" t="s">
        <v>1207</v>
      </c>
    </row>
    <row r="2" spans="1:15">
      <c r="A2" s="98">
        <v>1</v>
      </c>
      <c r="B2" s="98"/>
      <c r="C2" s="99" t="s">
        <v>559</v>
      </c>
      <c r="D2" s="99" t="s">
        <v>560</v>
      </c>
      <c r="E2" s="99" t="s">
        <v>561</v>
      </c>
      <c r="F2" s="99" t="s">
        <v>113</v>
      </c>
      <c r="G2" s="100" t="s">
        <v>87</v>
      </c>
      <c r="H2" s="99"/>
      <c r="I2" s="99"/>
      <c r="J2" s="99" t="s">
        <v>12</v>
      </c>
      <c r="K2" s="99"/>
      <c r="L2" s="99"/>
      <c r="M2" s="99"/>
      <c r="N2" s="99" t="s">
        <v>562</v>
      </c>
      <c r="O2" s="164"/>
    </row>
    <row r="3" spans="1:15">
      <c r="A3" s="101">
        <f t="shared" ref="A3:A66" si="0">IF(C3&lt;&gt;"",A2+1,"")</f>
        <v>2</v>
      </c>
      <c r="B3" s="101"/>
      <c r="C3" s="102" t="s">
        <v>563</v>
      </c>
      <c r="D3" s="103" t="s">
        <v>564</v>
      </c>
      <c r="E3" s="103" t="s">
        <v>565</v>
      </c>
      <c r="F3" s="103" t="s">
        <v>566</v>
      </c>
      <c r="G3" s="103" t="s">
        <v>85</v>
      </c>
      <c r="H3" s="104" t="s">
        <v>567</v>
      </c>
      <c r="I3" s="103" t="s">
        <v>568</v>
      </c>
      <c r="J3" s="102" t="s">
        <v>11</v>
      </c>
      <c r="K3" s="102"/>
      <c r="L3" s="102"/>
      <c r="M3" s="102" t="s">
        <v>302</v>
      </c>
      <c r="N3" s="102"/>
      <c r="O3" s="164"/>
    </row>
    <row r="4" spans="1:15">
      <c r="A4" s="98">
        <f t="shared" si="0"/>
        <v>3</v>
      </c>
      <c r="B4" s="98"/>
      <c r="C4" s="99" t="s">
        <v>569</v>
      </c>
      <c r="D4" s="99" t="s">
        <v>570</v>
      </c>
      <c r="E4" s="99" t="s">
        <v>52</v>
      </c>
      <c r="F4" s="99" t="s">
        <v>284</v>
      </c>
      <c r="G4" s="99" t="s">
        <v>85</v>
      </c>
      <c r="H4" s="105" t="s">
        <v>571</v>
      </c>
      <c r="I4" s="99"/>
      <c r="J4" s="99" t="s">
        <v>312</v>
      </c>
      <c r="K4" s="99"/>
      <c r="L4" s="99"/>
      <c r="M4" s="99" t="s">
        <v>95</v>
      </c>
      <c r="N4" s="99"/>
      <c r="O4" s="164"/>
    </row>
    <row r="5" spans="1:15">
      <c r="A5" s="98">
        <f t="shared" si="0"/>
        <v>4</v>
      </c>
      <c r="B5" s="98"/>
      <c r="C5" s="99" t="s">
        <v>572</v>
      </c>
      <c r="D5" s="99" t="s">
        <v>570</v>
      </c>
      <c r="E5" s="99" t="s">
        <v>52</v>
      </c>
      <c r="F5" s="99" t="s">
        <v>284</v>
      </c>
      <c r="G5" s="99" t="s">
        <v>85</v>
      </c>
      <c r="H5" s="105" t="s">
        <v>571</v>
      </c>
      <c r="I5" s="99"/>
      <c r="J5" s="99" t="s">
        <v>312</v>
      </c>
      <c r="K5" s="99"/>
      <c r="L5" s="99"/>
      <c r="M5" s="99" t="s">
        <v>95</v>
      </c>
      <c r="N5" s="99"/>
      <c r="O5" s="164"/>
    </row>
    <row r="6" spans="1:15">
      <c r="A6" s="101">
        <f t="shared" si="0"/>
        <v>5</v>
      </c>
      <c r="B6" s="101"/>
      <c r="C6" s="103" t="s">
        <v>573</v>
      </c>
      <c r="D6" s="102" t="s">
        <v>574</v>
      </c>
      <c r="E6" s="102" t="s">
        <v>520</v>
      </c>
      <c r="F6" s="102" t="s">
        <v>113</v>
      </c>
      <c r="G6" s="102" t="s">
        <v>85</v>
      </c>
      <c r="H6" s="102"/>
      <c r="I6" s="102" t="s">
        <v>568</v>
      </c>
      <c r="J6" s="102" t="s">
        <v>11</v>
      </c>
      <c r="K6" s="102"/>
      <c r="L6" s="102"/>
      <c r="M6" s="102" t="s">
        <v>302</v>
      </c>
      <c r="N6" s="102" t="s">
        <v>575</v>
      </c>
      <c r="O6" s="164"/>
    </row>
    <row r="7" spans="1:15">
      <c r="A7" s="101">
        <f t="shared" si="0"/>
        <v>6</v>
      </c>
      <c r="B7" s="101"/>
      <c r="C7" s="102" t="s">
        <v>576</v>
      </c>
      <c r="D7" s="102" t="s">
        <v>577</v>
      </c>
      <c r="E7" s="102" t="s">
        <v>30</v>
      </c>
      <c r="F7" s="102" t="s">
        <v>113</v>
      </c>
      <c r="G7" s="102" t="s">
        <v>87</v>
      </c>
      <c r="H7" s="102" t="s">
        <v>578</v>
      </c>
      <c r="I7" s="102" t="s">
        <v>568</v>
      </c>
      <c r="J7" s="102" t="s">
        <v>11</v>
      </c>
      <c r="K7" s="102"/>
      <c r="L7" s="102"/>
      <c r="M7" s="102" t="s">
        <v>302</v>
      </c>
      <c r="N7" s="102"/>
      <c r="O7" s="164"/>
    </row>
    <row r="8" spans="1:15">
      <c r="A8" s="106">
        <f t="shared" si="0"/>
        <v>7</v>
      </c>
      <c r="B8" s="106"/>
      <c r="C8" s="102" t="s">
        <v>579</v>
      </c>
      <c r="D8" s="102" t="s">
        <v>574</v>
      </c>
      <c r="E8" s="102" t="s">
        <v>520</v>
      </c>
      <c r="F8" s="102" t="s">
        <v>113</v>
      </c>
      <c r="G8" s="102" t="s">
        <v>87</v>
      </c>
      <c r="H8" s="102" t="s">
        <v>580</v>
      </c>
      <c r="I8" s="102" t="s">
        <v>568</v>
      </c>
      <c r="J8" s="102" t="s">
        <v>11</v>
      </c>
      <c r="K8" s="102"/>
      <c r="L8" s="102"/>
      <c r="M8" s="102" t="s">
        <v>302</v>
      </c>
      <c r="N8" s="102" t="s">
        <v>581</v>
      </c>
      <c r="O8" s="164"/>
    </row>
    <row r="9" spans="1:15">
      <c r="A9" s="107">
        <f t="shared" si="0"/>
        <v>8</v>
      </c>
      <c r="B9" s="107"/>
      <c r="C9" s="100" t="s">
        <v>582</v>
      </c>
      <c r="D9" s="100" t="s">
        <v>574</v>
      </c>
      <c r="E9" s="100" t="s">
        <v>520</v>
      </c>
      <c r="F9" s="100" t="s">
        <v>113</v>
      </c>
      <c r="G9" s="100" t="s">
        <v>87</v>
      </c>
      <c r="H9" s="100" t="s">
        <v>580</v>
      </c>
      <c r="I9" s="100" t="s">
        <v>583</v>
      </c>
      <c r="J9" s="100" t="s">
        <v>486</v>
      </c>
      <c r="K9" s="100"/>
      <c r="L9" s="100"/>
      <c r="M9" s="100" t="s">
        <v>95</v>
      </c>
      <c r="N9" s="100"/>
      <c r="O9" s="164"/>
    </row>
    <row r="10" spans="1:15">
      <c r="A10" s="98">
        <f t="shared" si="0"/>
        <v>9</v>
      </c>
      <c r="B10" s="98"/>
      <c r="C10" s="100" t="s">
        <v>584</v>
      </c>
      <c r="D10" s="100" t="s">
        <v>585</v>
      </c>
      <c r="E10" s="100" t="s">
        <v>586</v>
      </c>
      <c r="F10" s="100" t="s">
        <v>380</v>
      </c>
      <c r="G10" s="100" t="s">
        <v>85</v>
      </c>
      <c r="H10" s="53" t="s">
        <v>587</v>
      </c>
      <c r="I10" s="100"/>
      <c r="J10" s="100" t="s">
        <v>165</v>
      </c>
      <c r="K10" s="100"/>
      <c r="L10" s="100"/>
      <c r="M10" s="100" t="s">
        <v>95</v>
      </c>
      <c r="N10" s="100"/>
      <c r="O10" s="164"/>
    </row>
    <row r="11" spans="1:15">
      <c r="A11" s="106">
        <f t="shared" si="0"/>
        <v>10</v>
      </c>
      <c r="B11" s="106"/>
      <c r="C11" s="102" t="s">
        <v>588</v>
      </c>
      <c r="D11" s="102"/>
      <c r="E11" s="102" t="s">
        <v>30</v>
      </c>
      <c r="F11" s="102" t="s">
        <v>44</v>
      </c>
      <c r="G11" s="102" t="s">
        <v>87</v>
      </c>
      <c r="H11" s="102" t="s">
        <v>589</v>
      </c>
      <c r="I11" s="102" t="s">
        <v>589</v>
      </c>
      <c r="J11" s="102" t="s">
        <v>11</v>
      </c>
      <c r="K11" s="102" t="s">
        <v>590</v>
      </c>
      <c r="L11" s="102"/>
      <c r="M11" s="102" t="s">
        <v>302</v>
      </c>
      <c r="N11" s="102" t="s">
        <v>591</v>
      </c>
      <c r="O11" s="164"/>
    </row>
    <row r="12" spans="1:15">
      <c r="A12" s="106">
        <f t="shared" si="0"/>
        <v>11</v>
      </c>
      <c r="B12" s="106"/>
      <c r="C12" s="102" t="s">
        <v>592</v>
      </c>
      <c r="D12" s="102"/>
      <c r="E12" s="102" t="s">
        <v>347</v>
      </c>
      <c r="F12" s="102" t="s">
        <v>43</v>
      </c>
      <c r="G12" s="102" t="s">
        <v>87</v>
      </c>
      <c r="H12" s="102" t="s">
        <v>589</v>
      </c>
      <c r="I12" s="102" t="s">
        <v>589</v>
      </c>
      <c r="J12" s="102" t="s">
        <v>11</v>
      </c>
      <c r="K12" s="102" t="s">
        <v>590</v>
      </c>
      <c r="L12" s="102"/>
      <c r="M12" s="102" t="s">
        <v>302</v>
      </c>
      <c r="N12" s="102" t="s">
        <v>593</v>
      </c>
      <c r="O12" s="164"/>
    </row>
    <row r="13" spans="1:15">
      <c r="A13" s="106">
        <f t="shared" si="0"/>
        <v>12</v>
      </c>
      <c r="B13" s="106"/>
      <c r="C13" s="102" t="s">
        <v>594</v>
      </c>
      <c r="D13" s="102"/>
      <c r="E13" s="102" t="s">
        <v>595</v>
      </c>
      <c r="F13" s="102" t="s">
        <v>43</v>
      </c>
      <c r="G13" s="102" t="s">
        <v>87</v>
      </c>
      <c r="H13" s="102" t="s">
        <v>589</v>
      </c>
      <c r="I13" s="102" t="s">
        <v>589</v>
      </c>
      <c r="J13" s="102" t="s">
        <v>11</v>
      </c>
      <c r="K13" s="102" t="s">
        <v>590</v>
      </c>
      <c r="L13" s="102"/>
      <c r="M13" s="102" t="s">
        <v>302</v>
      </c>
      <c r="N13" s="102" t="s">
        <v>596</v>
      </c>
      <c r="O13" s="164"/>
    </row>
    <row r="14" spans="1:15">
      <c r="A14" s="108">
        <f t="shared" si="0"/>
        <v>13</v>
      </c>
      <c r="B14" s="108"/>
      <c r="C14" s="100" t="s">
        <v>597</v>
      </c>
      <c r="D14" s="100" t="s">
        <v>598</v>
      </c>
      <c r="E14" s="100" t="s">
        <v>202</v>
      </c>
      <c r="F14" s="100" t="s">
        <v>45</v>
      </c>
      <c r="G14" s="100" t="s">
        <v>85</v>
      </c>
      <c r="H14" s="100" t="s">
        <v>599</v>
      </c>
      <c r="I14" s="100"/>
      <c r="J14" s="100" t="s">
        <v>486</v>
      </c>
      <c r="K14" s="100"/>
      <c r="L14" s="100"/>
      <c r="M14" s="100" t="s">
        <v>95</v>
      </c>
      <c r="N14" s="100"/>
      <c r="O14" s="164"/>
    </row>
    <row r="15" spans="1:15">
      <c r="A15" s="101">
        <f t="shared" si="0"/>
        <v>14</v>
      </c>
      <c r="B15" s="101"/>
      <c r="C15" s="102" t="s">
        <v>600</v>
      </c>
      <c r="D15" s="103" t="s">
        <v>601</v>
      </c>
      <c r="E15" s="103" t="s">
        <v>52</v>
      </c>
      <c r="F15" s="102" t="s">
        <v>321</v>
      </c>
      <c r="G15" s="102" t="s">
        <v>85</v>
      </c>
      <c r="H15" s="104" t="s">
        <v>602</v>
      </c>
      <c r="I15" s="103" t="s">
        <v>568</v>
      </c>
      <c r="J15" s="102" t="s">
        <v>11</v>
      </c>
      <c r="K15" s="102"/>
      <c r="L15" s="102"/>
      <c r="M15" s="102" t="s">
        <v>302</v>
      </c>
      <c r="N15" s="102" t="s">
        <v>603</v>
      </c>
      <c r="O15" s="164"/>
    </row>
    <row r="16" spans="1:15">
      <c r="A16" s="101">
        <f t="shared" si="0"/>
        <v>15</v>
      </c>
      <c r="B16" s="101"/>
      <c r="C16" s="102" t="s">
        <v>604</v>
      </c>
      <c r="D16" s="103" t="s">
        <v>601</v>
      </c>
      <c r="E16" s="102" t="s">
        <v>52</v>
      </c>
      <c r="F16" s="102" t="s">
        <v>321</v>
      </c>
      <c r="G16" s="102" t="s">
        <v>85</v>
      </c>
      <c r="H16" s="104" t="s">
        <v>605</v>
      </c>
      <c r="I16" s="103" t="s">
        <v>568</v>
      </c>
      <c r="J16" s="102" t="s">
        <v>11</v>
      </c>
      <c r="K16" s="102"/>
      <c r="L16" s="102"/>
      <c r="M16" s="102" t="s">
        <v>302</v>
      </c>
      <c r="N16" s="102" t="s">
        <v>603</v>
      </c>
      <c r="O16" s="164"/>
    </row>
    <row r="17" spans="1:15">
      <c r="A17" s="101">
        <f t="shared" si="0"/>
        <v>16</v>
      </c>
      <c r="B17" s="101"/>
      <c r="C17" s="102" t="s">
        <v>606</v>
      </c>
      <c r="D17" s="103" t="s">
        <v>601</v>
      </c>
      <c r="E17" s="102" t="s">
        <v>52</v>
      </c>
      <c r="F17" s="102" t="s">
        <v>321</v>
      </c>
      <c r="G17" s="102" t="s">
        <v>85</v>
      </c>
      <c r="H17" s="102" t="s">
        <v>607</v>
      </c>
      <c r="I17" s="103" t="s">
        <v>568</v>
      </c>
      <c r="J17" s="102" t="s">
        <v>11</v>
      </c>
      <c r="K17" s="102"/>
      <c r="L17" s="102"/>
      <c r="M17" s="102" t="s">
        <v>302</v>
      </c>
      <c r="N17" s="102" t="s">
        <v>603</v>
      </c>
      <c r="O17" s="164"/>
    </row>
    <row r="18" spans="1:15">
      <c r="A18" s="101">
        <f t="shared" si="0"/>
        <v>17</v>
      </c>
      <c r="B18" s="101"/>
      <c r="C18" s="102" t="s">
        <v>608</v>
      </c>
      <c r="D18" s="103" t="s">
        <v>601</v>
      </c>
      <c r="E18" s="102" t="s">
        <v>52</v>
      </c>
      <c r="F18" s="102" t="s">
        <v>321</v>
      </c>
      <c r="G18" s="102" t="s">
        <v>85</v>
      </c>
      <c r="H18" s="102" t="s">
        <v>609</v>
      </c>
      <c r="I18" s="103" t="s">
        <v>568</v>
      </c>
      <c r="J18" s="102" t="s">
        <v>11</v>
      </c>
      <c r="K18" s="102"/>
      <c r="L18" s="102"/>
      <c r="M18" s="102" t="s">
        <v>302</v>
      </c>
      <c r="N18" s="102" t="s">
        <v>603</v>
      </c>
      <c r="O18" s="164"/>
    </row>
    <row r="19" spans="1:15">
      <c r="A19" s="98">
        <f t="shared" si="0"/>
        <v>18</v>
      </c>
      <c r="B19" s="98"/>
      <c r="C19" s="100" t="s">
        <v>610</v>
      </c>
      <c r="D19" s="99" t="s">
        <v>601</v>
      </c>
      <c r="E19" s="100" t="s">
        <v>565</v>
      </c>
      <c r="F19" s="100" t="s">
        <v>321</v>
      </c>
      <c r="G19" s="100" t="s">
        <v>85</v>
      </c>
      <c r="H19" s="100" t="s">
        <v>611</v>
      </c>
      <c r="I19" s="99"/>
      <c r="J19" s="100" t="s">
        <v>486</v>
      </c>
      <c r="K19" s="100"/>
      <c r="L19" s="100"/>
      <c r="M19" s="100" t="s">
        <v>95</v>
      </c>
      <c r="N19" s="100"/>
      <c r="O19" s="164"/>
    </row>
    <row r="20" spans="1:15">
      <c r="A20" s="101">
        <f t="shared" si="0"/>
        <v>19</v>
      </c>
      <c r="B20" s="101"/>
      <c r="C20" s="102" t="s">
        <v>612</v>
      </c>
      <c r="D20" s="103" t="s">
        <v>601</v>
      </c>
      <c r="E20" s="102" t="s">
        <v>52</v>
      </c>
      <c r="F20" s="102" t="s">
        <v>321</v>
      </c>
      <c r="G20" s="102" t="s">
        <v>85</v>
      </c>
      <c r="H20" s="104" t="s">
        <v>611</v>
      </c>
      <c r="I20" s="103" t="s">
        <v>568</v>
      </c>
      <c r="J20" s="102" t="s">
        <v>11</v>
      </c>
      <c r="K20" s="102"/>
      <c r="L20" s="102"/>
      <c r="M20" s="102" t="s">
        <v>302</v>
      </c>
      <c r="N20" s="102" t="s">
        <v>603</v>
      </c>
      <c r="O20" s="164"/>
    </row>
    <row r="21" spans="1:15">
      <c r="A21" s="101">
        <f t="shared" si="0"/>
        <v>20</v>
      </c>
      <c r="B21" s="101"/>
      <c r="C21" s="102" t="s">
        <v>613</v>
      </c>
      <c r="D21" s="103" t="s">
        <v>601</v>
      </c>
      <c r="E21" s="102" t="s">
        <v>565</v>
      </c>
      <c r="F21" s="102" t="s">
        <v>321</v>
      </c>
      <c r="G21" s="102" t="s">
        <v>87</v>
      </c>
      <c r="H21" s="102" t="s">
        <v>614</v>
      </c>
      <c r="I21" s="103" t="s">
        <v>568</v>
      </c>
      <c r="J21" s="102" t="s">
        <v>11</v>
      </c>
      <c r="K21" s="102"/>
      <c r="L21" s="102"/>
      <c r="M21" s="102" t="s">
        <v>302</v>
      </c>
      <c r="N21" s="102" t="s">
        <v>603</v>
      </c>
      <c r="O21" s="164"/>
    </row>
    <row r="22" spans="1:15">
      <c r="A22" s="109">
        <f t="shared" si="0"/>
        <v>21</v>
      </c>
      <c r="B22" s="109"/>
      <c r="C22" s="102" t="s">
        <v>615</v>
      </c>
      <c r="D22" s="103" t="s">
        <v>601</v>
      </c>
      <c r="E22" s="102" t="s">
        <v>565</v>
      </c>
      <c r="F22" s="102" t="s">
        <v>321</v>
      </c>
      <c r="G22" s="102" t="s">
        <v>86</v>
      </c>
      <c r="H22" s="102" t="s">
        <v>616</v>
      </c>
      <c r="I22" s="102"/>
      <c r="J22" s="102" t="s">
        <v>11</v>
      </c>
      <c r="K22" s="102"/>
      <c r="L22" s="102"/>
      <c r="M22" s="102" t="s">
        <v>302</v>
      </c>
      <c r="N22" s="102" t="s">
        <v>603</v>
      </c>
      <c r="O22" s="164"/>
    </row>
    <row r="23" spans="1:15">
      <c r="A23" s="106">
        <f t="shared" si="0"/>
        <v>22</v>
      </c>
      <c r="B23" s="106"/>
      <c r="C23" s="102" t="s">
        <v>617</v>
      </c>
      <c r="D23" s="102" t="s">
        <v>618</v>
      </c>
      <c r="E23" s="102" t="s">
        <v>196</v>
      </c>
      <c r="F23" s="102" t="s">
        <v>113</v>
      </c>
      <c r="G23" s="102" t="s">
        <v>85</v>
      </c>
      <c r="H23" s="102" t="s">
        <v>619</v>
      </c>
      <c r="I23" s="102" t="s">
        <v>620</v>
      </c>
      <c r="J23" s="102" t="s">
        <v>11</v>
      </c>
      <c r="K23" s="102"/>
      <c r="L23" s="102"/>
      <c r="M23" s="102" t="s">
        <v>302</v>
      </c>
      <c r="N23" s="102" t="s">
        <v>575</v>
      </c>
      <c r="O23" s="164"/>
    </row>
    <row r="24" spans="1:15">
      <c r="A24" s="109">
        <f t="shared" si="0"/>
        <v>23</v>
      </c>
      <c r="B24" s="109"/>
      <c r="C24" s="102" t="s">
        <v>621</v>
      </c>
      <c r="D24" s="103" t="s">
        <v>601</v>
      </c>
      <c r="E24" s="102" t="s">
        <v>565</v>
      </c>
      <c r="F24" s="102" t="s">
        <v>321</v>
      </c>
      <c r="G24" s="102" t="s">
        <v>85</v>
      </c>
      <c r="H24" s="102" t="s">
        <v>616</v>
      </c>
      <c r="I24" s="102"/>
      <c r="J24" s="102" t="s">
        <v>11</v>
      </c>
      <c r="K24" s="102"/>
      <c r="L24" s="102"/>
      <c r="M24" s="102" t="s">
        <v>302</v>
      </c>
      <c r="N24" s="102" t="s">
        <v>603</v>
      </c>
      <c r="O24" s="164"/>
    </row>
    <row r="25" spans="1:15">
      <c r="A25" s="107">
        <f t="shared" si="0"/>
        <v>24</v>
      </c>
      <c r="B25" s="107"/>
      <c r="C25" s="100" t="s">
        <v>622</v>
      </c>
      <c r="D25" s="100" t="s">
        <v>618</v>
      </c>
      <c r="E25" s="100" t="s">
        <v>196</v>
      </c>
      <c r="F25" s="100" t="s">
        <v>113</v>
      </c>
      <c r="G25" s="100" t="s">
        <v>87</v>
      </c>
      <c r="H25" s="100" t="s">
        <v>623</v>
      </c>
      <c r="I25" s="100"/>
      <c r="J25" s="100" t="s">
        <v>486</v>
      </c>
      <c r="K25" s="100"/>
      <c r="L25" s="100"/>
      <c r="M25" s="100" t="s">
        <v>95</v>
      </c>
      <c r="N25" s="100"/>
      <c r="O25" s="164"/>
    </row>
    <row r="26" spans="1:15">
      <c r="A26" s="107">
        <f t="shared" si="0"/>
        <v>25</v>
      </c>
      <c r="B26" s="107"/>
      <c r="C26" s="100" t="s">
        <v>624</v>
      </c>
      <c r="D26" s="100" t="s">
        <v>618</v>
      </c>
      <c r="E26" s="100" t="s">
        <v>196</v>
      </c>
      <c r="F26" s="100" t="s">
        <v>113</v>
      </c>
      <c r="G26" s="100" t="s">
        <v>87</v>
      </c>
      <c r="H26" s="100" t="s">
        <v>623</v>
      </c>
      <c r="I26" s="100"/>
      <c r="J26" s="100" t="s">
        <v>486</v>
      </c>
      <c r="K26" s="100"/>
      <c r="L26" s="100"/>
      <c r="M26" s="100" t="s">
        <v>95</v>
      </c>
      <c r="N26" s="100"/>
      <c r="O26" s="164"/>
    </row>
    <row r="27" spans="1:15">
      <c r="A27" s="107">
        <f t="shared" si="0"/>
        <v>26</v>
      </c>
      <c r="B27" s="107"/>
      <c r="C27" s="100" t="s">
        <v>625</v>
      </c>
      <c r="D27" s="100" t="s">
        <v>618</v>
      </c>
      <c r="E27" s="100" t="s">
        <v>196</v>
      </c>
      <c r="F27" s="100" t="s">
        <v>113</v>
      </c>
      <c r="G27" s="100" t="s">
        <v>87</v>
      </c>
      <c r="H27" s="100" t="s">
        <v>626</v>
      </c>
      <c r="I27" s="100" t="s">
        <v>583</v>
      </c>
      <c r="J27" s="100" t="s">
        <v>486</v>
      </c>
      <c r="K27" s="100"/>
      <c r="L27" s="100"/>
      <c r="M27" s="100" t="s">
        <v>95</v>
      </c>
      <c r="N27" s="100"/>
      <c r="O27" s="164"/>
    </row>
    <row r="28" spans="1:15">
      <c r="A28" s="107">
        <f t="shared" si="0"/>
        <v>27</v>
      </c>
      <c r="B28" s="107"/>
      <c r="C28" s="100" t="s">
        <v>627</v>
      </c>
      <c r="D28" s="100" t="s">
        <v>628</v>
      </c>
      <c r="E28" s="100" t="s">
        <v>196</v>
      </c>
      <c r="F28" s="100" t="s">
        <v>43</v>
      </c>
      <c r="G28" s="100" t="s">
        <v>87</v>
      </c>
      <c r="H28" s="100" t="s">
        <v>629</v>
      </c>
      <c r="I28" s="100" t="s">
        <v>583</v>
      </c>
      <c r="J28" s="100" t="s">
        <v>486</v>
      </c>
      <c r="K28" s="100"/>
      <c r="L28" s="100"/>
      <c r="M28" s="100" t="s">
        <v>95</v>
      </c>
      <c r="N28" s="100"/>
      <c r="O28" s="164"/>
    </row>
    <row r="29" spans="1:15">
      <c r="A29" s="106">
        <f t="shared" si="0"/>
        <v>28</v>
      </c>
      <c r="B29" s="106"/>
      <c r="C29" s="102" t="s">
        <v>630</v>
      </c>
      <c r="D29" s="102" t="s">
        <v>618</v>
      </c>
      <c r="E29" s="102" t="s">
        <v>196</v>
      </c>
      <c r="F29" s="102" t="s">
        <v>113</v>
      </c>
      <c r="G29" s="102" t="s">
        <v>87</v>
      </c>
      <c r="H29" s="102" t="s">
        <v>623</v>
      </c>
      <c r="I29" s="102"/>
      <c r="J29" s="102" t="s">
        <v>11</v>
      </c>
      <c r="K29" s="102"/>
      <c r="L29" s="102"/>
      <c r="M29" s="102" t="s">
        <v>302</v>
      </c>
      <c r="N29" s="102" t="s">
        <v>631</v>
      </c>
      <c r="O29" s="164"/>
    </row>
    <row r="30" spans="1:15">
      <c r="A30" s="107">
        <f t="shared" si="0"/>
        <v>29</v>
      </c>
      <c r="B30" s="107"/>
      <c r="C30" s="100" t="s">
        <v>632</v>
      </c>
      <c r="D30" s="100" t="s">
        <v>618</v>
      </c>
      <c r="E30" s="100" t="s">
        <v>196</v>
      </c>
      <c r="F30" s="100" t="s">
        <v>113</v>
      </c>
      <c r="G30" s="100" t="s">
        <v>87</v>
      </c>
      <c r="H30" s="100" t="s">
        <v>633</v>
      </c>
      <c r="I30" s="100" t="s">
        <v>583</v>
      </c>
      <c r="J30" s="100" t="s">
        <v>486</v>
      </c>
      <c r="K30" s="100"/>
      <c r="L30" s="100"/>
      <c r="M30" s="100" t="s">
        <v>95</v>
      </c>
      <c r="N30" s="100"/>
      <c r="O30" s="164"/>
    </row>
    <row r="31" spans="1:15">
      <c r="A31" s="107">
        <f t="shared" si="0"/>
        <v>30</v>
      </c>
      <c r="B31" s="107"/>
      <c r="C31" s="100" t="s">
        <v>634</v>
      </c>
      <c r="D31" s="100" t="s">
        <v>635</v>
      </c>
      <c r="E31" s="100" t="s">
        <v>270</v>
      </c>
      <c r="F31" s="100" t="s">
        <v>177</v>
      </c>
      <c r="G31" s="100" t="s">
        <v>87</v>
      </c>
      <c r="H31" s="100" t="s">
        <v>636</v>
      </c>
      <c r="I31" s="100"/>
      <c r="J31" s="100" t="s">
        <v>94</v>
      </c>
      <c r="K31" s="100"/>
      <c r="L31" s="100"/>
      <c r="M31" s="100" t="s">
        <v>95</v>
      </c>
      <c r="N31" s="100"/>
      <c r="O31" s="164"/>
    </row>
    <row r="32" spans="1:15">
      <c r="A32" s="98">
        <f t="shared" si="0"/>
        <v>31</v>
      </c>
      <c r="B32" s="98"/>
      <c r="C32" s="100" t="s">
        <v>637</v>
      </c>
      <c r="D32" s="100" t="s">
        <v>638</v>
      </c>
      <c r="E32" s="100" t="s">
        <v>196</v>
      </c>
      <c r="F32" s="100" t="s">
        <v>113</v>
      </c>
      <c r="G32" s="100" t="s">
        <v>87</v>
      </c>
      <c r="H32" s="110" t="s">
        <v>639</v>
      </c>
      <c r="I32" s="99" t="s">
        <v>583</v>
      </c>
      <c r="J32" s="100" t="s">
        <v>486</v>
      </c>
      <c r="K32" s="100"/>
      <c r="L32" s="100"/>
      <c r="M32" s="100" t="s">
        <v>95</v>
      </c>
      <c r="N32" s="100"/>
      <c r="O32" s="164"/>
    </row>
    <row r="33" spans="1:15">
      <c r="A33" s="101">
        <f t="shared" si="0"/>
        <v>32</v>
      </c>
      <c r="B33" s="101"/>
      <c r="C33" s="103" t="s">
        <v>640</v>
      </c>
      <c r="D33" s="103" t="s">
        <v>564</v>
      </c>
      <c r="E33" s="103" t="s">
        <v>565</v>
      </c>
      <c r="F33" s="103" t="s">
        <v>566</v>
      </c>
      <c r="G33" s="103" t="s">
        <v>85</v>
      </c>
      <c r="H33" s="103" t="s">
        <v>641</v>
      </c>
      <c r="I33" s="103" t="s">
        <v>568</v>
      </c>
      <c r="J33" s="103" t="s">
        <v>11</v>
      </c>
      <c r="K33" s="103"/>
      <c r="L33" s="103"/>
      <c r="M33" s="103" t="s">
        <v>302</v>
      </c>
      <c r="N33" s="103" t="s">
        <v>642</v>
      </c>
      <c r="O33" s="164"/>
    </row>
    <row r="34" spans="1:15">
      <c r="A34" s="101">
        <f t="shared" si="0"/>
        <v>33</v>
      </c>
      <c r="B34" s="101"/>
      <c r="C34" s="103" t="s">
        <v>643</v>
      </c>
      <c r="D34" s="102" t="s">
        <v>564</v>
      </c>
      <c r="E34" s="103" t="s">
        <v>565</v>
      </c>
      <c r="F34" s="103" t="s">
        <v>566</v>
      </c>
      <c r="G34" s="103" t="s">
        <v>644</v>
      </c>
      <c r="H34" s="103" t="s">
        <v>641</v>
      </c>
      <c r="I34" s="103" t="s">
        <v>568</v>
      </c>
      <c r="J34" s="103" t="s">
        <v>11</v>
      </c>
      <c r="K34" s="103"/>
      <c r="L34" s="103"/>
      <c r="M34" s="103" t="s">
        <v>302</v>
      </c>
      <c r="N34" s="103" t="s">
        <v>642</v>
      </c>
      <c r="O34" s="164"/>
    </row>
    <row r="35" spans="1:15">
      <c r="A35" s="109">
        <f t="shared" si="0"/>
        <v>34</v>
      </c>
      <c r="B35" s="109"/>
      <c r="C35" s="102" t="s">
        <v>645</v>
      </c>
      <c r="D35" s="102" t="s">
        <v>646</v>
      </c>
      <c r="E35" s="102" t="s">
        <v>30</v>
      </c>
      <c r="F35" s="102" t="s">
        <v>43</v>
      </c>
      <c r="G35" s="102" t="s">
        <v>87</v>
      </c>
      <c r="H35" s="102" t="s">
        <v>647</v>
      </c>
      <c r="I35" s="111" t="s">
        <v>568</v>
      </c>
      <c r="J35" s="111" t="s">
        <v>11</v>
      </c>
      <c r="K35" s="102"/>
      <c r="L35" s="102"/>
      <c r="M35" s="102" t="s">
        <v>302</v>
      </c>
      <c r="N35" s="102" t="s">
        <v>648</v>
      </c>
      <c r="O35" s="164"/>
    </row>
    <row r="36" spans="1:15">
      <c r="A36" s="98">
        <f t="shared" si="0"/>
        <v>35</v>
      </c>
      <c r="B36" s="98"/>
      <c r="C36" s="100" t="s">
        <v>649</v>
      </c>
      <c r="D36" s="100" t="s">
        <v>585</v>
      </c>
      <c r="E36" s="100" t="s">
        <v>586</v>
      </c>
      <c r="F36" s="100" t="s">
        <v>380</v>
      </c>
      <c r="G36" s="100" t="s">
        <v>85</v>
      </c>
      <c r="H36" s="53" t="s">
        <v>587</v>
      </c>
      <c r="I36" s="100"/>
      <c r="J36" s="100" t="s">
        <v>165</v>
      </c>
      <c r="K36" s="100"/>
      <c r="L36" s="100"/>
      <c r="M36" s="100" t="s">
        <v>95</v>
      </c>
      <c r="N36" s="100"/>
      <c r="O36" s="164"/>
    </row>
    <row r="37" spans="1:15">
      <c r="A37" s="98">
        <f t="shared" si="0"/>
        <v>36</v>
      </c>
      <c r="B37" s="98"/>
      <c r="C37" s="100" t="s">
        <v>650</v>
      </c>
      <c r="D37" s="100" t="s">
        <v>585</v>
      </c>
      <c r="E37" s="100" t="s">
        <v>586</v>
      </c>
      <c r="F37" s="100" t="s">
        <v>380</v>
      </c>
      <c r="G37" s="100" t="s">
        <v>85</v>
      </c>
      <c r="H37" s="53" t="s">
        <v>587</v>
      </c>
      <c r="I37" s="100"/>
      <c r="J37" s="100" t="s">
        <v>165</v>
      </c>
      <c r="K37" s="100"/>
      <c r="L37" s="100"/>
      <c r="M37" s="100" t="s">
        <v>95</v>
      </c>
      <c r="N37" s="100"/>
      <c r="O37" s="164"/>
    </row>
    <row r="38" spans="1:15">
      <c r="A38" s="107">
        <f t="shared" si="0"/>
        <v>37</v>
      </c>
      <c r="B38" s="107"/>
      <c r="C38" s="100" t="s">
        <v>651</v>
      </c>
      <c r="D38" s="100" t="s">
        <v>635</v>
      </c>
      <c r="E38" s="100" t="s">
        <v>224</v>
      </c>
      <c r="F38" s="100" t="s">
        <v>177</v>
      </c>
      <c r="G38" s="100" t="s">
        <v>87</v>
      </c>
      <c r="H38" s="100" t="s">
        <v>636</v>
      </c>
      <c r="I38" s="100"/>
      <c r="J38" s="100" t="s">
        <v>94</v>
      </c>
      <c r="K38" s="100"/>
      <c r="L38" s="100"/>
      <c r="M38" s="100" t="s">
        <v>95</v>
      </c>
      <c r="N38" s="100"/>
      <c r="O38" s="164"/>
    </row>
    <row r="39" spans="1:15">
      <c r="A39" s="107">
        <f t="shared" si="0"/>
        <v>38</v>
      </c>
      <c r="B39" s="107"/>
      <c r="C39" s="100" t="s">
        <v>652</v>
      </c>
      <c r="D39" s="100" t="s">
        <v>635</v>
      </c>
      <c r="E39" s="100" t="s">
        <v>224</v>
      </c>
      <c r="F39" s="100" t="s">
        <v>10</v>
      </c>
      <c r="G39" s="100" t="s">
        <v>85</v>
      </c>
      <c r="H39" s="100" t="s">
        <v>636</v>
      </c>
      <c r="I39" s="100" t="s">
        <v>589</v>
      </c>
      <c r="J39" s="100" t="s">
        <v>94</v>
      </c>
      <c r="K39" s="100"/>
      <c r="L39" s="100"/>
      <c r="M39" s="100" t="s">
        <v>95</v>
      </c>
      <c r="N39" s="100"/>
      <c r="O39" s="164"/>
    </row>
    <row r="40" spans="1:15">
      <c r="A40" s="101">
        <f t="shared" si="0"/>
        <v>39</v>
      </c>
      <c r="B40" s="101"/>
      <c r="C40" s="103" t="s">
        <v>653</v>
      </c>
      <c r="D40" s="103" t="s">
        <v>564</v>
      </c>
      <c r="E40" s="103" t="s">
        <v>565</v>
      </c>
      <c r="F40" s="103" t="s">
        <v>566</v>
      </c>
      <c r="G40" s="103" t="s">
        <v>85</v>
      </c>
      <c r="H40" s="103" t="s">
        <v>641</v>
      </c>
      <c r="I40" s="103" t="s">
        <v>568</v>
      </c>
      <c r="J40" s="103" t="s">
        <v>11</v>
      </c>
      <c r="K40" s="103"/>
      <c r="L40" s="103"/>
      <c r="M40" s="103" t="s">
        <v>302</v>
      </c>
      <c r="N40" s="103" t="s">
        <v>642</v>
      </c>
      <c r="O40" s="164"/>
    </row>
    <row r="41" spans="1:15">
      <c r="A41" s="101">
        <f t="shared" si="0"/>
        <v>40</v>
      </c>
      <c r="B41" s="101"/>
      <c r="C41" s="103" t="s">
        <v>654</v>
      </c>
      <c r="D41" s="103" t="s">
        <v>564</v>
      </c>
      <c r="E41" s="103" t="s">
        <v>565</v>
      </c>
      <c r="F41" s="103" t="s">
        <v>566</v>
      </c>
      <c r="G41" s="103" t="s">
        <v>85</v>
      </c>
      <c r="H41" s="103" t="s">
        <v>641</v>
      </c>
      <c r="I41" s="103" t="s">
        <v>568</v>
      </c>
      <c r="J41" s="103" t="s">
        <v>11</v>
      </c>
      <c r="K41" s="103"/>
      <c r="L41" s="103"/>
      <c r="M41" s="103" t="s">
        <v>302</v>
      </c>
      <c r="N41" s="103" t="s">
        <v>642</v>
      </c>
      <c r="O41" s="164"/>
    </row>
    <row r="42" spans="1:15">
      <c r="A42" s="101">
        <f t="shared" si="0"/>
        <v>41</v>
      </c>
      <c r="B42" s="101"/>
      <c r="C42" s="103" t="s">
        <v>655</v>
      </c>
      <c r="D42" s="103" t="s">
        <v>564</v>
      </c>
      <c r="E42" s="103" t="s">
        <v>565</v>
      </c>
      <c r="F42" s="103" t="s">
        <v>566</v>
      </c>
      <c r="G42" s="103" t="s">
        <v>644</v>
      </c>
      <c r="H42" s="103" t="s">
        <v>641</v>
      </c>
      <c r="I42" s="103" t="s">
        <v>568</v>
      </c>
      <c r="J42" s="103" t="s">
        <v>11</v>
      </c>
      <c r="K42" s="103"/>
      <c r="L42" s="103"/>
      <c r="M42" s="103" t="s">
        <v>302</v>
      </c>
      <c r="N42" s="103" t="s">
        <v>642</v>
      </c>
      <c r="O42" s="164"/>
    </row>
    <row r="43" spans="1:15">
      <c r="A43" s="101">
        <f t="shared" si="0"/>
        <v>42</v>
      </c>
      <c r="B43" s="101"/>
      <c r="C43" s="103" t="s">
        <v>656</v>
      </c>
      <c r="D43" s="103" t="s">
        <v>564</v>
      </c>
      <c r="E43" s="103" t="s">
        <v>565</v>
      </c>
      <c r="F43" s="103" t="s">
        <v>566</v>
      </c>
      <c r="G43" s="103" t="s">
        <v>85</v>
      </c>
      <c r="H43" s="103" t="s">
        <v>641</v>
      </c>
      <c r="I43" s="103" t="s">
        <v>568</v>
      </c>
      <c r="J43" s="103" t="s">
        <v>11</v>
      </c>
      <c r="K43" s="103"/>
      <c r="L43" s="103"/>
      <c r="M43" s="103" t="s">
        <v>302</v>
      </c>
      <c r="N43" s="103" t="s">
        <v>642</v>
      </c>
      <c r="O43" s="164"/>
    </row>
    <row r="44" spans="1:15">
      <c r="A44" s="101">
        <f t="shared" si="0"/>
        <v>43</v>
      </c>
      <c r="B44" s="101"/>
      <c r="C44" s="102" t="s">
        <v>657</v>
      </c>
      <c r="D44" s="103" t="s">
        <v>658</v>
      </c>
      <c r="E44" s="102" t="s">
        <v>565</v>
      </c>
      <c r="F44" s="102" t="s">
        <v>659</v>
      </c>
      <c r="G44" s="102" t="s">
        <v>85</v>
      </c>
      <c r="H44" s="102" t="s">
        <v>660</v>
      </c>
      <c r="I44" s="102"/>
      <c r="J44" s="102" t="s">
        <v>11</v>
      </c>
      <c r="K44" s="102"/>
      <c r="L44" s="102"/>
      <c r="M44" s="102" t="s">
        <v>302</v>
      </c>
      <c r="N44" s="102" t="s">
        <v>661</v>
      </c>
      <c r="O44" s="164"/>
    </row>
    <row r="45" spans="1:15">
      <c r="A45" s="101">
        <f t="shared" si="0"/>
        <v>44</v>
      </c>
      <c r="B45" s="101"/>
      <c r="C45" s="102" t="s">
        <v>662</v>
      </c>
      <c r="D45" s="103" t="s">
        <v>564</v>
      </c>
      <c r="E45" s="103" t="s">
        <v>565</v>
      </c>
      <c r="F45" s="103" t="s">
        <v>566</v>
      </c>
      <c r="G45" s="103" t="s">
        <v>644</v>
      </c>
      <c r="H45" s="103" t="s">
        <v>641</v>
      </c>
      <c r="I45" s="103" t="s">
        <v>568</v>
      </c>
      <c r="J45" s="102" t="s">
        <v>11</v>
      </c>
      <c r="K45" s="102"/>
      <c r="L45" s="102"/>
      <c r="M45" s="102" t="s">
        <v>302</v>
      </c>
      <c r="N45" s="102"/>
      <c r="O45" s="164"/>
    </row>
    <row r="46" spans="1:15">
      <c r="A46" s="101">
        <f t="shared" si="0"/>
        <v>45</v>
      </c>
      <c r="B46" s="101"/>
      <c r="C46" s="102" t="s">
        <v>663</v>
      </c>
      <c r="D46" s="103" t="s">
        <v>564</v>
      </c>
      <c r="E46" s="103" t="s">
        <v>565</v>
      </c>
      <c r="F46" s="103" t="s">
        <v>566</v>
      </c>
      <c r="G46" s="103" t="s">
        <v>85</v>
      </c>
      <c r="H46" s="103" t="s">
        <v>641</v>
      </c>
      <c r="I46" s="103" t="s">
        <v>568</v>
      </c>
      <c r="J46" s="102" t="s">
        <v>11</v>
      </c>
      <c r="K46" s="102"/>
      <c r="L46" s="102"/>
      <c r="M46" s="102" t="s">
        <v>302</v>
      </c>
      <c r="N46" s="102"/>
      <c r="O46" s="164"/>
    </row>
    <row r="47" spans="1:15">
      <c r="A47" s="101">
        <f t="shared" si="0"/>
        <v>46</v>
      </c>
      <c r="B47" s="101"/>
      <c r="C47" s="103" t="s">
        <v>664</v>
      </c>
      <c r="D47" s="103" t="s">
        <v>665</v>
      </c>
      <c r="E47" s="103" t="s">
        <v>403</v>
      </c>
      <c r="F47" s="103" t="s">
        <v>303</v>
      </c>
      <c r="G47" s="103" t="s">
        <v>85</v>
      </c>
      <c r="H47" s="112" t="s">
        <v>666</v>
      </c>
      <c r="I47" s="103" t="s">
        <v>667</v>
      </c>
      <c r="J47" s="103" t="s">
        <v>312</v>
      </c>
      <c r="K47" s="103"/>
      <c r="L47" s="103"/>
      <c r="M47" s="103" t="s">
        <v>302</v>
      </c>
      <c r="N47" s="103" t="s">
        <v>668</v>
      </c>
      <c r="O47" s="164"/>
    </row>
    <row r="48" spans="1:15">
      <c r="A48" s="106">
        <f t="shared" si="0"/>
        <v>47</v>
      </c>
      <c r="B48" s="106"/>
      <c r="C48" s="102" t="s">
        <v>669</v>
      </c>
      <c r="D48" s="102" t="s">
        <v>670</v>
      </c>
      <c r="E48" s="102" t="s">
        <v>347</v>
      </c>
      <c r="F48" s="102" t="s">
        <v>43</v>
      </c>
      <c r="G48" s="102" t="s">
        <v>87</v>
      </c>
      <c r="H48" s="102" t="s">
        <v>671</v>
      </c>
      <c r="I48" s="102" t="s">
        <v>568</v>
      </c>
      <c r="J48" s="102" t="s">
        <v>11</v>
      </c>
      <c r="K48" s="102"/>
      <c r="L48" s="102"/>
      <c r="M48" s="102" t="s">
        <v>302</v>
      </c>
      <c r="N48" s="102" t="s">
        <v>593</v>
      </c>
      <c r="O48" s="164"/>
    </row>
    <row r="49" spans="1:15">
      <c r="A49" s="101">
        <f t="shared" si="0"/>
        <v>48</v>
      </c>
      <c r="B49" s="101"/>
      <c r="C49" s="103" t="s">
        <v>672</v>
      </c>
      <c r="D49" s="103" t="s">
        <v>665</v>
      </c>
      <c r="E49" s="103" t="s">
        <v>347</v>
      </c>
      <c r="F49" s="103" t="s">
        <v>45</v>
      </c>
      <c r="G49" s="103" t="s">
        <v>85</v>
      </c>
      <c r="H49" s="112" t="s">
        <v>666</v>
      </c>
      <c r="I49" s="103" t="s">
        <v>673</v>
      </c>
      <c r="J49" s="103" t="s">
        <v>312</v>
      </c>
      <c r="K49" s="103"/>
      <c r="L49" s="103"/>
      <c r="M49" s="103" t="s">
        <v>302</v>
      </c>
      <c r="N49" s="103" t="s">
        <v>674</v>
      </c>
      <c r="O49" s="164"/>
    </row>
    <row r="50" spans="1:15">
      <c r="A50" s="109">
        <f t="shared" si="0"/>
        <v>49</v>
      </c>
      <c r="B50" s="109"/>
      <c r="C50" s="102" t="s">
        <v>675</v>
      </c>
      <c r="D50" s="103" t="s">
        <v>658</v>
      </c>
      <c r="E50" s="102" t="s">
        <v>565</v>
      </c>
      <c r="F50" s="102" t="s">
        <v>659</v>
      </c>
      <c r="G50" s="102" t="s">
        <v>85</v>
      </c>
      <c r="H50" s="102" t="s">
        <v>676</v>
      </c>
      <c r="I50" s="102" t="s">
        <v>568</v>
      </c>
      <c r="J50" s="102" t="s">
        <v>11</v>
      </c>
      <c r="K50" s="102"/>
      <c r="L50" s="102"/>
      <c r="M50" s="102" t="s">
        <v>302</v>
      </c>
      <c r="N50" s="102" t="s">
        <v>661</v>
      </c>
      <c r="O50" s="164"/>
    </row>
    <row r="51" spans="1:15">
      <c r="A51" s="98">
        <f t="shared" si="0"/>
        <v>50</v>
      </c>
      <c r="B51" s="98"/>
      <c r="C51" s="100" t="s">
        <v>677</v>
      </c>
      <c r="D51" s="99" t="s">
        <v>678</v>
      </c>
      <c r="E51" s="99" t="s">
        <v>30</v>
      </c>
      <c r="F51" s="99" t="s">
        <v>113</v>
      </c>
      <c r="G51" s="99" t="s">
        <v>87</v>
      </c>
      <c r="H51" s="99" t="s">
        <v>679</v>
      </c>
      <c r="I51" s="100" t="s">
        <v>583</v>
      </c>
      <c r="J51" s="99" t="s">
        <v>486</v>
      </c>
      <c r="K51" s="99"/>
      <c r="L51" s="99"/>
      <c r="M51" s="99" t="s">
        <v>95</v>
      </c>
      <c r="N51" s="99"/>
      <c r="O51" s="164"/>
    </row>
    <row r="52" spans="1:15">
      <c r="A52" s="98">
        <f t="shared" si="0"/>
        <v>51</v>
      </c>
      <c r="B52" s="98"/>
      <c r="C52" s="99" t="s">
        <v>677</v>
      </c>
      <c r="D52" s="100" t="s">
        <v>618</v>
      </c>
      <c r="E52" s="99" t="s">
        <v>196</v>
      </c>
      <c r="F52" s="99" t="s">
        <v>113</v>
      </c>
      <c r="G52" s="99" t="s">
        <v>87</v>
      </c>
      <c r="H52" s="99" t="s">
        <v>680</v>
      </c>
      <c r="I52" s="99" t="s">
        <v>583</v>
      </c>
      <c r="J52" s="99" t="s">
        <v>486</v>
      </c>
      <c r="K52" s="99"/>
      <c r="L52" s="99"/>
      <c r="M52" s="99" t="s">
        <v>95</v>
      </c>
      <c r="N52" s="99"/>
      <c r="O52" s="164"/>
    </row>
    <row r="53" spans="1:15">
      <c r="A53" s="108">
        <f t="shared" si="0"/>
        <v>52</v>
      </c>
      <c r="B53" s="108"/>
      <c r="C53" s="100" t="s">
        <v>681</v>
      </c>
      <c r="D53" s="100" t="s">
        <v>682</v>
      </c>
      <c r="E53" s="100" t="s">
        <v>595</v>
      </c>
      <c r="F53" s="100" t="s">
        <v>109</v>
      </c>
      <c r="G53" s="100" t="s">
        <v>85</v>
      </c>
      <c r="H53" s="100" t="s">
        <v>683</v>
      </c>
      <c r="I53" s="100"/>
      <c r="J53" s="100" t="s">
        <v>340</v>
      </c>
      <c r="K53" s="100"/>
      <c r="L53" s="100"/>
      <c r="M53" s="100" t="s">
        <v>95</v>
      </c>
      <c r="N53" s="100"/>
      <c r="O53" s="164"/>
    </row>
    <row r="54" spans="1:15">
      <c r="A54" s="107">
        <f t="shared" si="0"/>
        <v>53</v>
      </c>
      <c r="B54" s="107"/>
      <c r="C54" s="100" t="s">
        <v>684</v>
      </c>
      <c r="D54" s="100" t="s">
        <v>685</v>
      </c>
      <c r="E54" s="100" t="s">
        <v>202</v>
      </c>
      <c r="F54" s="100" t="s">
        <v>238</v>
      </c>
      <c r="G54" s="100" t="s">
        <v>85</v>
      </c>
      <c r="H54" s="100" t="s">
        <v>686</v>
      </c>
      <c r="I54" s="100" t="s">
        <v>583</v>
      </c>
      <c r="J54" s="100" t="s">
        <v>486</v>
      </c>
      <c r="K54" s="100"/>
      <c r="L54" s="100"/>
      <c r="M54" s="100" t="s">
        <v>95</v>
      </c>
      <c r="N54" s="100"/>
      <c r="O54" s="164"/>
    </row>
    <row r="55" spans="1:15">
      <c r="A55" s="101">
        <f t="shared" si="0"/>
        <v>54</v>
      </c>
      <c r="B55" s="101"/>
      <c r="C55" s="103" t="s">
        <v>687</v>
      </c>
      <c r="D55" s="102" t="s">
        <v>685</v>
      </c>
      <c r="E55" s="102" t="s">
        <v>202</v>
      </c>
      <c r="F55" s="103" t="s">
        <v>113</v>
      </c>
      <c r="G55" s="103" t="s">
        <v>87</v>
      </c>
      <c r="H55" s="104" t="s">
        <v>688</v>
      </c>
      <c r="I55" s="102" t="s">
        <v>583</v>
      </c>
      <c r="J55" s="103" t="s">
        <v>486</v>
      </c>
      <c r="K55" s="103"/>
      <c r="L55" s="103"/>
      <c r="M55" s="103" t="s">
        <v>302</v>
      </c>
      <c r="N55" s="103" t="s">
        <v>689</v>
      </c>
      <c r="O55" s="164"/>
    </row>
    <row r="56" spans="1:15">
      <c r="A56" s="107">
        <f t="shared" si="0"/>
        <v>55</v>
      </c>
      <c r="B56" s="107"/>
      <c r="C56" s="100" t="s">
        <v>690</v>
      </c>
      <c r="D56" s="100" t="s">
        <v>685</v>
      </c>
      <c r="E56" s="100" t="s">
        <v>202</v>
      </c>
      <c r="F56" s="100" t="s">
        <v>238</v>
      </c>
      <c r="G56" s="100" t="s">
        <v>85</v>
      </c>
      <c r="H56" s="100" t="s">
        <v>691</v>
      </c>
      <c r="I56" s="100" t="s">
        <v>692</v>
      </c>
      <c r="J56" s="99" t="s">
        <v>486</v>
      </c>
      <c r="K56" s="100"/>
      <c r="L56" s="100"/>
      <c r="M56" s="100" t="s">
        <v>95</v>
      </c>
      <c r="N56" s="100"/>
      <c r="O56" s="164"/>
    </row>
    <row r="57" spans="1:15">
      <c r="A57" s="101">
        <f t="shared" si="0"/>
        <v>56</v>
      </c>
      <c r="B57" s="101"/>
      <c r="C57" s="103" t="s">
        <v>693</v>
      </c>
      <c r="D57" s="103" t="s">
        <v>694</v>
      </c>
      <c r="E57" s="103" t="s">
        <v>52</v>
      </c>
      <c r="F57" s="103" t="s">
        <v>113</v>
      </c>
      <c r="G57" s="103" t="s">
        <v>87</v>
      </c>
      <c r="H57" s="112" t="s">
        <v>695</v>
      </c>
      <c r="I57" s="103" t="s">
        <v>696</v>
      </c>
      <c r="J57" s="103" t="s">
        <v>312</v>
      </c>
      <c r="K57" s="103"/>
      <c r="L57" s="103"/>
      <c r="M57" s="103" t="s">
        <v>302</v>
      </c>
      <c r="N57" s="103" t="s">
        <v>697</v>
      </c>
      <c r="O57" s="164"/>
    </row>
    <row r="58" spans="1:15">
      <c r="A58" s="107">
        <f t="shared" si="0"/>
        <v>57</v>
      </c>
      <c r="B58" s="107"/>
      <c r="C58" s="100" t="s">
        <v>698</v>
      </c>
      <c r="D58" s="100" t="s">
        <v>635</v>
      </c>
      <c r="E58" s="100" t="s">
        <v>699</v>
      </c>
      <c r="F58" s="100" t="s">
        <v>43</v>
      </c>
      <c r="G58" s="100" t="s">
        <v>85</v>
      </c>
      <c r="H58" s="100" t="s">
        <v>636</v>
      </c>
      <c r="I58" s="100" t="s">
        <v>589</v>
      </c>
      <c r="J58" s="100" t="s">
        <v>94</v>
      </c>
      <c r="K58" s="100"/>
      <c r="L58" s="100"/>
      <c r="M58" s="100" t="s">
        <v>95</v>
      </c>
      <c r="N58" s="100"/>
      <c r="O58" s="164"/>
    </row>
    <row r="59" spans="1:15">
      <c r="A59" s="108">
        <f t="shared" si="0"/>
        <v>58</v>
      </c>
      <c r="B59" s="108"/>
      <c r="C59" s="100" t="s">
        <v>700</v>
      </c>
      <c r="D59" s="100" t="s">
        <v>701</v>
      </c>
      <c r="E59" s="100" t="s">
        <v>699</v>
      </c>
      <c r="F59" s="100" t="s">
        <v>43</v>
      </c>
      <c r="G59" s="100" t="s">
        <v>87</v>
      </c>
      <c r="H59" s="100" t="s">
        <v>647</v>
      </c>
      <c r="I59" s="100" t="s">
        <v>583</v>
      </c>
      <c r="J59" s="100" t="s">
        <v>486</v>
      </c>
      <c r="K59" s="100"/>
      <c r="L59" s="100"/>
      <c r="M59" s="100" t="s">
        <v>95</v>
      </c>
      <c r="N59" s="100"/>
      <c r="O59" s="164"/>
    </row>
    <row r="60" spans="1:15">
      <c r="A60" s="101">
        <f t="shared" si="0"/>
        <v>59</v>
      </c>
      <c r="B60" s="101"/>
      <c r="C60" s="103" t="s">
        <v>702</v>
      </c>
      <c r="D60" s="113" t="s">
        <v>703</v>
      </c>
      <c r="E60" s="113" t="s">
        <v>565</v>
      </c>
      <c r="F60" s="103" t="s">
        <v>704</v>
      </c>
      <c r="G60" s="103" t="s">
        <v>85</v>
      </c>
      <c r="H60" s="104" t="s">
        <v>666</v>
      </c>
      <c r="I60" s="113" t="s">
        <v>705</v>
      </c>
      <c r="J60" s="113" t="s">
        <v>486</v>
      </c>
      <c r="K60" s="103"/>
      <c r="L60" s="103"/>
      <c r="M60" s="103" t="s">
        <v>302</v>
      </c>
      <c r="N60" s="103" t="s">
        <v>706</v>
      </c>
      <c r="O60" s="164"/>
    </row>
    <row r="61" spans="1:15">
      <c r="A61" s="98">
        <f t="shared" si="0"/>
        <v>60</v>
      </c>
      <c r="B61" s="98"/>
      <c r="C61" s="99" t="s">
        <v>707</v>
      </c>
      <c r="D61" s="114" t="s">
        <v>703</v>
      </c>
      <c r="E61" s="115" t="s">
        <v>565</v>
      </c>
      <c r="F61" s="99" t="s">
        <v>704</v>
      </c>
      <c r="G61" s="99" t="s">
        <v>87</v>
      </c>
      <c r="H61" s="110" t="s">
        <v>666</v>
      </c>
      <c r="I61" s="114" t="s">
        <v>705</v>
      </c>
      <c r="J61" s="114" t="s">
        <v>486</v>
      </c>
      <c r="K61" s="99"/>
      <c r="L61" s="99"/>
      <c r="M61" s="99" t="s">
        <v>95</v>
      </c>
      <c r="N61" s="99"/>
      <c r="O61" s="164"/>
    </row>
    <row r="62" spans="1:15">
      <c r="A62" s="109">
        <f t="shared" si="0"/>
        <v>61</v>
      </c>
      <c r="B62" s="109"/>
      <c r="C62" s="102" t="s">
        <v>708</v>
      </c>
      <c r="D62" s="116" t="s">
        <v>709</v>
      </c>
      <c r="E62" s="102" t="s">
        <v>595</v>
      </c>
      <c r="F62" s="102" t="s">
        <v>113</v>
      </c>
      <c r="G62" s="102" t="s">
        <v>85</v>
      </c>
      <c r="H62" s="117" t="s">
        <v>666</v>
      </c>
      <c r="I62" s="116" t="s">
        <v>568</v>
      </c>
      <c r="J62" s="116" t="s">
        <v>11</v>
      </c>
      <c r="K62" s="102"/>
      <c r="L62" s="102"/>
      <c r="M62" s="102" t="s">
        <v>302</v>
      </c>
      <c r="N62" s="102" t="s">
        <v>710</v>
      </c>
      <c r="O62" s="164"/>
    </row>
    <row r="63" spans="1:15">
      <c r="A63" s="108">
        <f t="shared" si="0"/>
        <v>62</v>
      </c>
      <c r="B63" s="108"/>
      <c r="C63" s="100" t="s">
        <v>711</v>
      </c>
      <c r="D63" s="118" t="s">
        <v>712</v>
      </c>
      <c r="E63" s="100" t="s">
        <v>565</v>
      </c>
      <c r="F63" s="100" t="s">
        <v>704</v>
      </c>
      <c r="G63" s="100" t="s">
        <v>87</v>
      </c>
      <c r="H63" s="100" t="s">
        <v>713</v>
      </c>
      <c r="I63" s="118" t="s">
        <v>583</v>
      </c>
      <c r="J63" s="118" t="s">
        <v>486</v>
      </c>
      <c r="K63" s="100"/>
      <c r="L63" s="100"/>
      <c r="M63" s="100" t="s">
        <v>95</v>
      </c>
      <c r="N63" s="100"/>
      <c r="O63" s="164"/>
    </row>
    <row r="64" spans="1:15">
      <c r="A64" s="109">
        <f t="shared" si="0"/>
        <v>63</v>
      </c>
      <c r="B64" s="109"/>
      <c r="C64" s="102" t="s">
        <v>714</v>
      </c>
      <c r="D64" s="116" t="s">
        <v>715</v>
      </c>
      <c r="E64" s="102" t="s">
        <v>595</v>
      </c>
      <c r="F64" s="102" t="s">
        <v>113</v>
      </c>
      <c r="G64" s="102" t="s">
        <v>87</v>
      </c>
      <c r="H64" s="102" t="s">
        <v>716</v>
      </c>
      <c r="I64" s="116" t="s">
        <v>568</v>
      </c>
      <c r="J64" s="116" t="s">
        <v>340</v>
      </c>
      <c r="K64" s="102"/>
      <c r="L64" s="102"/>
      <c r="M64" s="102" t="s">
        <v>302</v>
      </c>
      <c r="N64" s="102" t="s">
        <v>581</v>
      </c>
      <c r="O64" s="164"/>
    </row>
    <row r="65" spans="1:15">
      <c r="A65" s="109">
        <f t="shared" si="0"/>
        <v>64</v>
      </c>
      <c r="B65" s="109"/>
      <c r="C65" s="102" t="s">
        <v>717</v>
      </c>
      <c r="D65" s="116" t="s">
        <v>709</v>
      </c>
      <c r="E65" s="102" t="s">
        <v>595</v>
      </c>
      <c r="F65" s="102" t="s">
        <v>113</v>
      </c>
      <c r="G65" s="102" t="s">
        <v>85</v>
      </c>
      <c r="H65" s="117" t="s">
        <v>666</v>
      </c>
      <c r="I65" s="116" t="s">
        <v>568</v>
      </c>
      <c r="J65" s="116" t="s">
        <v>11</v>
      </c>
      <c r="K65" s="102"/>
      <c r="L65" s="102"/>
      <c r="M65" s="102" t="s">
        <v>302</v>
      </c>
      <c r="N65" s="102" t="s">
        <v>710</v>
      </c>
      <c r="O65" s="164"/>
    </row>
    <row r="66" spans="1:15">
      <c r="A66" s="109">
        <f t="shared" si="0"/>
        <v>65</v>
      </c>
      <c r="B66" s="109"/>
      <c r="C66" s="102" t="s">
        <v>718</v>
      </c>
      <c r="D66" s="111" t="s">
        <v>709</v>
      </c>
      <c r="E66" s="102" t="s">
        <v>595</v>
      </c>
      <c r="F66" s="102" t="s">
        <v>113</v>
      </c>
      <c r="G66" s="102" t="s">
        <v>85</v>
      </c>
      <c r="H66" s="117" t="s">
        <v>666</v>
      </c>
      <c r="I66" s="116" t="s">
        <v>568</v>
      </c>
      <c r="J66" s="116" t="s">
        <v>11</v>
      </c>
      <c r="K66" s="102"/>
      <c r="L66" s="102"/>
      <c r="M66" s="102" t="s">
        <v>302</v>
      </c>
      <c r="N66" s="102" t="s">
        <v>710</v>
      </c>
      <c r="O66" s="164"/>
    </row>
    <row r="67" spans="1:15">
      <c r="A67" s="109">
        <f t="shared" ref="A67:A130" si="1">IF(C67&lt;&gt;"",A66+1,"")</f>
        <v>66</v>
      </c>
      <c r="B67" s="109"/>
      <c r="C67" s="102" t="s">
        <v>719</v>
      </c>
      <c r="D67" s="111" t="s">
        <v>709</v>
      </c>
      <c r="E67" s="102" t="s">
        <v>595</v>
      </c>
      <c r="F67" s="102" t="s">
        <v>113</v>
      </c>
      <c r="G67" s="102" t="s">
        <v>85</v>
      </c>
      <c r="H67" s="117" t="s">
        <v>666</v>
      </c>
      <c r="I67" s="111" t="s">
        <v>568</v>
      </c>
      <c r="J67" s="111" t="s">
        <v>11</v>
      </c>
      <c r="K67" s="102"/>
      <c r="L67" s="102"/>
      <c r="M67" s="102" t="s">
        <v>302</v>
      </c>
      <c r="N67" s="102" t="s">
        <v>710</v>
      </c>
      <c r="O67" s="164"/>
    </row>
    <row r="68" spans="1:15">
      <c r="A68" s="109">
        <f t="shared" si="1"/>
        <v>67</v>
      </c>
      <c r="B68" s="109"/>
      <c r="C68" s="102" t="s">
        <v>720</v>
      </c>
      <c r="D68" s="111" t="s">
        <v>709</v>
      </c>
      <c r="E68" s="102" t="s">
        <v>595</v>
      </c>
      <c r="F68" s="102" t="s">
        <v>113</v>
      </c>
      <c r="G68" s="102" t="s">
        <v>85</v>
      </c>
      <c r="H68" s="117" t="s">
        <v>666</v>
      </c>
      <c r="I68" s="111" t="s">
        <v>568</v>
      </c>
      <c r="J68" s="111" t="s">
        <v>11</v>
      </c>
      <c r="K68" s="102"/>
      <c r="L68" s="102"/>
      <c r="M68" s="102" t="s">
        <v>302</v>
      </c>
      <c r="N68" s="102" t="s">
        <v>710</v>
      </c>
      <c r="O68" s="164"/>
    </row>
    <row r="69" spans="1:15">
      <c r="A69" s="106">
        <f t="shared" si="1"/>
        <v>68</v>
      </c>
      <c r="B69" s="106"/>
      <c r="C69" s="102" t="s">
        <v>721</v>
      </c>
      <c r="D69" s="102"/>
      <c r="E69" s="102" t="s">
        <v>595</v>
      </c>
      <c r="F69" s="102" t="s">
        <v>43</v>
      </c>
      <c r="G69" s="102" t="s">
        <v>87</v>
      </c>
      <c r="H69" s="102" t="s">
        <v>722</v>
      </c>
      <c r="I69" s="102" t="s">
        <v>568</v>
      </c>
      <c r="J69" s="102" t="s">
        <v>11</v>
      </c>
      <c r="K69" s="102"/>
      <c r="L69" s="102"/>
      <c r="M69" s="102" t="s">
        <v>302</v>
      </c>
      <c r="N69" s="102" t="s">
        <v>596</v>
      </c>
      <c r="O69" s="164"/>
    </row>
    <row r="70" spans="1:15">
      <c r="A70" s="108">
        <f t="shared" si="1"/>
        <v>69</v>
      </c>
      <c r="B70" s="108"/>
      <c r="C70" s="100" t="s">
        <v>723</v>
      </c>
      <c r="D70" s="119" t="s">
        <v>709</v>
      </c>
      <c r="E70" s="100" t="s">
        <v>595</v>
      </c>
      <c r="F70" s="100" t="s">
        <v>113</v>
      </c>
      <c r="G70" s="100" t="s">
        <v>85</v>
      </c>
      <c r="H70" s="100" t="s">
        <v>724</v>
      </c>
      <c r="I70" s="119" t="s">
        <v>725</v>
      </c>
      <c r="J70" s="119" t="s">
        <v>340</v>
      </c>
      <c r="K70" s="100"/>
      <c r="L70" s="100"/>
      <c r="M70" s="100" t="s">
        <v>95</v>
      </c>
      <c r="N70" s="100"/>
      <c r="O70" s="164"/>
    </row>
    <row r="71" spans="1:15">
      <c r="A71" s="101">
        <f t="shared" si="1"/>
        <v>70</v>
      </c>
      <c r="B71" s="101"/>
      <c r="C71" s="103" t="s">
        <v>726</v>
      </c>
      <c r="D71" s="103" t="s">
        <v>727</v>
      </c>
      <c r="E71" s="103" t="s">
        <v>196</v>
      </c>
      <c r="F71" s="103" t="s">
        <v>113</v>
      </c>
      <c r="G71" s="103" t="s">
        <v>87</v>
      </c>
      <c r="H71" s="103" t="s">
        <v>683</v>
      </c>
      <c r="I71" s="103"/>
      <c r="J71" s="103" t="s">
        <v>11</v>
      </c>
      <c r="K71" s="103"/>
      <c r="L71" s="103"/>
      <c r="M71" s="103" t="s">
        <v>302</v>
      </c>
      <c r="N71" s="103"/>
      <c r="O71" s="164"/>
    </row>
    <row r="72" spans="1:15">
      <c r="A72" s="108">
        <f t="shared" si="1"/>
        <v>71</v>
      </c>
      <c r="B72" s="108"/>
      <c r="C72" s="100" t="s">
        <v>728</v>
      </c>
      <c r="D72" s="119" t="s">
        <v>715</v>
      </c>
      <c r="E72" s="100" t="s">
        <v>595</v>
      </c>
      <c r="F72" s="100" t="s">
        <v>113</v>
      </c>
      <c r="G72" s="100" t="s">
        <v>87</v>
      </c>
      <c r="H72" s="100" t="s">
        <v>729</v>
      </c>
      <c r="I72" s="119" t="s">
        <v>730</v>
      </c>
      <c r="J72" s="119" t="s">
        <v>340</v>
      </c>
      <c r="K72" s="100"/>
      <c r="L72" s="100"/>
      <c r="M72" s="100" t="s">
        <v>95</v>
      </c>
      <c r="N72" s="100"/>
      <c r="O72" s="164"/>
    </row>
    <row r="73" spans="1:15">
      <c r="A73" s="98">
        <f t="shared" si="1"/>
        <v>72</v>
      </c>
      <c r="B73" s="98"/>
      <c r="C73" s="100" t="s">
        <v>731</v>
      </c>
      <c r="D73" s="99" t="s">
        <v>732</v>
      </c>
      <c r="E73" s="100" t="s">
        <v>565</v>
      </c>
      <c r="F73" s="100" t="s">
        <v>43</v>
      </c>
      <c r="G73" s="100" t="s">
        <v>87</v>
      </c>
      <c r="H73" s="100" t="s">
        <v>733</v>
      </c>
      <c r="I73" s="99" t="s">
        <v>583</v>
      </c>
      <c r="J73" s="100" t="s">
        <v>486</v>
      </c>
      <c r="K73" s="100"/>
      <c r="L73" s="100"/>
      <c r="M73" s="100" t="s">
        <v>95</v>
      </c>
      <c r="N73" s="100"/>
      <c r="O73" s="164"/>
    </row>
    <row r="74" spans="1:15">
      <c r="A74" s="98">
        <f t="shared" si="1"/>
        <v>73</v>
      </c>
      <c r="B74" s="98"/>
      <c r="C74" s="100" t="s">
        <v>734</v>
      </c>
      <c r="D74" s="118" t="s">
        <v>735</v>
      </c>
      <c r="E74" s="100" t="s">
        <v>202</v>
      </c>
      <c r="F74" s="100" t="s">
        <v>43</v>
      </c>
      <c r="G74" s="100" t="s">
        <v>85</v>
      </c>
      <c r="H74" s="100" t="s">
        <v>736</v>
      </c>
      <c r="I74" s="114" t="s">
        <v>568</v>
      </c>
      <c r="J74" s="118" t="s">
        <v>11</v>
      </c>
      <c r="K74" s="100"/>
      <c r="L74" s="100"/>
      <c r="M74" s="100" t="s">
        <v>302</v>
      </c>
      <c r="N74" s="100" t="s">
        <v>737</v>
      </c>
      <c r="O74" s="164"/>
    </row>
    <row r="75" spans="1:15">
      <c r="A75" s="101">
        <f t="shared" si="1"/>
        <v>74</v>
      </c>
      <c r="B75" s="101"/>
      <c r="C75" s="103" t="s">
        <v>738</v>
      </c>
      <c r="D75" s="103" t="s">
        <v>732</v>
      </c>
      <c r="E75" s="103" t="s">
        <v>30</v>
      </c>
      <c r="F75" s="103" t="s">
        <v>43</v>
      </c>
      <c r="G75" s="103" t="s">
        <v>644</v>
      </c>
      <c r="H75" s="103" t="s">
        <v>739</v>
      </c>
      <c r="I75" s="103" t="s">
        <v>583</v>
      </c>
      <c r="J75" s="103" t="s">
        <v>486</v>
      </c>
      <c r="K75" s="103"/>
      <c r="L75" s="103"/>
      <c r="M75" s="103" t="s">
        <v>302</v>
      </c>
      <c r="N75" s="103" t="s">
        <v>740</v>
      </c>
      <c r="O75" s="164"/>
    </row>
    <row r="76" spans="1:15">
      <c r="A76" s="98">
        <f t="shared" si="1"/>
        <v>75</v>
      </c>
      <c r="B76" s="98"/>
      <c r="C76" s="100" t="s">
        <v>741</v>
      </c>
      <c r="D76" s="99" t="s">
        <v>742</v>
      </c>
      <c r="E76" s="100" t="s">
        <v>202</v>
      </c>
      <c r="F76" s="100" t="s">
        <v>43</v>
      </c>
      <c r="G76" s="100" t="s">
        <v>85</v>
      </c>
      <c r="H76" s="110" t="s">
        <v>743</v>
      </c>
      <c r="I76" s="100"/>
      <c r="J76" s="100" t="s">
        <v>486</v>
      </c>
      <c r="K76" s="100"/>
      <c r="L76" s="100"/>
      <c r="M76" s="100" t="s">
        <v>95</v>
      </c>
      <c r="N76" s="100"/>
      <c r="O76" s="164"/>
    </row>
    <row r="77" spans="1:15">
      <c r="A77" s="106">
        <f t="shared" si="1"/>
        <v>76</v>
      </c>
      <c r="B77" s="106"/>
      <c r="C77" s="102" t="s">
        <v>744</v>
      </c>
      <c r="D77" s="102"/>
      <c r="E77" s="102" t="s">
        <v>196</v>
      </c>
      <c r="F77" s="102" t="s">
        <v>43</v>
      </c>
      <c r="G77" s="102" t="s">
        <v>85</v>
      </c>
      <c r="H77" s="102" t="s">
        <v>745</v>
      </c>
      <c r="I77" s="102" t="s">
        <v>568</v>
      </c>
      <c r="J77" s="102" t="s">
        <v>11</v>
      </c>
      <c r="K77" s="102"/>
      <c r="L77" s="102"/>
      <c r="M77" s="102" t="s">
        <v>302</v>
      </c>
      <c r="N77" s="102" t="s">
        <v>746</v>
      </c>
      <c r="O77" s="164"/>
    </row>
    <row r="78" spans="1:15">
      <c r="A78" s="106">
        <f t="shared" si="1"/>
        <v>77</v>
      </c>
      <c r="B78" s="106"/>
      <c r="C78" s="102" t="s">
        <v>747</v>
      </c>
      <c r="D78" s="102" t="s">
        <v>628</v>
      </c>
      <c r="E78" s="102" t="s">
        <v>196</v>
      </c>
      <c r="F78" s="102" t="s">
        <v>43</v>
      </c>
      <c r="G78" s="102" t="s">
        <v>85</v>
      </c>
      <c r="H78" s="102" t="s">
        <v>745</v>
      </c>
      <c r="I78" s="102" t="s">
        <v>568</v>
      </c>
      <c r="J78" s="102" t="s">
        <v>11</v>
      </c>
      <c r="K78" s="102"/>
      <c r="L78" s="102"/>
      <c r="M78" s="102" t="s">
        <v>302</v>
      </c>
      <c r="N78" s="102" t="s">
        <v>746</v>
      </c>
      <c r="O78" s="164"/>
    </row>
    <row r="79" spans="1:15">
      <c r="A79" s="98">
        <f t="shared" si="1"/>
        <v>78</v>
      </c>
      <c r="B79" s="98"/>
      <c r="C79" s="120" t="s">
        <v>748</v>
      </c>
      <c r="D79" s="100" t="s">
        <v>735</v>
      </c>
      <c r="E79" s="100" t="s">
        <v>202</v>
      </c>
      <c r="F79" s="100" t="s">
        <v>43</v>
      </c>
      <c r="G79" s="100" t="s">
        <v>85</v>
      </c>
      <c r="H79" s="100" t="s">
        <v>736</v>
      </c>
      <c r="I79" s="99" t="s">
        <v>749</v>
      </c>
      <c r="J79" s="100" t="s">
        <v>502</v>
      </c>
      <c r="K79" s="100"/>
      <c r="L79" s="100"/>
      <c r="M79" s="100" t="s">
        <v>95</v>
      </c>
      <c r="N79" s="100" t="s">
        <v>737</v>
      </c>
      <c r="O79" s="164"/>
    </row>
    <row r="80" spans="1:15">
      <c r="A80" s="98">
        <f t="shared" si="1"/>
        <v>79</v>
      </c>
      <c r="B80" s="98"/>
      <c r="C80" s="100" t="s">
        <v>750</v>
      </c>
      <c r="D80" s="100" t="s">
        <v>742</v>
      </c>
      <c r="E80" s="100" t="s">
        <v>202</v>
      </c>
      <c r="F80" s="100" t="s">
        <v>43</v>
      </c>
      <c r="G80" s="100" t="s">
        <v>85</v>
      </c>
      <c r="H80" s="100" t="s">
        <v>751</v>
      </c>
      <c r="I80" s="99" t="s">
        <v>583</v>
      </c>
      <c r="J80" s="100" t="s">
        <v>486</v>
      </c>
      <c r="K80" s="100"/>
      <c r="L80" s="100"/>
      <c r="M80" s="100" t="s">
        <v>95</v>
      </c>
      <c r="N80" s="100"/>
      <c r="O80" s="164"/>
    </row>
    <row r="81" spans="1:15">
      <c r="A81" s="98">
        <f t="shared" si="1"/>
        <v>80</v>
      </c>
      <c r="B81" s="98"/>
      <c r="C81" s="100" t="s">
        <v>752</v>
      </c>
      <c r="D81" s="99" t="s">
        <v>732</v>
      </c>
      <c r="E81" s="100" t="s">
        <v>565</v>
      </c>
      <c r="F81" s="100" t="s">
        <v>43</v>
      </c>
      <c r="G81" s="100" t="s">
        <v>87</v>
      </c>
      <c r="H81" s="100" t="s">
        <v>753</v>
      </c>
      <c r="I81" s="100" t="s">
        <v>583</v>
      </c>
      <c r="J81" s="100" t="s">
        <v>486</v>
      </c>
      <c r="K81" s="100"/>
      <c r="L81" s="100"/>
      <c r="M81" s="100" t="s">
        <v>95</v>
      </c>
      <c r="N81" s="100"/>
      <c r="O81" s="164"/>
    </row>
    <row r="82" spans="1:15">
      <c r="A82" s="121">
        <f t="shared" si="1"/>
        <v>81</v>
      </c>
      <c r="B82" s="121"/>
      <c r="C82" s="120" t="s">
        <v>754</v>
      </c>
      <c r="D82" s="122" t="s">
        <v>732</v>
      </c>
      <c r="E82" s="120" t="s">
        <v>565</v>
      </c>
      <c r="F82" s="120" t="s">
        <v>43</v>
      </c>
      <c r="G82" s="120" t="s">
        <v>85</v>
      </c>
      <c r="H82" s="120" t="s">
        <v>755</v>
      </c>
      <c r="I82" s="122" t="s">
        <v>583</v>
      </c>
      <c r="J82" s="100" t="s">
        <v>486</v>
      </c>
      <c r="K82" s="120"/>
      <c r="L82" s="120"/>
      <c r="M82" s="120" t="s">
        <v>95</v>
      </c>
      <c r="N82" s="120" t="s">
        <v>756</v>
      </c>
      <c r="O82" s="164"/>
    </row>
    <row r="83" spans="1:15">
      <c r="A83" s="108">
        <f t="shared" si="1"/>
        <v>82</v>
      </c>
      <c r="B83" s="108"/>
      <c r="C83" s="100" t="s">
        <v>757</v>
      </c>
      <c r="D83" s="119" t="s">
        <v>732</v>
      </c>
      <c r="E83" s="100" t="s">
        <v>565</v>
      </c>
      <c r="F83" s="100" t="s">
        <v>43</v>
      </c>
      <c r="G83" s="100" t="s">
        <v>85</v>
      </c>
      <c r="H83" s="100" t="s">
        <v>758</v>
      </c>
      <c r="I83" s="100" t="s">
        <v>583</v>
      </c>
      <c r="J83" s="100" t="s">
        <v>486</v>
      </c>
      <c r="K83" s="100"/>
      <c r="L83" s="100"/>
      <c r="M83" s="100" t="s">
        <v>95</v>
      </c>
      <c r="N83" s="100"/>
      <c r="O83" s="164"/>
    </row>
    <row r="84" spans="1:15">
      <c r="A84" s="108">
        <f t="shared" si="1"/>
        <v>83</v>
      </c>
      <c r="B84" s="108"/>
      <c r="C84" s="100" t="s">
        <v>759</v>
      </c>
      <c r="D84" s="119" t="s">
        <v>732</v>
      </c>
      <c r="E84" s="100" t="s">
        <v>565</v>
      </c>
      <c r="F84" s="100" t="s">
        <v>43</v>
      </c>
      <c r="G84" s="100" t="s">
        <v>85</v>
      </c>
      <c r="H84" s="100" t="s">
        <v>760</v>
      </c>
      <c r="I84" s="100" t="s">
        <v>568</v>
      </c>
      <c r="J84" s="100" t="s">
        <v>11</v>
      </c>
      <c r="L84" s="100"/>
      <c r="M84" s="100" t="s">
        <v>302</v>
      </c>
      <c r="N84" s="100" t="s">
        <v>761</v>
      </c>
      <c r="O84" s="164"/>
    </row>
    <row r="85" spans="1:15">
      <c r="A85" s="108">
        <f t="shared" si="1"/>
        <v>84</v>
      </c>
      <c r="B85" s="108"/>
      <c r="C85" s="100" t="s">
        <v>762</v>
      </c>
      <c r="D85" s="119" t="s">
        <v>732</v>
      </c>
      <c r="E85" s="100" t="s">
        <v>565</v>
      </c>
      <c r="F85" s="100" t="s">
        <v>43</v>
      </c>
      <c r="G85" s="100" t="s">
        <v>85</v>
      </c>
      <c r="H85" s="100" t="s">
        <v>760</v>
      </c>
      <c r="I85" s="100" t="s">
        <v>568</v>
      </c>
      <c r="J85" s="100" t="s">
        <v>11</v>
      </c>
      <c r="K85" s="102" t="s">
        <v>763</v>
      </c>
      <c r="L85" s="100"/>
      <c r="M85" s="100" t="s">
        <v>302</v>
      </c>
      <c r="N85" s="100"/>
      <c r="O85" s="164"/>
    </row>
    <row r="86" spans="1:15">
      <c r="A86" s="98">
        <f t="shared" si="1"/>
        <v>85</v>
      </c>
      <c r="B86" s="98"/>
      <c r="C86" s="99" t="s">
        <v>764</v>
      </c>
      <c r="D86" s="99" t="s">
        <v>732</v>
      </c>
      <c r="E86" s="99" t="s">
        <v>565</v>
      </c>
      <c r="F86" s="99" t="s">
        <v>43</v>
      </c>
      <c r="G86" s="99" t="s">
        <v>87</v>
      </c>
      <c r="H86" s="99" t="s">
        <v>765</v>
      </c>
      <c r="I86" s="99"/>
      <c r="J86" s="99" t="s">
        <v>486</v>
      </c>
      <c r="K86" s="99"/>
      <c r="L86" s="99"/>
      <c r="M86" s="99" t="s">
        <v>95</v>
      </c>
      <c r="N86" s="99"/>
      <c r="O86" s="164"/>
    </row>
    <row r="87" spans="1:15">
      <c r="A87" s="98">
        <f t="shared" si="1"/>
        <v>86</v>
      </c>
      <c r="B87" s="98"/>
      <c r="C87" s="100" t="s">
        <v>766</v>
      </c>
      <c r="D87" s="100" t="s">
        <v>585</v>
      </c>
      <c r="E87" s="100" t="s">
        <v>586</v>
      </c>
      <c r="F87" s="100" t="s">
        <v>380</v>
      </c>
      <c r="G87" s="100" t="s">
        <v>85</v>
      </c>
      <c r="H87" s="53" t="s">
        <v>587</v>
      </c>
      <c r="I87" s="100"/>
      <c r="J87" s="100" t="s">
        <v>165</v>
      </c>
      <c r="K87" s="100"/>
      <c r="L87" s="100"/>
      <c r="M87" s="100" t="s">
        <v>95</v>
      </c>
      <c r="N87" s="100"/>
      <c r="O87" s="164"/>
    </row>
    <row r="88" spans="1:15">
      <c r="A88" s="107">
        <f t="shared" si="1"/>
        <v>87</v>
      </c>
      <c r="B88" s="107"/>
      <c r="C88" s="120" t="s">
        <v>767</v>
      </c>
      <c r="D88" s="120" t="s">
        <v>768</v>
      </c>
      <c r="E88" s="120" t="s">
        <v>30</v>
      </c>
      <c r="F88" s="120" t="s">
        <v>195</v>
      </c>
      <c r="G88" s="120" t="s">
        <v>87</v>
      </c>
      <c r="H88" s="120" t="s">
        <v>769</v>
      </c>
      <c r="I88" s="100" t="s">
        <v>568</v>
      </c>
      <c r="J88" s="120" t="s">
        <v>11</v>
      </c>
      <c r="K88" s="120"/>
      <c r="L88" s="120"/>
      <c r="M88" s="100" t="s">
        <v>302</v>
      </c>
      <c r="N88" s="100" t="s">
        <v>770</v>
      </c>
      <c r="O88" s="164"/>
    </row>
    <row r="89" spans="1:15">
      <c r="A89" s="98">
        <f t="shared" si="1"/>
        <v>88</v>
      </c>
      <c r="B89" s="98"/>
      <c r="C89" s="99" t="s">
        <v>771</v>
      </c>
      <c r="D89" s="99" t="s">
        <v>768</v>
      </c>
      <c r="E89" s="99" t="s">
        <v>30</v>
      </c>
      <c r="F89" s="99" t="s">
        <v>195</v>
      </c>
      <c r="G89" s="99" t="s">
        <v>87</v>
      </c>
      <c r="H89" s="99" t="s">
        <v>772</v>
      </c>
      <c r="I89" s="99" t="s">
        <v>568</v>
      </c>
      <c r="J89" s="99" t="s">
        <v>11</v>
      </c>
      <c r="K89" s="99"/>
      <c r="L89" s="99"/>
      <c r="M89" s="100" t="s">
        <v>302</v>
      </c>
      <c r="N89" s="100" t="s">
        <v>770</v>
      </c>
      <c r="O89" s="164"/>
    </row>
    <row r="90" spans="1:15">
      <c r="A90" s="98">
        <f t="shared" si="1"/>
        <v>89</v>
      </c>
      <c r="B90" s="98"/>
      <c r="C90" s="99" t="s">
        <v>773</v>
      </c>
      <c r="D90" s="100" t="s">
        <v>768</v>
      </c>
      <c r="E90" s="99" t="s">
        <v>30</v>
      </c>
      <c r="F90" s="99" t="s">
        <v>195</v>
      </c>
      <c r="G90" s="99" t="s">
        <v>85</v>
      </c>
      <c r="H90" s="99" t="s">
        <v>772</v>
      </c>
      <c r="I90" s="100" t="s">
        <v>568</v>
      </c>
      <c r="J90" s="99" t="s">
        <v>11</v>
      </c>
      <c r="K90" s="99"/>
      <c r="L90" s="99"/>
      <c r="M90" s="100" t="s">
        <v>302</v>
      </c>
      <c r="N90" s="100" t="s">
        <v>770</v>
      </c>
      <c r="O90" s="164"/>
    </row>
    <row r="91" spans="1:15">
      <c r="A91" s="98">
        <f t="shared" si="1"/>
        <v>90</v>
      </c>
      <c r="B91" s="98"/>
      <c r="C91" s="100" t="s">
        <v>774</v>
      </c>
      <c r="D91" s="100" t="s">
        <v>768</v>
      </c>
      <c r="E91" s="100" t="s">
        <v>30</v>
      </c>
      <c r="F91" s="100" t="s">
        <v>195</v>
      </c>
      <c r="G91" s="100" t="s">
        <v>85</v>
      </c>
      <c r="H91" s="100" t="s">
        <v>775</v>
      </c>
      <c r="I91" s="100" t="s">
        <v>568</v>
      </c>
      <c r="J91" s="100" t="s">
        <v>11</v>
      </c>
      <c r="K91" s="100"/>
      <c r="L91" s="100"/>
      <c r="M91" s="100" t="s">
        <v>302</v>
      </c>
      <c r="N91" s="100" t="s">
        <v>770</v>
      </c>
      <c r="O91" s="164"/>
    </row>
    <row r="92" spans="1:15">
      <c r="A92" s="101">
        <f t="shared" si="1"/>
        <v>91</v>
      </c>
      <c r="B92" s="101"/>
      <c r="C92" s="102" t="s">
        <v>776</v>
      </c>
      <c r="D92" s="102" t="s">
        <v>577</v>
      </c>
      <c r="E92" s="102" t="s">
        <v>30</v>
      </c>
      <c r="F92" s="102" t="s">
        <v>113</v>
      </c>
      <c r="G92" s="102" t="s">
        <v>85</v>
      </c>
      <c r="H92" s="102" t="s">
        <v>777</v>
      </c>
      <c r="I92" s="102" t="s">
        <v>568</v>
      </c>
      <c r="J92" s="102" t="s">
        <v>11</v>
      </c>
      <c r="K92" s="102"/>
      <c r="L92" s="102"/>
      <c r="M92" s="102" t="s">
        <v>302</v>
      </c>
      <c r="N92" s="102" t="s">
        <v>575</v>
      </c>
      <c r="O92" s="164"/>
    </row>
    <row r="93" spans="1:15">
      <c r="A93" s="123">
        <f t="shared" si="1"/>
        <v>92</v>
      </c>
      <c r="B93" s="123"/>
      <c r="C93" s="100" t="s">
        <v>778</v>
      </c>
      <c r="D93" s="119" t="s">
        <v>732</v>
      </c>
      <c r="E93" s="119" t="s">
        <v>565</v>
      </c>
      <c r="F93" s="119" t="s">
        <v>43</v>
      </c>
      <c r="G93" s="100" t="s">
        <v>87</v>
      </c>
      <c r="H93" s="100" t="s">
        <v>722</v>
      </c>
      <c r="I93" s="119" t="s">
        <v>583</v>
      </c>
      <c r="J93" s="119" t="s">
        <v>486</v>
      </c>
      <c r="K93" s="119"/>
      <c r="L93" s="119"/>
      <c r="M93" s="119" t="s">
        <v>95</v>
      </c>
      <c r="N93" s="100"/>
      <c r="O93" s="164"/>
    </row>
    <row r="94" spans="1:15">
      <c r="A94" s="98">
        <f t="shared" si="1"/>
        <v>93</v>
      </c>
      <c r="B94" s="98"/>
      <c r="C94" s="100" t="s">
        <v>779</v>
      </c>
      <c r="D94" s="100" t="s">
        <v>577</v>
      </c>
      <c r="E94" s="100" t="s">
        <v>30</v>
      </c>
      <c r="F94" s="100" t="s">
        <v>113</v>
      </c>
      <c r="G94" s="100" t="s">
        <v>87</v>
      </c>
      <c r="H94" s="100" t="s">
        <v>780</v>
      </c>
      <c r="I94" s="100" t="s">
        <v>583</v>
      </c>
      <c r="J94" s="100" t="s">
        <v>486</v>
      </c>
      <c r="K94" s="100"/>
      <c r="L94" s="100"/>
      <c r="M94" s="100" t="s">
        <v>95</v>
      </c>
      <c r="N94" s="100"/>
      <c r="O94" s="164"/>
    </row>
    <row r="95" spans="1:15">
      <c r="A95" s="98">
        <f t="shared" si="1"/>
        <v>94</v>
      </c>
      <c r="B95" s="98"/>
      <c r="C95" s="100" t="s">
        <v>781</v>
      </c>
      <c r="D95" s="100" t="s">
        <v>577</v>
      </c>
      <c r="E95" s="100" t="s">
        <v>30</v>
      </c>
      <c r="F95" s="100" t="s">
        <v>113</v>
      </c>
      <c r="G95" s="100" t="s">
        <v>87</v>
      </c>
      <c r="H95" s="100" t="s">
        <v>780</v>
      </c>
      <c r="I95" s="100" t="s">
        <v>583</v>
      </c>
      <c r="J95" s="100" t="s">
        <v>486</v>
      </c>
      <c r="K95" s="100"/>
      <c r="L95" s="100"/>
      <c r="M95" s="100" t="s">
        <v>95</v>
      </c>
      <c r="N95" s="100"/>
      <c r="O95" s="164"/>
    </row>
    <row r="96" spans="1:15">
      <c r="A96" s="98">
        <f t="shared" si="1"/>
        <v>95</v>
      </c>
      <c r="B96" s="98"/>
      <c r="C96" s="99" t="s">
        <v>782</v>
      </c>
      <c r="D96" s="99" t="s">
        <v>678</v>
      </c>
      <c r="E96" s="99" t="s">
        <v>30</v>
      </c>
      <c r="F96" s="99" t="s">
        <v>113</v>
      </c>
      <c r="G96" s="99" t="s">
        <v>86</v>
      </c>
      <c r="H96" s="110" t="s">
        <v>783</v>
      </c>
      <c r="I96" s="99" t="s">
        <v>583</v>
      </c>
      <c r="J96" s="100" t="s">
        <v>486</v>
      </c>
      <c r="K96" s="99"/>
      <c r="L96" s="99"/>
      <c r="M96" s="99" t="s">
        <v>95</v>
      </c>
      <c r="N96" s="99"/>
      <c r="O96" s="164"/>
    </row>
    <row r="97" spans="1:15">
      <c r="A97" s="98">
        <f t="shared" si="1"/>
        <v>96</v>
      </c>
      <c r="B97" s="98"/>
      <c r="C97" s="102" t="s">
        <v>784</v>
      </c>
      <c r="D97" s="102" t="s">
        <v>646</v>
      </c>
      <c r="E97" s="102" t="s">
        <v>30</v>
      </c>
      <c r="F97" s="102" t="s">
        <v>43</v>
      </c>
      <c r="G97" s="102" t="s">
        <v>87</v>
      </c>
      <c r="H97" s="102" t="s">
        <v>785</v>
      </c>
      <c r="I97" s="102" t="s">
        <v>568</v>
      </c>
      <c r="J97" s="102" t="s">
        <v>11</v>
      </c>
      <c r="K97" s="102"/>
      <c r="L97" s="102"/>
      <c r="M97" s="102" t="s">
        <v>302</v>
      </c>
      <c r="N97" s="102" t="s">
        <v>746</v>
      </c>
      <c r="O97" s="164"/>
    </row>
    <row r="98" spans="1:15">
      <c r="A98" s="101">
        <f t="shared" si="1"/>
        <v>97</v>
      </c>
      <c r="B98" s="101"/>
      <c r="C98" s="102" t="s">
        <v>786</v>
      </c>
      <c r="D98" s="102" t="s">
        <v>577</v>
      </c>
      <c r="E98" s="102" t="s">
        <v>30</v>
      </c>
      <c r="F98" s="102" t="s">
        <v>113</v>
      </c>
      <c r="G98" s="102" t="s">
        <v>87</v>
      </c>
      <c r="H98" s="102" t="s">
        <v>780</v>
      </c>
      <c r="I98" s="102" t="s">
        <v>568</v>
      </c>
      <c r="J98" s="102" t="s">
        <v>11</v>
      </c>
      <c r="K98" s="102"/>
      <c r="L98" s="102"/>
      <c r="M98" s="102" t="s">
        <v>302</v>
      </c>
      <c r="N98" s="102"/>
      <c r="O98" s="164"/>
    </row>
    <row r="99" spans="1:15">
      <c r="A99" s="98">
        <f t="shared" si="1"/>
        <v>98</v>
      </c>
      <c r="B99" s="98"/>
      <c r="C99" s="100" t="s">
        <v>787</v>
      </c>
      <c r="D99" s="100" t="s">
        <v>646</v>
      </c>
      <c r="E99" s="100" t="s">
        <v>30</v>
      </c>
      <c r="F99" s="100" t="s">
        <v>43</v>
      </c>
      <c r="G99" s="100" t="s">
        <v>87</v>
      </c>
      <c r="H99" s="100" t="s">
        <v>671</v>
      </c>
      <c r="I99" s="100" t="s">
        <v>583</v>
      </c>
      <c r="J99" s="100" t="s">
        <v>486</v>
      </c>
      <c r="K99" s="100"/>
      <c r="L99" s="100"/>
      <c r="M99" s="100" t="s">
        <v>95</v>
      </c>
      <c r="N99" s="100"/>
      <c r="O99" s="164"/>
    </row>
    <row r="100" spans="1:15">
      <c r="A100" s="98">
        <f t="shared" si="1"/>
        <v>99</v>
      </c>
      <c r="B100" s="98"/>
      <c r="C100" s="100" t="s">
        <v>788</v>
      </c>
      <c r="D100" s="100" t="s">
        <v>646</v>
      </c>
      <c r="E100" s="100" t="s">
        <v>30</v>
      </c>
      <c r="F100" s="100" t="s">
        <v>43</v>
      </c>
      <c r="G100" s="100" t="s">
        <v>86</v>
      </c>
      <c r="H100" s="100" t="s">
        <v>679</v>
      </c>
      <c r="I100" s="99" t="s">
        <v>583</v>
      </c>
      <c r="J100" s="100" t="s">
        <v>486</v>
      </c>
      <c r="K100" s="100"/>
      <c r="L100" s="100"/>
      <c r="M100" s="100" t="s">
        <v>95</v>
      </c>
      <c r="N100" s="100"/>
      <c r="O100" s="164"/>
    </row>
    <row r="101" spans="1:15">
      <c r="A101" s="98">
        <f t="shared" si="1"/>
        <v>100</v>
      </c>
      <c r="B101" s="98"/>
      <c r="C101" s="100" t="s">
        <v>789</v>
      </c>
      <c r="D101" s="100" t="s">
        <v>646</v>
      </c>
      <c r="E101" s="100" t="s">
        <v>30</v>
      </c>
      <c r="F101" s="100" t="s">
        <v>43</v>
      </c>
      <c r="G101" s="100" t="s">
        <v>85</v>
      </c>
      <c r="H101" s="100" t="s">
        <v>679</v>
      </c>
      <c r="I101" s="99" t="s">
        <v>583</v>
      </c>
      <c r="J101" s="100" t="s">
        <v>486</v>
      </c>
      <c r="K101" s="100"/>
      <c r="L101" s="100"/>
      <c r="M101" s="100" t="s">
        <v>95</v>
      </c>
      <c r="N101" s="100"/>
      <c r="O101" s="164"/>
    </row>
    <row r="102" spans="1:15">
      <c r="A102" s="98">
        <f t="shared" si="1"/>
        <v>101</v>
      </c>
      <c r="B102" s="98"/>
      <c r="C102" s="100" t="s">
        <v>790</v>
      </c>
      <c r="D102" s="100" t="s">
        <v>678</v>
      </c>
      <c r="E102" s="100" t="s">
        <v>30</v>
      </c>
      <c r="F102" s="100" t="s">
        <v>113</v>
      </c>
      <c r="G102" s="100" t="s">
        <v>87</v>
      </c>
      <c r="H102" s="110" t="s">
        <v>639</v>
      </c>
      <c r="I102" s="99" t="s">
        <v>583</v>
      </c>
      <c r="J102" s="100" t="s">
        <v>486</v>
      </c>
      <c r="K102" s="100"/>
      <c r="L102" s="100"/>
      <c r="M102" s="100" t="s">
        <v>95</v>
      </c>
      <c r="N102" s="100"/>
      <c r="O102" s="164"/>
    </row>
    <row r="103" spans="1:15">
      <c r="A103" s="98">
        <f t="shared" si="1"/>
        <v>102</v>
      </c>
      <c r="B103" s="98"/>
      <c r="C103" s="99" t="s">
        <v>791</v>
      </c>
      <c r="D103" s="100" t="s">
        <v>678</v>
      </c>
      <c r="E103" s="99" t="s">
        <v>30</v>
      </c>
      <c r="F103" s="99" t="s">
        <v>113</v>
      </c>
      <c r="G103" s="99" t="s">
        <v>85</v>
      </c>
      <c r="H103" s="99" t="s">
        <v>792</v>
      </c>
      <c r="I103" s="99" t="s">
        <v>793</v>
      </c>
      <c r="J103" s="100" t="s">
        <v>486</v>
      </c>
      <c r="K103" s="99"/>
      <c r="L103" s="99"/>
      <c r="M103" s="99" t="s">
        <v>95</v>
      </c>
      <c r="N103" s="99"/>
      <c r="O103" s="164"/>
    </row>
    <row r="104" spans="1:15">
      <c r="A104" s="98">
        <f t="shared" si="1"/>
        <v>103</v>
      </c>
      <c r="B104" s="98"/>
      <c r="C104" s="100" t="s">
        <v>794</v>
      </c>
      <c r="D104" s="99" t="s">
        <v>732</v>
      </c>
      <c r="E104" s="100" t="s">
        <v>565</v>
      </c>
      <c r="F104" s="100" t="s">
        <v>43</v>
      </c>
      <c r="G104" s="100" t="s">
        <v>85</v>
      </c>
      <c r="H104" s="100" t="s">
        <v>795</v>
      </c>
      <c r="I104" s="99" t="s">
        <v>583</v>
      </c>
      <c r="J104" s="100" t="s">
        <v>486</v>
      </c>
      <c r="K104" s="100"/>
      <c r="L104" s="100"/>
      <c r="M104" s="100" t="s">
        <v>95</v>
      </c>
      <c r="N104" s="100"/>
      <c r="O104" s="164"/>
    </row>
    <row r="105" spans="1:15">
      <c r="A105" s="98">
        <f t="shared" si="1"/>
        <v>104</v>
      </c>
      <c r="B105" s="98"/>
      <c r="C105" s="100" t="s">
        <v>796</v>
      </c>
      <c r="D105" s="99" t="s">
        <v>797</v>
      </c>
      <c r="E105" s="100" t="s">
        <v>91</v>
      </c>
      <c r="F105" s="100" t="s">
        <v>473</v>
      </c>
      <c r="G105" s="100" t="s">
        <v>85</v>
      </c>
      <c r="H105" s="100" t="s">
        <v>666</v>
      </c>
      <c r="I105" s="100"/>
      <c r="J105" s="100" t="s">
        <v>170</v>
      </c>
      <c r="K105" s="100"/>
      <c r="L105" s="100"/>
      <c r="M105" s="100" t="s">
        <v>95</v>
      </c>
      <c r="N105" s="100"/>
      <c r="O105" s="164"/>
    </row>
    <row r="106" spans="1:15">
      <c r="A106" s="98">
        <f t="shared" si="1"/>
        <v>105</v>
      </c>
      <c r="B106" s="98"/>
      <c r="C106" s="100" t="s">
        <v>798</v>
      </c>
      <c r="D106" s="99" t="s">
        <v>797</v>
      </c>
      <c r="E106" s="100" t="s">
        <v>91</v>
      </c>
      <c r="F106" s="100" t="s">
        <v>473</v>
      </c>
      <c r="G106" s="100" t="s">
        <v>85</v>
      </c>
      <c r="H106" s="100" t="s">
        <v>666</v>
      </c>
      <c r="I106" s="100"/>
      <c r="J106" s="100" t="s">
        <v>170</v>
      </c>
      <c r="K106" s="100"/>
      <c r="L106" s="100"/>
      <c r="M106" s="100" t="s">
        <v>95</v>
      </c>
      <c r="N106" s="100"/>
      <c r="O106" s="164"/>
    </row>
    <row r="107" spans="1:15">
      <c r="A107" s="98">
        <f t="shared" si="1"/>
        <v>106</v>
      </c>
      <c r="B107" s="98"/>
      <c r="C107" s="100" t="s">
        <v>799</v>
      </c>
      <c r="D107" s="99" t="s">
        <v>797</v>
      </c>
      <c r="E107" s="100" t="s">
        <v>91</v>
      </c>
      <c r="F107" s="100" t="s">
        <v>473</v>
      </c>
      <c r="G107" s="100" t="s">
        <v>85</v>
      </c>
      <c r="H107" s="100" t="s">
        <v>666</v>
      </c>
      <c r="I107" s="100"/>
      <c r="J107" s="100" t="s">
        <v>170</v>
      </c>
      <c r="K107" s="100"/>
      <c r="L107" s="100"/>
      <c r="M107" s="100" t="s">
        <v>95</v>
      </c>
      <c r="N107" s="100"/>
      <c r="O107" s="164"/>
    </row>
    <row r="108" spans="1:15">
      <c r="A108" s="98">
        <f t="shared" si="1"/>
        <v>107</v>
      </c>
      <c r="B108" s="98"/>
      <c r="C108" s="100" t="s">
        <v>800</v>
      </c>
      <c r="D108" s="100" t="s">
        <v>585</v>
      </c>
      <c r="E108" s="100" t="s">
        <v>801</v>
      </c>
      <c r="F108" s="100" t="s">
        <v>113</v>
      </c>
      <c r="G108" s="100" t="s">
        <v>85</v>
      </c>
      <c r="H108" s="53" t="s">
        <v>587</v>
      </c>
      <c r="I108" s="100"/>
      <c r="J108" s="100" t="s">
        <v>165</v>
      </c>
      <c r="K108" s="100"/>
      <c r="L108" s="100"/>
      <c r="M108" s="100" t="s">
        <v>95</v>
      </c>
      <c r="N108" s="100"/>
      <c r="O108" s="164"/>
    </row>
    <row r="109" spans="1:15">
      <c r="A109" s="98">
        <f t="shared" si="1"/>
        <v>108</v>
      </c>
      <c r="B109" s="98"/>
      <c r="C109" s="100" t="s">
        <v>802</v>
      </c>
      <c r="D109" s="100" t="s">
        <v>585</v>
      </c>
      <c r="E109" s="100" t="s">
        <v>801</v>
      </c>
      <c r="F109" s="100" t="s">
        <v>113</v>
      </c>
      <c r="G109" s="100" t="s">
        <v>85</v>
      </c>
      <c r="H109" s="53" t="s">
        <v>587</v>
      </c>
      <c r="I109" s="100"/>
      <c r="J109" s="100" t="s">
        <v>165</v>
      </c>
      <c r="K109" s="100"/>
      <c r="L109" s="100"/>
      <c r="M109" s="100" t="s">
        <v>95</v>
      </c>
      <c r="N109" s="100"/>
      <c r="O109" s="164"/>
    </row>
    <row r="110" spans="1:15">
      <c r="A110" s="98">
        <f t="shared" si="1"/>
        <v>109</v>
      </c>
      <c r="B110" s="98"/>
      <c r="C110" s="100" t="s">
        <v>803</v>
      </c>
      <c r="D110" s="100" t="s">
        <v>585</v>
      </c>
      <c r="E110" s="100" t="s">
        <v>586</v>
      </c>
      <c r="F110" s="100" t="s">
        <v>380</v>
      </c>
      <c r="G110" s="100" t="s">
        <v>85</v>
      </c>
      <c r="H110" s="53" t="s">
        <v>587</v>
      </c>
      <c r="I110" s="100"/>
      <c r="J110" s="100" t="s">
        <v>165</v>
      </c>
      <c r="K110" s="100"/>
      <c r="L110" s="100"/>
      <c r="M110" s="100" t="s">
        <v>95</v>
      </c>
      <c r="N110" s="100"/>
      <c r="O110" s="164"/>
    </row>
    <row r="111" spans="1:15">
      <c r="A111" s="101">
        <f t="shared" si="1"/>
        <v>110</v>
      </c>
      <c r="B111" s="101"/>
      <c r="C111" s="103" t="s">
        <v>804</v>
      </c>
      <c r="D111" s="103" t="s">
        <v>665</v>
      </c>
      <c r="E111" s="103" t="s">
        <v>52</v>
      </c>
      <c r="F111" s="103" t="s">
        <v>166</v>
      </c>
      <c r="G111" s="103" t="s">
        <v>85</v>
      </c>
      <c r="H111" s="112" t="s">
        <v>666</v>
      </c>
      <c r="I111" s="103" t="s">
        <v>673</v>
      </c>
      <c r="J111" s="103" t="s">
        <v>312</v>
      </c>
      <c r="K111" s="103"/>
      <c r="L111" s="103"/>
      <c r="M111" s="103" t="s">
        <v>302</v>
      </c>
      <c r="N111" s="103" t="s">
        <v>805</v>
      </c>
      <c r="O111" s="164"/>
    </row>
    <row r="112" spans="1:15">
      <c r="A112" s="98">
        <f t="shared" si="1"/>
        <v>111</v>
      </c>
      <c r="B112" s="98"/>
      <c r="C112" s="100" t="s">
        <v>806</v>
      </c>
      <c r="D112" s="100" t="s">
        <v>628</v>
      </c>
      <c r="E112" s="100" t="s">
        <v>196</v>
      </c>
      <c r="F112" s="100" t="s">
        <v>43</v>
      </c>
      <c r="G112" s="100" t="s">
        <v>85</v>
      </c>
      <c r="H112" s="100" t="s">
        <v>807</v>
      </c>
      <c r="I112" s="100" t="s">
        <v>583</v>
      </c>
      <c r="J112" s="100" t="s">
        <v>486</v>
      </c>
      <c r="K112" s="100"/>
      <c r="L112" s="100"/>
      <c r="M112" s="100" t="s">
        <v>95</v>
      </c>
      <c r="N112" s="100"/>
      <c r="O112" s="164"/>
    </row>
    <row r="113" spans="1:15">
      <c r="A113" s="101">
        <f t="shared" si="1"/>
        <v>112</v>
      </c>
      <c r="B113" s="101"/>
      <c r="C113" s="102" t="s">
        <v>808</v>
      </c>
      <c r="D113" s="102" t="s">
        <v>694</v>
      </c>
      <c r="E113" s="102" t="s">
        <v>52</v>
      </c>
      <c r="F113" s="102" t="s">
        <v>113</v>
      </c>
      <c r="G113" s="102" t="s">
        <v>85</v>
      </c>
      <c r="H113" s="102"/>
      <c r="I113" s="102" t="s">
        <v>568</v>
      </c>
      <c r="J113" s="102" t="s">
        <v>11</v>
      </c>
      <c r="K113" s="102"/>
      <c r="L113" s="102"/>
      <c r="M113" s="102" t="s">
        <v>302</v>
      </c>
      <c r="N113" s="102" t="s">
        <v>575</v>
      </c>
      <c r="O113" s="164"/>
    </row>
    <row r="114" spans="1:15">
      <c r="A114" s="101">
        <f t="shared" si="1"/>
        <v>113</v>
      </c>
      <c r="B114" s="101"/>
      <c r="C114" s="102" t="s">
        <v>809</v>
      </c>
      <c r="D114" s="102" t="s">
        <v>810</v>
      </c>
      <c r="E114" s="102" t="s">
        <v>52</v>
      </c>
      <c r="F114" s="102" t="s">
        <v>113</v>
      </c>
      <c r="G114" s="102" t="s">
        <v>87</v>
      </c>
      <c r="H114" s="102" t="s">
        <v>811</v>
      </c>
      <c r="I114" s="102" t="s">
        <v>568</v>
      </c>
      <c r="J114" s="102" t="s">
        <v>11</v>
      </c>
      <c r="K114" s="102"/>
      <c r="L114" s="102"/>
      <c r="M114" s="102" t="s">
        <v>302</v>
      </c>
      <c r="N114" s="102"/>
      <c r="O114" s="164"/>
    </row>
    <row r="115" spans="1:15">
      <c r="A115" s="124">
        <f t="shared" si="1"/>
        <v>114</v>
      </c>
      <c r="B115" s="124"/>
      <c r="C115" s="99" t="s">
        <v>812</v>
      </c>
      <c r="D115" s="125" t="s">
        <v>694</v>
      </c>
      <c r="E115" s="99" t="s">
        <v>52</v>
      </c>
      <c r="F115" s="99" t="s">
        <v>113</v>
      </c>
      <c r="G115" s="99" t="s">
        <v>86</v>
      </c>
      <c r="H115" s="105" t="s">
        <v>813</v>
      </c>
      <c r="I115" s="105" t="s">
        <v>696</v>
      </c>
      <c r="J115" s="99" t="s">
        <v>312</v>
      </c>
      <c r="K115" s="99"/>
      <c r="L115" s="99"/>
      <c r="M115" s="99" t="s">
        <v>95</v>
      </c>
      <c r="N115" s="99"/>
      <c r="O115" s="164"/>
    </row>
    <row r="116" spans="1:15">
      <c r="A116" s="101">
        <f t="shared" si="1"/>
        <v>115</v>
      </c>
      <c r="B116" s="101"/>
      <c r="C116" s="102" t="s">
        <v>814</v>
      </c>
      <c r="D116" s="102"/>
      <c r="E116" s="102" t="s">
        <v>52</v>
      </c>
      <c r="F116" s="102" t="s">
        <v>815</v>
      </c>
      <c r="G116" s="102" t="s">
        <v>85</v>
      </c>
      <c r="H116" s="102" t="s">
        <v>636</v>
      </c>
      <c r="I116" s="102" t="s">
        <v>589</v>
      </c>
      <c r="J116" s="102" t="s">
        <v>62</v>
      </c>
      <c r="K116" s="102"/>
      <c r="L116" s="102"/>
      <c r="M116" s="102" t="s">
        <v>302</v>
      </c>
      <c r="N116" s="102" t="s">
        <v>816</v>
      </c>
      <c r="O116" s="164"/>
    </row>
    <row r="117" spans="1:15">
      <c r="A117" s="101">
        <f t="shared" si="1"/>
        <v>116</v>
      </c>
      <c r="B117" s="101"/>
      <c r="C117" s="102" t="s">
        <v>817</v>
      </c>
      <c r="D117" s="102"/>
      <c r="E117" s="102" t="s">
        <v>52</v>
      </c>
      <c r="F117" s="102" t="s">
        <v>815</v>
      </c>
      <c r="G117" s="102" t="s">
        <v>85</v>
      </c>
      <c r="H117" s="102" t="s">
        <v>636</v>
      </c>
      <c r="I117" s="102" t="s">
        <v>589</v>
      </c>
      <c r="J117" s="102" t="s">
        <v>62</v>
      </c>
      <c r="K117" s="102"/>
      <c r="L117" s="102"/>
      <c r="M117" s="102" t="s">
        <v>302</v>
      </c>
      <c r="N117" s="102" t="s">
        <v>816</v>
      </c>
      <c r="O117" s="164"/>
    </row>
    <row r="118" spans="1:15">
      <c r="A118" s="124">
        <f t="shared" si="1"/>
        <v>117</v>
      </c>
      <c r="B118" s="124"/>
      <c r="C118" s="99" t="s">
        <v>818</v>
      </c>
      <c r="D118" s="125" t="s">
        <v>810</v>
      </c>
      <c r="E118" s="99" t="s">
        <v>52</v>
      </c>
      <c r="F118" s="99" t="s">
        <v>113</v>
      </c>
      <c r="G118" s="99" t="s">
        <v>85</v>
      </c>
      <c r="H118" s="105" t="s">
        <v>819</v>
      </c>
      <c r="I118" s="105" t="s">
        <v>696</v>
      </c>
      <c r="J118" s="99" t="s">
        <v>312</v>
      </c>
      <c r="K118" s="99"/>
      <c r="L118" s="99"/>
      <c r="M118" s="99" t="s">
        <v>95</v>
      </c>
      <c r="N118" s="99"/>
      <c r="O118" s="164"/>
    </row>
    <row r="119" spans="1:15">
      <c r="A119" s="101">
        <f t="shared" si="1"/>
        <v>118</v>
      </c>
      <c r="B119" s="101"/>
      <c r="C119" s="102" t="s">
        <v>820</v>
      </c>
      <c r="D119" s="102"/>
      <c r="E119" s="102" t="s">
        <v>30</v>
      </c>
      <c r="F119" s="102" t="s">
        <v>44</v>
      </c>
      <c r="G119" s="102" t="s">
        <v>87</v>
      </c>
      <c r="H119" s="102" t="s">
        <v>821</v>
      </c>
      <c r="I119" s="102" t="s">
        <v>568</v>
      </c>
      <c r="J119" s="102" t="s">
        <v>11</v>
      </c>
      <c r="K119" s="102"/>
      <c r="L119" s="102"/>
      <c r="M119" s="102" t="s">
        <v>302</v>
      </c>
      <c r="N119" s="102" t="s">
        <v>591</v>
      </c>
      <c r="O119" s="164"/>
    </row>
    <row r="120" spans="1:15">
      <c r="A120" s="98">
        <f t="shared" si="1"/>
        <v>119</v>
      </c>
      <c r="B120" s="98"/>
      <c r="C120" s="100" t="s">
        <v>822</v>
      </c>
      <c r="D120" s="100" t="s">
        <v>823</v>
      </c>
      <c r="E120" s="100" t="s">
        <v>30</v>
      </c>
      <c r="F120" s="100" t="s">
        <v>38</v>
      </c>
      <c r="G120" s="100" t="s">
        <v>87</v>
      </c>
      <c r="H120" s="100" t="s">
        <v>824</v>
      </c>
      <c r="I120" s="100" t="s">
        <v>583</v>
      </c>
      <c r="J120" s="100" t="s">
        <v>486</v>
      </c>
      <c r="K120" s="100"/>
      <c r="L120" s="100"/>
      <c r="M120" s="100" t="s">
        <v>95</v>
      </c>
      <c r="N120" s="100"/>
      <c r="O120" s="164"/>
    </row>
    <row r="121" spans="1:15">
      <c r="A121" s="98">
        <f t="shared" si="1"/>
        <v>120</v>
      </c>
      <c r="B121" s="98"/>
      <c r="C121" s="100" t="s">
        <v>825</v>
      </c>
      <c r="D121" s="100" t="s">
        <v>646</v>
      </c>
      <c r="E121" s="100" t="s">
        <v>30</v>
      </c>
      <c r="F121" s="100" t="s">
        <v>43</v>
      </c>
      <c r="G121" s="100" t="s">
        <v>87</v>
      </c>
      <c r="H121" s="100" t="s">
        <v>824</v>
      </c>
      <c r="I121" s="100" t="s">
        <v>583</v>
      </c>
      <c r="J121" s="100" t="s">
        <v>486</v>
      </c>
      <c r="K121" s="100"/>
      <c r="L121" s="100"/>
      <c r="M121" s="100" t="s">
        <v>95</v>
      </c>
      <c r="N121" s="100"/>
      <c r="O121" s="164"/>
    </row>
    <row r="122" spans="1:15">
      <c r="A122" s="98">
        <f t="shared" si="1"/>
        <v>121</v>
      </c>
      <c r="B122" s="98"/>
      <c r="C122" s="100" t="s">
        <v>826</v>
      </c>
      <c r="D122" s="100" t="s">
        <v>646</v>
      </c>
      <c r="E122" s="100" t="s">
        <v>30</v>
      </c>
      <c r="F122" s="100" t="s">
        <v>43</v>
      </c>
      <c r="G122" s="100" t="s">
        <v>87</v>
      </c>
      <c r="H122" s="100" t="s">
        <v>824</v>
      </c>
      <c r="I122" s="100" t="s">
        <v>583</v>
      </c>
      <c r="J122" s="100" t="s">
        <v>486</v>
      </c>
      <c r="K122" s="100"/>
      <c r="L122" s="100"/>
      <c r="M122" s="100" t="s">
        <v>95</v>
      </c>
      <c r="N122" s="100"/>
      <c r="O122" s="164"/>
    </row>
    <row r="123" spans="1:15">
      <c r="A123" s="98">
        <f t="shared" si="1"/>
        <v>122</v>
      </c>
      <c r="B123" s="98"/>
      <c r="C123" s="100" t="s">
        <v>827</v>
      </c>
      <c r="D123" s="100" t="s">
        <v>628</v>
      </c>
      <c r="E123" s="100" t="s">
        <v>196</v>
      </c>
      <c r="F123" s="100" t="s">
        <v>43</v>
      </c>
      <c r="G123" s="100" t="s">
        <v>85</v>
      </c>
      <c r="H123" s="100" t="s">
        <v>828</v>
      </c>
      <c r="I123" s="100" t="s">
        <v>583</v>
      </c>
      <c r="J123" s="100" t="s">
        <v>486</v>
      </c>
      <c r="K123" s="100"/>
      <c r="L123" s="100"/>
      <c r="M123" s="100" t="s">
        <v>95</v>
      </c>
      <c r="N123" s="100"/>
      <c r="O123" s="164"/>
    </row>
    <row r="124" spans="1:15">
      <c r="A124" s="98">
        <f t="shared" si="1"/>
        <v>123</v>
      </c>
      <c r="B124" s="98"/>
      <c r="C124" s="100" t="s">
        <v>829</v>
      </c>
      <c r="D124" s="119" t="s">
        <v>830</v>
      </c>
      <c r="E124" s="119" t="s">
        <v>595</v>
      </c>
      <c r="F124" s="100" t="s">
        <v>19</v>
      </c>
      <c r="G124" s="100" t="s">
        <v>85</v>
      </c>
      <c r="H124" s="100" t="s">
        <v>831</v>
      </c>
      <c r="I124" s="119" t="s">
        <v>730</v>
      </c>
      <c r="J124" s="119" t="s">
        <v>340</v>
      </c>
      <c r="K124" s="100"/>
      <c r="L124" s="100"/>
      <c r="M124" s="100" t="s">
        <v>95</v>
      </c>
      <c r="N124" s="100"/>
      <c r="O124" s="164"/>
    </row>
    <row r="125" spans="1:15">
      <c r="A125" s="98">
        <f t="shared" si="1"/>
        <v>124</v>
      </c>
      <c r="B125" s="98"/>
      <c r="C125" s="100" t="s">
        <v>832</v>
      </c>
      <c r="D125" s="100" t="s">
        <v>833</v>
      </c>
      <c r="E125" s="100" t="s">
        <v>595</v>
      </c>
      <c r="F125" s="100" t="s">
        <v>19</v>
      </c>
      <c r="G125" s="100" t="s">
        <v>87</v>
      </c>
      <c r="H125" s="100" t="s">
        <v>834</v>
      </c>
      <c r="I125" s="100" t="s">
        <v>636</v>
      </c>
      <c r="J125" s="100" t="s">
        <v>13</v>
      </c>
      <c r="K125" s="100"/>
      <c r="L125" s="100"/>
      <c r="M125" s="100" t="s">
        <v>95</v>
      </c>
      <c r="N125" s="100"/>
      <c r="O125" s="164"/>
    </row>
    <row r="126" spans="1:15">
      <c r="A126" s="98">
        <f t="shared" si="1"/>
        <v>125</v>
      </c>
      <c r="B126" s="98"/>
      <c r="C126" s="100" t="s">
        <v>835</v>
      </c>
      <c r="D126" s="100" t="s">
        <v>830</v>
      </c>
      <c r="E126" s="100" t="s">
        <v>595</v>
      </c>
      <c r="F126" s="100" t="s">
        <v>19</v>
      </c>
      <c r="G126" s="100" t="s">
        <v>85</v>
      </c>
      <c r="H126" s="100" t="s">
        <v>683</v>
      </c>
      <c r="I126" s="100"/>
      <c r="J126" s="100" t="s">
        <v>340</v>
      </c>
      <c r="K126" s="100"/>
      <c r="L126" s="100"/>
      <c r="M126" s="100" t="s">
        <v>95</v>
      </c>
      <c r="N126" s="100"/>
      <c r="O126" s="164"/>
    </row>
    <row r="127" spans="1:15">
      <c r="A127" s="101">
        <f t="shared" si="1"/>
        <v>126</v>
      </c>
      <c r="B127" s="101"/>
      <c r="C127" s="102" t="s">
        <v>836</v>
      </c>
      <c r="D127" s="102" t="s">
        <v>628</v>
      </c>
      <c r="E127" s="102" t="s">
        <v>196</v>
      </c>
      <c r="F127" s="102" t="s">
        <v>43</v>
      </c>
      <c r="G127" s="102" t="s">
        <v>85</v>
      </c>
      <c r="H127" s="102" t="s">
        <v>837</v>
      </c>
      <c r="I127" s="102" t="s">
        <v>568</v>
      </c>
      <c r="J127" s="102" t="s">
        <v>11</v>
      </c>
      <c r="K127" s="102"/>
      <c r="L127" s="102"/>
      <c r="M127" s="102" t="s">
        <v>302</v>
      </c>
      <c r="N127" s="102" t="s">
        <v>746</v>
      </c>
      <c r="O127" s="164"/>
    </row>
    <row r="128" spans="1:15">
      <c r="A128" s="101">
        <f t="shared" si="1"/>
        <v>127</v>
      </c>
      <c r="B128" s="101"/>
      <c r="C128" s="102" t="s">
        <v>838</v>
      </c>
      <c r="D128" s="102" t="s">
        <v>628</v>
      </c>
      <c r="E128" s="102" t="s">
        <v>196</v>
      </c>
      <c r="F128" s="102" t="s">
        <v>43</v>
      </c>
      <c r="G128" s="102" t="s">
        <v>85</v>
      </c>
      <c r="H128" s="102" t="s">
        <v>837</v>
      </c>
      <c r="I128" s="102" t="s">
        <v>568</v>
      </c>
      <c r="J128" s="102" t="s">
        <v>11</v>
      </c>
      <c r="K128" s="102"/>
      <c r="L128" s="102"/>
      <c r="M128" s="102" t="s">
        <v>302</v>
      </c>
      <c r="N128" s="102" t="s">
        <v>746</v>
      </c>
      <c r="O128" s="164"/>
    </row>
    <row r="129" spans="1:15">
      <c r="A129" s="98">
        <f t="shared" si="1"/>
        <v>128</v>
      </c>
      <c r="B129" s="98"/>
      <c r="C129" s="100" t="s">
        <v>839</v>
      </c>
      <c r="D129" s="100" t="s">
        <v>585</v>
      </c>
      <c r="E129" s="100" t="s">
        <v>586</v>
      </c>
      <c r="F129" s="100" t="s">
        <v>113</v>
      </c>
      <c r="G129" s="100" t="s">
        <v>85</v>
      </c>
      <c r="H129" s="53" t="s">
        <v>587</v>
      </c>
      <c r="I129" s="100"/>
      <c r="J129" s="100" t="s">
        <v>165</v>
      </c>
      <c r="K129" s="100"/>
      <c r="L129" s="100"/>
      <c r="M129" s="100" t="s">
        <v>95</v>
      </c>
      <c r="N129" s="100"/>
      <c r="O129" s="164"/>
    </row>
    <row r="130" spans="1:15">
      <c r="A130" s="98">
        <f t="shared" si="1"/>
        <v>129</v>
      </c>
      <c r="B130" s="98"/>
      <c r="C130" s="100" t="s">
        <v>840</v>
      </c>
      <c r="D130" s="100" t="s">
        <v>841</v>
      </c>
      <c r="E130" s="100" t="s">
        <v>30</v>
      </c>
      <c r="F130" s="100" t="s">
        <v>71</v>
      </c>
      <c r="G130" s="100" t="s">
        <v>87</v>
      </c>
      <c r="H130" s="100" t="s">
        <v>842</v>
      </c>
      <c r="I130" s="100" t="s">
        <v>583</v>
      </c>
      <c r="J130" s="100" t="s">
        <v>486</v>
      </c>
      <c r="K130" s="100"/>
      <c r="L130" s="100"/>
      <c r="M130" s="100" t="s">
        <v>95</v>
      </c>
      <c r="N130" s="100"/>
      <c r="O130" s="164"/>
    </row>
    <row r="131" spans="1:15">
      <c r="A131" s="98">
        <f t="shared" ref="A131:A194" si="2">IF(C131&lt;&gt;"",A130+1,"")</f>
        <v>130</v>
      </c>
      <c r="B131" s="98"/>
      <c r="C131" s="100" t="s">
        <v>843</v>
      </c>
      <c r="D131" s="100" t="s">
        <v>841</v>
      </c>
      <c r="E131" s="100" t="s">
        <v>30</v>
      </c>
      <c r="F131" s="100" t="s">
        <v>71</v>
      </c>
      <c r="G131" s="100" t="s">
        <v>86</v>
      </c>
      <c r="H131" s="100" t="s">
        <v>844</v>
      </c>
      <c r="I131" s="100" t="s">
        <v>583</v>
      </c>
      <c r="J131" s="100" t="s">
        <v>486</v>
      </c>
      <c r="K131" s="100"/>
      <c r="L131" s="100"/>
      <c r="M131" s="100" t="s">
        <v>95</v>
      </c>
      <c r="N131" s="100"/>
      <c r="O131" s="164"/>
    </row>
    <row r="132" spans="1:15">
      <c r="A132" s="98">
        <f t="shared" si="2"/>
        <v>131</v>
      </c>
      <c r="B132" s="98"/>
      <c r="C132" s="100" t="s">
        <v>845</v>
      </c>
      <c r="D132" s="100" t="s">
        <v>768</v>
      </c>
      <c r="E132" s="100" t="s">
        <v>30</v>
      </c>
      <c r="F132" s="100" t="s">
        <v>195</v>
      </c>
      <c r="G132" s="100" t="s">
        <v>87</v>
      </c>
      <c r="H132" s="100" t="s">
        <v>846</v>
      </c>
      <c r="I132" s="100" t="s">
        <v>568</v>
      </c>
      <c r="J132" s="100" t="s">
        <v>11</v>
      </c>
      <c r="K132" s="100"/>
      <c r="L132" s="100"/>
      <c r="M132" s="100" t="s">
        <v>302</v>
      </c>
      <c r="N132" s="100" t="s">
        <v>770</v>
      </c>
      <c r="O132" s="164"/>
    </row>
    <row r="133" spans="1:15">
      <c r="A133" s="101">
        <f t="shared" si="2"/>
        <v>132</v>
      </c>
      <c r="B133" s="101"/>
      <c r="C133" s="102" t="s">
        <v>847</v>
      </c>
      <c r="D133" s="102" t="s">
        <v>848</v>
      </c>
      <c r="E133" s="102" t="s">
        <v>699</v>
      </c>
      <c r="F133" s="102" t="s">
        <v>43</v>
      </c>
      <c r="G133" s="102" t="s">
        <v>87</v>
      </c>
      <c r="H133" s="102" t="s">
        <v>647</v>
      </c>
      <c r="I133" s="102" t="s">
        <v>568</v>
      </c>
      <c r="J133" s="102" t="s">
        <v>11</v>
      </c>
      <c r="K133" s="102"/>
      <c r="L133" s="102"/>
      <c r="M133" s="102" t="s">
        <v>302</v>
      </c>
      <c r="N133" s="102" t="s">
        <v>849</v>
      </c>
      <c r="O133" s="164"/>
    </row>
    <row r="134" spans="1:15">
      <c r="A134" s="101">
        <f t="shared" si="2"/>
        <v>133</v>
      </c>
      <c r="B134" s="101"/>
      <c r="C134" s="102" t="s">
        <v>850</v>
      </c>
      <c r="D134" s="102" t="s">
        <v>841</v>
      </c>
      <c r="E134" s="102" t="s">
        <v>30</v>
      </c>
      <c r="F134" s="102" t="s">
        <v>71</v>
      </c>
      <c r="G134" s="102" t="s">
        <v>87</v>
      </c>
      <c r="H134" s="102" t="s">
        <v>568</v>
      </c>
      <c r="I134" s="102"/>
      <c r="J134" s="102" t="s">
        <v>11</v>
      </c>
      <c r="K134" s="102" t="s">
        <v>851</v>
      </c>
      <c r="L134" s="102"/>
      <c r="M134" s="102" t="s">
        <v>302</v>
      </c>
      <c r="N134" s="102" t="s">
        <v>852</v>
      </c>
      <c r="O134" s="164"/>
    </row>
    <row r="135" spans="1:15">
      <c r="A135" s="98">
        <f t="shared" si="2"/>
        <v>134</v>
      </c>
      <c r="B135" s="98"/>
      <c r="C135" s="100" t="s">
        <v>853</v>
      </c>
      <c r="D135" s="100" t="s">
        <v>854</v>
      </c>
      <c r="E135" s="100" t="s">
        <v>30</v>
      </c>
      <c r="F135" s="100" t="s">
        <v>71</v>
      </c>
      <c r="G135" s="100" t="s">
        <v>87</v>
      </c>
      <c r="H135" s="100" t="s">
        <v>589</v>
      </c>
      <c r="I135" s="100" t="s">
        <v>589</v>
      </c>
      <c r="J135" s="100" t="s">
        <v>486</v>
      </c>
      <c r="K135" s="100" t="s">
        <v>590</v>
      </c>
      <c r="L135" s="100"/>
      <c r="M135" s="100" t="s">
        <v>95</v>
      </c>
      <c r="N135" s="100"/>
      <c r="O135" s="164"/>
    </row>
    <row r="136" spans="1:15">
      <c r="A136" s="101">
        <f t="shared" si="2"/>
        <v>135</v>
      </c>
      <c r="B136" s="101"/>
      <c r="C136" s="102" t="s">
        <v>855</v>
      </c>
      <c r="D136" s="102" t="s">
        <v>856</v>
      </c>
      <c r="E136" s="102" t="s">
        <v>30</v>
      </c>
      <c r="F136" s="102" t="s">
        <v>195</v>
      </c>
      <c r="G136" s="102" t="s">
        <v>87</v>
      </c>
      <c r="H136" s="102" t="s">
        <v>589</v>
      </c>
      <c r="I136" s="102" t="s">
        <v>589</v>
      </c>
      <c r="J136" s="102" t="s">
        <v>11</v>
      </c>
      <c r="K136" s="102" t="s">
        <v>590</v>
      </c>
      <c r="L136" s="102"/>
      <c r="M136" s="102" t="s">
        <v>302</v>
      </c>
      <c r="N136" s="102" t="s">
        <v>770</v>
      </c>
      <c r="O136" s="164"/>
    </row>
    <row r="137" spans="1:15">
      <c r="A137" s="98">
        <f t="shared" si="2"/>
        <v>136</v>
      </c>
      <c r="B137" s="98"/>
      <c r="C137" s="100" t="s">
        <v>857</v>
      </c>
      <c r="D137" s="100" t="s">
        <v>858</v>
      </c>
      <c r="E137" s="100" t="s">
        <v>30</v>
      </c>
      <c r="F137" s="100" t="s">
        <v>38</v>
      </c>
      <c r="G137" s="100" t="s">
        <v>87</v>
      </c>
      <c r="H137" s="100" t="s">
        <v>589</v>
      </c>
      <c r="I137" s="100" t="s">
        <v>589</v>
      </c>
      <c r="J137" s="100" t="s">
        <v>486</v>
      </c>
      <c r="K137" s="100" t="s">
        <v>590</v>
      </c>
      <c r="L137" s="100"/>
      <c r="M137" s="100" t="s">
        <v>95</v>
      </c>
      <c r="N137" s="100"/>
      <c r="O137" s="164"/>
    </row>
    <row r="138" spans="1:15">
      <c r="A138" s="98">
        <f t="shared" si="2"/>
        <v>137</v>
      </c>
      <c r="B138" s="98"/>
      <c r="C138" s="100" t="s">
        <v>859</v>
      </c>
      <c r="D138" s="126" t="s">
        <v>860</v>
      </c>
      <c r="E138" s="100" t="s">
        <v>30</v>
      </c>
      <c r="F138" s="126" t="s">
        <v>43</v>
      </c>
      <c r="G138" s="100" t="s">
        <v>87</v>
      </c>
      <c r="H138" s="100" t="s">
        <v>589</v>
      </c>
      <c r="I138" s="126" t="s">
        <v>589</v>
      </c>
      <c r="J138" s="100" t="s">
        <v>486</v>
      </c>
      <c r="K138" s="100" t="s">
        <v>590</v>
      </c>
      <c r="L138" s="100"/>
      <c r="M138" s="126" t="s">
        <v>95</v>
      </c>
      <c r="N138" s="100"/>
      <c r="O138" s="164"/>
    </row>
    <row r="139" spans="1:15">
      <c r="A139" s="98">
        <f t="shared" si="2"/>
        <v>138</v>
      </c>
      <c r="B139" s="98"/>
      <c r="C139" s="100" t="s">
        <v>861</v>
      </c>
      <c r="D139" s="100" t="s">
        <v>862</v>
      </c>
      <c r="E139" s="100" t="s">
        <v>520</v>
      </c>
      <c r="F139" s="100" t="s">
        <v>113</v>
      </c>
      <c r="G139" s="100" t="s">
        <v>85</v>
      </c>
      <c r="H139" t="s">
        <v>863</v>
      </c>
      <c r="I139" t="s">
        <v>864</v>
      </c>
      <c r="J139" s="100" t="s">
        <v>486</v>
      </c>
      <c r="K139" s="100"/>
      <c r="L139" s="100"/>
      <c r="M139" s="100" t="s">
        <v>95</v>
      </c>
      <c r="N139" s="100"/>
      <c r="O139" s="164"/>
    </row>
    <row r="140" spans="1:15">
      <c r="A140" s="98">
        <f t="shared" si="2"/>
        <v>139</v>
      </c>
      <c r="B140" s="98"/>
      <c r="C140" s="100" t="s">
        <v>865</v>
      </c>
      <c r="D140" s="100" t="s">
        <v>585</v>
      </c>
      <c r="E140" s="100" t="s">
        <v>586</v>
      </c>
      <c r="F140" s="100" t="s">
        <v>380</v>
      </c>
      <c r="G140" s="100" t="s">
        <v>85</v>
      </c>
      <c r="H140" s="53" t="s">
        <v>587</v>
      </c>
      <c r="I140" s="100"/>
      <c r="J140" s="100" t="s">
        <v>165</v>
      </c>
      <c r="K140" s="100"/>
      <c r="L140" s="100"/>
      <c r="M140" s="100" t="s">
        <v>95</v>
      </c>
      <c r="N140" s="100"/>
      <c r="O140" s="164"/>
    </row>
    <row r="141" spans="1:15">
      <c r="A141" s="98">
        <f t="shared" si="2"/>
        <v>140</v>
      </c>
      <c r="B141" s="98"/>
      <c r="C141" s="100" t="s">
        <v>866</v>
      </c>
      <c r="D141" s="100" t="s">
        <v>585</v>
      </c>
      <c r="E141" s="100" t="s">
        <v>801</v>
      </c>
      <c r="F141" s="100" t="s">
        <v>113</v>
      </c>
      <c r="G141" s="100" t="s">
        <v>85</v>
      </c>
      <c r="H141" s="53" t="s">
        <v>587</v>
      </c>
      <c r="I141" s="100"/>
      <c r="J141" s="100" t="s">
        <v>165</v>
      </c>
      <c r="K141" s="100"/>
      <c r="L141" s="100"/>
      <c r="M141" s="100" t="s">
        <v>95</v>
      </c>
      <c r="N141" s="100"/>
      <c r="O141" s="164"/>
    </row>
    <row r="142" spans="1:15">
      <c r="A142" s="98">
        <f t="shared" si="2"/>
        <v>141</v>
      </c>
      <c r="B142" s="98"/>
      <c r="C142" s="100" t="s">
        <v>867</v>
      </c>
      <c r="D142" s="126" t="s">
        <v>585</v>
      </c>
      <c r="E142" s="100" t="s">
        <v>801</v>
      </c>
      <c r="F142" s="100" t="s">
        <v>113</v>
      </c>
      <c r="G142" s="100" t="s">
        <v>85</v>
      </c>
      <c r="H142" s="53" t="s">
        <v>587</v>
      </c>
      <c r="I142" s="100"/>
      <c r="J142" s="100" t="s">
        <v>165</v>
      </c>
      <c r="K142" s="100"/>
      <c r="L142" s="100"/>
      <c r="M142" s="100" t="s">
        <v>95</v>
      </c>
      <c r="N142" s="100"/>
      <c r="O142" s="164"/>
    </row>
    <row r="143" spans="1:15">
      <c r="A143" s="98">
        <f t="shared" si="2"/>
        <v>142</v>
      </c>
      <c r="B143" s="98"/>
      <c r="C143" s="100" t="s">
        <v>868</v>
      </c>
      <c r="D143" s="126" t="s">
        <v>585</v>
      </c>
      <c r="E143" s="100" t="s">
        <v>801</v>
      </c>
      <c r="F143" s="100" t="s">
        <v>113</v>
      </c>
      <c r="G143" s="100" t="s">
        <v>85</v>
      </c>
      <c r="H143" t="s">
        <v>587</v>
      </c>
      <c r="I143" s="100"/>
      <c r="J143" s="100" t="s">
        <v>165</v>
      </c>
      <c r="K143" s="100"/>
      <c r="L143" s="100"/>
      <c r="M143" s="100" t="s">
        <v>95</v>
      </c>
      <c r="N143" s="100"/>
      <c r="O143" s="164"/>
    </row>
    <row r="144" spans="1:15">
      <c r="A144" s="98">
        <f t="shared" si="2"/>
        <v>143</v>
      </c>
      <c r="B144" s="98"/>
      <c r="C144" s="100" t="s">
        <v>869</v>
      </c>
      <c r="D144" s="100" t="s">
        <v>635</v>
      </c>
      <c r="E144" s="100" t="s">
        <v>224</v>
      </c>
      <c r="F144" s="100" t="s">
        <v>173</v>
      </c>
      <c r="G144" s="100" t="s">
        <v>85</v>
      </c>
      <c r="H144" s="100" t="s">
        <v>636</v>
      </c>
      <c r="I144" s="100" t="s">
        <v>589</v>
      </c>
      <c r="J144" s="100" t="s">
        <v>94</v>
      </c>
      <c r="K144" s="100"/>
      <c r="L144" s="100">
        <v>104022</v>
      </c>
      <c r="M144" s="100" t="s">
        <v>302</v>
      </c>
      <c r="N144" s="100"/>
      <c r="O144" s="164"/>
    </row>
    <row r="145" spans="1:15">
      <c r="A145" s="98">
        <f t="shared" si="2"/>
        <v>144</v>
      </c>
      <c r="B145" s="98"/>
      <c r="C145" s="100" t="s">
        <v>870</v>
      </c>
      <c r="D145" s="126" t="s">
        <v>635</v>
      </c>
      <c r="E145" s="100" t="s">
        <v>224</v>
      </c>
      <c r="F145" s="100" t="s">
        <v>173</v>
      </c>
      <c r="G145" s="100" t="s">
        <v>85</v>
      </c>
      <c r="H145" s="100" t="s">
        <v>636</v>
      </c>
      <c r="I145" s="100" t="s">
        <v>589</v>
      </c>
      <c r="J145" s="100" t="s">
        <v>94</v>
      </c>
      <c r="K145" s="100"/>
      <c r="L145" s="100"/>
      <c r="M145" s="100" t="s">
        <v>302</v>
      </c>
      <c r="N145" s="100"/>
      <c r="O145" s="164"/>
    </row>
    <row r="146" spans="1:15">
      <c r="A146" s="98">
        <f t="shared" si="2"/>
        <v>145</v>
      </c>
      <c r="B146" s="98"/>
      <c r="C146" s="100" t="s">
        <v>871</v>
      </c>
      <c r="D146" s="126" t="s">
        <v>635</v>
      </c>
      <c r="E146" s="100" t="s">
        <v>224</v>
      </c>
      <c r="F146" s="100" t="s">
        <v>173</v>
      </c>
      <c r="G146" s="100" t="s">
        <v>85</v>
      </c>
      <c r="H146" s="100" t="s">
        <v>636</v>
      </c>
      <c r="I146" s="100" t="s">
        <v>589</v>
      </c>
      <c r="J146" s="100" t="s">
        <v>94</v>
      </c>
      <c r="K146" s="100"/>
      <c r="L146" s="100">
        <v>104003</v>
      </c>
      <c r="M146" s="100" t="s">
        <v>302</v>
      </c>
      <c r="N146" s="100"/>
      <c r="O146" s="164"/>
    </row>
    <row r="147" spans="1:15">
      <c r="A147" s="101">
        <f t="shared" si="2"/>
        <v>146</v>
      </c>
      <c r="B147" s="101"/>
      <c r="C147" s="102" t="s">
        <v>872</v>
      </c>
      <c r="D147" s="111" t="s">
        <v>732</v>
      </c>
      <c r="E147" s="102" t="s">
        <v>565</v>
      </c>
      <c r="F147" s="111" t="s">
        <v>43</v>
      </c>
      <c r="G147" s="102" t="s">
        <v>644</v>
      </c>
      <c r="H147" s="102" t="s">
        <v>873</v>
      </c>
      <c r="I147" s="111" t="s">
        <v>583</v>
      </c>
      <c r="J147" s="111" t="s">
        <v>486</v>
      </c>
      <c r="K147" s="102"/>
      <c r="L147" s="102"/>
      <c r="M147" s="103" t="s">
        <v>302</v>
      </c>
      <c r="N147" s="102" t="s">
        <v>874</v>
      </c>
      <c r="O147" s="164"/>
    </row>
    <row r="148" spans="1:15">
      <c r="A148" s="101">
        <f t="shared" si="2"/>
        <v>147</v>
      </c>
      <c r="B148" s="101"/>
      <c r="C148" s="111" t="s">
        <v>875</v>
      </c>
      <c r="D148" s="111" t="s">
        <v>732</v>
      </c>
      <c r="E148" s="111" t="s">
        <v>565</v>
      </c>
      <c r="F148" s="111" t="s">
        <v>43</v>
      </c>
      <c r="G148" s="111" t="s">
        <v>644</v>
      </c>
      <c r="H148" s="111" t="s">
        <v>876</v>
      </c>
      <c r="I148" s="111" t="s">
        <v>583</v>
      </c>
      <c r="J148" s="111" t="s">
        <v>486</v>
      </c>
      <c r="K148" s="111"/>
      <c r="L148" s="111"/>
      <c r="M148" s="103" t="s">
        <v>302</v>
      </c>
      <c r="N148" s="102" t="s">
        <v>874</v>
      </c>
      <c r="O148" s="164"/>
    </row>
    <row r="149" spans="1:15">
      <c r="A149" s="98">
        <f t="shared" si="2"/>
        <v>148</v>
      </c>
      <c r="B149" s="98"/>
      <c r="C149" s="100" t="s">
        <v>877</v>
      </c>
      <c r="D149" s="100" t="s">
        <v>598</v>
      </c>
      <c r="E149" s="100" t="s">
        <v>202</v>
      </c>
      <c r="F149" s="100" t="s">
        <v>45</v>
      </c>
      <c r="G149" s="100" t="s">
        <v>85</v>
      </c>
      <c r="H149" s="110" t="s">
        <v>878</v>
      </c>
      <c r="I149" s="119" t="s">
        <v>583</v>
      </c>
      <c r="J149" s="100" t="s">
        <v>486</v>
      </c>
      <c r="K149" s="100"/>
      <c r="L149" s="100"/>
      <c r="M149" s="100" t="s">
        <v>95</v>
      </c>
      <c r="N149" s="100"/>
      <c r="O149" s="164"/>
    </row>
    <row r="150" spans="1:15">
      <c r="A150" s="108">
        <f t="shared" si="2"/>
        <v>149</v>
      </c>
      <c r="B150" s="108"/>
      <c r="C150" s="118" t="s">
        <v>879</v>
      </c>
      <c r="D150" s="118" t="s">
        <v>598</v>
      </c>
      <c r="E150" s="100" t="s">
        <v>202</v>
      </c>
      <c r="F150" s="100" t="s">
        <v>45</v>
      </c>
      <c r="G150" s="100" t="s">
        <v>85</v>
      </c>
      <c r="H150" s="127" t="s">
        <v>878</v>
      </c>
      <c r="I150" s="128" t="s">
        <v>583</v>
      </c>
      <c r="J150" s="100" t="s">
        <v>486</v>
      </c>
      <c r="K150" s="100"/>
      <c r="L150" s="100"/>
      <c r="M150" s="100" t="s">
        <v>95</v>
      </c>
      <c r="N150" s="100"/>
      <c r="O150" s="164"/>
    </row>
    <row r="151" spans="1:15">
      <c r="A151" s="124">
        <f t="shared" si="2"/>
        <v>150</v>
      </c>
      <c r="B151" s="124"/>
      <c r="C151" s="99" t="s">
        <v>880</v>
      </c>
      <c r="D151" s="125" t="s">
        <v>881</v>
      </c>
      <c r="E151" s="99" t="s">
        <v>347</v>
      </c>
      <c r="F151" s="99" t="s">
        <v>113</v>
      </c>
      <c r="G151" s="99" t="s">
        <v>85</v>
      </c>
      <c r="H151" s="105" t="s">
        <v>882</v>
      </c>
      <c r="I151" s="105" t="s">
        <v>696</v>
      </c>
      <c r="J151" s="99" t="s">
        <v>312</v>
      </c>
      <c r="K151" s="99"/>
      <c r="L151" s="99"/>
      <c r="M151" s="99" t="s">
        <v>95</v>
      </c>
      <c r="N151" s="99"/>
      <c r="O151" s="164"/>
    </row>
    <row r="152" spans="1:15">
      <c r="A152" s="123">
        <f t="shared" si="2"/>
        <v>151</v>
      </c>
      <c r="B152" s="123"/>
      <c r="C152" s="129" t="s">
        <v>883</v>
      </c>
      <c r="D152" s="129" t="s">
        <v>884</v>
      </c>
      <c r="E152" s="119" t="s">
        <v>346</v>
      </c>
      <c r="F152" s="119" t="s">
        <v>113</v>
      </c>
      <c r="G152" s="119" t="s">
        <v>85</v>
      </c>
      <c r="H152" s="119" t="s">
        <v>885</v>
      </c>
      <c r="I152" s="129" t="s">
        <v>583</v>
      </c>
      <c r="J152" s="119" t="s">
        <v>486</v>
      </c>
      <c r="K152" s="119"/>
      <c r="L152" s="119"/>
      <c r="M152" s="119" t="s">
        <v>95</v>
      </c>
      <c r="N152" s="119"/>
      <c r="O152" s="164"/>
    </row>
    <row r="153" spans="1:15">
      <c r="A153" s="123">
        <f t="shared" si="2"/>
        <v>152</v>
      </c>
      <c r="B153" s="123"/>
      <c r="C153" s="100" t="s">
        <v>886</v>
      </c>
      <c r="D153" s="129" t="s">
        <v>887</v>
      </c>
      <c r="E153" s="100" t="s">
        <v>113</v>
      </c>
      <c r="F153" s="100" t="s">
        <v>113</v>
      </c>
      <c r="G153" s="100" t="s">
        <v>85</v>
      </c>
      <c r="H153" s="100" t="s">
        <v>888</v>
      </c>
      <c r="I153" s="129" t="s">
        <v>583</v>
      </c>
      <c r="J153" s="100" t="s">
        <v>486</v>
      </c>
      <c r="K153" s="100"/>
      <c r="L153" s="100"/>
      <c r="M153" s="100" t="s">
        <v>95</v>
      </c>
      <c r="N153" s="100"/>
      <c r="O153" s="164"/>
    </row>
    <row r="154" spans="1:15">
      <c r="A154" s="123">
        <f t="shared" si="2"/>
        <v>153</v>
      </c>
      <c r="B154" s="123"/>
      <c r="C154" s="100" t="s">
        <v>889</v>
      </c>
      <c r="D154" s="129" t="s">
        <v>887</v>
      </c>
      <c r="E154" s="100" t="s">
        <v>113</v>
      </c>
      <c r="F154" s="100" t="s">
        <v>113</v>
      </c>
      <c r="G154" s="100" t="s">
        <v>85</v>
      </c>
      <c r="H154" s="100" t="s">
        <v>890</v>
      </c>
      <c r="I154" s="129" t="s">
        <v>891</v>
      </c>
      <c r="J154" s="100" t="s">
        <v>486</v>
      </c>
      <c r="K154" s="100"/>
      <c r="L154" s="100"/>
      <c r="M154" s="100" t="s">
        <v>95</v>
      </c>
      <c r="N154" s="100"/>
      <c r="O154" s="164"/>
    </row>
    <row r="155" spans="1:15">
      <c r="A155" s="130">
        <f t="shared" si="2"/>
        <v>154</v>
      </c>
      <c r="B155" s="130"/>
      <c r="C155" s="103" t="s">
        <v>892</v>
      </c>
      <c r="D155" s="131" t="s">
        <v>665</v>
      </c>
      <c r="E155" s="103" t="s">
        <v>347</v>
      </c>
      <c r="F155" s="103" t="s">
        <v>45</v>
      </c>
      <c r="G155" s="103" t="s">
        <v>85</v>
      </c>
      <c r="H155" s="104" t="s">
        <v>893</v>
      </c>
      <c r="I155" s="112"/>
      <c r="J155" s="103" t="s">
        <v>312</v>
      </c>
      <c r="K155" s="103"/>
      <c r="L155" s="103"/>
      <c r="M155" s="103" t="s">
        <v>302</v>
      </c>
      <c r="N155" s="103"/>
      <c r="O155" s="164"/>
    </row>
    <row r="156" spans="1:15">
      <c r="A156" s="124">
        <f t="shared" si="2"/>
        <v>155</v>
      </c>
      <c r="B156" s="124"/>
      <c r="C156" s="99" t="s">
        <v>894</v>
      </c>
      <c r="D156" s="125" t="s">
        <v>881</v>
      </c>
      <c r="E156" s="99" t="s">
        <v>347</v>
      </c>
      <c r="F156" s="99" t="s">
        <v>45</v>
      </c>
      <c r="G156" s="99" t="s">
        <v>85</v>
      </c>
      <c r="H156" s="105" t="s">
        <v>895</v>
      </c>
      <c r="I156" s="105" t="s">
        <v>896</v>
      </c>
      <c r="J156" s="99" t="s">
        <v>312</v>
      </c>
      <c r="K156" s="99"/>
      <c r="L156" s="99"/>
      <c r="M156" s="99" t="s">
        <v>95</v>
      </c>
      <c r="N156" s="99"/>
      <c r="O156" s="164"/>
    </row>
    <row r="157" spans="1:15">
      <c r="A157" s="124">
        <f t="shared" si="2"/>
        <v>156</v>
      </c>
      <c r="B157" s="124"/>
      <c r="C157" s="99" t="s">
        <v>897</v>
      </c>
      <c r="D157" s="125" t="s">
        <v>881</v>
      </c>
      <c r="E157" s="99" t="s">
        <v>347</v>
      </c>
      <c r="F157" s="99" t="s">
        <v>45</v>
      </c>
      <c r="G157" s="99" t="s">
        <v>644</v>
      </c>
      <c r="H157" s="105" t="s">
        <v>895</v>
      </c>
      <c r="I157" s="105" t="s">
        <v>896</v>
      </c>
      <c r="J157" s="99" t="s">
        <v>312</v>
      </c>
      <c r="K157" s="99"/>
      <c r="L157" s="99"/>
      <c r="M157" s="99" t="s">
        <v>95</v>
      </c>
      <c r="N157" s="99"/>
      <c r="O157" s="164"/>
    </row>
    <row r="158" spans="1:15">
      <c r="A158" s="109">
        <f t="shared" si="2"/>
        <v>157</v>
      </c>
      <c r="B158" s="109"/>
      <c r="C158" s="102" t="s">
        <v>898</v>
      </c>
      <c r="D158" s="111" t="s">
        <v>732</v>
      </c>
      <c r="E158" s="102" t="s">
        <v>565</v>
      </c>
      <c r="F158" s="102" t="s">
        <v>43</v>
      </c>
      <c r="G158" s="102" t="s">
        <v>85</v>
      </c>
      <c r="H158" s="102" t="s">
        <v>899</v>
      </c>
      <c r="I158" s="132" t="s">
        <v>568</v>
      </c>
      <c r="J158" s="102" t="s">
        <v>11</v>
      </c>
      <c r="K158" s="133" t="s">
        <v>763</v>
      </c>
      <c r="L158" s="102"/>
      <c r="M158" s="102" t="s">
        <v>302</v>
      </c>
      <c r="N158" s="102"/>
      <c r="O158" s="164"/>
    </row>
    <row r="159" spans="1:15">
      <c r="A159" s="108">
        <f t="shared" si="2"/>
        <v>158</v>
      </c>
      <c r="B159" s="108"/>
      <c r="C159" s="100" t="s">
        <v>900</v>
      </c>
      <c r="D159" s="119" t="s">
        <v>732</v>
      </c>
      <c r="E159" s="100" t="s">
        <v>565</v>
      </c>
      <c r="F159" s="100" t="s">
        <v>43</v>
      </c>
      <c r="G159" s="100" t="s">
        <v>85</v>
      </c>
      <c r="H159" s="110" t="s">
        <v>901</v>
      </c>
      <c r="I159" s="129" t="s">
        <v>583</v>
      </c>
      <c r="J159" s="100" t="s">
        <v>486</v>
      </c>
      <c r="K159" s="100"/>
      <c r="L159" s="100"/>
      <c r="M159" s="100" t="s">
        <v>95</v>
      </c>
      <c r="N159" s="100"/>
      <c r="O159" s="164"/>
    </row>
    <row r="160" spans="1:15">
      <c r="A160" s="108">
        <f t="shared" si="2"/>
        <v>159</v>
      </c>
      <c r="B160" s="108"/>
      <c r="C160" s="100" t="s">
        <v>902</v>
      </c>
      <c r="D160" s="119" t="s">
        <v>732</v>
      </c>
      <c r="E160" s="100" t="s">
        <v>565</v>
      </c>
      <c r="F160" s="100" t="s">
        <v>43</v>
      </c>
      <c r="G160" s="100" t="s">
        <v>85</v>
      </c>
      <c r="H160" s="100" t="s">
        <v>903</v>
      </c>
      <c r="I160" s="129" t="s">
        <v>583</v>
      </c>
      <c r="J160" s="100" t="s">
        <v>486</v>
      </c>
      <c r="K160" s="100"/>
      <c r="L160" s="100"/>
      <c r="M160" s="100" t="s">
        <v>95</v>
      </c>
      <c r="N160" s="100"/>
      <c r="O160" s="164"/>
    </row>
    <row r="161" spans="1:15">
      <c r="A161" s="108">
        <f t="shared" si="2"/>
        <v>160</v>
      </c>
      <c r="B161" s="108"/>
      <c r="C161" s="100" t="s">
        <v>904</v>
      </c>
      <c r="D161" s="129" t="s">
        <v>887</v>
      </c>
      <c r="E161" s="100" t="s">
        <v>565</v>
      </c>
      <c r="F161" s="100" t="s">
        <v>113</v>
      </c>
      <c r="G161" s="100" t="s">
        <v>85</v>
      </c>
      <c r="H161" s="110" t="s">
        <v>680</v>
      </c>
      <c r="I161" s="129" t="s">
        <v>583</v>
      </c>
      <c r="J161" s="100" t="s">
        <v>486</v>
      </c>
      <c r="K161" s="100"/>
      <c r="L161" s="100"/>
      <c r="M161" s="100" t="s">
        <v>95</v>
      </c>
      <c r="N161" s="100"/>
      <c r="O161" s="164"/>
    </row>
    <row r="162" spans="1:15">
      <c r="A162" s="134">
        <f t="shared" si="2"/>
        <v>161</v>
      </c>
      <c r="B162" s="134"/>
      <c r="C162" s="100" t="s">
        <v>905</v>
      </c>
      <c r="D162" s="119" t="s">
        <v>906</v>
      </c>
      <c r="E162" s="100" t="s">
        <v>565</v>
      </c>
      <c r="F162" s="100" t="s">
        <v>238</v>
      </c>
      <c r="G162" s="100" t="s">
        <v>85</v>
      </c>
      <c r="H162" s="100" t="s">
        <v>907</v>
      </c>
      <c r="I162" s="129" t="s">
        <v>583</v>
      </c>
      <c r="J162" s="100" t="s">
        <v>502</v>
      </c>
      <c r="K162" s="100"/>
      <c r="L162" s="100"/>
      <c r="M162" s="100" t="s">
        <v>95</v>
      </c>
      <c r="N162" s="100"/>
      <c r="O162" s="164"/>
    </row>
    <row r="163" spans="1:15">
      <c r="A163" s="98">
        <f t="shared" si="2"/>
        <v>162</v>
      </c>
      <c r="B163" s="98"/>
      <c r="C163" s="99" t="s">
        <v>908</v>
      </c>
      <c r="D163" s="99" t="s">
        <v>881</v>
      </c>
      <c r="E163" s="99" t="s">
        <v>347</v>
      </c>
      <c r="F163" s="99" t="s">
        <v>45</v>
      </c>
      <c r="G163" s="99" t="s">
        <v>85</v>
      </c>
      <c r="H163" s="99" t="s">
        <v>909</v>
      </c>
      <c r="I163" s="99"/>
      <c r="J163" s="99" t="s">
        <v>312</v>
      </c>
      <c r="K163" s="99"/>
      <c r="L163" s="99"/>
      <c r="M163" s="99" t="s">
        <v>95</v>
      </c>
      <c r="N163" s="99"/>
      <c r="O163" s="164"/>
    </row>
    <row r="164" spans="1:15">
      <c r="A164" s="108">
        <f t="shared" si="2"/>
        <v>163</v>
      </c>
      <c r="B164" s="108"/>
      <c r="C164" s="135" t="s">
        <v>910</v>
      </c>
      <c r="D164" s="119" t="s">
        <v>598</v>
      </c>
      <c r="E164" s="100" t="s">
        <v>202</v>
      </c>
      <c r="F164" s="100" t="s">
        <v>45</v>
      </c>
      <c r="G164" s="100" t="s">
        <v>85</v>
      </c>
      <c r="H164" s="100" t="s">
        <v>911</v>
      </c>
      <c r="I164" s="129" t="s">
        <v>696</v>
      </c>
      <c r="J164" s="100" t="s">
        <v>312</v>
      </c>
      <c r="K164" s="100"/>
      <c r="L164" s="100"/>
      <c r="M164" s="100" t="s">
        <v>95</v>
      </c>
      <c r="N164" s="100"/>
      <c r="O164" s="164"/>
    </row>
    <row r="165" spans="1:15">
      <c r="A165" s="108">
        <f t="shared" si="2"/>
        <v>164</v>
      </c>
      <c r="B165" s="108"/>
      <c r="C165" s="100" t="s">
        <v>597</v>
      </c>
      <c r="D165" s="100" t="s">
        <v>598</v>
      </c>
      <c r="E165" s="100" t="s">
        <v>202</v>
      </c>
      <c r="F165" s="100" t="s">
        <v>45</v>
      </c>
      <c r="G165" s="100" t="s">
        <v>85</v>
      </c>
      <c r="H165" s="100" t="s">
        <v>912</v>
      </c>
      <c r="I165" s="100" t="s">
        <v>692</v>
      </c>
      <c r="J165" s="100" t="s">
        <v>486</v>
      </c>
      <c r="K165" s="100"/>
      <c r="L165" s="100"/>
      <c r="M165" s="100" t="s">
        <v>95</v>
      </c>
      <c r="N165" s="100"/>
      <c r="O165" s="164"/>
    </row>
    <row r="166" spans="1:15">
      <c r="A166" s="108">
        <f t="shared" si="2"/>
        <v>165</v>
      </c>
      <c r="B166" s="108"/>
      <c r="C166" s="100" t="s">
        <v>913</v>
      </c>
      <c r="D166" s="100" t="s">
        <v>732</v>
      </c>
      <c r="E166" s="100" t="s">
        <v>196</v>
      </c>
      <c r="F166" s="100" t="s">
        <v>914</v>
      </c>
      <c r="G166" s="100" t="s">
        <v>85</v>
      </c>
      <c r="H166" s="100" t="s">
        <v>915</v>
      </c>
      <c r="I166" s="100" t="s">
        <v>692</v>
      </c>
      <c r="J166" s="100" t="s">
        <v>486</v>
      </c>
      <c r="K166" s="100"/>
      <c r="L166" s="100"/>
      <c r="M166" s="100" t="s">
        <v>95</v>
      </c>
      <c r="N166" s="100"/>
      <c r="O166" s="164"/>
    </row>
    <row r="167" spans="1:15">
      <c r="A167" s="108">
        <f t="shared" si="2"/>
        <v>166</v>
      </c>
      <c r="B167" s="108"/>
      <c r="C167" s="100" t="s">
        <v>916</v>
      </c>
      <c r="D167" s="99" t="s">
        <v>601</v>
      </c>
      <c r="E167" s="100" t="s">
        <v>565</v>
      </c>
      <c r="F167" s="100" t="s">
        <v>321</v>
      </c>
      <c r="G167" s="100" t="s">
        <v>85</v>
      </c>
      <c r="H167" s="100" t="s">
        <v>611</v>
      </c>
      <c r="I167" s="99" t="s">
        <v>583</v>
      </c>
      <c r="J167" s="100" t="s">
        <v>486</v>
      </c>
      <c r="K167" s="100"/>
      <c r="L167" s="100"/>
      <c r="M167" s="100" t="s">
        <v>95</v>
      </c>
      <c r="N167" s="100"/>
      <c r="O167" s="164"/>
    </row>
    <row r="168" spans="1:15">
      <c r="A168" s="109">
        <f t="shared" si="2"/>
        <v>167</v>
      </c>
      <c r="B168" s="109"/>
      <c r="C168" s="102" t="s">
        <v>917</v>
      </c>
      <c r="D168" s="132" t="s">
        <v>887</v>
      </c>
      <c r="E168" s="102" t="s">
        <v>565</v>
      </c>
      <c r="F168" s="102" t="s">
        <v>113</v>
      </c>
      <c r="G168" s="102" t="s">
        <v>85</v>
      </c>
      <c r="H168" s="102" t="s">
        <v>918</v>
      </c>
      <c r="I168" s="103" t="s">
        <v>568</v>
      </c>
      <c r="J168" s="102" t="s">
        <v>11</v>
      </c>
      <c r="K168" s="102"/>
      <c r="L168" s="102"/>
      <c r="M168" s="102" t="s">
        <v>302</v>
      </c>
      <c r="N168" s="102" t="s">
        <v>919</v>
      </c>
      <c r="O168" s="164"/>
    </row>
    <row r="169" spans="1:15">
      <c r="A169" s="108">
        <f t="shared" si="2"/>
        <v>168</v>
      </c>
      <c r="B169" s="108"/>
      <c r="C169" s="100" t="s">
        <v>920</v>
      </c>
      <c r="D169" s="99" t="s">
        <v>732</v>
      </c>
      <c r="E169" s="100" t="s">
        <v>565</v>
      </c>
      <c r="F169" s="100" t="s">
        <v>43</v>
      </c>
      <c r="G169" s="100" t="s">
        <v>85</v>
      </c>
      <c r="H169" s="110" t="s">
        <v>921</v>
      </c>
      <c r="I169" s="100"/>
      <c r="J169" s="100" t="s">
        <v>486</v>
      </c>
      <c r="K169" s="100"/>
      <c r="L169" s="100"/>
      <c r="M169" s="100" t="s">
        <v>95</v>
      </c>
      <c r="N169" s="100"/>
      <c r="O169" s="164"/>
    </row>
    <row r="170" spans="1:15">
      <c r="A170" s="98">
        <f t="shared" si="2"/>
        <v>169</v>
      </c>
      <c r="B170" s="98"/>
      <c r="C170" s="99" t="s">
        <v>922</v>
      </c>
      <c r="D170" s="99" t="s">
        <v>881</v>
      </c>
      <c r="E170" s="99" t="s">
        <v>347</v>
      </c>
      <c r="F170" s="99" t="s">
        <v>45</v>
      </c>
      <c r="G170" s="99" t="s">
        <v>85</v>
      </c>
      <c r="H170" s="99" t="s">
        <v>909</v>
      </c>
      <c r="I170" s="99"/>
      <c r="J170" s="99" t="s">
        <v>312</v>
      </c>
      <c r="K170" s="99"/>
      <c r="L170" s="99"/>
      <c r="M170" s="99" t="s">
        <v>95</v>
      </c>
      <c r="N170" s="99"/>
      <c r="O170" s="164"/>
    </row>
    <row r="171" spans="1:15">
      <c r="A171" s="98">
        <f t="shared" si="2"/>
        <v>170</v>
      </c>
      <c r="B171" s="98"/>
      <c r="C171" s="99" t="s">
        <v>923</v>
      </c>
      <c r="D171" s="99" t="s">
        <v>924</v>
      </c>
      <c r="E171" s="99" t="s">
        <v>347</v>
      </c>
      <c r="F171" s="99" t="s">
        <v>407</v>
      </c>
      <c r="G171" s="99" t="s">
        <v>87</v>
      </c>
      <c r="H171" s="99" t="s">
        <v>925</v>
      </c>
      <c r="I171" s="105" t="s">
        <v>926</v>
      </c>
      <c r="J171" s="99" t="s">
        <v>312</v>
      </c>
      <c r="K171" s="99"/>
      <c r="L171" s="99"/>
      <c r="M171" s="99" t="s">
        <v>95</v>
      </c>
      <c r="N171" s="99"/>
      <c r="O171" s="164"/>
    </row>
    <row r="172" spans="1:15">
      <c r="A172" s="109">
        <f t="shared" si="2"/>
        <v>171</v>
      </c>
      <c r="B172" s="109"/>
      <c r="C172" s="102" t="s">
        <v>927</v>
      </c>
      <c r="D172" s="111" t="s">
        <v>732</v>
      </c>
      <c r="E172" s="111" t="s">
        <v>565</v>
      </c>
      <c r="F172" s="111" t="s">
        <v>43</v>
      </c>
      <c r="G172" s="111" t="s">
        <v>644</v>
      </c>
      <c r="H172" s="102"/>
      <c r="I172" s="103" t="s">
        <v>583</v>
      </c>
      <c r="J172" s="102" t="s">
        <v>486</v>
      </c>
      <c r="K172" s="102"/>
      <c r="L172" s="102"/>
      <c r="M172" s="103" t="s">
        <v>302</v>
      </c>
      <c r="N172" s="102" t="s">
        <v>874</v>
      </c>
      <c r="O172" s="164"/>
    </row>
    <row r="173" spans="1:15">
      <c r="A173" s="109">
        <f t="shared" si="2"/>
        <v>172</v>
      </c>
      <c r="B173" s="109"/>
      <c r="C173" s="102" t="s">
        <v>928</v>
      </c>
      <c r="D173" s="111" t="s">
        <v>929</v>
      </c>
      <c r="E173" s="111" t="s">
        <v>565</v>
      </c>
      <c r="F173" s="111" t="s">
        <v>45</v>
      </c>
      <c r="G173" s="111" t="s">
        <v>85</v>
      </c>
      <c r="H173" s="104" t="s">
        <v>930</v>
      </c>
      <c r="I173" s="103" t="s">
        <v>568</v>
      </c>
      <c r="J173" s="102" t="s">
        <v>11</v>
      </c>
      <c r="K173" s="133" t="s">
        <v>763</v>
      </c>
      <c r="L173" s="102"/>
      <c r="M173" s="102" t="s">
        <v>302</v>
      </c>
      <c r="N173" s="102"/>
      <c r="O173" s="164"/>
    </row>
    <row r="174" spans="1:15">
      <c r="A174" s="109">
        <f t="shared" si="2"/>
        <v>173</v>
      </c>
      <c r="B174" s="109"/>
      <c r="C174" s="102" t="s">
        <v>931</v>
      </c>
      <c r="D174" s="103" t="s">
        <v>924</v>
      </c>
      <c r="E174" s="103" t="s">
        <v>347</v>
      </c>
      <c r="F174" s="103" t="s">
        <v>407</v>
      </c>
      <c r="G174" s="111" t="s">
        <v>85</v>
      </c>
      <c r="H174" s="104" t="s">
        <v>930</v>
      </c>
      <c r="I174" s="102" t="s">
        <v>568</v>
      </c>
      <c r="J174" s="102" t="s">
        <v>11</v>
      </c>
      <c r="K174" s="133" t="s">
        <v>763</v>
      </c>
      <c r="L174" s="102"/>
      <c r="M174" s="102" t="s">
        <v>302</v>
      </c>
      <c r="N174" s="102"/>
      <c r="O174" s="164"/>
    </row>
    <row r="175" spans="1:15">
      <c r="A175" s="109">
        <f t="shared" si="2"/>
        <v>174</v>
      </c>
      <c r="B175" s="109"/>
      <c r="C175" s="102" t="s">
        <v>932</v>
      </c>
      <c r="D175" s="111" t="s">
        <v>732</v>
      </c>
      <c r="E175" s="111" t="s">
        <v>565</v>
      </c>
      <c r="F175" s="111" t="s">
        <v>914</v>
      </c>
      <c r="G175" s="111" t="s">
        <v>85</v>
      </c>
      <c r="H175" s="104" t="s">
        <v>930</v>
      </c>
      <c r="I175" s="102" t="s">
        <v>568</v>
      </c>
      <c r="J175" s="102" t="s">
        <v>11</v>
      </c>
      <c r="K175" s="133" t="s">
        <v>763</v>
      </c>
      <c r="L175" s="102"/>
      <c r="M175" s="102" t="s">
        <v>302</v>
      </c>
      <c r="N175" s="102"/>
      <c r="O175" s="164"/>
    </row>
    <row r="176" spans="1:15">
      <c r="A176" s="98">
        <f t="shared" si="2"/>
        <v>175</v>
      </c>
      <c r="B176" s="98"/>
      <c r="C176" s="99" t="s">
        <v>933</v>
      </c>
      <c r="D176" s="99" t="s">
        <v>934</v>
      </c>
      <c r="E176" s="99" t="s">
        <v>347</v>
      </c>
      <c r="F176" s="99" t="s">
        <v>45</v>
      </c>
      <c r="G176" s="99" t="s">
        <v>85</v>
      </c>
      <c r="H176" s="99" t="s">
        <v>935</v>
      </c>
      <c r="I176" s="99" t="s">
        <v>936</v>
      </c>
      <c r="J176" s="99" t="s">
        <v>312</v>
      </c>
      <c r="K176" s="99"/>
      <c r="L176" s="99"/>
      <c r="M176" s="99" t="s">
        <v>95</v>
      </c>
      <c r="N176" s="99"/>
      <c r="O176" s="164"/>
    </row>
    <row r="177" spans="1:15">
      <c r="A177" s="108">
        <f t="shared" si="2"/>
        <v>176</v>
      </c>
      <c r="B177" s="108"/>
      <c r="C177" s="100" t="s">
        <v>937</v>
      </c>
      <c r="D177" s="99" t="s">
        <v>658</v>
      </c>
      <c r="E177" s="100" t="s">
        <v>565</v>
      </c>
      <c r="F177" s="100" t="s">
        <v>659</v>
      </c>
      <c r="G177" s="100" t="s">
        <v>85</v>
      </c>
      <c r="H177" s="100" t="s">
        <v>938</v>
      </c>
      <c r="I177" s="100"/>
      <c r="J177" s="100" t="s">
        <v>486</v>
      </c>
      <c r="K177" s="100"/>
      <c r="L177" s="100"/>
      <c r="M177" s="100" t="s">
        <v>95</v>
      </c>
      <c r="N177" s="100"/>
      <c r="O177" s="164"/>
    </row>
    <row r="178" spans="1:15">
      <c r="A178" s="108">
        <f t="shared" si="2"/>
        <v>177</v>
      </c>
      <c r="B178" s="108"/>
      <c r="C178" s="100" t="s">
        <v>939</v>
      </c>
      <c r="D178" s="119" t="s">
        <v>929</v>
      </c>
      <c r="E178" s="100" t="s">
        <v>565</v>
      </c>
      <c r="F178" s="100" t="s">
        <v>45</v>
      </c>
      <c r="G178" s="100" t="s">
        <v>85</v>
      </c>
      <c r="H178" s="100" t="s">
        <v>940</v>
      </c>
      <c r="I178" s="100"/>
      <c r="J178" s="100" t="s">
        <v>486</v>
      </c>
      <c r="K178" s="100"/>
      <c r="L178" s="100"/>
      <c r="M178" s="100" t="s">
        <v>95</v>
      </c>
      <c r="N178" s="100"/>
      <c r="O178" s="164"/>
    </row>
    <row r="179" spans="1:15">
      <c r="A179" s="108">
        <f t="shared" si="2"/>
        <v>178</v>
      </c>
      <c r="B179" s="108"/>
      <c r="C179" s="100" t="s">
        <v>941</v>
      </c>
      <c r="D179" s="119" t="s">
        <v>942</v>
      </c>
      <c r="E179" s="100" t="s">
        <v>565</v>
      </c>
      <c r="F179" s="100" t="s">
        <v>565</v>
      </c>
      <c r="G179" s="100" t="s">
        <v>85</v>
      </c>
      <c r="H179" s="100" t="s">
        <v>943</v>
      </c>
      <c r="I179" s="100" t="s">
        <v>583</v>
      </c>
      <c r="J179" s="100" t="s">
        <v>502</v>
      </c>
      <c r="K179" s="100" t="s">
        <v>944</v>
      </c>
      <c r="L179" s="100"/>
      <c r="M179" s="100" t="s">
        <v>95</v>
      </c>
      <c r="N179" s="100"/>
      <c r="O179" s="164"/>
    </row>
    <row r="180" spans="1:15">
      <c r="A180" s="108">
        <f t="shared" si="2"/>
        <v>179</v>
      </c>
      <c r="B180" s="108"/>
      <c r="C180" s="119" t="s">
        <v>945</v>
      </c>
      <c r="D180" s="126" t="s">
        <v>942</v>
      </c>
      <c r="E180" s="126" t="s">
        <v>565</v>
      </c>
      <c r="F180" s="126" t="s">
        <v>565</v>
      </c>
      <c r="G180" s="126" t="s">
        <v>85</v>
      </c>
      <c r="H180" s="119" t="s">
        <v>946</v>
      </c>
      <c r="I180" s="126"/>
      <c r="J180" s="126" t="s">
        <v>486</v>
      </c>
      <c r="K180" s="126"/>
      <c r="L180" s="119"/>
      <c r="M180" s="126" t="s">
        <v>95</v>
      </c>
      <c r="N180" s="119"/>
      <c r="O180" s="164"/>
    </row>
    <row r="181" spans="1:15">
      <c r="A181" s="108">
        <f t="shared" si="2"/>
        <v>180</v>
      </c>
      <c r="B181" s="108"/>
      <c r="C181" s="100" t="s">
        <v>947</v>
      </c>
      <c r="D181" s="126" t="s">
        <v>929</v>
      </c>
      <c r="E181" s="126" t="s">
        <v>565</v>
      </c>
      <c r="F181" s="126" t="s">
        <v>45</v>
      </c>
      <c r="G181" s="126" t="s">
        <v>85</v>
      </c>
      <c r="H181" s="110" t="s">
        <v>948</v>
      </c>
      <c r="I181" s="100" t="s">
        <v>926</v>
      </c>
      <c r="J181" s="126" t="s">
        <v>312</v>
      </c>
      <c r="K181" s="126"/>
      <c r="L181" s="119"/>
      <c r="M181" s="126" t="s">
        <v>95</v>
      </c>
      <c r="N181" s="100"/>
      <c r="O181" s="164"/>
    </row>
    <row r="182" spans="1:15">
      <c r="A182" s="108">
        <f t="shared" si="2"/>
        <v>181</v>
      </c>
      <c r="B182" s="108"/>
      <c r="C182" s="100" t="s">
        <v>949</v>
      </c>
      <c r="D182" s="100" t="s">
        <v>929</v>
      </c>
      <c r="E182" s="100" t="s">
        <v>565</v>
      </c>
      <c r="F182" s="100" t="s">
        <v>45</v>
      </c>
      <c r="G182" s="100" t="s">
        <v>87</v>
      </c>
      <c r="H182" s="100" t="s">
        <v>680</v>
      </c>
      <c r="I182" s="100" t="s">
        <v>583</v>
      </c>
      <c r="J182" s="100" t="s">
        <v>486</v>
      </c>
      <c r="K182" s="100"/>
      <c r="L182" s="100"/>
      <c r="M182" s="100" t="s">
        <v>95</v>
      </c>
      <c r="N182" s="100"/>
      <c r="O182" s="164"/>
    </row>
    <row r="183" spans="1:15">
      <c r="A183" s="101">
        <f t="shared" si="2"/>
        <v>182</v>
      </c>
      <c r="B183" s="101"/>
      <c r="C183" s="103" t="s">
        <v>950</v>
      </c>
      <c r="D183" s="103" t="s">
        <v>951</v>
      </c>
      <c r="E183" s="103" t="s">
        <v>347</v>
      </c>
      <c r="F183" s="103" t="s">
        <v>45</v>
      </c>
      <c r="G183" s="103" t="s">
        <v>87</v>
      </c>
      <c r="H183" s="103"/>
      <c r="I183" s="103"/>
      <c r="J183" s="103" t="s">
        <v>312</v>
      </c>
      <c r="K183" s="103" t="s">
        <v>590</v>
      </c>
      <c r="L183" s="103"/>
      <c r="M183" s="103" t="s">
        <v>302</v>
      </c>
      <c r="N183" s="103" t="s">
        <v>952</v>
      </c>
      <c r="O183" s="164"/>
    </row>
    <row r="184" spans="1:15">
      <c r="A184" s="101">
        <f t="shared" si="2"/>
        <v>183</v>
      </c>
      <c r="B184" s="101"/>
      <c r="C184" s="103" t="s">
        <v>953</v>
      </c>
      <c r="D184" s="103" t="s">
        <v>951</v>
      </c>
      <c r="E184" s="103" t="s">
        <v>347</v>
      </c>
      <c r="F184" s="103" t="s">
        <v>45</v>
      </c>
      <c r="G184" s="103" t="s">
        <v>87</v>
      </c>
      <c r="H184" s="103"/>
      <c r="I184" s="103"/>
      <c r="J184" s="103" t="s">
        <v>312</v>
      </c>
      <c r="K184" s="103" t="s">
        <v>590</v>
      </c>
      <c r="L184" s="103"/>
      <c r="M184" s="103" t="s">
        <v>302</v>
      </c>
      <c r="N184" s="103" t="s">
        <v>952</v>
      </c>
      <c r="O184" s="164"/>
    </row>
    <row r="185" spans="1:15">
      <c r="A185" s="101">
        <f t="shared" si="2"/>
        <v>184</v>
      </c>
      <c r="B185" s="101"/>
      <c r="C185" s="103" t="s">
        <v>954</v>
      </c>
      <c r="D185" s="103" t="s">
        <v>951</v>
      </c>
      <c r="E185" s="103" t="s">
        <v>347</v>
      </c>
      <c r="F185" s="103" t="s">
        <v>45</v>
      </c>
      <c r="G185" s="103" t="s">
        <v>87</v>
      </c>
      <c r="H185" s="103"/>
      <c r="I185" s="103"/>
      <c r="J185" s="103" t="s">
        <v>312</v>
      </c>
      <c r="K185" s="103" t="s">
        <v>590</v>
      </c>
      <c r="L185" s="103"/>
      <c r="M185" s="103" t="s">
        <v>302</v>
      </c>
      <c r="N185" s="103" t="s">
        <v>952</v>
      </c>
      <c r="O185" s="164"/>
    </row>
    <row r="186" spans="1:15">
      <c r="A186" s="108">
        <f t="shared" si="2"/>
        <v>185</v>
      </c>
      <c r="B186" s="108"/>
      <c r="C186" s="100" t="s">
        <v>955</v>
      </c>
      <c r="D186" s="100" t="s">
        <v>956</v>
      </c>
      <c r="E186" s="100" t="s">
        <v>957</v>
      </c>
      <c r="F186" s="100" t="s">
        <v>274</v>
      </c>
      <c r="G186" s="100" t="s">
        <v>85</v>
      </c>
      <c r="H186" s="100" t="s">
        <v>958</v>
      </c>
      <c r="I186" s="110" t="s">
        <v>959</v>
      </c>
      <c r="J186" s="100" t="s">
        <v>330</v>
      </c>
      <c r="K186" s="100"/>
      <c r="L186" s="100"/>
      <c r="M186" s="100" t="s">
        <v>95</v>
      </c>
      <c r="N186" s="100"/>
      <c r="O186" s="164"/>
    </row>
    <row r="187" spans="1:15">
      <c r="A187" s="108">
        <f t="shared" si="2"/>
        <v>186</v>
      </c>
      <c r="B187" s="108"/>
      <c r="C187" s="100" t="s">
        <v>960</v>
      </c>
      <c r="D187" s="100" t="s">
        <v>601</v>
      </c>
      <c r="E187" s="100" t="s">
        <v>565</v>
      </c>
      <c r="F187" s="100" t="s">
        <v>321</v>
      </c>
      <c r="G187" s="100" t="s">
        <v>85</v>
      </c>
      <c r="H187" s="100" t="s">
        <v>961</v>
      </c>
      <c r="I187" s="100" t="s">
        <v>583</v>
      </c>
      <c r="J187" s="100" t="s">
        <v>486</v>
      </c>
      <c r="K187" s="100"/>
      <c r="L187" s="100"/>
      <c r="M187" s="100" t="s">
        <v>95</v>
      </c>
      <c r="N187" s="100"/>
      <c r="O187" s="164"/>
    </row>
    <row r="188" spans="1:15">
      <c r="A188" s="108">
        <f t="shared" si="2"/>
        <v>187</v>
      </c>
      <c r="B188" s="108"/>
      <c r="C188" s="100" t="s">
        <v>962</v>
      </c>
      <c r="D188" s="100" t="s">
        <v>682</v>
      </c>
      <c r="E188" s="100" t="s">
        <v>595</v>
      </c>
      <c r="F188" s="100" t="s">
        <v>109</v>
      </c>
      <c r="G188" s="100" t="s">
        <v>85</v>
      </c>
      <c r="H188" s="100" t="s">
        <v>963</v>
      </c>
      <c r="I188" s="100"/>
      <c r="J188" s="100" t="s">
        <v>408</v>
      </c>
      <c r="K188" s="100"/>
      <c r="L188" s="100"/>
      <c r="M188" s="100" t="s">
        <v>964</v>
      </c>
      <c r="N188" s="100"/>
      <c r="O188" s="164"/>
    </row>
    <row r="189" spans="1:15">
      <c r="A189" s="98">
        <f t="shared" si="2"/>
        <v>188</v>
      </c>
      <c r="B189" s="98"/>
      <c r="C189" s="99" t="s">
        <v>965</v>
      </c>
      <c r="D189" s="99" t="s">
        <v>934</v>
      </c>
      <c r="E189" s="99" t="s">
        <v>347</v>
      </c>
      <c r="F189" s="99" t="s">
        <v>45</v>
      </c>
      <c r="G189" s="99" t="s">
        <v>85</v>
      </c>
      <c r="H189" s="99" t="s">
        <v>909</v>
      </c>
      <c r="I189" s="99"/>
      <c r="J189" s="99" t="s">
        <v>312</v>
      </c>
      <c r="K189" s="99"/>
      <c r="L189" s="99"/>
      <c r="M189" s="99" t="s">
        <v>95</v>
      </c>
      <c r="N189" s="99"/>
      <c r="O189" s="164"/>
    </row>
    <row r="190" spans="1:15">
      <c r="A190" s="108">
        <f t="shared" si="2"/>
        <v>189</v>
      </c>
      <c r="B190" s="108"/>
      <c r="C190" s="99" t="s">
        <v>966</v>
      </c>
      <c r="D190" s="100" t="s">
        <v>810</v>
      </c>
      <c r="E190" s="100" t="s">
        <v>52</v>
      </c>
      <c r="F190" s="100" t="s">
        <v>166</v>
      </c>
      <c r="G190" s="100" t="s">
        <v>967</v>
      </c>
      <c r="H190" s="100" t="s">
        <v>968</v>
      </c>
      <c r="I190" s="100" t="s">
        <v>969</v>
      </c>
      <c r="J190" s="100" t="s">
        <v>312</v>
      </c>
      <c r="K190" s="100"/>
      <c r="L190" s="100"/>
      <c r="M190" s="100" t="s">
        <v>95</v>
      </c>
      <c r="N190" s="100"/>
      <c r="O190" s="164"/>
    </row>
    <row r="191" spans="1:15">
      <c r="A191" s="108">
        <f t="shared" si="2"/>
        <v>190</v>
      </c>
      <c r="B191" s="108"/>
      <c r="C191" s="99" t="s">
        <v>970</v>
      </c>
      <c r="D191" s="100" t="s">
        <v>971</v>
      </c>
      <c r="E191" s="100" t="s">
        <v>347</v>
      </c>
      <c r="F191" s="100" t="s">
        <v>407</v>
      </c>
      <c r="G191" s="100" t="s">
        <v>85</v>
      </c>
      <c r="H191" s="100" t="s">
        <v>972</v>
      </c>
      <c r="I191" s="110" t="s">
        <v>973</v>
      </c>
      <c r="J191" s="100" t="s">
        <v>312</v>
      </c>
      <c r="K191" s="100"/>
      <c r="L191" s="100"/>
      <c r="M191" s="100" t="s">
        <v>95</v>
      </c>
      <c r="N191" s="100"/>
      <c r="O191" s="164"/>
    </row>
    <row r="192" spans="1:15">
      <c r="A192" s="108">
        <f t="shared" si="2"/>
        <v>191</v>
      </c>
      <c r="B192" s="108"/>
      <c r="C192" s="100" t="s">
        <v>974</v>
      </c>
      <c r="D192" s="100" t="s">
        <v>975</v>
      </c>
      <c r="E192" s="100" t="s">
        <v>196</v>
      </c>
      <c r="F192" s="100"/>
      <c r="G192" s="100" t="s">
        <v>85</v>
      </c>
      <c r="H192" s="100" t="s">
        <v>976</v>
      </c>
      <c r="I192" s="100" t="s">
        <v>977</v>
      </c>
      <c r="J192" s="100" t="s">
        <v>486</v>
      </c>
      <c r="K192" s="100"/>
      <c r="L192" s="100"/>
      <c r="M192" s="100" t="s">
        <v>95</v>
      </c>
      <c r="N192" s="100"/>
      <c r="O192" s="164"/>
    </row>
    <row r="193" spans="1:15">
      <c r="A193" s="108">
        <f t="shared" si="2"/>
        <v>192</v>
      </c>
      <c r="B193" s="108"/>
      <c r="C193" s="100" t="s">
        <v>978</v>
      </c>
      <c r="D193" s="100" t="s">
        <v>979</v>
      </c>
      <c r="E193" s="100" t="s">
        <v>30</v>
      </c>
      <c r="F193" s="100" t="s">
        <v>43</v>
      </c>
      <c r="G193" s="100" t="s">
        <v>85</v>
      </c>
      <c r="H193" s="100" t="s">
        <v>980</v>
      </c>
      <c r="I193" s="110" t="s">
        <v>583</v>
      </c>
      <c r="J193" s="100" t="s">
        <v>486</v>
      </c>
      <c r="K193" s="100"/>
      <c r="L193" s="100"/>
      <c r="M193" s="100" t="s">
        <v>95</v>
      </c>
      <c r="N193" s="100"/>
      <c r="O193" s="164"/>
    </row>
    <row r="194" spans="1:15">
      <c r="A194" s="108">
        <f t="shared" si="2"/>
        <v>193</v>
      </c>
      <c r="B194" s="108"/>
      <c r="C194" s="100" t="s">
        <v>981</v>
      </c>
      <c r="D194" s="126" t="s">
        <v>942</v>
      </c>
      <c r="E194" s="100" t="s">
        <v>565</v>
      </c>
      <c r="F194" s="100"/>
      <c r="G194" s="100" t="s">
        <v>87</v>
      </c>
      <c r="H194" s="100" t="s">
        <v>982</v>
      </c>
      <c r="I194" s="110" t="s">
        <v>583</v>
      </c>
      <c r="J194" s="100" t="s">
        <v>486</v>
      </c>
      <c r="K194" s="100"/>
      <c r="L194" s="100"/>
      <c r="M194" s="100" t="s">
        <v>95</v>
      </c>
      <c r="N194" s="100"/>
      <c r="O194" s="164"/>
    </row>
    <row r="195" spans="1:15">
      <c r="A195" s="108">
        <f t="shared" ref="A195:A231" si="3">IF(C195&lt;&gt;"",A194+1,"")</f>
        <v>194</v>
      </c>
      <c r="B195" s="108"/>
      <c r="C195" s="99" t="s">
        <v>983</v>
      </c>
      <c r="D195" s="100" t="s">
        <v>984</v>
      </c>
      <c r="E195" s="100" t="s">
        <v>52</v>
      </c>
      <c r="F195" s="100" t="s">
        <v>284</v>
      </c>
      <c r="G195" s="136" t="s">
        <v>87</v>
      </c>
      <c r="H195" s="137" t="s">
        <v>985</v>
      </c>
      <c r="I195" s="138" t="s">
        <v>926</v>
      </c>
      <c r="J195" s="100" t="s">
        <v>312</v>
      </c>
      <c r="K195" s="100"/>
      <c r="L195" s="100"/>
      <c r="M195" s="100" t="s">
        <v>95</v>
      </c>
      <c r="N195" s="100"/>
      <c r="O195" s="164"/>
    </row>
    <row r="196" spans="1:15">
      <c r="A196" s="108">
        <f t="shared" si="3"/>
        <v>195</v>
      </c>
      <c r="B196" s="108"/>
      <c r="C196" s="100" t="s">
        <v>986</v>
      </c>
      <c r="D196" s="100" t="s">
        <v>942</v>
      </c>
      <c r="E196" s="100" t="s">
        <v>565</v>
      </c>
      <c r="F196" s="100" t="s">
        <v>498</v>
      </c>
      <c r="G196" s="100" t="s">
        <v>85</v>
      </c>
      <c r="H196" s="100" t="s">
        <v>921</v>
      </c>
      <c r="I196" s="100"/>
      <c r="J196" s="100" t="s">
        <v>312</v>
      </c>
      <c r="K196" s="100"/>
      <c r="L196" s="100"/>
      <c r="M196" s="100" t="s">
        <v>95</v>
      </c>
      <c r="N196" s="100"/>
      <c r="O196" s="164"/>
    </row>
    <row r="197" spans="1:15">
      <c r="A197" s="101">
        <f t="shared" si="3"/>
        <v>196</v>
      </c>
      <c r="B197" s="101"/>
      <c r="C197" s="103" t="s">
        <v>987</v>
      </c>
      <c r="D197" s="103" t="s">
        <v>810</v>
      </c>
      <c r="E197" s="103" t="s">
        <v>52</v>
      </c>
      <c r="F197" s="103" t="s">
        <v>166</v>
      </c>
      <c r="G197" s="103" t="s">
        <v>85</v>
      </c>
      <c r="H197" s="103" t="s">
        <v>988</v>
      </c>
      <c r="I197" s="103" t="s">
        <v>969</v>
      </c>
      <c r="J197" s="103" t="s">
        <v>312</v>
      </c>
      <c r="K197" s="103"/>
      <c r="L197" s="103"/>
      <c r="M197" s="103" t="s">
        <v>302</v>
      </c>
      <c r="N197" s="103" t="s">
        <v>989</v>
      </c>
      <c r="O197" s="164"/>
    </row>
    <row r="198" spans="1:15">
      <c r="A198" s="108">
        <f t="shared" si="3"/>
        <v>197</v>
      </c>
      <c r="B198" s="108"/>
      <c r="C198" s="100" t="s">
        <v>990</v>
      </c>
      <c r="D198" s="100" t="s">
        <v>732</v>
      </c>
      <c r="E198" s="100" t="s">
        <v>565</v>
      </c>
      <c r="F198" s="100" t="s">
        <v>991</v>
      </c>
      <c r="G198" s="100" t="s">
        <v>644</v>
      </c>
      <c r="H198" s="100" t="s">
        <v>876</v>
      </c>
      <c r="I198" s="100" t="s">
        <v>583</v>
      </c>
      <c r="J198" s="100" t="s">
        <v>486</v>
      </c>
      <c r="K198" s="100"/>
      <c r="L198" s="100"/>
      <c r="M198" s="100" t="s">
        <v>95</v>
      </c>
      <c r="N198" s="100"/>
      <c r="O198" s="164"/>
    </row>
    <row r="199" spans="1:15">
      <c r="A199" s="108">
        <f t="shared" si="3"/>
        <v>198</v>
      </c>
      <c r="B199" s="108"/>
      <c r="C199" s="100" t="s">
        <v>992</v>
      </c>
      <c r="D199" s="100" t="s">
        <v>942</v>
      </c>
      <c r="E199" s="100" t="s">
        <v>565</v>
      </c>
      <c r="F199" s="100" t="s">
        <v>565</v>
      </c>
      <c r="G199" s="100" t="s">
        <v>87</v>
      </c>
      <c r="H199" s="100" t="s">
        <v>943</v>
      </c>
      <c r="I199" s="100" t="s">
        <v>993</v>
      </c>
      <c r="J199" s="100" t="s">
        <v>502</v>
      </c>
      <c r="K199" s="100" t="s">
        <v>994</v>
      </c>
      <c r="L199" s="100"/>
      <c r="M199" s="100" t="s">
        <v>95</v>
      </c>
      <c r="N199" s="100"/>
      <c r="O199" s="164"/>
    </row>
    <row r="200" spans="1:15">
      <c r="A200" s="108">
        <f t="shared" si="3"/>
        <v>199</v>
      </c>
      <c r="B200" s="108"/>
      <c r="C200" s="100" t="s">
        <v>995</v>
      </c>
      <c r="D200" s="100" t="s">
        <v>841</v>
      </c>
      <c r="E200" s="100" t="s">
        <v>30</v>
      </c>
      <c r="F200" s="100" t="s">
        <v>71</v>
      </c>
      <c r="G200" s="100" t="s">
        <v>85</v>
      </c>
      <c r="H200" s="110" t="s">
        <v>842</v>
      </c>
      <c r="I200" s="100" t="s">
        <v>993</v>
      </c>
      <c r="J200" s="100" t="s">
        <v>486</v>
      </c>
      <c r="K200" s="100"/>
      <c r="L200" s="100"/>
      <c r="M200" s="100" t="s">
        <v>95</v>
      </c>
      <c r="N200" s="100"/>
      <c r="O200" s="164"/>
    </row>
    <row r="201" spans="1:15">
      <c r="A201" s="108">
        <f t="shared" si="3"/>
        <v>200</v>
      </c>
      <c r="B201" s="108"/>
      <c r="C201" s="100" t="s">
        <v>996</v>
      </c>
      <c r="D201" s="100" t="s">
        <v>929</v>
      </c>
      <c r="E201" s="100" t="s">
        <v>565</v>
      </c>
      <c r="F201" s="100" t="s">
        <v>45</v>
      </c>
      <c r="G201" s="100" t="s">
        <v>85</v>
      </c>
      <c r="H201" s="139" t="s">
        <v>997</v>
      </c>
      <c r="I201" s="100" t="s">
        <v>926</v>
      </c>
      <c r="J201" s="100" t="s">
        <v>312</v>
      </c>
      <c r="K201" s="100"/>
      <c r="L201" s="100"/>
      <c r="M201" s="100" t="s">
        <v>95</v>
      </c>
      <c r="N201" s="100"/>
      <c r="O201" s="164"/>
    </row>
    <row r="202" spans="1:15">
      <c r="A202" s="108">
        <f t="shared" si="3"/>
        <v>201</v>
      </c>
      <c r="B202" s="108"/>
      <c r="C202" s="100" t="s">
        <v>998</v>
      </c>
      <c r="D202" s="100" t="s">
        <v>934</v>
      </c>
      <c r="E202" s="100" t="s">
        <v>347</v>
      </c>
      <c r="F202" s="100" t="s">
        <v>45</v>
      </c>
      <c r="G202" s="100" t="s">
        <v>87</v>
      </c>
      <c r="H202" s="139" t="s">
        <v>999</v>
      </c>
      <c r="I202" s="100" t="s">
        <v>926</v>
      </c>
      <c r="J202" s="100" t="s">
        <v>312</v>
      </c>
      <c r="K202" s="100"/>
      <c r="L202" s="100"/>
      <c r="M202" s="100" t="s">
        <v>95</v>
      </c>
      <c r="N202" s="100"/>
      <c r="O202" s="164"/>
    </row>
    <row r="203" spans="1:15">
      <c r="A203" s="108">
        <f t="shared" si="3"/>
        <v>202</v>
      </c>
      <c r="B203" s="108"/>
      <c r="C203" s="100" t="s">
        <v>1000</v>
      </c>
      <c r="D203" s="100" t="s">
        <v>1001</v>
      </c>
      <c r="E203" s="100" t="s">
        <v>565</v>
      </c>
      <c r="F203" s="100" t="s">
        <v>380</v>
      </c>
      <c r="G203" s="100" t="s">
        <v>87</v>
      </c>
      <c r="H203" s="110" t="s">
        <v>1002</v>
      </c>
      <c r="I203" s="100"/>
      <c r="J203" s="100" t="s">
        <v>1003</v>
      </c>
      <c r="K203" s="100"/>
      <c r="L203" s="100"/>
      <c r="M203" s="100" t="s">
        <v>95</v>
      </c>
      <c r="N203" s="100"/>
      <c r="O203" s="164"/>
    </row>
    <row r="204" spans="1:15">
      <c r="A204" s="108">
        <f t="shared" si="3"/>
        <v>203</v>
      </c>
      <c r="B204" s="108"/>
      <c r="C204" s="100" t="s">
        <v>1004</v>
      </c>
      <c r="D204" s="100" t="s">
        <v>810</v>
      </c>
      <c r="E204" s="100" t="s">
        <v>52</v>
      </c>
      <c r="F204" s="100" t="s">
        <v>166</v>
      </c>
      <c r="G204" s="100" t="s">
        <v>87</v>
      </c>
      <c r="H204" s="100" t="s">
        <v>1005</v>
      </c>
      <c r="I204" s="100" t="s">
        <v>969</v>
      </c>
      <c r="J204" s="100" t="s">
        <v>312</v>
      </c>
      <c r="K204" s="100"/>
      <c r="L204" s="100"/>
      <c r="M204" s="100" t="s">
        <v>95</v>
      </c>
      <c r="N204" s="100"/>
      <c r="O204" s="164"/>
    </row>
    <row r="205" spans="1:15">
      <c r="A205" s="109">
        <f t="shared" si="3"/>
        <v>204</v>
      </c>
      <c r="B205" s="109"/>
      <c r="C205" s="102" t="s">
        <v>1006</v>
      </c>
      <c r="D205" s="102" t="s">
        <v>951</v>
      </c>
      <c r="E205" s="102" t="s">
        <v>347</v>
      </c>
      <c r="F205" s="102" t="s">
        <v>45</v>
      </c>
      <c r="G205" s="102" t="s">
        <v>87</v>
      </c>
      <c r="H205" s="102"/>
      <c r="I205" s="102"/>
      <c r="J205" s="102" t="s">
        <v>312</v>
      </c>
      <c r="K205" s="102" t="s">
        <v>590</v>
      </c>
      <c r="L205" s="102"/>
      <c r="M205" s="102" t="s">
        <v>302</v>
      </c>
      <c r="N205" s="103" t="s">
        <v>952</v>
      </c>
      <c r="O205" s="164"/>
    </row>
    <row r="206" spans="1:15">
      <c r="A206" s="108">
        <f t="shared" si="3"/>
        <v>205</v>
      </c>
      <c r="B206" s="108"/>
      <c r="C206" s="100" t="s">
        <v>1007</v>
      </c>
      <c r="D206" s="100" t="s">
        <v>810</v>
      </c>
      <c r="E206" s="100" t="s">
        <v>52</v>
      </c>
      <c r="F206" s="100" t="s">
        <v>166</v>
      </c>
      <c r="G206" s="100" t="s">
        <v>86</v>
      </c>
      <c r="H206" s="110" t="s">
        <v>1008</v>
      </c>
      <c r="I206" s="100" t="s">
        <v>969</v>
      </c>
      <c r="J206" s="100" t="s">
        <v>312</v>
      </c>
      <c r="K206" s="100"/>
      <c r="L206" s="100"/>
      <c r="M206" s="100" t="s">
        <v>95</v>
      </c>
      <c r="N206" s="100"/>
      <c r="O206" s="164"/>
    </row>
    <row r="207" spans="1:15">
      <c r="A207" s="134">
        <f t="shared" si="3"/>
        <v>206</v>
      </c>
      <c r="B207" s="134"/>
      <c r="C207" s="100" t="s">
        <v>1009</v>
      </c>
      <c r="D207" s="100" t="s">
        <v>732</v>
      </c>
      <c r="E207" s="100" t="s">
        <v>565</v>
      </c>
      <c r="F207" s="100" t="s">
        <v>43</v>
      </c>
      <c r="G207" s="100" t="s">
        <v>644</v>
      </c>
      <c r="H207" s="100" t="s">
        <v>1010</v>
      </c>
      <c r="I207" s="100" t="s">
        <v>993</v>
      </c>
      <c r="J207" s="100" t="s">
        <v>502</v>
      </c>
      <c r="K207" s="100"/>
      <c r="L207" s="100"/>
      <c r="M207" s="100" t="s">
        <v>95</v>
      </c>
      <c r="N207" s="100"/>
      <c r="O207" s="164"/>
    </row>
    <row r="208" spans="1:15">
      <c r="A208" s="108">
        <f t="shared" si="3"/>
        <v>207</v>
      </c>
      <c r="B208" s="108"/>
      <c r="C208" s="120" t="s">
        <v>1011</v>
      </c>
      <c r="D208" s="100" t="s">
        <v>1012</v>
      </c>
      <c r="E208" s="100" t="s">
        <v>30</v>
      </c>
      <c r="F208" s="100" t="s">
        <v>71</v>
      </c>
      <c r="G208" s="100" t="s">
        <v>85</v>
      </c>
      <c r="H208" t="s">
        <v>842</v>
      </c>
      <c r="I208" t="s">
        <v>1013</v>
      </c>
      <c r="J208" s="100" t="s">
        <v>502</v>
      </c>
      <c r="K208" s="100"/>
      <c r="L208" s="100"/>
      <c r="M208" s="100" t="s">
        <v>95</v>
      </c>
      <c r="N208" s="100"/>
      <c r="O208" s="164"/>
    </row>
    <row r="209" spans="1:15">
      <c r="A209" s="108">
        <f t="shared" si="3"/>
        <v>208</v>
      </c>
      <c r="B209" s="108"/>
      <c r="C209" s="100" t="s">
        <v>1014</v>
      </c>
      <c r="D209" s="126" t="s">
        <v>929</v>
      </c>
      <c r="E209" s="126" t="s">
        <v>565</v>
      </c>
      <c r="F209" s="126" t="s">
        <v>45</v>
      </c>
      <c r="G209" s="126" t="s">
        <v>85</v>
      </c>
      <c r="H209" s="139" t="s">
        <v>1015</v>
      </c>
      <c r="I209" s="100" t="s">
        <v>926</v>
      </c>
      <c r="J209" s="126" t="s">
        <v>312</v>
      </c>
      <c r="K209" s="126"/>
      <c r="L209" s="119"/>
      <c r="M209" s="126" t="s">
        <v>95</v>
      </c>
      <c r="N209" s="100"/>
      <c r="O209" s="164"/>
    </row>
    <row r="210" spans="1:15">
      <c r="A210" s="108">
        <f t="shared" si="3"/>
        <v>209</v>
      </c>
      <c r="B210" s="108"/>
      <c r="C210" s="100" t="s">
        <v>1016</v>
      </c>
      <c r="D210" s="100" t="s">
        <v>830</v>
      </c>
      <c r="E210" s="100" t="s">
        <v>595</v>
      </c>
      <c r="F210" s="100" t="s">
        <v>19</v>
      </c>
      <c r="G210" s="100" t="s">
        <v>85</v>
      </c>
      <c r="H210" s="100" t="s">
        <v>1017</v>
      </c>
      <c r="I210" s="100"/>
      <c r="J210" s="100" t="s">
        <v>340</v>
      </c>
      <c r="K210" s="100"/>
      <c r="L210" s="100"/>
      <c r="M210" s="100" t="s">
        <v>95</v>
      </c>
      <c r="N210" s="100"/>
      <c r="O210" s="164"/>
    </row>
    <row r="211" spans="1:15">
      <c r="A211" s="108">
        <f t="shared" si="3"/>
        <v>210</v>
      </c>
      <c r="B211" s="108"/>
      <c r="C211" s="100" t="s">
        <v>1018</v>
      </c>
      <c r="D211" s="100" t="s">
        <v>810</v>
      </c>
      <c r="E211" s="100" t="s">
        <v>52</v>
      </c>
      <c r="F211" s="100" t="s">
        <v>166</v>
      </c>
      <c r="G211" s="100" t="s">
        <v>86</v>
      </c>
      <c r="H211" s="100" t="s">
        <v>1005</v>
      </c>
      <c r="I211" s="100" t="s">
        <v>969</v>
      </c>
      <c r="J211" s="100" t="s">
        <v>312</v>
      </c>
      <c r="K211" s="100"/>
      <c r="L211" s="100"/>
      <c r="M211" s="100" t="s">
        <v>95</v>
      </c>
      <c r="N211" s="100"/>
      <c r="O211" s="164"/>
    </row>
    <row r="212" spans="1:15">
      <c r="A212" s="109">
        <f t="shared" si="3"/>
        <v>211</v>
      </c>
      <c r="B212" s="109"/>
      <c r="C212" s="102" t="s">
        <v>684</v>
      </c>
      <c r="D212" s="102" t="s">
        <v>685</v>
      </c>
      <c r="E212" s="102" t="s">
        <v>30</v>
      </c>
      <c r="F212" s="102" t="s">
        <v>202</v>
      </c>
      <c r="G212" s="102" t="s">
        <v>85</v>
      </c>
      <c r="H212" s="102" t="s">
        <v>686</v>
      </c>
      <c r="I212" s="104" t="s">
        <v>583</v>
      </c>
      <c r="J212" s="102" t="s">
        <v>486</v>
      </c>
      <c r="K212" s="102"/>
      <c r="L212" s="102"/>
      <c r="M212" s="102" t="s">
        <v>302</v>
      </c>
      <c r="N212" s="102" t="s">
        <v>1019</v>
      </c>
      <c r="O212" s="164"/>
    </row>
    <row r="213" spans="1:15">
      <c r="A213" s="108">
        <f t="shared" si="3"/>
        <v>212</v>
      </c>
      <c r="B213" s="108"/>
      <c r="C213" s="100" t="s">
        <v>1020</v>
      </c>
      <c r="D213" s="100" t="s">
        <v>1021</v>
      </c>
      <c r="E213" s="100" t="s">
        <v>1022</v>
      </c>
      <c r="F213" s="100" t="s">
        <v>321</v>
      </c>
      <c r="G213" s="100" t="s">
        <v>87</v>
      </c>
      <c r="H213" s="100"/>
      <c r="I213" s="100"/>
      <c r="J213" s="100" t="s">
        <v>11</v>
      </c>
      <c r="K213" s="100" t="s">
        <v>1023</v>
      </c>
      <c r="L213" s="100"/>
      <c r="M213" s="100" t="s">
        <v>95</v>
      </c>
      <c r="N213" s="100"/>
      <c r="O213" s="164"/>
    </row>
    <row r="214" spans="1:15">
      <c r="A214" s="108">
        <f t="shared" si="3"/>
        <v>213</v>
      </c>
      <c r="B214" s="108"/>
      <c r="C214" s="100" t="s">
        <v>1024</v>
      </c>
      <c r="D214" s="100" t="s">
        <v>1021</v>
      </c>
      <c r="E214" s="100" t="s">
        <v>1025</v>
      </c>
      <c r="F214" s="100" t="s">
        <v>321</v>
      </c>
      <c r="G214" s="100" t="s">
        <v>87</v>
      </c>
      <c r="H214" s="100"/>
      <c r="I214" s="100"/>
      <c r="J214" s="100" t="s">
        <v>11</v>
      </c>
      <c r="K214" s="100" t="s">
        <v>1023</v>
      </c>
      <c r="L214" s="100"/>
      <c r="M214" s="100" t="s">
        <v>95</v>
      </c>
      <c r="N214" s="100"/>
      <c r="O214" s="164"/>
    </row>
    <row r="215" spans="1:15">
      <c r="A215" s="108">
        <f t="shared" si="3"/>
        <v>214</v>
      </c>
      <c r="B215" s="108"/>
      <c r="C215" s="100" t="s">
        <v>1026</v>
      </c>
      <c r="D215" s="100" t="s">
        <v>1021</v>
      </c>
      <c r="E215" s="100" t="s">
        <v>52</v>
      </c>
      <c r="F215" s="100" t="s">
        <v>321</v>
      </c>
      <c r="G215" s="100" t="s">
        <v>87</v>
      </c>
      <c r="H215" s="100"/>
      <c r="I215" s="100"/>
      <c r="J215" s="100" t="s">
        <v>11</v>
      </c>
      <c r="K215" s="100" t="s">
        <v>1023</v>
      </c>
      <c r="L215" s="100"/>
      <c r="M215" s="100" t="s">
        <v>95</v>
      </c>
      <c r="N215" s="100"/>
      <c r="O215" s="164"/>
    </row>
    <row r="216" spans="1:15">
      <c r="A216" s="108">
        <f t="shared" si="3"/>
        <v>215</v>
      </c>
      <c r="B216" s="108"/>
      <c r="C216" s="100" t="s">
        <v>1027</v>
      </c>
      <c r="D216" s="100" t="s">
        <v>1021</v>
      </c>
      <c r="E216" s="100" t="s">
        <v>1028</v>
      </c>
      <c r="F216" s="100" t="s">
        <v>321</v>
      </c>
      <c r="G216" s="100" t="s">
        <v>87</v>
      </c>
      <c r="H216" s="100"/>
      <c r="I216" s="100"/>
      <c r="J216" s="100" t="s">
        <v>11</v>
      </c>
      <c r="K216" s="100" t="s">
        <v>1023</v>
      </c>
      <c r="L216" s="100"/>
      <c r="M216" s="100" t="s">
        <v>95</v>
      </c>
      <c r="N216" s="100"/>
      <c r="O216" s="164"/>
    </row>
    <row r="217" spans="1:15">
      <c r="A217" s="108">
        <f t="shared" si="3"/>
        <v>216</v>
      </c>
      <c r="B217" s="108"/>
      <c r="C217" s="100" t="s">
        <v>1029</v>
      </c>
      <c r="D217" s="100" t="s">
        <v>1030</v>
      </c>
      <c r="E217" s="100" t="s">
        <v>520</v>
      </c>
      <c r="F217" s="100" t="s">
        <v>43</v>
      </c>
      <c r="G217" s="100" t="s">
        <v>87</v>
      </c>
      <c r="H217" s="100"/>
      <c r="I217" s="100"/>
      <c r="J217" s="100" t="s">
        <v>11</v>
      </c>
      <c r="K217" s="100" t="s">
        <v>1023</v>
      </c>
      <c r="L217" s="100"/>
      <c r="M217" s="100" t="s">
        <v>95</v>
      </c>
      <c r="N217" s="100"/>
      <c r="O217" s="164"/>
    </row>
    <row r="218" spans="1:15">
      <c r="A218" s="108">
        <f t="shared" si="3"/>
        <v>217</v>
      </c>
      <c r="B218" s="108"/>
      <c r="C218" s="100" t="s">
        <v>1031</v>
      </c>
      <c r="D218" s="100" t="s">
        <v>860</v>
      </c>
      <c r="E218" s="100" t="s">
        <v>30</v>
      </c>
      <c r="F218" s="100" t="s">
        <v>43</v>
      </c>
      <c r="G218" s="100" t="s">
        <v>87</v>
      </c>
      <c r="H218" s="100"/>
      <c r="I218" s="100"/>
      <c r="J218" s="100" t="s">
        <v>11</v>
      </c>
      <c r="K218" s="100" t="s">
        <v>1023</v>
      </c>
      <c r="L218" s="100"/>
      <c r="M218" s="100" t="s">
        <v>95</v>
      </c>
      <c r="N218" s="100"/>
      <c r="O218" s="164"/>
    </row>
    <row r="219" spans="1:15">
      <c r="A219" s="108">
        <f t="shared" si="3"/>
        <v>218</v>
      </c>
      <c r="B219" s="108"/>
      <c r="C219" s="100" t="s">
        <v>1032</v>
      </c>
      <c r="D219" s="100" t="s">
        <v>860</v>
      </c>
      <c r="E219" s="100" t="s">
        <v>30</v>
      </c>
      <c r="F219" s="100" t="s">
        <v>43</v>
      </c>
      <c r="G219" s="100" t="s">
        <v>87</v>
      </c>
      <c r="H219" s="100"/>
      <c r="I219" s="100"/>
      <c r="J219" s="100" t="s">
        <v>11</v>
      </c>
      <c r="K219" s="100" t="s">
        <v>1023</v>
      </c>
      <c r="L219" s="100"/>
      <c r="M219" s="100" t="s">
        <v>95</v>
      </c>
      <c r="N219" s="100"/>
      <c r="O219" s="164"/>
    </row>
    <row r="220" spans="1:15">
      <c r="A220" s="108">
        <f t="shared" si="3"/>
        <v>219</v>
      </c>
      <c r="B220" s="108"/>
      <c r="C220" s="100" t="s">
        <v>1033</v>
      </c>
      <c r="D220" s="100" t="s">
        <v>860</v>
      </c>
      <c r="E220" s="100" t="s">
        <v>30</v>
      </c>
      <c r="F220" s="100" t="s">
        <v>43</v>
      </c>
      <c r="G220" s="100" t="s">
        <v>87</v>
      </c>
      <c r="H220" s="100"/>
      <c r="I220" s="100"/>
      <c r="J220" s="100" t="s">
        <v>11</v>
      </c>
      <c r="K220" s="100" t="s">
        <v>1023</v>
      </c>
      <c r="L220" s="100"/>
      <c r="M220" s="100" t="s">
        <v>95</v>
      </c>
      <c r="N220" s="100"/>
      <c r="O220" s="164"/>
    </row>
    <row r="221" spans="1:15">
      <c r="A221" s="108">
        <f t="shared" si="3"/>
        <v>220</v>
      </c>
      <c r="B221" s="108"/>
      <c r="C221" s="100" t="s">
        <v>1034</v>
      </c>
      <c r="D221" s="100" t="s">
        <v>860</v>
      </c>
      <c r="E221" s="100" t="s">
        <v>30</v>
      </c>
      <c r="F221" s="100" t="s">
        <v>43</v>
      </c>
      <c r="G221" s="100" t="s">
        <v>87</v>
      </c>
      <c r="H221" s="100"/>
      <c r="I221" s="100"/>
      <c r="J221" s="100" t="s">
        <v>11</v>
      </c>
      <c r="K221" s="100" t="s">
        <v>1023</v>
      </c>
      <c r="L221" s="100"/>
      <c r="M221" s="100" t="s">
        <v>95</v>
      </c>
      <c r="N221" s="100"/>
      <c r="O221" s="164"/>
    </row>
    <row r="222" spans="1:15">
      <c r="A222" s="108">
        <f t="shared" si="3"/>
        <v>221</v>
      </c>
      <c r="B222" s="108"/>
      <c r="C222" s="100" t="s">
        <v>1035</v>
      </c>
      <c r="D222" s="100" t="s">
        <v>860</v>
      </c>
      <c r="E222" s="100" t="s">
        <v>30</v>
      </c>
      <c r="F222" s="100" t="s">
        <v>43</v>
      </c>
      <c r="G222" s="100" t="s">
        <v>87</v>
      </c>
      <c r="H222" s="100"/>
      <c r="I222" s="100"/>
      <c r="J222" s="100" t="s">
        <v>11</v>
      </c>
      <c r="K222" s="100" t="s">
        <v>1023</v>
      </c>
      <c r="L222" s="100"/>
      <c r="M222" s="100" t="s">
        <v>95</v>
      </c>
      <c r="N222" s="100"/>
      <c r="O222" s="164"/>
    </row>
    <row r="223" spans="1:15">
      <c r="A223" s="108">
        <f t="shared" si="3"/>
        <v>222</v>
      </c>
      <c r="B223" s="108"/>
      <c r="C223" s="100" t="s">
        <v>1036</v>
      </c>
      <c r="D223" s="100" t="s">
        <v>860</v>
      </c>
      <c r="E223" s="100" t="s">
        <v>30</v>
      </c>
      <c r="F223" s="100" t="s">
        <v>43</v>
      </c>
      <c r="G223" s="100" t="s">
        <v>87</v>
      </c>
      <c r="H223" s="100"/>
      <c r="I223" s="100"/>
      <c r="J223" s="100" t="s">
        <v>11</v>
      </c>
      <c r="K223" s="100" t="s">
        <v>1023</v>
      </c>
      <c r="L223" s="100"/>
      <c r="M223" s="100" t="s">
        <v>95</v>
      </c>
      <c r="N223" s="100"/>
      <c r="O223" s="164"/>
    </row>
    <row r="224" spans="1:15">
      <c r="A224" s="109">
        <f t="shared" si="3"/>
        <v>223</v>
      </c>
      <c r="B224" s="109"/>
      <c r="C224" s="102" t="s">
        <v>1037</v>
      </c>
      <c r="D224" s="102" t="s">
        <v>860</v>
      </c>
      <c r="E224" s="102" t="s">
        <v>30</v>
      </c>
      <c r="F224" s="102" t="s">
        <v>43</v>
      </c>
      <c r="G224" s="102" t="s">
        <v>87</v>
      </c>
      <c r="H224" s="102"/>
      <c r="I224" s="102"/>
      <c r="J224" s="102" t="s">
        <v>11</v>
      </c>
      <c r="K224" s="102" t="s">
        <v>1023</v>
      </c>
      <c r="L224" s="102"/>
      <c r="M224" s="102" t="s">
        <v>302</v>
      </c>
      <c r="N224" s="102" t="s">
        <v>1038</v>
      </c>
      <c r="O224" s="164"/>
    </row>
    <row r="225" spans="1:15">
      <c r="A225" s="108">
        <f t="shared" si="3"/>
        <v>224</v>
      </c>
      <c r="B225" s="108"/>
      <c r="C225" s="100" t="s">
        <v>1039</v>
      </c>
      <c r="D225" s="100" t="s">
        <v>860</v>
      </c>
      <c r="E225" s="100" t="s">
        <v>30</v>
      </c>
      <c r="F225" s="100" t="s">
        <v>43</v>
      </c>
      <c r="G225" s="100" t="s">
        <v>87</v>
      </c>
      <c r="H225" s="100"/>
      <c r="I225" s="100"/>
      <c r="J225" s="100" t="s">
        <v>11</v>
      </c>
      <c r="K225" s="100" t="s">
        <v>1023</v>
      </c>
      <c r="L225" s="100"/>
      <c r="M225" s="100" t="s">
        <v>95</v>
      </c>
      <c r="N225" s="100"/>
      <c r="O225" s="164"/>
    </row>
    <row r="226" spans="1:15">
      <c r="A226" s="109">
        <f t="shared" si="3"/>
        <v>225</v>
      </c>
      <c r="B226" s="109"/>
      <c r="C226" s="102" t="s">
        <v>1040</v>
      </c>
      <c r="D226" s="102" t="s">
        <v>860</v>
      </c>
      <c r="E226" s="102" t="s">
        <v>30</v>
      </c>
      <c r="F226" s="102" t="s">
        <v>43</v>
      </c>
      <c r="G226" s="102" t="s">
        <v>87</v>
      </c>
      <c r="H226" s="102"/>
      <c r="I226" s="102"/>
      <c r="J226" s="102" t="s">
        <v>11</v>
      </c>
      <c r="K226" s="102" t="s">
        <v>1023</v>
      </c>
      <c r="L226" s="102"/>
      <c r="M226" s="102" t="s">
        <v>302</v>
      </c>
      <c r="N226" s="102" t="s">
        <v>1038</v>
      </c>
      <c r="O226" s="164"/>
    </row>
    <row r="227" spans="1:15">
      <c r="A227" s="108">
        <f t="shared" si="3"/>
        <v>226</v>
      </c>
      <c r="B227" s="108"/>
      <c r="C227" s="100" t="s">
        <v>1041</v>
      </c>
      <c r="D227" s="100" t="s">
        <v>1042</v>
      </c>
      <c r="E227" s="100" t="s">
        <v>196</v>
      </c>
      <c r="F227" s="100" t="s">
        <v>43</v>
      </c>
      <c r="G227" s="100" t="s">
        <v>87</v>
      </c>
      <c r="H227" s="100"/>
      <c r="I227" s="100"/>
      <c r="J227" s="100" t="s">
        <v>11</v>
      </c>
      <c r="K227" s="100" t="s">
        <v>1023</v>
      </c>
      <c r="L227" s="100"/>
      <c r="M227" s="100" t="s">
        <v>95</v>
      </c>
      <c r="N227" s="100"/>
      <c r="O227" s="164"/>
    </row>
    <row r="228" spans="1:15">
      <c r="A228" s="108">
        <f t="shared" si="3"/>
        <v>227</v>
      </c>
      <c r="B228" s="108"/>
      <c r="C228" s="100" t="s">
        <v>1043</v>
      </c>
      <c r="D228" s="100" t="s">
        <v>1044</v>
      </c>
      <c r="E228" s="100" t="s">
        <v>202</v>
      </c>
      <c r="F228" s="100" t="s">
        <v>43</v>
      </c>
      <c r="G228" s="100" t="s">
        <v>87</v>
      </c>
      <c r="H228" s="100"/>
      <c r="I228" s="100"/>
      <c r="J228" s="100" t="s">
        <v>11</v>
      </c>
      <c r="K228" s="100" t="s">
        <v>1023</v>
      </c>
      <c r="L228" s="100"/>
      <c r="M228" s="100" t="s">
        <v>95</v>
      </c>
      <c r="N228" s="100"/>
      <c r="O228" s="164"/>
    </row>
    <row r="229" spans="1:15">
      <c r="A229" s="108">
        <f t="shared" si="3"/>
        <v>228</v>
      </c>
      <c r="B229" s="108"/>
      <c r="C229" s="100" t="s">
        <v>1016</v>
      </c>
      <c r="D229" s="100" t="s">
        <v>830</v>
      </c>
      <c r="E229" s="100" t="s">
        <v>595</v>
      </c>
      <c r="F229" s="100" t="s">
        <v>19</v>
      </c>
      <c r="G229" s="100" t="s">
        <v>85</v>
      </c>
      <c r="H229" s="100"/>
      <c r="I229" s="100"/>
      <c r="J229" s="100" t="s">
        <v>340</v>
      </c>
      <c r="K229" s="100"/>
      <c r="L229" s="100"/>
      <c r="M229" s="100" t="s">
        <v>95</v>
      </c>
      <c r="N229" s="100"/>
      <c r="O229" s="164"/>
    </row>
    <row r="230" spans="1:15">
      <c r="A230" s="108">
        <f t="shared" si="3"/>
        <v>229</v>
      </c>
      <c r="B230" s="108"/>
      <c r="C230" s="100" t="s">
        <v>1045</v>
      </c>
      <c r="D230" s="119" t="s">
        <v>709</v>
      </c>
      <c r="E230" s="100" t="s">
        <v>595</v>
      </c>
      <c r="F230" s="100" t="s">
        <v>113</v>
      </c>
      <c r="G230" s="100" t="s">
        <v>85</v>
      </c>
      <c r="H230" s="100" t="s">
        <v>1046</v>
      </c>
      <c r="I230" s="100" t="s">
        <v>1047</v>
      </c>
      <c r="J230" s="119" t="s">
        <v>340</v>
      </c>
      <c r="K230" s="100"/>
      <c r="L230" s="100"/>
      <c r="M230" s="100" t="s">
        <v>95</v>
      </c>
      <c r="N230" s="100"/>
      <c r="O230" s="164"/>
    </row>
    <row r="231" spans="1:15">
      <c r="A231" s="108">
        <f t="shared" si="3"/>
        <v>230</v>
      </c>
      <c r="B231" s="108"/>
      <c r="C231" s="100" t="s">
        <v>1048</v>
      </c>
      <c r="D231" s="100" t="s">
        <v>1030</v>
      </c>
      <c r="E231" s="100" t="s">
        <v>520</v>
      </c>
      <c r="F231" s="100" t="s">
        <v>43</v>
      </c>
      <c r="G231" s="100" t="s">
        <v>87</v>
      </c>
      <c r="H231" s="100"/>
      <c r="I231" s="100"/>
      <c r="J231" s="100" t="s">
        <v>11</v>
      </c>
      <c r="K231" s="100" t="s">
        <v>1023</v>
      </c>
      <c r="L231" s="100"/>
      <c r="M231" s="100" t="s">
        <v>95</v>
      </c>
      <c r="N231" s="100"/>
      <c r="O231" s="164"/>
    </row>
  </sheetData>
  <hyperlinks>
    <hyperlink ref="H68" r:id="rId1"/>
    <hyperlink ref="H67" r:id="rId2"/>
    <hyperlink ref="H66" r:id="rId3"/>
    <hyperlink ref="H65" r:id="rId4"/>
    <hyperlink ref="H62" r:id="rId5"/>
    <hyperlink ref="H55" r:id="rId6"/>
    <hyperlink ref="H60" r:id="rId7"/>
    <hyperlink ref="H61" r:id="rId8"/>
    <hyperlink ref="H96" r:id="rId9"/>
    <hyperlink ref="H15" r:id="rId10"/>
    <hyperlink ref="H102" r:id="rId11"/>
    <hyperlink ref="H32" r:id="rId12"/>
    <hyperlink ref="H111" r:id="rId13"/>
    <hyperlink ref="H49" r:id="rId14"/>
    <hyperlink ref="H47" r:id="rId15"/>
    <hyperlink ref="H3" r:id="rId16"/>
    <hyperlink ref="I111" r:id="rId17"/>
    <hyperlink ref="I49" r:id="rId18"/>
    <hyperlink ref="I47" r:id="rId19"/>
    <hyperlink ref="H5" r:id="rId20"/>
    <hyperlink ref="H4" r:id="rId21"/>
    <hyperlink ref="H57" r:id="rId22"/>
    <hyperlink ref="H76" r:id="rId23"/>
    <hyperlink ref="H149" r:id="rId24"/>
    <hyperlink ref="H150" r:id="rId25"/>
    <hyperlink ref="H155" r:id="rId26"/>
    <hyperlink ref="I156" r:id="rId27"/>
    <hyperlink ref="H156" r:id="rId28"/>
    <hyperlink ref="H157" r:id="rId29"/>
    <hyperlink ref="H159" r:id="rId30"/>
    <hyperlink ref="H161" r:id="rId31"/>
    <hyperlink ref="H16" r:id="rId32"/>
    <hyperlink ref="H20" r:id="rId33"/>
    <hyperlink ref="I157" r:id="rId34"/>
    <hyperlink ref="H169" r:id="rId35"/>
    <hyperlink ref="I171" r:id="rId36" display="Emil.Atanassov@sitel.com;Diana.Dimitrova@sitel.com;Silviya.Todorova@sitel.com"/>
    <hyperlink ref="H173" r:id="rId37"/>
    <hyperlink ref="H181" r:id="rId38" display="Daniel.Piper@sitel.com"/>
    <hyperlink ref="I186" r:id="rId39"/>
    <hyperlink ref="H175" r:id="rId40"/>
    <hyperlink ref="H174" r:id="rId41"/>
    <hyperlink ref="H115" r:id="rId42"/>
    <hyperlink ref="I191" r:id="rId43"/>
    <hyperlink ref="I193" r:id="rId44"/>
    <hyperlink ref="I194" r:id="rId45"/>
    <hyperlink ref="H195" r:id="rId46"/>
    <hyperlink ref="H200" r:id="rId47"/>
    <hyperlink ref="H203" r:id="rId48"/>
    <hyperlink ref="H206" r:id="rId49" display="Tarrin.Reynolds@sitel.com"/>
    <hyperlink ref="I212" r:id="rId50"/>
  </hyperlinks>
  <pageMargins left="0.7" right="0.7" top="0.75" bottom="0.75" header="0.3" footer="0.3"/>
  <legacyDrawing r:id="rId51"/>
  <tableParts count="1">
    <tablePart r:id="rId5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tabColor theme="0" tint="-0.14999847407452621"/>
  </sheetPr>
  <dimension ref="A1:AO318"/>
  <sheetViews>
    <sheetView showGridLines="0" zoomScale="70" zoomScaleNormal="70" workbookViewId="0">
      <pane xSplit="9" ySplit="10" topLeftCell="U11" activePane="bottomRight" state="frozen"/>
      <selection pane="topRight" activeCell="J1" sqref="J1"/>
      <selection pane="bottomLeft" activeCell="A11" sqref="A11"/>
      <selection pane="bottomRight" activeCell="E10" sqref="E10"/>
    </sheetView>
  </sheetViews>
  <sheetFormatPr defaultRowHeight="14.4"/>
  <cols>
    <col min="1" max="1" width="4.44140625" customWidth="1"/>
    <col min="2" max="2" width="11.44140625" bestFit="1" customWidth="1"/>
    <col min="4" max="4" width="26.44140625" customWidth="1"/>
    <col min="5" max="5" width="21.44140625" bestFit="1" customWidth="1"/>
    <col min="6" max="6" width="32.44140625" customWidth="1"/>
    <col min="7" max="7" width="19.109375" customWidth="1"/>
    <col min="8" max="8" width="63" customWidth="1"/>
    <col min="9" max="9" width="14.33203125" customWidth="1"/>
    <col min="10" max="10" width="12.44140625" customWidth="1"/>
    <col min="11" max="11" width="18.44140625" bestFit="1" customWidth="1"/>
    <col min="12" max="14" width="4.44140625" customWidth="1"/>
    <col min="15" max="15" width="5.44140625" customWidth="1"/>
    <col min="16" max="16" width="4.44140625" customWidth="1"/>
    <col min="17" max="17" width="5.88671875" customWidth="1"/>
    <col min="18" max="35" width="4.44140625" customWidth="1"/>
    <col min="36" max="36" width="10.88671875" customWidth="1"/>
    <col min="37" max="37" width="12.109375" customWidth="1"/>
    <col min="38" max="39" width="18.44140625" customWidth="1"/>
    <col min="40" max="40" width="82.44140625" bestFit="1" customWidth="1"/>
    <col min="41" max="41" width="72.44140625" style="10" bestFit="1" customWidth="1"/>
  </cols>
  <sheetData>
    <row r="1" spans="2:41" ht="15.75" customHeight="1" thickBot="1">
      <c r="O1" s="4" t="s">
        <v>0</v>
      </c>
      <c r="P1" s="155" t="s">
        <v>2</v>
      </c>
      <c r="Q1" s="156"/>
      <c r="R1" s="156"/>
      <c r="S1" s="156"/>
      <c r="T1" s="25" t="s">
        <v>3</v>
      </c>
      <c r="U1" s="26"/>
      <c r="V1" s="26"/>
      <c r="W1" s="22"/>
      <c r="X1" s="22"/>
      <c r="Y1" s="22"/>
      <c r="Z1" s="22"/>
      <c r="AA1" s="22"/>
      <c r="AB1" s="22"/>
      <c r="AC1" s="22"/>
      <c r="AD1" s="22"/>
      <c r="AE1" s="22"/>
      <c r="AF1" s="22"/>
      <c r="AG1" s="22"/>
      <c r="AH1" s="22"/>
      <c r="AI1" s="22"/>
      <c r="AJ1" s="26"/>
      <c r="AK1" s="26"/>
      <c r="AL1" s="22"/>
      <c r="AO1"/>
    </row>
    <row r="2" spans="2:41" ht="15.75" customHeight="1" thickBot="1">
      <c r="O2" s="5">
        <v>0</v>
      </c>
      <c r="P2" s="153" t="s">
        <v>5</v>
      </c>
      <c r="Q2" s="154"/>
      <c r="R2" s="154"/>
      <c r="S2" s="154"/>
      <c r="T2" s="27" t="s">
        <v>6</v>
      </c>
      <c r="U2" s="28"/>
      <c r="V2" s="28"/>
      <c r="W2" s="23"/>
      <c r="X2" s="23"/>
      <c r="Y2" s="23"/>
      <c r="Z2" s="23"/>
      <c r="AA2" s="23"/>
      <c r="AB2" s="23"/>
      <c r="AC2" s="23"/>
      <c r="AD2" s="23"/>
      <c r="AE2" s="23"/>
      <c r="AF2" s="23"/>
      <c r="AG2" s="23"/>
      <c r="AH2" s="23"/>
      <c r="AI2" s="23"/>
      <c r="AJ2" s="28"/>
      <c r="AK2" s="28"/>
      <c r="AL2" s="23"/>
      <c r="AO2"/>
    </row>
    <row r="3" spans="2:41" ht="15.75" customHeight="1" thickBot="1">
      <c r="O3" s="6">
        <v>1</v>
      </c>
      <c r="P3" s="151" t="s">
        <v>4</v>
      </c>
      <c r="Q3" s="152"/>
      <c r="R3" s="152"/>
      <c r="S3" s="152"/>
      <c r="T3" s="29" t="s">
        <v>7</v>
      </c>
      <c r="U3" s="30"/>
      <c r="V3" s="30"/>
      <c r="W3" s="24"/>
      <c r="X3" s="24"/>
      <c r="Y3" s="24"/>
      <c r="Z3" s="24"/>
      <c r="AA3" s="24"/>
      <c r="AB3" s="24"/>
      <c r="AC3" s="24"/>
      <c r="AD3" s="24"/>
      <c r="AE3" s="24"/>
      <c r="AF3" s="24"/>
      <c r="AG3" s="24"/>
      <c r="AH3" s="24"/>
      <c r="AI3" s="24"/>
      <c r="AJ3" s="30"/>
      <c r="AK3" s="30"/>
      <c r="AL3" s="24"/>
      <c r="AO3"/>
    </row>
    <row r="4" spans="2:41" ht="15.75" customHeight="1" thickBot="1">
      <c r="E4" s="157" t="s">
        <v>232</v>
      </c>
      <c r="F4" s="157"/>
      <c r="G4" s="157"/>
      <c r="H4" s="157"/>
      <c r="O4" s="7">
        <v>2</v>
      </c>
      <c r="P4" s="158" t="s">
        <v>1</v>
      </c>
      <c r="Q4" s="159"/>
      <c r="R4" s="159"/>
      <c r="S4" s="159"/>
      <c r="T4" s="31" t="s">
        <v>26</v>
      </c>
      <c r="U4" s="32"/>
      <c r="V4" s="32"/>
      <c r="W4" s="19"/>
      <c r="X4" s="19"/>
      <c r="Y4" s="19"/>
      <c r="Z4" s="19"/>
      <c r="AA4" s="19"/>
      <c r="AB4" s="19"/>
      <c r="AC4" s="19"/>
      <c r="AD4" s="19"/>
      <c r="AE4" s="19"/>
      <c r="AF4" s="19"/>
      <c r="AG4" s="19"/>
      <c r="AH4" s="19"/>
      <c r="AI4" s="19"/>
      <c r="AJ4" s="32"/>
      <c r="AK4" s="32"/>
      <c r="AL4" s="19"/>
      <c r="AO4"/>
    </row>
    <row r="5" spans="2:41" ht="15.75" customHeight="1" thickBot="1">
      <c r="E5" s="157"/>
      <c r="F5" s="157"/>
      <c r="G5" s="157"/>
      <c r="H5" s="157"/>
      <c r="O5" s="8">
        <v>3</v>
      </c>
      <c r="P5" s="160" t="s">
        <v>8</v>
      </c>
      <c r="Q5" s="161"/>
      <c r="R5" s="161"/>
      <c r="S5" s="161"/>
      <c r="T5" s="33" t="s">
        <v>24</v>
      </c>
      <c r="U5" s="34"/>
      <c r="V5" s="34"/>
      <c r="W5" s="20"/>
      <c r="X5" s="20"/>
      <c r="Y5" s="20"/>
      <c r="Z5" s="20"/>
      <c r="AA5" s="20"/>
      <c r="AB5" s="20"/>
      <c r="AC5" s="20"/>
      <c r="AD5" s="20"/>
      <c r="AE5" s="20"/>
      <c r="AF5" s="20"/>
      <c r="AG5" s="20"/>
      <c r="AH5" s="20"/>
      <c r="AI5" s="20"/>
      <c r="AJ5" s="34"/>
      <c r="AK5" s="34"/>
      <c r="AL5" s="20"/>
      <c r="AO5"/>
    </row>
    <row r="6" spans="2:41" ht="15.75" customHeight="1" thickBot="1">
      <c r="E6" s="157"/>
      <c r="F6" s="157"/>
      <c r="G6" s="157"/>
      <c r="H6" s="157"/>
      <c r="O6" s="9">
        <v>4</v>
      </c>
      <c r="P6" s="162" t="s">
        <v>9</v>
      </c>
      <c r="Q6" s="163"/>
      <c r="R6" s="163"/>
      <c r="S6" s="163"/>
      <c r="T6" s="35" t="s">
        <v>25</v>
      </c>
      <c r="U6" s="36"/>
      <c r="V6" s="36"/>
      <c r="W6" s="21"/>
      <c r="X6" s="21"/>
      <c r="Y6" s="21"/>
      <c r="Z6" s="21"/>
      <c r="AA6" s="21"/>
      <c r="AB6" s="21"/>
      <c r="AC6" s="21"/>
      <c r="AD6" s="21"/>
      <c r="AE6" s="21"/>
      <c r="AF6" s="21"/>
      <c r="AG6" s="21"/>
      <c r="AH6" s="21"/>
      <c r="AI6" s="21"/>
      <c r="AJ6" s="36"/>
      <c r="AK6" s="36"/>
      <c r="AL6" s="21"/>
      <c r="AO6"/>
    </row>
    <row r="7" spans="2:41">
      <c r="E7" s="157"/>
      <c r="F7" s="157"/>
      <c r="G7" s="157"/>
      <c r="H7" s="157"/>
      <c r="AM7" s="10"/>
      <c r="AO7"/>
    </row>
    <row r="8" spans="2:41">
      <c r="AM8" s="10"/>
      <c r="AO8"/>
    </row>
    <row r="9" spans="2:41">
      <c r="AM9" s="10"/>
      <c r="AO9"/>
    </row>
    <row r="10" spans="2:41" ht="43.2">
      <c r="B10" s="2" t="s">
        <v>18</v>
      </c>
      <c r="C10" s="2" t="s">
        <v>188</v>
      </c>
      <c r="D10" s="2" t="s">
        <v>183</v>
      </c>
      <c r="E10" s="2" t="s">
        <v>14</v>
      </c>
      <c r="F10" s="2" t="s">
        <v>15</v>
      </c>
      <c r="G10" s="2" t="s">
        <v>23</v>
      </c>
      <c r="H10" s="2" t="s">
        <v>16</v>
      </c>
      <c r="I10" s="2" t="s">
        <v>84</v>
      </c>
      <c r="J10" s="2" t="s">
        <v>22</v>
      </c>
      <c r="K10" s="2" t="s">
        <v>20</v>
      </c>
      <c r="L10" s="2" t="s">
        <v>10</v>
      </c>
      <c r="M10" s="2" t="s">
        <v>11</v>
      </c>
      <c r="N10" s="2" t="s">
        <v>12</v>
      </c>
      <c r="O10" s="2" t="s">
        <v>13</v>
      </c>
      <c r="P10" s="2" t="s">
        <v>94</v>
      </c>
      <c r="Q10" s="2" t="s">
        <v>55</v>
      </c>
      <c r="R10" s="2" t="s">
        <v>331</v>
      </c>
      <c r="S10" s="2" t="s">
        <v>61</v>
      </c>
      <c r="T10" s="2" t="s">
        <v>62</v>
      </c>
      <c r="U10" s="2" t="s">
        <v>143</v>
      </c>
      <c r="V10" s="2" t="s">
        <v>165</v>
      </c>
      <c r="W10" s="2" t="s">
        <v>170</v>
      </c>
      <c r="X10" s="2" t="s">
        <v>340</v>
      </c>
      <c r="Y10" s="2" t="s">
        <v>312</v>
      </c>
      <c r="Z10" s="2" t="s">
        <v>330</v>
      </c>
      <c r="AA10" s="2" t="s">
        <v>387</v>
      </c>
      <c r="AB10" s="2" t="s">
        <v>453</v>
      </c>
      <c r="AC10" s="2" t="s">
        <v>454</v>
      </c>
      <c r="AD10" s="2" t="s">
        <v>491</v>
      </c>
      <c r="AE10" s="2" t="s">
        <v>408</v>
      </c>
      <c r="AF10" s="2" t="s">
        <v>417</v>
      </c>
      <c r="AG10" s="2" t="s">
        <v>452</v>
      </c>
      <c r="AH10" s="2" t="s">
        <v>486</v>
      </c>
      <c r="AI10" s="2" t="s">
        <v>502</v>
      </c>
      <c r="AJ10" s="59" t="s">
        <v>17</v>
      </c>
      <c r="AK10" s="2" t="s">
        <v>152</v>
      </c>
      <c r="AL10" s="2" t="s">
        <v>154</v>
      </c>
      <c r="AM10" s="2" t="s">
        <v>155</v>
      </c>
      <c r="AN10" s="3" t="s">
        <v>27</v>
      </c>
      <c r="AO10"/>
    </row>
    <row r="11" spans="2:41" s="43" customFormat="1" ht="15" customHeight="1">
      <c r="B11" s="1">
        <v>1</v>
      </c>
      <c r="C11" s="1">
        <v>0</v>
      </c>
      <c r="D11" s="1"/>
      <c r="E11" s="1" t="s">
        <v>52</v>
      </c>
      <c r="F11" s="1" t="s">
        <v>54</v>
      </c>
      <c r="G11" s="1" t="s">
        <v>54</v>
      </c>
      <c r="H11" s="1" t="s">
        <v>53</v>
      </c>
      <c r="I11" s="1" t="s">
        <v>87</v>
      </c>
      <c r="J11" s="1" t="s">
        <v>143</v>
      </c>
      <c r="K11" s="1" t="s">
        <v>62</v>
      </c>
      <c r="L11" s="1"/>
      <c r="M11" s="1">
        <v>4</v>
      </c>
      <c r="N11" s="1"/>
      <c r="O11" s="1">
        <v>4</v>
      </c>
      <c r="P11" s="1">
        <v>1</v>
      </c>
      <c r="Q11" s="1"/>
      <c r="R11" s="1"/>
      <c r="S11" s="1"/>
      <c r="T11" s="1"/>
      <c r="U11" s="1">
        <v>3</v>
      </c>
      <c r="V11" s="1">
        <v>0</v>
      </c>
      <c r="W11" s="1">
        <v>0</v>
      </c>
      <c r="X11" s="1">
        <v>0</v>
      </c>
      <c r="Y11" s="1">
        <v>0</v>
      </c>
      <c r="Z11" s="1"/>
      <c r="AA11" s="1">
        <v>0</v>
      </c>
      <c r="AB11" s="1"/>
      <c r="AC11" s="1" t="s">
        <v>454</v>
      </c>
      <c r="AD11" s="1"/>
      <c r="AE11" s="1"/>
      <c r="AF11" s="1"/>
      <c r="AG11" s="1">
        <v>0</v>
      </c>
      <c r="AH11" s="1">
        <v>0</v>
      </c>
      <c r="AI11" s="1"/>
      <c r="AJ11" s="1" t="s">
        <v>21</v>
      </c>
      <c r="AK11" s="1"/>
      <c r="AL11" s="17">
        <v>43467</v>
      </c>
      <c r="AM11" s="18" t="s">
        <v>62</v>
      </c>
      <c r="AN11" s="10" t="s">
        <v>163</v>
      </c>
    </row>
    <row r="12" spans="2:41" s="43" customFormat="1" ht="15" customHeight="1">
      <c r="B12" s="1">
        <f t="shared" ref="B12:B75" si="0">B11+1</f>
        <v>2</v>
      </c>
      <c r="C12" s="1">
        <v>0</v>
      </c>
      <c r="D12" s="1" t="s">
        <v>184</v>
      </c>
      <c r="E12" s="1" t="s">
        <v>52</v>
      </c>
      <c r="F12" s="1" t="s">
        <v>46</v>
      </c>
      <c r="G12" s="1" t="s">
        <v>66</v>
      </c>
      <c r="H12" s="1" t="s">
        <v>67</v>
      </c>
      <c r="I12" s="1" t="s">
        <v>85</v>
      </c>
      <c r="J12" s="1" t="s">
        <v>143</v>
      </c>
      <c r="K12" s="1" t="s">
        <v>62</v>
      </c>
      <c r="L12" s="1">
        <v>4</v>
      </c>
      <c r="M12" s="1">
        <v>4</v>
      </c>
      <c r="N12" s="1">
        <v>3</v>
      </c>
      <c r="O12" s="1"/>
      <c r="P12" s="1">
        <v>4</v>
      </c>
      <c r="Q12" s="1"/>
      <c r="R12" s="1"/>
      <c r="S12" s="1"/>
      <c r="T12" s="1">
        <v>4</v>
      </c>
      <c r="U12" s="1">
        <v>3</v>
      </c>
      <c r="V12" s="1">
        <v>0</v>
      </c>
      <c r="W12" s="1">
        <v>0</v>
      </c>
      <c r="X12" s="1">
        <v>0</v>
      </c>
      <c r="Y12" s="1">
        <v>0</v>
      </c>
      <c r="Z12" s="1"/>
      <c r="AA12" s="1">
        <v>0</v>
      </c>
      <c r="AB12" s="1"/>
      <c r="AC12" s="1"/>
      <c r="AD12" s="1"/>
      <c r="AE12" s="1"/>
      <c r="AF12" s="1"/>
      <c r="AG12" s="1">
        <v>0</v>
      </c>
      <c r="AH12" s="1">
        <v>0</v>
      </c>
      <c r="AI12" s="1"/>
      <c r="AJ12" s="1" t="s">
        <v>21</v>
      </c>
      <c r="AK12" s="1" t="s">
        <v>21</v>
      </c>
      <c r="AL12" s="17">
        <v>43467</v>
      </c>
      <c r="AM12" s="18" t="s">
        <v>62</v>
      </c>
      <c r="AN12" s="10"/>
    </row>
    <row r="13" spans="2:41" s="43" customFormat="1" ht="15" customHeight="1">
      <c r="B13" s="1">
        <f t="shared" si="0"/>
        <v>3</v>
      </c>
      <c r="C13" s="1">
        <v>0</v>
      </c>
      <c r="D13" s="1" t="s">
        <v>184</v>
      </c>
      <c r="E13" s="1" t="s">
        <v>52</v>
      </c>
      <c r="F13" s="1" t="s">
        <v>46</v>
      </c>
      <c r="G13" s="1" t="s">
        <v>66</v>
      </c>
      <c r="H13" s="1" t="s">
        <v>68</v>
      </c>
      <c r="I13" s="1" t="s">
        <v>85</v>
      </c>
      <c r="J13" s="1" t="s">
        <v>143</v>
      </c>
      <c r="K13" s="1" t="s">
        <v>62</v>
      </c>
      <c r="L13" s="1">
        <v>4</v>
      </c>
      <c r="M13" s="1">
        <v>4</v>
      </c>
      <c r="N13" s="1">
        <v>3</v>
      </c>
      <c r="O13" s="1"/>
      <c r="P13" s="1">
        <v>4</v>
      </c>
      <c r="Q13" s="1"/>
      <c r="R13" s="1"/>
      <c r="S13" s="1"/>
      <c r="T13" s="1">
        <v>4</v>
      </c>
      <c r="U13" s="1">
        <v>3</v>
      </c>
      <c r="V13" s="1">
        <v>0</v>
      </c>
      <c r="W13" s="1">
        <v>0</v>
      </c>
      <c r="X13" s="1">
        <v>0</v>
      </c>
      <c r="Y13" s="1">
        <v>0</v>
      </c>
      <c r="Z13" s="1"/>
      <c r="AA13" s="1">
        <v>0</v>
      </c>
      <c r="AB13" s="1"/>
      <c r="AC13" s="1"/>
      <c r="AD13" s="1"/>
      <c r="AE13" s="1"/>
      <c r="AF13" s="1"/>
      <c r="AG13" s="1">
        <v>0</v>
      </c>
      <c r="AH13" s="1">
        <v>0</v>
      </c>
      <c r="AI13" s="1"/>
      <c r="AJ13" s="1" t="s">
        <v>21</v>
      </c>
      <c r="AK13" s="1" t="s">
        <v>21</v>
      </c>
      <c r="AL13" s="17">
        <v>43467</v>
      </c>
      <c r="AM13" s="18" t="s">
        <v>62</v>
      </c>
      <c r="AN13" s="10"/>
    </row>
    <row r="14" spans="2:41" s="43" customFormat="1" ht="15" customHeight="1">
      <c r="B14" s="1">
        <f t="shared" si="0"/>
        <v>4</v>
      </c>
      <c r="C14" s="1">
        <v>0</v>
      </c>
      <c r="D14" s="1" t="s">
        <v>184</v>
      </c>
      <c r="E14" s="1" t="s">
        <v>52</v>
      </c>
      <c r="F14" s="1" t="s">
        <v>52</v>
      </c>
      <c r="G14" s="1" t="s">
        <v>52</v>
      </c>
      <c r="H14" s="1" t="s">
        <v>138</v>
      </c>
      <c r="I14" s="1" t="s">
        <v>85</v>
      </c>
      <c r="J14" s="1" t="s">
        <v>143</v>
      </c>
      <c r="K14" s="1" t="s">
        <v>62</v>
      </c>
      <c r="L14" s="1">
        <v>4</v>
      </c>
      <c r="M14" s="1">
        <v>4</v>
      </c>
      <c r="N14" s="1">
        <v>3</v>
      </c>
      <c r="O14" s="1"/>
      <c r="P14" s="1">
        <v>4</v>
      </c>
      <c r="Q14" s="1"/>
      <c r="R14" s="1"/>
      <c r="S14" s="1"/>
      <c r="T14" s="1">
        <v>4</v>
      </c>
      <c r="U14" s="1">
        <v>3</v>
      </c>
      <c r="V14" s="1">
        <v>0</v>
      </c>
      <c r="W14" s="1">
        <v>0</v>
      </c>
      <c r="X14" s="1">
        <v>0</v>
      </c>
      <c r="Y14" s="1">
        <v>0</v>
      </c>
      <c r="Z14" s="1"/>
      <c r="AA14" s="1">
        <v>0</v>
      </c>
      <c r="AB14" s="1"/>
      <c r="AC14" s="1"/>
      <c r="AD14" s="1"/>
      <c r="AE14" s="1"/>
      <c r="AF14" s="1"/>
      <c r="AG14" s="1">
        <v>0</v>
      </c>
      <c r="AH14" s="1">
        <v>0</v>
      </c>
      <c r="AI14" s="1"/>
      <c r="AJ14" s="1" t="s">
        <v>21</v>
      </c>
      <c r="AK14" s="1" t="s">
        <v>21</v>
      </c>
      <c r="AL14" s="17">
        <v>43467</v>
      </c>
      <c r="AM14" s="18" t="s">
        <v>62</v>
      </c>
      <c r="AN14" s="10"/>
    </row>
    <row r="15" spans="2:41" s="43" customFormat="1" ht="15" customHeight="1">
      <c r="B15" s="1">
        <f t="shared" si="0"/>
        <v>5</v>
      </c>
      <c r="C15" s="1">
        <v>1</v>
      </c>
      <c r="D15" s="1" t="s">
        <v>219</v>
      </c>
      <c r="E15" s="1" t="s">
        <v>191</v>
      </c>
      <c r="F15" s="1" t="s">
        <v>43</v>
      </c>
      <c r="G15" s="1"/>
      <c r="H15" s="1" t="s">
        <v>31</v>
      </c>
      <c r="I15" s="1" t="s">
        <v>85</v>
      </c>
      <c r="J15" s="1" t="s">
        <v>486</v>
      </c>
      <c r="K15" s="1" t="s">
        <v>62</v>
      </c>
      <c r="L15" s="1">
        <v>4</v>
      </c>
      <c r="M15" s="1">
        <v>3</v>
      </c>
      <c r="N15" s="1">
        <v>0</v>
      </c>
      <c r="O15" s="1">
        <v>0</v>
      </c>
      <c r="P15" s="1">
        <v>0</v>
      </c>
      <c r="Q15" s="1">
        <v>0</v>
      </c>
      <c r="R15" s="1"/>
      <c r="S15" s="1">
        <v>0</v>
      </c>
      <c r="T15" s="1">
        <v>4</v>
      </c>
      <c r="U15" s="1">
        <v>0</v>
      </c>
      <c r="V15" s="1">
        <v>0</v>
      </c>
      <c r="W15" s="1">
        <v>0</v>
      </c>
      <c r="X15" s="1">
        <v>0</v>
      </c>
      <c r="Y15" s="1"/>
      <c r="Z15" s="1"/>
      <c r="AA15" s="1">
        <v>0</v>
      </c>
      <c r="AB15" s="1"/>
      <c r="AC15" s="1"/>
      <c r="AD15" s="1"/>
      <c r="AE15" s="1"/>
      <c r="AF15" s="1"/>
      <c r="AG15" s="1">
        <v>0</v>
      </c>
      <c r="AH15" s="1">
        <v>3</v>
      </c>
      <c r="AI15" s="1">
        <v>2</v>
      </c>
      <c r="AJ15" s="1" t="s">
        <v>32</v>
      </c>
      <c r="AK15" s="1" t="s">
        <v>32</v>
      </c>
      <c r="AL15" s="17"/>
      <c r="AM15" s="18"/>
      <c r="AN15" s="10"/>
    </row>
    <row r="16" spans="2:41" s="43" customFormat="1" ht="15" customHeight="1">
      <c r="B16" s="1">
        <f t="shared" si="0"/>
        <v>6</v>
      </c>
      <c r="C16" s="1">
        <v>0</v>
      </c>
      <c r="D16" s="1" t="s">
        <v>220</v>
      </c>
      <c r="E16" s="1" t="s">
        <v>30</v>
      </c>
      <c r="F16" s="1" t="s">
        <v>34</v>
      </c>
      <c r="G16" s="1"/>
      <c r="H16" s="1" t="s">
        <v>33</v>
      </c>
      <c r="I16" s="1" t="s">
        <v>87</v>
      </c>
      <c r="J16" s="1" t="s">
        <v>11</v>
      </c>
      <c r="K16" s="1" t="s">
        <v>62</v>
      </c>
      <c r="L16" s="1">
        <v>4</v>
      </c>
      <c r="M16" s="1">
        <v>4</v>
      </c>
      <c r="N16" s="1">
        <v>0</v>
      </c>
      <c r="O16" s="1">
        <v>0</v>
      </c>
      <c r="P16" s="1">
        <v>0</v>
      </c>
      <c r="Q16" s="1">
        <v>0</v>
      </c>
      <c r="R16" s="1"/>
      <c r="S16" s="1">
        <v>0</v>
      </c>
      <c r="T16" s="1">
        <v>4</v>
      </c>
      <c r="U16" s="1">
        <v>0</v>
      </c>
      <c r="V16" s="1">
        <v>0</v>
      </c>
      <c r="W16" s="1">
        <v>0</v>
      </c>
      <c r="X16" s="1">
        <v>0</v>
      </c>
      <c r="Y16" s="1"/>
      <c r="Z16" s="1"/>
      <c r="AA16" s="1">
        <v>0</v>
      </c>
      <c r="AB16" s="1"/>
      <c r="AC16" s="1"/>
      <c r="AD16" s="1"/>
      <c r="AE16" s="1"/>
      <c r="AF16" s="1"/>
      <c r="AG16" s="1">
        <v>0</v>
      </c>
      <c r="AH16" s="1">
        <v>0</v>
      </c>
      <c r="AI16" s="1"/>
      <c r="AJ16" s="1" t="s">
        <v>21</v>
      </c>
      <c r="AK16" s="1" t="s">
        <v>21</v>
      </c>
      <c r="AL16" s="17"/>
      <c r="AM16" s="18"/>
      <c r="AN16" s="10"/>
    </row>
    <row r="17" spans="2:40" s="43" customFormat="1" ht="15" customHeight="1">
      <c r="B17" s="1">
        <f t="shared" si="0"/>
        <v>7</v>
      </c>
      <c r="C17" s="1">
        <v>0</v>
      </c>
      <c r="D17" s="1" t="s">
        <v>185</v>
      </c>
      <c r="E17" s="1" t="s">
        <v>30</v>
      </c>
      <c r="F17" s="1" t="s">
        <v>36</v>
      </c>
      <c r="G17" s="1"/>
      <c r="H17" s="1" t="s">
        <v>35</v>
      </c>
      <c r="I17" s="1" t="s">
        <v>85</v>
      </c>
      <c r="J17" s="1" t="s">
        <v>11</v>
      </c>
      <c r="K17" s="1" t="s">
        <v>62</v>
      </c>
      <c r="L17" s="1">
        <v>4</v>
      </c>
      <c r="M17" s="1">
        <v>4</v>
      </c>
      <c r="N17" s="1">
        <v>0</v>
      </c>
      <c r="O17" s="1">
        <v>0</v>
      </c>
      <c r="P17" s="1">
        <v>0</v>
      </c>
      <c r="Q17" s="1">
        <v>0</v>
      </c>
      <c r="R17" s="1"/>
      <c r="S17" s="1">
        <v>0</v>
      </c>
      <c r="T17" s="1">
        <v>1</v>
      </c>
      <c r="U17" s="1">
        <v>0</v>
      </c>
      <c r="V17" s="1">
        <v>0</v>
      </c>
      <c r="W17" s="1">
        <v>0</v>
      </c>
      <c r="X17" s="1">
        <v>0</v>
      </c>
      <c r="Y17" s="1"/>
      <c r="Z17" s="1"/>
      <c r="AA17" s="1">
        <v>0</v>
      </c>
      <c r="AB17" s="1"/>
      <c r="AC17" s="1"/>
      <c r="AD17" s="1"/>
      <c r="AE17" s="1"/>
      <c r="AF17" s="1"/>
      <c r="AG17" s="1">
        <v>0</v>
      </c>
      <c r="AH17" s="1">
        <v>0</v>
      </c>
      <c r="AI17" s="1"/>
      <c r="AJ17" s="1" t="s">
        <v>32</v>
      </c>
      <c r="AK17" s="1"/>
      <c r="AL17" s="17"/>
      <c r="AM17" s="18"/>
      <c r="AN17" s="10"/>
    </row>
    <row r="18" spans="2:40" s="43" customFormat="1" ht="15" customHeight="1">
      <c r="B18" s="1">
        <f t="shared" si="0"/>
        <v>8</v>
      </c>
      <c r="C18" s="1">
        <v>1</v>
      </c>
      <c r="D18" s="1" t="s">
        <v>220</v>
      </c>
      <c r="E18" s="1" t="s">
        <v>30</v>
      </c>
      <c r="F18" s="1" t="s">
        <v>113</v>
      </c>
      <c r="G18" s="1"/>
      <c r="H18" s="1" t="s">
        <v>192</v>
      </c>
      <c r="I18" s="1" t="s">
        <v>85</v>
      </c>
      <c r="J18" s="1" t="s">
        <v>486</v>
      </c>
      <c r="K18" s="1" t="s">
        <v>62</v>
      </c>
      <c r="L18" s="1">
        <v>4</v>
      </c>
      <c r="M18" s="1">
        <v>4</v>
      </c>
      <c r="N18" s="1">
        <v>0</v>
      </c>
      <c r="O18" s="1">
        <v>0</v>
      </c>
      <c r="P18" s="1">
        <v>0</v>
      </c>
      <c r="Q18" s="1">
        <v>0</v>
      </c>
      <c r="R18" s="1"/>
      <c r="S18" s="1">
        <v>0</v>
      </c>
      <c r="T18" s="1">
        <v>4</v>
      </c>
      <c r="U18" s="1">
        <v>0</v>
      </c>
      <c r="V18" s="1">
        <v>0</v>
      </c>
      <c r="W18" s="1">
        <v>0</v>
      </c>
      <c r="X18" s="1">
        <v>0</v>
      </c>
      <c r="Y18" s="1"/>
      <c r="Z18" s="1"/>
      <c r="AA18" s="1">
        <v>0</v>
      </c>
      <c r="AB18" s="1"/>
      <c r="AC18" s="1"/>
      <c r="AD18" s="1"/>
      <c r="AE18" s="1"/>
      <c r="AF18" s="1"/>
      <c r="AG18" s="1">
        <v>0</v>
      </c>
      <c r="AH18" s="1">
        <v>4</v>
      </c>
      <c r="AI18" s="1">
        <v>3</v>
      </c>
      <c r="AJ18" s="1" t="s">
        <v>21</v>
      </c>
      <c r="AK18" s="1" t="s">
        <v>21</v>
      </c>
      <c r="AL18" s="17"/>
      <c r="AM18" s="18"/>
      <c r="AN18" s="10"/>
    </row>
    <row r="19" spans="2:40" s="43" customFormat="1" ht="15" customHeight="1">
      <c r="B19" s="1">
        <f t="shared" si="0"/>
        <v>9</v>
      </c>
      <c r="C19" s="1">
        <v>1</v>
      </c>
      <c r="D19" s="1" t="s">
        <v>220</v>
      </c>
      <c r="E19" s="1" t="s">
        <v>30</v>
      </c>
      <c r="F19" s="1" t="s">
        <v>38</v>
      </c>
      <c r="G19" s="1"/>
      <c r="H19" s="1" t="s">
        <v>37</v>
      </c>
      <c r="I19" s="1" t="s">
        <v>85</v>
      </c>
      <c r="J19" s="1" t="s">
        <v>502</v>
      </c>
      <c r="K19" s="1" t="s">
        <v>486</v>
      </c>
      <c r="L19" s="1">
        <v>4</v>
      </c>
      <c r="M19" s="1">
        <v>4</v>
      </c>
      <c r="N19" s="1">
        <v>0</v>
      </c>
      <c r="O19" s="1">
        <v>0</v>
      </c>
      <c r="P19" s="1">
        <v>0</v>
      </c>
      <c r="Q19" s="1">
        <v>0</v>
      </c>
      <c r="R19" s="1"/>
      <c r="S19" s="1">
        <v>0</v>
      </c>
      <c r="T19" s="1">
        <v>4</v>
      </c>
      <c r="U19" s="1">
        <v>0</v>
      </c>
      <c r="V19" s="1">
        <v>0</v>
      </c>
      <c r="W19" s="1">
        <v>0</v>
      </c>
      <c r="X19" s="1">
        <v>0</v>
      </c>
      <c r="Y19" s="1"/>
      <c r="Z19" s="1"/>
      <c r="AA19" s="1">
        <v>0</v>
      </c>
      <c r="AB19" s="1"/>
      <c r="AC19" s="1"/>
      <c r="AD19" s="1"/>
      <c r="AE19" s="1"/>
      <c r="AF19" s="1"/>
      <c r="AG19" s="1">
        <v>0</v>
      </c>
      <c r="AH19" s="1">
        <v>4</v>
      </c>
      <c r="AI19" s="1">
        <v>2</v>
      </c>
      <c r="AJ19" s="1" t="s">
        <v>21</v>
      </c>
      <c r="AK19" s="1" t="s">
        <v>21</v>
      </c>
      <c r="AL19" s="17"/>
      <c r="AM19" s="18"/>
      <c r="AN19" s="10"/>
    </row>
    <row r="20" spans="2:40" s="43" customFormat="1" ht="15" customHeight="1">
      <c r="B20" s="1">
        <f t="shared" si="0"/>
        <v>10</v>
      </c>
      <c r="C20" s="1">
        <v>1</v>
      </c>
      <c r="D20" s="1" t="s">
        <v>220</v>
      </c>
      <c r="E20" s="1" t="s">
        <v>191</v>
      </c>
      <c r="F20" s="1" t="s">
        <v>113</v>
      </c>
      <c r="G20" s="1"/>
      <c r="H20" s="1" t="s">
        <v>193</v>
      </c>
      <c r="I20" s="1" t="s">
        <v>85</v>
      </c>
      <c r="J20" s="1" t="s">
        <v>502</v>
      </c>
      <c r="K20" s="1" t="s">
        <v>486</v>
      </c>
      <c r="L20" s="1">
        <v>4</v>
      </c>
      <c r="M20" s="1">
        <v>4</v>
      </c>
      <c r="N20" s="1">
        <v>0</v>
      </c>
      <c r="O20" s="1">
        <v>0</v>
      </c>
      <c r="P20" s="1">
        <v>0</v>
      </c>
      <c r="Q20" s="1">
        <v>0</v>
      </c>
      <c r="R20" s="1"/>
      <c r="S20" s="1">
        <v>0</v>
      </c>
      <c r="T20" s="1">
        <v>4</v>
      </c>
      <c r="U20" s="1">
        <v>0</v>
      </c>
      <c r="V20" s="1">
        <v>0</v>
      </c>
      <c r="W20" s="1">
        <v>0</v>
      </c>
      <c r="X20" s="1">
        <v>0</v>
      </c>
      <c r="Y20" s="1"/>
      <c r="Z20" s="1"/>
      <c r="AA20" s="1">
        <v>0</v>
      </c>
      <c r="AB20" s="1"/>
      <c r="AC20" s="1"/>
      <c r="AD20" s="1"/>
      <c r="AE20" s="1"/>
      <c r="AF20" s="1"/>
      <c r="AG20" s="1">
        <v>0</v>
      </c>
      <c r="AH20" s="1">
        <v>4</v>
      </c>
      <c r="AI20" s="1">
        <v>2</v>
      </c>
      <c r="AJ20" s="1" t="s">
        <v>21</v>
      </c>
      <c r="AK20" s="1" t="s">
        <v>21</v>
      </c>
      <c r="AL20" s="17"/>
      <c r="AM20" s="18"/>
      <c r="AN20" s="10"/>
    </row>
    <row r="21" spans="2:40" s="43" customFormat="1" ht="15" customHeight="1">
      <c r="B21" s="1">
        <f t="shared" si="0"/>
        <v>11</v>
      </c>
      <c r="C21" s="1">
        <v>0</v>
      </c>
      <c r="D21" s="1" t="s">
        <v>185</v>
      </c>
      <c r="E21" s="1" t="s">
        <v>30</v>
      </c>
      <c r="F21" s="1" t="s">
        <v>44</v>
      </c>
      <c r="G21" s="1"/>
      <c r="H21" s="1" t="s">
        <v>39</v>
      </c>
      <c r="I21" s="1" t="s">
        <v>85</v>
      </c>
      <c r="J21" s="1" t="s">
        <v>11</v>
      </c>
      <c r="K21" s="1" t="s">
        <v>62</v>
      </c>
      <c r="L21" s="1">
        <v>4</v>
      </c>
      <c r="M21" s="1">
        <v>4</v>
      </c>
      <c r="N21" s="1">
        <v>0</v>
      </c>
      <c r="O21" s="1">
        <v>0</v>
      </c>
      <c r="P21" s="1">
        <v>0</v>
      </c>
      <c r="Q21" s="1">
        <v>0</v>
      </c>
      <c r="R21" s="1"/>
      <c r="S21" s="1">
        <v>0</v>
      </c>
      <c r="T21" s="1">
        <v>1</v>
      </c>
      <c r="U21" s="1">
        <v>0</v>
      </c>
      <c r="V21" s="1">
        <v>0</v>
      </c>
      <c r="W21" s="1">
        <v>0</v>
      </c>
      <c r="X21" s="1">
        <v>0</v>
      </c>
      <c r="Y21" s="1"/>
      <c r="Z21" s="1"/>
      <c r="AA21" s="1">
        <v>0</v>
      </c>
      <c r="AB21" s="1"/>
      <c r="AC21" s="1"/>
      <c r="AD21" s="1"/>
      <c r="AE21" s="1"/>
      <c r="AF21" s="1"/>
      <c r="AG21" s="1">
        <v>0</v>
      </c>
      <c r="AH21" s="1">
        <v>0</v>
      </c>
      <c r="AI21" s="1"/>
      <c r="AJ21" s="1" t="s">
        <v>32</v>
      </c>
      <c r="AK21" s="1" t="s">
        <v>32</v>
      </c>
      <c r="AL21" s="17"/>
      <c r="AM21" s="18"/>
      <c r="AN21" s="10"/>
    </row>
    <row r="22" spans="2:40" s="43" customFormat="1" ht="15" customHeight="1">
      <c r="B22" s="1">
        <f t="shared" si="0"/>
        <v>12</v>
      </c>
      <c r="C22" s="1">
        <v>1</v>
      </c>
      <c r="D22" s="1" t="s">
        <v>220</v>
      </c>
      <c r="E22" s="1" t="s">
        <v>30</v>
      </c>
      <c r="F22" s="1" t="s">
        <v>43</v>
      </c>
      <c r="G22" s="1"/>
      <c r="H22" s="1" t="s">
        <v>194</v>
      </c>
      <c r="I22" s="1" t="s">
        <v>85</v>
      </c>
      <c r="J22" s="1" t="s">
        <v>502</v>
      </c>
      <c r="K22" s="1" t="s">
        <v>486</v>
      </c>
      <c r="L22" s="1">
        <v>4</v>
      </c>
      <c r="M22" s="1">
        <v>4</v>
      </c>
      <c r="N22" s="1">
        <v>0</v>
      </c>
      <c r="O22" s="1">
        <v>0</v>
      </c>
      <c r="P22" s="1">
        <v>0</v>
      </c>
      <c r="Q22" s="1">
        <v>0</v>
      </c>
      <c r="R22" s="1"/>
      <c r="S22" s="1">
        <v>0</v>
      </c>
      <c r="T22" s="1">
        <v>4</v>
      </c>
      <c r="U22" s="1">
        <v>0</v>
      </c>
      <c r="V22" s="1">
        <v>0</v>
      </c>
      <c r="W22" s="1">
        <v>0</v>
      </c>
      <c r="X22" s="1">
        <v>0</v>
      </c>
      <c r="Y22" s="1"/>
      <c r="Z22" s="1"/>
      <c r="AA22" s="1">
        <v>0</v>
      </c>
      <c r="AB22" s="1"/>
      <c r="AC22" s="1"/>
      <c r="AD22" s="1"/>
      <c r="AE22" s="1"/>
      <c r="AF22" s="1"/>
      <c r="AG22" s="1">
        <v>0</v>
      </c>
      <c r="AH22" s="1">
        <v>4</v>
      </c>
      <c r="AI22" s="1">
        <v>2</v>
      </c>
      <c r="AJ22" s="1" t="s">
        <v>21</v>
      </c>
      <c r="AK22" s="1" t="s">
        <v>21</v>
      </c>
      <c r="AL22" s="17">
        <v>44594</v>
      </c>
      <c r="AM22" s="18" t="s">
        <v>486</v>
      </c>
      <c r="AN22" s="10"/>
    </row>
    <row r="23" spans="2:40" s="43" customFormat="1" ht="15" customHeight="1">
      <c r="B23" s="1">
        <f t="shared" si="0"/>
        <v>13</v>
      </c>
      <c r="C23" s="1">
        <v>0</v>
      </c>
      <c r="D23" s="1" t="s">
        <v>185</v>
      </c>
      <c r="E23" s="1" t="s">
        <v>30</v>
      </c>
      <c r="F23" s="1" t="s">
        <v>195</v>
      </c>
      <c r="G23" s="1"/>
      <c r="H23" s="1" t="s">
        <v>41</v>
      </c>
      <c r="I23" s="1" t="s">
        <v>85</v>
      </c>
      <c r="J23" s="1" t="s">
        <v>11</v>
      </c>
      <c r="K23" s="1" t="s">
        <v>62</v>
      </c>
      <c r="L23" s="1">
        <v>4</v>
      </c>
      <c r="M23" s="1">
        <v>4</v>
      </c>
      <c r="N23" s="1">
        <v>0</v>
      </c>
      <c r="O23" s="1">
        <v>0</v>
      </c>
      <c r="P23" s="1">
        <v>0</v>
      </c>
      <c r="Q23" s="1">
        <v>0</v>
      </c>
      <c r="R23" s="1"/>
      <c r="S23" s="1">
        <v>0</v>
      </c>
      <c r="T23" s="1">
        <v>2</v>
      </c>
      <c r="U23" s="1">
        <v>0</v>
      </c>
      <c r="V23" s="1">
        <v>0</v>
      </c>
      <c r="W23" s="1">
        <v>0</v>
      </c>
      <c r="X23" s="1">
        <v>0</v>
      </c>
      <c r="Y23" s="1"/>
      <c r="Z23" s="1"/>
      <c r="AA23" s="1">
        <v>0</v>
      </c>
      <c r="AB23" s="1"/>
      <c r="AC23" s="1"/>
      <c r="AD23" s="1"/>
      <c r="AE23" s="1"/>
      <c r="AF23" s="1"/>
      <c r="AG23" s="1">
        <v>0</v>
      </c>
      <c r="AH23" s="1">
        <v>3</v>
      </c>
      <c r="AI23" s="1"/>
      <c r="AJ23" s="1" t="s">
        <v>21</v>
      </c>
      <c r="AK23" s="1" t="s">
        <v>21</v>
      </c>
      <c r="AL23" s="17"/>
      <c r="AM23" s="18"/>
      <c r="AN23" s="10"/>
    </row>
    <row r="24" spans="2:40" s="43" customFormat="1" ht="15" customHeight="1">
      <c r="B24" s="1">
        <f t="shared" si="0"/>
        <v>14</v>
      </c>
      <c r="C24" s="1">
        <v>0</v>
      </c>
      <c r="D24" s="1" t="s">
        <v>185</v>
      </c>
      <c r="E24" s="1" t="s">
        <v>30</v>
      </c>
      <c r="F24" s="1" t="s">
        <v>36</v>
      </c>
      <c r="G24" s="1"/>
      <c r="H24" s="1" t="s">
        <v>42</v>
      </c>
      <c r="I24" s="1" t="s">
        <v>87</v>
      </c>
      <c r="J24" s="1" t="s">
        <v>11</v>
      </c>
      <c r="K24" s="1" t="s">
        <v>62</v>
      </c>
      <c r="L24" s="1">
        <v>4</v>
      </c>
      <c r="M24" s="1">
        <v>2</v>
      </c>
      <c r="N24" s="1">
        <v>0</v>
      </c>
      <c r="O24" s="1">
        <v>0</v>
      </c>
      <c r="P24" s="1">
        <v>0</v>
      </c>
      <c r="Q24" s="1">
        <v>0</v>
      </c>
      <c r="R24" s="1"/>
      <c r="S24" s="1">
        <v>0</v>
      </c>
      <c r="T24" s="1">
        <v>1</v>
      </c>
      <c r="U24" s="1">
        <v>0</v>
      </c>
      <c r="V24" s="1">
        <v>0</v>
      </c>
      <c r="W24" s="1">
        <v>0</v>
      </c>
      <c r="X24" s="1">
        <v>0</v>
      </c>
      <c r="Y24" s="1"/>
      <c r="Z24" s="1"/>
      <c r="AA24" s="1">
        <v>0</v>
      </c>
      <c r="AB24" s="1"/>
      <c r="AC24" s="1"/>
      <c r="AD24" s="1"/>
      <c r="AE24" s="1"/>
      <c r="AF24" s="1"/>
      <c r="AG24" s="1">
        <v>0</v>
      </c>
      <c r="AH24" s="1">
        <v>0</v>
      </c>
      <c r="AI24" s="1"/>
      <c r="AJ24" s="1" t="s">
        <v>32</v>
      </c>
      <c r="AK24" s="1"/>
      <c r="AL24" s="17"/>
      <c r="AM24" s="18"/>
      <c r="AN24" s="10"/>
    </row>
    <row r="25" spans="2:40" s="43" customFormat="1" ht="15" customHeight="1">
      <c r="B25" s="1">
        <f t="shared" si="0"/>
        <v>15</v>
      </c>
      <c r="C25" s="1">
        <v>1</v>
      </c>
      <c r="D25" s="1" t="s">
        <v>220</v>
      </c>
      <c r="E25" s="1" t="s">
        <v>196</v>
      </c>
      <c r="F25" s="1" t="s">
        <v>43</v>
      </c>
      <c r="G25" s="1"/>
      <c r="H25" s="1" t="s">
        <v>197</v>
      </c>
      <c r="I25" s="1" t="s">
        <v>85</v>
      </c>
      <c r="J25" s="1" t="s">
        <v>502</v>
      </c>
      <c r="K25" s="1" t="s">
        <v>486</v>
      </c>
      <c r="L25" s="1">
        <v>4</v>
      </c>
      <c r="M25" s="1">
        <v>4</v>
      </c>
      <c r="N25" s="1">
        <v>0</v>
      </c>
      <c r="O25" s="1">
        <v>0</v>
      </c>
      <c r="P25" s="1">
        <v>0</v>
      </c>
      <c r="Q25" s="1">
        <v>0</v>
      </c>
      <c r="R25" s="1"/>
      <c r="S25" s="1">
        <v>0</v>
      </c>
      <c r="T25" s="1">
        <v>4</v>
      </c>
      <c r="U25" s="1">
        <v>0</v>
      </c>
      <c r="V25" s="1">
        <v>0</v>
      </c>
      <c r="W25" s="1">
        <v>0</v>
      </c>
      <c r="X25" s="1">
        <v>0</v>
      </c>
      <c r="Y25" s="1"/>
      <c r="Z25" s="1"/>
      <c r="AA25" s="1">
        <v>0</v>
      </c>
      <c r="AB25" s="1"/>
      <c r="AC25" s="1"/>
      <c r="AD25" s="1"/>
      <c r="AE25" s="1"/>
      <c r="AF25" s="1"/>
      <c r="AG25" s="1">
        <v>0</v>
      </c>
      <c r="AH25" s="1">
        <v>4</v>
      </c>
      <c r="AI25" s="1">
        <v>3</v>
      </c>
      <c r="AJ25" s="1" t="s">
        <v>21</v>
      </c>
      <c r="AK25" s="1" t="s">
        <v>21</v>
      </c>
      <c r="AL25" s="17"/>
      <c r="AM25" s="18"/>
      <c r="AN25" s="10"/>
    </row>
    <row r="26" spans="2:40" s="43" customFormat="1" ht="15" customHeight="1">
      <c r="B26" s="1">
        <f t="shared" si="0"/>
        <v>16</v>
      </c>
      <c r="C26" s="1">
        <v>0</v>
      </c>
      <c r="D26" s="1" t="s">
        <v>185</v>
      </c>
      <c r="E26" s="1" t="s">
        <v>30</v>
      </c>
      <c r="F26" s="1" t="s">
        <v>36</v>
      </c>
      <c r="G26" s="1"/>
      <c r="H26" s="1" t="s">
        <v>47</v>
      </c>
      <c r="I26" s="1" t="s">
        <v>85</v>
      </c>
      <c r="J26" s="1" t="s">
        <v>11</v>
      </c>
      <c r="K26" s="1" t="s">
        <v>62</v>
      </c>
      <c r="L26" s="1">
        <v>4</v>
      </c>
      <c r="M26" s="1">
        <v>4</v>
      </c>
      <c r="N26" s="1">
        <v>0</v>
      </c>
      <c r="O26" s="1">
        <v>0</v>
      </c>
      <c r="P26" s="1">
        <v>0</v>
      </c>
      <c r="Q26" s="1">
        <v>0</v>
      </c>
      <c r="R26" s="1"/>
      <c r="S26" s="1">
        <v>0</v>
      </c>
      <c r="T26" s="1">
        <v>1</v>
      </c>
      <c r="U26" s="1">
        <v>0</v>
      </c>
      <c r="V26" s="1">
        <v>0</v>
      </c>
      <c r="W26" s="1">
        <v>0</v>
      </c>
      <c r="X26" s="1">
        <v>0</v>
      </c>
      <c r="Y26" s="1"/>
      <c r="Z26" s="1"/>
      <c r="AA26" s="1">
        <v>0</v>
      </c>
      <c r="AB26" s="1"/>
      <c r="AC26" s="1"/>
      <c r="AD26" s="1"/>
      <c r="AE26" s="1"/>
      <c r="AF26" s="1"/>
      <c r="AG26" s="1">
        <v>0</v>
      </c>
      <c r="AH26" s="1">
        <v>0</v>
      </c>
      <c r="AI26" s="1"/>
      <c r="AJ26" s="1" t="s">
        <v>32</v>
      </c>
      <c r="AK26" s="1"/>
      <c r="AL26" s="17"/>
      <c r="AM26" s="18"/>
      <c r="AN26" s="10"/>
    </row>
    <row r="27" spans="2:40" s="43" customFormat="1" ht="15" customHeight="1">
      <c r="B27" s="1">
        <f t="shared" si="0"/>
        <v>17</v>
      </c>
      <c r="C27" s="1">
        <v>0</v>
      </c>
      <c r="D27" s="1" t="s">
        <v>185</v>
      </c>
      <c r="E27" s="1" t="s">
        <v>30</v>
      </c>
      <c r="F27" s="1" t="s">
        <v>50</v>
      </c>
      <c r="G27" s="1"/>
      <c r="H27" s="1" t="s">
        <v>48</v>
      </c>
      <c r="I27" s="1" t="s">
        <v>54</v>
      </c>
      <c r="J27" s="1" t="s">
        <v>11</v>
      </c>
      <c r="K27" s="1" t="s">
        <v>62</v>
      </c>
      <c r="L27" s="1">
        <v>4</v>
      </c>
      <c r="M27" s="1">
        <v>2</v>
      </c>
      <c r="N27" s="1">
        <v>0</v>
      </c>
      <c r="O27" s="1">
        <v>0</v>
      </c>
      <c r="P27" s="1">
        <v>0</v>
      </c>
      <c r="Q27" s="1">
        <v>0</v>
      </c>
      <c r="R27" s="1"/>
      <c r="S27" s="1">
        <v>0</v>
      </c>
      <c r="T27" s="1">
        <v>1</v>
      </c>
      <c r="U27" s="1">
        <v>0</v>
      </c>
      <c r="V27" s="1">
        <v>0</v>
      </c>
      <c r="W27" s="1">
        <v>0</v>
      </c>
      <c r="X27" s="1">
        <v>0</v>
      </c>
      <c r="Y27" s="1"/>
      <c r="Z27" s="1"/>
      <c r="AA27" s="1">
        <v>0</v>
      </c>
      <c r="AB27" s="1"/>
      <c r="AC27" s="1"/>
      <c r="AD27" s="1"/>
      <c r="AE27" s="1"/>
      <c r="AF27" s="1"/>
      <c r="AG27" s="1">
        <v>0</v>
      </c>
      <c r="AH27" s="1">
        <v>0</v>
      </c>
      <c r="AI27" s="1"/>
      <c r="AJ27" s="1" t="s">
        <v>32</v>
      </c>
      <c r="AK27" s="1"/>
      <c r="AL27" s="17"/>
      <c r="AM27" s="18"/>
      <c r="AN27" s="10"/>
    </row>
    <row r="28" spans="2:40" s="43" customFormat="1" ht="15" customHeight="1">
      <c r="B28" s="1">
        <f t="shared" si="0"/>
        <v>18</v>
      </c>
      <c r="C28" s="1">
        <v>0</v>
      </c>
      <c r="D28" s="1" t="s">
        <v>185</v>
      </c>
      <c r="E28" s="1" t="s">
        <v>30</v>
      </c>
      <c r="F28" s="1" t="s">
        <v>36</v>
      </c>
      <c r="G28" s="1"/>
      <c r="H28" s="1" t="s">
        <v>51</v>
      </c>
      <c r="I28" s="1" t="s">
        <v>90</v>
      </c>
      <c r="J28" s="1" t="s">
        <v>11</v>
      </c>
      <c r="K28" s="1" t="s">
        <v>62</v>
      </c>
      <c r="L28" s="1">
        <v>4</v>
      </c>
      <c r="M28" s="1">
        <v>4</v>
      </c>
      <c r="N28" s="1">
        <v>0</v>
      </c>
      <c r="O28" s="1">
        <v>0</v>
      </c>
      <c r="P28" s="1">
        <v>0</v>
      </c>
      <c r="Q28" s="1">
        <v>0</v>
      </c>
      <c r="R28" s="1"/>
      <c r="S28" s="1">
        <v>0</v>
      </c>
      <c r="T28" s="1">
        <v>1</v>
      </c>
      <c r="U28" s="1">
        <v>0</v>
      </c>
      <c r="V28" s="1">
        <v>0</v>
      </c>
      <c r="W28" s="1">
        <v>0</v>
      </c>
      <c r="X28" s="1">
        <v>0</v>
      </c>
      <c r="Y28" s="1"/>
      <c r="Z28" s="1"/>
      <c r="AA28" s="1">
        <v>0</v>
      </c>
      <c r="AB28" s="1"/>
      <c r="AC28" s="1"/>
      <c r="AD28" s="1"/>
      <c r="AE28" s="1"/>
      <c r="AF28" s="1"/>
      <c r="AG28" s="1">
        <v>0</v>
      </c>
      <c r="AH28" s="1">
        <v>0</v>
      </c>
      <c r="AI28" s="1"/>
      <c r="AJ28" s="1" t="s">
        <v>32</v>
      </c>
      <c r="AK28" s="1"/>
      <c r="AL28" s="17"/>
      <c r="AM28" s="18"/>
      <c r="AN28" s="10"/>
    </row>
    <row r="29" spans="2:40" s="43" customFormat="1" ht="15" customHeight="1">
      <c r="B29" s="1">
        <f t="shared" si="0"/>
        <v>19</v>
      </c>
      <c r="C29" s="1">
        <v>0</v>
      </c>
      <c r="D29" s="1" t="s">
        <v>185</v>
      </c>
      <c r="E29" s="1" t="s">
        <v>30</v>
      </c>
      <c r="F29" s="1" t="s">
        <v>113</v>
      </c>
      <c r="G29" s="1"/>
      <c r="H29" s="1" t="s">
        <v>200</v>
      </c>
      <c r="I29" s="1" t="s">
        <v>86</v>
      </c>
      <c r="J29" s="1" t="s">
        <v>62</v>
      </c>
      <c r="K29" s="1" t="s">
        <v>11</v>
      </c>
      <c r="L29" s="1">
        <v>4</v>
      </c>
      <c r="M29" s="1">
        <v>4</v>
      </c>
      <c r="N29" s="1">
        <v>0</v>
      </c>
      <c r="O29" s="1">
        <v>0</v>
      </c>
      <c r="P29" s="1">
        <v>0</v>
      </c>
      <c r="Q29" s="1">
        <v>0</v>
      </c>
      <c r="R29" s="1"/>
      <c r="S29" s="1">
        <v>0</v>
      </c>
      <c r="T29" s="1">
        <v>4</v>
      </c>
      <c r="U29" s="1">
        <v>0</v>
      </c>
      <c r="V29" s="1">
        <v>0</v>
      </c>
      <c r="W29" s="1">
        <v>0</v>
      </c>
      <c r="X29" s="1">
        <v>0</v>
      </c>
      <c r="Y29" s="1"/>
      <c r="Z29" s="1"/>
      <c r="AA29" s="1">
        <v>0</v>
      </c>
      <c r="AB29" s="1"/>
      <c r="AC29" s="1"/>
      <c r="AD29" s="1"/>
      <c r="AE29" s="1"/>
      <c r="AF29" s="1"/>
      <c r="AG29" s="1">
        <v>0</v>
      </c>
      <c r="AH29" s="1"/>
      <c r="AI29" s="1"/>
      <c r="AJ29" s="1" t="s">
        <v>21</v>
      </c>
      <c r="AK29" s="1" t="s">
        <v>21</v>
      </c>
      <c r="AL29" s="17">
        <v>43472</v>
      </c>
      <c r="AM29" s="18" t="s">
        <v>11</v>
      </c>
      <c r="AN29" s="10"/>
    </row>
    <row r="30" spans="2:40" s="43" customFormat="1" ht="15" customHeight="1">
      <c r="B30" s="1">
        <f t="shared" si="0"/>
        <v>20</v>
      </c>
      <c r="C30" s="1">
        <v>0</v>
      </c>
      <c r="D30" s="1" t="s">
        <v>220</v>
      </c>
      <c r="E30" s="1" t="s">
        <v>30</v>
      </c>
      <c r="F30" s="1" t="s">
        <v>43</v>
      </c>
      <c r="G30" s="1"/>
      <c r="H30" s="1" t="s">
        <v>70</v>
      </c>
      <c r="I30" s="1" t="s">
        <v>85</v>
      </c>
      <c r="J30" s="1" t="s">
        <v>11</v>
      </c>
      <c r="K30" s="1" t="s">
        <v>62</v>
      </c>
      <c r="L30" s="1">
        <v>4</v>
      </c>
      <c r="M30" s="1">
        <v>4</v>
      </c>
      <c r="N30" s="1">
        <v>0</v>
      </c>
      <c r="O30" s="1">
        <v>0</v>
      </c>
      <c r="P30" s="1">
        <v>0</v>
      </c>
      <c r="Q30" s="1">
        <v>0</v>
      </c>
      <c r="R30" s="1"/>
      <c r="S30" s="1">
        <v>0</v>
      </c>
      <c r="T30" s="1">
        <v>4</v>
      </c>
      <c r="U30" s="1">
        <v>0</v>
      </c>
      <c r="V30" s="1">
        <v>0</v>
      </c>
      <c r="W30" s="1">
        <v>0</v>
      </c>
      <c r="X30" s="1">
        <v>0</v>
      </c>
      <c r="Y30" s="1"/>
      <c r="Z30" s="1"/>
      <c r="AA30" s="1">
        <v>0</v>
      </c>
      <c r="AB30" s="1"/>
      <c r="AC30" s="1"/>
      <c r="AD30" s="1"/>
      <c r="AE30" s="1"/>
      <c r="AF30" s="1"/>
      <c r="AG30" s="1">
        <v>0</v>
      </c>
      <c r="AH30" s="1">
        <v>2</v>
      </c>
      <c r="AI30" s="1"/>
      <c r="AJ30" s="1" t="s">
        <v>21</v>
      </c>
      <c r="AK30" s="1" t="s">
        <v>21</v>
      </c>
      <c r="AL30" s="17"/>
      <c r="AM30" s="18"/>
      <c r="AN30" s="10"/>
    </row>
    <row r="31" spans="2:40" s="43" customFormat="1" ht="15" customHeight="1">
      <c r="B31" s="1">
        <f t="shared" si="0"/>
        <v>21</v>
      </c>
      <c r="C31" s="1">
        <v>1</v>
      </c>
      <c r="D31" s="1" t="s">
        <v>220</v>
      </c>
      <c r="E31" s="1" t="s">
        <v>30</v>
      </c>
      <c r="F31" s="1" t="s">
        <v>71</v>
      </c>
      <c r="G31" s="1"/>
      <c r="H31" s="1" t="s">
        <v>72</v>
      </c>
      <c r="I31" s="1" t="s">
        <v>85</v>
      </c>
      <c r="J31" s="1" t="s">
        <v>502</v>
      </c>
      <c r="K31" s="1" t="s">
        <v>486</v>
      </c>
      <c r="L31" s="1">
        <v>4</v>
      </c>
      <c r="M31" s="1">
        <v>4</v>
      </c>
      <c r="N31" s="1">
        <v>0</v>
      </c>
      <c r="O31" s="1">
        <v>0</v>
      </c>
      <c r="P31" s="1">
        <v>0</v>
      </c>
      <c r="Q31" s="1">
        <v>0</v>
      </c>
      <c r="R31" s="1"/>
      <c r="S31" s="1">
        <v>0</v>
      </c>
      <c r="T31" s="1">
        <v>4</v>
      </c>
      <c r="U31" s="1">
        <v>0</v>
      </c>
      <c r="V31" s="1">
        <v>0</v>
      </c>
      <c r="W31" s="1">
        <v>0</v>
      </c>
      <c r="X31" s="1">
        <v>0</v>
      </c>
      <c r="Y31" s="1"/>
      <c r="Z31" s="1"/>
      <c r="AA31" s="1">
        <v>0</v>
      </c>
      <c r="AB31" s="1"/>
      <c r="AC31" s="1"/>
      <c r="AD31" s="1"/>
      <c r="AE31" s="1"/>
      <c r="AF31" s="1"/>
      <c r="AG31" s="1">
        <v>0</v>
      </c>
      <c r="AH31" s="1">
        <v>4</v>
      </c>
      <c r="AI31" s="1">
        <v>2</v>
      </c>
      <c r="AJ31" s="1" t="s">
        <v>21</v>
      </c>
      <c r="AK31" s="1" t="s">
        <v>21</v>
      </c>
      <c r="AL31" s="17"/>
      <c r="AM31" s="18"/>
      <c r="AN31" s="10"/>
    </row>
    <row r="32" spans="2:40" s="43" customFormat="1" ht="15" customHeight="1">
      <c r="B32" s="1">
        <f t="shared" si="0"/>
        <v>22</v>
      </c>
      <c r="C32" s="1">
        <v>0</v>
      </c>
      <c r="D32" s="1" t="s">
        <v>185</v>
      </c>
      <c r="E32" s="1" t="s">
        <v>30</v>
      </c>
      <c r="F32" s="1" t="s">
        <v>73</v>
      </c>
      <c r="G32" s="1"/>
      <c r="H32" s="1" t="s">
        <v>74</v>
      </c>
      <c r="I32" s="1" t="s">
        <v>87</v>
      </c>
      <c r="J32" s="1" t="s">
        <v>11</v>
      </c>
      <c r="K32" s="1" t="s">
        <v>62</v>
      </c>
      <c r="L32" s="1">
        <v>4</v>
      </c>
      <c r="M32" s="1">
        <v>4</v>
      </c>
      <c r="N32" s="1">
        <v>0</v>
      </c>
      <c r="O32" s="1">
        <v>0</v>
      </c>
      <c r="P32" s="1">
        <v>0</v>
      </c>
      <c r="Q32" s="1">
        <v>0</v>
      </c>
      <c r="R32" s="1"/>
      <c r="S32" s="1">
        <v>0</v>
      </c>
      <c r="T32" s="1">
        <v>1</v>
      </c>
      <c r="U32" s="1">
        <v>0</v>
      </c>
      <c r="V32" s="1">
        <v>0</v>
      </c>
      <c r="W32" s="1">
        <v>0</v>
      </c>
      <c r="X32" s="1">
        <v>0</v>
      </c>
      <c r="Y32" s="1"/>
      <c r="Z32" s="1"/>
      <c r="AA32" s="1">
        <v>0</v>
      </c>
      <c r="AB32" s="1"/>
      <c r="AC32" s="1"/>
      <c r="AD32" s="1"/>
      <c r="AE32" s="1"/>
      <c r="AF32" s="1"/>
      <c r="AG32" s="1">
        <v>0</v>
      </c>
      <c r="AH32" s="1">
        <v>0</v>
      </c>
      <c r="AI32" s="1"/>
      <c r="AJ32" s="1" t="s">
        <v>32</v>
      </c>
      <c r="AK32" s="1"/>
      <c r="AL32" s="17"/>
      <c r="AM32" s="18"/>
      <c r="AN32" s="10"/>
    </row>
    <row r="33" spans="2:40" s="43" customFormat="1" ht="15" customHeight="1">
      <c r="B33" s="1">
        <f t="shared" si="0"/>
        <v>23</v>
      </c>
      <c r="C33" s="1">
        <v>0</v>
      </c>
      <c r="D33" s="1" t="s">
        <v>185</v>
      </c>
      <c r="E33" s="1" t="s">
        <v>30</v>
      </c>
      <c r="F33" s="1" t="s">
        <v>73</v>
      </c>
      <c r="G33" s="1"/>
      <c r="H33" s="1" t="s">
        <v>75</v>
      </c>
      <c r="I33" s="1" t="s">
        <v>87</v>
      </c>
      <c r="J33" s="1" t="s">
        <v>11</v>
      </c>
      <c r="K33" s="1" t="s">
        <v>62</v>
      </c>
      <c r="L33" s="1">
        <v>4</v>
      </c>
      <c r="M33" s="1">
        <v>4</v>
      </c>
      <c r="N33" s="1">
        <v>0</v>
      </c>
      <c r="O33" s="1">
        <v>0</v>
      </c>
      <c r="P33" s="1">
        <v>0</v>
      </c>
      <c r="Q33" s="1">
        <v>0</v>
      </c>
      <c r="R33" s="1"/>
      <c r="S33" s="1">
        <v>0</v>
      </c>
      <c r="T33" s="1">
        <v>1</v>
      </c>
      <c r="U33" s="1">
        <v>0</v>
      </c>
      <c r="V33" s="1">
        <v>0</v>
      </c>
      <c r="W33" s="1">
        <v>0</v>
      </c>
      <c r="X33" s="1">
        <v>0</v>
      </c>
      <c r="Y33" s="1"/>
      <c r="Z33" s="1"/>
      <c r="AA33" s="1">
        <v>0</v>
      </c>
      <c r="AB33" s="1"/>
      <c r="AC33" s="1"/>
      <c r="AD33" s="1"/>
      <c r="AE33" s="1"/>
      <c r="AF33" s="1"/>
      <c r="AG33" s="1">
        <v>0</v>
      </c>
      <c r="AH33" s="1">
        <v>0</v>
      </c>
      <c r="AI33" s="1"/>
      <c r="AJ33" s="1" t="s">
        <v>32</v>
      </c>
      <c r="AK33" s="1"/>
      <c r="AL33" s="17"/>
      <c r="AM33" s="18"/>
      <c r="AN33" s="10"/>
    </row>
    <row r="34" spans="2:40" s="43" customFormat="1" ht="15" customHeight="1">
      <c r="B34" s="1">
        <f t="shared" si="0"/>
        <v>24</v>
      </c>
      <c r="C34" s="1">
        <v>0</v>
      </c>
      <c r="D34" s="1" t="s">
        <v>185</v>
      </c>
      <c r="E34" s="1" t="s">
        <v>30</v>
      </c>
      <c r="F34" s="1" t="s">
        <v>226</v>
      </c>
      <c r="G34" s="1" t="s">
        <v>54</v>
      </c>
      <c r="H34" s="1">
        <v>2020</v>
      </c>
      <c r="I34" s="1" t="s">
        <v>87</v>
      </c>
      <c r="J34" s="1" t="s">
        <v>11</v>
      </c>
      <c r="K34" s="1" t="s">
        <v>11</v>
      </c>
      <c r="L34" s="1">
        <v>4</v>
      </c>
      <c r="M34" s="1">
        <v>4</v>
      </c>
      <c r="N34" s="1">
        <v>4</v>
      </c>
      <c r="O34" s="1">
        <v>4</v>
      </c>
      <c r="P34" s="1">
        <v>1</v>
      </c>
      <c r="Q34" s="1">
        <v>1</v>
      </c>
      <c r="R34" s="1"/>
      <c r="S34" s="1">
        <v>1</v>
      </c>
      <c r="T34" s="1">
        <v>1</v>
      </c>
      <c r="U34" s="1">
        <v>1</v>
      </c>
      <c r="V34" s="1">
        <v>0</v>
      </c>
      <c r="W34" s="1">
        <v>0</v>
      </c>
      <c r="X34" s="1">
        <v>0</v>
      </c>
      <c r="Y34" s="1"/>
      <c r="Z34" s="1"/>
      <c r="AA34" s="1">
        <v>0</v>
      </c>
      <c r="AB34" s="1"/>
      <c r="AC34" s="1"/>
      <c r="AD34" s="1"/>
      <c r="AE34" s="1"/>
      <c r="AF34" s="1"/>
      <c r="AG34" s="1">
        <v>0</v>
      </c>
      <c r="AH34" s="1">
        <v>0</v>
      </c>
      <c r="AI34" s="1"/>
      <c r="AJ34" s="1" t="s">
        <v>32</v>
      </c>
      <c r="AK34" s="1"/>
      <c r="AL34" s="17"/>
      <c r="AM34" s="18"/>
      <c r="AN34" s="10" t="s">
        <v>76</v>
      </c>
    </row>
    <row r="35" spans="2:40" s="43" customFormat="1" ht="15" customHeight="1">
      <c r="B35" s="1">
        <f t="shared" si="0"/>
        <v>25</v>
      </c>
      <c r="C35" s="1">
        <v>1</v>
      </c>
      <c r="D35" s="1" t="s">
        <v>186</v>
      </c>
      <c r="E35" s="1" t="s">
        <v>186</v>
      </c>
      <c r="F35" s="1" t="s">
        <v>19</v>
      </c>
      <c r="G35" s="1"/>
      <c r="H35" s="1" t="s">
        <v>130</v>
      </c>
      <c r="I35" s="1" t="s">
        <v>85</v>
      </c>
      <c r="J35" s="1" t="s">
        <v>408</v>
      </c>
      <c r="K35" s="1" t="s">
        <v>340</v>
      </c>
      <c r="L35" s="1">
        <v>0</v>
      </c>
      <c r="M35" s="1">
        <v>4</v>
      </c>
      <c r="N35" s="1">
        <v>0</v>
      </c>
      <c r="O35" s="1">
        <v>3</v>
      </c>
      <c r="P35" s="1">
        <v>0</v>
      </c>
      <c r="Q35" s="1">
        <v>0</v>
      </c>
      <c r="R35" s="1"/>
      <c r="S35" s="1">
        <v>0</v>
      </c>
      <c r="T35" s="1">
        <v>3</v>
      </c>
      <c r="U35" s="1">
        <v>0</v>
      </c>
      <c r="V35" s="1">
        <v>0</v>
      </c>
      <c r="W35" s="1">
        <v>0</v>
      </c>
      <c r="X35" s="1">
        <v>4</v>
      </c>
      <c r="Y35" s="1">
        <v>0</v>
      </c>
      <c r="Z35" s="1">
        <v>4</v>
      </c>
      <c r="AA35" s="1">
        <v>0</v>
      </c>
      <c r="AB35" s="1"/>
      <c r="AC35" s="1"/>
      <c r="AD35" s="1"/>
      <c r="AE35" s="1">
        <v>4</v>
      </c>
      <c r="AF35" s="1">
        <v>0</v>
      </c>
      <c r="AG35" s="1">
        <v>0</v>
      </c>
      <c r="AH35" s="1">
        <v>0</v>
      </c>
      <c r="AI35" s="1"/>
      <c r="AJ35" s="1" t="s">
        <v>21</v>
      </c>
      <c r="AK35" s="1" t="s">
        <v>21</v>
      </c>
      <c r="AL35" s="17">
        <v>44167</v>
      </c>
      <c r="AM35" s="18" t="s">
        <v>330</v>
      </c>
      <c r="AN35" s="10"/>
    </row>
    <row r="36" spans="2:40" s="43" customFormat="1" ht="15" customHeight="1">
      <c r="B36" s="1">
        <f t="shared" si="0"/>
        <v>26</v>
      </c>
      <c r="C36" s="1">
        <v>1</v>
      </c>
      <c r="D36" s="1" t="s">
        <v>186</v>
      </c>
      <c r="E36" s="1" t="s">
        <v>186</v>
      </c>
      <c r="F36" s="1" t="s">
        <v>19</v>
      </c>
      <c r="G36" s="1"/>
      <c r="H36" s="1" t="s">
        <v>401</v>
      </c>
      <c r="I36" s="1" t="s">
        <v>86</v>
      </c>
      <c r="J36" s="1" t="s">
        <v>340</v>
      </c>
      <c r="K36" s="1" t="s">
        <v>408</v>
      </c>
      <c r="L36" s="1">
        <v>0</v>
      </c>
      <c r="M36" s="1">
        <v>4</v>
      </c>
      <c r="N36" s="1">
        <v>0</v>
      </c>
      <c r="O36" s="1">
        <v>3</v>
      </c>
      <c r="P36" s="1">
        <v>0</v>
      </c>
      <c r="Q36" s="1">
        <v>0</v>
      </c>
      <c r="R36" s="1"/>
      <c r="S36" s="1">
        <v>0</v>
      </c>
      <c r="T36" s="1">
        <v>3</v>
      </c>
      <c r="U36" s="1">
        <v>0</v>
      </c>
      <c r="V36" s="1">
        <v>0</v>
      </c>
      <c r="W36" s="1">
        <v>0</v>
      </c>
      <c r="X36" s="1">
        <v>4</v>
      </c>
      <c r="Y36" s="1">
        <v>0</v>
      </c>
      <c r="Z36" s="1">
        <v>0</v>
      </c>
      <c r="AA36" s="1">
        <v>0</v>
      </c>
      <c r="AB36" s="1"/>
      <c r="AC36" s="1"/>
      <c r="AD36" s="1"/>
      <c r="AE36" s="1">
        <v>3</v>
      </c>
      <c r="AF36" s="1">
        <v>0</v>
      </c>
      <c r="AG36" s="1">
        <v>0</v>
      </c>
      <c r="AH36" s="1">
        <v>0</v>
      </c>
      <c r="AI36" s="1"/>
      <c r="AJ36" s="1" t="s">
        <v>21</v>
      </c>
      <c r="AK36" s="1" t="s">
        <v>21</v>
      </c>
      <c r="AL36" s="17">
        <v>43467</v>
      </c>
      <c r="AM36" s="18" t="s">
        <v>62</v>
      </c>
      <c r="AN36" s="10"/>
    </row>
    <row r="37" spans="2:40" s="43" customFormat="1" ht="15" customHeight="1">
      <c r="B37" s="1">
        <f t="shared" si="0"/>
        <v>27</v>
      </c>
      <c r="C37" s="1">
        <v>0</v>
      </c>
      <c r="D37" s="1" t="s">
        <v>186</v>
      </c>
      <c r="E37" s="1" t="s">
        <v>186</v>
      </c>
      <c r="F37" s="1" t="s">
        <v>29</v>
      </c>
      <c r="G37" s="1"/>
      <c r="H37" s="1" t="s">
        <v>129</v>
      </c>
      <c r="I37" s="1" t="s">
        <v>85</v>
      </c>
      <c r="J37" s="1" t="s">
        <v>13</v>
      </c>
      <c r="K37" s="1" t="s">
        <v>62</v>
      </c>
      <c r="L37" s="1">
        <v>4</v>
      </c>
      <c r="M37" s="1">
        <v>4</v>
      </c>
      <c r="N37" s="1">
        <v>1</v>
      </c>
      <c r="O37" s="1">
        <v>4</v>
      </c>
      <c r="P37" s="1">
        <v>1</v>
      </c>
      <c r="Q37" s="1">
        <v>0</v>
      </c>
      <c r="R37" s="1"/>
      <c r="S37" s="1">
        <v>4</v>
      </c>
      <c r="T37" s="1">
        <v>4</v>
      </c>
      <c r="U37" s="1">
        <v>0</v>
      </c>
      <c r="V37" s="1">
        <v>0</v>
      </c>
      <c r="W37" s="1">
        <v>0</v>
      </c>
      <c r="X37" s="1">
        <v>0</v>
      </c>
      <c r="Y37" s="1"/>
      <c r="Z37" s="1"/>
      <c r="AA37" s="1">
        <v>0</v>
      </c>
      <c r="AB37" s="1"/>
      <c r="AC37" s="1"/>
      <c r="AD37" s="1"/>
      <c r="AE37" s="1"/>
      <c r="AF37" s="1"/>
      <c r="AG37" s="1">
        <v>0</v>
      </c>
      <c r="AH37" s="1">
        <v>0</v>
      </c>
      <c r="AI37" s="1"/>
      <c r="AJ37" s="1" t="s">
        <v>21</v>
      </c>
      <c r="AK37" s="1"/>
      <c r="AL37" s="17">
        <v>43467</v>
      </c>
      <c r="AM37" s="18" t="s">
        <v>62</v>
      </c>
      <c r="AN37" s="10" t="s">
        <v>163</v>
      </c>
    </row>
    <row r="38" spans="2:40" s="43" customFormat="1" ht="15" customHeight="1">
      <c r="B38" s="1">
        <f t="shared" si="0"/>
        <v>28</v>
      </c>
      <c r="C38" s="1">
        <v>0</v>
      </c>
      <c r="D38" s="1" t="s">
        <v>186</v>
      </c>
      <c r="E38" s="1" t="s">
        <v>186</v>
      </c>
      <c r="F38" s="1" t="s">
        <v>29</v>
      </c>
      <c r="G38" s="1"/>
      <c r="H38" s="1" t="s">
        <v>128</v>
      </c>
      <c r="I38" s="1" t="s">
        <v>89</v>
      </c>
      <c r="J38" s="1" t="s">
        <v>13</v>
      </c>
      <c r="K38" s="1" t="s">
        <v>62</v>
      </c>
      <c r="L38" s="1">
        <v>4</v>
      </c>
      <c r="M38" s="1">
        <v>4</v>
      </c>
      <c r="N38" s="1">
        <v>1</v>
      </c>
      <c r="O38" s="1">
        <v>4</v>
      </c>
      <c r="P38" s="1">
        <v>1</v>
      </c>
      <c r="Q38" s="1">
        <v>0</v>
      </c>
      <c r="R38" s="1"/>
      <c r="S38" s="1">
        <v>4</v>
      </c>
      <c r="T38" s="1">
        <v>4</v>
      </c>
      <c r="U38" s="1">
        <v>0</v>
      </c>
      <c r="V38" s="1">
        <v>0</v>
      </c>
      <c r="W38" s="1">
        <v>0</v>
      </c>
      <c r="X38" s="1">
        <v>0</v>
      </c>
      <c r="Y38" s="1"/>
      <c r="Z38" s="1"/>
      <c r="AA38" s="1">
        <v>0</v>
      </c>
      <c r="AB38" s="1"/>
      <c r="AC38" s="1"/>
      <c r="AD38" s="1"/>
      <c r="AE38" s="1"/>
      <c r="AF38" s="1"/>
      <c r="AG38" s="1">
        <v>0</v>
      </c>
      <c r="AH38" s="1">
        <v>0</v>
      </c>
      <c r="AI38" s="1"/>
      <c r="AJ38" s="1" t="s">
        <v>21</v>
      </c>
      <c r="AK38" s="1"/>
      <c r="AL38" s="17">
        <v>43467</v>
      </c>
      <c r="AM38" s="18" t="s">
        <v>62</v>
      </c>
      <c r="AN38" s="10" t="s">
        <v>163</v>
      </c>
    </row>
    <row r="39" spans="2:40" s="43" customFormat="1" ht="15" customHeight="1">
      <c r="B39" s="1">
        <f t="shared" si="0"/>
        <v>29</v>
      </c>
      <c r="C39" s="1">
        <v>0</v>
      </c>
      <c r="D39" s="1" t="s">
        <v>186</v>
      </c>
      <c r="E39" s="1" t="s">
        <v>186</v>
      </c>
      <c r="F39" s="1" t="s">
        <v>29</v>
      </c>
      <c r="G39" s="1"/>
      <c r="H39" s="1" t="s">
        <v>124</v>
      </c>
      <c r="I39" s="1" t="s">
        <v>85</v>
      </c>
      <c r="J39" s="1" t="s">
        <v>13</v>
      </c>
      <c r="K39" s="1" t="s">
        <v>62</v>
      </c>
      <c r="L39" s="1">
        <v>4</v>
      </c>
      <c r="M39" s="1">
        <v>4</v>
      </c>
      <c r="N39" s="1">
        <v>1</v>
      </c>
      <c r="O39" s="1">
        <v>4</v>
      </c>
      <c r="P39" s="1">
        <v>1</v>
      </c>
      <c r="Q39" s="1">
        <v>0</v>
      </c>
      <c r="R39" s="1"/>
      <c r="S39" s="1">
        <v>4</v>
      </c>
      <c r="T39" s="1">
        <v>4</v>
      </c>
      <c r="U39" s="1">
        <v>0</v>
      </c>
      <c r="V39" s="1">
        <v>0</v>
      </c>
      <c r="W39" s="1">
        <v>0</v>
      </c>
      <c r="X39" s="1">
        <v>0</v>
      </c>
      <c r="Y39" s="1"/>
      <c r="Z39" s="1"/>
      <c r="AA39" s="1">
        <v>0</v>
      </c>
      <c r="AB39" s="1"/>
      <c r="AC39" s="1"/>
      <c r="AD39" s="1"/>
      <c r="AE39" s="1"/>
      <c r="AF39" s="1"/>
      <c r="AG39" s="1">
        <v>0</v>
      </c>
      <c r="AH39" s="1">
        <v>0</v>
      </c>
      <c r="AI39" s="1"/>
      <c r="AJ39" s="1" t="s">
        <v>95</v>
      </c>
      <c r="AK39" s="1"/>
      <c r="AL39" s="17">
        <v>43467</v>
      </c>
      <c r="AM39" s="18" t="s">
        <v>62</v>
      </c>
      <c r="AN39" s="10" t="s">
        <v>163</v>
      </c>
    </row>
    <row r="40" spans="2:40" s="43" customFormat="1" ht="15" customHeight="1">
      <c r="B40" s="1">
        <f t="shared" si="0"/>
        <v>30</v>
      </c>
      <c r="C40" s="1">
        <v>0</v>
      </c>
      <c r="D40" s="1" t="s">
        <v>186</v>
      </c>
      <c r="E40" s="1" t="s">
        <v>186</v>
      </c>
      <c r="F40" s="1" t="s">
        <v>29</v>
      </c>
      <c r="G40" s="1"/>
      <c r="H40" s="1" t="s">
        <v>28</v>
      </c>
      <c r="I40" s="1" t="s">
        <v>86</v>
      </c>
      <c r="J40" s="1" t="s">
        <v>13</v>
      </c>
      <c r="K40" s="1" t="s">
        <v>62</v>
      </c>
      <c r="L40" s="1">
        <v>4</v>
      </c>
      <c r="M40" s="1">
        <v>4</v>
      </c>
      <c r="N40" s="1">
        <v>1</v>
      </c>
      <c r="O40" s="1">
        <v>4</v>
      </c>
      <c r="P40" s="1">
        <v>1</v>
      </c>
      <c r="Q40" s="1">
        <v>0</v>
      </c>
      <c r="R40" s="1"/>
      <c r="S40" s="1">
        <v>0</v>
      </c>
      <c r="T40" s="1">
        <v>2</v>
      </c>
      <c r="U40" s="1">
        <v>0</v>
      </c>
      <c r="V40" s="1">
        <v>0</v>
      </c>
      <c r="W40" s="1">
        <v>0</v>
      </c>
      <c r="X40" s="1">
        <v>0</v>
      </c>
      <c r="Y40" s="1"/>
      <c r="Z40" s="1"/>
      <c r="AA40" s="1">
        <v>0</v>
      </c>
      <c r="AB40" s="1"/>
      <c r="AC40" s="1"/>
      <c r="AD40" s="1"/>
      <c r="AE40" s="1"/>
      <c r="AF40" s="1"/>
      <c r="AG40" s="1">
        <v>0</v>
      </c>
      <c r="AH40" s="1">
        <v>0</v>
      </c>
      <c r="AI40" s="1"/>
      <c r="AJ40" s="1" t="s">
        <v>54</v>
      </c>
      <c r="AK40" s="1"/>
      <c r="AL40" s="17">
        <v>43467</v>
      </c>
      <c r="AM40" s="18" t="s">
        <v>62</v>
      </c>
      <c r="AN40" s="10" t="s">
        <v>146</v>
      </c>
    </row>
    <row r="41" spans="2:40" s="43" customFormat="1" ht="15" customHeight="1">
      <c r="B41" s="1">
        <f t="shared" si="0"/>
        <v>31</v>
      </c>
      <c r="C41" s="1">
        <v>1</v>
      </c>
      <c r="D41" s="1" t="s">
        <v>186</v>
      </c>
      <c r="E41" s="1" t="s">
        <v>186</v>
      </c>
      <c r="F41" s="1" t="s">
        <v>19</v>
      </c>
      <c r="G41" s="1"/>
      <c r="H41" s="1" t="s">
        <v>131</v>
      </c>
      <c r="I41" s="1" t="s">
        <v>87</v>
      </c>
      <c r="J41" s="1" t="s">
        <v>408</v>
      </c>
      <c r="K41" s="1" t="s">
        <v>340</v>
      </c>
      <c r="L41" s="1">
        <v>0</v>
      </c>
      <c r="M41" s="1">
        <v>4</v>
      </c>
      <c r="N41" s="1">
        <v>0</v>
      </c>
      <c r="O41" s="1">
        <v>3</v>
      </c>
      <c r="P41" s="1">
        <v>0</v>
      </c>
      <c r="Q41" s="1">
        <v>0</v>
      </c>
      <c r="R41" s="1"/>
      <c r="S41" s="1">
        <v>0</v>
      </c>
      <c r="T41" s="1">
        <v>3</v>
      </c>
      <c r="U41" s="1">
        <v>0</v>
      </c>
      <c r="V41" s="1">
        <v>0</v>
      </c>
      <c r="W41" s="1">
        <v>0</v>
      </c>
      <c r="X41" s="1">
        <v>4</v>
      </c>
      <c r="Y41" s="1">
        <v>0</v>
      </c>
      <c r="Z41" s="1">
        <v>3</v>
      </c>
      <c r="AA41" s="1">
        <v>0</v>
      </c>
      <c r="AB41" s="1"/>
      <c r="AC41" s="1"/>
      <c r="AD41" s="1"/>
      <c r="AE41" s="1">
        <v>4</v>
      </c>
      <c r="AF41" s="1">
        <v>0</v>
      </c>
      <c r="AG41" s="1">
        <v>0</v>
      </c>
      <c r="AH41" s="1">
        <v>0</v>
      </c>
      <c r="AI41" s="1">
        <v>0</v>
      </c>
      <c r="AJ41" s="1" t="s">
        <v>21</v>
      </c>
      <c r="AK41" s="1" t="s">
        <v>21</v>
      </c>
      <c r="AL41" s="17">
        <v>44167</v>
      </c>
      <c r="AM41" s="18" t="s">
        <v>330</v>
      </c>
      <c r="AN41" s="10"/>
    </row>
    <row r="42" spans="2:40" s="43" customFormat="1" ht="15" customHeight="1">
      <c r="B42" s="1">
        <f t="shared" si="0"/>
        <v>32</v>
      </c>
      <c r="C42" s="1">
        <v>0</v>
      </c>
      <c r="D42" s="1" t="s">
        <v>186</v>
      </c>
      <c r="E42" s="1" t="s">
        <v>186</v>
      </c>
      <c r="F42" s="1" t="s">
        <v>134</v>
      </c>
      <c r="G42" s="1"/>
      <c r="H42" s="1" t="s">
        <v>133</v>
      </c>
      <c r="I42" s="1" t="s">
        <v>86</v>
      </c>
      <c r="J42" s="1" t="s">
        <v>13</v>
      </c>
      <c r="K42" s="1" t="s">
        <v>62</v>
      </c>
      <c r="L42" s="1">
        <v>4</v>
      </c>
      <c r="M42" s="1">
        <v>4</v>
      </c>
      <c r="N42" s="1">
        <v>1</v>
      </c>
      <c r="O42" s="1">
        <v>4</v>
      </c>
      <c r="P42" s="1">
        <v>2</v>
      </c>
      <c r="Q42" s="1">
        <v>0</v>
      </c>
      <c r="R42" s="1"/>
      <c r="S42" s="1">
        <v>0</v>
      </c>
      <c r="T42" s="1">
        <v>4</v>
      </c>
      <c r="U42" s="1">
        <v>0</v>
      </c>
      <c r="V42" s="1">
        <v>0</v>
      </c>
      <c r="W42" s="1">
        <v>0</v>
      </c>
      <c r="X42" s="1">
        <v>0</v>
      </c>
      <c r="Y42" s="1"/>
      <c r="Z42" s="1"/>
      <c r="AA42" s="1">
        <v>0</v>
      </c>
      <c r="AB42" s="1"/>
      <c r="AC42" s="1"/>
      <c r="AD42" s="1"/>
      <c r="AE42" s="1"/>
      <c r="AF42" s="1"/>
      <c r="AG42" s="1">
        <v>0</v>
      </c>
      <c r="AH42" s="1">
        <v>0</v>
      </c>
      <c r="AI42" s="1"/>
      <c r="AJ42" s="1" t="s">
        <v>95</v>
      </c>
      <c r="AK42" s="1"/>
      <c r="AL42" s="17">
        <v>43467</v>
      </c>
      <c r="AM42" s="18" t="s">
        <v>62</v>
      </c>
      <c r="AN42" s="10" t="s">
        <v>146</v>
      </c>
    </row>
    <row r="43" spans="2:40" s="43" customFormat="1" ht="15" customHeight="1">
      <c r="B43" s="1">
        <f t="shared" si="0"/>
        <v>33</v>
      </c>
      <c r="C43" s="1">
        <v>0</v>
      </c>
      <c r="D43" s="1" t="s">
        <v>186</v>
      </c>
      <c r="E43" s="1" t="s">
        <v>186</v>
      </c>
      <c r="F43" s="1" t="s">
        <v>19</v>
      </c>
      <c r="G43" s="1"/>
      <c r="H43" s="1" t="s">
        <v>132</v>
      </c>
      <c r="I43" s="1" t="s">
        <v>87</v>
      </c>
      <c r="J43" s="58" t="s">
        <v>13</v>
      </c>
      <c r="K43" s="1" t="s">
        <v>62</v>
      </c>
      <c r="L43" s="1">
        <v>0</v>
      </c>
      <c r="M43" s="1">
        <v>4</v>
      </c>
      <c r="N43" s="1">
        <v>0</v>
      </c>
      <c r="O43" s="1">
        <v>4</v>
      </c>
      <c r="P43" s="1">
        <v>0</v>
      </c>
      <c r="Q43" s="1">
        <v>0</v>
      </c>
      <c r="R43" s="1"/>
      <c r="S43" s="1">
        <v>0</v>
      </c>
      <c r="T43" s="1">
        <v>4</v>
      </c>
      <c r="U43" s="1">
        <v>0</v>
      </c>
      <c r="V43" s="1">
        <v>0</v>
      </c>
      <c r="W43" s="1">
        <v>0</v>
      </c>
      <c r="X43" s="1">
        <v>0</v>
      </c>
      <c r="Y43" s="1"/>
      <c r="Z43" s="1"/>
      <c r="AA43" s="1">
        <v>0</v>
      </c>
      <c r="AB43" s="1"/>
      <c r="AC43" s="1"/>
      <c r="AD43" s="1"/>
      <c r="AE43" s="1"/>
      <c r="AF43" s="1"/>
      <c r="AG43" s="1">
        <v>0</v>
      </c>
      <c r="AH43" s="1">
        <v>0</v>
      </c>
      <c r="AI43" s="1">
        <v>0</v>
      </c>
      <c r="AJ43" s="1" t="s">
        <v>54</v>
      </c>
      <c r="AK43" s="1"/>
      <c r="AL43" s="17">
        <v>43467</v>
      </c>
      <c r="AM43" s="18" t="s">
        <v>62</v>
      </c>
      <c r="AN43" s="10" t="s">
        <v>145</v>
      </c>
    </row>
    <row r="44" spans="2:40" s="43" customFormat="1" ht="15" customHeight="1">
      <c r="B44" s="1">
        <f t="shared" si="0"/>
        <v>34</v>
      </c>
      <c r="C44" s="1">
        <v>1</v>
      </c>
      <c r="D44" s="54" t="s">
        <v>386</v>
      </c>
      <c r="E44" s="1" t="s">
        <v>294</v>
      </c>
      <c r="F44" s="1" t="s">
        <v>57</v>
      </c>
      <c r="G44" s="1"/>
      <c r="H44" s="54" t="s">
        <v>56</v>
      </c>
      <c r="I44" s="1" t="s">
        <v>85</v>
      </c>
      <c r="J44" s="1" t="s">
        <v>12</v>
      </c>
      <c r="K44" s="1" t="s">
        <v>331</v>
      </c>
      <c r="L44" s="1">
        <v>0</v>
      </c>
      <c r="M44" s="1">
        <v>0</v>
      </c>
      <c r="N44" s="1">
        <v>4</v>
      </c>
      <c r="O44" s="1">
        <v>0</v>
      </c>
      <c r="P44" s="1">
        <v>0</v>
      </c>
      <c r="Q44" s="1">
        <v>4</v>
      </c>
      <c r="R44" s="1">
        <v>3</v>
      </c>
      <c r="S44" s="1">
        <v>0</v>
      </c>
      <c r="T44" s="1">
        <v>0</v>
      </c>
      <c r="U44" s="1">
        <v>0</v>
      </c>
      <c r="V44" s="1">
        <v>0</v>
      </c>
      <c r="W44" s="1">
        <v>0</v>
      </c>
      <c r="X44" s="1">
        <v>0</v>
      </c>
      <c r="Y44" s="1">
        <v>0</v>
      </c>
      <c r="Z44" s="1">
        <v>0</v>
      </c>
      <c r="AA44" s="1">
        <v>0</v>
      </c>
      <c r="AB44" s="1"/>
      <c r="AC44" s="1"/>
      <c r="AD44" s="1"/>
      <c r="AE44" s="1"/>
      <c r="AF44" s="1"/>
      <c r="AG44" s="1">
        <v>0</v>
      </c>
      <c r="AH44" s="1">
        <v>0</v>
      </c>
      <c r="AI44" s="1">
        <v>0</v>
      </c>
      <c r="AJ44" s="1" t="s">
        <v>21</v>
      </c>
      <c r="AK44" s="1" t="s">
        <v>21</v>
      </c>
      <c r="AL44" s="17">
        <v>43369</v>
      </c>
      <c r="AM44" s="18" t="s">
        <v>12</v>
      </c>
      <c r="AN44" s="10" t="s">
        <v>77</v>
      </c>
    </row>
    <row r="45" spans="2:40" s="43" customFormat="1" ht="15" customHeight="1">
      <c r="B45" s="1">
        <f t="shared" si="0"/>
        <v>35</v>
      </c>
      <c r="C45" s="1">
        <v>1</v>
      </c>
      <c r="D45" s="54" t="s">
        <v>386</v>
      </c>
      <c r="E45" s="1" t="s">
        <v>294</v>
      </c>
      <c r="F45" s="1" t="s">
        <v>57</v>
      </c>
      <c r="G45" s="1"/>
      <c r="H45" s="54" t="s">
        <v>108</v>
      </c>
      <c r="I45" s="1" t="s">
        <v>87</v>
      </c>
      <c r="J45" s="1" t="s">
        <v>12</v>
      </c>
      <c r="K45" s="1" t="s">
        <v>331</v>
      </c>
      <c r="L45" s="1">
        <v>0</v>
      </c>
      <c r="M45" s="1">
        <v>0</v>
      </c>
      <c r="N45" s="1">
        <v>4</v>
      </c>
      <c r="O45" s="1">
        <v>0</v>
      </c>
      <c r="P45" s="1">
        <v>0</v>
      </c>
      <c r="Q45" s="1">
        <v>4</v>
      </c>
      <c r="R45" s="1">
        <v>3</v>
      </c>
      <c r="S45" s="1">
        <v>0</v>
      </c>
      <c r="T45" s="1">
        <v>0</v>
      </c>
      <c r="U45" s="1">
        <v>0</v>
      </c>
      <c r="V45" s="1">
        <v>0</v>
      </c>
      <c r="W45" s="1">
        <v>0</v>
      </c>
      <c r="X45" s="1">
        <v>0</v>
      </c>
      <c r="Y45" s="1">
        <v>0</v>
      </c>
      <c r="Z45" s="1">
        <v>0</v>
      </c>
      <c r="AA45" s="1">
        <v>0</v>
      </c>
      <c r="AB45" s="1"/>
      <c r="AC45" s="1"/>
      <c r="AD45" s="1"/>
      <c r="AE45" s="1"/>
      <c r="AF45" s="1"/>
      <c r="AG45" s="1">
        <v>0</v>
      </c>
      <c r="AH45" s="1">
        <v>0</v>
      </c>
      <c r="AI45" s="1">
        <v>0</v>
      </c>
      <c r="AJ45" s="1" t="s">
        <v>21</v>
      </c>
      <c r="AK45" s="1" t="s">
        <v>21</v>
      </c>
      <c r="AL45" s="17">
        <v>43369</v>
      </c>
      <c r="AM45" s="18" t="s">
        <v>12</v>
      </c>
      <c r="AN45" s="10" t="s">
        <v>78</v>
      </c>
    </row>
    <row r="46" spans="2:40" s="43" customFormat="1" ht="15" customHeight="1">
      <c r="B46" s="1">
        <f t="shared" si="0"/>
        <v>36</v>
      </c>
      <c r="C46" s="1">
        <v>1</v>
      </c>
      <c r="D46" s="54" t="s">
        <v>386</v>
      </c>
      <c r="E46" s="1" t="s">
        <v>294</v>
      </c>
      <c r="F46" s="1" t="s">
        <v>57</v>
      </c>
      <c r="G46" s="1"/>
      <c r="H46" s="54" t="s">
        <v>58</v>
      </c>
      <c r="I46" s="1" t="s">
        <v>87</v>
      </c>
      <c r="J46" s="1" t="s">
        <v>12</v>
      </c>
      <c r="K46" s="1" t="s">
        <v>331</v>
      </c>
      <c r="L46" s="1">
        <v>0</v>
      </c>
      <c r="M46" s="1">
        <v>0</v>
      </c>
      <c r="N46" s="1">
        <v>4</v>
      </c>
      <c r="O46" s="1">
        <v>0</v>
      </c>
      <c r="P46" s="1">
        <v>0</v>
      </c>
      <c r="Q46" s="1">
        <v>4</v>
      </c>
      <c r="R46" s="1">
        <v>3</v>
      </c>
      <c r="S46" s="1">
        <v>0</v>
      </c>
      <c r="T46" s="1">
        <v>0</v>
      </c>
      <c r="U46" s="1">
        <v>0</v>
      </c>
      <c r="V46" s="1">
        <v>0</v>
      </c>
      <c r="W46" s="1">
        <v>0</v>
      </c>
      <c r="X46" s="1">
        <v>0</v>
      </c>
      <c r="Y46" s="1">
        <v>0</v>
      </c>
      <c r="Z46" s="1">
        <v>0</v>
      </c>
      <c r="AA46" s="1">
        <v>0</v>
      </c>
      <c r="AB46" s="1"/>
      <c r="AC46" s="1"/>
      <c r="AD46" s="1"/>
      <c r="AE46" s="1"/>
      <c r="AF46" s="1"/>
      <c r="AG46" s="1">
        <v>0</v>
      </c>
      <c r="AH46" s="1">
        <v>0</v>
      </c>
      <c r="AI46" s="1">
        <v>0</v>
      </c>
      <c r="AJ46" s="1" t="s">
        <v>21</v>
      </c>
      <c r="AK46" s="1"/>
      <c r="AL46" s="17"/>
      <c r="AM46" s="18"/>
      <c r="AN46" s="10" t="s">
        <v>79</v>
      </c>
    </row>
    <row r="47" spans="2:40" s="43" customFormat="1" ht="15" customHeight="1">
      <c r="B47" s="1">
        <f t="shared" si="0"/>
        <v>37</v>
      </c>
      <c r="C47" s="1">
        <v>1</v>
      </c>
      <c r="D47" s="54" t="s">
        <v>386</v>
      </c>
      <c r="E47" s="1" t="s">
        <v>294</v>
      </c>
      <c r="F47" s="1" t="s">
        <v>57</v>
      </c>
      <c r="G47" s="1"/>
      <c r="H47" s="54" t="s">
        <v>59</v>
      </c>
      <c r="I47" s="1" t="s">
        <v>86</v>
      </c>
      <c r="J47" s="1" t="s">
        <v>12</v>
      </c>
      <c r="K47" s="1" t="s">
        <v>331</v>
      </c>
      <c r="L47" s="1">
        <v>0</v>
      </c>
      <c r="M47" s="1">
        <v>0</v>
      </c>
      <c r="N47" s="1">
        <v>4</v>
      </c>
      <c r="O47" s="1">
        <v>0</v>
      </c>
      <c r="P47" s="1">
        <v>0</v>
      </c>
      <c r="Q47" s="1">
        <v>4</v>
      </c>
      <c r="R47" s="1">
        <v>3</v>
      </c>
      <c r="S47" s="1">
        <v>0</v>
      </c>
      <c r="T47" s="1">
        <v>0</v>
      </c>
      <c r="U47" s="1">
        <v>0</v>
      </c>
      <c r="V47" s="1">
        <v>0</v>
      </c>
      <c r="W47" s="1">
        <v>0</v>
      </c>
      <c r="X47" s="1">
        <v>0</v>
      </c>
      <c r="Y47" s="1">
        <v>0</v>
      </c>
      <c r="Z47" s="1">
        <v>0</v>
      </c>
      <c r="AA47" s="1">
        <v>0</v>
      </c>
      <c r="AB47" s="1"/>
      <c r="AC47" s="1"/>
      <c r="AD47" s="1"/>
      <c r="AE47" s="1"/>
      <c r="AF47" s="1"/>
      <c r="AG47" s="1">
        <v>0</v>
      </c>
      <c r="AH47" s="1">
        <v>0</v>
      </c>
      <c r="AI47" s="1">
        <v>0</v>
      </c>
      <c r="AJ47" s="1" t="s">
        <v>21</v>
      </c>
      <c r="AK47" s="1"/>
      <c r="AL47" s="17"/>
      <c r="AM47" s="18"/>
      <c r="AN47" s="10" t="s">
        <v>83</v>
      </c>
    </row>
    <row r="48" spans="2:40" s="43" customFormat="1" ht="15" customHeight="1">
      <c r="B48" s="1">
        <f t="shared" si="0"/>
        <v>38</v>
      </c>
      <c r="C48" s="1">
        <v>1</v>
      </c>
      <c r="D48" s="54" t="s">
        <v>386</v>
      </c>
      <c r="E48" s="1" t="s">
        <v>294</v>
      </c>
      <c r="F48" s="1" t="s">
        <v>57</v>
      </c>
      <c r="G48" s="1"/>
      <c r="H48" s="54" t="s">
        <v>60</v>
      </c>
      <c r="I48" s="1" t="s">
        <v>86</v>
      </c>
      <c r="J48" s="1" t="s">
        <v>12</v>
      </c>
      <c r="K48" s="1" t="s">
        <v>331</v>
      </c>
      <c r="L48" s="1">
        <v>0</v>
      </c>
      <c r="M48" s="1">
        <v>0</v>
      </c>
      <c r="N48" s="1">
        <v>4</v>
      </c>
      <c r="O48" s="1">
        <v>0</v>
      </c>
      <c r="P48" s="1">
        <v>0</v>
      </c>
      <c r="Q48" s="1">
        <v>4</v>
      </c>
      <c r="R48" s="1">
        <v>2</v>
      </c>
      <c r="S48" s="1">
        <v>0</v>
      </c>
      <c r="T48" s="1">
        <v>0</v>
      </c>
      <c r="U48" s="1">
        <v>0</v>
      </c>
      <c r="V48" s="1">
        <v>0</v>
      </c>
      <c r="W48" s="1">
        <v>0</v>
      </c>
      <c r="X48" s="1">
        <v>0</v>
      </c>
      <c r="Y48" s="1">
        <v>0</v>
      </c>
      <c r="Z48" s="1">
        <v>0</v>
      </c>
      <c r="AA48" s="1">
        <v>0</v>
      </c>
      <c r="AB48" s="1"/>
      <c r="AC48" s="1"/>
      <c r="AD48" s="1"/>
      <c r="AE48" s="1"/>
      <c r="AF48" s="1"/>
      <c r="AG48" s="1">
        <v>0</v>
      </c>
      <c r="AH48" s="1">
        <v>0</v>
      </c>
      <c r="AI48" s="1">
        <v>0</v>
      </c>
      <c r="AJ48" s="1" t="s">
        <v>32</v>
      </c>
      <c r="AK48" s="1"/>
      <c r="AL48" s="17"/>
      <c r="AM48" s="18"/>
      <c r="AN48" s="10" t="s">
        <v>80</v>
      </c>
    </row>
    <row r="49" spans="2:40" s="43" customFormat="1" ht="15" customHeight="1">
      <c r="B49" s="1">
        <f t="shared" si="0"/>
        <v>39</v>
      </c>
      <c r="C49" s="1">
        <v>1</v>
      </c>
      <c r="D49" s="54" t="s">
        <v>386</v>
      </c>
      <c r="E49" s="1" t="s">
        <v>294</v>
      </c>
      <c r="F49" s="1" t="s">
        <v>57</v>
      </c>
      <c r="G49" s="1"/>
      <c r="H49" s="54" t="s">
        <v>69</v>
      </c>
      <c r="I49" s="1" t="s">
        <v>86</v>
      </c>
      <c r="J49" s="1" t="s">
        <v>12</v>
      </c>
      <c r="K49" s="1" t="s">
        <v>331</v>
      </c>
      <c r="L49" s="1">
        <v>0</v>
      </c>
      <c r="M49" s="1">
        <v>0</v>
      </c>
      <c r="N49" s="1">
        <v>4</v>
      </c>
      <c r="O49" s="1">
        <v>0</v>
      </c>
      <c r="P49" s="1">
        <v>0</v>
      </c>
      <c r="Q49" s="1">
        <v>4</v>
      </c>
      <c r="R49" s="1">
        <v>3</v>
      </c>
      <c r="S49" s="1">
        <v>0</v>
      </c>
      <c r="T49" s="1">
        <v>0</v>
      </c>
      <c r="U49" s="1">
        <v>0</v>
      </c>
      <c r="V49" s="1">
        <v>0</v>
      </c>
      <c r="W49" s="1">
        <v>0</v>
      </c>
      <c r="X49" s="1">
        <v>0</v>
      </c>
      <c r="Y49" s="1">
        <v>0</v>
      </c>
      <c r="Z49" s="1">
        <v>0</v>
      </c>
      <c r="AA49" s="1">
        <v>0</v>
      </c>
      <c r="AB49" s="1"/>
      <c r="AC49" s="1"/>
      <c r="AD49" s="1"/>
      <c r="AE49" s="1"/>
      <c r="AF49" s="1"/>
      <c r="AG49" s="1">
        <v>0</v>
      </c>
      <c r="AH49" s="1">
        <v>0</v>
      </c>
      <c r="AI49" s="1">
        <v>0</v>
      </c>
      <c r="AJ49" s="1" t="s">
        <v>21</v>
      </c>
      <c r="AK49" s="1"/>
      <c r="AL49" s="17"/>
      <c r="AM49" s="18"/>
      <c r="AN49" s="10" t="s">
        <v>80</v>
      </c>
    </row>
    <row r="50" spans="2:40" s="43" customFormat="1" ht="15" customHeight="1">
      <c r="B50" s="1">
        <f t="shared" si="0"/>
        <v>40</v>
      </c>
      <c r="C50" s="1">
        <v>1</v>
      </c>
      <c r="D50" s="54" t="s">
        <v>386</v>
      </c>
      <c r="E50" s="1" t="s">
        <v>294</v>
      </c>
      <c r="F50" s="1" t="s">
        <v>57</v>
      </c>
      <c r="G50" s="1"/>
      <c r="H50" s="54" t="s">
        <v>63</v>
      </c>
      <c r="I50" s="1" t="s">
        <v>88</v>
      </c>
      <c r="J50" s="1" t="s">
        <v>12</v>
      </c>
      <c r="K50" s="1" t="s">
        <v>331</v>
      </c>
      <c r="L50" s="1">
        <v>0</v>
      </c>
      <c r="M50" s="1">
        <v>0</v>
      </c>
      <c r="N50" s="1">
        <v>4</v>
      </c>
      <c r="O50" s="1">
        <v>0</v>
      </c>
      <c r="P50" s="1">
        <v>0</v>
      </c>
      <c r="Q50" s="1">
        <v>4</v>
      </c>
      <c r="R50" s="1">
        <v>3</v>
      </c>
      <c r="S50" s="1">
        <v>0</v>
      </c>
      <c r="T50" s="1">
        <v>0</v>
      </c>
      <c r="U50" s="1">
        <v>0</v>
      </c>
      <c r="V50" s="1">
        <v>0</v>
      </c>
      <c r="W50" s="1">
        <v>0</v>
      </c>
      <c r="X50" s="1">
        <v>0</v>
      </c>
      <c r="Y50" s="1">
        <v>0</v>
      </c>
      <c r="Z50" s="1">
        <v>0</v>
      </c>
      <c r="AA50" s="1">
        <v>0</v>
      </c>
      <c r="AB50" s="1"/>
      <c r="AC50" s="1"/>
      <c r="AD50" s="1"/>
      <c r="AE50" s="1"/>
      <c r="AF50" s="1"/>
      <c r="AG50" s="1">
        <v>0</v>
      </c>
      <c r="AH50" s="1">
        <v>0</v>
      </c>
      <c r="AI50" s="1">
        <v>0</v>
      </c>
      <c r="AJ50" s="1" t="s">
        <v>21</v>
      </c>
      <c r="AK50" s="1"/>
      <c r="AL50" s="17"/>
      <c r="AM50" s="18"/>
      <c r="AN50" s="10"/>
    </row>
    <row r="51" spans="2:40" s="43" customFormat="1" ht="15" customHeight="1">
      <c r="B51" s="1">
        <f t="shared" si="0"/>
        <v>41</v>
      </c>
      <c r="C51" s="1">
        <v>1</v>
      </c>
      <c r="D51" s="54" t="s">
        <v>386</v>
      </c>
      <c r="E51" s="1" t="s">
        <v>294</v>
      </c>
      <c r="F51" s="1" t="s">
        <v>57</v>
      </c>
      <c r="G51" s="1"/>
      <c r="H51" s="54" t="s">
        <v>64</v>
      </c>
      <c r="I51" s="1" t="s">
        <v>86</v>
      </c>
      <c r="J51" s="1" t="s">
        <v>12</v>
      </c>
      <c r="K51" s="1" t="s">
        <v>331</v>
      </c>
      <c r="L51" s="1">
        <v>0</v>
      </c>
      <c r="M51" s="1">
        <v>0</v>
      </c>
      <c r="N51" s="1">
        <v>4</v>
      </c>
      <c r="O51" s="1">
        <v>0</v>
      </c>
      <c r="P51" s="1">
        <v>0</v>
      </c>
      <c r="Q51" s="1">
        <v>4</v>
      </c>
      <c r="R51" s="1">
        <v>3</v>
      </c>
      <c r="S51" s="1">
        <v>0</v>
      </c>
      <c r="T51" s="1">
        <v>0</v>
      </c>
      <c r="U51" s="1">
        <v>0</v>
      </c>
      <c r="V51" s="1">
        <v>0</v>
      </c>
      <c r="W51" s="1">
        <v>0</v>
      </c>
      <c r="X51" s="1">
        <v>0</v>
      </c>
      <c r="Y51" s="1">
        <v>0</v>
      </c>
      <c r="Z51" s="1">
        <v>0</v>
      </c>
      <c r="AA51" s="1">
        <v>0</v>
      </c>
      <c r="AB51" s="1"/>
      <c r="AC51" s="1"/>
      <c r="AD51" s="1"/>
      <c r="AE51" s="1"/>
      <c r="AF51" s="1"/>
      <c r="AG51" s="1">
        <v>0</v>
      </c>
      <c r="AH51" s="1">
        <v>0</v>
      </c>
      <c r="AI51" s="1">
        <v>0</v>
      </c>
      <c r="AJ51" s="1" t="s">
        <v>21</v>
      </c>
      <c r="AK51" s="1"/>
      <c r="AL51" s="17"/>
      <c r="AM51" s="18"/>
      <c r="AN51" s="10"/>
    </row>
    <row r="52" spans="2:40" s="43" customFormat="1" ht="15" customHeight="1">
      <c r="B52" s="1">
        <f t="shared" si="0"/>
        <v>42</v>
      </c>
      <c r="C52" s="1">
        <v>1</v>
      </c>
      <c r="D52" s="54" t="s">
        <v>386</v>
      </c>
      <c r="E52" s="1" t="s">
        <v>294</v>
      </c>
      <c r="F52" s="1" t="s">
        <v>57</v>
      </c>
      <c r="G52" s="1"/>
      <c r="H52" s="54" t="s">
        <v>332</v>
      </c>
      <c r="I52" s="1" t="s">
        <v>86</v>
      </c>
      <c r="J52" s="1" t="s">
        <v>12</v>
      </c>
      <c r="K52" s="1" t="s">
        <v>331</v>
      </c>
      <c r="L52" s="1">
        <v>0</v>
      </c>
      <c r="M52" s="1">
        <v>0</v>
      </c>
      <c r="N52" s="1">
        <v>4</v>
      </c>
      <c r="O52" s="1">
        <v>0</v>
      </c>
      <c r="P52" s="1">
        <v>0</v>
      </c>
      <c r="Q52" s="1">
        <v>4</v>
      </c>
      <c r="R52" s="1">
        <v>2</v>
      </c>
      <c r="S52" s="1">
        <v>0</v>
      </c>
      <c r="T52" s="1">
        <v>0</v>
      </c>
      <c r="U52" s="1">
        <v>0</v>
      </c>
      <c r="V52" s="1">
        <v>0</v>
      </c>
      <c r="W52" s="1">
        <v>0</v>
      </c>
      <c r="X52" s="1">
        <v>0</v>
      </c>
      <c r="Y52" s="1">
        <v>0</v>
      </c>
      <c r="Z52" s="1">
        <v>0</v>
      </c>
      <c r="AA52" s="1">
        <v>0</v>
      </c>
      <c r="AB52" s="1"/>
      <c r="AC52" s="1"/>
      <c r="AD52" s="1"/>
      <c r="AE52" s="1"/>
      <c r="AF52" s="1"/>
      <c r="AG52" s="1">
        <v>0</v>
      </c>
      <c r="AH52" s="1">
        <v>0</v>
      </c>
      <c r="AI52" s="1">
        <v>0</v>
      </c>
      <c r="AJ52" s="1" t="s">
        <v>21</v>
      </c>
      <c r="AK52" s="1"/>
      <c r="AL52" s="17"/>
      <c r="AM52" s="18"/>
      <c r="AN52" s="10" t="s">
        <v>81</v>
      </c>
    </row>
    <row r="53" spans="2:40" s="43" customFormat="1" ht="15" customHeight="1">
      <c r="B53" s="1">
        <f t="shared" si="0"/>
        <v>43</v>
      </c>
      <c r="C53" s="1">
        <v>1</v>
      </c>
      <c r="D53" s="54" t="s">
        <v>386</v>
      </c>
      <c r="E53" s="1" t="s">
        <v>294</v>
      </c>
      <c r="F53" s="1" t="s">
        <v>57</v>
      </c>
      <c r="G53" s="1"/>
      <c r="H53" s="54" t="s">
        <v>65</v>
      </c>
      <c r="I53" s="1" t="s">
        <v>86</v>
      </c>
      <c r="J53" s="1" t="s">
        <v>12</v>
      </c>
      <c r="K53" s="1" t="s">
        <v>331</v>
      </c>
      <c r="L53" s="1">
        <v>0</v>
      </c>
      <c r="M53" s="1">
        <v>0</v>
      </c>
      <c r="N53" s="1">
        <v>4</v>
      </c>
      <c r="O53" s="1">
        <v>0</v>
      </c>
      <c r="P53" s="1">
        <v>0</v>
      </c>
      <c r="Q53" s="1">
        <v>4</v>
      </c>
      <c r="R53" s="1">
        <v>3</v>
      </c>
      <c r="S53" s="1">
        <v>0</v>
      </c>
      <c r="T53" s="1">
        <v>0</v>
      </c>
      <c r="U53" s="1">
        <v>0</v>
      </c>
      <c r="V53" s="1">
        <v>0</v>
      </c>
      <c r="W53" s="1">
        <v>0</v>
      </c>
      <c r="X53" s="1">
        <v>0</v>
      </c>
      <c r="Y53" s="1">
        <v>0</v>
      </c>
      <c r="Z53" s="1">
        <v>0</v>
      </c>
      <c r="AA53" s="1">
        <v>0</v>
      </c>
      <c r="AB53" s="1"/>
      <c r="AC53" s="1"/>
      <c r="AD53" s="1"/>
      <c r="AE53" s="1"/>
      <c r="AF53" s="1"/>
      <c r="AG53" s="1">
        <v>0</v>
      </c>
      <c r="AH53" s="1">
        <v>0</v>
      </c>
      <c r="AI53" s="1">
        <v>0</v>
      </c>
      <c r="AJ53" s="1" t="s">
        <v>21</v>
      </c>
      <c r="AK53" s="1"/>
      <c r="AL53" s="17"/>
      <c r="AM53" s="18"/>
      <c r="AN53" s="10" t="s">
        <v>82</v>
      </c>
    </row>
    <row r="54" spans="2:40" s="43" customFormat="1" ht="15" customHeight="1">
      <c r="B54" s="1">
        <f t="shared" si="0"/>
        <v>44</v>
      </c>
      <c r="C54" s="1">
        <v>0</v>
      </c>
      <c r="D54" s="1" t="s">
        <v>186</v>
      </c>
      <c r="E54" s="1" t="s">
        <v>186</v>
      </c>
      <c r="F54" s="1" t="s">
        <v>29</v>
      </c>
      <c r="G54" s="1"/>
      <c r="H54" s="1" t="s">
        <v>127</v>
      </c>
      <c r="I54" s="1" t="s">
        <v>87</v>
      </c>
      <c r="J54" s="1" t="s">
        <v>13</v>
      </c>
      <c r="K54" s="1" t="s">
        <v>62</v>
      </c>
      <c r="L54" s="1">
        <v>1</v>
      </c>
      <c r="M54" s="1">
        <v>4</v>
      </c>
      <c r="N54" s="1">
        <v>1</v>
      </c>
      <c r="O54" s="1">
        <v>4</v>
      </c>
      <c r="P54" s="1">
        <v>1</v>
      </c>
      <c r="Q54" s="1">
        <v>0</v>
      </c>
      <c r="R54" s="1"/>
      <c r="S54" s="1">
        <v>0</v>
      </c>
      <c r="T54" s="1">
        <v>4</v>
      </c>
      <c r="U54" s="1">
        <v>0</v>
      </c>
      <c r="V54" s="1">
        <v>0</v>
      </c>
      <c r="W54" s="1">
        <v>0</v>
      </c>
      <c r="X54" s="1">
        <v>0</v>
      </c>
      <c r="Y54" s="1"/>
      <c r="Z54" s="1"/>
      <c r="AA54" s="1">
        <v>0</v>
      </c>
      <c r="AB54" s="1"/>
      <c r="AC54" s="1"/>
      <c r="AD54" s="1"/>
      <c r="AE54" s="1"/>
      <c r="AF54" s="1"/>
      <c r="AG54" s="1">
        <v>0</v>
      </c>
      <c r="AH54" s="1">
        <v>0</v>
      </c>
      <c r="AI54" s="1"/>
      <c r="AJ54" s="1" t="s">
        <v>21</v>
      </c>
      <c r="AK54" s="1"/>
      <c r="AL54" s="17">
        <v>43467</v>
      </c>
      <c r="AM54" s="18" t="s">
        <v>62</v>
      </c>
      <c r="AN54" s="10" t="s">
        <v>163</v>
      </c>
    </row>
    <row r="55" spans="2:40" s="51" customFormat="1" ht="15" customHeight="1">
      <c r="B55" s="1">
        <f t="shared" si="0"/>
        <v>45</v>
      </c>
      <c r="C55" s="47">
        <v>1</v>
      </c>
      <c r="D55" s="47" t="s">
        <v>187</v>
      </c>
      <c r="E55" s="47" t="s">
        <v>347</v>
      </c>
      <c r="F55" s="47" t="s">
        <v>45</v>
      </c>
      <c r="G55" s="47" t="s">
        <v>488</v>
      </c>
      <c r="H55" s="47" t="s">
        <v>500</v>
      </c>
      <c r="I55" s="47" t="s">
        <v>85</v>
      </c>
      <c r="J55" s="47" t="s">
        <v>312</v>
      </c>
      <c r="K55" s="47" t="s">
        <v>408</v>
      </c>
      <c r="L55" s="47">
        <v>3</v>
      </c>
      <c r="M55" s="47">
        <v>2</v>
      </c>
      <c r="N55" s="47">
        <v>4</v>
      </c>
      <c r="O55" s="47">
        <v>2</v>
      </c>
      <c r="P55" s="47">
        <v>1</v>
      </c>
      <c r="Q55" s="47">
        <v>3</v>
      </c>
      <c r="R55" s="47"/>
      <c r="S55" s="47">
        <v>2</v>
      </c>
      <c r="T55" s="47">
        <v>1</v>
      </c>
      <c r="U55" s="47">
        <v>3</v>
      </c>
      <c r="V55" s="47">
        <v>3</v>
      </c>
      <c r="W55" s="47"/>
      <c r="X55" s="1"/>
      <c r="Y55" s="47">
        <v>4</v>
      </c>
      <c r="Z55" s="47">
        <v>3</v>
      </c>
      <c r="AA55" s="1"/>
      <c r="AB55" s="1"/>
      <c r="AC55" s="1"/>
      <c r="AD55" s="1"/>
      <c r="AE55" s="1">
        <v>3</v>
      </c>
      <c r="AF55" s="1"/>
      <c r="AG55" s="1"/>
      <c r="AH55" s="1">
        <v>0</v>
      </c>
      <c r="AI55" s="1">
        <v>0</v>
      </c>
      <c r="AJ55" s="47" t="s">
        <v>21</v>
      </c>
      <c r="AK55" s="47" t="s">
        <v>21</v>
      </c>
      <c r="AL55" s="17" t="s">
        <v>531</v>
      </c>
      <c r="AM55" s="49" t="s">
        <v>410</v>
      </c>
      <c r="AN55" s="61" t="s">
        <v>495</v>
      </c>
    </row>
    <row r="56" spans="2:40" s="51" customFormat="1" ht="15" customHeight="1">
      <c r="B56" s="71">
        <f t="shared" si="0"/>
        <v>46</v>
      </c>
      <c r="C56" s="72">
        <v>0</v>
      </c>
      <c r="D56" s="72" t="s">
        <v>187</v>
      </c>
      <c r="E56" s="72" t="s">
        <v>347</v>
      </c>
      <c r="F56" s="72" t="s">
        <v>45</v>
      </c>
      <c r="G56" s="72" t="s">
        <v>140</v>
      </c>
      <c r="H56" s="72" t="s">
        <v>444</v>
      </c>
      <c r="I56" s="72" t="s">
        <v>85</v>
      </c>
      <c r="J56" s="72" t="s">
        <v>312</v>
      </c>
      <c r="K56" s="72" t="s">
        <v>408</v>
      </c>
      <c r="L56" s="47">
        <v>3</v>
      </c>
      <c r="M56" s="47">
        <v>2</v>
      </c>
      <c r="N56" s="47">
        <v>4</v>
      </c>
      <c r="O56" s="47">
        <v>2</v>
      </c>
      <c r="P56" s="47">
        <v>1</v>
      </c>
      <c r="Q56" s="47">
        <v>3</v>
      </c>
      <c r="R56" s="47"/>
      <c r="S56" s="47">
        <v>2</v>
      </c>
      <c r="T56" s="47">
        <v>1</v>
      </c>
      <c r="U56" s="47">
        <v>3</v>
      </c>
      <c r="V56" s="47">
        <v>3</v>
      </c>
      <c r="W56" s="47"/>
      <c r="X56" s="1"/>
      <c r="Y56" s="47">
        <v>4</v>
      </c>
      <c r="Z56" s="47">
        <v>3</v>
      </c>
      <c r="AA56" s="1"/>
      <c r="AB56" s="1"/>
      <c r="AC56" s="1"/>
      <c r="AD56" s="1"/>
      <c r="AE56" s="1">
        <v>3</v>
      </c>
      <c r="AF56" s="1"/>
      <c r="AG56" s="1"/>
      <c r="AH56" s="1">
        <v>0</v>
      </c>
      <c r="AI56" s="1"/>
      <c r="AJ56" s="47" t="s">
        <v>21</v>
      </c>
      <c r="AK56" s="47" t="s">
        <v>21</v>
      </c>
      <c r="AL56" s="48" t="s">
        <v>411</v>
      </c>
      <c r="AM56" s="49" t="s">
        <v>410</v>
      </c>
      <c r="AN56" s="50" t="s">
        <v>413</v>
      </c>
    </row>
    <row r="57" spans="2:40" s="43" customFormat="1" ht="15" customHeight="1">
      <c r="B57" s="1">
        <f t="shared" si="0"/>
        <v>47</v>
      </c>
      <c r="C57" s="44">
        <v>0</v>
      </c>
      <c r="D57" s="44" t="s">
        <v>402</v>
      </c>
      <c r="E57" s="44" t="s">
        <v>403</v>
      </c>
      <c r="F57" s="44" t="s">
        <v>404</v>
      </c>
      <c r="G57" s="44" t="s">
        <v>303</v>
      </c>
      <c r="H57" s="44" t="s">
        <v>313</v>
      </c>
      <c r="I57" s="44" t="s">
        <v>85</v>
      </c>
      <c r="J57" s="44" t="s">
        <v>312</v>
      </c>
      <c r="K57" s="44" t="s">
        <v>408</v>
      </c>
      <c r="L57" s="44">
        <v>3</v>
      </c>
      <c r="M57" s="44">
        <v>2</v>
      </c>
      <c r="N57" s="44">
        <v>4</v>
      </c>
      <c r="O57" s="44">
        <v>2</v>
      </c>
      <c r="P57" s="44">
        <v>1</v>
      </c>
      <c r="Q57" s="44">
        <v>3</v>
      </c>
      <c r="R57" s="44"/>
      <c r="S57" s="44">
        <v>2</v>
      </c>
      <c r="T57" s="44">
        <v>1</v>
      </c>
      <c r="U57" s="44">
        <v>3</v>
      </c>
      <c r="V57" s="44">
        <v>3</v>
      </c>
      <c r="W57" s="44"/>
      <c r="X57" s="44"/>
      <c r="Y57" s="44">
        <v>4</v>
      </c>
      <c r="Z57" s="44">
        <v>3</v>
      </c>
      <c r="AA57" s="44"/>
      <c r="AB57" s="44"/>
      <c r="AC57" s="44"/>
      <c r="AD57" s="44"/>
      <c r="AE57" s="44">
        <v>0</v>
      </c>
      <c r="AF57" s="44"/>
      <c r="AG57" s="1"/>
      <c r="AH57" s="1">
        <v>0</v>
      </c>
      <c r="AI57" s="1"/>
      <c r="AJ57" s="44" t="s">
        <v>21</v>
      </c>
      <c r="AK57" s="44" t="s">
        <v>21</v>
      </c>
      <c r="AL57" s="45">
        <v>44133</v>
      </c>
      <c r="AM57" s="44" t="s">
        <v>330</v>
      </c>
      <c r="AN57" s="46" t="s">
        <v>529</v>
      </c>
    </row>
    <row r="58" spans="2:40" s="51" customFormat="1" ht="15" customHeight="1">
      <c r="B58" s="1">
        <f t="shared" si="0"/>
        <v>48</v>
      </c>
      <c r="C58" s="47">
        <v>1</v>
      </c>
      <c r="D58" s="47" t="s">
        <v>187</v>
      </c>
      <c r="E58" s="47" t="s">
        <v>347</v>
      </c>
      <c r="F58" s="47" t="s">
        <v>504</v>
      </c>
      <c r="G58" s="47"/>
      <c r="H58" s="47" t="s">
        <v>139</v>
      </c>
      <c r="I58" s="47" t="s">
        <v>87</v>
      </c>
      <c r="J58" s="47" t="s">
        <v>312</v>
      </c>
      <c r="K58" s="47" t="s">
        <v>408</v>
      </c>
      <c r="L58" s="47">
        <v>2</v>
      </c>
      <c r="M58" s="47">
        <v>1</v>
      </c>
      <c r="N58" s="47">
        <v>4</v>
      </c>
      <c r="O58" s="47">
        <v>2</v>
      </c>
      <c r="P58" s="47">
        <v>1</v>
      </c>
      <c r="Q58" s="47">
        <v>3</v>
      </c>
      <c r="R58" s="47"/>
      <c r="S58" s="47">
        <v>1</v>
      </c>
      <c r="T58" s="47">
        <v>1</v>
      </c>
      <c r="U58" s="47">
        <v>4</v>
      </c>
      <c r="V58" s="47">
        <v>2</v>
      </c>
      <c r="W58" s="47"/>
      <c r="X58" s="1"/>
      <c r="Y58" s="47">
        <v>4</v>
      </c>
      <c r="Z58" s="47">
        <v>3</v>
      </c>
      <c r="AA58" s="1"/>
      <c r="AB58" s="1"/>
      <c r="AC58" s="1"/>
      <c r="AD58" s="1"/>
      <c r="AE58" s="1">
        <v>3</v>
      </c>
      <c r="AF58" s="1"/>
      <c r="AG58" s="1"/>
      <c r="AH58" s="1">
        <v>0</v>
      </c>
      <c r="AI58" s="1">
        <v>0</v>
      </c>
      <c r="AJ58" s="47" t="s">
        <v>21</v>
      </c>
      <c r="AK58" s="47" t="s">
        <v>21</v>
      </c>
      <c r="AL58" s="17" t="s">
        <v>505</v>
      </c>
      <c r="AM58" s="49" t="s">
        <v>410</v>
      </c>
      <c r="AN58" s="61" t="s">
        <v>503</v>
      </c>
    </row>
    <row r="59" spans="2:40" s="43" customFormat="1" ht="15" customHeight="1">
      <c r="B59" s="1">
        <f t="shared" si="0"/>
        <v>49</v>
      </c>
      <c r="C59" s="1">
        <v>0</v>
      </c>
      <c r="D59" s="1" t="s">
        <v>185</v>
      </c>
      <c r="E59" s="1" t="s">
        <v>196</v>
      </c>
      <c r="F59" s="1" t="s">
        <v>43</v>
      </c>
      <c r="G59" s="1"/>
      <c r="H59" s="1" t="s">
        <v>198</v>
      </c>
      <c r="I59" s="1" t="s">
        <v>86</v>
      </c>
      <c r="J59" s="1" t="s">
        <v>11</v>
      </c>
      <c r="K59" s="1" t="s">
        <v>62</v>
      </c>
      <c r="L59" s="1">
        <v>4</v>
      </c>
      <c r="M59" s="1">
        <v>4</v>
      </c>
      <c r="N59" s="1">
        <v>0</v>
      </c>
      <c r="O59" s="1">
        <v>0</v>
      </c>
      <c r="P59" s="1">
        <v>0</v>
      </c>
      <c r="Q59" s="1">
        <v>0</v>
      </c>
      <c r="R59" s="1"/>
      <c r="S59" s="1">
        <v>0</v>
      </c>
      <c r="T59" s="1">
        <v>4</v>
      </c>
      <c r="U59" s="1">
        <v>0</v>
      </c>
      <c r="V59" s="1">
        <v>0</v>
      </c>
      <c r="W59" s="1">
        <v>0</v>
      </c>
      <c r="X59" s="1">
        <v>0</v>
      </c>
      <c r="Y59" s="1"/>
      <c r="Z59" s="1"/>
      <c r="AA59" s="1">
        <v>0</v>
      </c>
      <c r="AB59" s="1"/>
      <c r="AC59" s="1"/>
      <c r="AD59" s="1"/>
      <c r="AE59" s="1"/>
      <c r="AF59" s="1"/>
      <c r="AG59" s="1">
        <v>0</v>
      </c>
      <c r="AH59" s="1">
        <v>0</v>
      </c>
      <c r="AI59" s="1"/>
      <c r="AJ59" s="1" t="s">
        <v>32</v>
      </c>
      <c r="AK59" s="1"/>
      <c r="AL59" s="17"/>
      <c r="AM59" s="18"/>
      <c r="AN59" s="10"/>
    </row>
    <row r="60" spans="2:40" s="43" customFormat="1" ht="15" customHeight="1">
      <c r="B60" s="1">
        <f t="shared" si="0"/>
        <v>50</v>
      </c>
      <c r="C60" s="1">
        <v>0</v>
      </c>
      <c r="D60" s="1" t="s">
        <v>185</v>
      </c>
      <c r="E60" s="1" t="s">
        <v>196</v>
      </c>
      <c r="F60" s="1" t="s">
        <v>43</v>
      </c>
      <c r="G60" s="1"/>
      <c r="H60" s="1" t="s">
        <v>35</v>
      </c>
      <c r="I60" s="1" t="s">
        <v>85</v>
      </c>
      <c r="J60" s="1" t="s">
        <v>11</v>
      </c>
      <c r="K60" s="1" t="s">
        <v>62</v>
      </c>
      <c r="L60" s="1">
        <v>4</v>
      </c>
      <c r="M60" s="1">
        <v>4</v>
      </c>
      <c r="N60" s="1">
        <v>0</v>
      </c>
      <c r="O60" s="1">
        <v>0</v>
      </c>
      <c r="P60" s="1">
        <v>0</v>
      </c>
      <c r="Q60" s="1">
        <v>0</v>
      </c>
      <c r="R60" s="1"/>
      <c r="S60" s="1">
        <v>0</v>
      </c>
      <c r="T60" s="1">
        <v>1</v>
      </c>
      <c r="U60" s="1">
        <v>0</v>
      </c>
      <c r="V60" s="1">
        <v>0</v>
      </c>
      <c r="W60" s="1">
        <v>0</v>
      </c>
      <c r="X60" s="1">
        <v>0</v>
      </c>
      <c r="Y60" s="1"/>
      <c r="Z60" s="1"/>
      <c r="AA60" s="1">
        <v>0</v>
      </c>
      <c r="AB60" s="1"/>
      <c r="AC60" s="1"/>
      <c r="AD60" s="1"/>
      <c r="AE60" s="1"/>
      <c r="AF60" s="1"/>
      <c r="AG60" s="1">
        <v>0</v>
      </c>
      <c r="AH60" s="1">
        <v>1</v>
      </c>
      <c r="AI60" s="1"/>
      <c r="AJ60" s="1" t="s">
        <v>32</v>
      </c>
      <c r="AK60" s="1"/>
      <c r="AL60" s="17"/>
      <c r="AM60" s="18"/>
      <c r="AN60" s="10"/>
    </row>
    <row r="61" spans="2:40" s="43" customFormat="1" ht="15" customHeight="1">
      <c r="B61" s="1">
        <f t="shared" si="0"/>
        <v>51</v>
      </c>
      <c r="C61" s="1">
        <v>1</v>
      </c>
      <c r="D61" s="1" t="s">
        <v>220</v>
      </c>
      <c r="E61" s="1" t="s">
        <v>196</v>
      </c>
      <c r="F61" s="1" t="s">
        <v>113</v>
      </c>
      <c r="G61" s="1"/>
      <c r="H61" s="1" t="s">
        <v>192</v>
      </c>
      <c r="I61" s="1" t="s">
        <v>85</v>
      </c>
      <c r="J61" s="1" t="s">
        <v>486</v>
      </c>
      <c r="K61" s="1" t="s">
        <v>62</v>
      </c>
      <c r="L61" s="1">
        <v>4</v>
      </c>
      <c r="M61" s="1">
        <v>4</v>
      </c>
      <c r="N61" s="1">
        <v>0</v>
      </c>
      <c r="O61" s="1">
        <v>0</v>
      </c>
      <c r="P61" s="1">
        <v>0</v>
      </c>
      <c r="Q61" s="1">
        <v>0</v>
      </c>
      <c r="R61" s="1"/>
      <c r="S61" s="1">
        <v>0</v>
      </c>
      <c r="T61" s="1">
        <v>4</v>
      </c>
      <c r="U61" s="1">
        <v>0</v>
      </c>
      <c r="V61" s="1">
        <v>0</v>
      </c>
      <c r="W61" s="1">
        <v>0</v>
      </c>
      <c r="X61" s="1">
        <v>0</v>
      </c>
      <c r="Y61" s="1"/>
      <c r="Z61" s="1"/>
      <c r="AA61" s="1">
        <v>0</v>
      </c>
      <c r="AB61" s="1"/>
      <c r="AC61" s="1"/>
      <c r="AD61" s="1"/>
      <c r="AE61" s="1"/>
      <c r="AF61" s="1"/>
      <c r="AG61" s="1">
        <v>0</v>
      </c>
      <c r="AH61" s="1">
        <v>4</v>
      </c>
      <c r="AI61" s="1">
        <v>3</v>
      </c>
      <c r="AJ61" s="1" t="s">
        <v>21</v>
      </c>
      <c r="AK61" s="1" t="s">
        <v>21</v>
      </c>
      <c r="AL61" s="17"/>
      <c r="AM61" s="18"/>
      <c r="AN61" s="10"/>
    </row>
    <row r="62" spans="2:40" s="43" customFormat="1" ht="15" customHeight="1">
      <c r="B62" s="1">
        <f t="shared" si="0"/>
        <v>52</v>
      </c>
      <c r="C62" s="1">
        <v>0</v>
      </c>
      <c r="D62" s="1" t="s">
        <v>185</v>
      </c>
      <c r="E62" s="1" t="s">
        <v>196</v>
      </c>
      <c r="F62" s="1" t="s">
        <v>43</v>
      </c>
      <c r="G62" s="1"/>
      <c r="H62" s="1" t="s">
        <v>40</v>
      </c>
      <c r="I62" s="1" t="s">
        <v>85</v>
      </c>
      <c r="J62" s="1" t="s">
        <v>11</v>
      </c>
      <c r="K62" s="1" t="s">
        <v>62</v>
      </c>
      <c r="L62" s="1">
        <v>4</v>
      </c>
      <c r="M62" s="1">
        <v>4</v>
      </c>
      <c r="N62" s="1">
        <v>0</v>
      </c>
      <c r="O62" s="1">
        <v>0</v>
      </c>
      <c r="P62" s="1">
        <v>0</v>
      </c>
      <c r="Q62" s="1">
        <v>0</v>
      </c>
      <c r="R62" s="1"/>
      <c r="S62" s="1">
        <v>0</v>
      </c>
      <c r="T62" s="1">
        <v>1</v>
      </c>
      <c r="U62" s="1">
        <v>0</v>
      </c>
      <c r="V62" s="1">
        <v>0</v>
      </c>
      <c r="W62" s="1">
        <v>0</v>
      </c>
      <c r="X62" s="1">
        <v>0</v>
      </c>
      <c r="Y62" s="1"/>
      <c r="Z62" s="1"/>
      <c r="AA62" s="1">
        <v>0</v>
      </c>
      <c r="AB62" s="1"/>
      <c r="AC62" s="1"/>
      <c r="AD62" s="1"/>
      <c r="AE62" s="1"/>
      <c r="AF62" s="1"/>
      <c r="AG62" s="1">
        <v>0</v>
      </c>
      <c r="AH62" s="1">
        <v>2</v>
      </c>
      <c r="AI62" s="1"/>
      <c r="AJ62" s="1" t="s">
        <v>32</v>
      </c>
      <c r="AK62" s="1"/>
      <c r="AL62" s="17"/>
      <c r="AM62" s="18"/>
      <c r="AN62" s="10"/>
    </row>
    <row r="63" spans="2:40" s="43" customFormat="1" ht="15" customHeight="1">
      <c r="B63" s="1">
        <f t="shared" si="0"/>
        <v>53</v>
      </c>
      <c r="C63" s="1">
        <v>1</v>
      </c>
      <c r="D63" s="1" t="s">
        <v>212</v>
      </c>
      <c r="E63" s="1" t="s">
        <v>91</v>
      </c>
      <c r="F63" s="1" t="s">
        <v>92</v>
      </c>
      <c r="G63" s="1" t="s">
        <v>92</v>
      </c>
      <c r="H63" s="1" t="s">
        <v>93</v>
      </c>
      <c r="I63" s="1" t="s">
        <v>85</v>
      </c>
      <c r="J63" s="1" t="s">
        <v>170</v>
      </c>
      <c r="K63" s="1" t="s">
        <v>452</v>
      </c>
      <c r="L63" s="1">
        <v>0</v>
      </c>
      <c r="M63" s="1">
        <v>0</v>
      </c>
      <c r="N63" s="1">
        <v>0</v>
      </c>
      <c r="O63" s="1">
        <v>0</v>
      </c>
      <c r="P63" s="1">
        <v>0</v>
      </c>
      <c r="Q63" s="1">
        <v>0</v>
      </c>
      <c r="R63" s="1"/>
      <c r="S63" s="1">
        <v>4</v>
      </c>
      <c r="T63" s="1">
        <v>0</v>
      </c>
      <c r="U63" s="1">
        <v>0</v>
      </c>
      <c r="V63" s="1">
        <v>2</v>
      </c>
      <c r="W63" s="1">
        <v>4</v>
      </c>
      <c r="X63" s="1">
        <v>0</v>
      </c>
      <c r="Y63" s="1"/>
      <c r="Z63" s="1"/>
      <c r="AA63" s="1">
        <v>0</v>
      </c>
      <c r="AB63" s="1"/>
      <c r="AC63" s="1"/>
      <c r="AD63" s="1"/>
      <c r="AE63" s="1"/>
      <c r="AF63" s="1">
        <v>4</v>
      </c>
      <c r="AG63" s="1">
        <v>3</v>
      </c>
      <c r="AH63" s="1">
        <v>0</v>
      </c>
      <c r="AI63" s="1">
        <v>0</v>
      </c>
      <c r="AJ63" s="1" t="s">
        <v>21</v>
      </c>
      <c r="AK63" s="1" t="s">
        <v>21</v>
      </c>
      <c r="AL63" s="17">
        <v>43369</v>
      </c>
      <c r="AM63" s="18" t="s">
        <v>12</v>
      </c>
      <c r="AN63" s="10"/>
    </row>
    <row r="64" spans="2:40" s="43" customFormat="1" ht="15" customHeight="1">
      <c r="B64" s="1">
        <f t="shared" si="0"/>
        <v>54</v>
      </c>
      <c r="C64" s="1">
        <v>0</v>
      </c>
      <c r="D64" s="1" t="s">
        <v>186</v>
      </c>
      <c r="E64" s="1" t="s">
        <v>186</v>
      </c>
      <c r="F64" s="1" t="s">
        <v>29</v>
      </c>
      <c r="G64" s="1"/>
      <c r="H64" s="1" t="s">
        <v>123</v>
      </c>
      <c r="I64" s="1" t="s">
        <v>85</v>
      </c>
      <c r="J64" s="1" t="s">
        <v>13</v>
      </c>
      <c r="K64" s="1" t="s">
        <v>62</v>
      </c>
      <c r="L64" s="1">
        <v>1</v>
      </c>
      <c r="M64" s="1">
        <v>3</v>
      </c>
      <c r="N64" s="1">
        <v>1</v>
      </c>
      <c r="O64" s="1">
        <v>4</v>
      </c>
      <c r="P64" s="1">
        <v>1</v>
      </c>
      <c r="Q64" s="1">
        <v>0</v>
      </c>
      <c r="R64" s="1"/>
      <c r="S64" s="1">
        <v>0</v>
      </c>
      <c r="T64" s="1">
        <v>4</v>
      </c>
      <c r="U64" s="1">
        <v>0</v>
      </c>
      <c r="V64" s="1">
        <v>0</v>
      </c>
      <c r="W64" s="1">
        <v>0</v>
      </c>
      <c r="X64" s="1">
        <v>0</v>
      </c>
      <c r="Y64" s="1"/>
      <c r="Z64" s="1"/>
      <c r="AA64" s="1">
        <v>0</v>
      </c>
      <c r="AB64" s="1"/>
      <c r="AC64" s="1"/>
      <c r="AD64" s="1"/>
      <c r="AE64" s="1"/>
      <c r="AF64" s="1"/>
      <c r="AG64" s="1">
        <v>0</v>
      </c>
      <c r="AH64" s="1">
        <v>1</v>
      </c>
      <c r="AI64" s="1"/>
      <c r="AJ64" s="1" t="s">
        <v>21</v>
      </c>
      <c r="AK64" s="1"/>
      <c r="AL64" s="17">
        <v>43467</v>
      </c>
      <c r="AM64" s="18" t="s">
        <v>62</v>
      </c>
      <c r="AN64" s="10" t="s">
        <v>163</v>
      </c>
    </row>
    <row r="65" spans="2:40" s="43" customFormat="1" ht="15" customHeight="1">
      <c r="B65" s="1">
        <f t="shared" si="0"/>
        <v>55</v>
      </c>
      <c r="C65" s="1">
        <v>0</v>
      </c>
      <c r="D65" s="1" t="s">
        <v>186</v>
      </c>
      <c r="E65" s="1" t="s">
        <v>186</v>
      </c>
      <c r="F65" s="1" t="s">
        <v>29</v>
      </c>
      <c r="G65" s="1"/>
      <c r="H65" s="1" t="s">
        <v>126</v>
      </c>
      <c r="I65" s="1" t="s">
        <v>85</v>
      </c>
      <c r="J65" s="1" t="s">
        <v>13</v>
      </c>
      <c r="K65" s="1" t="s">
        <v>62</v>
      </c>
      <c r="L65" s="1">
        <v>1</v>
      </c>
      <c r="M65" s="1">
        <v>3</v>
      </c>
      <c r="N65" s="1">
        <v>1</v>
      </c>
      <c r="O65" s="1">
        <v>4</v>
      </c>
      <c r="P65" s="1">
        <v>1</v>
      </c>
      <c r="Q65" s="1">
        <v>0</v>
      </c>
      <c r="R65" s="1"/>
      <c r="S65" s="1">
        <v>0</v>
      </c>
      <c r="T65" s="1">
        <v>4</v>
      </c>
      <c r="U65" s="1">
        <v>0</v>
      </c>
      <c r="V65" s="1">
        <v>0</v>
      </c>
      <c r="W65" s="1">
        <v>0</v>
      </c>
      <c r="X65" s="1">
        <v>0</v>
      </c>
      <c r="Y65" s="1"/>
      <c r="Z65" s="1"/>
      <c r="AA65" s="1">
        <v>0</v>
      </c>
      <c r="AB65" s="1"/>
      <c r="AC65" s="1"/>
      <c r="AD65" s="1"/>
      <c r="AE65" s="1"/>
      <c r="AF65" s="1"/>
      <c r="AG65" s="1">
        <v>0</v>
      </c>
      <c r="AH65" s="1">
        <v>1</v>
      </c>
      <c r="AI65" s="1"/>
      <c r="AJ65" s="1" t="s">
        <v>21</v>
      </c>
      <c r="AK65" s="1"/>
      <c r="AL65" s="17">
        <v>43467</v>
      </c>
      <c r="AM65" s="18" t="s">
        <v>62</v>
      </c>
      <c r="AN65" s="10" t="s">
        <v>163</v>
      </c>
    </row>
    <row r="66" spans="2:40" s="43" customFormat="1" ht="15" customHeight="1">
      <c r="B66" s="1">
        <f t="shared" si="0"/>
        <v>56</v>
      </c>
      <c r="C66" s="1">
        <v>0</v>
      </c>
      <c r="D66" s="1" t="s">
        <v>186</v>
      </c>
      <c r="E66" s="1" t="s">
        <v>186</v>
      </c>
      <c r="F66" s="1" t="s">
        <v>29</v>
      </c>
      <c r="G66" s="1"/>
      <c r="H66" s="1" t="s">
        <v>125</v>
      </c>
      <c r="I66" s="1" t="s">
        <v>85</v>
      </c>
      <c r="J66" s="1" t="s">
        <v>13</v>
      </c>
      <c r="K66" s="1" t="s">
        <v>62</v>
      </c>
      <c r="L66" s="1">
        <v>1</v>
      </c>
      <c r="M66" s="1">
        <v>3</v>
      </c>
      <c r="N66" s="1">
        <v>1</v>
      </c>
      <c r="O66" s="1">
        <v>4</v>
      </c>
      <c r="P66" s="1">
        <v>1</v>
      </c>
      <c r="Q66" s="1">
        <v>0</v>
      </c>
      <c r="R66" s="1"/>
      <c r="S66" s="1">
        <v>0</v>
      </c>
      <c r="T66" s="1">
        <v>4</v>
      </c>
      <c r="U66" s="1">
        <v>0</v>
      </c>
      <c r="V66" s="1">
        <v>0</v>
      </c>
      <c r="W66" s="1">
        <v>0</v>
      </c>
      <c r="X66" s="1">
        <v>0</v>
      </c>
      <c r="Y66" s="1"/>
      <c r="Z66" s="1"/>
      <c r="AA66" s="1">
        <v>0</v>
      </c>
      <c r="AB66" s="1"/>
      <c r="AC66" s="1"/>
      <c r="AD66" s="1"/>
      <c r="AE66" s="1"/>
      <c r="AF66" s="1"/>
      <c r="AG66" s="1">
        <v>0</v>
      </c>
      <c r="AH66" s="1">
        <v>1</v>
      </c>
      <c r="AI66" s="1"/>
      <c r="AJ66" s="1" t="s">
        <v>21</v>
      </c>
      <c r="AK66" s="1"/>
      <c r="AL66" s="17">
        <v>43467</v>
      </c>
      <c r="AM66" s="18" t="s">
        <v>62</v>
      </c>
      <c r="AN66" s="10" t="s">
        <v>163</v>
      </c>
    </row>
    <row r="67" spans="2:40" s="43" customFormat="1" ht="15" customHeight="1">
      <c r="B67" s="1">
        <f t="shared" si="0"/>
        <v>57</v>
      </c>
      <c r="C67" s="1">
        <v>0</v>
      </c>
      <c r="D67" s="1" t="s">
        <v>186</v>
      </c>
      <c r="E67" s="1" t="s">
        <v>186</v>
      </c>
      <c r="F67" s="1" t="s">
        <v>29</v>
      </c>
      <c r="G67" s="1"/>
      <c r="H67" s="1" t="s">
        <v>153</v>
      </c>
      <c r="I67" s="1" t="s">
        <v>87</v>
      </c>
      <c r="J67" s="1" t="s">
        <v>13</v>
      </c>
      <c r="K67" s="1" t="s">
        <v>62</v>
      </c>
      <c r="L67" s="1">
        <v>1</v>
      </c>
      <c r="M67" s="1">
        <v>1</v>
      </c>
      <c r="N67" s="1">
        <v>1</v>
      </c>
      <c r="O67" s="1">
        <v>4</v>
      </c>
      <c r="P67" s="1">
        <v>1</v>
      </c>
      <c r="Q67" s="1">
        <v>0</v>
      </c>
      <c r="R67" s="1"/>
      <c r="S67" s="1">
        <v>0</v>
      </c>
      <c r="T67" s="1">
        <v>3</v>
      </c>
      <c r="U67" s="1">
        <v>0</v>
      </c>
      <c r="V67" s="1">
        <v>0</v>
      </c>
      <c r="W67" s="1">
        <v>0</v>
      </c>
      <c r="X67" s="1">
        <v>0</v>
      </c>
      <c r="Y67" s="1"/>
      <c r="Z67" s="1"/>
      <c r="AA67" s="1">
        <v>0</v>
      </c>
      <c r="AB67" s="1"/>
      <c r="AC67" s="1"/>
      <c r="AD67" s="1"/>
      <c r="AE67" s="1"/>
      <c r="AF67" s="1"/>
      <c r="AG67" s="1">
        <v>0</v>
      </c>
      <c r="AH67" s="1">
        <v>1</v>
      </c>
      <c r="AI67" s="1"/>
      <c r="AJ67" s="1" t="s">
        <v>21</v>
      </c>
      <c r="AK67" s="1"/>
      <c r="AL67" s="17"/>
      <c r="AM67" s="18"/>
      <c r="AN67" s="10" t="s">
        <v>163</v>
      </c>
    </row>
    <row r="68" spans="2:40" s="43" customFormat="1" ht="15" customHeight="1">
      <c r="B68" s="1">
        <f t="shared" si="0"/>
        <v>58</v>
      </c>
      <c r="C68" s="1">
        <v>1</v>
      </c>
      <c r="D68" s="1" t="s">
        <v>212</v>
      </c>
      <c r="E68" s="1" t="s">
        <v>91</v>
      </c>
      <c r="F68" s="1" t="s">
        <v>98</v>
      </c>
      <c r="G68" s="1" t="s">
        <v>98</v>
      </c>
      <c r="H68" s="1" t="s">
        <v>100</v>
      </c>
      <c r="I68" s="1" t="s">
        <v>85</v>
      </c>
      <c r="J68" s="1" t="s">
        <v>170</v>
      </c>
      <c r="K68" s="1" t="s">
        <v>452</v>
      </c>
      <c r="L68" s="1">
        <v>0</v>
      </c>
      <c r="M68" s="1">
        <v>0</v>
      </c>
      <c r="N68" s="1">
        <v>0</v>
      </c>
      <c r="O68" s="1">
        <v>0</v>
      </c>
      <c r="P68" s="1">
        <v>0</v>
      </c>
      <c r="Q68" s="1">
        <v>0</v>
      </c>
      <c r="R68" s="1"/>
      <c r="S68" s="1">
        <v>4</v>
      </c>
      <c r="T68" s="1">
        <v>0</v>
      </c>
      <c r="U68" s="1">
        <v>0</v>
      </c>
      <c r="V68" s="1">
        <v>2</v>
      </c>
      <c r="W68" s="1">
        <v>4</v>
      </c>
      <c r="X68" s="1">
        <v>0</v>
      </c>
      <c r="Y68" s="1"/>
      <c r="Z68" s="1"/>
      <c r="AA68" s="1">
        <v>0</v>
      </c>
      <c r="AB68" s="1"/>
      <c r="AC68" s="1"/>
      <c r="AD68" s="1"/>
      <c r="AE68" s="1"/>
      <c r="AF68" s="1">
        <v>4</v>
      </c>
      <c r="AG68" s="1">
        <v>3</v>
      </c>
      <c r="AH68" s="1">
        <v>0</v>
      </c>
      <c r="AI68" s="1">
        <v>0</v>
      </c>
      <c r="AJ68" s="1" t="s">
        <v>21</v>
      </c>
      <c r="AK68" s="1" t="s">
        <v>21</v>
      </c>
      <c r="AL68" s="17">
        <v>43369</v>
      </c>
      <c r="AM68" s="18" t="s">
        <v>12</v>
      </c>
      <c r="AN68" s="10"/>
    </row>
    <row r="69" spans="2:40" s="43" customFormat="1" ht="15" customHeight="1">
      <c r="B69" s="1">
        <f t="shared" si="0"/>
        <v>59</v>
      </c>
      <c r="C69" s="1">
        <v>1</v>
      </c>
      <c r="D69" s="1" t="s">
        <v>212</v>
      </c>
      <c r="E69" s="1" t="s">
        <v>91</v>
      </c>
      <c r="F69" s="1" t="s">
        <v>98</v>
      </c>
      <c r="G69" s="1" t="s">
        <v>98</v>
      </c>
      <c r="H69" s="1" t="s">
        <v>99</v>
      </c>
      <c r="I69" s="1" t="s">
        <v>85</v>
      </c>
      <c r="J69" s="1" t="s">
        <v>170</v>
      </c>
      <c r="K69" s="1" t="s">
        <v>452</v>
      </c>
      <c r="L69" s="1">
        <v>0</v>
      </c>
      <c r="M69" s="1">
        <v>0</v>
      </c>
      <c r="N69" s="1">
        <v>0</v>
      </c>
      <c r="O69" s="1">
        <v>0</v>
      </c>
      <c r="P69" s="1">
        <v>0</v>
      </c>
      <c r="Q69" s="1">
        <v>0</v>
      </c>
      <c r="R69" s="1"/>
      <c r="S69" s="1">
        <v>4</v>
      </c>
      <c r="T69" s="1">
        <v>0</v>
      </c>
      <c r="U69" s="1">
        <v>0</v>
      </c>
      <c r="V69" s="1">
        <v>2</v>
      </c>
      <c r="W69" s="1">
        <v>4</v>
      </c>
      <c r="X69" s="1">
        <v>0</v>
      </c>
      <c r="Y69" s="1"/>
      <c r="Z69" s="1"/>
      <c r="AA69" s="1">
        <v>0</v>
      </c>
      <c r="AB69" s="1"/>
      <c r="AC69" s="1"/>
      <c r="AD69" s="1"/>
      <c r="AE69" s="1"/>
      <c r="AF69" s="1">
        <v>4</v>
      </c>
      <c r="AG69" s="1">
        <v>3</v>
      </c>
      <c r="AH69" s="1">
        <v>0</v>
      </c>
      <c r="AI69" s="1">
        <v>0</v>
      </c>
      <c r="AJ69" s="1" t="s">
        <v>21</v>
      </c>
      <c r="AK69" s="1" t="s">
        <v>21</v>
      </c>
      <c r="AL69" s="17">
        <v>43369</v>
      </c>
      <c r="AM69" s="18" t="s">
        <v>12</v>
      </c>
      <c r="AN69" s="10"/>
    </row>
    <row r="70" spans="2:40" s="43" customFormat="1" ht="15" customHeight="1">
      <c r="B70" s="1">
        <f t="shared" si="0"/>
        <v>60</v>
      </c>
      <c r="C70" s="1">
        <v>1</v>
      </c>
      <c r="D70" s="1" t="s">
        <v>212</v>
      </c>
      <c r="E70" s="1" t="s">
        <v>91</v>
      </c>
      <c r="F70" s="1" t="s">
        <v>96</v>
      </c>
      <c r="G70" s="1" t="s">
        <v>96</v>
      </c>
      <c r="H70" s="1" t="s">
        <v>97</v>
      </c>
      <c r="I70" s="1" t="s">
        <v>85</v>
      </c>
      <c r="J70" s="1" t="s">
        <v>170</v>
      </c>
      <c r="K70" s="1" t="s">
        <v>452</v>
      </c>
      <c r="L70" s="1">
        <v>0</v>
      </c>
      <c r="M70" s="1">
        <v>0</v>
      </c>
      <c r="N70" s="1">
        <v>0</v>
      </c>
      <c r="O70" s="1">
        <v>0</v>
      </c>
      <c r="P70" s="1">
        <v>0</v>
      </c>
      <c r="Q70" s="1">
        <v>0</v>
      </c>
      <c r="R70" s="1"/>
      <c r="S70" s="1">
        <v>4</v>
      </c>
      <c r="T70" s="1">
        <v>0</v>
      </c>
      <c r="U70" s="1">
        <v>0</v>
      </c>
      <c r="V70" s="1">
        <v>2</v>
      </c>
      <c r="W70" s="1">
        <v>4</v>
      </c>
      <c r="X70" s="1">
        <v>0</v>
      </c>
      <c r="Y70" s="1"/>
      <c r="Z70" s="1"/>
      <c r="AA70" s="1">
        <v>0</v>
      </c>
      <c r="AB70" s="1"/>
      <c r="AC70" s="1"/>
      <c r="AD70" s="1"/>
      <c r="AE70" s="1"/>
      <c r="AF70" s="1">
        <v>4</v>
      </c>
      <c r="AG70" s="1">
        <v>1</v>
      </c>
      <c r="AH70" s="1">
        <v>0</v>
      </c>
      <c r="AI70" s="1">
        <v>0</v>
      </c>
      <c r="AJ70" s="1" t="s">
        <v>21</v>
      </c>
      <c r="AK70" s="1" t="s">
        <v>21</v>
      </c>
      <c r="AL70" s="17">
        <v>43369</v>
      </c>
      <c r="AM70" s="18" t="s">
        <v>12</v>
      </c>
      <c r="AN70" s="10"/>
    </row>
    <row r="71" spans="2:40" s="43" customFormat="1" ht="15" customHeight="1">
      <c r="B71" s="1">
        <f t="shared" si="0"/>
        <v>61</v>
      </c>
      <c r="C71" s="1">
        <v>1</v>
      </c>
      <c r="D71" s="1" t="s">
        <v>212</v>
      </c>
      <c r="E71" s="1" t="s">
        <v>101</v>
      </c>
      <c r="F71" s="1" t="s">
        <v>105</v>
      </c>
      <c r="G71" s="1" t="s">
        <v>102</v>
      </c>
      <c r="H71" s="1" t="s">
        <v>103</v>
      </c>
      <c r="I71" s="1" t="s">
        <v>85</v>
      </c>
      <c r="J71" s="1" t="s">
        <v>170</v>
      </c>
      <c r="K71" s="1" t="s">
        <v>452</v>
      </c>
      <c r="L71" s="1">
        <v>0</v>
      </c>
      <c r="M71" s="1">
        <v>0</v>
      </c>
      <c r="N71" s="1">
        <v>0</v>
      </c>
      <c r="O71" s="1">
        <v>0</v>
      </c>
      <c r="P71" s="1">
        <v>0</v>
      </c>
      <c r="Q71" s="1">
        <v>0</v>
      </c>
      <c r="R71" s="1">
        <v>0</v>
      </c>
      <c r="S71" s="1">
        <v>4</v>
      </c>
      <c r="T71" s="1">
        <v>0</v>
      </c>
      <c r="U71" s="1">
        <v>0</v>
      </c>
      <c r="V71" s="1">
        <v>2</v>
      </c>
      <c r="W71" s="1">
        <v>4</v>
      </c>
      <c r="X71" s="1">
        <v>0</v>
      </c>
      <c r="Y71" s="1">
        <v>0</v>
      </c>
      <c r="Z71" s="1">
        <v>0</v>
      </c>
      <c r="AA71" s="1">
        <v>0</v>
      </c>
      <c r="AB71" s="1"/>
      <c r="AC71" s="1"/>
      <c r="AD71" s="1"/>
      <c r="AE71" s="1"/>
      <c r="AF71" s="1">
        <v>4</v>
      </c>
      <c r="AG71" s="1">
        <v>3</v>
      </c>
      <c r="AH71" s="1">
        <v>0</v>
      </c>
      <c r="AI71" s="1">
        <v>0</v>
      </c>
      <c r="AJ71" s="1" t="s">
        <v>21</v>
      </c>
      <c r="AK71" s="1" t="s">
        <v>21</v>
      </c>
      <c r="AL71" s="17"/>
      <c r="AM71" s="18"/>
      <c r="AN71" s="10"/>
    </row>
    <row r="72" spans="2:40" s="43" customFormat="1" ht="15" customHeight="1">
      <c r="B72" s="1">
        <f t="shared" si="0"/>
        <v>62</v>
      </c>
      <c r="C72" s="1">
        <v>1</v>
      </c>
      <c r="D72" s="1" t="s">
        <v>212</v>
      </c>
      <c r="E72" s="1" t="s">
        <v>101</v>
      </c>
      <c r="F72" s="1" t="s">
        <v>105</v>
      </c>
      <c r="G72" s="1" t="s">
        <v>104</v>
      </c>
      <c r="H72" s="1" t="s">
        <v>106</v>
      </c>
      <c r="I72" s="1" t="s">
        <v>85</v>
      </c>
      <c r="J72" s="1" t="s">
        <v>170</v>
      </c>
      <c r="K72" s="1" t="s">
        <v>452</v>
      </c>
      <c r="L72" s="1">
        <v>0</v>
      </c>
      <c r="M72" s="1">
        <v>0</v>
      </c>
      <c r="N72" s="1">
        <v>0</v>
      </c>
      <c r="O72" s="1">
        <v>0</v>
      </c>
      <c r="P72" s="1">
        <v>0</v>
      </c>
      <c r="Q72" s="1">
        <v>0</v>
      </c>
      <c r="R72" s="1">
        <v>0</v>
      </c>
      <c r="S72" s="1">
        <v>4</v>
      </c>
      <c r="T72" s="1">
        <v>0</v>
      </c>
      <c r="U72" s="1">
        <v>0</v>
      </c>
      <c r="V72" s="1">
        <v>2</v>
      </c>
      <c r="W72" s="1">
        <v>4</v>
      </c>
      <c r="X72" s="1">
        <v>0</v>
      </c>
      <c r="Y72" s="1">
        <v>0</v>
      </c>
      <c r="Z72" s="1">
        <v>0</v>
      </c>
      <c r="AA72" s="1">
        <v>0</v>
      </c>
      <c r="AB72" s="1"/>
      <c r="AC72" s="1"/>
      <c r="AD72" s="1"/>
      <c r="AE72" s="1"/>
      <c r="AF72" s="1">
        <v>4</v>
      </c>
      <c r="AG72" s="1">
        <v>3</v>
      </c>
      <c r="AH72" s="1">
        <v>0</v>
      </c>
      <c r="AI72" s="1">
        <v>0</v>
      </c>
      <c r="AJ72" s="1" t="s">
        <v>21</v>
      </c>
      <c r="AK72" s="1" t="s">
        <v>21</v>
      </c>
      <c r="AL72" s="17"/>
      <c r="AM72" s="18"/>
      <c r="AN72" s="10"/>
    </row>
    <row r="73" spans="2:40" s="51" customFormat="1" ht="15" customHeight="1">
      <c r="B73" s="1">
        <f t="shared" si="0"/>
        <v>63</v>
      </c>
      <c r="C73" s="47">
        <v>1</v>
      </c>
      <c r="D73" s="47" t="s">
        <v>187</v>
      </c>
      <c r="E73" s="47" t="s">
        <v>347</v>
      </c>
      <c r="F73" s="47" t="s">
        <v>45</v>
      </c>
      <c r="G73" s="47" t="s">
        <v>295</v>
      </c>
      <c r="H73" s="47" t="s">
        <v>443</v>
      </c>
      <c r="I73" s="47" t="s">
        <v>85</v>
      </c>
      <c r="J73" s="47" t="s">
        <v>312</v>
      </c>
      <c r="K73" s="47" t="s">
        <v>408</v>
      </c>
      <c r="L73" s="47">
        <v>1</v>
      </c>
      <c r="M73" s="47">
        <v>1</v>
      </c>
      <c r="N73" s="47">
        <v>4</v>
      </c>
      <c r="O73" s="47">
        <v>0</v>
      </c>
      <c r="P73" s="47">
        <v>0</v>
      </c>
      <c r="Q73" s="47">
        <v>0</v>
      </c>
      <c r="R73" s="47"/>
      <c r="S73" s="47">
        <v>1</v>
      </c>
      <c r="T73" s="47">
        <v>0</v>
      </c>
      <c r="U73" s="47">
        <v>3</v>
      </c>
      <c r="V73" s="47">
        <v>3</v>
      </c>
      <c r="W73" s="47"/>
      <c r="X73" s="1"/>
      <c r="Y73" s="47">
        <v>4</v>
      </c>
      <c r="Z73" s="47">
        <v>3</v>
      </c>
      <c r="AA73" s="1"/>
      <c r="AB73" s="1"/>
      <c r="AC73" s="1"/>
      <c r="AD73" s="1"/>
      <c r="AE73" s="1">
        <v>3</v>
      </c>
      <c r="AF73" s="1"/>
      <c r="AG73" s="1"/>
      <c r="AH73" s="1">
        <v>0</v>
      </c>
      <c r="AI73" s="1">
        <v>0</v>
      </c>
      <c r="AJ73" s="47" t="s">
        <v>21</v>
      </c>
      <c r="AK73" s="47" t="s">
        <v>21</v>
      </c>
      <c r="AL73" s="48" t="s">
        <v>409</v>
      </c>
      <c r="AM73" s="49" t="s">
        <v>410</v>
      </c>
      <c r="AN73" s="50" t="s">
        <v>414</v>
      </c>
    </row>
    <row r="74" spans="2:40" s="43" customFormat="1" ht="15" customHeight="1">
      <c r="B74" s="1">
        <f t="shared" si="0"/>
        <v>64</v>
      </c>
      <c r="C74" s="1">
        <v>1</v>
      </c>
      <c r="D74" s="1" t="s">
        <v>212</v>
      </c>
      <c r="E74" s="1" t="s">
        <v>91</v>
      </c>
      <c r="F74" s="1" t="s">
        <v>98</v>
      </c>
      <c r="G74" s="1" t="s">
        <v>98</v>
      </c>
      <c r="H74" s="1" t="s">
        <v>107</v>
      </c>
      <c r="I74" s="1" t="s">
        <v>87</v>
      </c>
      <c r="J74" s="1" t="s">
        <v>170</v>
      </c>
      <c r="K74" s="1" t="s">
        <v>452</v>
      </c>
      <c r="L74" s="1">
        <v>0</v>
      </c>
      <c r="M74" s="1">
        <v>0</v>
      </c>
      <c r="N74" s="1">
        <v>0</v>
      </c>
      <c r="O74" s="1">
        <v>0</v>
      </c>
      <c r="P74" s="1">
        <v>0</v>
      </c>
      <c r="Q74" s="1">
        <v>0</v>
      </c>
      <c r="R74" s="1"/>
      <c r="S74" s="1">
        <v>4</v>
      </c>
      <c r="T74" s="1">
        <v>0</v>
      </c>
      <c r="U74" s="1">
        <v>0</v>
      </c>
      <c r="V74" s="1">
        <v>2</v>
      </c>
      <c r="W74" s="1">
        <v>4</v>
      </c>
      <c r="X74" s="1">
        <v>0</v>
      </c>
      <c r="Y74" s="1"/>
      <c r="Z74" s="1"/>
      <c r="AA74" s="1">
        <v>0</v>
      </c>
      <c r="AB74" s="1"/>
      <c r="AC74" s="1"/>
      <c r="AD74" s="1"/>
      <c r="AE74" s="1"/>
      <c r="AF74" s="1">
        <v>4</v>
      </c>
      <c r="AG74" s="1">
        <v>3</v>
      </c>
      <c r="AH74" s="1">
        <v>0</v>
      </c>
      <c r="AI74" s="1">
        <v>0</v>
      </c>
      <c r="AJ74" s="1" t="s">
        <v>21</v>
      </c>
      <c r="AK74" s="1" t="s">
        <v>21</v>
      </c>
      <c r="AL74" s="17">
        <v>43369</v>
      </c>
      <c r="AM74" s="18" t="s">
        <v>12</v>
      </c>
      <c r="AN74" s="10"/>
    </row>
    <row r="75" spans="2:40" s="43" customFormat="1" ht="15" customHeight="1">
      <c r="B75" s="1">
        <f t="shared" si="0"/>
        <v>65</v>
      </c>
      <c r="C75" s="1">
        <v>1</v>
      </c>
      <c r="D75" s="1" t="s">
        <v>186</v>
      </c>
      <c r="E75" s="1" t="s">
        <v>186</v>
      </c>
      <c r="F75" s="1" t="s">
        <v>109</v>
      </c>
      <c r="G75" s="1"/>
      <c r="H75" s="1" t="s">
        <v>136</v>
      </c>
      <c r="I75" s="1" t="s">
        <v>85</v>
      </c>
      <c r="J75" s="1" t="s">
        <v>408</v>
      </c>
      <c r="K75" s="1" t="s">
        <v>340</v>
      </c>
      <c r="L75" s="1">
        <v>0</v>
      </c>
      <c r="M75" s="1">
        <v>4</v>
      </c>
      <c r="N75" s="1">
        <v>0</v>
      </c>
      <c r="O75" s="1">
        <v>3</v>
      </c>
      <c r="P75" s="1">
        <v>0</v>
      </c>
      <c r="Q75" s="1">
        <v>0</v>
      </c>
      <c r="R75" s="1"/>
      <c r="S75" s="1">
        <v>0</v>
      </c>
      <c r="T75" s="1">
        <v>3</v>
      </c>
      <c r="U75" s="1">
        <v>0</v>
      </c>
      <c r="V75" s="1">
        <v>0</v>
      </c>
      <c r="W75" s="1">
        <v>0</v>
      </c>
      <c r="X75" s="1">
        <v>4</v>
      </c>
      <c r="Y75" s="1">
        <v>0</v>
      </c>
      <c r="Z75" s="1">
        <v>4</v>
      </c>
      <c r="AA75" s="1">
        <v>0</v>
      </c>
      <c r="AB75" s="1"/>
      <c r="AC75" s="1"/>
      <c r="AD75" s="1"/>
      <c r="AE75" s="1">
        <v>4</v>
      </c>
      <c r="AF75" s="1">
        <v>0</v>
      </c>
      <c r="AG75" s="1">
        <v>0</v>
      </c>
      <c r="AH75" s="1">
        <v>0</v>
      </c>
      <c r="AI75" s="1">
        <v>0</v>
      </c>
      <c r="AJ75" s="1" t="s">
        <v>21</v>
      </c>
      <c r="AK75" s="1" t="s">
        <v>21</v>
      </c>
      <c r="AL75" s="17">
        <v>44162</v>
      </c>
      <c r="AM75" s="18" t="s">
        <v>330</v>
      </c>
      <c r="AN75" s="10"/>
    </row>
    <row r="76" spans="2:40" s="43" customFormat="1" ht="15" customHeight="1">
      <c r="B76" s="1">
        <f t="shared" ref="B76:B139" si="1">B75+1</f>
        <v>66</v>
      </c>
      <c r="C76" s="1">
        <v>0</v>
      </c>
      <c r="D76" s="1" t="s">
        <v>186</v>
      </c>
      <c r="E76" s="1" t="s">
        <v>186</v>
      </c>
      <c r="F76" s="1" t="s">
        <v>110</v>
      </c>
      <c r="G76" s="1"/>
      <c r="H76" s="1" t="s">
        <v>137</v>
      </c>
      <c r="I76" s="1" t="s">
        <v>85</v>
      </c>
      <c r="J76" s="1" t="s">
        <v>13</v>
      </c>
      <c r="K76" s="1" t="s">
        <v>62</v>
      </c>
      <c r="L76" s="1">
        <v>0</v>
      </c>
      <c r="M76" s="1">
        <v>4</v>
      </c>
      <c r="N76" s="1">
        <v>0</v>
      </c>
      <c r="O76" s="1">
        <v>4</v>
      </c>
      <c r="P76" s="1">
        <v>0</v>
      </c>
      <c r="Q76" s="1">
        <v>0</v>
      </c>
      <c r="R76" s="1"/>
      <c r="S76" s="1">
        <v>0</v>
      </c>
      <c r="T76" s="1">
        <v>4</v>
      </c>
      <c r="U76" s="1">
        <v>0</v>
      </c>
      <c r="V76" s="1">
        <v>0</v>
      </c>
      <c r="W76" s="1">
        <v>0</v>
      </c>
      <c r="X76" s="1">
        <v>0</v>
      </c>
      <c r="Y76" s="1"/>
      <c r="Z76" s="1"/>
      <c r="AA76" s="1">
        <v>0</v>
      </c>
      <c r="AB76" s="1"/>
      <c r="AC76" s="1"/>
      <c r="AD76" s="1"/>
      <c r="AE76" s="1"/>
      <c r="AF76" s="1"/>
      <c r="AG76" s="1">
        <v>0</v>
      </c>
      <c r="AH76" s="1">
        <v>1</v>
      </c>
      <c r="AI76" s="1"/>
      <c r="AJ76" s="1" t="s">
        <v>21</v>
      </c>
      <c r="AK76" s="1" t="s">
        <v>95</v>
      </c>
      <c r="AL76" s="17"/>
      <c r="AM76" s="18"/>
      <c r="AN76" s="10" t="s">
        <v>308</v>
      </c>
    </row>
    <row r="77" spans="2:40" s="43" customFormat="1" ht="15" customHeight="1">
      <c r="B77" s="1">
        <f t="shared" si="1"/>
        <v>67</v>
      </c>
      <c r="C77" s="1">
        <v>0</v>
      </c>
      <c r="D77" s="1" t="s">
        <v>228</v>
      </c>
      <c r="E77" s="1" t="s">
        <v>187</v>
      </c>
      <c r="F77" s="1" t="s">
        <v>43</v>
      </c>
      <c r="G77" s="1"/>
      <c r="H77" s="1" t="s">
        <v>141</v>
      </c>
      <c r="I77" s="1" t="s">
        <v>85</v>
      </c>
      <c r="J77" s="1" t="s">
        <v>12</v>
      </c>
      <c r="K77" s="1" t="s">
        <v>11</v>
      </c>
      <c r="L77" s="1">
        <v>4</v>
      </c>
      <c r="M77" s="1">
        <v>4</v>
      </c>
      <c r="N77" s="1">
        <v>4</v>
      </c>
      <c r="O77" s="1">
        <v>0</v>
      </c>
      <c r="P77" s="1">
        <v>0</v>
      </c>
      <c r="Q77" s="1">
        <v>0</v>
      </c>
      <c r="R77" s="1"/>
      <c r="S77" s="1">
        <v>1</v>
      </c>
      <c r="T77" s="1">
        <v>0</v>
      </c>
      <c r="U77" s="1">
        <v>0</v>
      </c>
      <c r="V77" s="1">
        <v>0</v>
      </c>
      <c r="W77" s="1">
        <v>0</v>
      </c>
      <c r="X77" s="1">
        <v>0</v>
      </c>
      <c r="Y77" s="1"/>
      <c r="Z77" s="1"/>
      <c r="AA77" s="1">
        <v>0</v>
      </c>
      <c r="AB77" s="1"/>
      <c r="AC77" s="1"/>
      <c r="AD77" s="1"/>
      <c r="AE77" s="1"/>
      <c r="AF77" s="1"/>
      <c r="AG77" s="1">
        <v>0</v>
      </c>
      <c r="AH77" s="1">
        <v>0</v>
      </c>
      <c r="AI77" s="1"/>
      <c r="AJ77" s="1" t="s">
        <v>21</v>
      </c>
      <c r="AK77" s="1"/>
      <c r="AL77" s="17"/>
      <c r="AM77" s="18"/>
      <c r="AN77" s="10"/>
    </row>
    <row r="78" spans="2:40" s="43" customFormat="1" ht="15" customHeight="1">
      <c r="B78" s="1">
        <f t="shared" si="1"/>
        <v>68</v>
      </c>
      <c r="C78" s="1">
        <v>0</v>
      </c>
      <c r="D78" s="1" t="s">
        <v>228</v>
      </c>
      <c r="E78" s="1" t="s">
        <v>187</v>
      </c>
      <c r="F78" s="1" t="s">
        <v>43</v>
      </c>
      <c r="G78" s="1"/>
      <c r="H78" s="1" t="s">
        <v>142</v>
      </c>
      <c r="I78" s="1" t="s">
        <v>85</v>
      </c>
      <c r="J78" s="1" t="s">
        <v>12</v>
      </c>
      <c r="K78" s="1" t="s">
        <v>11</v>
      </c>
      <c r="L78" s="1">
        <v>4</v>
      </c>
      <c r="M78" s="1">
        <v>4</v>
      </c>
      <c r="N78" s="1">
        <v>4</v>
      </c>
      <c r="O78" s="1">
        <v>0</v>
      </c>
      <c r="P78" s="1">
        <v>0</v>
      </c>
      <c r="Q78" s="1">
        <v>0</v>
      </c>
      <c r="R78" s="1"/>
      <c r="S78" s="1">
        <v>1</v>
      </c>
      <c r="T78" s="1">
        <v>0</v>
      </c>
      <c r="U78" s="1">
        <v>0</v>
      </c>
      <c r="V78" s="1">
        <v>0</v>
      </c>
      <c r="W78" s="1">
        <v>0</v>
      </c>
      <c r="X78" s="1">
        <v>0</v>
      </c>
      <c r="Y78" s="1"/>
      <c r="Z78" s="1"/>
      <c r="AA78" s="1">
        <v>0</v>
      </c>
      <c r="AB78" s="1"/>
      <c r="AC78" s="1"/>
      <c r="AD78" s="1"/>
      <c r="AE78" s="1"/>
      <c r="AF78" s="1"/>
      <c r="AG78" s="1">
        <v>0</v>
      </c>
      <c r="AH78" s="1">
        <v>0</v>
      </c>
      <c r="AI78" s="1"/>
      <c r="AJ78" s="1" t="s">
        <v>21</v>
      </c>
      <c r="AK78" s="1"/>
      <c r="AL78" s="17"/>
      <c r="AM78" s="18"/>
      <c r="AN78" s="10"/>
    </row>
    <row r="79" spans="2:40" s="43" customFormat="1" ht="15" customHeight="1">
      <c r="B79" s="1">
        <f t="shared" si="1"/>
        <v>69</v>
      </c>
      <c r="C79" s="1">
        <v>0</v>
      </c>
      <c r="D79" s="1" t="s">
        <v>220</v>
      </c>
      <c r="E79" s="1" t="s">
        <v>30</v>
      </c>
      <c r="F79" s="1" t="s">
        <v>43</v>
      </c>
      <c r="G79" s="1"/>
      <c r="H79" s="1" t="s">
        <v>199</v>
      </c>
      <c r="I79" s="1" t="s">
        <v>85</v>
      </c>
      <c r="J79" s="1" t="s">
        <v>11</v>
      </c>
      <c r="K79" s="1" t="s">
        <v>62</v>
      </c>
      <c r="L79" s="1">
        <v>4</v>
      </c>
      <c r="M79" s="1">
        <v>4</v>
      </c>
      <c r="N79" s="1">
        <v>0</v>
      </c>
      <c r="O79" s="1">
        <v>0</v>
      </c>
      <c r="P79" s="1">
        <v>0</v>
      </c>
      <c r="Q79" s="1">
        <v>0</v>
      </c>
      <c r="R79" s="1"/>
      <c r="S79" s="1">
        <v>0</v>
      </c>
      <c r="T79" s="1">
        <v>2</v>
      </c>
      <c r="U79" s="1">
        <v>0</v>
      </c>
      <c r="V79" s="1">
        <v>0</v>
      </c>
      <c r="W79" s="1">
        <v>0</v>
      </c>
      <c r="X79" s="1">
        <v>0</v>
      </c>
      <c r="Y79" s="1"/>
      <c r="Z79" s="1"/>
      <c r="AA79" s="1">
        <v>0</v>
      </c>
      <c r="AB79" s="1"/>
      <c r="AC79" s="1"/>
      <c r="AD79" s="1"/>
      <c r="AE79" s="1"/>
      <c r="AF79" s="1"/>
      <c r="AG79" s="1">
        <v>0</v>
      </c>
      <c r="AH79" s="1">
        <v>0</v>
      </c>
      <c r="AI79" s="1"/>
      <c r="AJ79" s="1" t="s">
        <v>21</v>
      </c>
      <c r="AK79" s="1" t="s">
        <v>21</v>
      </c>
      <c r="AL79" s="17"/>
      <c r="AM79" s="18"/>
      <c r="AN79" s="10"/>
    </row>
    <row r="80" spans="2:40" s="43" customFormat="1" ht="15" customHeight="1">
      <c r="B80" s="1">
        <f t="shared" si="1"/>
        <v>70</v>
      </c>
      <c r="C80" s="1">
        <v>0</v>
      </c>
      <c r="D80" s="1" t="s">
        <v>220</v>
      </c>
      <c r="E80" s="1" t="s">
        <v>30</v>
      </c>
      <c r="F80" s="1" t="s">
        <v>43</v>
      </c>
      <c r="G80" s="1"/>
      <c r="H80" s="1" t="s">
        <v>111</v>
      </c>
      <c r="I80" s="1" t="s">
        <v>85</v>
      </c>
      <c r="J80" s="1" t="s">
        <v>11</v>
      </c>
      <c r="K80" s="1" t="s">
        <v>62</v>
      </c>
      <c r="L80" s="1">
        <v>4</v>
      </c>
      <c r="M80" s="1">
        <v>4</v>
      </c>
      <c r="N80" s="1">
        <v>0</v>
      </c>
      <c r="O80" s="1">
        <v>0</v>
      </c>
      <c r="P80" s="1">
        <v>0</v>
      </c>
      <c r="Q80" s="1">
        <v>0</v>
      </c>
      <c r="R80" s="1"/>
      <c r="S80" s="1">
        <v>0</v>
      </c>
      <c r="T80" s="1">
        <v>0</v>
      </c>
      <c r="U80" s="1">
        <v>0</v>
      </c>
      <c r="V80" s="1">
        <v>0</v>
      </c>
      <c r="W80" s="1">
        <v>0</v>
      </c>
      <c r="X80" s="1">
        <v>0</v>
      </c>
      <c r="Y80" s="1"/>
      <c r="Z80" s="1"/>
      <c r="AA80" s="1">
        <v>0</v>
      </c>
      <c r="AB80" s="1"/>
      <c r="AC80" s="1"/>
      <c r="AD80" s="1"/>
      <c r="AE80" s="1"/>
      <c r="AF80" s="1"/>
      <c r="AG80" s="1">
        <v>0</v>
      </c>
      <c r="AH80" s="1">
        <v>0</v>
      </c>
      <c r="AI80" s="1"/>
      <c r="AJ80" s="1" t="s">
        <v>32</v>
      </c>
      <c r="AK80" s="1"/>
      <c r="AL80" s="17"/>
      <c r="AM80" s="18"/>
      <c r="AN80" s="10"/>
    </row>
    <row r="81" spans="1:40" s="43" customFormat="1" ht="15" customHeight="1">
      <c r="B81" s="1">
        <f t="shared" si="1"/>
        <v>71</v>
      </c>
      <c r="C81" s="1">
        <v>0</v>
      </c>
      <c r="D81" s="1" t="s">
        <v>220</v>
      </c>
      <c r="E81" s="1" t="s">
        <v>196</v>
      </c>
      <c r="F81" s="1" t="s">
        <v>43</v>
      </c>
      <c r="G81" s="1"/>
      <c r="H81" s="1" t="s">
        <v>112</v>
      </c>
      <c r="I81" s="1" t="s">
        <v>85</v>
      </c>
      <c r="J81" s="1" t="s">
        <v>11</v>
      </c>
      <c r="K81" s="1" t="s">
        <v>62</v>
      </c>
      <c r="L81" s="1">
        <v>4</v>
      </c>
      <c r="M81" s="1">
        <v>4</v>
      </c>
      <c r="N81" s="1">
        <v>0</v>
      </c>
      <c r="O81" s="1">
        <v>0</v>
      </c>
      <c r="P81" s="1">
        <v>0</v>
      </c>
      <c r="Q81" s="1">
        <v>0</v>
      </c>
      <c r="R81" s="1"/>
      <c r="S81" s="1">
        <v>0</v>
      </c>
      <c r="T81" s="1">
        <v>0</v>
      </c>
      <c r="U81" s="1">
        <v>0</v>
      </c>
      <c r="V81" s="1">
        <v>0</v>
      </c>
      <c r="W81" s="1">
        <v>0</v>
      </c>
      <c r="X81" s="1">
        <v>0</v>
      </c>
      <c r="Y81" s="1"/>
      <c r="Z81" s="1"/>
      <c r="AA81" s="1">
        <v>0</v>
      </c>
      <c r="AB81" s="1"/>
      <c r="AC81" s="1"/>
      <c r="AD81" s="1"/>
      <c r="AE81" s="1"/>
      <c r="AF81" s="1"/>
      <c r="AG81" s="1">
        <v>0</v>
      </c>
      <c r="AH81" s="1">
        <v>0</v>
      </c>
      <c r="AI81" s="1"/>
      <c r="AJ81" s="1" t="s">
        <v>32</v>
      </c>
      <c r="AK81" s="1"/>
      <c r="AL81" s="17"/>
      <c r="AM81" s="18"/>
      <c r="AN81" s="10"/>
    </row>
    <row r="82" spans="1:40" s="43" customFormat="1" ht="15" customHeight="1">
      <c r="B82" s="1">
        <f t="shared" si="1"/>
        <v>72</v>
      </c>
      <c r="C82" s="1">
        <v>0</v>
      </c>
      <c r="D82" s="1" t="s">
        <v>185</v>
      </c>
      <c r="E82" s="1" t="s">
        <v>196</v>
      </c>
      <c r="F82" s="1" t="s">
        <v>113</v>
      </c>
      <c r="G82" s="1"/>
      <c r="H82" s="1" t="s">
        <v>114</v>
      </c>
      <c r="I82" s="1" t="s">
        <v>86</v>
      </c>
      <c r="J82" s="1" t="s">
        <v>62</v>
      </c>
      <c r="K82" s="1" t="s">
        <v>11</v>
      </c>
      <c r="L82" s="1">
        <v>4</v>
      </c>
      <c r="M82" s="1">
        <v>4</v>
      </c>
      <c r="N82" s="1">
        <v>0</v>
      </c>
      <c r="O82" s="1">
        <v>0</v>
      </c>
      <c r="P82" s="1">
        <v>0</v>
      </c>
      <c r="Q82" s="1">
        <v>0</v>
      </c>
      <c r="R82" s="1"/>
      <c r="S82" s="1">
        <v>0</v>
      </c>
      <c r="T82" s="1">
        <v>3</v>
      </c>
      <c r="U82" s="1">
        <v>0</v>
      </c>
      <c r="V82" s="1">
        <v>0</v>
      </c>
      <c r="W82" s="1">
        <v>0</v>
      </c>
      <c r="X82" s="1">
        <v>0</v>
      </c>
      <c r="Y82" s="1"/>
      <c r="Z82" s="1"/>
      <c r="AA82" s="1">
        <v>0</v>
      </c>
      <c r="AB82" s="1"/>
      <c r="AC82" s="1"/>
      <c r="AD82" s="1"/>
      <c r="AE82" s="1"/>
      <c r="AF82" s="1"/>
      <c r="AG82" s="1">
        <v>0</v>
      </c>
      <c r="AH82" s="1"/>
      <c r="AI82" s="1"/>
      <c r="AJ82" s="1" t="s">
        <v>21</v>
      </c>
      <c r="AK82" s="1" t="s">
        <v>21</v>
      </c>
      <c r="AL82" s="17"/>
      <c r="AM82" s="18"/>
      <c r="AN82" s="10"/>
    </row>
    <row r="83" spans="1:40" s="43" customFormat="1" ht="15" customHeight="1">
      <c r="B83" s="1">
        <f t="shared" si="1"/>
        <v>73</v>
      </c>
      <c r="C83" s="1">
        <v>1</v>
      </c>
      <c r="D83" s="1" t="s">
        <v>220</v>
      </c>
      <c r="E83" s="1" t="s">
        <v>191</v>
      </c>
      <c r="F83" s="1" t="s">
        <v>113</v>
      </c>
      <c r="G83" s="1"/>
      <c r="H83" s="1" t="s">
        <v>115</v>
      </c>
      <c r="I83" s="1" t="s">
        <v>85</v>
      </c>
      <c r="J83" s="1" t="s">
        <v>502</v>
      </c>
      <c r="K83" s="1" t="s">
        <v>486</v>
      </c>
      <c r="L83" s="1">
        <v>4</v>
      </c>
      <c r="M83" s="1">
        <v>4</v>
      </c>
      <c r="N83" s="1">
        <v>0</v>
      </c>
      <c r="O83" s="1">
        <v>0</v>
      </c>
      <c r="P83" s="1">
        <v>0</v>
      </c>
      <c r="Q83" s="1">
        <v>0</v>
      </c>
      <c r="R83" s="1"/>
      <c r="S83" s="1">
        <v>0</v>
      </c>
      <c r="T83" s="1">
        <v>4</v>
      </c>
      <c r="U83" s="1">
        <v>0</v>
      </c>
      <c r="V83" s="1">
        <v>0</v>
      </c>
      <c r="W83" s="1">
        <v>0</v>
      </c>
      <c r="X83" s="1">
        <v>0</v>
      </c>
      <c r="Y83" s="1"/>
      <c r="Z83" s="1"/>
      <c r="AA83" s="1">
        <v>0</v>
      </c>
      <c r="AB83" s="1"/>
      <c r="AC83" s="1"/>
      <c r="AD83" s="1"/>
      <c r="AE83" s="1"/>
      <c r="AF83" s="1"/>
      <c r="AG83" s="1">
        <v>0</v>
      </c>
      <c r="AH83" s="1">
        <v>4</v>
      </c>
      <c r="AI83" s="1">
        <v>3</v>
      </c>
      <c r="AJ83" s="1" t="s">
        <v>21</v>
      </c>
      <c r="AK83" s="1" t="s">
        <v>21</v>
      </c>
      <c r="AL83" s="17"/>
      <c r="AM83" s="18"/>
      <c r="AN83" s="10"/>
    </row>
    <row r="84" spans="1:40" s="43" customFormat="1" ht="15" customHeight="1">
      <c r="B84" s="1">
        <f t="shared" si="1"/>
        <v>74</v>
      </c>
      <c r="C84" s="1">
        <v>0</v>
      </c>
      <c r="D84" s="1" t="s">
        <v>220</v>
      </c>
      <c r="E84" s="1" t="s">
        <v>191</v>
      </c>
      <c r="F84" s="1" t="s">
        <v>113</v>
      </c>
      <c r="G84" s="1"/>
      <c r="H84" s="1" t="s">
        <v>116</v>
      </c>
      <c r="I84" s="1" t="s">
        <v>85</v>
      </c>
      <c r="J84" s="1" t="s">
        <v>11</v>
      </c>
      <c r="K84" s="1" t="s">
        <v>62</v>
      </c>
      <c r="L84" s="1">
        <v>4</v>
      </c>
      <c r="M84" s="1">
        <v>4</v>
      </c>
      <c r="N84" s="1">
        <v>0</v>
      </c>
      <c r="O84" s="1">
        <v>0</v>
      </c>
      <c r="P84" s="1">
        <v>0</v>
      </c>
      <c r="Q84" s="1">
        <v>0</v>
      </c>
      <c r="R84" s="1"/>
      <c r="S84" s="1">
        <v>0</v>
      </c>
      <c r="T84" s="1">
        <v>0</v>
      </c>
      <c r="U84" s="1">
        <v>0</v>
      </c>
      <c r="V84" s="1">
        <v>0</v>
      </c>
      <c r="W84" s="1">
        <v>0</v>
      </c>
      <c r="X84" s="1">
        <v>0</v>
      </c>
      <c r="Y84" s="1"/>
      <c r="Z84" s="1"/>
      <c r="AA84" s="1">
        <v>0</v>
      </c>
      <c r="AB84" s="1"/>
      <c r="AC84" s="1"/>
      <c r="AD84" s="1"/>
      <c r="AE84" s="1"/>
      <c r="AF84" s="1"/>
      <c r="AG84" s="1">
        <v>0</v>
      </c>
      <c r="AH84" s="1">
        <v>1</v>
      </c>
      <c r="AI84" s="1"/>
      <c r="AJ84" s="1" t="s">
        <v>32</v>
      </c>
      <c r="AK84" s="1"/>
      <c r="AL84" s="17"/>
      <c r="AM84" s="18"/>
      <c r="AN84" s="10"/>
    </row>
    <row r="85" spans="1:40" s="43" customFormat="1" ht="15" customHeight="1">
      <c r="B85" s="1">
        <f t="shared" si="1"/>
        <v>75</v>
      </c>
      <c r="C85" s="1">
        <v>1</v>
      </c>
      <c r="D85" s="1" t="s">
        <v>212</v>
      </c>
      <c r="E85" s="1" t="s">
        <v>91</v>
      </c>
      <c r="F85" s="1" t="s">
        <v>92</v>
      </c>
      <c r="G85" s="1" t="s">
        <v>92</v>
      </c>
      <c r="H85" s="1" t="s">
        <v>117</v>
      </c>
      <c r="I85" s="1" t="s">
        <v>86</v>
      </c>
      <c r="J85" s="54" t="s">
        <v>170</v>
      </c>
      <c r="K85" s="1" t="s">
        <v>452</v>
      </c>
      <c r="L85" s="1">
        <v>0</v>
      </c>
      <c r="M85" s="1">
        <v>0</v>
      </c>
      <c r="N85" s="1">
        <v>0</v>
      </c>
      <c r="O85" s="1">
        <v>0</v>
      </c>
      <c r="P85" s="1">
        <v>0</v>
      </c>
      <c r="Q85" s="1">
        <v>0</v>
      </c>
      <c r="R85" s="1"/>
      <c r="S85" s="1">
        <v>4</v>
      </c>
      <c r="T85" s="1">
        <v>0</v>
      </c>
      <c r="U85" s="1">
        <v>0</v>
      </c>
      <c r="V85" s="1">
        <v>0</v>
      </c>
      <c r="W85" s="1">
        <v>4</v>
      </c>
      <c r="X85" s="1">
        <v>0</v>
      </c>
      <c r="Y85" s="1"/>
      <c r="Z85" s="1"/>
      <c r="AA85" s="1">
        <v>0</v>
      </c>
      <c r="AB85" s="1"/>
      <c r="AC85" s="1"/>
      <c r="AD85" s="1"/>
      <c r="AE85" s="1"/>
      <c r="AF85" s="1">
        <v>3</v>
      </c>
      <c r="AG85" s="1">
        <v>1</v>
      </c>
      <c r="AH85" s="1">
        <v>0</v>
      </c>
      <c r="AI85" s="1">
        <v>0</v>
      </c>
      <c r="AJ85" s="1" t="s">
        <v>21</v>
      </c>
      <c r="AK85" s="1" t="s">
        <v>21</v>
      </c>
      <c r="AL85" s="17">
        <v>43369</v>
      </c>
      <c r="AM85" s="18" t="s">
        <v>12</v>
      </c>
      <c r="AN85" s="10"/>
    </row>
    <row r="86" spans="1:40" s="43" customFormat="1">
      <c r="B86" s="1">
        <f t="shared" si="1"/>
        <v>76</v>
      </c>
      <c r="C86" s="1">
        <v>1</v>
      </c>
      <c r="D86" s="1" t="s">
        <v>212</v>
      </c>
      <c r="E86" s="1" t="s">
        <v>101</v>
      </c>
      <c r="F86" s="1" t="s">
        <v>118</v>
      </c>
      <c r="G86" s="1" t="s">
        <v>118</v>
      </c>
      <c r="H86" s="1" t="s">
        <v>119</v>
      </c>
      <c r="I86" s="1" t="s">
        <v>85</v>
      </c>
      <c r="J86" s="54" t="s">
        <v>170</v>
      </c>
      <c r="K86" s="1" t="s">
        <v>452</v>
      </c>
      <c r="L86" s="1">
        <v>0</v>
      </c>
      <c r="M86" s="1">
        <v>0</v>
      </c>
      <c r="N86" s="1">
        <v>0</v>
      </c>
      <c r="O86" s="1">
        <v>0</v>
      </c>
      <c r="P86" s="1">
        <v>0</v>
      </c>
      <c r="Q86" s="1">
        <v>0</v>
      </c>
      <c r="R86" s="1">
        <v>0</v>
      </c>
      <c r="S86" s="1">
        <v>4</v>
      </c>
      <c r="T86" s="1">
        <v>0</v>
      </c>
      <c r="U86" s="1">
        <v>0</v>
      </c>
      <c r="V86" s="1">
        <v>2</v>
      </c>
      <c r="W86" s="1">
        <v>4</v>
      </c>
      <c r="X86" s="1">
        <v>0</v>
      </c>
      <c r="Y86" s="1">
        <v>0</v>
      </c>
      <c r="Z86" s="1">
        <v>0</v>
      </c>
      <c r="AA86" s="1">
        <v>0</v>
      </c>
      <c r="AB86" s="1"/>
      <c r="AC86" s="1"/>
      <c r="AD86" s="1"/>
      <c r="AE86" s="1"/>
      <c r="AF86" s="1">
        <v>4</v>
      </c>
      <c r="AG86" s="1">
        <v>1</v>
      </c>
      <c r="AH86" s="1">
        <v>0</v>
      </c>
      <c r="AI86" s="1">
        <v>0</v>
      </c>
      <c r="AJ86" s="1" t="s">
        <v>21</v>
      </c>
      <c r="AK86" s="1" t="s">
        <v>21</v>
      </c>
      <c r="AL86" s="17"/>
      <c r="AM86" s="18"/>
      <c r="AN86" s="10"/>
    </row>
    <row r="87" spans="1:40" s="43" customFormat="1">
      <c r="B87" s="1">
        <f t="shared" si="1"/>
        <v>77</v>
      </c>
      <c r="C87" s="1">
        <v>1</v>
      </c>
      <c r="D87" s="1" t="s">
        <v>212</v>
      </c>
      <c r="E87" s="1" t="s">
        <v>101</v>
      </c>
      <c r="F87" s="1" t="s">
        <v>118</v>
      </c>
      <c r="G87" s="1" t="s">
        <v>118</v>
      </c>
      <c r="H87" s="1" t="s">
        <v>120</v>
      </c>
      <c r="I87" s="1" t="s">
        <v>85</v>
      </c>
      <c r="J87" s="54" t="s">
        <v>170</v>
      </c>
      <c r="K87" s="1" t="s">
        <v>452</v>
      </c>
      <c r="L87" s="1">
        <v>0</v>
      </c>
      <c r="M87" s="1">
        <v>0</v>
      </c>
      <c r="N87" s="1">
        <v>0</v>
      </c>
      <c r="O87" s="69">
        <v>0</v>
      </c>
      <c r="P87" s="1">
        <v>0</v>
      </c>
      <c r="Q87" s="1">
        <v>0</v>
      </c>
      <c r="R87" s="1">
        <v>0</v>
      </c>
      <c r="S87" s="1">
        <v>4</v>
      </c>
      <c r="T87" s="1">
        <v>0</v>
      </c>
      <c r="U87" s="1">
        <v>0</v>
      </c>
      <c r="V87" s="1">
        <v>2</v>
      </c>
      <c r="W87" s="1">
        <v>4</v>
      </c>
      <c r="X87" s="1">
        <v>0</v>
      </c>
      <c r="Y87" s="1">
        <v>0</v>
      </c>
      <c r="Z87" s="1">
        <v>0</v>
      </c>
      <c r="AA87" s="1">
        <v>0</v>
      </c>
      <c r="AB87" s="1"/>
      <c r="AC87" s="1"/>
      <c r="AD87" s="1"/>
      <c r="AE87" s="1"/>
      <c r="AF87" s="1">
        <v>4</v>
      </c>
      <c r="AG87" s="1">
        <v>1</v>
      </c>
      <c r="AH87" s="1">
        <v>0</v>
      </c>
      <c r="AI87" s="1">
        <v>0</v>
      </c>
      <c r="AJ87" s="1" t="s">
        <v>21</v>
      </c>
      <c r="AK87" s="1" t="s">
        <v>21</v>
      </c>
      <c r="AL87" s="17"/>
      <c r="AM87" s="18"/>
      <c r="AN87" s="10"/>
    </row>
    <row r="88" spans="1:40" s="43" customFormat="1">
      <c r="B88" s="1">
        <f t="shared" si="1"/>
        <v>78</v>
      </c>
      <c r="C88" s="1">
        <v>0</v>
      </c>
      <c r="D88" s="1" t="s">
        <v>212</v>
      </c>
      <c r="E88" s="1" t="s">
        <v>101</v>
      </c>
      <c r="F88" s="1" t="s">
        <v>118</v>
      </c>
      <c r="G88" s="1" t="s">
        <v>118</v>
      </c>
      <c r="H88" s="1" t="s">
        <v>121</v>
      </c>
      <c r="I88" s="1" t="s">
        <v>85</v>
      </c>
      <c r="J88" s="1" t="s">
        <v>61</v>
      </c>
      <c r="K88" s="1" t="s">
        <v>170</v>
      </c>
      <c r="L88" s="1">
        <v>0</v>
      </c>
      <c r="M88" s="1">
        <v>0</v>
      </c>
      <c r="N88" s="1">
        <v>0</v>
      </c>
      <c r="O88" s="69">
        <v>0</v>
      </c>
      <c r="P88" s="1">
        <v>0</v>
      </c>
      <c r="Q88" s="1">
        <v>0</v>
      </c>
      <c r="R88" s="1">
        <v>0</v>
      </c>
      <c r="S88" s="1">
        <v>4</v>
      </c>
      <c r="T88" s="1">
        <v>0</v>
      </c>
      <c r="U88" s="1">
        <v>0</v>
      </c>
      <c r="V88" s="1">
        <v>2</v>
      </c>
      <c r="W88" s="1">
        <v>3</v>
      </c>
      <c r="X88" s="1">
        <v>0</v>
      </c>
      <c r="Y88" s="1">
        <v>0</v>
      </c>
      <c r="Z88" s="1">
        <v>0</v>
      </c>
      <c r="AA88" s="1">
        <v>0</v>
      </c>
      <c r="AB88" s="1"/>
      <c r="AC88" s="1"/>
      <c r="AD88" s="1"/>
      <c r="AE88" s="1"/>
      <c r="AF88" s="1"/>
      <c r="AG88" s="1">
        <v>1</v>
      </c>
      <c r="AH88" s="1">
        <v>0</v>
      </c>
      <c r="AI88" s="1"/>
      <c r="AJ88" s="1" t="s">
        <v>21</v>
      </c>
      <c r="AK88" s="1" t="s">
        <v>21</v>
      </c>
      <c r="AL88" s="17"/>
      <c r="AM88" s="18"/>
      <c r="AN88" s="10"/>
    </row>
    <row r="89" spans="1:40" s="43" customFormat="1">
      <c r="B89" s="1">
        <f t="shared" si="1"/>
        <v>79</v>
      </c>
      <c r="C89" s="1">
        <v>0</v>
      </c>
      <c r="D89" s="1" t="s">
        <v>212</v>
      </c>
      <c r="E89" s="1" t="s">
        <v>101</v>
      </c>
      <c r="F89" s="1" t="s">
        <v>118</v>
      </c>
      <c r="G89" s="1" t="s">
        <v>118</v>
      </c>
      <c r="H89" s="1" t="s">
        <v>122</v>
      </c>
      <c r="I89" s="1" t="s">
        <v>85</v>
      </c>
      <c r="J89" s="1" t="s">
        <v>61</v>
      </c>
      <c r="K89" s="1" t="s">
        <v>170</v>
      </c>
      <c r="L89" s="1">
        <v>0</v>
      </c>
      <c r="M89" s="1">
        <v>0</v>
      </c>
      <c r="N89" s="1">
        <v>0</v>
      </c>
      <c r="O89" s="69">
        <v>0</v>
      </c>
      <c r="P89" s="1">
        <v>0</v>
      </c>
      <c r="Q89" s="1">
        <v>0</v>
      </c>
      <c r="R89" s="1"/>
      <c r="S89" s="1">
        <v>4</v>
      </c>
      <c r="T89" s="1">
        <v>0</v>
      </c>
      <c r="U89" s="1">
        <v>0</v>
      </c>
      <c r="V89" s="1">
        <v>2</v>
      </c>
      <c r="W89" s="1">
        <v>3</v>
      </c>
      <c r="X89" s="1">
        <v>0</v>
      </c>
      <c r="Y89" s="1"/>
      <c r="Z89" s="1"/>
      <c r="AA89" s="1">
        <v>0</v>
      </c>
      <c r="AB89" s="1"/>
      <c r="AC89" s="1"/>
      <c r="AD89" s="1"/>
      <c r="AE89" s="1"/>
      <c r="AF89" s="1"/>
      <c r="AG89" s="1">
        <v>1</v>
      </c>
      <c r="AH89" s="1">
        <v>0</v>
      </c>
      <c r="AI89" s="1"/>
      <c r="AJ89" s="1" t="s">
        <v>21</v>
      </c>
      <c r="AK89" s="1" t="s">
        <v>21</v>
      </c>
      <c r="AL89" s="17"/>
      <c r="AM89" s="18"/>
      <c r="AN89" s="10"/>
    </row>
    <row r="90" spans="1:40" s="43" customFormat="1">
      <c r="B90" s="1">
        <f t="shared" si="1"/>
        <v>80</v>
      </c>
      <c r="C90" s="1">
        <v>1</v>
      </c>
      <c r="D90" s="1" t="s">
        <v>212</v>
      </c>
      <c r="E90" s="1" t="s">
        <v>101</v>
      </c>
      <c r="F90" s="1" t="s">
        <v>118</v>
      </c>
      <c r="G90" s="1" t="s">
        <v>118</v>
      </c>
      <c r="H90" s="1" t="s">
        <v>135</v>
      </c>
      <c r="I90" s="1" t="s">
        <v>85</v>
      </c>
      <c r="J90" s="54" t="s">
        <v>170</v>
      </c>
      <c r="K90" s="1" t="s">
        <v>452</v>
      </c>
      <c r="L90" s="1">
        <v>0</v>
      </c>
      <c r="M90" s="1">
        <v>0</v>
      </c>
      <c r="N90" s="1">
        <v>0</v>
      </c>
      <c r="O90" s="1">
        <v>0</v>
      </c>
      <c r="P90" s="1">
        <v>0</v>
      </c>
      <c r="Q90" s="1">
        <v>0</v>
      </c>
      <c r="R90" s="1">
        <v>0</v>
      </c>
      <c r="S90" s="1">
        <v>4</v>
      </c>
      <c r="T90" s="1">
        <v>0</v>
      </c>
      <c r="U90" s="1">
        <v>0</v>
      </c>
      <c r="V90" s="1">
        <v>2</v>
      </c>
      <c r="W90" s="1">
        <v>4</v>
      </c>
      <c r="X90" s="1">
        <v>0</v>
      </c>
      <c r="Y90" s="1">
        <v>0</v>
      </c>
      <c r="Z90" s="1">
        <v>0</v>
      </c>
      <c r="AA90" s="1">
        <v>0</v>
      </c>
      <c r="AB90" s="1"/>
      <c r="AC90" s="1"/>
      <c r="AD90" s="1"/>
      <c r="AE90" s="1"/>
      <c r="AF90" s="1">
        <v>4</v>
      </c>
      <c r="AG90" s="1">
        <v>1</v>
      </c>
      <c r="AH90" s="1">
        <v>0</v>
      </c>
      <c r="AI90" s="1">
        <v>0</v>
      </c>
      <c r="AJ90" s="1" t="s">
        <v>21</v>
      </c>
      <c r="AK90" s="1" t="s">
        <v>21</v>
      </c>
      <c r="AL90" s="17"/>
      <c r="AM90" s="18"/>
      <c r="AN90" s="10"/>
    </row>
    <row r="91" spans="1:40" s="43" customFormat="1" ht="15" customHeight="1">
      <c r="B91" s="1">
        <f t="shared" si="1"/>
        <v>81</v>
      </c>
      <c r="C91" s="1">
        <v>1</v>
      </c>
      <c r="D91" s="1" t="s">
        <v>212</v>
      </c>
      <c r="E91" s="1" t="s">
        <v>91</v>
      </c>
      <c r="F91" s="1" t="s">
        <v>96</v>
      </c>
      <c r="G91" s="1" t="s">
        <v>96</v>
      </c>
      <c r="H91" s="1" t="s">
        <v>144</v>
      </c>
      <c r="I91" s="1" t="s">
        <v>85</v>
      </c>
      <c r="J91" s="54" t="s">
        <v>170</v>
      </c>
      <c r="K91" s="1" t="s">
        <v>452</v>
      </c>
      <c r="L91" s="1">
        <v>0</v>
      </c>
      <c r="M91" s="1">
        <v>0</v>
      </c>
      <c r="N91" s="1">
        <v>0</v>
      </c>
      <c r="O91" s="69">
        <v>0</v>
      </c>
      <c r="P91" s="1">
        <v>0</v>
      </c>
      <c r="Q91" s="1">
        <v>0</v>
      </c>
      <c r="R91" s="1"/>
      <c r="S91" s="1">
        <v>4</v>
      </c>
      <c r="T91" s="1">
        <v>0</v>
      </c>
      <c r="U91" s="1">
        <v>0</v>
      </c>
      <c r="V91" s="1">
        <v>2</v>
      </c>
      <c r="W91" s="1">
        <v>4</v>
      </c>
      <c r="X91" s="1">
        <v>0</v>
      </c>
      <c r="Y91" s="1"/>
      <c r="Z91" s="1"/>
      <c r="AA91" s="1">
        <v>0</v>
      </c>
      <c r="AB91" s="1"/>
      <c r="AC91" s="1"/>
      <c r="AD91" s="1"/>
      <c r="AE91" s="1"/>
      <c r="AF91" s="1">
        <v>4</v>
      </c>
      <c r="AG91" s="1">
        <v>1</v>
      </c>
      <c r="AH91" s="1">
        <v>0</v>
      </c>
      <c r="AI91" s="1">
        <v>0</v>
      </c>
      <c r="AJ91" s="1" t="s">
        <v>21</v>
      </c>
      <c r="AK91" s="1" t="s">
        <v>21</v>
      </c>
      <c r="AL91" s="17">
        <v>43369</v>
      </c>
      <c r="AM91" s="18" t="s">
        <v>12</v>
      </c>
      <c r="AN91" s="10"/>
    </row>
    <row r="92" spans="1:40" s="43" customFormat="1" ht="15" customHeight="1">
      <c r="B92" s="1">
        <f t="shared" si="1"/>
        <v>82</v>
      </c>
      <c r="C92" s="1">
        <v>1</v>
      </c>
      <c r="D92" s="1" t="s">
        <v>212</v>
      </c>
      <c r="E92" s="1" t="s">
        <v>91</v>
      </c>
      <c r="F92" s="1" t="s">
        <v>96</v>
      </c>
      <c r="G92" s="1" t="s">
        <v>96</v>
      </c>
      <c r="H92" s="1" t="s">
        <v>147</v>
      </c>
      <c r="I92" s="1" t="s">
        <v>85</v>
      </c>
      <c r="J92" s="54" t="s">
        <v>170</v>
      </c>
      <c r="K92" s="1" t="s">
        <v>452</v>
      </c>
      <c r="L92" s="1">
        <v>0</v>
      </c>
      <c r="M92" s="1">
        <v>0</v>
      </c>
      <c r="N92" s="1">
        <v>0</v>
      </c>
      <c r="O92" s="1">
        <v>0</v>
      </c>
      <c r="P92" s="1">
        <v>0</v>
      </c>
      <c r="Q92" s="1">
        <v>0</v>
      </c>
      <c r="R92" s="1"/>
      <c r="S92" s="1">
        <v>4</v>
      </c>
      <c r="T92" s="1">
        <v>0</v>
      </c>
      <c r="U92" s="1">
        <v>0</v>
      </c>
      <c r="V92" s="1">
        <v>2</v>
      </c>
      <c r="W92" s="1">
        <v>4</v>
      </c>
      <c r="X92" s="1">
        <v>0</v>
      </c>
      <c r="Y92" s="1"/>
      <c r="Z92" s="1"/>
      <c r="AA92" s="1">
        <v>0</v>
      </c>
      <c r="AB92" s="1"/>
      <c r="AC92" s="1"/>
      <c r="AD92" s="1"/>
      <c r="AE92" s="1"/>
      <c r="AF92" s="1">
        <v>4</v>
      </c>
      <c r="AG92" s="1">
        <v>1</v>
      </c>
      <c r="AH92" s="1">
        <v>0</v>
      </c>
      <c r="AI92" s="1">
        <v>0</v>
      </c>
      <c r="AJ92" s="1" t="s">
        <v>21</v>
      </c>
      <c r="AK92" s="1" t="s">
        <v>21</v>
      </c>
      <c r="AL92" s="17">
        <v>43369</v>
      </c>
      <c r="AM92" s="18" t="s">
        <v>12</v>
      </c>
      <c r="AN92" s="10"/>
    </row>
    <row r="93" spans="1:40" s="43" customFormat="1" ht="15" customHeight="1">
      <c r="B93" s="1">
        <f t="shared" si="1"/>
        <v>83</v>
      </c>
      <c r="C93" s="44">
        <v>0</v>
      </c>
      <c r="D93" s="44" t="s">
        <v>228</v>
      </c>
      <c r="E93" s="44" t="s">
        <v>187</v>
      </c>
      <c r="F93" s="44" t="s">
        <v>148</v>
      </c>
      <c r="G93" s="44" t="s">
        <v>149</v>
      </c>
      <c r="H93" s="44" t="s">
        <v>150</v>
      </c>
      <c r="I93" s="44" t="s">
        <v>85</v>
      </c>
      <c r="J93" s="44" t="s">
        <v>143</v>
      </c>
      <c r="K93" s="44" t="s">
        <v>12</v>
      </c>
      <c r="L93" s="44">
        <v>0</v>
      </c>
      <c r="M93" s="44">
        <v>0</v>
      </c>
      <c r="N93" s="44">
        <v>4</v>
      </c>
      <c r="O93" s="44">
        <v>0</v>
      </c>
      <c r="P93" s="44">
        <v>0</v>
      </c>
      <c r="Q93" s="44">
        <v>4</v>
      </c>
      <c r="R93" s="44"/>
      <c r="S93" s="44">
        <v>0</v>
      </c>
      <c r="T93" s="44">
        <v>0</v>
      </c>
      <c r="U93" s="44">
        <v>3</v>
      </c>
      <c r="V93" s="44">
        <v>3</v>
      </c>
      <c r="W93" s="44">
        <v>0</v>
      </c>
      <c r="X93" s="1">
        <v>0</v>
      </c>
      <c r="Y93" s="44"/>
      <c r="Z93" s="44"/>
      <c r="AA93" s="1">
        <v>0</v>
      </c>
      <c r="AB93" s="1"/>
      <c r="AC93" s="1"/>
      <c r="AD93" s="1"/>
      <c r="AE93" s="1"/>
      <c r="AF93" s="1"/>
      <c r="AG93" s="1">
        <v>0</v>
      </c>
      <c r="AH93" s="1">
        <v>0</v>
      </c>
      <c r="AI93" s="1"/>
      <c r="AJ93" s="44" t="s">
        <v>21</v>
      </c>
      <c r="AK93" s="44" t="s">
        <v>21</v>
      </c>
      <c r="AL93" s="45">
        <v>43369</v>
      </c>
      <c r="AM93" s="44" t="s">
        <v>12</v>
      </c>
      <c r="AN93" s="46"/>
    </row>
    <row r="94" spans="1:40" s="65" customFormat="1" ht="15" customHeight="1">
      <c r="A94" s="51"/>
      <c r="B94" s="62">
        <f t="shared" si="1"/>
        <v>84</v>
      </c>
      <c r="C94" s="62">
        <v>0</v>
      </c>
      <c r="D94" s="62" t="s">
        <v>187</v>
      </c>
      <c r="E94" s="62" t="s">
        <v>347</v>
      </c>
      <c r="F94" s="62" t="s">
        <v>148</v>
      </c>
      <c r="G94" s="62" t="s">
        <v>148</v>
      </c>
      <c r="H94" s="62" t="s">
        <v>151</v>
      </c>
      <c r="I94" s="62" t="s">
        <v>87</v>
      </c>
      <c r="J94" s="62" t="s">
        <v>312</v>
      </c>
      <c r="K94" s="62" t="s">
        <v>408</v>
      </c>
      <c r="L94" s="62">
        <v>0</v>
      </c>
      <c r="M94" s="62">
        <v>0</v>
      </c>
      <c r="N94" s="62">
        <v>4</v>
      </c>
      <c r="O94" s="62">
        <v>0</v>
      </c>
      <c r="P94" s="62">
        <v>0</v>
      </c>
      <c r="Q94" s="62">
        <v>4</v>
      </c>
      <c r="R94" s="62"/>
      <c r="S94" s="62">
        <v>0</v>
      </c>
      <c r="T94" s="62">
        <v>0</v>
      </c>
      <c r="U94" s="62">
        <v>3</v>
      </c>
      <c r="V94" s="62">
        <v>3</v>
      </c>
      <c r="W94" s="62"/>
      <c r="X94" s="55"/>
      <c r="Y94" s="62">
        <v>4</v>
      </c>
      <c r="Z94" s="62">
        <v>3</v>
      </c>
      <c r="AA94" s="55"/>
      <c r="AB94" s="55"/>
      <c r="AC94" s="55"/>
      <c r="AD94" s="55"/>
      <c r="AE94" s="55">
        <v>1</v>
      </c>
      <c r="AF94" s="55"/>
      <c r="AG94" s="1"/>
      <c r="AH94" s="1">
        <v>0</v>
      </c>
      <c r="AI94" s="1"/>
      <c r="AJ94" s="62" t="s">
        <v>21</v>
      </c>
      <c r="AK94" s="62" t="s">
        <v>21</v>
      </c>
      <c r="AL94" s="63">
        <v>44133</v>
      </c>
      <c r="AM94" s="62" t="s">
        <v>330</v>
      </c>
      <c r="AN94" s="64" t="s">
        <v>490</v>
      </c>
    </row>
    <row r="95" spans="1:40" s="43" customFormat="1" ht="15" customHeight="1">
      <c r="B95" s="1">
        <f t="shared" si="1"/>
        <v>85</v>
      </c>
      <c r="C95" s="1">
        <v>0</v>
      </c>
      <c r="D95" s="1" t="s">
        <v>184</v>
      </c>
      <c r="E95" s="1" t="s">
        <v>184</v>
      </c>
      <c r="F95" s="1" t="s">
        <v>46</v>
      </c>
      <c r="G95" s="1" t="s">
        <v>46</v>
      </c>
      <c r="H95" s="1" t="s">
        <v>156</v>
      </c>
      <c r="I95" s="1" t="s">
        <v>157</v>
      </c>
      <c r="J95" s="1" t="s">
        <v>143</v>
      </c>
      <c r="K95" s="1" t="s">
        <v>62</v>
      </c>
      <c r="L95" s="1">
        <v>0</v>
      </c>
      <c r="M95" s="1">
        <v>0</v>
      </c>
      <c r="N95" s="1">
        <v>0</v>
      </c>
      <c r="O95" s="1">
        <v>0</v>
      </c>
      <c r="P95" s="1">
        <v>4</v>
      </c>
      <c r="Q95" s="1">
        <v>0</v>
      </c>
      <c r="R95" s="1"/>
      <c r="S95" s="1">
        <v>0</v>
      </c>
      <c r="T95" s="1">
        <v>4</v>
      </c>
      <c r="U95" s="1">
        <v>3</v>
      </c>
      <c r="V95" s="1">
        <v>0</v>
      </c>
      <c r="W95" s="1">
        <v>0</v>
      </c>
      <c r="X95" s="1">
        <v>0</v>
      </c>
      <c r="Y95" s="1"/>
      <c r="Z95" s="1"/>
      <c r="AA95" s="1">
        <v>0</v>
      </c>
      <c r="AB95" s="1"/>
      <c r="AC95" s="1"/>
      <c r="AD95" s="1"/>
      <c r="AE95" s="1"/>
      <c r="AF95" s="1"/>
      <c r="AG95" s="1">
        <v>0</v>
      </c>
      <c r="AH95" s="1">
        <v>0</v>
      </c>
      <c r="AI95" s="1"/>
      <c r="AJ95" s="1" t="s">
        <v>21</v>
      </c>
      <c r="AK95" s="1" t="s">
        <v>21</v>
      </c>
      <c r="AL95" s="17">
        <v>43417</v>
      </c>
      <c r="AM95" s="18" t="s">
        <v>62</v>
      </c>
      <c r="AN95" s="10"/>
    </row>
    <row r="96" spans="1:40" s="43" customFormat="1" ht="15" customHeight="1">
      <c r="B96" s="1">
        <f t="shared" si="1"/>
        <v>86</v>
      </c>
      <c r="C96" s="1">
        <v>0</v>
      </c>
      <c r="D96" s="1" t="s">
        <v>184</v>
      </c>
      <c r="E96" s="1" t="s">
        <v>184</v>
      </c>
      <c r="F96" s="1" t="s">
        <v>46</v>
      </c>
      <c r="G96" s="1" t="s">
        <v>46</v>
      </c>
      <c r="H96" s="1" t="s">
        <v>158</v>
      </c>
      <c r="I96" s="1" t="s">
        <v>157</v>
      </c>
      <c r="J96" s="1" t="s">
        <v>143</v>
      </c>
      <c r="K96" s="1" t="s">
        <v>62</v>
      </c>
      <c r="L96" s="1">
        <v>0</v>
      </c>
      <c r="M96" s="1">
        <v>0</v>
      </c>
      <c r="N96" s="1">
        <v>0</v>
      </c>
      <c r="O96" s="1">
        <v>0</v>
      </c>
      <c r="P96" s="1">
        <v>4</v>
      </c>
      <c r="Q96" s="1">
        <v>0</v>
      </c>
      <c r="R96" s="1"/>
      <c r="S96" s="1">
        <v>0</v>
      </c>
      <c r="T96" s="1">
        <v>4</v>
      </c>
      <c r="U96" s="1">
        <v>3</v>
      </c>
      <c r="V96" s="1">
        <v>0</v>
      </c>
      <c r="W96" s="1">
        <v>0</v>
      </c>
      <c r="X96" s="1">
        <v>0</v>
      </c>
      <c r="Y96" s="1"/>
      <c r="Z96" s="1"/>
      <c r="AA96" s="1">
        <v>0</v>
      </c>
      <c r="AB96" s="1"/>
      <c r="AC96" s="1"/>
      <c r="AD96" s="1"/>
      <c r="AE96" s="1"/>
      <c r="AF96" s="1"/>
      <c r="AG96" s="1">
        <v>0</v>
      </c>
      <c r="AH96" s="1">
        <v>1</v>
      </c>
      <c r="AI96" s="1"/>
      <c r="AJ96" s="1" t="s">
        <v>21</v>
      </c>
      <c r="AK96" s="1" t="s">
        <v>21</v>
      </c>
      <c r="AL96" s="17">
        <v>43417</v>
      </c>
      <c r="AM96" s="18" t="s">
        <v>62</v>
      </c>
      <c r="AN96" s="10"/>
    </row>
    <row r="97" spans="2:40" s="43" customFormat="1" ht="15" customHeight="1">
      <c r="B97" s="1">
        <f t="shared" si="1"/>
        <v>87</v>
      </c>
      <c r="C97" s="1">
        <v>1</v>
      </c>
      <c r="D97" s="1" t="s">
        <v>223</v>
      </c>
      <c r="E97" s="1" t="s">
        <v>30</v>
      </c>
      <c r="F97" s="1" t="s">
        <v>43</v>
      </c>
      <c r="G97" s="1" t="s">
        <v>43</v>
      </c>
      <c r="H97" s="1" t="s">
        <v>159</v>
      </c>
      <c r="I97" s="1" t="s">
        <v>160</v>
      </c>
      <c r="J97" s="1" t="s">
        <v>502</v>
      </c>
      <c r="K97" s="1" t="s">
        <v>486</v>
      </c>
      <c r="L97" s="1">
        <v>0</v>
      </c>
      <c r="M97" s="1">
        <v>4</v>
      </c>
      <c r="N97" s="1">
        <v>0</v>
      </c>
      <c r="O97" s="1">
        <v>2</v>
      </c>
      <c r="P97" s="1">
        <v>0</v>
      </c>
      <c r="Q97" s="1">
        <v>0</v>
      </c>
      <c r="R97" s="1"/>
      <c r="S97" s="1">
        <v>0</v>
      </c>
      <c r="T97" s="1">
        <v>4</v>
      </c>
      <c r="U97" s="1">
        <v>0</v>
      </c>
      <c r="V97" s="1">
        <v>0</v>
      </c>
      <c r="W97" s="1">
        <v>0</v>
      </c>
      <c r="X97" s="1">
        <v>0</v>
      </c>
      <c r="Y97" s="1"/>
      <c r="Z97" s="1"/>
      <c r="AA97" s="1">
        <v>0</v>
      </c>
      <c r="AB97" s="1"/>
      <c r="AC97" s="1"/>
      <c r="AD97" s="1"/>
      <c r="AE97" s="1"/>
      <c r="AF97" s="1"/>
      <c r="AG97" s="1">
        <v>0</v>
      </c>
      <c r="AH97" s="1">
        <v>3</v>
      </c>
      <c r="AI97" s="1">
        <v>3</v>
      </c>
      <c r="AJ97" s="1" t="s">
        <v>21</v>
      </c>
      <c r="AK97" s="1" t="s">
        <v>21</v>
      </c>
      <c r="AL97" s="17">
        <v>44594</v>
      </c>
      <c r="AM97" s="18" t="s">
        <v>486</v>
      </c>
      <c r="AN97" s="10"/>
    </row>
    <row r="98" spans="2:40" s="43" customFormat="1" ht="15" customHeight="1">
      <c r="B98" s="1">
        <f t="shared" si="1"/>
        <v>88</v>
      </c>
      <c r="C98" s="1">
        <v>1</v>
      </c>
      <c r="D98" s="1" t="s">
        <v>223</v>
      </c>
      <c r="E98" s="1" t="s">
        <v>30</v>
      </c>
      <c r="F98" s="1" t="s">
        <v>43</v>
      </c>
      <c r="G98" s="1" t="s">
        <v>43</v>
      </c>
      <c r="H98" s="1" t="s">
        <v>161</v>
      </c>
      <c r="I98" s="1" t="s">
        <v>160</v>
      </c>
      <c r="J98" s="1" t="s">
        <v>502</v>
      </c>
      <c r="K98" s="1" t="s">
        <v>486</v>
      </c>
      <c r="L98" s="1">
        <v>0</v>
      </c>
      <c r="M98" s="1">
        <v>4</v>
      </c>
      <c r="N98" s="1">
        <v>0</v>
      </c>
      <c r="O98" s="1">
        <v>2</v>
      </c>
      <c r="P98" s="1">
        <v>0</v>
      </c>
      <c r="Q98" s="1">
        <v>0</v>
      </c>
      <c r="R98" s="1"/>
      <c r="S98" s="1">
        <v>0</v>
      </c>
      <c r="T98" s="1">
        <v>4</v>
      </c>
      <c r="U98" s="1">
        <v>0</v>
      </c>
      <c r="V98" s="1">
        <v>0</v>
      </c>
      <c r="W98" s="1">
        <v>0</v>
      </c>
      <c r="X98" s="1">
        <v>0</v>
      </c>
      <c r="Y98" s="1"/>
      <c r="Z98" s="1"/>
      <c r="AA98" s="1">
        <v>0</v>
      </c>
      <c r="AB98" s="1"/>
      <c r="AC98" s="1"/>
      <c r="AD98" s="1"/>
      <c r="AE98" s="1"/>
      <c r="AF98" s="1"/>
      <c r="AG98" s="1">
        <v>0</v>
      </c>
      <c r="AH98" s="1">
        <v>3</v>
      </c>
      <c r="AI98" s="1">
        <v>3</v>
      </c>
      <c r="AJ98" s="1" t="s">
        <v>21</v>
      </c>
      <c r="AK98" s="1" t="s">
        <v>21</v>
      </c>
      <c r="AL98" s="17">
        <v>44594</v>
      </c>
      <c r="AM98" s="18" t="s">
        <v>486</v>
      </c>
      <c r="AN98" s="10"/>
    </row>
    <row r="99" spans="2:40" s="43" customFormat="1" ht="15" customHeight="1">
      <c r="B99" s="1">
        <f t="shared" si="1"/>
        <v>89</v>
      </c>
      <c r="C99" s="1">
        <v>1</v>
      </c>
      <c r="D99" s="1" t="s">
        <v>223</v>
      </c>
      <c r="E99" s="1" t="s">
        <v>30</v>
      </c>
      <c r="F99" s="1" t="s">
        <v>43</v>
      </c>
      <c r="G99" s="1" t="s">
        <v>43</v>
      </c>
      <c r="H99" s="1" t="s">
        <v>162</v>
      </c>
      <c r="I99" s="1" t="s">
        <v>160</v>
      </c>
      <c r="J99" s="1" t="s">
        <v>62</v>
      </c>
      <c r="K99" s="1" t="s">
        <v>11</v>
      </c>
      <c r="L99" s="1">
        <v>0</v>
      </c>
      <c r="M99" s="1">
        <v>4</v>
      </c>
      <c r="N99" s="1">
        <v>0</v>
      </c>
      <c r="O99" s="1">
        <v>2</v>
      </c>
      <c r="P99" s="1">
        <v>0</v>
      </c>
      <c r="Q99" s="1">
        <v>0</v>
      </c>
      <c r="R99" s="1"/>
      <c r="S99" s="1">
        <v>0</v>
      </c>
      <c r="T99" s="1">
        <v>4</v>
      </c>
      <c r="U99" s="1">
        <v>0</v>
      </c>
      <c r="V99" s="1">
        <v>0</v>
      </c>
      <c r="W99" s="1">
        <v>0</v>
      </c>
      <c r="X99" s="1">
        <v>0</v>
      </c>
      <c r="Y99" s="1"/>
      <c r="Z99" s="1"/>
      <c r="AA99" s="1">
        <v>0</v>
      </c>
      <c r="AB99" s="1"/>
      <c r="AC99" s="1"/>
      <c r="AD99" s="1"/>
      <c r="AE99" s="1"/>
      <c r="AF99" s="1"/>
      <c r="AG99" s="1">
        <v>0</v>
      </c>
      <c r="AH99" s="1">
        <v>3</v>
      </c>
      <c r="AI99" s="1">
        <v>0</v>
      </c>
      <c r="AJ99" s="1" t="s">
        <v>21</v>
      </c>
      <c r="AK99" s="1" t="s">
        <v>21</v>
      </c>
      <c r="AL99" s="17">
        <v>44112</v>
      </c>
      <c r="AM99" s="18" t="s">
        <v>11</v>
      </c>
      <c r="AN99" s="10"/>
    </row>
    <row r="100" spans="2:40" s="43" customFormat="1" ht="15" customHeight="1">
      <c r="B100" s="1">
        <f t="shared" si="1"/>
        <v>90</v>
      </c>
      <c r="C100" s="1">
        <v>1</v>
      </c>
      <c r="D100" s="1" t="s">
        <v>186</v>
      </c>
      <c r="E100" s="1" t="s">
        <v>186</v>
      </c>
      <c r="F100" s="1" t="s">
        <v>19</v>
      </c>
      <c r="G100" s="1"/>
      <c r="H100" s="1" t="s">
        <v>164</v>
      </c>
      <c r="I100" s="1" t="s">
        <v>85</v>
      </c>
      <c r="J100" s="1" t="s">
        <v>408</v>
      </c>
      <c r="K100" s="1" t="s">
        <v>340</v>
      </c>
      <c r="L100" s="1">
        <v>0</v>
      </c>
      <c r="M100" s="1">
        <v>4</v>
      </c>
      <c r="N100" s="1">
        <v>0</v>
      </c>
      <c r="O100" s="1">
        <v>3</v>
      </c>
      <c r="P100" s="1">
        <v>0</v>
      </c>
      <c r="Q100" s="1">
        <v>0</v>
      </c>
      <c r="R100" s="1"/>
      <c r="S100" s="1">
        <v>0</v>
      </c>
      <c r="T100" s="1">
        <v>3</v>
      </c>
      <c r="U100" s="1">
        <v>0</v>
      </c>
      <c r="V100" s="1">
        <v>0</v>
      </c>
      <c r="W100" s="1">
        <v>0</v>
      </c>
      <c r="X100" s="1">
        <v>4</v>
      </c>
      <c r="Y100" s="1">
        <v>0</v>
      </c>
      <c r="Z100" s="1">
        <v>4</v>
      </c>
      <c r="AA100" s="1">
        <v>0</v>
      </c>
      <c r="AB100" s="1"/>
      <c r="AC100" s="1"/>
      <c r="AD100" s="1"/>
      <c r="AE100" s="1">
        <v>4</v>
      </c>
      <c r="AF100" s="1">
        <v>0</v>
      </c>
      <c r="AG100" s="1">
        <v>0</v>
      </c>
      <c r="AH100" s="1">
        <v>0</v>
      </c>
      <c r="AI100" s="1">
        <v>0</v>
      </c>
      <c r="AJ100" s="1" t="s">
        <v>21</v>
      </c>
      <c r="AK100" s="1" t="s">
        <v>21</v>
      </c>
      <c r="AL100" s="17">
        <v>44162</v>
      </c>
      <c r="AM100" s="18" t="s">
        <v>330</v>
      </c>
      <c r="AN100" s="10"/>
    </row>
    <row r="101" spans="2:40" s="43" customFormat="1" ht="15" customHeight="1">
      <c r="B101" s="1">
        <f t="shared" si="1"/>
        <v>91</v>
      </c>
      <c r="C101" s="1">
        <v>0</v>
      </c>
      <c r="D101" s="1" t="s">
        <v>185</v>
      </c>
      <c r="E101" s="1" t="s">
        <v>196</v>
      </c>
      <c r="F101" s="1" t="s">
        <v>113</v>
      </c>
      <c r="G101" s="1"/>
      <c r="H101" s="1" t="s">
        <v>200</v>
      </c>
      <c r="I101" s="1" t="s">
        <v>86</v>
      </c>
      <c r="J101" s="1" t="s">
        <v>62</v>
      </c>
      <c r="K101" s="1" t="s">
        <v>11</v>
      </c>
      <c r="L101" s="1">
        <v>4</v>
      </c>
      <c r="M101" s="1">
        <v>4</v>
      </c>
      <c r="N101" s="1">
        <v>0</v>
      </c>
      <c r="O101" s="1">
        <v>0</v>
      </c>
      <c r="P101" s="1">
        <v>0</v>
      </c>
      <c r="Q101" s="1">
        <v>0</v>
      </c>
      <c r="R101" s="1"/>
      <c r="S101" s="1">
        <v>0</v>
      </c>
      <c r="T101" s="1">
        <v>4</v>
      </c>
      <c r="U101" s="1">
        <v>0</v>
      </c>
      <c r="V101" s="1">
        <v>0</v>
      </c>
      <c r="W101" s="1">
        <v>0</v>
      </c>
      <c r="X101" s="1">
        <v>0</v>
      </c>
      <c r="Y101" s="1"/>
      <c r="Z101" s="1"/>
      <c r="AA101" s="1">
        <v>0</v>
      </c>
      <c r="AB101" s="1"/>
      <c r="AC101" s="1"/>
      <c r="AD101" s="1"/>
      <c r="AE101" s="1"/>
      <c r="AF101" s="1"/>
      <c r="AG101" s="1">
        <v>0</v>
      </c>
      <c r="AH101" s="1"/>
      <c r="AI101" s="1"/>
      <c r="AJ101" s="1" t="s">
        <v>21</v>
      </c>
      <c r="AK101" s="1" t="s">
        <v>21</v>
      </c>
      <c r="AL101" s="17">
        <v>43472</v>
      </c>
      <c r="AM101" s="18" t="s">
        <v>11</v>
      </c>
      <c r="AN101" s="10"/>
    </row>
    <row r="102" spans="2:40" s="51" customFormat="1" ht="15" customHeight="1">
      <c r="B102" s="1">
        <f t="shared" si="1"/>
        <v>92</v>
      </c>
      <c r="C102" s="47">
        <v>1</v>
      </c>
      <c r="D102" s="47" t="s">
        <v>283</v>
      </c>
      <c r="E102" s="47" t="s">
        <v>52</v>
      </c>
      <c r="F102" s="47" t="s">
        <v>166</v>
      </c>
      <c r="G102" s="47" t="s">
        <v>166</v>
      </c>
      <c r="H102" s="47" t="s">
        <v>492</v>
      </c>
      <c r="I102" s="47" t="s">
        <v>85</v>
      </c>
      <c r="J102" s="47" t="s">
        <v>312</v>
      </c>
      <c r="K102" s="47" t="s">
        <v>408</v>
      </c>
      <c r="L102" s="47">
        <v>0</v>
      </c>
      <c r="M102" s="47">
        <v>0</v>
      </c>
      <c r="N102" s="47">
        <v>4</v>
      </c>
      <c r="O102" s="47">
        <v>0</v>
      </c>
      <c r="P102" s="47">
        <v>0</v>
      </c>
      <c r="Q102" s="47">
        <v>3</v>
      </c>
      <c r="R102" s="47"/>
      <c r="S102" s="47">
        <v>0</v>
      </c>
      <c r="T102" s="47">
        <v>0</v>
      </c>
      <c r="U102" s="47">
        <v>3</v>
      </c>
      <c r="V102" s="47">
        <v>3</v>
      </c>
      <c r="W102" s="47"/>
      <c r="X102" s="1"/>
      <c r="Y102" s="47">
        <v>4</v>
      </c>
      <c r="Z102" s="47">
        <v>3</v>
      </c>
      <c r="AA102" s="1"/>
      <c r="AB102" s="1"/>
      <c r="AC102" s="1"/>
      <c r="AD102" s="1"/>
      <c r="AE102" s="1">
        <v>3</v>
      </c>
      <c r="AF102" s="1"/>
      <c r="AG102" s="1"/>
      <c r="AH102" s="1">
        <v>0</v>
      </c>
      <c r="AI102" s="1">
        <v>0</v>
      </c>
      <c r="AJ102" s="47" t="s">
        <v>21</v>
      </c>
      <c r="AK102" s="47" t="s">
        <v>21</v>
      </c>
      <c r="AL102" s="48" t="s">
        <v>532</v>
      </c>
      <c r="AM102" s="49" t="s">
        <v>410</v>
      </c>
      <c r="AN102" s="50" t="s">
        <v>496</v>
      </c>
    </row>
    <row r="103" spans="2:40" s="43" customFormat="1" ht="15" customHeight="1">
      <c r="B103" s="1">
        <f t="shared" si="1"/>
        <v>93</v>
      </c>
      <c r="C103" s="1">
        <v>1</v>
      </c>
      <c r="D103" s="54" t="s">
        <v>386</v>
      </c>
      <c r="E103" s="1" t="s">
        <v>294</v>
      </c>
      <c r="F103" s="1" t="s">
        <v>57</v>
      </c>
      <c r="G103" s="1"/>
      <c r="H103" s="18" t="s">
        <v>385</v>
      </c>
      <c r="I103" s="1" t="s">
        <v>87</v>
      </c>
      <c r="J103" s="1" t="s">
        <v>12</v>
      </c>
      <c r="K103" s="1" t="s">
        <v>331</v>
      </c>
      <c r="L103" s="1">
        <v>0</v>
      </c>
      <c r="M103" s="1">
        <v>0</v>
      </c>
      <c r="N103" s="1">
        <v>4</v>
      </c>
      <c r="O103" s="1">
        <v>0</v>
      </c>
      <c r="P103" s="1">
        <v>0</v>
      </c>
      <c r="Q103" s="1">
        <v>4</v>
      </c>
      <c r="R103" s="1">
        <v>3</v>
      </c>
      <c r="S103" s="1">
        <v>0</v>
      </c>
      <c r="T103" s="1">
        <v>0</v>
      </c>
      <c r="U103" s="1">
        <v>0</v>
      </c>
      <c r="V103" s="1">
        <v>0</v>
      </c>
      <c r="W103" s="1">
        <v>0</v>
      </c>
      <c r="X103" s="1">
        <v>0</v>
      </c>
      <c r="Y103" s="1">
        <v>0</v>
      </c>
      <c r="Z103" s="1">
        <v>0</v>
      </c>
      <c r="AA103" s="1">
        <v>0</v>
      </c>
      <c r="AB103" s="1"/>
      <c r="AC103" s="1"/>
      <c r="AD103" s="1"/>
      <c r="AE103" s="1"/>
      <c r="AF103" s="1"/>
      <c r="AG103" s="1">
        <v>0</v>
      </c>
      <c r="AH103" s="1">
        <v>0</v>
      </c>
      <c r="AI103" s="1">
        <v>0</v>
      </c>
      <c r="AJ103" s="1" t="s">
        <v>32</v>
      </c>
      <c r="AK103" s="1" t="s">
        <v>21</v>
      </c>
      <c r="AL103" s="17">
        <v>43579</v>
      </c>
      <c r="AM103" s="18" t="s">
        <v>12</v>
      </c>
      <c r="AN103" s="10" t="s">
        <v>76</v>
      </c>
    </row>
    <row r="104" spans="2:40" s="51" customFormat="1" ht="15" customHeight="1">
      <c r="B104" s="1">
        <f t="shared" si="1"/>
        <v>94</v>
      </c>
      <c r="C104" s="47">
        <v>1</v>
      </c>
      <c r="D104" s="47" t="s">
        <v>187</v>
      </c>
      <c r="E104" s="47" t="s">
        <v>347</v>
      </c>
      <c r="F104" s="47" t="s">
        <v>45</v>
      </c>
      <c r="G104" s="47" t="s">
        <v>45</v>
      </c>
      <c r="H104" s="47" t="s">
        <v>445</v>
      </c>
      <c r="I104" s="47" t="s">
        <v>85</v>
      </c>
      <c r="J104" s="47" t="s">
        <v>312</v>
      </c>
      <c r="K104" s="47" t="s">
        <v>408</v>
      </c>
      <c r="L104" s="47"/>
      <c r="M104" s="47"/>
      <c r="N104" s="47"/>
      <c r="O104" s="47"/>
      <c r="P104" s="47"/>
      <c r="Q104" s="47"/>
      <c r="R104" s="47"/>
      <c r="S104" s="47"/>
      <c r="T104" s="47"/>
      <c r="U104" s="47"/>
      <c r="V104" s="47"/>
      <c r="W104" s="47"/>
      <c r="X104" s="1"/>
      <c r="Y104" s="47">
        <v>4</v>
      </c>
      <c r="Z104" s="47">
        <v>3</v>
      </c>
      <c r="AA104" s="1"/>
      <c r="AB104" s="1"/>
      <c r="AC104" s="1"/>
      <c r="AD104" s="1"/>
      <c r="AE104" s="1">
        <v>3</v>
      </c>
      <c r="AF104" s="1"/>
      <c r="AG104" s="1"/>
      <c r="AH104" s="1"/>
      <c r="AI104" s="1">
        <v>0</v>
      </c>
      <c r="AJ104" s="47" t="s">
        <v>32</v>
      </c>
      <c r="AK104" s="47" t="s">
        <v>21</v>
      </c>
      <c r="AL104" s="48" t="s">
        <v>451</v>
      </c>
      <c r="AM104" s="49" t="s">
        <v>410</v>
      </c>
      <c r="AN104" s="50"/>
    </row>
    <row r="105" spans="2:40" s="43" customFormat="1" ht="15" customHeight="1">
      <c r="B105" s="1">
        <f t="shared" si="1"/>
        <v>95</v>
      </c>
      <c r="C105" s="1">
        <v>1</v>
      </c>
      <c r="D105" s="1" t="s">
        <v>212</v>
      </c>
      <c r="E105" s="1" t="s">
        <v>91</v>
      </c>
      <c r="F105" s="1" t="s">
        <v>96</v>
      </c>
      <c r="G105" s="1" t="s">
        <v>96</v>
      </c>
      <c r="H105" s="1" t="s">
        <v>167</v>
      </c>
      <c r="I105" s="1" t="s">
        <v>85</v>
      </c>
      <c r="J105" s="54" t="s">
        <v>170</v>
      </c>
      <c r="K105" s="1" t="s">
        <v>452</v>
      </c>
      <c r="L105" s="1">
        <v>0</v>
      </c>
      <c r="M105" s="1">
        <v>0</v>
      </c>
      <c r="N105" s="1">
        <v>0</v>
      </c>
      <c r="O105" s="1">
        <v>0</v>
      </c>
      <c r="P105" s="1">
        <v>0</v>
      </c>
      <c r="Q105" s="1">
        <v>0</v>
      </c>
      <c r="R105" s="1"/>
      <c r="S105" s="1">
        <v>4</v>
      </c>
      <c r="T105" s="1">
        <v>0</v>
      </c>
      <c r="U105" s="1">
        <v>0</v>
      </c>
      <c r="V105" s="1">
        <v>2</v>
      </c>
      <c r="W105" s="1">
        <v>4</v>
      </c>
      <c r="X105" s="1">
        <v>0</v>
      </c>
      <c r="Y105" s="1"/>
      <c r="Z105" s="1"/>
      <c r="AA105" s="1">
        <v>0</v>
      </c>
      <c r="AB105" s="1"/>
      <c r="AC105" s="1"/>
      <c r="AD105" s="1"/>
      <c r="AE105" s="1"/>
      <c r="AF105" s="1">
        <v>4</v>
      </c>
      <c r="AG105" s="1">
        <v>1</v>
      </c>
      <c r="AH105" s="1">
        <v>0</v>
      </c>
      <c r="AI105" s="1">
        <v>0</v>
      </c>
      <c r="AJ105" s="1" t="s">
        <v>21</v>
      </c>
      <c r="AK105" s="1" t="s">
        <v>21</v>
      </c>
      <c r="AL105" s="17"/>
      <c r="AM105" s="18"/>
      <c r="AN105" s="10"/>
    </row>
    <row r="106" spans="2:40" s="43" customFormat="1" ht="15" customHeight="1">
      <c r="B106" s="1">
        <f t="shared" si="1"/>
        <v>96</v>
      </c>
      <c r="C106" s="1">
        <v>1</v>
      </c>
      <c r="D106" s="1" t="s">
        <v>212</v>
      </c>
      <c r="E106" s="1" t="s">
        <v>91</v>
      </c>
      <c r="F106" s="1" t="s">
        <v>96</v>
      </c>
      <c r="G106" s="1" t="s">
        <v>96</v>
      </c>
      <c r="H106" s="1" t="s">
        <v>168</v>
      </c>
      <c r="I106" s="1" t="s">
        <v>85</v>
      </c>
      <c r="J106" s="54" t="s">
        <v>170</v>
      </c>
      <c r="K106" s="1" t="s">
        <v>452</v>
      </c>
      <c r="L106" s="1">
        <v>0</v>
      </c>
      <c r="M106" s="1">
        <v>0</v>
      </c>
      <c r="N106" s="1">
        <v>0</v>
      </c>
      <c r="O106" s="1">
        <v>0</v>
      </c>
      <c r="P106" s="1">
        <v>0</v>
      </c>
      <c r="Q106" s="1">
        <v>0</v>
      </c>
      <c r="R106" s="1"/>
      <c r="S106" s="1">
        <v>4</v>
      </c>
      <c r="T106" s="1">
        <v>0</v>
      </c>
      <c r="U106" s="1">
        <v>0</v>
      </c>
      <c r="V106" s="1">
        <v>2</v>
      </c>
      <c r="W106" s="1">
        <v>4</v>
      </c>
      <c r="X106" s="1">
        <v>0</v>
      </c>
      <c r="Y106" s="1"/>
      <c r="Z106" s="1"/>
      <c r="AA106" s="1">
        <v>0</v>
      </c>
      <c r="AB106" s="1"/>
      <c r="AC106" s="1"/>
      <c r="AD106" s="1"/>
      <c r="AE106" s="1"/>
      <c r="AF106" s="1">
        <v>4</v>
      </c>
      <c r="AG106" s="1">
        <v>1</v>
      </c>
      <c r="AH106" s="1">
        <v>0</v>
      </c>
      <c r="AI106" s="1">
        <v>0</v>
      </c>
      <c r="AJ106" s="1" t="s">
        <v>21</v>
      </c>
      <c r="AK106" s="1" t="s">
        <v>21</v>
      </c>
      <c r="AL106" s="17"/>
      <c r="AM106" s="18"/>
      <c r="AN106" s="10"/>
    </row>
    <row r="107" spans="2:40" s="43" customFormat="1" ht="15" customHeight="1">
      <c r="B107" s="1">
        <f t="shared" si="1"/>
        <v>97</v>
      </c>
      <c r="C107" s="1">
        <v>1</v>
      </c>
      <c r="D107" s="1" t="s">
        <v>212</v>
      </c>
      <c r="E107" s="1" t="s">
        <v>91</v>
      </c>
      <c r="F107" s="1" t="s">
        <v>96</v>
      </c>
      <c r="G107" s="1" t="s">
        <v>96</v>
      </c>
      <c r="H107" s="1" t="s">
        <v>169</v>
      </c>
      <c r="I107" s="1" t="s">
        <v>85</v>
      </c>
      <c r="J107" s="54" t="s">
        <v>170</v>
      </c>
      <c r="K107" s="1" t="s">
        <v>452</v>
      </c>
      <c r="L107" s="1">
        <v>0</v>
      </c>
      <c r="M107" s="1">
        <v>0</v>
      </c>
      <c r="N107" s="1">
        <v>0</v>
      </c>
      <c r="O107" s="1">
        <v>0</v>
      </c>
      <c r="P107" s="1">
        <v>0</v>
      </c>
      <c r="Q107" s="1">
        <v>0</v>
      </c>
      <c r="R107" s="1"/>
      <c r="S107" s="1">
        <v>4</v>
      </c>
      <c r="T107" s="1">
        <v>0</v>
      </c>
      <c r="U107" s="1">
        <v>0</v>
      </c>
      <c r="V107" s="1">
        <v>2</v>
      </c>
      <c r="W107" s="1">
        <v>4</v>
      </c>
      <c r="X107" s="1">
        <v>0</v>
      </c>
      <c r="Y107" s="1"/>
      <c r="Z107" s="1"/>
      <c r="AA107" s="1">
        <v>0</v>
      </c>
      <c r="AB107" s="1"/>
      <c r="AC107" s="1"/>
      <c r="AD107" s="1"/>
      <c r="AE107" s="1"/>
      <c r="AF107" s="1">
        <v>4</v>
      </c>
      <c r="AG107" s="1">
        <v>1</v>
      </c>
      <c r="AH107" s="1">
        <v>0</v>
      </c>
      <c r="AI107" s="1">
        <v>0</v>
      </c>
      <c r="AJ107" s="1" t="s">
        <v>21</v>
      </c>
      <c r="AK107" s="1" t="s">
        <v>21</v>
      </c>
      <c r="AL107" s="17"/>
      <c r="AM107" s="18"/>
      <c r="AN107" s="10"/>
    </row>
    <row r="108" spans="2:40" s="43" customFormat="1" ht="15" customHeight="1">
      <c r="B108" s="1">
        <f t="shared" si="1"/>
        <v>98</v>
      </c>
      <c r="C108" s="1">
        <v>1</v>
      </c>
      <c r="D108" s="1" t="s">
        <v>212</v>
      </c>
      <c r="E108" s="1" t="s">
        <v>91</v>
      </c>
      <c r="F108" s="1" t="s">
        <v>92</v>
      </c>
      <c r="G108" s="1" t="s">
        <v>92</v>
      </c>
      <c r="H108" s="1" t="s">
        <v>468</v>
      </c>
      <c r="I108" s="1" t="s">
        <v>85</v>
      </c>
      <c r="J108" s="54" t="s">
        <v>170</v>
      </c>
      <c r="K108" s="1" t="s">
        <v>452</v>
      </c>
      <c r="L108" s="1">
        <v>0</v>
      </c>
      <c r="M108" s="1">
        <v>0</v>
      </c>
      <c r="N108" s="1">
        <v>0</v>
      </c>
      <c r="O108" s="1">
        <v>0</v>
      </c>
      <c r="P108" s="1">
        <v>0</v>
      </c>
      <c r="Q108" s="1">
        <v>0</v>
      </c>
      <c r="R108" s="1"/>
      <c r="S108" s="1">
        <v>4</v>
      </c>
      <c r="T108" s="1">
        <v>0</v>
      </c>
      <c r="U108" s="1">
        <v>0</v>
      </c>
      <c r="V108" s="1">
        <v>0</v>
      </c>
      <c r="W108" s="1">
        <v>4</v>
      </c>
      <c r="X108" s="1">
        <v>0</v>
      </c>
      <c r="Y108" s="1"/>
      <c r="Z108" s="1"/>
      <c r="AA108" s="1">
        <v>0</v>
      </c>
      <c r="AB108" s="1"/>
      <c r="AC108" s="1"/>
      <c r="AD108" s="1"/>
      <c r="AE108" s="1"/>
      <c r="AF108" s="1">
        <v>4</v>
      </c>
      <c r="AG108" s="1">
        <v>3</v>
      </c>
      <c r="AH108" s="1">
        <v>0</v>
      </c>
      <c r="AI108" s="1">
        <v>0</v>
      </c>
      <c r="AJ108" s="1" t="s">
        <v>21</v>
      </c>
      <c r="AK108" s="1" t="s">
        <v>21</v>
      </c>
      <c r="AL108" s="17"/>
      <c r="AM108" s="18"/>
      <c r="AN108" s="10"/>
    </row>
    <row r="109" spans="2:40" s="43" customFormat="1" ht="15" customHeight="1">
      <c r="B109" s="1">
        <f t="shared" si="1"/>
        <v>99</v>
      </c>
      <c r="C109" s="1">
        <v>1</v>
      </c>
      <c r="D109" s="1" t="s">
        <v>212</v>
      </c>
      <c r="E109" s="1" t="s">
        <v>91</v>
      </c>
      <c r="F109" s="1" t="s">
        <v>92</v>
      </c>
      <c r="G109" s="1" t="s">
        <v>92</v>
      </c>
      <c r="H109" s="1" t="s">
        <v>288</v>
      </c>
      <c r="I109" s="1" t="s">
        <v>87</v>
      </c>
      <c r="J109" s="54" t="s">
        <v>170</v>
      </c>
      <c r="K109" s="1" t="s">
        <v>452</v>
      </c>
      <c r="L109" s="1">
        <v>0</v>
      </c>
      <c r="M109" s="1">
        <v>0</v>
      </c>
      <c r="N109" s="1">
        <v>0</v>
      </c>
      <c r="O109" s="1">
        <v>0</v>
      </c>
      <c r="P109" s="1">
        <v>0</v>
      </c>
      <c r="Q109" s="1">
        <v>0</v>
      </c>
      <c r="R109" s="1"/>
      <c r="S109" s="1">
        <v>4</v>
      </c>
      <c r="T109" s="1">
        <v>0</v>
      </c>
      <c r="U109" s="1">
        <v>0</v>
      </c>
      <c r="V109" s="1">
        <v>0</v>
      </c>
      <c r="W109" s="1">
        <v>4</v>
      </c>
      <c r="X109" s="1">
        <v>0</v>
      </c>
      <c r="Y109" s="1"/>
      <c r="Z109" s="1"/>
      <c r="AA109" s="1">
        <v>0</v>
      </c>
      <c r="AB109" s="1"/>
      <c r="AC109" s="1"/>
      <c r="AD109" s="1"/>
      <c r="AE109" s="1"/>
      <c r="AF109" s="1">
        <v>4</v>
      </c>
      <c r="AG109" s="1">
        <v>3</v>
      </c>
      <c r="AH109" s="1">
        <v>0</v>
      </c>
      <c r="AI109" s="1">
        <v>0</v>
      </c>
      <c r="AJ109" s="1" t="s">
        <v>32</v>
      </c>
      <c r="AK109" s="1" t="s">
        <v>32</v>
      </c>
      <c r="AL109" s="17"/>
      <c r="AM109" s="18"/>
      <c r="AN109" s="10"/>
    </row>
    <row r="110" spans="2:40" s="43" customFormat="1" ht="15" customHeight="1">
      <c r="B110" s="1">
        <f t="shared" si="1"/>
        <v>100</v>
      </c>
      <c r="C110" s="1">
        <v>1</v>
      </c>
      <c r="D110" s="1" t="s">
        <v>212</v>
      </c>
      <c r="E110" s="1" t="s">
        <v>91</v>
      </c>
      <c r="F110" s="1" t="s">
        <v>96</v>
      </c>
      <c r="G110" s="1" t="s">
        <v>96</v>
      </c>
      <c r="H110" s="1" t="s">
        <v>289</v>
      </c>
      <c r="I110" s="1" t="s">
        <v>87</v>
      </c>
      <c r="J110" s="54" t="s">
        <v>170</v>
      </c>
      <c r="K110" s="1" t="s">
        <v>452</v>
      </c>
      <c r="L110" s="1">
        <v>0</v>
      </c>
      <c r="M110" s="1">
        <v>0</v>
      </c>
      <c r="N110" s="1">
        <v>0</v>
      </c>
      <c r="O110" s="1">
        <v>0</v>
      </c>
      <c r="P110" s="1">
        <v>0</v>
      </c>
      <c r="Q110" s="1">
        <v>0</v>
      </c>
      <c r="R110" s="1"/>
      <c r="S110" s="1">
        <v>4</v>
      </c>
      <c r="T110" s="1">
        <v>0</v>
      </c>
      <c r="U110" s="1">
        <v>0</v>
      </c>
      <c r="V110" s="1">
        <v>1</v>
      </c>
      <c r="W110" s="1">
        <v>4</v>
      </c>
      <c r="X110" s="1">
        <v>0</v>
      </c>
      <c r="Y110" s="1"/>
      <c r="Z110" s="1"/>
      <c r="AA110" s="1">
        <v>0</v>
      </c>
      <c r="AB110" s="1"/>
      <c r="AC110" s="1"/>
      <c r="AD110" s="1"/>
      <c r="AE110" s="1"/>
      <c r="AF110" s="1">
        <v>4</v>
      </c>
      <c r="AG110" s="1">
        <v>3</v>
      </c>
      <c r="AH110" s="1">
        <v>0</v>
      </c>
      <c r="AI110" s="1">
        <v>0</v>
      </c>
      <c r="AJ110" s="1" t="s">
        <v>32</v>
      </c>
      <c r="AK110" s="1" t="s">
        <v>32</v>
      </c>
      <c r="AL110" s="17"/>
      <c r="AM110" s="18"/>
      <c r="AN110" s="10"/>
    </row>
    <row r="111" spans="2:40" s="43" customFormat="1" ht="15" customHeight="1">
      <c r="B111" s="1">
        <f t="shared" si="1"/>
        <v>101</v>
      </c>
      <c r="C111" s="1">
        <v>1</v>
      </c>
      <c r="D111" s="1" t="s">
        <v>212</v>
      </c>
      <c r="E111" s="1" t="s">
        <v>91</v>
      </c>
      <c r="F111" s="1" t="s">
        <v>98</v>
      </c>
      <c r="G111" s="1" t="s">
        <v>98</v>
      </c>
      <c r="H111" s="1" t="s">
        <v>290</v>
      </c>
      <c r="I111" s="1" t="s">
        <v>87</v>
      </c>
      <c r="J111" s="54" t="s">
        <v>170</v>
      </c>
      <c r="K111" s="1" t="s">
        <v>452</v>
      </c>
      <c r="L111" s="1">
        <v>0</v>
      </c>
      <c r="M111" s="1">
        <v>0</v>
      </c>
      <c r="N111" s="1">
        <v>0</v>
      </c>
      <c r="O111" s="1">
        <v>0</v>
      </c>
      <c r="P111" s="1">
        <v>0</v>
      </c>
      <c r="Q111" s="1">
        <v>0</v>
      </c>
      <c r="R111" s="1"/>
      <c r="S111" s="1">
        <v>4</v>
      </c>
      <c r="T111" s="1">
        <v>0</v>
      </c>
      <c r="U111" s="1">
        <v>0</v>
      </c>
      <c r="V111" s="1">
        <v>0</v>
      </c>
      <c r="W111" s="1">
        <v>4</v>
      </c>
      <c r="X111" s="1">
        <v>0</v>
      </c>
      <c r="Y111" s="1"/>
      <c r="Z111" s="1"/>
      <c r="AA111" s="1">
        <v>0</v>
      </c>
      <c r="AB111" s="1"/>
      <c r="AC111" s="1"/>
      <c r="AD111" s="1"/>
      <c r="AE111" s="1"/>
      <c r="AF111" s="1">
        <v>4</v>
      </c>
      <c r="AG111" s="1">
        <v>3</v>
      </c>
      <c r="AH111" s="1">
        <v>0</v>
      </c>
      <c r="AI111" s="1">
        <v>0</v>
      </c>
      <c r="AJ111" s="1" t="s">
        <v>32</v>
      </c>
      <c r="AK111" s="1" t="s">
        <v>32</v>
      </c>
      <c r="AL111" s="17"/>
      <c r="AM111" s="18"/>
      <c r="AN111" s="10"/>
    </row>
    <row r="112" spans="2:40" s="43" customFormat="1" ht="15" customHeight="1">
      <c r="B112" s="1">
        <f t="shared" si="1"/>
        <v>102</v>
      </c>
      <c r="C112" s="1">
        <v>1</v>
      </c>
      <c r="D112" s="1" t="s">
        <v>212</v>
      </c>
      <c r="E112" s="1" t="s">
        <v>101</v>
      </c>
      <c r="F112" s="1" t="s">
        <v>105</v>
      </c>
      <c r="G112" s="1" t="s">
        <v>102</v>
      </c>
      <c r="H112" s="1" t="s">
        <v>291</v>
      </c>
      <c r="I112" s="1" t="s">
        <v>87</v>
      </c>
      <c r="J112" s="54" t="s">
        <v>170</v>
      </c>
      <c r="K112" s="1" t="s">
        <v>452</v>
      </c>
      <c r="L112" s="1">
        <v>0</v>
      </c>
      <c r="M112" s="1">
        <v>0</v>
      </c>
      <c r="N112" s="1">
        <v>0</v>
      </c>
      <c r="O112" s="1">
        <v>0</v>
      </c>
      <c r="P112" s="1">
        <v>0</v>
      </c>
      <c r="Q112" s="1">
        <v>0</v>
      </c>
      <c r="R112" s="1">
        <v>0</v>
      </c>
      <c r="S112" s="1">
        <v>4</v>
      </c>
      <c r="T112" s="1">
        <v>0</v>
      </c>
      <c r="U112" s="1">
        <v>0</v>
      </c>
      <c r="V112" s="1">
        <v>1</v>
      </c>
      <c r="W112" s="1">
        <v>4</v>
      </c>
      <c r="X112" s="1">
        <v>0</v>
      </c>
      <c r="Y112" s="1">
        <v>0</v>
      </c>
      <c r="Z112" s="1">
        <v>0</v>
      </c>
      <c r="AA112" s="1">
        <v>0</v>
      </c>
      <c r="AB112" s="1"/>
      <c r="AC112" s="1"/>
      <c r="AD112" s="1"/>
      <c r="AE112" s="1"/>
      <c r="AF112" s="1">
        <v>4</v>
      </c>
      <c r="AG112" s="1">
        <v>3</v>
      </c>
      <c r="AH112" s="1">
        <v>0</v>
      </c>
      <c r="AI112" s="1">
        <v>0</v>
      </c>
      <c r="AJ112" s="1" t="s">
        <v>21</v>
      </c>
      <c r="AK112" s="1" t="s">
        <v>21</v>
      </c>
      <c r="AL112" s="17"/>
      <c r="AM112" s="18"/>
      <c r="AN112" s="10"/>
    </row>
    <row r="113" spans="2:41" s="43" customFormat="1" ht="15" customHeight="1">
      <c r="B113" s="1">
        <f t="shared" si="1"/>
        <v>103</v>
      </c>
      <c r="C113" s="1">
        <v>1</v>
      </c>
      <c r="D113" s="1" t="s">
        <v>212</v>
      </c>
      <c r="E113" s="1" t="s">
        <v>101</v>
      </c>
      <c r="F113" s="1" t="s">
        <v>105</v>
      </c>
      <c r="G113" s="1" t="s">
        <v>104</v>
      </c>
      <c r="H113" s="1" t="s">
        <v>292</v>
      </c>
      <c r="I113" s="1" t="s">
        <v>87</v>
      </c>
      <c r="J113" s="54" t="s">
        <v>170</v>
      </c>
      <c r="K113" s="1" t="s">
        <v>452</v>
      </c>
      <c r="L113" s="1">
        <v>0</v>
      </c>
      <c r="M113" s="1">
        <v>0</v>
      </c>
      <c r="N113" s="1">
        <v>0</v>
      </c>
      <c r="O113" s="1">
        <v>0</v>
      </c>
      <c r="P113" s="1">
        <v>0</v>
      </c>
      <c r="Q113" s="1">
        <v>0</v>
      </c>
      <c r="R113" s="1">
        <v>0</v>
      </c>
      <c r="S113" s="1">
        <v>4</v>
      </c>
      <c r="T113" s="1">
        <v>0</v>
      </c>
      <c r="U113" s="1">
        <v>0</v>
      </c>
      <c r="V113" s="1">
        <v>1</v>
      </c>
      <c r="W113" s="1">
        <v>4</v>
      </c>
      <c r="X113" s="1">
        <v>0</v>
      </c>
      <c r="Y113" s="1">
        <v>0</v>
      </c>
      <c r="Z113" s="1">
        <v>0</v>
      </c>
      <c r="AA113" s="1">
        <v>0</v>
      </c>
      <c r="AB113" s="1"/>
      <c r="AC113" s="1"/>
      <c r="AD113" s="1"/>
      <c r="AE113" s="1"/>
      <c r="AF113" s="1">
        <v>4</v>
      </c>
      <c r="AG113" s="1">
        <v>3</v>
      </c>
      <c r="AH113" s="1">
        <v>0</v>
      </c>
      <c r="AI113" s="1">
        <v>0</v>
      </c>
      <c r="AJ113" s="1" t="s">
        <v>21</v>
      </c>
      <c r="AK113" s="1" t="s">
        <v>21</v>
      </c>
      <c r="AL113" s="17"/>
      <c r="AM113" s="18"/>
      <c r="AN113" s="10"/>
    </row>
    <row r="114" spans="2:41" s="43" customFormat="1">
      <c r="B114" s="1">
        <f t="shared" si="1"/>
        <v>104</v>
      </c>
      <c r="C114" s="1">
        <v>1</v>
      </c>
      <c r="D114" s="1" t="s">
        <v>212</v>
      </c>
      <c r="E114" s="1" t="s">
        <v>101</v>
      </c>
      <c r="F114" s="1" t="s">
        <v>118</v>
      </c>
      <c r="G114" s="1" t="s">
        <v>118</v>
      </c>
      <c r="H114" s="1" t="s">
        <v>293</v>
      </c>
      <c r="I114" s="1" t="s">
        <v>87</v>
      </c>
      <c r="J114" s="54" t="s">
        <v>170</v>
      </c>
      <c r="K114" s="1" t="s">
        <v>452</v>
      </c>
      <c r="L114" s="1">
        <v>0</v>
      </c>
      <c r="M114" s="1">
        <v>0</v>
      </c>
      <c r="N114" s="1">
        <v>0</v>
      </c>
      <c r="O114" s="1">
        <v>0</v>
      </c>
      <c r="P114" s="1">
        <v>0</v>
      </c>
      <c r="Q114" s="1">
        <v>0</v>
      </c>
      <c r="R114" s="1">
        <v>0</v>
      </c>
      <c r="S114" s="1">
        <v>4</v>
      </c>
      <c r="T114" s="1">
        <v>0</v>
      </c>
      <c r="U114" s="1">
        <v>0</v>
      </c>
      <c r="V114" s="1">
        <v>1</v>
      </c>
      <c r="W114" s="1">
        <v>4</v>
      </c>
      <c r="X114" s="1">
        <v>0</v>
      </c>
      <c r="Y114" s="1">
        <v>0</v>
      </c>
      <c r="Z114" s="1">
        <v>0</v>
      </c>
      <c r="AA114" s="1">
        <v>0</v>
      </c>
      <c r="AB114" s="1"/>
      <c r="AC114" s="1"/>
      <c r="AD114" s="1"/>
      <c r="AE114" s="1"/>
      <c r="AF114" s="1">
        <v>4</v>
      </c>
      <c r="AG114" s="1">
        <v>3</v>
      </c>
      <c r="AH114" s="1">
        <v>0</v>
      </c>
      <c r="AI114" s="1">
        <v>0</v>
      </c>
      <c r="AJ114" s="1" t="s">
        <v>21</v>
      </c>
      <c r="AK114" s="1" t="s">
        <v>21</v>
      </c>
      <c r="AL114" s="17"/>
      <c r="AM114" s="18"/>
      <c r="AN114" s="10"/>
    </row>
    <row r="115" spans="2:41" s="43" customFormat="1" ht="15" customHeight="1">
      <c r="B115" s="1">
        <f t="shared" si="1"/>
        <v>105</v>
      </c>
      <c r="C115" s="1">
        <v>0</v>
      </c>
      <c r="D115" s="1" t="s">
        <v>186</v>
      </c>
      <c r="E115" s="1" t="s">
        <v>186</v>
      </c>
      <c r="F115" s="1" t="s">
        <v>46</v>
      </c>
      <c r="G115" s="1" t="s">
        <v>46</v>
      </c>
      <c r="H115" s="1" t="s">
        <v>171</v>
      </c>
      <c r="I115" s="1" t="s">
        <v>87</v>
      </c>
      <c r="J115" s="1" t="s">
        <v>13</v>
      </c>
      <c r="K115" s="1" t="s">
        <v>62</v>
      </c>
      <c r="L115" s="1">
        <v>0</v>
      </c>
      <c r="M115" s="1">
        <v>0</v>
      </c>
      <c r="N115" s="1">
        <v>0</v>
      </c>
      <c r="O115" s="1">
        <v>4</v>
      </c>
      <c r="P115" s="1">
        <v>0</v>
      </c>
      <c r="Q115" s="1">
        <v>0</v>
      </c>
      <c r="R115" s="1"/>
      <c r="S115" s="1">
        <v>0</v>
      </c>
      <c r="T115" s="1">
        <v>4</v>
      </c>
      <c r="U115" s="1">
        <v>0</v>
      </c>
      <c r="V115" s="1">
        <v>0</v>
      </c>
      <c r="W115" s="1">
        <v>0</v>
      </c>
      <c r="X115" s="1">
        <v>0</v>
      </c>
      <c r="Y115" s="1"/>
      <c r="Z115" s="1"/>
      <c r="AA115" s="1">
        <v>0</v>
      </c>
      <c r="AB115" s="1"/>
      <c r="AC115" s="1"/>
      <c r="AD115" s="1"/>
      <c r="AE115" s="1"/>
      <c r="AF115" s="1"/>
      <c r="AG115" s="1">
        <v>0</v>
      </c>
      <c r="AH115" s="1">
        <v>1</v>
      </c>
      <c r="AI115" s="1"/>
      <c r="AJ115" s="1" t="s">
        <v>21</v>
      </c>
      <c r="AK115" s="1" t="s">
        <v>21</v>
      </c>
      <c r="AL115" s="17">
        <v>43572</v>
      </c>
      <c r="AM115" s="18" t="s">
        <v>13</v>
      </c>
      <c r="AN115" s="10" t="s">
        <v>308</v>
      </c>
    </row>
    <row r="116" spans="2:41" s="43" customFormat="1" ht="15" customHeight="1">
      <c r="B116" s="1">
        <f t="shared" si="1"/>
        <v>106</v>
      </c>
      <c r="C116" s="1">
        <v>0</v>
      </c>
      <c r="D116" s="1" t="s">
        <v>186</v>
      </c>
      <c r="E116" s="1" t="s">
        <v>186</v>
      </c>
      <c r="F116" s="1" t="s">
        <v>46</v>
      </c>
      <c r="G116" s="1" t="s">
        <v>46</v>
      </c>
      <c r="H116" s="1" t="s">
        <v>172</v>
      </c>
      <c r="I116" s="1" t="s">
        <v>85</v>
      </c>
      <c r="J116" s="1" t="s">
        <v>13</v>
      </c>
      <c r="K116" s="1" t="s">
        <v>62</v>
      </c>
      <c r="L116" s="1">
        <v>0</v>
      </c>
      <c r="M116" s="1">
        <v>0</v>
      </c>
      <c r="N116" s="1">
        <v>0</v>
      </c>
      <c r="O116" s="1">
        <v>4</v>
      </c>
      <c r="P116" s="1">
        <v>0</v>
      </c>
      <c r="Q116" s="1">
        <v>0</v>
      </c>
      <c r="R116" s="1"/>
      <c r="S116" s="1">
        <v>0</v>
      </c>
      <c r="T116" s="1">
        <v>4</v>
      </c>
      <c r="U116" s="1">
        <v>0</v>
      </c>
      <c r="V116" s="1">
        <v>0</v>
      </c>
      <c r="W116" s="1">
        <v>0</v>
      </c>
      <c r="X116" s="1">
        <v>0</v>
      </c>
      <c r="Y116" s="1"/>
      <c r="Z116" s="1"/>
      <c r="AA116" s="1">
        <v>0</v>
      </c>
      <c r="AB116" s="1"/>
      <c r="AC116" s="1"/>
      <c r="AD116" s="1"/>
      <c r="AE116" s="1"/>
      <c r="AF116" s="1"/>
      <c r="AG116" s="1">
        <v>0</v>
      </c>
      <c r="AH116" s="1">
        <v>1</v>
      </c>
      <c r="AI116" s="1"/>
      <c r="AJ116" s="1" t="s">
        <v>21</v>
      </c>
      <c r="AK116" s="1" t="s">
        <v>21</v>
      </c>
      <c r="AL116" s="17">
        <v>43572</v>
      </c>
      <c r="AM116" s="18" t="s">
        <v>13</v>
      </c>
      <c r="AN116" s="10" t="s">
        <v>308</v>
      </c>
    </row>
    <row r="117" spans="2:41" s="43" customFormat="1" ht="15" customHeight="1">
      <c r="B117" s="1">
        <f t="shared" si="1"/>
        <v>107</v>
      </c>
      <c r="C117" s="1">
        <v>0</v>
      </c>
      <c r="D117" s="1" t="s">
        <v>10</v>
      </c>
      <c r="E117" s="1" t="s">
        <v>224</v>
      </c>
      <c r="F117" s="1" t="s">
        <v>173</v>
      </c>
      <c r="G117" s="1" t="s">
        <v>173</v>
      </c>
      <c r="H117" s="1" t="s">
        <v>174</v>
      </c>
      <c r="I117" s="1" t="s">
        <v>85</v>
      </c>
      <c r="J117" s="1" t="s">
        <v>94</v>
      </c>
      <c r="K117" s="1" t="s">
        <v>13</v>
      </c>
      <c r="L117" s="1">
        <v>4</v>
      </c>
      <c r="M117" s="1">
        <v>0</v>
      </c>
      <c r="N117" s="1">
        <v>0</v>
      </c>
      <c r="O117" s="1">
        <v>3</v>
      </c>
      <c r="P117" s="1">
        <v>4</v>
      </c>
      <c r="Q117" s="1">
        <v>0</v>
      </c>
      <c r="R117" s="1"/>
      <c r="S117" s="1">
        <v>0</v>
      </c>
      <c r="T117" s="1">
        <v>0</v>
      </c>
      <c r="U117" s="1">
        <v>0</v>
      </c>
      <c r="V117" s="1">
        <v>0</v>
      </c>
      <c r="W117" s="1">
        <v>0</v>
      </c>
      <c r="X117" s="1">
        <v>0</v>
      </c>
      <c r="Y117" s="1"/>
      <c r="Z117" s="1"/>
      <c r="AA117" s="1">
        <v>0</v>
      </c>
      <c r="AB117" s="1"/>
      <c r="AC117" s="1"/>
      <c r="AD117" s="1"/>
      <c r="AE117" s="1"/>
      <c r="AF117" s="1"/>
      <c r="AG117" s="1">
        <v>0</v>
      </c>
      <c r="AH117" s="1">
        <v>0</v>
      </c>
      <c r="AI117" s="1"/>
      <c r="AJ117" s="1" t="s">
        <v>21</v>
      </c>
      <c r="AK117" s="1" t="s">
        <v>21</v>
      </c>
      <c r="AL117" s="17">
        <v>43572</v>
      </c>
      <c r="AM117" s="18" t="s">
        <v>13</v>
      </c>
      <c r="AN117" s="10"/>
    </row>
    <row r="118" spans="2:41" s="43" customFormat="1" ht="15" customHeight="1">
      <c r="B118" s="1">
        <f t="shared" si="1"/>
        <v>108</v>
      </c>
      <c r="C118" s="1">
        <v>0</v>
      </c>
      <c r="D118" s="1" t="s">
        <v>10</v>
      </c>
      <c r="E118" s="1" t="s">
        <v>224</v>
      </c>
      <c r="F118" s="1" t="s">
        <v>173</v>
      </c>
      <c r="G118" s="1" t="s">
        <v>173</v>
      </c>
      <c r="H118" s="1" t="s">
        <v>175</v>
      </c>
      <c r="I118" s="1" t="s">
        <v>85</v>
      </c>
      <c r="J118" s="1" t="s">
        <v>94</v>
      </c>
      <c r="K118" s="1" t="s">
        <v>13</v>
      </c>
      <c r="L118" s="1">
        <v>4</v>
      </c>
      <c r="M118" s="1">
        <v>0</v>
      </c>
      <c r="N118" s="1">
        <v>0</v>
      </c>
      <c r="O118" s="1">
        <v>3</v>
      </c>
      <c r="P118" s="1">
        <v>4</v>
      </c>
      <c r="Q118" s="1">
        <v>0</v>
      </c>
      <c r="R118" s="1"/>
      <c r="S118" s="1">
        <v>0</v>
      </c>
      <c r="T118" s="1">
        <v>0</v>
      </c>
      <c r="U118" s="1">
        <v>0</v>
      </c>
      <c r="V118" s="1">
        <v>0</v>
      </c>
      <c r="W118" s="1">
        <v>0</v>
      </c>
      <c r="X118" s="1">
        <v>0</v>
      </c>
      <c r="Y118" s="1"/>
      <c r="Z118" s="1"/>
      <c r="AA118" s="1">
        <v>0</v>
      </c>
      <c r="AB118" s="1"/>
      <c r="AC118" s="1"/>
      <c r="AD118" s="1"/>
      <c r="AE118" s="1"/>
      <c r="AF118" s="1"/>
      <c r="AG118" s="1">
        <v>0</v>
      </c>
      <c r="AH118" s="1">
        <v>0</v>
      </c>
      <c r="AI118" s="1"/>
      <c r="AJ118" s="1" t="s">
        <v>21</v>
      </c>
      <c r="AK118" s="1" t="s">
        <v>21</v>
      </c>
      <c r="AL118" s="17">
        <v>43572</v>
      </c>
      <c r="AM118" s="18" t="s">
        <v>13</v>
      </c>
      <c r="AN118" s="10"/>
    </row>
    <row r="119" spans="2:41" s="43" customFormat="1" ht="15" customHeight="1">
      <c r="B119" s="1">
        <f t="shared" si="1"/>
        <v>109</v>
      </c>
      <c r="C119" s="1">
        <v>0</v>
      </c>
      <c r="D119" s="1" t="s">
        <v>10</v>
      </c>
      <c r="E119" s="1" t="s">
        <v>224</v>
      </c>
      <c r="F119" s="1" t="s">
        <v>173</v>
      </c>
      <c r="G119" s="1" t="s">
        <v>173</v>
      </c>
      <c r="H119" s="1" t="s">
        <v>372</v>
      </c>
      <c r="I119" s="1" t="s">
        <v>85</v>
      </c>
      <c r="J119" s="1" t="s">
        <v>94</v>
      </c>
      <c r="K119" s="1" t="s">
        <v>13</v>
      </c>
      <c r="L119" s="1">
        <v>4</v>
      </c>
      <c r="M119" s="1">
        <v>0</v>
      </c>
      <c r="N119" s="1">
        <v>0</v>
      </c>
      <c r="O119" s="1">
        <v>3</v>
      </c>
      <c r="P119" s="1">
        <v>4</v>
      </c>
      <c r="Q119" s="1">
        <v>0</v>
      </c>
      <c r="R119" s="1"/>
      <c r="S119" s="1">
        <v>0</v>
      </c>
      <c r="T119" s="1">
        <v>0</v>
      </c>
      <c r="U119" s="1">
        <v>0</v>
      </c>
      <c r="V119" s="1">
        <v>0</v>
      </c>
      <c r="W119" s="1">
        <v>0</v>
      </c>
      <c r="X119" s="1">
        <v>0</v>
      </c>
      <c r="Y119" s="1"/>
      <c r="Z119" s="1"/>
      <c r="AA119" s="1">
        <v>0</v>
      </c>
      <c r="AB119" s="1"/>
      <c r="AC119" s="1"/>
      <c r="AD119" s="1"/>
      <c r="AE119" s="1"/>
      <c r="AF119" s="1"/>
      <c r="AG119" s="1">
        <v>0</v>
      </c>
      <c r="AH119" s="1">
        <v>0</v>
      </c>
      <c r="AI119" s="1"/>
      <c r="AJ119" s="1" t="s">
        <v>21</v>
      </c>
      <c r="AK119" s="1" t="s">
        <v>21</v>
      </c>
      <c r="AL119" s="17">
        <v>43572</v>
      </c>
      <c r="AM119" s="18" t="s">
        <v>13</v>
      </c>
      <c r="AN119" s="10"/>
    </row>
    <row r="120" spans="2:41" s="43" customFormat="1" ht="15" customHeight="1">
      <c r="B120" s="1">
        <f t="shared" si="1"/>
        <v>110</v>
      </c>
      <c r="C120" s="1">
        <v>1</v>
      </c>
      <c r="D120" s="1" t="s">
        <v>177</v>
      </c>
      <c r="E120" s="1" t="s">
        <v>224</v>
      </c>
      <c r="F120" s="1" t="s">
        <v>176</v>
      </c>
      <c r="G120" s="1" t="s">
        <v>177</v>
      </c>
      <c r="H120" s="1" t="s">
        <v>363</v>
      </c>
      <c r="I120" s="1" t="s">
        <v>85</v>
      </c>
      <c r="J120" s="1" t="s">
        <v>330</v>
      </c>
      <c r="K120" s="1" t="s">
        <v>340</v>
      </c>
      <c r="L120" s="1">
        <v>4</v>
      </c>
      <c r="M120" s="1">
        <v>0</v>
      </c>
      <c r="N120" s="1">
        <v>0</v>
      </c>
      <c r="O120" s="1">
        <v>4</v>
      </c>
      <c r="P120" s="1">
        <v>4</v>
      </c>
      <c r="Q120" s="1">
        <v>0</v>
      </c>
      <c r="R120" s="1"/>
      <c r="S120" s="1">
        <v>0</v>
      </c>
      <c r="T120" s="1">
        <v>0</v>
      </c>
      <c r="U120" s="1">
        <v>0</v>
      </c>
      <c r="V120" s="1">
        <v>0</v>
      </c>
      <c r="W120" s="1">
        <v>0</v>
      </c>
      <c r="X120" s="1">
        <v>2</v>
      </c>
      <c r="Y120" s="1"/>
      <c r="Z120" s="1">
        <v>4</v>
      </c>
      <c r="AA120" s="1">
        <v>0</v>
      </c>
      <c r="AB120" s="1"/>
      <c r="AC120" s="1"/>
      <c r="AD120" s="1"/>
      <c r="AE120" s="1">
        <v>3</v>
      </c>
      <c r="AF120" s="1"/>
      <c r="AG120" s="1">
        <v>0</v>
      </c>
      <c r="AH120" s="1">
        <v>0</v>
      </c>
      <c r="AI120" s="1">
        <v>0</v>
      </c>
      <c r="AJ120" s="1" t="s">
        <v>21</v>
      </c>
      <c r="AK120" s="1" t="s">
        <v>21</v>
      </c>
      <c r="AL120" s="17">
        <v>44854</v>
      </c>
      <c r="AM120" s="18" t="s">
        <v>408</v>
      </c>
      <c r="AN120" s="10"/>
    </row>
    <row r="121" spans="2:41" s="43" customFormat="1" ht="15" customHeight="1">
      <c r="B121" s="1">
        <f t="shared" si="1"/>
        <v>111</v>
      </c>
      <c r="C121" s="1">
        <v>1</v>
      </c>
      <c r="D121" s="1" t="s">
        <v>177</v>
      </c>
      <c r="E121" s="1" t="s">
        <v>224</v>
      </c>
      <c r="F121" s="1" t="s">
        <v>176</v>
      </c>
      <c r="G121" s="1" t="s">
        <v>177</v>
      </c>
      <c r="H121" s="1" t="s">
        <v>182</v>
      </c>
      <c r="I121" s="1" t="s">
        <v>85</v>
      </c>
      <c r="J121" s="1" t="s">
        <v>330</v>
      </c>
      <c r="K121" s="1" t="s">
        <v>340</v>
      </c>
      <c r="L121" s="1">
        <v>4</v>
      </c>
      <c r="M121" s="1">
        <v>0</v>
      </c>
      <c r="N121" s="1">
        <v>0</v>
      </c>
      <c r="O121" s="1">
        <v>4</v>
      </c>
      <c r="P121" s="1">
        <v>4</v>
      </c>
      <c r="Q121" s="1">
        <v>0</v>
      </c>
      <c r="R121" s="1"/>
      <c r="S121" s="1">
        <v>0</v>
      </c>
      <c r="T121" s="1">
        <v>0</v>
      </c>
      <c r="U121" s="1">
        <v>0</v>
      </c>
      <c r="V121" s="1">
        <v>0</v>
      </c>
      <c r="W121" s="1">
        <v>0</v>
      </c>
      <c r="X121" s="1">
        <v>2</v>
      </c>
      <c r="Y121" s="1"/>
      <c r="Z121" s="1">
        <v>4</v>
      </c>
      <c r="AA121" s="1">
        <v>0</v>
      </c>
      <c r="AB121" s="1"/>
      <c r="AC121" s="1"/>
      <c r="AD121" s="1"/>
      <c r="AE121" s="1">
        <v>3</v>
      </c>
      <c r="AF121" s="1"/>
      <c r="AG121" s="1">
        <v>0</v>
      </c>
      <c r="AH121" s="1">
        <v>0</v>
      </c>
      <c r="AI121" s="1">
        <v>0</v>
      </c>
      <c r="AJ121" s="1" t="s">
        <v>21</v>
      </c>
      <c r="AK121" s="1" t="s">
        <v>21</v>
      </c>
      <c r="AL121" s="17">
        <v>44854</v>
      </c>
      <c r="AM121" s="18" t="s">
        <v>408</v>
      </c>
      <c r="AN121" s="10"/>
    </row>
    <row r="122" spans="2:41" s="43" customFormat="1" ht="15" customHeight="1">
      <c r="B122" s="1">
        <f t="shared" si="1"/>
        <v>112</v>
      </c>
      <c r="C122" s="1">
        <v>1</v>
      </c>
      <c r="D122" s="1" t="s">
        <v>10</v>
      </c>
      <c r="E122" s="1" t="s">
        <v>224</v>
      </c>
      <c r="F122" s="1" t="s">
        <v>533</v>
      </c>
      <c r="G122" s="1" t="s">
        <v>533</v>
      </c>
      <c r="H122" s="1" t="s">
        <v>179</v>
      </c>
      <c r="I122" s="1" t="s">
        <v>85</v>
      </c>
      <c r="J122" s="1" t="s">
        <v>330</v>
      </c>
      <c r="K122" s="1" t="s">
        <v>340</v>
      </c>
      <c r="L122" s="1">
        <v>4</v>
      </c>
      <c r="M122" s="1">
        <v>0</v>
      </c>
      <c r="N122" s="1">
        <v>0</v>
      </c>
      <c r="O122" s="1">
        <v>4</v>
      </c>
      <c r="P122" s="1">
        <v>4</v>
      </c>
      <c r="Q122" s="1">
        <v>0</v>
      </c>
      <c r="R122" s="1"/>
      <c r="S122" s="1">
        <v>0</v>
      </c>
      <c r="T122" s="1">
        <v>0</v>
      </c>
      <c r="U122" s="1">
        <v>0</v>
      </c>
      <c r="V122" s="1">
        <v>0</v>
      </c>
      <c r="W122" s="1">
        <v>0</v>
      </c>
      <c r="X122" s="1">
        <v>2</v>
      </c>
      <c r="Y122" s="1"/>
      <c r="Z122" s="1">
        <v>4</v>
      </c>
      <c r="AA122" s="1">
        <v>0</v>
      </c>
      <c r="AB122" s="1"/>
      <c r="AC122" s="1"/>
      <c r="AD122" s="1"/>
      <c r="AE122" s="1">
        <v>3</v>
      </c>
      <c r="AF122" s="1"/>
      <c r="AG122" s="1">
        <v>0</v>
      </c>
      <c r="AH122" s="1">
        <v>0</v>
      </c>
      <c r="AI122" s="1">
        <v>0</v>
      </c>
      <c r="AJ122" s="1" t="s">
        <v>21</v>
      </c>
      <c r="AK122" s="1" t="s">
        <v>21</v>
      </c>
      <c r="AL122" s="17">
        <v>44854</v>
      </c>
      <c r="AM122" s="18" t="s">
        <v>408</v>
      </c>
      <c r="AN122" s="10"/>
    </row>
    <row r="123" spans="2:41" s="43" customFormat="1" ht="15" customHeight="1">
      <c r="B123" s="1">
        <f t="shared" si="1"/>
        <v>113</v>
      </c>
      <c r="C123" s="1">
        <v>1</v>
      </c>
      <c r="D123" s="1" t="s">
        <v>10</v>
      </c>
      <c r="E123" s="1" t="s">
        <v>224</v>
      </c>
      <c r="F123" s="1" t="s">
        <v>533</v>
      </c>
      <c r="G123" s="1" t="s">
        <v>533</v>
      </c>
      <c r="H123" s="1" t="s">
        <v>178</v>
      </c>
      <c r="I123" s="1" t="s">
        <v>87</v>
      </c>
      <c r="J123" s="1" t="s">
        <v>330</v>
      </c>
      <c r="K123" s="1" t="s">
        <v>340</v>
      </c>
      <c r="L123" s="1">
        <v>4</v>
      </c>
      <c r="M123" s="1">
        <v>0</v>
      </c>
      <c r="N123" s="1">
        <v>0</v>
      </c>
      <c r="O123" s="1">
        <v>3</v>
      </c>
      <c r="P123" s="1">
        <v>4</v>
      </c>
      <c r="Q123" s="1">
        <v>0</v>
      </c>
      <c r="R123" s="1"/>
      <c r="S123" s="1">
        <v>0</v>
      </c>
      <c r="T123" s="1">
        <v>0</v>
      </c>
      <c r="U123" s="1">
        <v>0</v>
      </c>
      <c r="V123" s="1">
        <v>0</v>
      </c>
      <c r="W123" s="1">
        <v>0</v>
      </c>
      <c r="X123" s="1">
        <v>2</v>
      </c>
      <c r="Y123" s="1"/>
      <c r="Z123" s="1">
        <v>4</v>
      </c>
      <c r="AA123" s="1">
        <v>0</v>
      </c>
      <c r="AB123" s="1"/>
      <c r="AC123" s="1"/>
      <c r="AD123" s="1"/>
      <c r="AE123" s="1">
        <v>3</v>
      </c>
      <c r="AF123" s="1"/>
      <c r="AG123" s="1">
        <v>0</v>
      </c>
      <c r="AH123" s="1">
        <v>0</v>
      </c>
      <c r="AI123" s="1">
        <v>0</v>
      </c>
      <c r="AJ123" s="1" t="s">
        <v>21</v>
      </c>
      <c r="AK123" s="1" t="s">
        <v>21</v>
      </c>
      <c r="AL123" s="17">
        <v>44854</v>
      </c>
      <c r="AM123" s="18" t="s">
        <v>408</v>
      </c>
      <c r="AN123" s="10"/>
    </row>
    <row r="124" spans="2:41" s="43" customFormat="1" ht="15" customHeight="1">
      <c r="B124" s="1">
        <f t="shared" si="1"/>
        <v>114</v>
      </c>
      <c r="C124" s="1">
        <v>0</v>
      </c>
      <c r="D124" s="1" t="s">
        <v>10</v>
      </c>
      <c r="E124" s="1" t="s">
        <v>224</v>
      </c>
      <c r="F124" s="1" t="s">
        <v>180</v>
      </c>
      <c r="G124" s="1" t="s">
        <v>180</v>
      </c>
      <c r="H124" s="1" t="s">
        <v>180</v>
      </c>
      <c r="I124" s="1" t="s">
        <v>86</v>
      </c>
      <c r="J124" s="1" t="s">
        <v>94</v>
      </c>
      <c r="K124" s="1" t="s">
        <v>13</v>
      </c>
      <c r="L124" s="1">
        <v>4</v>
      </c>
      <c r="M124" s="1">
        <v>0</v>
      </c>
      <c r="N124" s="1">
        <v>0</v>
      </c>
      <c r="O124" s="1">
        <v>2</v>
      </c>
      <c r="P124" s="1">
        <v>4</v>
      </c>
      <c r="Q124" s="1">
        <v>0</v>
      </c>
      <c r="R124" s="1"/>
      <c r="S124" s="1">
        <v>0</v>
      </c>
      <c r="T124" s="1">
        <v>0</v>
      </c>
      <c r="U124" s="1">
        <v>0</v>
      </c>
      <c r="V124" s="1">
        <v>0</v>
      </c>
      <c r="W124" s="1">
        <v>0</v>
      </c>
      <c r="X124" s="1">
        <v>0</v>
      </c>
      <c r="Y124" s="1"/>
      <c r="Z124" s="1"/>
      <c r="AA124" s="1">
        <v>0</v>
      </c>
      <c r="AB124" s="1"/>
      <c r="AC124" s="1"/>
      <c r="AD124" s="1"/>
      <c r="AE124" s="1"/>
      <c r="AF124" s="1"/>
      <c r="AG124" s="1">
        <v>0</v>
      </c>
      <c r="AH124" s="1">
        <v>0</v>
      </c>
      <c r="AI124" s="1"/>
      <c r="AJ124" s="1" t="s">
        <v>21</v>
      </c>
      <c r="AK124" s="1" t="s">
        <v>21</v>
      </c>
      <c r="AL124" s="17"/>
      <c r="AM124" s="18"/>
      <c r="AN124" s="10"/>
    </row>
    <row r="125" spans="2:41" s="43" customFormat="1" ht="15" customHeight="1">
      <c r="B125" s="1">
        <f t="shared" si="1"/>
        <v>115</v>
      </c>
      <c r="C125" s="1">
        <v>0</v>
      </c>
      <c r="D125" s="1" t="s">
        <v>177</v>
      </c>
      <c r="E125" s="1" t="s">
        <v>224</v>
      </c>
      <c r="F125" s="1" t="s">
        <v>176</v>
      </c>
      <c r="G125" s="1" t="s">
        <v>176</v>
      </c>
      <c r="H125" s="1" t="s">
        <v>364</v>
      </c>
      <c r="I125" s="1" t="s">
        <v>87</v>
      </c>
      <c r="J125" s="1" t="s">
        <v>330</v>
      </c>
      <c r="K125" s="1" t="s">
        <v>340</v>
      </c>
      <c r="L125" s="1">
        <v>4</v>
      </c>
      <c r="M125" s="1">
        <v>0</v>
      </c>
      <c r="N125" s="1">
        <v>0</v>
      </c>
      <c r="O125" s="1">
        <v>4</v>
      </c>
      <c r="P125" s="1">
        <v>4</v>
      </c>
      <c r="Q125" s="1">
        <v>0</v>
      </c>
      <c r="R125" s="1"/>
      <c r="S125" s="1">
        <v>0</v>
      </c>
      <c r="T125" s="1">
        <v>0</v>
      </c>
      <c r="U125" s="1">
        <v>0</v>
      </c>
      <c r="V125" s="1">
        <v>0</v>
      </c>
      <c r="W125" s="1">
        <v>0</v>
      </c>
      <c r="X125" s="1">
        <v>2</v>
      </c>
      <c r="Y125" s="1"/>
      <c r="Z125" s="1">
        <v>3</v>
      </c>
      <c r="AA125" s="1">
        <v>0</v>
      </c>
      <c r="AB125" s="1"/>
      <c r="AC125" s="1"/>
      <c r="AD125" s="1"/>
      <c r="AE125" s="1"/>
      <c r="AF125" s="1"/>
      <c r="AG125" s="1">
        <v>0</v>
      </c>
      <c r="AH125" s="1">
        <v>0</v>
      </c>
      <c r="AI125" s="1">
        <v>0</v>
      </c>
      <c r="AJ125" s="1" t="s">
        <v>21</v>
      </c>
      <c r="AK125" s="1" t="s">
        <v>21</v>
      </c>
      <c r="AL125" s="17">
        <v>44105</v>
      </c>
      <c r="AM125" s="18" t="s">
        <v>330</v>
      </c>
      <c r="AN125" s="10"/>
    </row>
    <row r="126" spans="2:41" s="43" customFormat="1" ht="15" customHeight="1">
      <c r="B126" s="1">
        <f t="shared" si="1"/>
        <v>116</v>
      </c>
      <c r="C126" s="1">
        <v>0</v>
      </c>
      <c r="D126" s="1" t="s">
        <v>184</v>
      </c>
      <c r="E126" s="1" t="s">
        <v>52</v>
      </c>
      <c r="F126" s="1" t="s">
        <v>46</v>
      </c>
      <c r="G126" s="1" t="s">
        <v>46</v>
      </c>
      <c r="H126" s="1" t="s">
        <v>189</v>
      </c>
      <c r="I126" s="1"/>
      <c r="J126" s="1" t="s">
        <v>143</v>
      </c>
      <c r="K126" s="1" t="s">
        <v>62</v>
      </c>
      <c r="L126" s="1">
        <v>0</v>
      </c>
      <c r="M126" s="1">
        <v>0</v>
      </c>
      <c r="N126" s="1">
        <v>0</v>
      </c>
      <c r="O126" s="1">
        <v>0</v>
      </c>
      <c r="P126" s="1">
        <v>0</v>
      </c>
      <c r="Q126" s="1">
        <v>0</v>
      </c>
      <c r="R126" s="1"/>
      <c r="S126" s="1">
        <v>0</v>
      </c>
      <c r="T126" s="1">
        <v>4</v>
      </c>
      <c r="U126" s="1">
        <v>3</v>
      </c>
      <c r="V126" s="1">
        <v>0</v>
      </c>
      <c r="W126" s="1">
        <v>0</v>
      </c>
      <c r="X126" s="1">
        <v>0</v>
      </c>
      <c r="Y126" s="1"/>
      <c r="Z126" s="1"/>
      <c r="AA126" s="1">
        <v>0</v>
      </c>
      <c r="AB126" s="1"/>
      <c r="AC126" s="1"/>
      <c r="AD126" s="1"/>
      <c r="AE126" s="1"/>
      <c r="AF126" s="1"/>
      <c r="AG126" s="1">
        <v>0</v>
      </c>
      <c r="AH126" s="1">
        <v>1</v>
      </c>
      <c r="AI126" s="1"/>
      <c r="AJ126" s="1" t="s">
        <v>32</v>
      </c>
      <c r="AK126" s="1" t="s">
        <v>32</v>
      </c>
      <c r="AL126" s="17"/>
      <c r="AM126" s="18"/>
      <c r="AN126" s="10" t="s">
        <v>190</v>
      </c>
    </row>
    <row r="127" spans="2:41" s="43" customFormat="1" ht="15" customHeight="1">
      <c r="B127" s="1">
        <f t="shared" si="1"/>
        <v>117</v>
      </c>
      <c r="C127" s="1">
        <v>0</v>
      </c>
      <c r="D127" s="1" t="s">
        <v>220</v>
      </c>
      <c r="E127" s="1" t="s">
        <v>30</v>
      </c>
      <c r="F127" s="1" t="s">
        <v>113</v>
      </c>
      <c r="G127" s="1"/>
      <c r="H127" s="1" t="s">
        <v>201</v>
      </c>
      <c r="I127" s="1" t="s">
        <v>87</v>
      </c>
      <c r="J127" s="1" t="s">
        <v>486</v>
      </c>
      <c r="K127" s="1" t="s">
        <v>62</v>
      </c>
      <c r="L127" s="1">
        <v>4</v>
      </c>
      <c r="M127" s="1">
        <v>4</v>
      </c>
      <c r="N127" s="1">
        <v>0</v>
      </c>
      <c r="O127" s="1">
        <v>0</v>
      </c>
      <c r="P127" s="1">
        <v>0</v>
      </c>
      <c r="Q127" s="1">
        <v>0</v>
      </c>
      <c r="R127" s="1"/>
      <c r="S127" s="1">
        <v>0</v>
      </c>
      <c r="T127" s="1">
        <v>4</v>
      </c>
      <c r="U127" s="1">
        <v>0</v>
      </c>
      <c r="V127" s="1">
        <v>0</v>
      </c>
      <c r="W127" s="1">
        <v>0</v>
      </c>
      <c r="X127" s="1">
        <v>0</v>
      </c>
      <c r="Y127" s="1"/>
      <c r="Z127" s="1"/>
      <c r="AA127" s="1">
        <v>0</v>
      </c>
      <c r="AB127" s="1"/>
      <c r="AC127" s="1"/>
      <c r="AD127" s="1"/>
      <c r="AE127" s="1"/>
      <c r="AF127" s="1"/>
      <c r="AG127" s="1">
        <v>0</v>
      </c>
      <c r="AH127" s="1">
        <v>4</v>
      </c>
      <c r="AI127" s="1">
        <v>2</v>
      </c>
      <c r="AJ127" s="1" t="s">
        <v>21</v>
      </c>
      <c r="AK127" s="1" t="s">
        <v>21</v>
      </c>
      <c r="AL127" s="17"/>
      <c r="AM127" s="18"/>
      <c r="AN127" s="10"/>
    </row>
    <row r="128" spans="2:41" s="43" customFormat="1" ht="15" customHeight="1">
      <c r="B128" s="1">
        <f t="shared" si="1"/>
        <v>118</v>
      </c>
      <c r="C128" s="1">
        <v>1</v>
      </c>
      <c r="D128" s="1" t="s">
        <v>249</v>
      </c>
      <c r="E128" s="1" t="s">
        <v>30</v>
      </c>
      <c r="F128" s="1" t="s">
        <v>43</v>
      </c>
      <c r="G128" s="1"/>
      <c r="H128" s="1" t="s">
        <v>203</v>
      </c>
      <c r="I128" s="1" t="s">
        <v>85</v>
      </c>
      <c r="J128" s="1" t="s">
        <v>502</v>
      </c>
      <c r="K128" s="1" t="s">
        <v>486</v>
      </c>
      <c r="L128" s="1">
        <v>4</v>
      </c>
      <c r="M128" s="1">
        <v>4</v>
      </c>
      <c r="N128" s="1">
        <v>0</v>
      </c>
      <c r="O128" s="1">
        <v>0</v>
      </c>
      <c r="P128" s="1">
        <v>0</v>
      </c>
      <c r="Q128" s="1">
        <v>0</v>
      </c>
      <c r="R128" s="1"/>
      <c r="S128" s="1">
        <v>0</v>
      </c>
      <c r="T128" s="1">
        <v>3</v>
      </c>
      <c r="U128" s="1">
        <v>0</v>
      </c>
      <c r="V128" s="1">
        <v>0</v>
      </c>
      <c r="W128" s="1">
        <v>0</v>
      </c>
      <c r="X128" s="1">
        <v>0</v>
      </c>
      <c r="Y128" s="1"/>
      <c r="Z128" s="1"/>
      <c r="AA128" s="1">
        <v>0</v>
      </c>
      <c r="AB128" s="1"/>
      <c r="AC128" s="1"/>
      <c r="AD128" s="1"/>
      <c r="AE128" s="1"/>
      <c r="AF128" s="1"/>
      <c r="AG128" s="1">
        <v>0</v>
      </c>
      <c r="AH128" s="1">
        <v>4</v>
      </c>
      <c r="AI128" s="1">
        <v>2</v>
      </c>
      <c r="AJ128" s="1" t="s">
        <v>21</v>
      </c>
      <c r="AK128" s="1" t="s">
        <v>21</v>
      </c>
      <c r="AL128" s="17"/>
      <c r="AM128" s="18"/>
      <c r="AN128" s="10"/>
      <c r="AO128" s="41"/>
    </row>
    <row r="129" spans="2:41" s="43" customFormat="1" ht="15" customHeight="1">
      <c r="B129" s="1">
        <f t="shared" si="1"/>
        <v>119</v>
      </c>
      <c r="C129" s="1">
        <v>1</v>
      </c>
      <c r="D129" s="1" t="s">
        <v>221</v>
      </c>
      <c r="E129" s="1" t="s">
        <v>30</v>
      </c>
      <c r="F129" s="1" t="s">
        <v>43</v>
      </c>
      <c r="G129" s="1"/>
      <c r="H129" s="1" t="s">
        <v>204</v>
      </c>
      <c r="I129" s="1" t="s">
        <v>87</v>
      </c>
      <c r="J129" s="1" t="s">
        <v>502</v>
      </c>
      <c r="K129" s="1" t="s">
        <v>486</v>
      </c>
      <c r="L129" s="1">
        <v>4</v>
      </c>
      <c r="M129" s="1">
        <v>4</v>
      </c>
      <c r="N129" s="1">
        <v>0</v>
      </c>
      <c r="O129" s="1">
        <v>0</v>
      </c>
      <c r="P129" s="1">
        <v>0</v>
      </c>
      <c r="Q129" s="1">
        <v>0</v>
      </c>
      <c r="R129" s="1"/>
      <c r="S129" s="1">
        <v>0</v>
      </c>
      <c r="T129" s="1">
        <v>4</v>
      </c>
      <c r="U129" s="1">
        <v>0</v>
      </c>
      <c r="V129" s="1">
        <v>0</v>
      </c>
      <c r="W129" s="1">
        <v>0</v>
      </c>
      <c r="X129" s="1">
        <v>0</v>
      </c>
      <c r="Y129" s="1"/>
      <c r="Z129" s="1"/>
      <c r="AA129" s="1">
        <v>0</v>
      </c>
      <c r="AB129" s="1"/>
      <c r="AC129" s="1"/>
      <c r="AD129" s="1"/>
      <c r="AE129" s="1"/>
      <c r="AF129" s="1"/>
      <c r="AG129" s="1">
        <v>0</v>
      </c>
      <c r="AH129" s="1">
        <v>4</v>
      </c>
      <c r="AI129" s="1">
        <v>4</v>
      </c>
      <c r="AJ129" s="1" t="s">
        <v>21</v>
      </c>
      <c r="AK129" s="1" t="s">
        <v>21</v>
      </c>
      <c r="AL129" s="17">
        <v>44594</v>
      </c>
      <c r="AM129" s="18" t="s">
        <v>486</v>
      </c>
      <c r="AN129" s="10"/>
      <c r="AO129" s="41"/>
    </row>
    <row r="130" spans="2:41" s="43" customFormat="1" ht="15" customHeight="1">
      <c r="B130" s="1">
        <f t="shared" si="1"/>
        <v>120</v>
      </c>
      <c r="C130" s="1">
        <v>0</v>
      </c>
      <c r="D130" s="1" t="s">
        <v>218</v>
      </c>
      <c r="E130" s="1" t="s">
        <v>30</v>
      </c>
      <c r="F130" s="1" t="s">
        <v>43</v>
      </c>
      <c r="G130" s="1"/>
      <c r="H130" s="1" t="s">
        <v>205</v>
      </c>
      <c r="I130" s="1" t="s">
        <v>87</v>
      </c>
      <c r="J130" s="1" t="s">
        <v>11</v>
      </c>
      <c r="K130" s="1" t="s">
        <v>62</v>
      </c>
      <c r="L130" s="1">
        <v>4</v>
      </c>
      <c r="M130" s="1">
        <v>4</v>
      </c>
      <c r="N130" s="1">
        <v>0</v>
      </c>
      <c r="O130" s="1">
        <v>0</v>
      </c>
      <c r="P130" s="1">
        <v>0</v>
      </c>
      <c r="Q130" s="1">
        <v>0</v>
      </c>
      <c r="R130" s="1"/>
      <c r="S130" s="1">
        <v>0</v>
      </c>
      <c r="T130" s="1">
        <v>3</v>
      </c>
      <c r="U130" s="1">
        <v>0</v>
      </c>
      <c r="V130" s="1">
        <v>0</v>
      </c>
      <c r="W130" s="1">
        <v>0</v>
      </c>
      <c r="X130" s="1">
        <v>0</v>
      </c>
      <c r="Y130" s="1"/>
      <c r="Z130" s="1"/>
      <c r="AA130" s="1">
        <v>0</v>
      </c>
      <c r="AB130" s="1"/>
      <c r="AC130" s="1"/>
      <c r="AD130" s="1"/>
      <c r="AE130" s="1"/>
      <c r="AF130" s="1"/>
      <c r="AG130" s="1">
        <v>0</v>
      </c>
      <c r="AH130" s="1">
        <v>2</v>
      </c>
      <c r="AI130" s="1"/>
      <c r="AJ130" s="1" t="s">
        <v>21</v>
      </c>
      <c r="AK130" s="1" t="s">
        <v>21</v>
      </c>
      <c r="AL130" s="17"/>
      <c r="AM130" s="18"/>
      <c r="AN130" s="10"/>
      <c r="AO130" s="41"/>
    </row>
    <row r="131" spans="2:41" s="43" customFormat="1" ht="15" customHeight="1">
      <c r="B131" s="1">
        <f t="shared" si="1"/>
        <v>121</v>
      </c>
      <c r="C131" s="1">
        <v>0</v>
      </c>
      <c r="D131" s="1" t="s">
        <v>220</v>
      </c>
      <c r="E131" s="1" t="s">
        <v>191</v>
      </c>
      <c r="F131" s="1" t="s">
        <v>113</v>
      </c>
      <c r="G131" s="1"/>
      <c r="H131" s="1" t="s">
        <v>206</v>
      </c>
      <c r="I131" s="1" t="s">
        <v>85</v>
      </c>
      <c r="J131" s="1" t="s">
        <v>486</v>
      </c>
      <c r="K131" s="1" t="s">
        <v>62</v>
      </c>
      <c r="L131" s="1">
        <v>4</v>
      </c>
      <c r="M131" s="1">
        <v>4</v>
      </c>
      <c r="N131" s="1">
        <v>0</v>
      </c>
      <c r="O131" s="1">
        <v>0</v>
      </c>
      <c r="P131" s="1">
        <v>0</v>
      </c>
      <c r="Q131" s="1">
        <v>0</v>
      </c>
      <c r="R131" s="1"/>
      <c r="S131" s="1">
        <v>0</v>
      </c>
      <c r="T131" s="1">
        <v>4</v>
      </c>
      <c r="U131" s="1">
        <v>0</v>
      </c>
      <c r="V131" s="1">
        <v>0</v>
      </c>
      <c r="W131" s="1">
        <v>0</v>
      </c>
      <c r="X131" s="1">
        <v>0</v>
      </c>
      <c r="Y131" s="1"/>
      <c r="Z131" s="1"/>
      <c r="AA131" s="1">
        <v>0</v>
      </c>
      <c r="AB131" s="1"/>
      <c r="AC131" s="1"/>
      <c r="AD131" s="1"/>
      <c r="AE131" s="1"/>
      <c r="AF131" s="1"/>
      <c r="AG131" s="1">
        <v>0</v>
      </c>
      <c r="AH131" s="1">
        <v>0</v>
      </c>
      <c r="AI131" s="1">
        <v>0</v>
      </c>
      <c r="AJ131" s="1" t="s">
        <v>21</v>
      </c>
      <c r="AK131" s="1" t="s">
        <v>21</v>
      </c>
      <c r="AL131" s="17"/>
      <c r="AM131" s="18"/>
      <c r="AN131" s="10"/>
      <c r="AO131" s="41"/>
    </row>
    <row r="132" spans="2:41" s="43" customFormat="1" ht="15" customHeight="1">
      <c r="B132" s="1">
        <f t="shared" si="1"/>
        <v>122</v>
      </c>
      <c r="C132" s="1">
        <v>0</v>
      </c>
      <c r="D132" s="1" t="s">
        <v>222</v>
      </c>
      <c r="E132" s="1" t="s">
        <v>196</v>
      </c>
      <c r="F132" s="1" t="s">
        <v>207</v>
      </c>
      <c r="G132" s="1"/>
      <c r="H132" s="1" t="s">
        <v>208</v>
      </c>
      <c r="I132" s="1" t="s">
        <v>85</v>
      </c>
      <c r="J132" s="1" t="s">
        <v>11</v>
      </c>
      <c r="K132" s="1" t="s">
        <v>62</v>
      </c>
      <c r="L132" s="1">
        <v>4</v>
      </c>
      <c r="M132" s="1">
        <v>4</v>
      </c>
      <c r="N132" s="1">
        <v>0</v>
      </c>
      <c r="O132" s="1">
        <v>0</v>
      </c>
      <c r="P132" s="1">
        <v>4</v>
      </c>
      <c r="Q132" s="1">
        <v>0</v>
      </c>
      <c r="R132" s="1"/>
      <c r="S132" s="1">
        <v>0</v>
      </c>
      <c r="T132" s="1">
        <v>3</v>
      </c>
      <c r="U132" s="1">
        <v>3</v>
      </c>
      <c r="V132" s="1">
        <v>0</v>
      </c>
      <c r="W132" s="1">
        <v>0</v>
      </c>
      <c r="X132" s="1">
        <v>0</v>
      </c>
      <c r="Y132" s="1"/>
      <c r="Z132" s="1"/>
      <c r="AA132" s="1">
        <v>0</v>
      </c>
      <c r="AB132" s="1"/>
      <c r="AC132" s="1"/>
      <c r="AD132" s="1"/>
      <c r="AE132" s="1"/>
      <c r="AF132" s="1"/>
      <c r="AG132" s="1">
        <v>0</v>
      </c>
      <c r="AH132" s="1">
        <v>0</v>
      </c>
      <c r="AI132" s="1"/>
      <c r="AJ132" s="1" t="s">
        <v>21</v>
      </c>
      <c r="AK132" s="1" t="s">
        <v>21</v>
      </c>
      <c r="AL132" s="17"/>
      <c r="AM132" s="18"/>
      <c r="AN132" s="10"/>
      <c r="AO132" s="41"/>
    </row>
    <row r="133" spans="2:41" s="43" customFormat="1" ht="15" customHeight="1">
      <c r="B133" s="1">
        <f t="shared" si="1"/>
        <v>123</v>
      </c>
      <c r="C133" s="1">
        <v>0</v>
      </c>
      <c r="D133" s="1" t="s">
        <v>220</v>
      </c>
      <c r="E133" s="1" t="s">
        <v>196</v>
      </c>
      <c r="F133" s="1" t="s">
        <v>113</v>
      </c>
      <c r="G133" s="1"/>
      <c r="H133" s="1" t="s">
        <v>209</v>
      </c>
      <c r="I133" s="1" t="s">
        <v>87</v>
      </c>
      <c r="J133" s="1" t="s">
        <v>486</v>
      </c>
      <c r="K133" s="1" t="s">
        <v>62</v>
      </c>
      <c r="L133" s="1">
        <v>4</v>
      </c>
      <c r="M133" s="1">
        <v>4</v>
      </c>
      <c r="N133" s="1">
        <v>0</v>
      </c>
      <c r="O133" s="1">
        <v>0</v>
      </c>
      <c r="P133" s="1">
        <v>0</v>
      </c>
      <c r="Q133" s="1">
        <v>0</v>
      </c>
      <c r="R133" s="1"/>
      <c r="S133" s="1">
        <v>0</v>
      </c>
      <c r="T133" s="1">
        <v>3</v>
      </c>
      <c r="U133" s="1">
        <v>0</v>
      </c>
      <c r="V133" s="1">
        <v>0</v>
      </c>
      <c r="W133" s="1">
        <v>0</v>
      </c>
      <c r="X133" s="1">
        <v>0</v>
      </c>
      <c r="Y133" s="1"/>
      <c r="Z133" s="1"/>
      <c r="AA133" s="1">
        <v>0</v>
      </c>
      <c r="AB133" s="1"/>
      <c r="AC133" s="1"/>
      <c r="AD133" s="1"/>
      <c r="AE133" s="1"/>
      <c r="AF133" s="1"/>
      <c r="AG133" s="1">
        <v>0</v>
      </c>
      <c r="AH133" s="1">
        <v>0</v>
      </c>
      <c r="AI133" s="1"/>
      <c r="AJ133" s="1" t="s">
        <v>21</v>
      </c>
      <c r="AK133" s="1" t="s">
        <v>21</v>
      </c>
      <c r="AL133" s="17"/>
      <c r="AM133" s="18"/>
      <c r="AN133" s="10"/>
      <c r="AO133" s="41"/>
    </row>
    <row r="134" spans="2:41" s="43" customFormat="1" ht="15" customHeight="1">
      <c r="B134" s="1">
        <f t="shared" si="1"/>
        <v>124</v>
      </c>
      <c r="C134" s="1">
        <v>0</v>
      </c>
      <c r="D134" s="1" t="s">
        <v>220</v>
      </c>
      <c r="E134" s="1" t="s">
        <v>202</v>
      </c>
      <c r="F134" s="1" t="s">
        <v>113</v>
      </c>
      <c r="G134" s="1"/>
      <c r="H134" s="1" t="s">
        <v>210</v>
      </c>
      <c r="I134" s="1" t="s">
        <v>87</v>
      </c>
      <c r="J134" s="1" t="s">
        <v>486</v>
      </c>
      <c r="K134" s="1" t="s">
        <v>62</v>
      </c>
      <c r="L134" s="1">
        <v>4</v>
      </c>
      <c r="M134" s="1">
        <v>4</v>
      </c>
      <c r="N134" s="1">
        <v>0</v>
      </c>
      <c r="O134" s="1">
        <v>0</v>
      </c>
      <c r="P134" s="1">
        <v>0</v>
      </c>
      <c r="Q134" s="1">
        <v>0</v>
      </c>
      <c r="R134" s="1"/>
      <c r="S134" s="1">
        <v>0</v>
      </c>
      <c r="T134" s="1">
        <v>3</v>
      </c>
      <c r="U134" s="1">
        <v>0</v>
      </c>
      <c r="V134" s="1">
        <v>0</v>
      </c>
      <c r="W134" s="1">
        <v>0</v>
      </c>
      <c r="X134" s="1">
        <v>0</v>
      </c>
      <c r="Y134" s="1"/>
      <c r="Z134" s="1"/>
      <c r="AA134" s="1">
        <v>0</v>
      </c>
      <c r="AB134" s="1"/>
      <c r="AC134" s="1"/>
      <c r="AD134" s="1"/>
      <c r="AE134" s="1"/>
      <c r="AF134" s="1"/>
      <c r="AG134" s="1">
        <v>0</v>
      </c>
      <c r="AH134" s="1">
        <v>0</v>
      </c>
      <c r="AI134" s="1"/>
      <c r="AJ134" s="1" t="s">
        <v>21</v>
      </c>
      <c r="AK134" s="1" t="s">
        <v>21</v>
      </c>
      <c r="AL134" s="17"/>
      <c r="AM134" s="18"/>
      <c r="AN134" s="10"/>
      <c r="AO134" s="41"/>
    </row>
    <row r="135" spans="2:41" s="43" customFormat="1" ht="15" customHeight="1">
      <c r="B135" s="1">
        <f t="shared" si="1"/>
        <v>125</v>
      </c>
      <c r="C135" s="1">
        <v>0</v>
      </c>
      <c r="D135" s="1" t="s">
        <v>220</v>
      </c>
      <c r="E135" s="1" t="s">
        <v>30</v>
      </c>
      <c r="F135" s="1" t="s">
        <v>113</v>
      </c>
      <c r="G135" s="1"/>
      <c r="H135" s="1" t="s">
        <v>211</v>
      </c>
      <c r="I135" s="1" t="s">
        <v>87</v>
      </c>
      <c r="J135" s="1" t="s">
        <v>486</v>
      </c>
      <c r="K135" s="1" t="s">
        <v>62</v>
      </c>
      <c r="L135" s="1">
        <v>4</v>
      </c>
      <c r="M135" s="1">
        <v>4</v>
      </c>
      <c r="N135" s="1">
        <v>0</v>
      </c>
      <c r="O135" s="1">
        <v>0</v>
      </c>
      <c r="P135" s="1">
        <v>0</v>
      </c>
      <c r="Q135" s="1">
        <v>0</v>
      </c>
      <c r="R135" s="1"/>
      <c r="S135" s="1">
        <v>0</v>
      </c>
      <c r="T135" s="1">
        <v>3</v>
      </c>
      <c r="U135" s="1">
        <v>0</v>
      </c>
      <c r="V135" s="1">
        <v>0</v>
      </c>
      <c r="W135" s="1">
        <v>0</v>
      </c>
      <c r="X135" s="1">
        <v>0</v>
      </c>
      <c r="Y135" s="1"/>
      <c r="Z135" s="1"/>
      <c r="AA135" s="1">
        <v>0</v>
      </c>
      <c r="AB135" s="1"/>
      <c r="AC135" s="1"/>
      <c r="AD135" s="1"/>
      <c r="AE135" s="1"/>
      <c r="AF135" s="1"/>
      <c r="AG135" s="1">
        <v>0</v>
      </c>
      <c r="AH135" s="1">
        <v>0</v>
      </c>
      <c r="AI135" s="1"/>
      <c r="AJ135" s="1" t="s">
        <v>21</v>
      </c>
      <c r="AK135" s="1" t="s">
        <v>21</v>
      </c>
      <c r="AL135" s="17"/>
      <c r="AM135" s="18"/>
      <c r="AN135" s="10"/>
      <c r="AO135" s="41"/>
    </row>
    <row r="136" spans="2:41" s="43" customFormat="1" ht="15" customHeight="1">
      <c r="B136" s="1">
        <f t="shared" si="1"/>
        <v>126</v>
      </c>
      <c r="C136" s="1">
        <v>1</v>
      </c>
      <c r="D136" s="1" t="s">
        <v>212</v>
      </c>
      <c r="E136" s="1" t="s">
        <v>101</v>
      </c>
      <c r="F136" s="1" t="s">
        <v>105</v>
      </c>
      <c r="G136" s="1" t="s">
        <v>102</v>
      </c>
      <c r="H136" s="1" t="s">
        <v>213</v>
      </c>
      <c r="I136" s="1" t="s">
        <v>85</v>
      </c>
      <c r="J136" s="54" t="s">
        <v>170</v>
      </c>
      <c r="K136" s="1" t="s">
        <v>452</v>
      </c>
      <c r="L136" s="1">
        <v>0</v>
      </c>
      <c r="M136" s="1">
        <v>0</v>
      </c>
      <c r="N136" s="1">
        <v>0</v>
      </c>
      <c r="O136" s="1">
        <v>0</v>
      </c>
      <c r="P136" s="1">
        <v>0</v>
      </c>
      <c r="Q136" s="1">
        <v>0</v>
      </c>
      <c r="R136" s="1">
        <v>0</v>
      </c>
      <c r="S136" s="1">
        <v>4</v>
      </c>
      <c r="T136" s="1">
        <v>0</v>
      </c>
      <c r="U136" s="1">
        <v>0</v>
      </c>
      <c r="V136" s="1">
        <v>2</v>
      </c>
      <c r="W136" s="1">
        <v>4</v>
      </c>
      <c r="X136" s="1">
        <v>0</v>
      </c>
      <c r="Y136" s="1">
        <v>0</v>
      </c>
      <c r="Z136" s="1">
        <v>0</v>
      </c>
      <c r="AA136" s="1">
        <v>0</v>
      </c>
      <c r="AB136" s="1"/>
      <c r="AC136" s="1"/>
      <c r="AD136" s="1"/>
      <c r="AE136" s="1"/>
      <c r="AF136" s="1">
        <v>4</v>
      </c>
      <c r="AG136" s="1">
        <v>3</v>
      </c>
      <c r="AH136" s="1">
        <v>0</v>
      </c>
      <c r="AI136" s="1">
        <v>0</v>
      </c>
      <c r="AJ136" s="1" t="s">
        <v>21</v>
      </c>
      <c r="AK136" s="1" t="s">
        <v>21</v>
      </c>
      <c r="AL136" s="17"/>
      <c r="AM136" s="18"/>
      <c r="AN136" s="10"/>
      <c r="AO136" s="41"/>
    </row>
    <row r="137" spans="2:41" s="43" customFormat="1">
      <c r="B137" s="1">
        <f t="shared" si="1"/>
        <v>127</v>
      </c>
      <c r="C137" s="1">
        <v>0</v>
      </c>
      <c r="D137" s="1" t="s">
        <v>212</v>
      </c>
      <c r="E137" s="1" t="s">
        <v>101</v>
      </c>
      <c r="F137" s="1" t="s">
        <v>118</v>
      </c>
      <c r="G137" s="1" t="s">
        <v>118</v>
      </c>
      <c r="H137" s="1" t="s">
        <v>214</v>
      </c>
      <c r="I137" s="1" t="s">
        <v>85</v>
      </c>
      <c r="J137" s="1" t="s">
        <v>61</v>
      </c>
      <c r="K137" s="1" t="s">
        <v>170</v>
      </c>
      <c r="L137" s="1">
        <v>0</v>
      </c>
      <c r="M137" s="1">
        <v>0</v>
      </c>
      <c r="N137" s="1">
        <v>0</v>
      </c>
      <c r="O137" s="1">
        <v>0</v>
      </c>
      <c r="P137" s="1">
        <v>0</v>
      </c>
      <c r="Q137" s="1">
        <v>0</v>
      </c>
      <c r="R137" s="1"/>
      <c r="S137" s="1">
        <v>4</v>
      </c>
      <c r="T137" s="1">
        <v>0</v>
      </c>
      <c r="U137" s="1">
        <v>0</v>
      </c>
      <c r="V137" s="1">
        <v>2</v>
      </c>
      <c r="W137" s="1">
        <v>3</v>
      </c>
      <c r="X137" s="1">
        <v>0</v>
      </c>
      <c r="Y137" s="1"/>
      <c r="Z137" s="1"/>
      <c r="AA137" s="1">
        <v>0</v>
      </c>
      <c r="AB137" s="1"/>
      <c r="AC137" s="1"/>
      <c r="AD137" s="1"/>
      <c r="AE137" s="1"/>
      <c r="AF137" s="1"/>
      <c r="AG137" s="1">
        <v>1</v>
      </c>
      <c r="AH137" s="1">
        <v>0</v>
      </c>
      <c r="AI137" s="1"/>
      <c r="AJ137" s="1" t="s">
        <v>32</v>
      </c>
      <c r="AK137" s="1" t="s">
        <v>32</v>
      </c>
      <c r="AL137" s="17"/>
      <c r="AM137" s="18"/>
      <c r="AN137" s="10"/>
      <c r="AO137" s="41"/>
    </row>
    <row r="138" spans="2:41" s="43" customFormat="1" ht="15" customHeight="1">
      <c r="B138" s="1">
        <f t="shared" si="1"/>
        <v>128</v>
      </c>
      <c r="C138" s="1">
        <v>0</v>
      </c>
      <c r="D138" s="1" t="s">
        <v>212</v>
      </c>
      <c r="E138" s="1" t="s">
        <v>101</v>
      </c>
      <c r="F138" s="1" t="s">
        <v>105</v>
      </c>
      <c r="G138" s="1" t="s">
        <v>102</v>
      </c>
      <c r="H138" s="1" t="s">
        <v>215</v>
      </c>
      <c r="I138" s="1" t="s">
        <v>85</v>
      </c>
      <c r="J138" s="1" t="s">
        <v>61</v>
      </c>
      <c r="K138" s="1" t="s">
        <v>170</v>
      </c>
      <c r="L138" s="1">
        <v>0</v>
      </c>
      <c r="M138" s="1">
        <v>0</v>
      </c>
      <c r="N138" s="1">
        <v>0</v>
      </c>
      <c r="O138" s="1">
        <v>0</v>
      </c>
      <c r="P138" s="1">
        <v>0</v>
      </c>
      <c r="Q138" s="1">
        <v>0</v>
      </c>
      <c r="R138" s="1"/>
      <c r="S138" s="1">
        <v>4</v>
      </c>
      <c r="T138" s="1">
        <v>0</v>
      </c>
      <c r="U138" s="1">
        <v>0</v>
      </c>
      <c r="V138" s="1">
        <v>2</v>
      </c>
      <c r="W138" s="1">
        <v>3</v>
      </c>
      <c r="X138" s="1">
        <v>0</v>
      </c>
      <c r="Y138" s="1"/>
      <c r="Z138" s="1"/>
      <c r="AA138" s="1">
        <v>0</v>
      </c>
      <c r="AB138" s="1"/>
      <c r="AC138" s="1"/>
      <c r="AD138" s="1"/>
      <c r="AE138" s="1"/>
      <c r="AF138" s="1"/>
      <c r="AG138" s="1">
        <v>2</v>
      </c>
      <c r="AH138" s="1">
        <v>0</v>
      </c>
      <c r="AI138" s="1"/>
      <c r="AJ138" s="1" t="s">
        <v>21</v>
      </c>
      <c r="AK138" s="1" t="s">
        <v>21</v>
      </c>
      <c r="AL138" s="17"/>
      <c r="AM138" s="18"/>
      <c r="AN138" s="10"/>
      <c r="AO138" s="41"/>
    </row>
    <row r="139" spans="2:41" s="43" customFormat="1" ht="15" customHeight="1">
      <c r="B139" s="1">
        <f t="shared" si="1"/>
        <v>129</v>
      </c>
      <c r="C139" s="1">
        <v>1</v>
      </c>
      <c r="D139" s="1" t="s">
        <v>185</v>
      </c>
      <c r="E139" s="1" t="s">
        <v>30</v>
      </c>
      <c r="F139" s="1" t="s">
        <v>113</v>
      </c>
      <c r="G139" s="1"/>
      <c r="H139" s="1" t="s">
        <v>216</v>
      </c>
      <c r="I139" s="1" t="s">
        <v>86</v>
      </c>
      <c r="J139" s="1" t="s">
        <v>62</v>
      </c>
      <c r="K139" s="1" t="s">
        <v>11</v>
      </c>
      <c r="L139" s="1">
        <v>4</v>
      </c>
      <c r="M139" s="1">
        <v>4</v>
      </c>
      <c r="N139" s="1">
        <v>0</v>
      </c>
      <c r="O139" s="1">
        <v>0</v>
      </c>
      <c r="P139" s="1">
        <v>4</v>
      </c>
      <c r="Q139" s="1">
        <v>0</v>
      </c>
      <c r="R139" s="1"/>
      <c r="S139" s="1">
        <v>0</v>
      </c>
      <c r="T139" s="1">
        <v>4</v>
      </c>
      <c r="U139" s="1">
        <v>0</v>
      </c>
      <c r="V139" s="1">
        <v>0</v>
      </c>
      <c r="W139" s="1">
        <v>0</v>
      </c>
      <c r="X139" s="1">
        <v>0</v>
      </c>
      <c r="Y139" s="1"/>
      <c r="Z139" s="1"/>
      <c r="AA139" s="1">
        <v>0</v>
      </c>
      <c r="AB139" s="1"/>
      <c r="AC139" s="1"/>
      <c r="AD139" s="1"/>
      <c r="AE139" s="1"/>
      <c r="AF139" s="1"/>
      <c r="AG139" s="1">
        <v>0</v>
      </c>
      <c r="AH139" s="1">
        <v>2</v>
      </c>
      <c r="AI139" s="1">
        <v>1</v>
      </c>
      <c r="AJ139" s="1" t="s">
        <v>21</v>
      </c>
      <c r="AK139" s="1" t="s">
        <v>21</v>
      </c>
      <c r="AL139" s="17">
        <v>44594</v>
      </c>
      <c r="AM139" s="18" t="s">
        <v>486</v>
      </c>
      <c r="AN139" s="10"/>
      <c r="AO139" s="41"/>
    </row>
    <row r="140" spans="2:41" s="43" customFormat="1" ht="15" customHeight="1">
      <c r="B140" s="1">
        <f t="shared" ref="B140:B203" si="2">B139+1</f>
        <v>130</v>
      </c>
      <c r="C140" s="1">
        <v>1</v>
      </c>
      <c r="D140" s="54" t="s">
        <v>386</v>
      </c>
      <c r="E140" s="1" t="s">
        <v>294</v>
      </c>
      <c r="F140" s="1" t="s">
        <v>57</v>
      </c>
      <c r="G140" s="1"/>
      <c r="H140" s="54" t="s">
        <v>217</v>
      </c>
      <c r="I140" s="1" t="s">
        <v>89</v>
      </c>
      <c r="J140" s="1" t="s">
        <v>12</v>
      </c>
      <c r="K140" s="1" t="s">
        <v>331</v>
      </c>
      <c r="L140" s="1">
        <v>0</v>
      </c>
      <c r="M140" s="1">
        <v>0</v>
      </c>
      <c r="N140" s="1">
        <v>4</v>
      </c>
      <c r="O140" s="1">
        <v>0</v>
      </c>
      <c r="P140" s="1">
        <v>0</v>
      </c>
      <c r="Q140" s="1">
        <v>2</v>
      </c>
      <c r="R140" s="1">
        <v>3</v>
      </c>
      <c r="S140" s="1">
        <v>0</v>
      </c>
      <c r="T140" s="1">
        <v>0</v>
      </c>
      <c r="U140" s="1">
        <v>0</v>
      </c>
      <c r="V140" s="1">
        <v>0</v>
      </c>
      <c r="W140" s="1">
        <v>0</v>
      </c>
      <c r="X140" s="1">
        <v>0</v>
      </c>
      <c r="Y140" s="1">
        <v>0</v>
      </c>
      <c r="Z140" s="1">
        <v>0</v>
      </c>
      <c r="AA140" s="1">
        <v>0</v>
      </c>
      <c r="AB140" s="1"/>
      <c r="AC140" s="1"/>
      <c r="AD140" s="1"/>
      <c r="AE140" s="1"/>
      <c r="AF140" s="1"/>
      <c r="AG140" s="1">
        <v>0</v>
      </c>
      <c r="AH140" s="1">
        <v>0</v>
      </c>
      <c r="AI140" s="1">
        <v>0</v>
      </c>
      <c r="AJ140" s="1" t="s">
        <v>21</v>
      </c>
      <c r="AK140" s="1" t="s">
        <v>32</v>
      </c>
      <c r="AL140" s="17"/>
      <c r="AM140" s="18"/>
      <c r="AN140" s="10"/>
      <c r="AO140" s="41"/>
    </row>
    <row r="141" spans="2:41" s="43" customFormat="1" ht="15" customHeight="1">
      <c r="B141" s="1">
        <f t="shared" si="2"/>
        <v>131</v>
      </c>
      <c r="C141" s="1">
        <v>1</v>
      </c>
      <c r="D141" s="1" t="s">
        <v>212</v>
      </c>
      <c r="E141" s="1" t="s">
        <v>91</v>
      </c>
      <c r="F141" s="1" t="s">
        <v>96</v>
      </c>
      <c r="G141" s="1" t="s">
        <v>96</v>
      </c>
      <c r="H141" s="1" t="s">
        <v>225</v>
      </c>
      <c r="I141" s="1" t="s">
        <v>86</v>
      </c>
      <c r="J141" s="54" t="s">
        <v>170</v>
      </c>
      <c r="K141" s="1" t="s">
        <v>452</v>
      </c>
      <c r="L141" s="1">
        <v>0</v>
      </c>
      <c r="M141" s="1">
        <v>0</v>
      </c>
      <c r="N141" s="1">
        <v>0</v>
      </c>
      <c r="O141" s="1">
        <v>0</v>
      </c>
      <c r="P141" s="1">
        <v>0</v>
      </c>
      <c r="Q141" s="1">
        <v>0</v>
      </c>
      <c r="R141" s="1"/>
      <c r="S141" s="1">
        <v>4</v>
      </c>
      <c r="T141" s="1">
        <v>0</v>
      </c>
      <c r="U141" s="1">
        <v>0</v>
      </c>
      <c r="V141" s="1">
        <v>0</v>
      </c>
      <c r="W141" s="1">
        <v>4</v>
      </c>
      <c r="X141" s="1">
        <v>0</v>
      </c>
      <c r="Y141" s="1"/>
      <c r="Z141" s="1"/>
      <c r="AA141" s="1">
        <v>0</v>
      </c>
      <c r="AB141" s="1"/>
      <c r="AC141" s="1"/>
      <c r="AD141" s="1"/>
      <c r="AE141" s="1"/>
      <c r="AF141" s="1">
        <v>3</v>
      </c>
      <c r="AG141" s="1">
        <v>1</v>
      </c>
      <c r="AH141" s="1">
        <v>0</v>
      </c>
      <c r="AI141" s="1">
        <v>0</v>
      </c>
      <c r="AJ141" s="1" t="s">
        <v>32</v>
      </c>
      <c r="AK141" s="1" t="s">
        <v>32</v>
      </c>
      <c r="AL141" s="17"/>
      <c r="AM141" s="18"/>
      <c r="AN141" s="10"/>
      <c r="AO141" s="41"/>
    </row>
    <row r="142" spans="2:41" s="43" customFormat="1">
      <c r="B142" s="1">
        <f t="shared" si="2"/>
        <v>132</v>
      </c>
      <c r="C142" s="1">
        <v>1</v>
      </c>
      <c r="D142" s="1" t="s">
        <v>212</v>
      </c>
      <c r="E142" s="1" t="s">
        <v>101</v>
      </c>
      <c r="F142" s="1" t="s">
        <v>118</v>
      </c>
      <c r="G142" s="1" t="s">
        <v>118</v>
      </c>
      <c r="H142" s="1" t="s">
        <v>225</v>
      </c>
      <c r="I142" s="1" t="s">
        <v>86</v>
      </c>
      <c r="J142" s="54" t="s">
        <v>170</v>
      </c>
      <c r="K142" s="1" t="s">
        <v>452</v>
      </c>
      <c r="L142" s="1">
        <v>0</v>
      </c>
      <c r="M142" s="1">
        <v>0</v>
      </c>
      <c r="N142" s="1">
        <v>0</v>
      </c>
      <c r="O142" s="1">
        <v>0</v>
      </c>
      <c r="P142" s="1">
        <v>0</v>
      </c>
      <c r="Q142" s="1">
        <v>0</v>
      </c>
      <c r="R142" s="1">
        <v>0</v>
      </c>
      <c r="S142" s="1">
        <v>4</v>
      </c>
      <c r="T142" s="1">
        <v>0</v>
      </c>
      <c r="U142" s="1">
        <v>0</v>
      </c>
      <c r="V142" s="1">
        <v>0</v>
      </c>
      <c r="W142" s="1">
        <v>4</v>
      </c>
      <c r="X142" s="1">
        <v>0</v>
      </c>
      <c r="Y142" s="1">
        <v>0</v>
      </c>
      <c r="Z142" s="1">
        <v>0</v>
      </c>
      <c r="AA142" s="1">
        <v>0</v>
      </c>
      <c r="AB142" s="1"/>
      <c r="AC142" s="1"/>
      <c r="AD142" s="1"/>
      <c r="AE142" s="1"/>
      <c r="AF142" s="1">
        <v>4</v>
      </c>
      <c r="AG142" s="1">
        <v>1</v>
      </c>
      <c r="AH142" s="1">
        <v>0</v>
      </c>
      <c r="AI142" s="1">
        <v>0</v>
      </c>
      <c r="AJ142" s="1" t="s">
        <v>32</v>
      </c>
      <c r="AK142" s="1" t="s">
        <v>32</v>
      </c>
      <c r="AL142" s="17"/>
      <c r="AM142" s="18"/>
      <c r="AN142" s="10"/>
      <c r="AO142" s="41"/>
    </row>
    <row r="143" spans="2:41" s="43" customFormat="1" ht="15" customHeight="1">
      <c r="B143" s="1">
        <f t="shared" si="2"/>
        <v>133</v>
      </c>
      <c r="C143" s="1">
        <v>1</v>
      </c>
      <c r="D143" s="1" t="s">
        <v>212</v>
      </c>
      <c r="E143" s="1" t="s">
        <v>101</v>
      </c>
      <c r="F143" s="1" t="s">
        <v>105</v>
      </c>
      <c r="G143" s="1" t="s">
        <v>102</v>
      </c>
      <c r="H143" s="1" t="s">
        <v>225</v>
      </c>
      <c r="I143" s="1" t="s">
        <v>86</v>
      </c>
      <c r="J143" s="54" t="s">
        <v>170</v>
      </c>
      <c r="K143" s="1" t="s">
        <v>452</v>
      </c>
      <c r="L143" s="1">
        <v>0</v>
      </c>
      <c r="M143" s="1">
        <v>0</v>
      </c>
      <c r="N143" s="1">
        <v>0</v>
      </c>
      <c r="O143" s="1">
        <v>0</v>
      </c>
      <c r="P143" s="1">
        <v>0</v>
      </c>
      <c r="Q143" s="1">
        <v>0</v>
      </c>
      <c r="R143" s="1">
        <v>0</v>
      </c>
      <c r="S143" s="1">
        <v>4</v>
      </c>
      <c r="T143" s="1">
        <v>0</v>
      </c>
      <c r="U143" s="1">
        <v>0</v>
      </c>
      <c r="V143" s="1">
        <v>0</v>
      </c>
      <c r="W143" s="1">
        <v>4</v>
      </c>
      <c r="X143" s="1">
        <v>0</v>
      </c>
      <c r="Y143" s="1">
        <v>0</v>
      </c>
      <c r="Z143" s="1">
        <v>0</v>
      </c>
      <c r="AA143" s="1">
        <v>0</v>
      </c>
      <c r="AB143" s="1"/>
      <c r="AC143" s="1"/>
      <c r="AD143" s="1"/>
      <c r="AE143" s="1"/>
      <c r="AF143" s="1">
        <v>3</v>
      </c>
      <c r="AG143" s="1">
        <v>2</v>
      </c>
      <c r="AH143" s="1">
        <v>0</v>
      </c>
      <c r="AI143" s="1">
        <v>0</v>
      </c>
      <c r="AJ143" s="1" t="s">
        <v>32</v>
      </c>
      <c r="AK143" s="1" t="s">
        <v>32</v>
      </c>
      <c r="AL143" s="17"/>
      <c r="AM143" s="18"/>
      <c r="AN143" s="10"/>
      <c r="AO143" s="41"/>
    </row>
    <row r="144" spans="2:41" s="43" customFormat="1" ht="15" customHeight="1">
      <c r="B144" s="1">
        <f t="shared" si="2"/>
        <v>134</v>
      </c>
      <c r="C144" s="1">
        <v>1</v>
      </c>
      <c r="D144" s="1" t="s">
        <v>212</v>
      </c>
      <c r="E144" s="1" t="s">
        <v>101</v>
      </c>
      <c r="F144" s="1" t="s">
        <v>105</v>
      </c>
      <c r="G144" s="1" t="s">
        <v>104</v>
      </c>
      <c r="H144" s="1" t="s">
        <v>225</v>
      </c>
      <c r="I144" s="1" t="s">
        <v>86</v>
      </c>
      <c r="J144" s="54" t="s">
        <v>170</v>
      </c>
      <c r="K144" s="1" t="s">
        <v>452</v>
      </c>
      <c r="L144" s="1">
        <v>0</v>
      </c>
      <c r="M144" s="1">
        <v>0</v>
      </c>
      <c r="N144" s="1">
        <v>0</v>
      </c>
      <c r="O144" s="1">
        <v>0</v>
      </c>
      <c r="P144" s="1">
        <v>0</v>
      </c>
      <c r="Q144" s="1">
        <v>0</v>
      </c>
      <c r="R144" s="1">
        <v>0</v>
      </c>
      <c r="S144" s="1">
        <v>4</v>
      </c>
      <c r="T144" s="1">
        <v>0</v>
      </c>
      <c r="U144" s="1">
        <v>0</v>
      </c>
      <c r="V144" s="1">
        <v>0</v>
      </c>
      <c r="W144" s="1">
        <v>4</v>
      </c>
      <c r="X144" s="1">
        <v>0</v>
      </c>
      <c r="Y144" s="1">
        <v>0</v>
      </c>
      <c r="Z144" s="1">
        <v>0</v>
      </c>
      <c r="AA144" s="1">
        <v>0</v>
      </c>
      <c r="AB144" s="1"/>
      <c r="AC144" s="1"/>
      <c r="AD144" s="1"/>
      <c r="AE144" s="1"/>
      <c r="AF144" s="1">
        <v>3</v>
      </c>
      <c r="AG144" s="1">
        <v>2</v>
      </c>
      <c r="AH144" s="1">
        <v>0</v>
      </c>
      <c r="AI144" s="1">
        <v>0</v>
      </c>
      <c r="AJ144" s="1" t="s">
        <v>32</v>
      </c>
      <c r="AK144" s="1" t="s">
        <v>32</v>
      </c>
      <c r="AL144" s="17"/>
      <c r="AM144" s="18"/>
      <c r="AN144" s="10"/>
      <c r="AO144" s="41"/>
    </row>
    <row r="145" spans="2:41" s="43" customFormat="1" ht="15" customHeight="1">
      <c r="B145" s="1">
        <f t="shared" si="2"/>
        <v>135</v>
      </c>
      <c r="C145" s="1">
        <v>1</v>
      </c>
      <c r="D145" s="1" t="s">
        <v>212</v>
      </c>
      <c r="E145" s="1" t="s">
        <v>91</v>
      </c>
      <c r="F145" s="1" t="s">
        <v>96</v>
      </c>
      <c r="G145" s="1" t="s">
        <v>96</v>
      </c>
      <c r="H145" s="1" t="s">
        <v>227</v>
      </c>
      <c r="I145" s="1" t="s">
        <v>85</v>
      </c>
      <c r="J145" s="54" t="s">
        <v>170</v>
      </c>
      <c r="K145" s="1" t="s">
        <v>452</v>
      </c>
      <c r="L145" s="1">
        <v>0</v>
      </c>
      <c r="M145" s="1">
        <v>0</v>
      </c>
      <c r="N145" s="1">
        <v>0</v>
      </c>
      <c r="O145" s="1">
        <v>0</v>
      </c>
      <c r="P145" s="1">
        <v>0</v>
      </c>
      <c r="Q145" s="1">
        <v>0</v>
      </c>
      <c r="R145" s="1"/>
      <c r="S145" s="1">
        <v>4</v>
      </c>
      <c r="T145" s="1">
        <v>0</v>
      </c>
      <c r="U145" s="1">
        <v>0</v>
      </c>
      <c r="V145" s="1">
        <v>2</v>
      </c>
      <c r="W145" s="1">
        <v>4</v>
      </c>
      <c r="X145" s="1">
        <v>0</v>
      </c>
      <c r="Y145" s="1"/>
      <c r="Z145" s="1"/>
      <c r="AA145" s="1">
        <v>0</v>
      </c>
      <c r="AB145" s="1"/>
      <c r="AC145" s="1"/>
      <c r="AD145" s="1"/>
      <c r="AE145" s="1"/>
      <c r="AF145" s="1">
        <v>4</v>
      </c>
      <c r="AG145" s="1">
        <v>1</v>
      </c>
      <c r="AH145" s="1">
        <v>0</v>
      </c>
      <c r="AI145" s="1">
        <v>0</v>
      </c>
      <c r="AJ145" s="1" t="s">
        <v>21</v>
      </c>
      <c r="AK145" s="1" t="s">
        <v>21</v>
      </c>
      <c r="AL145" s="17"/>
      <c r="AM145" s="18"/>
      <c r="AN145" s="10"/>
      <c r="AO145" s="41"/>
    </row>
    <row r="146" spans="2:41" s="43" customFormat="1" ht="15" customHeight="1">
      <c r="B146" s="1">
        <f t="shared" si="2"/>
        <v>136</v>
      </c>
      <c r="C146" s="1">
        <v>0</v>
      </c>
      <c r="D146" s="1" t="s">
        <v>177</v>
      </c>
      <c r="E146" s="1" t="s">
        <v>224</v>
      </c>
      <c r="F146" s="1" t="s">
        <v>176</v>
      </c>
      <c r="G146" s="1" t="s">
        <v>176</v>
      </c>
      <c r="H146" s="1" t="s">
        <v>534</v>
      </c>
      <c r="I146" s="1" t="s">
        <v>87</v>
      </c>
      <c r="J146" s="1" t="s">
        <v>330</v>
      </c>
      <c r="K146" s="1" t="s">
        <v>340</v>
      </c>
      <c r="L146" s="1">
        <v>4</v>
      </c>
      <c r="M146" s="1">
        <v>0</v>
      </c>
      <c r="N146" s="1">
        <v>0</v>
      </c>
      <c r="O146" s="1">
        <v>4</v>
      </c>
      <c r="P146" s="1">
        <v>4</v>
      </c>
      <c r="Q146" s="1">
        <v>0</v>
      </c>
      <c r="R146" s="1"/>
      <c r="S146" s="1">
        <v>0</v>
      </c>
      <c r="T146" s="1">
        <v>0</v>
      </c>
      <c r="U146" s="1">
        <v>0</v>
      </c>
      <c r="V146" s="1">
        <v>0</v>
      </c>
      <c r="W146" s="1">
        <v>0</v>
      </c>
      <c r="X146" s="1">
        <v>2</v>
      </c>
      <c r="Y146" s="1"/>
      <c r="Z146" s="1">
        <v>4</v>
      </c>
      <c r="AA146" s="1">
        <v>0</v>
      </c>
      <c r="AB146" s="1"/>
      <c r="AC146" s="1"/>
      <c r="AD146" s="1"/>
      <c r="AE146" s="1">
        <v>3</v>
      </c>
      <c r="AF146" s="1"/>
      <c r="AG146" s="1">
        <v>0</v>
      </c>
      <c r="AH146" s="1">
        <v>0</v>
      </c>
      <c r="AI146" s="1">
        <v>0</v>
      </c>
      <c r="AJ146" s="1" t="s">
        <v>21</v>
      </c>
      <c r="AK146" s="1" t="s">
        <v>21</v>
      </c>
      <c r="AL146" s="17"/>
      <c r="AM146" s="18" t="s">
        <v>408</v>
      </c>
      <c r="AN146" s="10"/>
    </row>
    <row r="147" spans="2:41" s="43" customFormat="1" ht="15" customHeight="1">
      <c r="B147" s="1">
        <f t="shared" si="2"/>
        <v>137</v>
      </c>
      <c r="C147" s="1">
        <v>0</v>
      </c>
      <c r="D147" s="1" t="s">
        <v>177</v>
      </c>
      <c r="E147" s="1" t="s">
        <v>224</v>
      </c>
      <c r="F147" s="1" t="s">
        <v>176</v>
      </c>
      <c r="G147" s="1" t="s">
        <v>177</v>
      </c>
      <c r="H147" s="1" t="s">
        <v>365</v>
      </c>
      <c r="I147" s="1" t="s">
        <v>87</v>
      </c>
      <c r="J147" s="1" t="s">
        <v>330</v>
      </c>
      <c r="K147" s="1" t="s">
        <v>340</v>
      </c>
      <c r="L147" s="1">
        <v>4</v>
      </c>
      <c r="M147" s="1">
        <v>0</v>
      </c>
      <c r="N147" s="1">
        <v>0</v>
      </c>
      <c r="O147" s="1">
        <v>4</v>
      </c>
      <c r="P147" s="1">
        <v>4</v>
      </c>
      <c r="Q147" s="1">
        <v>0</v>
      </c>
      <c r="R147" s="1"/>
      <c r="S147" s="1">
        <v>0</v>
      </c>
      <c r="T147" s="1">
        <v>0</v>
      </c>
      <c r="U147" s="1">
        <v>0</v>
      </c>
      <c r="V147" s="1">
        <v>0</v>
      </c>
      <c r="W147" s="1">
        <v>0</v>
      </c>
      <c r="X147" s="1">
        <v>2</v>
      </c>
      <c r="Y147" s="1"/>
      <c r="Z147" s="1">
        <v>3</v>
      </c>
      <c r="AA147" s="1">
        <v>0</v>
      </c>
      <c r="AB147" s="1"/>
      <c r="AC147" s="1"/>
      <c r="AD147" s="1"/>
      <c r="AE147" s="1"/>
      <c r="AF147" s="1"/>
      <c r="AG147" s="1">
        <v>0</v>
      </c>
      <c r="AH147" s="1">
        <v>0</v>
      </c>
      <c r="AI147" s="1">
        <v>0</v>
      </c>
      <c r="AJ147" s="1" t="s">
        <v>21</v>
      </c>
      <c r="AK147" s="1" t="s">
        <v>21</v>
      </c>
      <c r="AL147" s="17">
        <v>44105</v>
      </c>
      <c r="AM147" s="18" t="s">
        <v>330</v>
      </c>
      <c r="AN147" s="10"/>
    </row>
    <row r="148" spans="2:41" s="43" customFormat="1">
      <c r="B148" s="1">
        <f t="shared" si="2"/>
        <v>138</v>
      </c>
      <c r="C148" s="1">
        <v>0</v>
      </c>
      <c r="D148" s="1" t="s">
        <v>212</v>
      </c>
      <c r="E148" s="1" t="s">
        <v>101</v>
      </c>
      <c r="F148" s="1" t="s">
        <v>118</v>
      </c>
      <c r="G148" s="1" t="s">
        <v>118</v>
      </c>
      <c r="H148" s="1" t="s">
        <v>248</v>
      </c>
      <c r="I148" s="1" t="s">
        <v>85</v>
      </c>
      <c r="J148" s="1" t="s">
        <v>61</v>
      </c>
      <c r="K148" s="1" t="s">
        <v>170</v>
      </c>
      <c r="L148" s="1">
        <v>0</v>
      </c>
      <c r="M148" s="1">
        <v>0</v>
      </c>
      <c r="N148" s="1">
        <v>0</v>
      </c>
      <c r="O148" s="1">
        <v>0</v>
      </c>
      <c r="P148" s="1">
        <v>0</v>
      </c>
      <c r="Q148" s="1">
        <v>0</v>
      </c>
      <c r="R148" s="1"/>
      <c r="S148" s="1">
        <v>4</v>
      </c>
      <c r="T148" s="1">
        <v>0</v>
      </c>
      <c r="U148" s="1">
        <v>0</v>
      </c>
      <c r="V148" s="1">
        <v>2</v>
      </c>
      <c r="W148" s="1">
        <v>3</v>
      </c>
      <c r="X148" s="1">
        <v>0</v>
      </c>
      <c r="Y148" s="1"/>
      <c r="Z148" s="1"/>
      <c r="AA148" s="1">
        <v>0</v>
      </c>
      <c r="AB148" s="1"/>
      <c r="AC148" s="1"/>
      <c r="AD148" s="1"/>
      <c r="AE148" s="1"/>
      <c r="AF148" s="1"/>
      <c r="AG148" s="1">
        <v>0</v>
      </c>
      <c r="AH148" s="1">
        <v>0</v>
      </c>
      <c r="AI148" s="1"/>
      <c r="AJ148" s="1" t="s">
        <v>21</v>
      </c>
      <c r="AK148" s="1" t="s">
        <v>21</v>
      </c>
      <c r="AL148" s="17"/>
      <c r="AM148" s="18"/>
      <c r="AN148" s="10"/>
      <c r="AO148" s="41"/>
    </row>
    <row r="149" spans="2:41" s="43" customFormat="1" ht="15" customHeight="1">
      <c r="B149" s="1">
        <f t="shared" si="2"/>
        <v>139</v>
      </c>
      <c r="C149" s="1">
        <v>1</v>
      </c>
      <c r="D149" s="54" t="s">
        <v>386</v>
      </c>
      <c r="E149" s="1" t="s">
        <v>294</v>
      </c>
      <c r="F149" s="1" t="s">
        <v>57</v>
      </c>
      <c r="G149" s="1" t="s">
        <v>250</v>
      </c>
      <c r="H149" s="18" t="s">
        <v>251</v>
      </c>
      <c r="I149" s="1" t="s">
        <v>87</v>
      </c>
      <c r="J149" s="1" t="s">
        <v>331</v>
      </c>
      <c r="K149" s="1" t="s">
        <v>12</v>
      </c>
      <c r="L149" s="1">
        <v>0</v>
      </c>
      <c r="M149" s="1">
        <v>0</v>
      </c>
      <c r="N149" s="1">
        <v>2</v>
      </c>
      <c r="O149" s="1">
        <v>0</v>
      </c>
      <c r="P149" s="1">
        <v>0</v>
      </c>
      <c r="Q149" s="60">
        <v>4</v>
      </c>
      <c r="R149" s="1">
        <v>4</v>
      </c>
      <c r="S149" s="1">
        <v>0</v>
      </c>
      <c r="T149" s="1">
        <v>0</v>
      </c>
      <c r="U149" s="1">
        <v>0</v>
      </c>
      <c r="V149" s="1">
        <v>0</v>
      </c>
      <c r="W149" s="1">
        <v>0</v>
      </c>
      <c r="X149" s="1">
        <v>0</v>
      </c>
      <c r="Y149" s="1">
        <v>0</v>
      </c>
      <c r="Z149" s="1">
        <v>0</v>
      </c>
      <c r="AA149" s="1">
        <v>0</v>
      </c>
      <c r="AB149" s="1">
        <v>2</v>
      </c>
      <c r="AC149" s="1"/>
      <c r="AD149" s="1"/>
      <c r="AE149" s="1"/>
      <c r="AF149" s="1"/>
      <c r="AG149" s="1">
        <v>0</v>
      </c>
      <c r="AH149" s="1">
        <v>0</v>
      </c>
      <c r="AI149" s="1">
        <v>0</v>
      </c>
      <c r="AJ149" s="1" t="s">
        <v>21</v>
      </c>
      <c r="AK149" s="1" t="s">
        <v>21</v>
      </c>
      <c r="AL149" s="17"/>
      <c r="AM149" s="18"/>
      <c r="AN149" s="10"/>
      <c r="AO149" s="41"/>
    </row>
    <row r="150" spans="2:41" s="43" customFormat="1" ht="15" customHeight="1">
      <c r="B150" s="1">
        <f t="shared" si="2"/>
        <v>140</v>
      </c>
      <c r="C150" s="1">
        <v>1</v>
      </c>
      <c r="D150" s="54" t="s">
        <v>386</v>
      </c>
      <c r="E150" s="1" t="s">
        <v>294</v>
      </c>
      <c r="F150" s="1" t="s">
        <v>57</v>
      </c>
      <c r="G150" s="1" t="s">
        <v>250</v>
      </c>
      <c r="H150" s="1" t="s">
        <v>252</v>
      </c>
      <c r="I150" s="1" t="s">
        <v>335</v>
      </c>
      <c r="J150" s="1" t="s">
        <v>331</v>
      </c>
      <c r="K150" s="1" t="s">
        <v>12</v>
      </c>
      <c r="L150" s="1">
        <v>0</v>
      </c>
      <c r="M150" s="1">
        <v>0</v>
      </c>
      <c r="N150" s="1">
        <v>2</v>
      </c>
      <c r="O150" s="1">
        <v>0</v>
      </c>
      <c r="P150" s="1">
        <v>0</v>
      </c>
      <c r="Q150" s="60">
        <v>4</v>
      </c>
      <c r="R150" s="1">
        <v>4</v>
      </c>
      <c r="S150" s="1">
        <v>0</v>
      </c>
      <c r="T150" s="1">
        <v>0</v>
      </c>
      <c r="U150" s="1">
        <v>0</v>
      </c>
      <c r="V150" s="1">
        <v>0</v>
      </c>
      <c r="W150" s="1">
        <v>0</v>
      </c>
      <c r="X150" s="1">
        <v>0</v>
      </c>
      <c r="Y150" s="1">
        <v>0</v>
      </c>
      <c r="Z150" s="1">
        <v>0</v>
      </c>
      <c r="AA150" s="1">
        <v>0</v>
      </c>
      <c r="AB150" s="1">
        <v>0</v>
      </c>
      <c r="AC150" s="1"/>
      <c r="AD150" s="1"/>
      <c r="AE150" s="1"/>
      <c r="AF150" s="1"/>
      <c r="AG150" s="1">
        <v>0</v>
      </c>
      <c r="AH150" s="1">
        <v>0</v>
      </c>
      <c r="AI150" s="1">
        <v>0</v>
      </c>
      <c r="AJ150" s="1" t="s">
        <v>21</v>
      </c>
      <c r="AK150" s="1" t="s">
        <v>21</v>
      </c>
      <c r="AL150" s="17"/>
      <c r="AM150" s="18"/>
      <c r="AN150" s="68" t="s">
        <v>80</v>
      </c>
      <c r="AO150" s="41"/>
    </row>
    <row r="151" spans="2:41" s="43" customFormat="1" ht="15" customHeight="1">
      <c r="B151" s="1">
        <f t="shared" si="2"/>
        <v>141</v>
      </c>
      <c r="C151" s="1">
        <v>1</v>
      </c>
      <c r="D151" s="54" t="s">
        <v>386</v>
      </c>
      <c r="E151" s="1" t="s">
        <v>294</v>
      </c>
      <c r="F151" s="1" t="s">
        <v>57</v>
      </c>
      <c r="G151" s="1" t="s">
        <v>250</v>
      </c>
      <c r="H151" s="1" t="s">
        <v>253</v>
      </c>
      <c r="I151" s="1" t="s">
        <v>85</v>
      </c>
      <c r="J151" s="1" t="s">
        <v>331</v>
      </c>
      <c r="K151" s="1" t="s">
        <v>12</v>
      </c>
      <c r="L151" s="1">
        <v>0</v>
      </c>
      <c r="M151" s="1">
        <v>0</v>
      </c>
      <c r="N151" s="1">
        <v>2</v>
      </c>
      <c r="O151" s="1">
        <v>0</v>
      </c>
      <c r="P151" s="1">
        <v>0</v>
      </c>
      <c r="Q151" s="60">
        <v>4</v>
      </c>
      <c r="R151" s="1">
        <v>4</v>
      </c>
      <c r="S151" s="1">
        <v>0</v>
      </c>
      <c r="T151" s="1">
        <v>0</v>
      </c>
      <c r="U151" s="1">
        <v>0</v>
      </c>
      <c r="V151" s="1">
        <v>0</v>
      </c>
      <c r="W151" s="1">
        <v>0</v>
      </c>
      <c r="X151" s="1">
        <v>0</v>
      </c>
      <c r="Y151" s="1">
        <v>0</v>
      </c>
      <c r="Z151" s="1">
        <v>0</v>
      </c>
      <c r="AA151" s="1">
        <v>0</v>
      </c>
      <c r="AB151" s="1">
        <v>2</v>
      </c>
      <c r="AC151" s="1"/>
      <c r="AD151" s="1"/>
      <c r="AE151" s="1"/>
      <c r="AF151" s="1"/>
      <c r="AG151" s="1">
        <v>0</v>
      </c>
      <c r="AH151" s="1">
        <v>0</v>
      </c>
      <c r="AI151" s="1">
        <v>0</v>
      </c>
      <c r="AJ151" s="1" t="s">
        <v>21</v>
      </c>
      <c r="AK151" s="1" t="s">
        <v>21</v>
      </c>
      <c r="AL151" s="17"/>
      <c r="AM151" s="18"/>
      <c r="AN151" s="10"/>
      <c r="AO151" s="41"/>
    </row>
    <row r="152" spans="2:41" s="43" customFormat="1" ht="15" customHeight="1">
      <c r="B152" s="1">
        <f t="shared" si="2"/>
        <v>142</v>
      </c>
      <c r="C152" s="1">
        <v>0</v>
      </c>
      <c r="D152" s="60" t="s">
        <v>186</v>
      </c>
      <c r="E152" s="1" t="s">
        <v>294</v>
      </c>
      <c r="F152" s="1" t="s">
        <v>57</v>
      </c>
      <c r="G152" s="1" t="s">
        <v>250</v>
      </c>
      <c r="H152" s="1" t="s">
        <v>254</v>
      </c>
      <c r="I152" s="1" t="s">
        <v>86</v>
      </c>
      <c r="J152" s="1" t="s">
        <v>331</v>
      </c>
      <c r="K152" s="1" t="s">
        <v>12</v>
      </c>
      <c r="L152" s="1">
        <v>0</v>
      </c>
      <c r="M152" s="1">
        <v>0</v>
      </c>
      <c r="N152" s="1">
        <v>2</v>
      </c>
      <c r="O152" s="1">
        <v>0</v>
      </c>
      <c r="P152" s="1">
        <v>0</v>
      </c>
      <c r="Q152" s="60">
        <v>4</v>
      </c>
      <c r="R152" s="1">
        <v>4</v>
      </c>
      <c r="S152" s="1">
        <v>0</v>
      </c>
      <c r="T152" s="1">
        <v>0</v>
      </c>
      <c r="U152" s="1">
        <v>0</v>
      </c>
      <c r="V152" s="1">
        <v>0</v>
      </c>
      <c r="W152" s="1">
        <v>0</v>
      </c>
      <c r="X152" s="1">
        <v>0</v>
      </c>
      <c r="Y152" s="1">
        <v>0</v>
      </c>
      <c r="Z152" s="1">
        <v>0</v>
      </c>
      <c r="AA152" s="1">
        <v>0</v>
      </c>
      <c r="AB152" s="1">
        <v>0</v>
      </c>
      <c r="AC152" s="1"/>
      <c r="AD152" s="1"/>
      <c r="AE152" s="1"/>
      <c r="AF152" s="1"/>
      <c r="AG152" s="1">
        <v>0</v>
      </c>
      <c r="AH152" s="1">
        <v>0</v>
      </c>
      <c r="AI152" s="1"/>
      <c r="AJ152" s="1" t="s">
        <v>21</v>
      </c>
      <c r="AK152" s="1" t="s">
        <v>21</v>
      </c>
      <c r="AL152" s="17"/>
      <c r="AM152" s="18"/>
      <c r="AN152" s="68" t="s">
        <v>80</v>
      </c>
      <c r="AO152" s="41"/>
    </row>
    <row r="153" spans="2:41" s="43" customFormat="1" ht="15" customHeight="1">
      <c r="B153" s="1">
        <f t="shared" si="2"/>
        <v>143</v>
      </c>
      <c r="C153" s="1">
        <v>0</v>
      </c>
      <c r="D153" s="1" t="s">
        <v>186</v>
      </c>
      <c r="E153" s="1" t="s">
        <v>186</v>
      </c>
      <c r="F153" s="1" t="s">
        <v>57</v>
      </c>
      <c r="G153" s="1" t="s">
        <v>250</v>
      </c>
      <c r="H153" s="1" t="s">
        <v>255</v>
      </c>
      <c r="I153" s="1" t="s">
        <v>86</v>
      </c>
      <c r="J153" s="1" t="s">
        <v>331</v>
      </c>
      <c r="K153" s="1" t="s">
        <v>12</v>
      </c>
      <c r="L153" s="1">
        <v>0</v>
      </c>
      <c r="M153" s="1">
        <v>0</v>
      </c>
      <c r="N153" s="1">
        <v>0</v>
      </c>
      <c r="O153" s="1">
        <v>0</v>
      </c>
      <c r="P153" s="1">
        <v>0</v>
      </c>
      <c r="Q153" s="1">
        <v>4</v>
      </c>
      <c r="R153" s="1">
        <v>4</v>
      </c>
      <c r="S153" s="1">
        <v>0</v>
      </c>
      <c r="T153" s="1">
        <v>0</v>
      </c>
      <c r="U153" s="1">
        <v>0</v>
      </c>
      <c r="V153" s="1">
        <v>0</v>
      </c>
      <c r="W153" s="1">
        <v>0</v>
      </c>
      <c r="X153" s="1">
        <v>0</v>
      </c>
      <c r="Y153" s="1"/>
      <c r="Z153" s="1"/>
      <c r="AA153" s="1">
        <v>0</v>
      </c>
      <c r="AB153" s="1">
        <v>0</v>
      </c>
      <c r="AC153" s="1"/>
      <c r="AD153" s="1"/>
      <c r="AE153" s="1"/>
      <c r="AF153" s="1"/>
      <c r="AG153" s="1">
        <v>0</v>
      </c>
      <c r="AH153" s="1">
        <v>0</v>
      </c>
      <c r="AI153" s="1"/>
      <c r="AJ153" s="1" t="s">
        <v>21</v>
      </c>
      <c r="AK153" s="1" t="s">
        <v>21</v>
      </c>
      <c r="AL153" s="17"/>
      <c r="AM153" s="18"/>
      <c r="AN153" s="68" t="s">
        <v>80</v>
      </c>
      <c r="AO153" s="41"/>
    </row>
    <row r="154" spans="2:41" s="43" customFormat="1" ht="15" customHeight="1">
      <c r="B154" s="1">
        <f t="shared" si="2"/>
        <v>144</v>
      </c>
      <c r="C154" s="1">
        <v>0</v>
      </c>
      <c r="D154" s="1" t="s">
        <v>186</v>
      </c>
      <c r="E154" s="1" t="s">
        <v>186</v>
      </c>
      <c r="F154" s="1" t="s">
        <v>57</v>
      </c>
      <c r="G154" s="1" t="s">
        <v>250</v>
      </c>
      <c r="H154" s="1" t="s">
        <v>256</v>
      </c>
      <c r="I154" s="1" t="s">
        <v>86</v>
      </c>
      <c r="J154" s="1" t="s">
        <v>331</v>
      </c>
      <c r="K154" s="1" t="s">
        <v>12</v>
      </c>
      <c r="L154" s="1">
        <v>0</v>
      </c>
      <c r="M154" s="1">
        <v>0</v>
      </c>
      <c r="N154" s="1">
        <v>0</v>
      </c>
      <c r="O154" s="1">
        <v>0</v>
      </c>
      <c r="P154" s="1">
        <v>0</v>
      </c>
      <c r="Q154" s="1">
        <v>4</v>
      </c>
      <c r="R154" s="1">
        <v>4</v>
      </c>
      <c r="S154" s="1">
        <v>0</v>
      </c>
      <c r="T154" s="1">
        <v>0</v>
      </c>
      <c r="U154" s="1">
        <v>0</v>
      </c>
      <c r="V154" s="1">
        <v>0</v>
      </c>
      <c r="W154" s="1">
        <v>0</v>
      </c>
      <c r="X154" s="1">
        <v>0</v>
      </c>
      <c r="Y154" s="1"/>
      <c r="Z154" s="1"/>
      <c r="AA154" s="1">
        <v>0</v>
      </c>
      <c r="AB154" s="1">
        <v>0</v>
      </c>
      <c r="AC154" s="1"/>
      <c r="AD154" s="1"/>
      <c r="AE154" s="1"/>
      <c r="AF154" s="1"/>
      <c r="AG154" s="1">
        <v>0</v>
      </c>
      <c r="AH154" s="1">
        <v>0</v>
      </c>
      <c r="AI154" s="1"/>
      <c r="AJ154" s="1" t="s">
        <v>21</v>
      </c>
      <c r="AK154" s="1" t="s">
        <v>21</v>
      </c>
      <c r="AL154" s="17"/>
      <c r="AM154" s="18"/>
      <c r="AN154" s="68" t="s">
        <v>80</v>
      </c>
      <c r="AO154" s="41"/>
    </row>
    <row r="155" spans="2:41" s="43" customFormat="1" ht="15" customHeight="1">
      <c r="B155" s="66">
        <f t="shared" si="2"/>
        <v>145</v>
      </c>
      <c r="C155" s="66">
        <v>1</v>
      </c>
      <c r="D155" s="66" t="s">
        <v>386</v>
      </c>
      <c r="E155" s="66" t="s">
        <v>294</v>
      </c>
      <c r="F155" s="66" t="s">
        <v>57</v>
      </c>
      <c r="G155" s="66" t="s">
        <v>250</v>
      </c>
      <c r="H155" s="66" t="s">
        <v>257</v>
      </c>
      <c r="I155" s="66" t="s">
        <v>86</v>
      </c>
      <c r="J155" s="66" t="s">
        <v>331</v>
      </c>
      <c r="K155" s="66" t="s">
        <v>12</v>
      </c>
      <c r="L155" s="66">
        <v>0</v>
      </c>
      <c r="M155" s="66">
        <v>0</v>
      </c>
      <c r="N155" s="66">
        <v>2</v>
      </c>
      <c r="O155" s="66">
        <v>0</v>
      </c>
      <c r="P155" s="66">
        <v>0</v>
      </c>
      <c r="Q155" s="66">
        <v>4</v>
      </c>
      <c r="R155" s="66">
        <v>4</v>
      </c>
      <c r="S155" s="66">
        <v>0</v>
      </c>
      <c r="T155" s="66">
        <v>0</v>
      </c>
      <c r="U155" s="66">
        <v>0</v>
      </c>
      <c r="V155" s="66">
        <v>0</v>
      </c>
      <c r="W155" s="66">
        <v>0</v>
      </c>
      <c r="X155" s="66">
        <v>0</v>
      </c>
      <c r="Y155" s="66">
        <v>0</v>
      </c>
      <c r="Z155" s="66">
        <v>0</v>
      </c>
      <c r="AA155" s="66">
        <v>0</v>
      </c>
      <c r="AB155" s="66">
        <v>0</v>
      </c>
      <c r="AC155" s="66"/>
      <c r="AD155" s="66"/>
      <c r="AE155" s="66"/>
      <c r="AF155" s="66"/>
      <c r="AG155" s="66">
        <v>0</v>
      </c>
      <c r="AH155" s="66">
        <v>0</v>
      </c>
      <c r="AI155" s="66"/>
      <c r="AJ155" s="66" t="s">
        <v>21</v>
      </c>
      <c r="AK155" s="66" t="s">
        <v>21</v>
      </c>
      <c r="AL155" s="67"/>
      <c r="AM155" s="66"/>
      <c r="AN155" s="68" t="s">
        <v>80</v>
      </c>
      <c r="AO155" s="41"/>
    </row>
    <row r="156" spans="2:41" s="43" customFormat="1" ht="15" customHeight="1">
      <c r="B156" s="66">
        <f t="shared" si="2"/>
        <v>146</v>
      </c>
      <c r="C156" s="66">
        <v>1</v>
      </c>
      <c r="D156" s="66" t="s">
        <v>386</v>
      </c>
      <c r="E156" s="66" t="s">
        <v>294</v>
      </c>
      <c r="F156" s="66" t="s">
        <v>57</v>
      </c>
      <c r="G156" s="66" t="s">
        <v>250</v>
      </c>
      <c r="H156" s="66" t="s">
        <v>264</v>
      </c>
      <c r="I156" s="66" t="s">
        <v>86</v>
      </c>
      <c r="J156" s="66" t="s">
        <v>331</v>
      </c>
      <c r="K156" s="66" t="s">
        <v>12</v>
      </c>
      <c r="L156" s="66">
        <v>0</v>
      </c>
      <c r="M156" s="66">
        <v>0</v>
      </c>
      <c r="N156" s="66">
        <v>3</v>
      </c>
      <c r="O156" s="66">
        <v>0</v>
      </c>
      <c r="P156" s="66">
        <v>0</v>
      </c>
      <c r="Q156" s="66">
        <v>4</v>
      </c>
      <c r="R156" s="66">
        <v>4</v>
      </c>
      <c r="S156" s="66">
        <v>0</v>
      </c>
      <c r="T156" s="66">
        <v>0</v>
      </c>
      <c r="U156" s="66">
        <v>0</v>
      </c>
      <c r="V156" s="66">
        <v>0</v>
      </c>
      <c r="W156" s="66">
        <v>0</v>
      </c>
      <c r="X156" s="66">
        <v>0</v>
      </c>
      <c r="Y156" s="66">
        <v>0</v>
      </c>
      <c r="Z156" s="66">
        <v>0</v>
      </c>
      <c r="AA156" s="66">
        <v>0</v>
      </c>
      <c r="AB156" s="66">
        <v>0</v>
      </c>
      <c r="AC156" s="66"/>
      <c r="AD156" s="66"/>
      <c r="AE156" s="66"/>
      <c r="AF156" s="66"/>
      <c r="AG156" s="66">
        <v>0</v>
      </c>
      <c r="AH156" s="66">
        <v>0</v>
      </c>
      <c r="AI156" s="66"/>
      <c r="AJ156" s="66" t="s">
        <v>21</v>
      </c>
      <c r="AK156" s="66" t="s">
        <v>21</v>
      </c>
      <c r="AL156" s="67"/>
      <c r="AM156" s="66"/>
      <c r="AN156" s="68" t="s">
        <v>80</v>
      </c>
      <c r="AO156" s="41"/>
    </row>
    <row r="157" spans="2:41" s="43" customFormat="1" ht="15" customHeight="1">
      <c r="B157" s="66">
        <f t="shared" si="2"/>
        <v>147</v>
      </c>
      <c r="C157" s="66">
        <v>1</v>
      </c>
      <c r="D157" s="66" t="s">
        <v>386</v>
      </c>
      <c r="E157" s="66" t="s">
        <v>294</v>
      </c>
      <c r="F157" s="66" t="s">
        <v>57</v>
      </c>
      <c r="G157" s="66" t="s">
        <v>250</v>
      </c>
      <c r="H157" s="66" t="s">
        <v>265</v>
      </c>
      <c r="I157" s="66" t="s">
        <v>86</v>
      </c>
      <c r="J157" s="66" t="s">
        <v>331</v>
      </c>
      <c r="K157" s="66" t="s">
        <v>12</v>
      </c>
      <c r="L157" s="66">
        <v>0</v>
      </c>
      <c r="M157" s="66">
        <v>0</v>
      </c>
      <c r="N157" s="66">
        <v>2</v>
      </c>
      <c r="O157" s="66">
        <v>0</v>
      </c>
      <c r="P157" s="66">
        <v>0</v>
      </c>
      <c r="Q157" s="66">
        <v>4</v>
      </c>
      <c r="R157" s="66">
        <v>4</v>
      </c>
      <c r="S157" s="66">
        <v>0</v>
      </c>
      <c r="T157" s="66">
        <v>0</v>
      </c>
      <c r="U157" s="66">
        <v>0</v>
      </c>
      <c r="V157" s="66">
        <v>0</v>
      </c>
      <c r="W157" s="66">
        <v>0</v>
      </c>
      <c r="X157" s="66">
        <v>0</v>
      </c>
      <c r="Y157" s="66">
        <v>0</v>
      </c>
      <c r="Z157" s="66">
        <v>0</v>
      </c>
      <c r="AA157" s="66">
        <v>0</v>
      </c>
      <c r="AB157" s="66">
        <v>0</v>
      </c>
      <c r="AC157" s="66"/>
      <c r="AD157" s="66"/>
      <c r="AE157" s="66"/>
      <c r="AF157" s="66"/>
      <c r="AG157" s="66">
        <v>0</v>
      </c>
      <c r="AH157" s="66">
        <v>0</v>
      </c>
      <c r="AI157" s="66"/>
      <c r="AJ157" s="66" t="s">
        <v>21</v>
      </c>
      <c r="AK157" s="66" t="s">
        <v>21</v>
      </c>
      <c r="AL157" s="67"/>
      <c r="AM157" s="66"/>
      <c r="AN157" s="68" t="s">
        <v>80</v>
      </c>
      <c r="AO157" s="41"/>
    </row>
    <row r="158" spans="2:41" s="43" customFormat="1" ht="15" customHeight="1">
      <c r="B158" s="66">
        <f t="shared" si="2"/>
        <v>148</v>
      </c>
      <c r="C158" s="66">
        <v>1</v>
      </c>
      <c r="D158" s="66" t="s">
        <v>386</v>
      </c>
      <c r="E158" s="66" t="s">
        <v>294</v>
      </c>
      <c r="F158" s="66" t="s">
        <v>57</v>
      </c>
      <c r="G158" s="66"/>
      <c r="H158" s="66" t="s">
        <v>258</v>
      </c>
      <c r="I158" s="66" t="s">
        <v>86</v>
      </c>
      <c r="J158" s="66" t="s">
        <v>12</v>
      </c>
      <c r="K158" s="66" t="s">
        <v>331</v>
      </c>
      <c r="L158" s="66">
        <v>0</v>
      </c>
      <c r="M158" s="66">
        <v>0</v>
      </c>
      <c r="N158" s="66">
        <v>4</v>
      </c>
      <c r="O158" s="66">
        <v>0</v>
      </c>
      <c r="P158" s="66">
        <v>0</v>
      </c>
      <c r="Q158" s="66">
        <v>4</v>
      </c>
      <c r="R158" s="66">
        <v>3</v>
      </c>
      <c r="S158" s="66">
        <v>0</v>
      </c>
      <c r="T158" s="66">
        <v>0</v>
      </c>
      <c r="U158" s="66">
        <v>0</v>
      </c>
      <c r="V158" s="66">
        <v>0</v>
      </c>
      <c r="W158" s="66">
        <v>0</v>
      </c>
      <c r="X158" s="66">
        <v>0</v>
      </c>
      <c r="Y158" s="66">
        <v>0</v>
      </c>
      <c r="Z158" s="66">
        <v>0</v>
      </c>
      <c r="AA158" s="66">
        <v>0</v>
      </c>
      <c r="AB158" s="66">
        <v>0</v>
      </c>
      <c r="AC158" s="66"/>
      <c r="AD158" s="66"/>
      <c r="AE158" s="66"/>
      <c r="AF158" s="66"/>
      <c r="AG158" s="66">
        <v>0</v>
      </c>
      <c r="AH158" s="66">
        <v>0</v>
      </c>
      <c r="AI158" s="66"/>
      <c r="AJ158" s="66" t="s">
        <v>21</v>
      </c>
      <c r="AK158" s="66" t="s">
        <v>21</v>
      </c>
      <c r="AL158" s="67"/>
      <c r="AM158" s="66"/>
      <c r="AN158" s="68" t="s">
        <v>80</v>
      </c>
      <c r="AO158" s="41"/>
    </row>
    <row r="159" spans="2:41" s="43" customFormat="1" ht="15" customHeight="1">
      <c r="B159" s="1">
        <f t="shared" si="2"/>
        <v>149</v>
      </c>
      <c r="C159" s="1">
        <v>0</v>
      </c>
      <c r="D159" s="60" t="s">
        <v>186</v>
      </c>
      <c r="E159" s="1" t="s">
        <v>294</v>
      </c>
      <c r="F159" s="1" t="s">
        <v>57</v>
      </c>
      <c r="G159" s="1" t="s">
        <v>250</v>
      </c>
      <c r="H159" s="1" t="s">
        <v>259</v>
      </c>
      <c r="I159" s="1" t="s">
        <v>86</v>
      </c>
      <c r="J159" s="1" t="s">
        <v>331</v>
      </c>
      <c r="K159" s="1" t="s">
        <v>12</v>
      </c>
      <c r="L159" s="1">
        <v>0</v>
      </c>
      <c r="M159" s="1">
        <v>0</v>
      </c>
      <c r="N159" s="1">
        <v>2</v>
      </c>
      <c r="O159" s="1">
        <v>0</v>
      </c>
      <c r="P159" s="1">
        <v>0</v>
      </c>
      <c r="Q159" s="60">
        <v>4</v>
      </c>
      <c r="R159" s="1">
        <v>4</v>
      </c>
      <c r="S159" s="1">
        <v>0</v>
      </c>
      <c r="T159" s="1">
        <v>0</v>
      </c>
      <c r="U159" s="1">
        <v>0</v>
      </c>
      <c r="V159" s="1">
        <v>0</v>
      </c>
      <c r="W159" s="1">
        <v>0</v>
      </c>
      <c r="X159" s="1">
        <v>0</v>
      </c>
      <c r="Y159" s="1">
        <v>0</v>
      </c>
      <c r="Z159" s="1">
        <v>0</v>
      </c>
      <c r="AA159" s="1">
        <v>0</v>
      </c>
      <c r="AB159" s="1">
        <v>0</v>
      </c>
      <c r="AC159" s="1"/>
      <c r="AD159" s="1"/>
      <c r="AE159" s="1"/>
      <c r="AF159" s="1"/>
      <c r="AG159" s="1">
        <v>0</v>
      </c>
      <c r="AH159" s="1">
        <v>0</v>
      </c>
      <c r="AI159" s="1"/>
      <c r="AJ159" s="1" t="s">
        <v>21</v>
      </c>
      <c r="AK159" s="1" t="s">
        <v>21</v>
      </c>
      <c r="AL159" s="17"/>
      <c r="AM159" s="18"/>
      <c r="AN159" s="10" t="s">
        <v>80</v>
      </c>
      <c r="AO159" s="41"/>
    </row>
    <row r="160" spans="2:41" s="43" customFormat="1" ht="15" customHeight="1">
      <c r="B160" s="1">
        <f t="shared" si="2"/>
        <v>150</v>
      </c>
      <c r="C160" s="1">
        <v>1</v>
      </c>
      <c r="D160" s="54" t="s">
        <v>386</v>
      </c>
      <c r="E160" s="1" t="s">
        <v>294</v>
      </c>
      <c r="F160" s="1" t="s">
        <v>57</v>
      </c>
      <c r="G160" s="1" t="s">
        <v>250</v>
      </c>
      <c r="H160" s="1" t="s">
        <v>261</v>
      </c>
      <c r="I160" s="1" t="s">
        <v>86</v>
      </c>
      <c r="J160" s="1" t="s">
        <v>331</v>
      </c>
      <c r="K160" s="1" t="s">
        <v>12</v>
      </c>
      <c r="L160" s="1">
        <v>0</v>
      </c>
      <c r="M160" s="1">
        <v>0</v>
      </c>
      <c r="N160" s="1">
        <v>2</v>
      </c>
      <c r="O160" s="1">
        <v>0</v>
      </c>
      <c r="P160" s="1">
        <v>0</v>
      </c>
      <c r="Q160" s="60">
        <v>4</v>
      </c>
      <c r="R160" s="1">
        <v>4</v>
      </c>
      <c r="S160" s="1">
        <v>0</v>
      </c>
      <c r="T160" s="1">
        <v>0</v>
      </c>
      <c r="U160" s="1">
        <v>0</v>
      </c>
      <c r="V160" s="1">
        <v>0</v>
      </c>
      <c r="W160" s="1">
        <v>0</v>
      </c>
      <c r="X160" s="1">
        <v>0</v>
      </c>
      <c r="Y160" s="1">
        <v>0</v>
      </c>
      <c r="Z160" s="1">
        <v>0</v>
      </c>
      <c r="AA160" s="1">
        <v>0</v>
      </c>
      <c r="AB160" s="1">
        <v>2</v>
      </c>
      <c r="AC160" s="1"/>
      <c r="AD160" s="1"/>
      <c r="AE160" s="1"/>
      <c r="AF160" s="1"/>
      <c r="AG160" s="1">
        <v>0</v>
      </c>
      <c r="AH160" s="1">
        <v>0</v>
      </c>
      <c r="AI160" s="1">
        <v>0</v>
      </c>
      <c r="AJ160" s="1" t="s">
        <v>21</v>
      </c>
      <c r="AK160" s="1" t="s">
        <v>21</v>
      </c>
      <c r="AL160" s="17"/>
      <c r="AM160" s="18"/>
      <c r="AN160" s="10"/>
      <c r="AO160" s="41"/>
    </row>
    <row r="161" spans="2:41" s="43" customFormat="1" ht="15" customHeight="1">
      <c r="B161" s="1">
        <f t="shared" si="2"/>
        <v>151</v>
      </c>
      <c r="C161" s="1">
        <v>1</v>
      </c>
      <c r="D161" s="54" t="s">
        <v>386</v>
      </c>
      <c r="E161" s="1" t="s">
        <v>294</v>
      </c>
      <c r="F161" s="1" t="s">
        <v>57</v>
      </c>
      <c r="G161" s="1" t="s">
        <v>250</v>
      </c>
      <c r="H161" s="1" t="s">
        <v>260</v>
      </c>
      <c r="I161" s="1" t="s">
        <v>86</v>
      </c>
      <c r="J161" s="1" t="s">
        <v>331</v>
      </c>
      <c r="K161" s="1" t="s">
        <v>12</v>
      </c>
      <c r="L161" s="1">
        <v>0</v>
      </c>
      <c r="M161" s="1">
        <v>0</v>
      </c>
      <c r="N161" s="1">
        <v>2</v>
      </c>
      <c r="O161" s="1">
        <v>0</v>
      </c>
      <c r="P161" s="1">
        <v>0</v>
      </c>
      <c r="Q161" s="60">
        <v>4</v>
      </c>
      <c r="R161" s="1">
        <v>4</v>
      </c>
      <c r="S161" s="1">
        <v>0</v>
      </c>
      <c r="T161" s="1">
        <v>0</v>
      </c>
      <c r="U161" s="1">
        <v>0</v>
      </c>
      <c r="V161" s="1">
        <v>0</v>
      </c>
      <c r="W161" s="1">
        <v>0</v>
      </c>
      <c r="X161" s="1">
        <v>0</v>
      </c>
      <c r="Y161" s="1">
        <v>0</v>
      </c>
      <c r="Z161" s="1">
        <v>0</v>
      </c>
      <c r="AA161" s="1">
        <v>0</v>
      </c>
      <c r="AB161" s="1">
        <v>2</v>
      </c>
      <c r="AC161" s="1"/>
      <c r="AD161" s="1"/>
      <c r="AE161" s="1"/>
      <c r="AF161" s="1"/>
      <c r="AG161" s="1">
        <v>0</v>
      </c>
      <c r="AH161" s="1">
        <v>0</v>
      </c>
      <c r="AI161" s="1">
        <v>0</v>
      </c>
      <c r="AJ161" s="1" t="s">
        <v>21</v>
      </c>
      <c r="AK161" s="1" t="s">
        <v>21</v>
      </c>
      <c r="AL161" s="17"/>
      <c r="AM161" s="18"/>
      <c r="AN161" s="10"/>
      <c r="AO161" s="41"/>
    </row>
    <row r="162" spans="2:41" s="43" customFormat="1" ht="15" customHeight="1">
      <c r="B162" s="66">
        <f t="shared" si="2"/>
        <v>152</v>
      </c>
      <c r="C162" s="66">
        <v>1</v>
      </c>
      <c r="D162" s="66" t="s">
        <v>386</v>
      </c>
      <c r="E162" s="66" t="s">
        <v>294</v>
      </c>
      <c r="F162" s="66" t="s">
        <v>57</v>
      </c>
      <c r="G162" s="66" t="s">
        <v>250</v>
      </c>
      <c r="H162" s="66" t="s">
        <v>262</v>
      </c>
      <c r="I162" s="66" t="s">
        <v>86</v>
      </c>
      <c r="J162" s="66" t="s">
        <v>331</v>
      </c>
      <c r="K162" s="66" t="s">
        <v>12</v>
      </c>
      <c r="L162" s="66">
        <v>0</v>
      </c>
      <c r="M162" s="66">
        <v>0</v>
      </c>
      <c r="N162" s="66">
        <v>2</v>
      </c>
      <c r="O162" s="66">
        <v>0</v>
      </c>
      <c r="P162" s="66">
        <v>0</v>
      </c>
      <c r="Q162" s="66">
        <v>4</v>
      </c>
      <c r="R162" s="66">
        <v>4</v>
      </c>
      <c r="S162" s="66">
        <v>0</v>
      </c>
      <c r="T162" s="66">
        <v>0</v>
      </c>
      <c r="U162" s="66">
        <v>0</v>
      </c>
      <c r="V162" s="66">
        <v>0</v>
      </c>
      <c r="W162" s="66">
        <v>0</v>
      </c>
      <c r="X162" s="66">
        <v>0</v>
      </c>
      <c r="Y162" s="66">
        <v>0</v>
      </c>
      <c r="Z162" s="66">
        <v>0</v>
      </c>
      <c r="AA162" s="66">
        <v>0</v>
      </c>
      <c r="AB162" s="66">
        <v>0</v>
      </c>
      <c r="AC162" s="66"/>
      <c r="AD162" s="66"/>
      <c r="AE162" s="66"/>
      <c r="AF162" s="66"/>
      <c r="AG162" s="66">
        <v>0</v>
      </c>
      <c r="AH162" s="1">
        <v>0</v>
      </c>
      <c r="AI162" s="1">
        <v>0</v>
      </c>
      <c r="AJ162" s="66" t="s">
        <v>21</v>
      </c>
      <c r="AK162" s="66" t="s">
        <v>21</v>
      </c>
      <c r="AL162" s="67"/>
      <c r="AM162" s="66"/>
      <c r="AN162" s="68" t="s">
        <v>80</v>
      </c>
      <c r="AO162" s="41"/>
    </row>
    <row r="163" spans="2:41" s="43" customFormat="1" ht="15" customHeight="1">
      <c r="B163" s="1">
        <f t="shared" si="2"/>
        <v>153</v>
      </c>
      <c r="C163" s="1">
        <v>1</v>
      </c>
      <c r="D163" s="54" t="s">
        <v>386</v>
      </c>
      <c r="E163" s="1" t="s">
        <v>294</v>
      </c>
      <c r="F163" s="1" t="s">
        <v>57</v>
      </c>
      <c r="G163" s="1" t="s">
        <v>250</v>
      </c>
      <c r="H163" s="1" t="s">
        <v>263</v>
      </c>
      <c r="I163" s="1" t="s">
        <v>336</v>
      </c>
      <c r="J163" s="1" t="s">
        <v>331</v>
      </c>
      <c r="K163" s="1" t="s">
        <v>12</v>
      </c>
      <c r="L163" s="1">
        <v>0</v>
      </c>
      <c r="M163" s="1">
        <v>0</v>
      </c>
      <c r="N163" s="1">
        <v>2</v>
      </c>
      <c r="O163" s="1">
        <v>0</v>
      </c>
      <c r="P163" s="1">
        <v>0</v>
      </c>
      <c r="Q163" s="60">
        <v>4</v>
      </c>
      <c r="R163" s="1">
        <v>4</v>
      </c>
      <c r="S163" s="1">
        <v>0</v>
      </c>
      <c r="T163" s="1">
        <v>0</v>
      </c>
      <c r="U163" s="1">
        <v>0</v>
      </c>
      <c r="V163" s="1">
        <v>0</v>
      </c>
      <c r="W163" s="1">
        <v>0</v>
      </c>
      <c r="X163" s="1">
        <v>0</v>
      </c>
      <c r="Y163" s="1">
        <v>0</v>
      </c>
      <c r="Z163" s="1">
        <v>0</v>
      </c>
      <c r="AA163" s="1">
        <v>0</v>
      </c>
      <c r="AB163" s="1">
        <v>2</v>
      </c>
      <c r="AC163" s="1"/>
      <c r="AD163" s="1"/>
      <c r="AE163" s="1"/>
      <c r="AF163" s="1"/>
      <c r="AG163" s="1">
        <v>0</v>
      </c>
      <c r="AH163" s="1">
        <v>0</v>
      </c>
      <c r="AI163" s="1">
        <v>0</v>
      </c>
      <c r="AJ163" s="1" t="s">
        <v>21</v>
      </c>
      <c r="AK163" s="1" t="s">
        <v>21</v>
      </c>
      <c r="AL163" s="17"/>
      <c r="AM163" s="18"/>
      <c r="AN163" s="10"/>
      <c r="AO163" s="41"/>
    </row>
    <row r="164" spans="2:41" s="43" customFormat="1" ht="15" customHeight="1">
      <c r="B164" s="1">
        <f t="shared" si="2"/>
        <v>154</v>
      </c>
      <c r="C164" s="1">
        <v>1</v>
      </c>
      <c r="D164" s="54" t="s">
        <v>386</v>
      </c>
      <c r="E164" s="1" t="s">
        <v>294</v>
      </c>
      <c r="F164" s="1" t="s">
        <v>57</v>
      </c>
      <c r="G164" s="1" t="s">
        <v>250</v>
      </c>
      <c r="H164" s="1" t="s">
        <v>64</v>
      </c>
      <c r="I164" s="1" t="s">
        <v>86</v>
      </c>
      <c r="J164" s="1" t="s">
        <v>331</v>
      </c>
      <c r="K164" s="1" t="s">
        <v>12</v>
      </c>
      <c r="L164" s="1">
        <v>0</v>
      </c>
      <c r="M164" s="1">
        <v>0</v>
      </c>
      <c r="N164" s="1">
        <v>2</v>
      </c>
      <c r="O164" s="1">
        <v>0</v>
      </c>
      <c r="P164" s="1">
        <v>0</v>
      </c>
      <c r="Q164" s="60">
        <v>4</v>
      </c>
      <c r="R164" s="1">
        <v>4</v>
      </c>
      <c r="S164" s="1">
        <v>0</v>
      </c>
      <c r="T164" s="1">
        <v>0</v>
      </c>
      <c r="U164" s="1">
        <v>0</v>
      </c>
      <c r="V164" s="1">
        <v>0</v>
      </c>
      <c r="W164" s="1">
        <v>0</v>
      </c>
      <c r="X164" s="1">
        <v>0</v>
      </c>
      <c r="Y164" s="1">
        <v>0</v>
      </c>
      <c r="Z164" s="1">
        <v>0</v>
      </c>
      <c r="AA164" s="1">
        <v>0</v>
      </c>
      <c r="AB164" s="1">
        <v>2</v>
      </c>
      <c r="AC164" s="1"/>
      <c r="AD164" s="1"/>
      <c r="AE164" s="1"/>
      <c r="AF164" s="1"/>
      <c r="AG164" s="1">
        <v>0</v>
      </c>
      <c r="AH164" s="1">
        <v>0</v>
      </c>
      <c r="AI164" s="1">
        <v>0</v>
      </c>
      <c r="AJ164" s="1" t="s">
        <v>21</v>
      </c>
      <c r="AK164" s="1" t="s">
        <v>21</v>
      </c>
      <c r="AL164" s="17"/>
      <c r="AM164" s="18"/>
      <c r="AN164" s="10"/>
      <c r="AO164" s="41"/>
    </row>
    <row r="165" spans="2:41" s="43" customFormat="1" ht="15" customHeight="1">
      <c r="B165" s="1">
        <f t="shared" si="2"/>
        <v>155</v>
      </c>
      <c r="C165" s="1">
        <v>1</v>
      </c>
      <c r="D165" s="54" t="s">
        <v>386</v>
      </c>
      <c r="E165" s="1" t="s">
        <v>294</v>
      </c>
      <c r="F165" s="1" t="s">
        <v>57</v>
      </c>
      <c r="G165" s="1" t="s">
        <v>250</v>
      </c>
      <c r="H165" s="1" t="s">
        <v>63</v>
      </c>
      <c r="I165" s="1" t="s">
        <v>88</v>
      </c>
      <c r="J165" s="1" t="s">
        <v>331</v>
      </c>
      <c r="K165" s="1" t="s">
        <v>12</v>
      </c>
      <c r="L165" s="1">
        <v>0</v>
      </c>
      <c r="M165" s="1">
        <v>0</v>
      </c>
      <c r="N165" s="1">
        <v>2</v>
      </c>
      <c r="O165" s="1">
        <v>0</v>
      </c>
      <c r="P165" s="1">
        <v>0</v>
      </c>
      <c r="Q165" s="60">
        <v>4</v>
      </c>
      <c r="R165" s="1">
        <v>4</v>
      </c>
      <c r="S165" s="1">
        <v>0</v>
      </c>
      <c r="T165" s="1">
        <v>0</v>
      </c>
      <c r="U165" s="1">
        <v>0</v>
      </c>
      <c r="V165" s="1">
        <v>0</v>
      </c>
      <c r="W165" s="1">
        <v>0</v>
      </c>
      <c r="X165" s="1">
        <v>0</v>
      </c>
      <c r="Y165" s="1">
        <v>0</v>
      </c>
      <c r="Z165" s="1">
        <v>0</v>
      </c>
      <c r="AA165" s="1">
        <v>0</v>
      </c>
      <c r="AB165" s="1">
        <v>2</v>
      </c>
      <c r="AC165" s="1"/>
      <c r="AD165" s="1"/>
      <c r="AE165" s="1"/>
      <c r="AF165" s="1"/>
      <c r="AG165" s="1">
        <v>0</v>
      </c>
      <c r="AH165" s="1">
        <v>0</v>
      </c>
      <c r="AI165" s="1">
        <v>0</v>
      </c>
      <c r="AJ165" s="1" t="s">
        <v>21</v>
      </c>
      <c r="AK165" s="1" t="s">
        <v>21</v>
      </c>
      <c r="AL165" s="17"/>
      <c r="AM165" s="18"/>
      <c r="AN165" s="10"/>
      <c r="AO165" s="41"/>
    </row>
    <row r="166" spans="2:41" s="43" customFormat="1" ht="15" customHeight="1">
      <c r="B166" s="1">
        <f t="shared" si="2"/>
        <v>156</v>
      </c>
      <c r="C166" s="1">
        <v>0</v>
      </c>
      <c r="D166" s="60" t="s">
        <v>186</v>
      </c>
      <c r="E166" s="1" t="s">
        <v>294</v>
      </c>
      <c r="F166" s="1" t="s">
        <v>57</v>
      </c>
      <c r="G166" s="1" t="s">
        <v>250</v>
      </c>
      <c r="H166" s="1" t="s">
        <v>266</v>
      </c>
      <c r="I166" s="1" t="s">
        <v>86</v>
      </c>
      <c r="J166" s="1" t="s">
        <v>331</v>
      </c>
      <c r="K166" s="1" t="s">
        <v>12</v>
      </c>
      <c r="L166" s="1">
        <v>0</v>
      </c>
      <c r="M166" s="1">
        <v>0</v>
      </c>
      <c r="N166" s="1">
        <v>2</v>
      </c>
      <c r="O166" s="1">
        <v>0</v>
      </c>
      <c r="P166" s="1">
        <v>0</v>
      </c>
      <c r="Q166" s="60">
        <v>4</v>
      </c>
      <c r="R166" s="1">
        <v>4</v>
      </c>
      <c r="S166" s="1">
        <v>0</v>
      </c>
      <c r="T166" s="1">
        <v>0</v>
      </c>
      <c r="U166" s="1">
        <v>0</v>
      </c>
      <c r="V166" s="1">
        <v>0</v>
      </c>
      <c r="W166" s="1">
        <v>0</v>
      </c>
      <c r="X166" s="1">
        <v>0</v>
      </c>
      <c r="Y166" s="1">
        <v>0</v>
      </c>
      <c r="Z166" s="1">
        <v>0</v>
      </c>
      <c r="AA166" s="1">
        <v>0</v>
      </c>
      <c r="AB166" s="1"/>
      <c r="AC166" s="1"/>
      <c r="AD166" s="1"/>
      <c r="AE166" s="1"/>
      <c r="AF166" s="1"/>
      <c r="AG166" s="1">
        <v>0</v>
      </c>
      <c r="AH166" s="1">
        <v>0</v>
      </c>
      <c r="AI166" s="1"/>
      <c r="AJ166" s="1" t="s">
        <v>21</v>
      </c>
      <c r="AK166" s="1" t="s">
        <v>21</v>
      </c>
      <c r="AL166" s="17"/>
      <c r="AM166" s="18"/>
      <c r="AN166" s="10" t="s">
        <v>80</v>
      </c>
      <c r="AO166" s="41"/>
    </row>
    <row r="167" spans="2:41" s="43" customFormat="1" ht="15" customHeight="1">
      <c r="B167" s="1">
        <f t="shared" si="2"/>
        <v>157</v>
      </c>
      <c r="C167" s="1">
        <v>0</v>
      </c>
      <c r="D167" s="60" t="s">
        <v>186</v>
      </c>
      <c r="E167" s="1" t="s">
        <v>294</v>
      </c>
      <c r="F167" s="1" t="s">
        <v>57</v>
      </c>
      <c r="G167" s="1" t="s">
        <v>250</v>
      </c>
      <c r="H167" s="1" t="s">
        <v>267</v>
      </c>
      <c r="I167" s="1" t="s">
        <v>87</v>
      </c>
      <c r="J167" s="1" t="s">
        <v>331</v>
      </c>
      <c r="K167" s="1" t="s">
        <v>12</v>
      </c>
      <c r="L167" s="1">
        <v>0</v>
      </c>
      <c r="M167" s="1">
        <v>0</v>
      </c>
      <c r="N167" s="1">
        <v>2</v>
      </c>
      <c r="O167" s="1">
        <v>0</v>
      </c>
      <c r="P167" s="1">
        <v>0</v>
      </c>
      <c r="Q167" s="60">
        <v>4</v>
      </c>
      <c r="R167" s="1">
        <v>4</v>
      </c>
      <c r="S167" s="1">
        <v>0</v>
      </c>
      <c r="T167" s="1">
        <v>0</v>
      </c>
      <c r="U167" s="1">
        <v>0</v>
      </c>
      <c r="V167" s="1">
        <v>0</v>
      </c>
      <c r="W167" s="1">
        <v>0</v>
      </c>
      <c r="X167" s="1">
        <v>0</v>
      </c>
      <c r="Y167" s="1">
        <v>0</v>
      </c>
      <c r="Z167" s="1">
        <v>0</v>
      </c>
      <c r="AA167" s="1">
        <v>0</v>
      </c>
      <c r="AB167" s="1"/>
      <c r="AC167" s="1"/>
      <c r="AD167" s="1"/>
      <c r="AE167" s="1"/>
      <c r="AF167" s="1"/>
      <c r="AG167" s="1">
        <v>0</v>
      </c>
      <c r="AH167" s="1">
        <v>0</v>
      </c>
      <c r="AI167" s="1"/>
      <c r="AJ167" s="1" t="s">
        <v>21</v>
      </c>
      <c r="AK167" s="1" t="s">
        <v>21</v>
      </c>
      <c r="AL167" s="17"/>
      <c r="AM167" s="18"/>
      <c r="AN167" s="10" t="s">
        <v>80</v>
      </c>
      <c r="AO167" s="41"/>
    </row>
    <row r="168" spans="2:41" s="43" customFormat="1" ht="15" customHeight="1">
      <c r="B168" s="1">
        <f t="shared" si="2"/>
        <v>158</v>
      </c>
      <c r="C168" s="1">
        <v>1</v>
      </c>
      <c r="D168" s="54" t="s">
        <v>386</v>
      </c>
      <c r="E168" s="1" t="s">
        <v>294</v>
      </c>
      <c r="F168" s="1" t="s">
        <v>57</v>
      </c>
      <c r="G168" s="1" t="s">
        <v>250</v>
      </c>
      <c r="H168" s="1" t="s">
        <v>268</v>
      </c>
      <c r="I168" s="1" t="s">
        <v>87</v>
      </c>
      <c r="J168" s="1" t="s">
        <v>331</v>
      </c>
      <c r="K168" s="1" t="s">
        <v>12</v>
      </c>
      <c r="L168" s="1">
        <v>0</v>
      </c>
      <c r="M168" s="1">
        <v>0</v>
      </c>
      <c r="N168" s="1">
        <v>2</v>
      </c>
      <c r="O168" s="1">
        <v>0</v>
      </c>
      <c r="P168" s="1">
        <v>0</v>
      </c>
      <c r="Q168" s="60">
        <v>4</v>
      </c>
      <c r="R168" s="1">
        <v>4</v>
      </c>
      <c r="S168" s="1">
        <v>0</v>
      </c>
      <c r="T168" s="1">
        <v>0</v>
      </c>
      <c r="U168" s="1">
        <v>0</v>
      </c>
      <c r="V168" s="1">
        <v>0</v>
      </c>
      <c r="W168" s="1">
        <v>0</v>
      </c>
      <c r="X168" s="1">
        <v>0</v>
      </c>
      <c r="Y168" s="1">
        <v>0</v>
      </c>
      <c r="Z168" s="1">
        <v>0</v>
      </c>
      <c r="AA168" s="1">
        <v>0</v>
      </c>
      <c r="AB168" s="1">
        <v>2</v>
      </c>
      <c r="AC168" s="1"/>
      <c r="AD168" s="1"/>
      <c r="AE168" s="1"/>
      <c r="AF168" s="1"/>
      <c r="AG168" s="1">
        <v>0</v>
      </c>
      <c r="AH168" s="1">
        <v>0</v>
      </c>
      <c r="AI168" s="1">
        <v>0</v>
      </c>
      <c r="AJ168" s="1" t="s">
        <v>21</v>
      </c>
      <c r="AK168" s="1" t="s">
        <v>21</v>
      </c>
      <c r="AL168" s="17"/>
      <c r="AM168" s="18"/>
      <c r="AN168" s="10"/>
      <c r="AO168" s="41"/>
    </row>
    <row r="169" spans="2:41" s="43" customFormat="1" ht="15" customHeight="1">
      <c r="B169" s="1">
        <f t="shared" si="2"/>
        <v>159</v>
      </c>
      <c r="C169" s="1">
        <v>1</v>
      </c>
      <c r="D169" s="54" t="s">
        <v>386</v>
      </c>
      <c r="E169" s="1" t="s">
        <v>294</v>
      </c>
      <c r="F169" s="1" t="s">
        <v>57</v>
      </c>
      <c r="G169" s="1" t="s">
        <v>250</v>
      </c>
      <c r="H169" s="1" t="s">
        <v>269</v>
      </c>
      <c r="I169" s="1" t="s">
        <v>335</v>
      </c>
      <c r="J169" s="1" t="s">
        <v>331</v>
      </c>
      <c r="K169" s="1" t="s">
        <v>12</v>
      </c>
      <c r="L169" s="1">
        <v>0</v>
      </c>
      <c r="M169" s="1">
        <v>0</v>
      </c>
      <c r="N169" s="1">
        <v>2</v>
      </c>
      <c r="O169" s="1">
        <v>0</v>
      </c>
      <c r="P169" s="1">
        <v>0</v>
      </c>
      <c r="Q169" s="60">
        <v>4</v>
      </c>
      <c r="R169" s="1">
        <v>4</v>
      </c>
      <c r="S169" s="1">
        <v>0</v>
      </c>
      <c r="T169" s="1">
        <v>0</v>
      </c>
      <c r="U169" s="1">
        <v>0</v>
      </c>
      <c r="V169" s="1">
        <v>0</v>
      </c>
      <c r="W169" s="1">
        <v>0</v>
      </c>
      <c r="X169" s="1">
        <v>0</v>
      </c>
      <c r="Y169" s="1">
        <v>0</v>
      </c>
      <c r="Z169" s="1">
        <v>0</v>
      </c>
      <c r="AA169" s="1">
        <v>0</v>
      </c>
      <c r="AB169" s="1">
        <v>2</v>
      </c>
      <c r="AC169" s="1"/>
      <c r="AD169" s="1"/>
      <c r="AE169" s="1"/>
      <c r="AF169" s="1"/>
      <c r="AG169" s="1">
        <v>0</v>
      </c>
      <c r="AH169" s="1">
        <v>0</v>
      </c>
      <c r="AI169" s="1">
        <v>0</v>
      </c>
      <c r="AJ169" s="1" t="s">
        <v>21</v>
      </c>
      <c r="AK169" s="1" t="s">
        <v>21</v>
      </c>
      <c r="AL169" s="17"/>
      <c r="AM169" s="18"/>
      <c r="AN169" s="10"/>
      <c r="AO169" s="41"/>
    </row>
    <row r="170" spans="2:41" s="43" customFormat="1" ht="15" customHeight="1">
      <c r="B170" s="1">
        <f t="shared" si="2"/>
        <v>160</v>
      </c>
      <c r="C170" s="1">
        <v>0</v>
      </c>
      <c r="D170" s="1" t="s">
        <v>177</v>
      </c>
      <c r="E170" s="1" t="s">
        <v>270</v>
      </c>
      <c r="F170" s="1" t="s">
        <v>176</v>
      </c>
      <c r="G170" s="1" t="s">
        <v>177</v>
      </c>
      <c r="H170" s="1" t="s">
        <v>524</v>
      </c>
      <c r="I170" s="1" t="s">
        <v>85</v>
      </c>
      <c r="J170" s="1" t="s">
        <v>330</v>
      </c>
      <c r="K170" s="1" t="s">
        <v>340</v>
      </c>
      <c r="L170" s="1">
        <v>4</v>
      </c>
      <c r="M170" s="1">
        <v>0</v>
      </c>
      <c r="N170" s="1">
        <v>0</v>
      </c>
      <c r="O170" s="1">
        <v>0</v>
      </c>
      <c r="P170" s="1">
        <v>0</v>
      </c>
      <c r="Q170" s="1">
        <v>0</v>
      </c>
      <c r="R170" s="1"/>
      <c r="S170" s="1">
        <v>0</v>
      </c>
      <c r="T170" s="1">
        <v>0</v>
      </c>
      <c r="U170" s="1">
        <v>0</v>
      </c>
      <c r="V170" s="1">
        <v>0</v>
      </c>
      <c r="W170" s="1">
        <v>0</v>
      </c>
      <c r="X170" s="1">
        <v>2</v>
      </c>
      <c r="Y170" s="1"/>
      <c r="Z170" s="1">
        <v>4</v>
      </c>
      <c r="AA170" s="1">
        <v>0</v>
      </c>
      <c r="AB170" s="1"/>
      <c r="AC170" s="1"/>
      <c r="AD170" s="1"/>
      <c r="AE170" s="1">
        <v>3</v>
      </c>
      <c r="AF170" s="1"/>
      <c r="AG170" s="1">
        <v>0</v>
      </c>
      <c r="AH170" s="1">
        <v>0</v>
      </c>
      <c r="AI170" s="1">
        <v>0</v>
      </c>
      <c r="AJ170" s="1" t="s">
        <v>21</v>
      </c>
      <c r="AK170" s="1" t="s">
        <v>21</v>
      </c>
      <c r="AL170" s="17"/>
      <c r="AM170" s="18" t="s">
        <v>408</v>
      </c>
      <c r="AN170" s="10"/>
      <c r="AO170" s="41"/>
    </row>
    <row r="171" spans="2:41" s="43" customFormat="1" ht="15" customHeight="1">
      <c r="B171" s="1">
        <f t="shared" si="2"/>
        <v>161</v>
      </c>
      <c r="C171" s="1">
        <v>1</v>
      </c>
      <c r="D171" s="1" t="s">
        <v>186</v>
      </c>
      <c r="E171" s="1" t="s">
        <v>186</v>
      </c>
      <c r="F171" s="1" t="s">
        <v>19</v>
      </c>
      <c r="G171" s="1"/>
      <c r="H171" s="1" t="s">
        <v>272</v>
      </c>
      <c r="I171" s="1" t="s">
        <v>87</v>
      </c>
      <c r="J171" s="1" t="s">
        <v>408</v>
      </c>
      <c r="K171" s="1" t="s">
        <v>340</v>
      </c>
      <c r="L171" s="1">
        <v>0</v>
      </c>
      <c r="M171" s="1">
        <v>0</v>
      </c>
      <c r="N171" s="1">
        <v>0</v>
      </c>
      <c r="O171" s="1">
        <v>3</v>
      </c>
      <c r="P171" s="1">
        <v>0</v>
      </c>
      <c r="Q171" s="1">
        <v>0</v>
      </c>
      <c r="R171" s="1"/>
      <c r="S171" s="1">
        <v>0</v>
      </c>
      <c r="T171" s="1">
        <v>3</v>
      </c>
      <c r="U171" s="1">
        <v>0</v>
      </c>
      <c r="V171" s="1">
        <v>0</v>
      </c>
      <c r="W171" s="1">
        <v>0</v>
      </c>
      <c r="X171" s="1">
        <v>4</v>
      </c>
      <c r="Y171" s="1">
        <v>0</v>
      </c>
      <c r="Z171" s="1">
        <v>4</v>
      </c>
      <c r="AA171" s="1">
        <v>0</v>
      </c>
      <c r="AB171" s="1"/>
      <c r="AC171" s="1"/>
      <c r="AD171" s="1"/>
      <c r="AE171" s="1">
        <v>4</v>
      </c>
      <c r="AF171" s="1">
        <v>0</v>
      </c>
      <c r="AG171" s="1">
        <v>0</v>
      </c>
      <c r="AH171" s="1">
        <v>0</v>
      </c>
      <c r="AI171" s="1">
        <v>0</v>
      </c>
      <c r="AJ171" s="1" t="s">
        <v>21</v>
      </c>
      <c r="AK171" s="1" t="s">
        <v>21</v>
      </c>
      <c r="AL171" s="17">
        <v>44162</v>
      </c>
      <c r="AM171" s="18" t="s">
        <v>330</v>
      </c>
      <c r="AN171" s="10"/>
      <c r="AO171" s="41"/>
    </row>
    <row r="172" spans="2:41" s="43" customFormat="1" ht="15" customHeight="1">
      <c r="B172" s="1">
        <f t="shared" si="2"/>
        <v>162</v>
      </c>
      <c r="C172" s="1">
        <v>0</v>
      </c>
      <c r="D172" s="1" t="s">
        <v>177</v>
      </c>
      <c r="E172" s="1" t="s">
        <v>224</v>
      </c>
      <c r="F172" s="1" t="s">
        <v>176</v>
      </c>
      <c r="G172" s="1" t="s">
        <v>177</v>
      </c>
      <c r="H172" s="1" t="s">
        <v>273</v>
      </c>
      <c r="I172" s="1" t="s">
        <v>85</v>
      </c>
      <c r="J172" s="1" t="s">
        <v>330</v>
      </c>
      <c r="K172" s="1" t="s">
        <v>340</v>
      </c>
      <c r="L172" s="1">
        <v>4</v>
      </c>
      <c r="M172" s="1">
        <v>0</v>
      </c>
      <c r="N172" s="1">
        <v>0</v>
      </c>
      <c r="O172" s="1">
        <v>4</v>
      </c>
      <c r="P172" s="1">
        <v>4</v>
      </c>
      <c r="Q172" s="1">
        <v>0</v>
      </c>
      <c r="R172" s="1"/>
      <c r="S172" s="1">
        <v>0</v>
      </c>
      <c r="T172" s="1">
        <v>0</v>
      </c>
      <c r="U172" s="1">
        <v>0</v>
      </c>
      <c r="V172" s="1">
        <v>0</v>
      </c>
      <c r="W172" s="1">
        <v>0</v>
      </c>
      <c r="X172" s="1">
        <v>2</v>
      </c>
      <c r="Y172" s="1"/>
      <c r="Z172" s="1">
        <v>3</v>
      </c>
      <c r="AA172" s="1">
        <v>0</v>
      </c>
      <c r="AB172" s="1"/>
      <c r="AC172" s="1"/>
      <c r="AD172" s="1"/>
      <c r="AE172" s="1"/>
      <c r="AF172" s="1"/>
      <c r="AG172" s="1">
        <v>0</v>
      </c>
      <c r="AH172" s="1">
        <v>0</v>
      </c>
      <c r="AI172" s="1">
        <v>0</v>
      </c>
      <c r="AJ172" s="1" t="s">
        <v>21</v>
      </c>
      <c r="AK172" s="1" t="s">
        <v>21</v>
      </c>
      <c r="AL172" s="17">
        <v>44105</v>
      </c>
      <c r="AM172" s="18" t="s">
        <v>330</v>
      </c>
      <c r="AN172" s="10"/>
      <c r="AO172" s="41"/>
    </row>
    <row r="173" spans="2:41" s="43" customFormat="1" ht="15" customHeight="1">
      <c r="B173" s="1">
        <f t="shared" si="2"/>
        <v>163</v>
      </c>
      <c r="C173" s="1">
        <v>0</v>
      </c>
      <c r="D173" s="1" t="s">
        <v>271</v>
      </c>
      <c r="E173" s="1" t="s">
        <v>270</v>
      </c>
      <c r="F173" s="1" t="s">
        <v>176</v>
      </c>
      <c r="G173" s="1" t="s">
        <v>177</v>
      </c>
      <c r="H173" s="1" t="s">
        <v>181</v>
      </c>
      <c r="I173" s="1" t="s">
        <v>85</v>
      </c>
      <c r="J173" s="1" t="s">
        <v>330</v>
      </c>
      <c r="K173" s="1" t="s">
        <v>340</v>
      </c>
      <c r="L173" s="1">
        <v>4</v>
      </c>
      <c r="M173" s="1">
        <v>0</v>
      </c>
      <c r="N173" s="1">
        <v>0</v>
      </c>
      <c r="O173" s="1">
        <v>0</v>
      </c>
      <c r="P173" s="1">
        <v>0</v>
      </c>
      <c r="Q173" s="1">
        <v>0</v>
      </c>
      <c r="R173" s="1"/>
      <c r="S173" s="1">
        <v>0</v>
      </c>
      <c r="T173" s="1">
        <v>0</v>
      </c>
      <c r="U173" s="1">
        <v>0</v>
      </c>
      <c r="V173" s="1">
        <v>0</v>
      </c>
      <c r="W173" s="1">
        <v>0</v>
      </c>
      <c r="X173" s="1">
        <v>2</v>
      </c>
      <c r="Y173" s="1"/>
      <c r="Z173" s="1">
        <v>3</v>
      </c>
      <c r="AA173" s="1">
        <v>0</v>
      </c>
      <c r="AB173" s="1"/>
      <c r="AC173" s="1"/>
      <c r="AD173" s="1"/>
      <c r="AE173" s="1"/>
      <c r="AF173" s="1"/>
      <c r="AG173" s="1">
        <v>0</v>
      </c>
      <c r="AH173" s="1">
        <v>0</v>
      </c>
      <c r="AI173" s="1">
        <v>0</v>
      </c>
      <c r="AJ173" s="1" t="s">
        <v>21</v>
      </c>
      <c r="AK173" s="1" t="s">
        <v>21</v>
      </c>
      <c r="AL173" s="17">
        <v>44105</v>
      </c>
      <c r="AM173" s="18" t="s">
        <v>330</v>
      </c>
      <c r="AN173" s="10"/>
      <c r="AO173" s="41"/>
    </row>
    <row r="174" spans="2:41" s="43" customFormat="1" ht="15" customHeight="1">
      <c r="B174" s="1">
        <f t="shared" si="2"/>
        <v>164</v>
      </c>
      <c r="C174" s="1">
        <v>0</v>
      </c>
      <c r="D174" s="1" t="s">
        <v>10</v>
      </c>
      <c r="E174" s="1" t="s">
        <v>224</v>
      </c>
      <c r="F174" s="1" t="s">
        <v>274</v>
      </c>
      <c r="G174" s="1" t="s">
        <v>274</v>
      </c>
      <c r="H174" s="1" t="s">
        <v>274</v>
      </c>
      <c r="I174" s="1" t="s">
        <v>85</v>
      </c>
      <c r="J174" s="1" t="s">
        <v>94</v>
      </c>
      <c r="K174" s="1" t="s">
        <v>13</v>
      </c>
      <c r="L174" s="1">
        <v>0</v>
      </c>
      <c r="M174" s="1">
        <v>0</v>
      </c>
      <c r="N174" s="1">
        <v>0</v>
      </c>
      <c r="O174" s="1">
        <v>0</v>
      </c>
      <c r="P174" s="1">
        <v>0</v>
      </c>
      <c r="Q174" s="1">
        <v>0</v>
      </c>
      <c r="R174" s="1"/>
      <c r="S174" s="1">
        <v>4</v>
      </c>
      <c r="T174" s="1">
        <v>0</v>
      </c>
      <c r="U174" s="1">
        <v>0</v>
      </c>
      <c r="V174" s="1">
        <v>2</v>
      </c>
      <c r="W174" s="1">
        <v>3</v>
      </c>
      <c r="X174" s="1">
        <v>0</v>
      </c>
      <c r="Y174" s="1"/>
      <c r="Z174" s="1"/>
      <c r="AA174" s="1">
        <v>0</v>
      </c>
      <c r="AB174" s="1"/>
      <c r="AC174" s="1"/>
      <c r="AD174" s="1"/>
      <c r="AE174" s="1"/>
      <c r="AF174" s="1"/>
      <c r="AG174" s="1">
        <v>0</v>
      </c>
      <c r="AH174" s="1">
        <v>0</v>
      </c>
      <c r="AI174" s="1"/>
      <c r="AJ174" s="1" t="s">
        <v>21</v>
      </c>
      <c r="AK174" s="1" t="s">
        <v>21</v>
      </c>
      <c r="AL174" s="17"/>
      <c r="AM174" s="18"/>
      <c r="AN174" s="10"/>
      <c r="AO174" s="41"/>
    </row>
    <row r="175" spans="2:41" s="43" customFormat="1" ht="15" customHeight="1">
      <c r="B175" s="1">
        <f t="shared" si="2"/>
        <v>165</v>
      </c>
      <c r="C175" s="1">
        <v>1</v>
      </c>
      <c r="D175" s="1" t="s">
        <v>186</v>
      </c>
      <c r="E175" s="1" t="s">
        <v>186</v>
      </c>
      <c r="F175" s="1" t="s">
        <v>46</v>
      </c>
      <c r="G175" s="1" t="s">
        <v>46</v>
      </c>
      <c r="H175" s="1" t="s">
        <v>278</v>
      </c>
      <c r="I175" s="1" t="s">
        <v>85</v>
      </c>
      <c r="J175" s="1" t="s">
        <v>61</v>
      </c>
      <c r="K175" s="1" t="s">
        <v>170</v>
      </c>
      <c r="L175" s="1">
        <v>0</v>
      </c>
      <c r="M175" s="1">
        <v>0</v>
      </c>
      <c r="N175" s="1">
        <v>0</v>
      </c>
      <c r="O175" s="1">
        <v>0</v>
      </c>
      <c r="P175" s="1">
        <v>0</v>
      </c>
      <c r="Q175" s="1">
        <v>0</v>
      </c>
      <c r="R175" s="1"/>
      <c r="S175" s="1">
        <v>4</v>
      </c>
      <c r="T175" s="1">
        <v>0</v>
      </c>
      <c r="U175" s="1">
        <v>0</v>
      </c>
      <c r="V175" s="1">
        <v>2</v>
      </c>
      <c r="W175" s="1">
        <v>3</v>
      </c>
      <c r="X175" s="1">
        <v>0</v>
      </c>
      <c r="Y175" s="1"/>
      <c r="Z175" s="1"/>
      <c r="AA175" s="1">
        <v>0</v>
      </c>
      <c r="AB175" s="1"/>
      <c r="AC175" s="1"/>
      <c r="AD175" s="1"/>
      <c r="AE175" s="1"/>
      <c r="AF175" s="1"/>
      <c r="AG175" s="1">
        <v>0</v>
      </c>
      <c r="AH175" s="1">
        <v>0</v>
      </c>
      <c r="AI175" s="1">
        <v>0</v>
      </c>
      <c r="AJ175" s="1" t="s">
        <v>21</v>
      </c>
      <c r="AK175" s="1" t="s">
        <v>21</v>
      </c>
      <c r="AL175" s="17"/>
      <c r="AM175" s="18"/>
      <c r="AN175" s="10"/>
      <c r="AO175" s="41"/>
    </row>
    <row r="176" spans="2:41" s="43" customFormat="1" ht="15" customHeight="1">
      <c r="B176" s="1">
        <f t="shared" si="2"/>
        <v>166</v>
      </c>
      <c r="C176" s="1">
        <v>1</v>
      </c>
      <c r="D176" s="1" t="s">
        <v>186</v>
      </c>
      <c r="E176" s="1" t="s">
        <v>186</v>
      </c>
      <c r="F176" s="1" t="s">
        <v>275</v>
      </c>
      <c r="G176" s="1" t="s">
        <v>186</v>
      </c>
      <c r="H176" s="1" t="s">
        <v>276</v>
      </c>
      <c r="I176" s="1" t="s">
        <v>85</v>
      </c>
      <c r="J176" s="1" t="s">
        <v>61</v>
      </c>
      <c r="K176" s="1" t="s">
        <v>170</v>
      </c>
      <c r="L176" s="1">
        <v>0</v>
      </c>
      <c r="M176" s="1">
        <v>0</v>
      </c>
      <c r="N176" s="1">
        <v>0</v>
      </c>
      <c r="O176" s="1">
        <v>0</v>
      </c>
      <c r="P176" s="1">
        <v>0</v>
      </c>
      <c r="Q176" s="1">
        <v>0</v>
      </c>
      <c r="R176" s="1"/>
      <c r="S176" s="1">
        <v>4</v>
      </c>
      <c r="T176" s="1">
        <v>0</v>
      </c>
      <c r="U176" s="1">
        <v>0</v>
      </c>
      <c r="V176" s="1">
        <v>2</v>
      </c>
      <c r="W176" s="1">
        <v>3</v>
      </c>
      <c r="X176" s="1">
        <v>0</v>
      </c>
      <c r="Y176" s="1"/>
      <c r="Z176" s="1"/>
      <c r="AA176" s="1">
        <v>0</v>
      </c>
      <c r="AB176" s="1"/>
      <c r="AC176" s="1"/>
      <c r="AD176" s="1"/>
      <c r="AE176" s="1"/>
      <c r="AF176" s="1"/>
      <c r="AG176" s="1">
        <v>0</v>
      </c>
      <c r="AH176" s="1">
        <v>0</v>
      </c>
      <c r="AI176" s="1">
        <v>0</v>
      </c>
      <c r="AJ176" s="1" t="s">
        <v>21</v>
      </c>
      <c r="AK176" s="1" t="s">
        <v>21</v>
      </c>
      <c r="AL176" s="17"/>
      <c r="AM176" s="18"/>
      <c r="AN176" s="10" t="s">
        <v>277</v>
      </c>
      <c r="AO176" s="41"/>
    </row>
    <row r="177" spans="2:41" s="43" customFormat="1" ht="15" customHeight="1">
      <c r="B177" s="1">
        <f t="shared" si="2"/>
        <v>167</v>
      </c>
      <c r="C177" s="1">
        <v>1</v>
      </c>
      <c r="D177" s="1" t="s">
        <v>212</v>
      </c>
      <c r="E177" s="1" t="s">
        <v>101</v>
      </c>
      <c r="F177" s="1" t="s">
        <v>282</v>
      </c>
      <c r="G177" s="1" t="s">
        <v>282</v>
      </c>
      <c r="H177" s="1" t="s">
        <v>279</v>
      </c>
      <c r="I177" s="1" t="s">
        <v>85</v>
      </c>
      <c r="J177" s="54" t="s">
        <v>170</v>
      </c>
      <c r="K177" s="1" t="s">
        <v>452</v>
      </c>
      <c r="L177" s="1">
        <v>0</v>
      </c>
      <c r="M177" s="1">
        <v>0</v>
      </c>
      <c r="N177" s="1">
        <v>0</v>
      </c>
      <c r="O177" s="1">
        <v>0</v>
      </c>
      <c r="P177" s="1">
        <v>0</v>
      </c>
      <c r="Q177" s="1">
        <v>0</v>
      </c>
      <c r="R177" s="1">
        <v>0</v>
      </c>
      <c r="S177" s="1">
        <v>4</v>
      </c>
      <c r="T177" s="1">
        <v>0</v>
      </c>
      <c r="U177" s="1">
        <v>0</v>
      </c>
      <c r="V177" s="1">
        <v>2</v>
      </c>
      <c r="W177" s="1">
        <v>4</v>
      </c>
      <c r="X177" s="1">
        <v>0</v>
      </c>
      <c r="Y177" s="1">
        <v>0</v>
      </c>
      <c r="Z177" s="1">
        <v>0</v>
      </c>
      <c r="AA177" s="1">
        <v>0</v>
      </c>
      <c r="AB177" s="1"/>
      <c r="AC177" s="1"/>
      <c r="AD177" s="1"/>
      <c r="AE177" s="1"/>
      <c r="AF177" s="1">
        <v>4</v>
      </c>
      <c r="AG177" s="1">
        <v>3</v>
      </c>
      <c r="AH177" s="1">
        <v>0</v>
      </c>
      <c r="AI177" s="1">
        <v>0</v>
      </c>
      <c r="AJ177" s="1" t="s">
        <v>21</v>
      </c>
      <c r="AK177" s="1" t="s">
        <v>21</v>
      </c>
      <c r="AL177" s="17"/>
      <c r="AM177" s="18"/>
      <c r="AN177" s="10"/>
      <c r="AO177" s="41"/>
    </row>
    <row r="178" spans="2:41" s="43" customFormat="1" ht="15" customHeight="1">
      <c r="B178" s="1">
        <f t="shared" si="2"/>
        <v>168</v>
      </c>
      <c r="C178" s="1">
        <v>1</v>
      </c>
      <c r="D178" s="1" t="s">
        <v>212</v>
      </c>
      <c r="E178" s="1" t="s">
        <v>101</v>
      </c>
      <c r="F178" s="1" t="s">
        <v>282</v>
      </c>
      <c r="G178" s="1" t="s">
        <v>282</v>
      </c>
      <c r="H178" s="1" t="s">
        <v>280</v>
      </c>
      <c r="I178" s="1" t="s">
        <v>85</v>
      </c>
      <c r="J178" s="54" t="s">
        <v>170</v>
      </c>
      <c r="K178" s="1" t="s">
        <v>452</v>
      </c>
      <c r="L178" s="1">
        <v>0</v>
      </c>
      <c r="M178" s="1">
        <v>0</v>
      </c>
      <c r="N178" s="1">
        <v>0</v>
      </c>
      <c r="O178" s="1">
        <v>0</v>
      </c>
      <c r="P178" s="1">
        <v>0</v>
      </c>
      <c r="Q178" s="1">
        <v>0</v>
      </c>
      <c r="R178" s="1">
        <v>0</v>
      </c>
      <c r="S178" s="1">
        <v>4</v>
      </c>
      <c r="T178" s="1">
        <v>0</v>
      </c>
      <c r="U178" s="1">
        <v>0</v>
      </c>
      <c r="V178" s="1">
        <v>2</v>
      </c>
      <c r="W178" s="1">
        <v>4</v>
      </c>
      <c r="X178" s="1">
        <v>0</v>
      </c>
      <c r="Y178" s="1">
        <v>0</v>
      </c>
      <c r="Z178" s="1">
        <v>0</v>
      </c>
      <c r="AA178" s="1">
        <v>0</v>
      </c>
      <c r="AB178" s="1"/>
      <c r="AC178" s="1"/>
      <c r="AD178" s="1"/>
      <c r="AE178" s="1"/>
      <c r="AF178" s="1">
        <v>4</v>
      </c>
      <c r="AG178" s="1">
        <v>3</v>
      </c>
      <c r="AH178" s="1">
        <v>0</v>
      </c>
      <c r="AI178" s="1">
        <v>0</v>
      </c>
      <c r="AJ178" s="1" t="s">
        <v>21</v>
      </c>
      <c r="AK178" s="1" t="s">
        <v>21</v>
      </c>
      <c r="AL178" s="17"/>
      <c r="AM178" s="18"/>
      <c r="AN178" s="10"/>
      <c r="AO178" s="41"/>
    </row>
    <row r="179" spans="2:41" s="43" customFormat="1" ht="15" customHeight="1">
      <c r="B179" s="1">
        <f t="shared" si="2"/>
        <v>169</v>
      </c>
      <c r="C179" s="1">
        <v>1</v>
      </c>
      <c r="D179" s="1" t="s">
        <v>212</v>
      </c>
      <c r="E179" s="1" t="s">
        <v>101</v>
      </c>
      <c r="F179" s="1" t="s">
        <v>282</v>
      </c>
      <c r="G179" s="1" t="s">
        <v>282</v>
      </c>
      <c r="H179" s="1" t="s">
        <v>281</v>
      </c>
      <c r="I179" s="1" t="s">
        <v>85</v>
      </c>
      <c r="J179" s="54" t="s">
        <v>170</v>
      </c>
      <c r="K179" s="1" t="s">
        <v>452</v>
      </c>
      <c r="L179" s="1">
        <v>0</v>
      </c>
      <c r="M179" s="1">
        <v>0</v>
      </c>
      <c r="N179" s="1">
        <v>0</v>
      </c>
      <c r="O179" s="1">
        <v>0</v>
      </c>
      <c r="P179" s="1">
        <v>0</v>
      </c>
      <c r="Q179" s="1">
        <v>0</v>
      </c>
      <c r="R179" s="1">
        <v>0</v>
      </c>
      <c r="S179" s="1">
        <v>4</v>
      </c>
      <c r="T179" s="1">
        <v>0</v>
      </c>
      <c r="U179" s="1">
        <v>0</v>
      </c>
      <c r="V179" s="1">
        <v>2</v>
      </c>
      <c r="W179" s="1">
        <v>4</v>
      </c>
      <c r="X179" s="1">
        <v>0</v>
      </c>
      <c r="Y179" s="1">
        <v>0</v>
      </c>
      <c r="Z179" s="1">
        <v>0</v>
      </c>
      <c r="AA179" s="1">
        <v>0</v>
      </c>
      <c r="AB179" s="1"/>
      <c r="AC179" s="1"/>
      <c r="AD179" s="1"/>
      <c r="AE179" s="1"/>
      <c r="AF179" s="1">
        <v>4</v>
      </c>
      <c r="AG179" s="1">
        <v>3</v>
      </c>
      <c r="AH179" s="1">
        <v>0</v>
      </c>
      <c r="AI179" s="1">
        <v>0</v>
      </c>
      <c r="AJ179" s="1" t="s">
        <v>21</v>
      </c>
      <c r="AK179" s="1" t="s">
        <v>21</v>
      </c>
      <c r="AL179" s="17"/>
      <c r="AM179" s="18"/>
      <c r="AN179" s="10"/>
      <c r="AO179" s="41"/>
    </row>
    <row r="180" spans="2:41" s="51" customFormat="1" ht="15" customHeight="1">
      <c r="B180" s="1">
        <f t="shared" si="2"/>
        <v>170</v>
      </c>
      <c r="C180" s="47">
        <v>1</v>
      </c>
      <c r="D180" s="47" t="s">
        <v>283</v>
      </c>
      <c r="E180" s="47" t="s">
        <v>52</v>
      </c>
      <c r="F180" s="47" t="s">
        <v>284</v>
      </c>
      <c r="G180" s="47" t="s">
        <v>284</v>
      </c>
      <c r="H180" s="47" t="s">
        <v>362</v>
      </c>
      <c r="I180" s="47" t="s">
        <v>85</v>
      </c>
      <c r="J180" s="47" t="s">
        <v>312</v>
      </c>
      <c r="K180" s="47" t="s">
        <v>408</v>
      </c>
      <c r="L180" s="47">
        <v>4</v>
      </c>
      <c r="M180" s="47">
        <v>3</v>
      </c>
      <c r="N180" s="47">
        <v>0</v>
      </c>
      <c r="O180" s="47">
        <v>0</v>
      </c>
      <c r="P180" s="47">
        <v>0</v>
      </c>
      <c r="Q180" s="47">
        <v>0</v>
      </c>
      <c r="R180" s="47"/>
      <c r="S180" s="47">
        <v>0</v>
      </c>
      <c r="T180" s="47">
        <v>0</v>
      </c>
      <c r="U180" s="47">
        <v>4</v>
      </c>
      <c r="V180" s="47">
        <v>0</v>
      </c>
      <c r="W180" s="47"/>
      <c r="X180" s="1"/>
      <c r="Y180" s="47">
        <v>4</v>
      </c>
      <c r="Z180" s="47">
        <v>3</v>
      </c>
      <c r="AA180" s="1"/>
      <c r="AB180" s="1"/>
      <c r="AC180" s="1"/>
      <c r="AD180" s="1"/>
      <c r="AE180" s="1">
        <v>3</v>
      </c>
      <c r="AF180" s="1"/>
      <c r="AG180" s="1"/>
      <c r="AH180" s="1">
        <v>0</v>
      </c>
      <c r="AI180" s="1">
        <v>0</v>
      </c>
      <c r="AJ180" s="47" t="s">
        <v>21</v>
      </c>
      <c r="AK180" s="47" t="s">
        <v>21</v>
      </c>
      <c r="AL180" s="48" t="s">
        <v>416</v>
      </c>
      <c r="AM180" s="18" t="s">
        <v>410</v>
      </c>
      <c r="AN180" s="50"/>
      <c r="AO180" s="52"/>
    </row>
    <row r="181" spans="2:41" s="43" customFormat="1" ht="15" customHeight="1">
      <c r="B181" s="1">
        <f t="shared" si="2"/>
        <v>171</v>
      </c>
      <c r="C181" s="1">
        <v>1</v>
      </c>
      <c r="D181" s="1" t="s">
        <v>177</v>
      </c>
      <c r="E181" s="1" t="s">
        <v>294</v>
      </c>
      <c r="F181" s="1" t="s">
        <v>176</v>
      </c>
      <c r="G181" s="1" t="s">
        <v>177</v>
      </c>
      <c r="H181" s="1" t="s">
        <v>367</v>
      </c>
      <c r="I181" s="1" t="s">
        <v>85</v>
      </c>
      <c r="J181" s="1" t="s">
        <v>330</v>
      </c>
      <c r="K181" s="1" t="s">
        <v>340</v>
      </c>
      <c r="L181" s="1">
        <v>4</v>
      </c>
      <c r="M181" s="1">
        <v>0</v>
      </c>
      <c r="N181" s="1">
        <v>0</v>
      </c>
      <c r="O181" s="1">
        <v>4</v>
      </c>
      <c r="P181" s="1">
        <v>4</v>
      </c>
      <c r="Q181" s="1">
        <v>0</v>
      </c>
      <c r="R181" s="1"/>
      <c r="S181" s="1">
        <v>0</v>
      </c>
      <c r="T181" s="1">
        <v>0</v>
      </c>
      <c r="U181" s="1">
        <v>0</v>
      </c>
      <c r="V181" s="1">
        <v>0</v>
      </c>
      <c r="W181" s="1">
        <v>0</v>
      </c>
      <c r="X181" s="1">
        <v>2</v>
      </c>
      <c r="Y181" s="1"/>
      <c r="Z181" s="1">
        <v>4</v>
      </c>
      <c r="AA181" s="1">
        <v>0</v>
      </c>
      <c r="AB181" s="1"/>
      <c r="AC181" s="1"/>
      <c r="AD181" s="1"/>
      <c r="AE181" s="1">
        <v>3</v>
      </c>
      <c r="AF181" s="1"/>
      <c r="AG181" s="1">
        <v>0</v>
      </c>
      <c r="AH181" s="1">
        <v>0</v>
      </c>
      <c r="AI181" s="1">
        <v>0</v>
      </c>
      <c r="AJ181" s="1" t="s">
        <v>21</v>
      </c>
      <c r="AK181" s="1" t="s">
        <v>21</v>
      </c>
      <c r="AL181" s="17">
        <v>44854</v>
      </c>
      <c r="AM181" s="18" t="s">
        <v>408</v>
      </c>
      <c r="AN181" s="10"/>
      <c r="AO181" s="41"/>
    </row>
    <row r="182" spans="2:41" s="43" customFormat="1" ht="15" customHeight="1">
      <c r="B182" s="1">
        <f t="shared" si="2"/>
        <v>172</v>
      </c>
      <c r="C182" s="1">
        <v>1</v>
      </c>
      <c r="D182" s="1" t="s">
        <v>177</v>
      </c>
      <c r="E182" s="1" t="s">
        <v>294</v>
      </c>
      <c r="F182" s="1" t="s">
        <v>176</v>
      </c>
      <c r="G182" s="1" t="s">
        <v>177</v>
      </c>
      <c r="H182" s="1" t="s">
        <v>368</v>
      </c>
      <c r="I182" s="1" t="s">
        <v>85</v>
      </c>
      <c r="J182" s="1" t="s">
        <v>330</v>
      </c>
      <c r="K182" s="1" t="s">
        <v>340</v>
      </c>
      <c r="L182" s="1">
        <v>4</v>
      </c>
      <c r="M182" s="1">
        <v>0</v>
      </c>
      <c r="N182" s="1">
        <v>0</v>
      </c>
      <c r="O182" s="1">
        <v>4</v>
      </c>
      <c r="P182" s="1">
        <v>4</v>
      </c>
      <c r="Q182" s="1">
        <v>0</v>
      </c>
      <c r="R182" s="1"/>
      <c r="S182" s="1">
        <v>0</v>
      </c>
      <c r="T182" s="1">
        <v>0</v>
      </c>
      <c r="U182" s="1">
        <v>0</v>
      </c>
      <c r="V182" s="1">
        <v>0</v>
      </c>
      <c r="W182" s="1">
        <v>0</v>
      </c>
      <c r="X182" s="1">
        <v>2</v>
      </c>
      <c r="Y182" s="1"/>
      <c r="Z182" s="1">
        <v>4</v>
      </c>
      <c r="AA182" s="1">
        <v>0</v>
      </c>
      <c r="AB182" s="1"/>
      <c r="AC182" s="1"/>
      <c r="AD182" s="1"/>
      <c r="AE182" s="1">
        <v>3</v>
      </c>
      <c r="AF182" s="1"/>
      <c r="AG182" s="1">
        <v>0</v>
      </c>
      <c r="AH182" s="1">
        <v>0</v>
      </c>
      <c r="AI182" s="1">
        <v>0</v>
      </c>
      <c r="AJ182" s="1" t="s">
        <v>21</v>
      </c>
      <c r="AK182" s="1" t="s">
        <v>21</v>
      </c>
      <c r="AL182" s="17">
        <v>44854</v>
      </c>
      <c r="AM182" s="18" t="s">
        <v>408</v>
      </c>
      <c r="AN182" s="10"/>
      <c r="AO182" s="41"/>
    </row>
    <row r="183" spans="2:41" s="43" customFormat="1" ht="15" customHeight="1">
      <c r="B183" s="1">
        <f t="shared" si="2"/>
        <v>173</v>
      </c>
      <c r="C183" s="1">
        <v>0</v>
      </c>
      <c r="D183" s="1" t="s">
        <v>177</v>
      </c>
      <c r="E183" s="1" t="s">
        <v>294</v>
      </c>
      <c r="F183" s="1" t="s">
        <v>176</v>
      </c>
      <c r="G183" s="1" t="s">
        <v>177</v>
      </c>
      <c r="H183" s="1" t="s">
        <v>373</v>
      </c>
      <c r="I183" s="1" t="s">
        <v>85</v>
      </c>
      <c r="J183" s="1" t="s">
        <v>330</v>
      </c>
      <c r="K183" s="1" t="s">
        <v>340</v>
      </c>
      <c r="L183" s="1">
        <v>4</v>
      </c>
      <c r="M183" s="1">
        <v>0</v>
      </c>
      <c r="N183" s="1">
        <v>0</v>
      </c>
      <c r="O183" s="1">
        <v>4</v>
      </c>
      <c r="P183" s="1">
        <v>4</v>
      </c>
      <c r="Q183" s="1">
        <v>0</v>
      </c>
      <c r="R183" s="1"/>
      <c r="S183" s="1">
        <v>0</v>
      </c>
      <c r="T183" s="1">
        <v>0</v>
      </c>
      <c r="U183" s="1">
        <v>0</v>
      </c>
      <c r="V183" s="1">
        <v>0</v>
      </c>
      <c r="W183" s="1">
        <v>0</v>
      </c>
      <c r="X183" s="1">
        <v>2</v>
      </c>
      <c r="Y183" s="1"/>
      <c r="Z183" s="1">
        <v>3</v>
      </c>
      <c r="AA183" s="1">
        <v>0</v>
      </c>
      <c r="AB183" s="1"/>
      <c r="AC183" s="1"/>
      <c r="AD183" s="1"/>
      <c r="AE183" s="1"/>
      <c r="AF183" s="1"/>
      <c r="AG183" s="1">
        <v>0</v>
      </c>
      <c r="AH183" s="1">
        <v>0</v>
      </c>
      <c r="AI183" s="1">
        <v>0</v>
      </c>
      <c r="AJ183" s="1" t="s">
        <v>21</v>
      </c>
      <c r="AK183" s="1" t="s">
        <v>21</v>
      </c>
      <c r="AL183" s="17">
        <v>44107</v>
      </c>
      <c r="AM183" s="18" t="s">
        <v>330</v>
      </c>
      <c r="AN183" s="10"/>
      <c r="AO183" s="41"/>
    </row>
    <row r="184" spans="2:41" s="43" customFormat="1" ht="15" customHeight="1">
      <c r="B184" s="1">
        <f t="shared" si="2"/>
        <v>174</v>
      </c>
      <c r="C184" s="1">
        <v>0</v>
      </c>
      <c r="D184" s="1" t="s">
        <v>177</v>
      </c>
      <c r="E184" s="1" t="s">
        <v>294</v>
      </c>
      <c r="F184" s="1" t="s">
        <v>176</v>
      </c>
      <c r="G184" s="1" t="s">
        <v>177</v>
      </c>
      <c r="H184" s="1" t="s">
        <v>369</v>
      </c>
      <c r="I184" s="1" t="s">
        <v>85</v>
      </c>
      <c r="J184" s="1" t="s">
        <v>330</v>
      </c>
      <c r="K184" s="1" t="s">
        <v>340</v>
      </c>
      <c r="L184" s="1">
        <v>4</v>
      </c>
      <c r="M184" s="1">
        <v>0</v>
      </c>
      <c r="N184" s="1">
        <v>0</v>
      </c>
      <c r="O184" s="1">
        <v>4</v>
      </c>
      <c r="P184" s="1">
        <v>4</v>
      </c>
      <c r="Q184" s="1">
        <v>0</v>
      </c>
      <c r="R184" s="1"/>
      <c r="S184" s="1">
        <v>0</v>
      </c>
      <c r="T184" s="1">
        <v>0</v>
      </c>
      <c r="U184" s="1">
        <v>0</v>
      </c>
      <c r="V184" s="1">
        <v>0</v>
      </c>
      <c r="W184" s="1">
        <v>0</v>
      </c>
      <c r="X184" s="1">
        <v>2</v>
      </c>
      <c r="Y184" s="1"/>
      <c r="Z184" s="1">
        <v>3</v>
      </c>
      <c r="AA184" s="1">
        <v>0</v>
      </c>
      <c r="AB184" s="1"/>
      <c r="AC184" s="1"/>
      <c r="AD184" s="1"/>
      <c r="AE184" s="1"/>
      <c r="AF184" s="1"/>
      <c r="AG184" s="1">
        <v>0</v>
      </c>
      <c r="AH184" s="1">
        <v>0</v>
      </c>
      <c r="AI184" s="1">
        <v>0</v>
      </c>
      <c r="AJ184" s="1" t="s">
        <v>21</v>
      </c>
      <c r="AK184" s="1" t="s">
        <v>21</v>
      </c>
      <c r="AL184" s="17">
        <v>44108</v>
      </c>
      <c r="AM184" s="18" t="s">
        <v>330</v>
      </c>
      <c r="AN184" s="10"/>
      <c r="AO184" s="41"/>
    </row>
    <row r="185" spans="2:41" s="43" customFormat="1" ht="15" customHeight="1">
      <c r="B185" s="1">
        <f t="shared" si="2"/>
        <v>175</v>
      </c>
      <c r="C185" s="1">
        <v>0</v>
      </c>
      <c r="D185" s="1" t="s">
        <v>177</v>
      </c>
      <c r="E185" s="1" t="s">
        <v>294</v>
      </c>
      <c r="F185" s="1" t="s">
        <v>176</v>
      </c>
      <c r="G185" s="1" t="s">
        <v>177</v>
      </c>
      <c r="H185" s="1" t="s">
        <v>370</v>
      </c>
      <c r="I185" s="1" t="s">
        <v>85</v>
      </c>
      <c r="J185" s="1" t="s">
        <v>330</v>
      </c>
      <c r="K185" s="1" t="s">
        <v>340</v>
      </c>
      <c r="L185" s="1">
        <v>4</v>
      </c>
      <c r="M185" s="1">
        <v>0</v>
      </c>
      <c r="N185" s="1">
        <v>0</v>
      </c>
      <c r="O185" s="1">
        <v>4</v>
      </c>
      <c r="P185" s="1">
        <v>4</v>
      </c>
      <c r="Q185" s="1">
        <v>0</v>
      </c>
      <c r="R185" s="1"/>
      <c r="S185" s="1">
        <v>0</v>
      </c>
      <c r="T185" s="1">
        <v>0</v>
      </c>
      <c r="U185" s="1">
        <v>0</v>
      </c>
      <c r="V185" s="1">
        <v>0</v>
      </c>
      <c r="W185" s="1">
        <v>0</v>
      </c>
      <c r="X185" s="1">
        <v>2</v>
      </c>
      <c r="Y185" s="1"/>
      <c r="Z185" s="1">
        <v>3</v>
      </c>
      <c r="AA185" s="1">
        <v>0</v>
      </c>
      <c r="AB185" s="1"/>
      <c r="AC185" s="1"/>
      <c r="AD185" s="1"/>
      <c r="AE185" s="1"/>
      <c r="AF185" s="1"/>
      <c r="AG185" s="1">
        <v>0</v>
      </c>
      <c r="AH185" s="1">
        <v>0</v>
      </c>
      <c r="AI185" s="1">
        <v>0</v>
      </c>
      <c r="AJ185" s="1" t="s">
        <v>21</v>
      </c>
      <c r="AK185" s="1" t="s">
        <v>21</v>
      </c>
      <c r="AL185" s="17">
        <v>44109</v>
      </c>
      <c r="AM185" s="18" t="s">
        <v>330</v>
      </c>
      <c r="AN185" s="10"/>
      <c r="AO185" s="41"/>
    </row>
    <row r="186" spans="2:41" s="43" customFormat="1" ht="15" customHeight="1">
      <c r="B186" s="1">
        <f t="shared" si="2"/>
        <v>176</v>
      </c>
      <c r="C186" s="1">
        <v>0</v>
      </c>
      <c r="D186" s="1" t="s">
        <v>177</v>
      </c>
      <c r="E186" s="1" t="s">
        <v>294</v>
      </c>
      <c r="F186" s="1" t="s">
        <v>176</v>
      </c>
      <c r="G186" s="1" t="s">
        <v>177</v>
      </c>
      <c r="H186" s="1" t="s">
        <v>366</v>
      </c>
      <c r="I186" s="1" t="s">
        <v>85</v>
      </c>
      <c r="J186" s="1" t="s">
        <v>330</v>
      </c>
      <c r="K186" s="1" t="s">
        <v>340</v>
      </c>
      <c r="L186" s="1">
        <v>4</v>
      </c>
      <c r="M186" s="1">
        <v>0</v>
      </c>
      <c r="N186" s="1">
        <v>0</v>
      </c>
      <c r="O186" s="1">
        <v>4</v>
      </c>
      <c r="P186" s="1">
        <v>4</v>
      </c>
      <c r="Q186" s="1">
        <v>0</v>
      </c>
      <c r="R186" s="1"/>
      <c r="S186" s="1">
        <v>0</v>
      </c>
      <c r="T186" s="1">
        <v>0</v>
      </c>
      <c r="U186" s="1">
        <v>0</v>
      </c>
      <c r="V186" s="1">
        <v>0</v>
      </c>
      <c r="W186" s="1">
        <v>0</v>
      </c>
      <c r="X186" s="1">
        <v>2</v>
      </c>
      <c r="Y186" s="1"/>
      <c r="Z186" s="1">
        <v>3</v>
      </c>
      <c r="AA186" s="1">
        <v>0</v>
      </c>
      <c r="AB186" s="1"/>
      <c r="AC186" s="1"/>
      <c r="AD186" s="1"/>
      <c r="AE186" s="1"/>
      <c r="AF186" s="1"/>
      <c r="AG186" s="1">
        <v>0</v>
      </c>
      <c r="AH186" s="1">
        <v>0</v>
      </c>
      <c r="AI186" s="1">
        <v>0</v>
      </c>
      <c r="AJ186" s="1" t="s">
        <v>21</v>
      </c>
      <c r="AK186" s="1" t="s">
        <v>21</v>
      </c>
      <c r="AL186" s="17">
        <v>44110</v>
      </c>
      <c r="AM186" s="18" t="s">
        <v>330</v>
      </c>
      <c r="AN186" s="10"/>
      <c r="AO186" s="41"/>
    </row>
    <row r="187" spans="2:41" s="43" customFormat="1" ht="15" customHeight="1">
      <c r="B187" s="1">
        <f t="shared" si="2"/>
        <v>177</v>
      </c>
      <c r="C187" s="1">
        <v>1</v>
      </c>
      <c r="D187" s="1" t="s">
        <v>177</v>
      </c>
      <c r="E187" s="1" t="s">
        <v>294</v>
      </c>
      <c r="F187" s="1" t="s">
        <v>176</v>
      </c>
      <c r="G187" s="1" t="s">
        <v>177</v>
      </c>
      <c r="H187" s="1" t="s">
        <v>285</v>
      </c>
      <c r="I187" s="1" t="s">
        <v>85</v>
      </c>
      <c r="J187" s="1" t="s">
        <v>330</v>
      </c>
      <c r="K187" s="1" t="s">
        <v>340</v>
      </c>
      <c r="L187" s="1">
        <v>4</v>
      </c>
      <c r="M187" s="1">
        <v>0</v>
      </c>
      <c r="N187" s="1">
        <v>0</v>
      </c>
      <c r="O187" s="1">
        <v>4</v>
      </c>
      <c r="P187" s="1">
        <v>4</v>
      </c>
      <c r="Q187" s="1">
        <v>0</v>
      </c>
      <c r="R187" s="1"/>
      <c r="S187" s="1">
        <v>0</v>
      </c>
      <c r="T187" s="1">
        <v>0</v>
      </c>
      <c r="U187" s="1">
        <v>0</v>
      </c>
      <c r="V187" s="1">
        <v>0</v>
      </c>
      <c r="W187" s="1">
        <v>0</v>
      </c>
      <c r="X187" s="1">
        <v>2</v>
      </c>
      <c r="Y187" s="1"/>
      <c r="Z187" s="1">
        <v>4</v>
      </c>
      <c r="AA187" s="1">
        <v>0</v>
      </c>
      <c r="AB187" s="1"/>
      <c r="AC187" s="1"/>
      <c r="AD187" s="1"/>
      <c r="AE187" s="1">
        <v>3</v>
      </c>
      <c r="AF187" s="1"/>
      <c r="AG187" s="1">
        <v>0</v>
      </c>
      <c r="AH187" s="1">
        <v>0</v>
      </c>
      <c r="AI187" s="1">
        <v>0</v>
      </c>
      <c r="AJ187" s="1" t="s">
        <v>21</v>
      </c>
      <c r="AK187" s="1" t="s">
        <v>21</v>
      </c>
      <c r="AL187" s="17">
        <v>44861</v>
      </c>
      <c r="AM187" s="18" t="s">
        <v>408</v>
      </c>
      <c r="AN187" s="10"/>
      <c r="AO187" s="41"/>
    </row>
    <row r="188" spans="2:41" s="43" customFormat="1" ht="15" customHeight="1">
      <c r="B188" s="1">
        <f t="shared" si="2"/>
        <v>178</v>
      </c>
      <c r="C188" s="1">
        <v>1</v>
      </c>
      <c r="D188" s="1" t="s">
        <v>177</v>
      </c>
      <c r="E188" s="1" t="s">
        <v>294</v>
      </c>
      <c r="F188" s="1" t="s">
        <v>176</v>
      </c>
      <c r="G188" s="1"/>
      <c r="H188" s="1" t="s">
        <v>371</v>
      </c>
      <c r="I188" s="1" t="s">
        <v>86</v>
      </c>
      <c r="J188" s="1" t="s">
        <v>340</v>
      </c>
      <c r="K188" s="1" t="s">
        <v>330</v>
      </c>
      <c r="L188" s="1">
        <v>3</v>
      </c>
      <c r="M188" s="1">
        <v>0</v>
      </c>
      <c r="N188" s="1">
        <v>0</v>
      </c>
      <c r="O188" s="1">
        <v>3</v>
      </c>
      <c r="P188" s="1">
        <v>3</v>
      </c>
      <c r="Q188" s="1">
        <v>0</v>
      </c>
      <c r="R188" s="1"/>
      <c r="S188" s="1">
        <v>0</v>
      </c>
      <c r="T188" s="1">
        <v>0</v>
      </c>
      <c r="U188" s="1">
        <v>0</v>
      </c>
      <c r="V188" s="1">
        <v>0</v>
      </c>
      <c r="W188" s="1">
        <v>0</v>
      </c>
      <c r="X188" s="1">
        <v>4</v>
      </c>
      <c r="Y188" s="1">
        <v>0</v>
      </c>
      <c r="Z188" s="1">
        <v>4</v>
      </c>
      <c r="AA188" s="1">
        <v>0</v>
      </c>
      <c r="AB188" s="1"/>
      <c r="AC188" s="1"/>
      <c r="AD188" s="1"/>
      <c r="AE188" s="1">
        <v>1</v>
      </c>
      <c r="AF188" s="1">
        <v>0</v>
      </c>
      <c r="AG188" s="1">
        <v>0</v>
      </c>
      <c r="AH188" s="1">
        <v>0</v>
      </c>
      <c r="AI188" s="1">
        <v>0</v>
      </c>
      <c r="AJ188" s="1" t="s">
        <v>21</v>
      </c>
      <c r="AK188" s="1" t="s">
        <v>21</v>
      </c>
      <c r="AL188" s="17">
        <v>44113</v>
      </c>
      <c r="AM188" s="18" t="s">
        <v>330</v>
      </c>
      <c r="AN188" s="10"/>
      <c r="AO188" s="41"/>
    </row>
    <row r="189" spans="2:41" s="43" customFormat="1" ht="15" customHeight="1">
      <c r="B189" s="1">
        <f t="shared" si="2"/>
        <v>179</v>
      </c>
      <c r="C189" s="1">
        <v>0</v>
      </c>
      <c r="D189" s="1" t="s">
        <v>177</v>
      </c>
      <c r="E189" s="1" t="s">
        <v>294</v>
      </c>
      <c r="F189" s="1" t="s">
        <v>176</v>
      </c>
      <c r="G189" s="1"/>
      <c r="H189" s="1" t="s">
        <v>398</v>
      </c>
      <c r="I189" s="1" t="s">
        <v>87</v>
      </c>
      <c r="J189" s="1" t="s">
        <v>340</v>
      </c>
      <c r="K189" s="1" t="s">
        <v>330</v>
      </c>
      <c r="L189" s="1">
        <v>4</v>
      </c>
      <c r="M189" s="1">
        <v>0</v>
      </c>
      <c r="N189" s="1">
        <v>0</v>
      </c>
      <c r="O189" s="1">
        <v>4</v>
      </c>
      <c r="P189" s="1">
        <v>4</v>
      </c>
      <c r="Q189" s="1">
        <v>0</v>
      </c>
      <c r="R189" s="1"/>
      <c r="S189" s="1">
        <v>0</v>
      </c>
      <c r="T189" s="1">
        <v>0</v>
      </c>
      <c r="U189" s="1">
        <v>0</v>
      </c>
      <c r="V189" s="1">
        <v>0</v>
      </c>
      <c r="W189" s="1">
        <v>0</v>
      </c>
      <c r="X189" s="1">
        <v>4</v>
      </c>
      <c r="Y189" s="1">
        <v>0</v>
      </c>
      <c r="Z189" s="1">
        <v>4</v>
      </c>
      <c r="AA189" s="1">
        <v>0</v>
      </c>
      <c r="AB189" s="1"/>
      <c r="AC189" s="1"/>
      <c r="AD189" s="1"/>
      <c r="AE189" s="1">
        <v>0</v>
      </c>
      <c r="AF189" s="1">
        <v>0</v>
      </c>
      <c r="AG189" s="1">
        <v>0</v>
      </c>
      <c r="AH189" s="1">
        <v>0</v>
      </c>
      <c r="AI189" s="1"/>
      <c r="AJ189" s="1" t="s">
        <v>21</v>
      </c>
      <c r="AK189" s="1" t="s">
        <v>21</v>
      </c>
      <c r="AL189" s="17">
        <v>44114</v>
      </c>
      <c r="AM189" s="18" t="s">
        <v>330</v>
      </c>
      <c r="AN189" s="10"/>
      <c r="AO189" s="41"/>
    </row>
    <row r="190" spans="2:41" s="43" customFormat="1" ht="15" customHeight="1">
      <c r="B190" s="1">
        <f t="shared" si="2"/>
        <v>180</v>
      </c>
      <c r="C190" s="1">
        <v>0</v>
      </c>
      <c r="D190" s="1" t="s">
        <v>212</v>
      </c>
      <c r="E190" s="1" t="s">
        <v>101</v>
      </c>
      <c r="F190" s="1" t="s">
        <v>282</v>
      </c>
      <c r="G190" s="1" t="s">
        <v>282</v>
      </c>
      <c r="H190" s="1" t="s">
        <v>286</v>
      </c>
      <c r="I190" s="1" t="s">
        <v>85</v>
      </c>
      <c r="J190" s="54" t="s">
        <v>170</v>
      </c>
      <c r="K190" s="1" t="s">
        <v>452</v>
      </c>
      <c r="L190" s="1">
        <v>0</v>
      </c>
      <c r="M190" s="1">
        <v>0</v>
      </c>
      <c r="N190" s="1">
        <v>0</v>
      </c>
      <c r="O190" s="1">
        <v>0</v>
      </c>
      <c r="P190" s="1">
        <v>0</v>
      </c>
      <c r="Q190" s="1">
        <v>0</v>
      </c>
      <c r="R190" s="1">
        <v>0</v>
      </c>
      <c r="S190" s="1">
        <v>4</v>
      </c>
      <c r="T190" s="1">
        <v>0</v>
      </c>
      <c r="U190" s="1">
        <v>0</v>
      </c>
      <c r="V190" s="1">
        <v>2</v>
      </c>
      <c r="W190" s="1">
        <v>3</v>
      </c>
      <c r="X190" s="1">
        <v>0</v>
      </c>
      <c r="Y190" s="1">
        <v>0</v>
      </c>
      <c r="Z190" s="1">
        <v>0</v>
      </c>
      <c r="AA190" s="1">
        <v>0</v>
      </c>
      <c r="AB190" s="1"/>
      <c r="AC190" s="1"/>
      <c r="AD190" s="1"/>
      <c r="AE190" s="1"/>
      <c r="AF190" s="1"/>
      <c r="AG190" s="1">
        <v>3</v>
      </c>
      <c r="AH190" s="1">
        <v>0</v>
      </c>
      <c r="AI190" s="1"/>
      <c r="AJ190" s="1" t="s">
        <v>21</v>
      </c>
      <c r="AK190" s="1" t="s">
        <v>21</v>
      </c>
      <c r="AL190" s="17"/>
      <c r="AM190" s="18"/>
      <c r="AN190" s="10"/>
      <c r="AO190" s="41"/>
    </row>
    <row r="191" spans="2:41" ht="15" customHeight="1">
      <c r="B191" s="1">
        <f t="shared" si="2"/>
        <v>181</v>
      </c>
      <c r="C191" s="1">
        <v>1</v>
      </c>
      <c r="D191" s="1" t="s">
        <v>212</v>
      </c>
      <c r="E191" s="1" t="s">
        <v>101</v>
      </c>
      <c r="F191" s="1" t="s">
        <v>282</v>
      </c>
      <c r="G191" s="1" t="s">
        <v>282</v>
      </c>
      <c r="H191" s="1" t="s">
        <v>287</v>
      </c>
      <c r="I191" s="1" t="s">
        <v>85</v>
      </c>
      <c r="J191" s="54" t="s">
        <v>170</v>
      </c>
      <c r="K191" s="1" t="s">
        <v>452</v>
      </c>
      <c r="L191" s="1">
        <v>0</v>
      </c>
      <c r="M191" s="1">
        <v>0</v>
      </c>
      <c r="N191" s="1">
        <v>0</v>
      </c>
      <c r="O191" s="1">
        <v>0</v>
      </c>
      <c r="P191" s="1">
        <v>0</v>
      </c>
      <c r="Q191" s="1">
        <v>0</v>
      </c>
      <c r="R191" s="1">
        <v>0</v>
      </c>
      <c r="S191" s="1">
        <v>4</v>
      </c>
      <c r="T191" s="1">
        <v>0</v>
      </c>
      <c r="U191" s="1">
        <v>0</v>
      </c>
      <c r="V191" s="1">
        <v>2</v>
      </c>
      <c r="W191" s="1">
        <v>4</v>
      </c>
      <c r="X191" s="1">
        <v>0</v>
      </c>
      <c r="Y191" s="1">
        <v>0</v>
      </c>
      <c r="Z191" s="1">
        <v>0</v>
      </c>
      <c r="AA191" s="1">
        <v>0</v>
      </c>
      <c r="AB191" s="1"/>
      <c r="AC191" s="1"/>
      <c r="AD191" s="1"/>
      <c r="AE191" s="1"/>
      <c r="AF191" s="1">
        <v>4</v>
      </c>
      <c r="AG191" s="1">
        <v>3</v>
      </c>
      <c r="AH191" s="1">
        <v>0</v>
      </c>
      <c r="AI191" s="1">
        <v>0</v>
      </c>
      <c r="AJ191" s="1" t="s">
        <v>21</v>
      </c>
      <c r="AK191" s="1" t="s">
        <v>21</v>
      </c>
      <c r="AL191" s="17"/>
      <c r="AM191" s="18"/>
      <c r="AN191" s="10"/>
    </row>
    <row r="192" spans="2:41">
      <c r="B192" s="1">
        <f t="shared" si="2"/>
        <v>182</v>
      </c>
      <c r="C192" s="1">
        <v>1</v>
      </c>
      <c r="D192" s="1" t="s">
        <v>212</v>
      </c>
      <c r="E192" s="1" t="s">
        <v>101</v>
      </c>
      <c r="F192" s="1" t="s">
        <v>118</v>
      </c>
      <c r="G192" s="1" t="s">
        <v>118</v>
      </c>
      <c r="H192" s="1" t="s">
        <v>296</v>
      </c>
      <c r="I192" s="1" t="s">
        <v>85</v>
      </c>
      <c r="J192" s="54" t="s">
        <v>170</v>
      </c>
      <c r="K192" s="1" t="s">
        <v>452</v>
      </c>
      <c r="L192" s="1">
        <v>0</v>
      </c>
      <c r="M192" s="1">
        <v>0</v>
      </c>
      <c r="N192" s="1">
        <v>0</v>
      </c>
      <c r="O192" s="1">
        <v>0</v>
      </c>
      <c r="P192" s="1">
        <v>0</v>
      </c>
      <c r="Q192" s="1">
        <v>0</v>
      </c>
      <c r="R192" s="1">
        <v>0</v>
      </c>
      <c r="S192" s="1">
        <v>4</v>
      </c>
      <c r="T192" s="1">
        <v>0</v>
      </c>
      <c r="U192" s="1">
        <v>0</v>
      </c>
      <c r="V192" s="1">
        <v>2</v>
      </c>
      <c r="W192" s="1">
        <v>4</v>
      </c>
      <c r="X192" s="1">
        <v>0</v>
      </c>
      <c r="Y192" s="1">
        <v>0</v>
      </c>
      <c r="Z192" s="1">
        <v>0</v>
      </c>
      <c r="AA192" s="1">
        <v>0</v>
      </c>
      <c r="AB192" s="1"/>
      <c r="AC192" s="1"/>
      <c r="AD192" s="1"/>
      <c r="AE192" s="1"/>
      <c r="AF192" s="1">
        <v>4</v>
      </c>
      <c r="AG192" s="1">
        <v>1</v>
      </c>
      <c r="AH192" s="1">
        <v>0</v>
      </c>
      <c r="AI192" s="1">
        <v>0</v>
      </c>
      <c r="AJ192" s="1" t="s">
        <v>21</v>
      </c>
      <c r="AK192" s="1" t="s">
        <v>21</v>
      </c>
      <c r="AL192" s="17"/>
      <c r="AM192" s="18"/>
      <c r="AN192" s="10"/>
    </row>
    <row r="193" spans="2:41">
      <c r="B193" s="1">
        <f t="shared" si="2"/>
        <v>183</v>
      </c>
      <c r="C193" s="1">
        <v>0</v>
      </c>
      <c r="D193" s="1" t="s">
        <v>212</v>
      </c>
      <c r="E193" s="1" t="s">
        <v>101</v>
      </c>
      <c r="F193" s="1" t="s">
        <v>118</v>
      </c>
      <c r="G193" s="1" t="s">
        <v>118</v>
      </c>
      <c r="H193" s="1" t="s">
        <v>299</v>
      </c>
      <c r="I193" s="1" t="s">
        <v>85</v>
      </c>
      <c r="J193" s="1" t="s">
        <v>61</v>
      </c>
      <c r="K193" s="1" t="s">
        <v>170</v>
      </c>
      <c r="L193" s="1">
        <v>0</v>
      </c>
      <c r="M193" s="1">
        <v>0</v>
      </c>
      <c r="N193" s="1">
        <v>0</v>
      </c>
      <c r="O193" s="1">
        <v>0</v>
      </c>
      <c r="P193" s="1">
        <v>0</v>
      </c>
      <c r="Q193" s="1">
        <v>0</v>
      </c>
      <c r="R193" s="1"/>
      <c r="S193" s="1">
        <v>4</v>
      </c>
      <c r="T193" s="1">
        <v>0</v>
      </c>
      <c r="U193" s="1">
        <v>0</v>
      </c>
      <c r="V193" s="1">
        <v>2</v>
      </c>
      <c r="W193" s="1">
        <v>3</v>
      </c>
      <c r="X193" s="1">
        <v>0</v>
      </c>
      <c r="Y193" s="1"/>
      <c r="Z193" s="1"/>
      <c r="AA193" s="1">
        <v>0</v>
      </c>
      <c r="AB193" s="1"/>
      <c r="AC193" s="1"/>
      <c r="AD193" s="1"/>
      <c r="AE193" s="1"/>
      <c r="AF193" s="1"/>
      <c r="AG193" s="1">
        <v>1</v>
      </c>
      <c r="AH193" s="1">
        <v>0</v>
      </c>
      <c r="AI193" s="1"/>
      <c r="AJ193" s="1" t="s">
        <v>21</v>
      </c>
      <c r="AK193" s="1" t="s">
        <v>21</v>
      </c>
      <c r="AL193" s="17"/>
      <c r="AM193" s="18"/>
      <c r="AN193" s="10"/>
    </row>
    <row r="194" spans="2:41">
      <c r="B194" s="1">
        <f t="shared" si="2"/>
        <v>184</v>
      </c>
      <c r="C194" s="1">
        <v>1</v>
      </c>
      <c r="D194" s="1" t="s">
        <v>212</v>
      </c>
      <c r="E194" s="1" t="s">
        <v>101</v>
      </c>
      <c r="F194" s="1" t="s">
        <v>118</v>
      </c>
      <c r="G194" s="1" t="s">
        <v>118</v>
      </c>
      <c r="H194" s="1" t="s">
        <v>298</v>
      </c>
      <c r="I194" s="1" t="s">
        <v>85</v>
      </c>
      <c r="J194" s="54" t="s">
        <v>170</v>
      </c>
      <c r="K194" s="1" t="s">
        <v>452</v>
      </c>
      <c r="L194" s="1">
        <v>0</v>
      </c>
      <c r="M194" s="1">
        <v>0</v>
      </c>
      <c r="N194" s="1">
        <v>0</v>
      </c>
      <c r="O194" s="1">
        <v>0</v>
      </c>
      <c r="P194" s="1">
        <v>0</v>
      </c>
      <c r="Q194" s="1">
        <v>0</v>
      </c>
      <c r="R194" s="1">
        <v>0</v>
      </c>
      <c r="S194" s="1">
        <v>4</v>
      </c>
      <c r="T194" s="1">
        <v>0</v>
      </c>
      <c r="U194" s="1">
        <v>0</v>
      </c>
      <c r="V194" s="1">
        <v>2</v>
      </c>
      <c r="W194" s="1">
        <v>4</v>
      </c>
      <c r="X194" s="1">
        <v>0</v>
      </c>
      <c r="Y194" s="1">
        <v>0</v>
      </c>
      <c r="Z194" s="1">
        <v>0</v>
      </c>
      <c r="AA194" s="1">
        <v>0</v>
      </c>
      <c r="AB194" s="1"/>
      <c r="AC194" s="1"/>
      <c r="AD194" s="1"/>
      <c r="AE194" s="1"/>
      <c r="AF194" s="1">
        <v>4</v>
      </c>
      <c r="AG194" s="1">
        <v>1</v>
      </c>
      <c r="AH194" s="1">
        <v>0</v>
      </c>
      <c r="AI194" s="1">
        <v>0</v>
      </c>
      <c r="AJ194" s="1" t="s">
        <v>21</v>
      </c>
      <c r="AK194" s="1" t="s">
        <v>21</v>
      </c>
      <c r="AL194" s="17"/>
      <c r="AM194" s="18"/>
      <c r="AN194" s="10"/>
    </row>
    <row r="195" spans="2:41">
      <c r="B195" s="1">
        <f t="shared" si="2"/>
        <v>185</v>
      </c>
      <c r="C195" s="1">
        <v>1</v>
      </c>
      <c r="D195" s="1" t="s">
        <v>212</v>
      </c>
      <c r="E195" s="1" t="s">
        <v>101</v>
      </c>
      <c r="F195" s="1" t="s">
        <v>118</v>
      </c>
      <c r="G195" s="1" t="s">
        <v>118</v>
      </c>
      <c r="H195" s="1" t="s">
        <v>297</v>
      </c>
      <c r="I195" s="1" t="s">
        <v>85</v>
      </c>
      <c r="J195" s="54" t="s">
        <v>170</v>
      </c>
      <c r="K195" s="1" t="s">
        <v>452</v>
      </c>
      <c r="L195" s="1">
        <v>0</v>
      </c>
      <c r="M195" s="1">
        <v>0</v>
      </c>
      <c r="N195" s="1">
        <v>0</v>
      </c>
      <c r="O195" s="1">
        <v>0</v>
      </c>
      <c r="P195" s="1">
        <v>0</v>
      </c>
      <c r="Q195" s="1">
        <v>0</v>
      </c>
      <c r="R195" s="1">
        <v>0</v>
      </c>
      <c r="S195" s="1">
        <v>4</v>
      </c>
      <c r="T195" s="1">
        <v>0</v>
      </c>
      <c r="U195" s="1">
        <v>0</v>
      </c>
      <c r="V195" s="1">
        <v>2</v>
      </c>
      <c r="W195" s="1">
        <v>4</v>
      </c>
      <c r="X195" s="1">
        <v>0</v>
      </c>
      <c r="Y195" s="1">
        <v>0</v>
      </c>
      <c r="Z195" s="1">
        <v>0</v>
      </c>
      <c r="AA195" s="1">
        <v>0</v>
      </c>
      <c r="AB195" s="1"/>
      <c r="AC195" s="1"/>
      <c r="AD195" s="1"/>
      <c r="AE195" s="1"/>
      <c r="AF195" s="1">
        <v>4</v>
      </c>
      <c r="AG195" s="1">
        <v>1</v>
      </c>
      <c r="AH195" s="1">
        <v>0</v>
      </c>
      <c r="AI195" s="1">
        <v>0</v>
      </c>
      <c r="AJ195" s="1" t="s">
        <v>21</v>
      </c>
      <c r="AK195" s="1" t="s">
        <v>21</v>
      </c>
      <c r="AL195" s="17"/>
      <c r="AM195" s="18"/>
      <c r="AN195" s="10"/>
    </row>
    <row r="196" spans="2:41" ht="15" customHeight="1">
      <c r="B196" s="1">
        <f t="shared" si="2"/>
        <v>186</v>
      </c>
      <c r="C196" s="44">
        <v>0</v>
      </c>
      <c r="D196" s="44" t="s">
        <v>300</v>
      </c>
      <c r="E196" s="44" t="s">
        <v>52</v>
      </c>
      <c r="F196" s="44" t="s">
        <v>284</v>
      </c>
      <c r="G196" s="44" t="s">
        <v>284</v>
      </c>
      <c r="H196" s="44" t="s">
        <v>301</v>
      </c>
      <c r="I196" s="44" t="s">
        <v>86</v>
      </c>
      <c r="J196" s="44" t="s">
        <v>143</v>
      </c>
      <c r="K196" s="44"/>
      <c r="L196" s="44"/>
      <c r="M196" s="44"/>
      <c r="N196" s="44">
        <v>0</v>
      </c>
      <c r="O196" s="44">
        <v>0</v>
      </c>
      <c r="P196" s="44">
        <v>0</v>
      </c>
      <c r="Q196" s="44">
        <v>0</v>
      </c>
      <c r="R196" s="44"/>
      <c r="S196" s="44">
        <v>0</v>
      </c>
      <c r="T196" s="44">
        <v>0</v>
      </c>
      <c r="U196" s="44">
        <v>4</v>
      </c>
      <c r="V196" s="44">
        <v>0</v>
      </c>
      <c r="W196" s="44">
        <v>0</v>
      </c>
      <c r="X196" s="1">
        <v>0</v>
      </c>
      <c r="Y196" s="44">
        <v>1</v>
      </c>
      <c r="Z196" s="44"/>
      <c r="AA196" s="1">
        <v>0</v>
      </c>
      <c r="AB196" s="1"/>
      <c r="AC196" s="1"/>
      <c r="AD196" s="1"/>
      <c r="AE196" s="1"/>
      <c r="AF196" s="1"/>
      <c r="AG196" s="1">
        <v>0</v>
      </c>
      <c r="AH196" s="1">
        <v>0</v>
      </c>
      <c r="AI196" s="1"/>
      <c r="AJ196" s="44" t="s">
        <v>302</v>
      </c>
      <c r="AK196" s="44" t="s">
        <v>302</v>
      </c>
      <c r="AL196" s="45"/>
      <c r="AM196" s="44"/>
      <c r="AN196" s="46"/>
    </row>
    <row r="197" spans="2:41" s="53" customFormat="1" ht="15" customHeight="1">
      <c r="B197" s="1">
        <f t="shared" si="2"/>
        <v>187</v>
      </c>
      <c r="C197" s="47">
        <v>1</v>
      </c>
      <c r="D197" s="47" t="s">
        <v>283</v>
      </c>
      <c r="E197" s="47" t="s">
        <v>52</v>
      </c>
      <c r="F197" s="47" t="s">
        <v>284</v>
      </c>
      <c r="G197" s="47" t="s">
        <v>304</v>
      </c>
      <c r="H197" s="47" t="s">
        <v>447</v>
      </c>
      <c r="I197" s="47" t="s">
        <v>87</v>
      </c>
      <c r="J197" s="47" t="s">
        <v>312</v>
      </c>
      <c r="K197" s="47" t="s">
        <v>408</v>
      </c>
      <c r="L197" s="47"/>
      <c r="M197" s="47">
        <v>4</v>
      </c>
      <c r="N197" s="47"/>
      <c r="O197" s="47"/>
      <c r="P197" s="47"/>
      <c r="Q197" s="47"/>
      <c r="R197" s="47"/>
      <c r="S197" s="47"/>
      <c r="T197" s="47"/>
      <c r="U197" s="47">
        <v>4</v>
      </c>
      <c r="V197" s="47"/>
      <c r="W197" s="47"/>
      <c r="X197" s="1"/>
      <c r="Y197" s="47">
        <v>4</v>
      </c>
      <c r="Z197" s="47">
        <v>3</v>
      </c>
      <c r="AA197" s="1"/>
      <c r="AB197" s="1"/>
      <c r="AC197" s="1"/>
      <c r="AD197" s="1"/>
      <c r="AE197" s="1">
        <v>3</v>
      </c>
      <c r="AF197" s="1"/>
      <c r="AG197" s="1"/>
      <c r="AH197" s="1">
        <v>0</v>
      </c>
      <c r="AI197" s="1">
        <v>0</v>
      </c>
      <c r="AJ197" s="47" t="s">
        <v>21</v>
      </c>
      <c r="AK197" s="47" t="s">
        <v>95</v>
      </c>
      <c r="AL197" s="48" t="s">
        <v>415</v>
      </c>
      <c r="AM197" s="49" t="s">
        <v>410</v>
      </c>
      <c r="AN197" s="50" t="s">
        <v>341</v>
      </c>
      <c r="AO197" s="50"/>
    </row>
    <row r="198" spans="2:41" ht="15" customHeight="1">
      <c r="B198" s="1">
        <f t="shared" si="2"/>
        <v>188</v>
      </c>
      <c r="C198" s="1">
        <v>1</v>
      </c>
      <c r="D198" s="1" t="s">
        <v>212</v>
      </c>
      <c r="E198" s="1" t="s">
        <v>91</v>
      </c>
      <c r="F198" s="1" t="s">
        <v>96</v>
      </c>
      <c r="G198" s="1" t="s">
        <v>305</v>
      </c>
      <c r="H198" s="1" t="s">
        <v>306</v>
      </c>
      <c r="I198" s="1" t="s">
        <v>85</v>
      </c>
      <c r="J198" s="54" t="s">
        <v>170</v>
      </c>
      <c r="K198" s="1" t="s">
        <v>452</v>
      </c>
      <c r="L198" s="1">
        <v>0</v>
      </c>
      <c r="M198" s="1">
        <v>0</v>
      </c>
      <c r="N198" s="1">
        <v>0</v>
      </c>
      <c r="O198" s="1">
        <v>0</v>
      </c>
      <c r="P198" s="1">
        <v>0</v>
      </c>
      <c r="Q198" s="1">
        <v>0</v>
      </c>
      <c r="R198" s="1"/>
      <c r="S198" s="1">
        <v>4</v>
      </c>
      <c r="T198" s="1">
        <v>0</v>
      </c>
      <c r="U198" s="1">
        <v>0</v>
      </c>
      <c r="V198" s="1">
        <v>0</v>
      </c>
      <c r="W198" s="1">
        <v>4</v>
      </c>
      <c r="X198" s="1">
        <v>0</v>
      </c>
      <c r="Y198" s="1"/>
      <c r="Z198" s="1"/>
      <c r="AA198" s="1">
        <v>0</v>
      </c>
      <c r="AB198" s="1"/>
      <c r="AC198" s="1"/>
      <c r="AD198" s="1"/>
      <c r="AE198" s="1"/>
      <c r="AF198" s="1">
        <v>4</v>
      </c>
      <c r="AG198" s="1">
        <v>1</v>
      </c>
      <c r="AH198" s="1">
        <v>0</v>
      </c>
      <c r="AI198" s="1">
        <v>0</v>
      </c>
      <c r="AJ198" s="1" t="s">
        <v>21</v>
      </c>
      <c r="AK198" s="1" t="s">
        <v>21</v>
      </c>
      <c r="AL198" s="17"/>
      <c r="AM198" s="18"/>
      <c r="AN198" s="10"/>
    </row>
    <row r="199" spans="2:41" ht="15" customHeight="1">
      <c r="B199" s="1">
        <f t="shared" si="2"/>
        <v>189</v>
      </c>
      <c r="C199" s="1">
        <v>1</v>
      </c>
      <c r="D199" s="1" t="s">
        <v>212</v>
      </c>
      <c r="E199" s="1" t="s">
        <v>91</v>
      </c>
      <c r="F199" s="1" t="s">
        <v>96</v>
      </c>
      <c r="G199" s="1" t="s">
        <v>305</v>
      </c>
      <c r="H199" s="1" t="s">
        <v>307</v>
      </c>
      <c r="I199" s="1" t="s">
        <v>85</v>
      </c>
      <c r="J199" s="54" t="s">
        <v>170</v>
      </c>
      <c r="K199" s="1" t="s">
        <v>452</v>
      </c>
      <c r="L199" s="1">
        <v>0</v>
      </c>
      <c r="M199" s="1">
        <v>0</v>
      </c>
      <c r="N199" s="1">
        <v>0</v>
      </c>
      <c r="O199" s="1">
        <v>0</v>
      </c>
      <c r="P199" s="1">
        <v>0</v>
      </c>
      <c r="Q199" s="1">
        <v>0</v>
      </c>
      <c r="R199" s="1"/>
      <c r="S199" s="1">
        <v>4</v>
      </c>
      <c r="T199" s="1">
        <v>0</v>
      </c>
      <c r="U199" s="1">
        <v>0</v>
      </c>
      <c r="V199" s="1">
        <v>0</v>
      </c>
      <c r="W199" s="1">
        <v>4</v>
      </c>
      <c r="X199" s="1">
        <v>0</v>
      </c>
      <c r="Y199" s="1"/>
      <c r="Z199" s="1"/>
      <c r="AA199" s="1">
        <v>0</v>
      </c>
      <c r="AB199" s="1"/>
      <c r="AC199" s="1"/>
      <c r="AD199" s="1"/>
      <c r="AE199" s="1"/>
      <c r="AF199" s="1">
        <v>4</v>
      </c>
      <c r="AG199" s="1">
        <v>1</v>
      </c>
      <c r="AH199" s="1">
        <v>0</v>
      </c>
      <c r="AI199" s="1">
        <v>0</v>
      </c>
      <c r="AJ199" s="1" t="s">
        <v>21</v>
      </c>
      <c r="AK199" s="1" t="s">
        <v>21</v>
      </c>
      <c r="AL199" s="17"/>
      <c r="AM199" s="18"/>
      <c r="AN199" s="10"/>
    </row>
    <row r="200" spans="2:41">
      <c r="B200" s="1">
        <f t="shared" si="2"/>
        <v>190</v>
      </c>
      <c r="C200" s="1">
        <v>1</v>
      </c>
      <c r="D200" s="1" t="s">
        <v>212</v>
      </c>
      <c r="E200" s="1" t="s">
        <v>101</v>
      </c>
      <c r="F200" s="1" t="s">
        <v>282</v>
      </c>
      <c r="G200" s="1" t="s">
        <v>282</v>
      </c>
      <c r="H200" s="1" t="s">
        <v>309</v>
      </c>
      <c r="I200" s="1" t="s">
        <v>85</v>
      </c>
      <c r="J200" s="54" t="s">
        <v>170</v>
      </c>
      <c r="K200" s="1" t="s">
        <v>452</v>
      </c>
      <c r="L200" s="1">
        <v>0</v>
      </c>
      <c r="M200" s="1">
        <v>0</v>
      </c>
      <c r="N200" s="1">
        <v>0</v>
      </c>
      <c r="O200" s="1">
        <v>0</v>
      </c>
      <c r="P200" s="1">
        <v>0</v>
      </c>
      <c r="Q200" s="1">
        <v>0</v>
      </c>
      <c r="R200" s="1">
        <v>0</v>
      </c>
      <c r="S200" s="1">
        <v>4</v>
      </c>
      <c r="T200" s="1">
        <v>0</v>
      </c>
      <c r="U200" s="1">
        <v>0</v>
      </c>
      <c r="V200" s="1">
        <v>0</v>
      </c>
      <c r="W200" s="1">
        <v>4</v>
      </c>
      <c r="X200" s="1">
        <v>0</v>
      </c>
      <c r="Y200" s="1">
        <v>0</v>
      </c>
      <c r="Z200" s="1">
        <v>0</v>
      </c>
      <c r="AA200" s="1">
        <v>0</v>
      </c>
      <c r="AB200" s="1"/>
      <c r="AC200" s="1"/>
      <c r="AD200" s="1"/>
      <c r="AE200" s="1"/>
      <c r="AF200" s="1">
        <v>4</v>
      </c>
      <c r="AG200" s="1">
        <v>3</v>
      </c>
      <c r="AH200" s="1">
        <v>0</v>
      </c>
      <c r="AI200" s="1">
        <v>0</v>
      </c>
      <c r="AJ200" s="1" t="s">
        <v>21</v>
      </c>
      <c r="AK200" s="1" t="s">
        <v>21</v>
      </c>
      <c r="AL200" s="17"/>
      <c r="AM200" s="18"/>
      <c r="AN200" s="10"/>
    </row>
    <row r="201" spans="2:41">
      <c r="B201" s="1">
        <f t="shared" si="2"/>
        <v>191</v>
      </c>
      <c r="C201" s="1">
        <v>1</v>
      </c>
      <c r="D201" s="1" t="s">
        <v>212</v>
      </c>
      <c r="E201" s="1" t="s">
        <v>101</v>
      </c>
      <c r="F201" s="1" t="s">
        <v>118</v>
      </c>
      <c r="G201" s="1" t="s">
        <v>118</v>
      </c>
      <c r="H201" s="1" t="s">
        <v>310</v>
      </c>
      <c r="I201" s="1" t="s">
        <v>85</v>
      </c>
      <c r="J201" s="54" t="s">
        <v>170</v>
      </c>
      <c r="K201" s="1" t="s">
        <v>452</v>
      </c>
      <c r="L201" s="1">
        <v>0</v>
      </c>
      <c r="M201" s="1">
        <v>0</v>
      </c>
      <c r="N201" s="1">
        <v>0</v>
      </c>
      <c r="O201" s="1">
        <v>0</v>
      </c>
      <c r="P201" s="1">
        <v>0</v>
      </c>
      <c r="Q201" s="1">
        <v>0</v>
      </c>
      <c r="R201" s="1">
        <v>0</v>
      </c>
      <c r="S201" s="1">
        <v>4</v>
      </c>
      <c r="T201" s="1">
        <v>0</v>
      </c>
      <c r="U201" s="1">
        <v>0</v>
      </c>
      <c r="V201" s="1">
        <v>2</v>
      </c>
      <c r="W201" s="1">
        <v>4</v>
      </c>
      <c r="X201" s="1">
        <v>0</v>
      </c>
      <c r="Y201" s="1">
        <v>0</v>
      </c>
      <c r="Z201" s="1">
        <v>0</v>
      </c>
      <c r="AA201" s="1">
        <v>0</v>
      </c>
      <c r="AB201" s="1"/>
      <c r="AC201" s="1"/>
      <c r="AD201" s="1"/>
      <c r="AE201" s="1"/>
      <c r="AF201" s="1">
        <v>4</v>
      </c>
      <c r="AG201" s="1">
        <v>0</v>
      </c>
      <c r="AH201" s="1">
        <v>0</v>
      </c>
      <c r="AI201" s="1">
        <v>0</v>
      </c>
      <c r="AJ201" s="1" t="s">
        <v>21</v>
      </c>
      <c r="AK201" s="1" t="s">
        <v>21</v>
      </c>
      <c r="AL201" s="17"/>
      <c r="AM201" s="18"/>
      <c r="AN201" s="10"/>
    </row>
    <row r="202" spans="2:41">
      <c r="B202" s="1">
        <f t="shared" si="2"/>
        <v>192</v>
      </c>
      <c r="C202" s="1">
        <v>1</v>
      </c>
      <c r="D202" s="1" t="s">
        <v>212</v>
      </c>
      <c r="E202" s="1" t="s">
        <v>101</v>
      </c>
      <c r="F202" s="1" t="s">
        <v>118</v>
      </c>
      <c r="G202" s="1" t="s">
        <v>118</v>
      </c>
      <c r="H202" s="1" t="s">
        <v>311</v>
      </c>
      <c r="I202" s="1" t="s">
        <v>85</v>
      </c>
      <c r="J202" s="54" t="s">
        <v>170</v>
      </c>
      <c r="K202" s="1" t="s">
        <v>452</v>
      </c>
      <c r="L202" s="1">
        <v>0</v>
      </c>
      <c r="M202" s="1">
        <v>0</v>
      </c>
      <c r="N202" s="1">
        <v>0</v>
      </c>
      <c r="O202" s="1">
        <v>0</v>
      </c>
      <c r="P202" s="1">
        <v>0</v>
      </c>
      <c r="Q202" s="1">
        <v>0</v>
      </c>
      <c r="R202" s="1">
        <v>0</v>
      </c>
      <c r="S202" s="1">
        <v>4</v>
      </c>
      <c r="T202" s="1">
        <v>0</v>
      </c>
      <c r="U202" s="1">
        <v>0</v>
      </c>
      <c r="V202" s="1">
        <v>2</v>
      </c>
      <c r="W202" s="1">
        <v>4</v>
      </c>
      <c r="X202" s="1">
        <v>0</v>
      </c>
      <c r="Y202" s="1">
        <v>0</v>
      </c>
      <c r="Z202" s="1">
        <v>0</v>
      </c>
      <c r="AA202" s="1">
        <v>0</v>
      </c>
      <c r="AB202" s="1"/>
      <c r="AC202" s="1"/>
      <c r="AD202" s="1"/>
      <c r="AE202" s="1"/>
      <c r="AF202" s="1">
        <v>4</v>
      </c>
      <c r="AG202" s="1">
        <v>1</v>
      </c>
      <c r="AH202" s="1">
        <v>0</v>
      </c>
      <c r="AI202" s="1">
        <v>0</v>
      </c>
      <c r="AJ202" s="1" t="s">
        <v>21</v>
      </c>
      <c r="AK202" s="1" t="s">
        <v>21</v>
      </c>
      <c r="AL202" s="17"/>
      <c r="AM202" s="18"/>
      <c r="AN202" s="10"/>
    </row>
    <row r="203" spans="2:41">
      <c r="B203" s="1">
        <f t="shared" si="2"/>
        <v>193</v>
      </c>
      <c r="C203" s="1">
        <v>1</v>
      </c>
      <c r="D203" s="1" t="s">
        <v>212</v>
      </c>
      <c r="E203" s="1" t="s">
        <v>91</v>
      </c>
      <c r="F203" s="1" t="s">
        <v>314</v>
      </c>
      <c r="G203" s="1" t="s">
        <v>314</v>
      </c>
      <c r="H203" s="1" t="s">
        <v>315</v>
      </c>
      <c r="I203" s="1" t="s">
        <v>85</v>
      </c>
      <c r="J203" s="54" t="s">
        <v>170</v>
      </c>
      <c r="K203" s="1" t="s">
        <v>452</v>
      </c>
      <c r="L203" s="1">
        <v>0</v>
      </c>
      <c r="M203" s="1">
        <v>0</v>
      </c>
      <c r="N203" s="1">
        <v>0</v>
      </c>
      <c r="O203" s="1">
        <v>0</v>
      </c>
      <c r="P203" s="1">
        <v>0</v>
      </c>
      <c r="Q203" s="1">
        <v>0</v>
      </c>
      <c r="R203" s="1"/>
      <c r="S203" s="1">
        <v>3</v>
      </c>
      <c r="T203" s="1">
        <v>0</v>
      </c>
      <c r="U203" s="1">
        <v>0</v>
      </c>
      <c r="V203" s="1">
        <v>0</v>
      </c>
      <c r="W203" s="1">
        <v>4</v>
      </c>
      <c r="X203" s="1">
        <v>0</v>
      </c>
      <c r="Y203" s="1">
        <v>0</v>
      </c>
      <c r="Z203" s="1">
        <v>0</v>
      </c>
      <c r="AA203" s="1">
        <v>0</v>
      </c>
      <c r="AB203" s="1"/>
      <c r="AC203" s="1"/>
      <c r="AD203" s="1"/>
      <c r="AE203" s="1"/>
      <c r="AF203" s="1">
        <v>4</v>
      </c>
      <c r="AG203" s="1">
        <v>3</v>
      </c>
      <c r="AH203" s="1">
        <v>0</v>
      </c>
      <c r="AI203" s="1">
        <v>0</v>
      </c>
      <c r="AJ203" s="1" t="s">
        <v>21</v>
      </c>
      <c r="AK203" s="1" t="s">
        <v>21</v>
      </c>
      <c r="AL203" s="17"/>
      <c r="AM203" s="18"/>
      <c r="AN203" s="10"/>
    </row>
    <row r="204" spans="2:41">
      <c r="B204" s="1">
        <f t="shared" ref="B204:B267" si="3">B203+1</f>
        <v>194</v>
      </c>
      <c r="C204" s="1">
        <v>1</v>
      </c>
      <c r="D204" s="1" t="s">
        <v>220</v>
      </c>
      <c r="E204" s="1" t="s">
        <v>52</v>
      </c>
      <c r="F204" s="1" t="s">
        <v>321</v>
      </c>
      <c r="G204" s="1" t="s">
        <v>321</v>
      </c>
      <c r="H204" s="1" t="s">
        <v>316</v>
      </c>
      <c r="I204" s="1" t="s">
        <v>85</v>
      </c>
      <c r="J204" s="1" t="s">
        <v>491</v>
      </c>
      <c r="K204" s="1" t="s">
        <v>11</v>
      </c>
      <c r="L204" s="1">
        <v>0</v>
      </c>
      <c r="M204" s="1">
        <v>4</v>
      </c>
      <c r="N204" s="1">
        <v>0</v>
      </c>
      <c r="O204" s="1">
        <v>0</v>
      </c>
      <c r="P204" s="1">
        <v>0</v>
      </c>
      <c r="Q204" s="1">
        <v>0</v>
      </c>
      <c r="R204" s="1">
        <v>0</v>
      </c>
      <c r="S204" s="1">
        <v>0</v>
      </c>
      <c r="T204" s="1">
        <v>4</v>
      </c>
      <c r="U204" s="1">
        <v>0</v>
      </c>
      <c r="V204" s="1">
        <v>0</v>
      </c>
      <c r="W204" s="1">
        <v>0</v>
      </c>
      <c r="X204" s="1">
        <v>0</v>
      </c>
      <c r="Y204" s="1">
        <v>0</v>
      </c>
      <c r="Z204" s="1">
        <v>0</v>
      </c>
      <c r="AA204" s="1">
        <v>4</v>
      </c>
      <c r="AB204" s="1"/>
      <c r="AC204" s="1"/>
      <c r="AD204" s="1">
        <v>4</v>
      </c>
      <c r="AE204" s="1"/>
      <c r="AF204" s="1"/>
      <c r="AG204" s="1">
        <v>0</v>
      </c>
      <c r="AH204" s="1">
        <v>0</v>
      </c>
      <c r="AI204" s="1">
        <v>0</v>
      </c>
      <c r="AJ204" s="1" t="s">
        <v>32</v>
      </c>
      <c r="AK204" s="1" t="s">
        <v>32</v>
      </c>
      <c r="AL204" s="17"/>
      <c r="AM204" s="18"/>
      <c r="AN204" s="10" t="s">
        <v>343</v>
      </c>
    </row>
    <row r="205" spans="2:41">
      <c r="B205" s="1">
        <f t="shared" si="3"/>
        <v>195</v>
      </c>
      <c r="C205" s="1">
        <v>1</v>
      </c>
      <c r="D205" s="1" t="s">
        <v>220</v>
      </c>
      <c r="E205" s="1" t="s">
        <v>52</v>
      </c>
      <c r="F205" s="1" t="s">
        <v>321</v>
      </c>
      <c r="G205" s="1" t="s">
        <v>321</v>
      </c>
      <c r="H205" s="1" t="s">
        <v>317</v>
      </c>
      <c r="I205" s="1" t="s">
        <v>85</v>
      </c>
      <c r="J205" s="1" t="s">
        <v>491</v>
      </c>
      <c r="K205" s="1" t="s">
        <v>11</v>
      </c>
      <c r="L205" s="1">
        <v>0</v>
      </c>
      <c r="M205" s="1">
        <v>4</v>
      </c>
      <c r="N205" s="1">
        <v>0</v>
      </c>
      <c r="O205" s="1">
        <v>0</v>
      </c>
      <c r="P205" s="1">
        <v>0</v>
      </c>
      <c r="Q205" s="1">
        <v>0</v>
      </c>
      <c r="R205" s="1">
        <v>0</v>
      </c>
      <c r="S205" s="1">
        <v>0</v>
      </c>
      <c r="T205" s="1">
        <v>4</v>
      </c>
      <c r="U205" s="1">
        <v>0</v>
      </c>
      <c r="V205" s="1">
        <v>0</v>
      </c>
      <c r="W205" s="1">
        <v>0</v>
      </c>
      <c r="X205" s="1">
        <v>0</v>
      </c>
      <c r="Y205" s="1">
        <v>0</v>
      </c>
      <c r="Z205" s="1">
        <v>0</v>
      </c>
      <c r="AA205" s="1">
        <v>4</v>
      </c>
      <c r="AB205" s="1"/>
      <c r="AC205" s="1"/>
      <c r="AD205" s="1">
        <v>4</v>
      </c>
      <c r="AE205" s="1"/>
      <c r="AF205" s="1"/>
      <c r="AG205" s="1">
        <v>0</v>
      </c>
      <c r="AH205" s="1">
        <v>0</v>
      </c>
      <c r="AI205" s="1">
        <v>0</v>
      </c>
      <c r="AJ205" s="1" t="s">
        <v>32</v>
      </c>
      <c r="AK205" s="1" t="s">
        <v>32</v>
      </c>
      <c r="AL205" s="17"/>
      <c r="AM205" s="18"/>
      <c r="AN205" s="10" t="s">
        <v>343</v>
      </c>
    </row>
    <row r="206" spans="2:41">
      <c r="B206" s="1">
        <f t="shared" si="3"/>
        <v>196</v>
      </c>
      <c r="C206" s="1">
        <v>1</v>
      </c>
      <c r="D206" s="1" t="s">
        <v>220</v>
      </c>
      <c r="E206" s="1" t="s">
        <v>52</v>
      </c>
      <c r="F206" s="1" t="s">
        <v>321</v>
      </c>
      <c r="G206" s="1" t="s">
        <v>321</v>
      </c>
      <c r="H206" s="1" t="s">
        <v>318</v>
      </c>
      <c r="I206" s="1" t="s">
        <v>85</v>
      </c>
      <c r="J206" s="1" t="s">
        <v>491</v>
      </c>
      <c r="K206" s="1" t="s">
        <v>11</v>
      </c>
      <c r="L206" s="1">
        <v>0</v>
      </c>
      <c r="M206" s="1">
        <v>4</v>
      </c>
      <c r="N206" s="1">
        <v>0</v>
      </c>
      <c r="O206" s="1">
        <v>0</v>
      </c>
      <c r="P206" s="1">
        <v>0</v>
      </c>
      <c r="Q206" s="1">
        <v>0</v>
      </c>
      <c r="R206" s="1">
        <v>0</v>
      </c>
      <c r="S206" s="1">
        <v>0</v>
      </c>
      <c r="T206" s="1">
        <v>4</v>
      </c>
      <c r="U206" s="1">
        <v>0</v>
      </c>
      <c r="V206" s="1">
        <v>0</v>
      </c>
      <c r="W206" s="1">
        <v>0</v>
      </c>
      <c r="X206" s="1">
        <v>0</v>
      </c>
      <c r="Y206" s="1">
        <v>0</v>
      </c>
      <c r="Z206" s="1">
        <v>0</v>
      </c>
      <c r="AA206" s="1">
        <v>4</v>
      </c>
      <c r="AB206" s="1"/>
      <c r="AC206" s="1"/>
      <c r="AD206" s="1">
        <v>4</v>
      </c>
      <c r="AE206" s="1"/>
      <c r="AF206" s="1"/>
      <c r="AG206" s="1">
        <v>0</v>
      </c>
      <c r="AH206" s="1">
        <v>0</v>
      </c>
      <c r="AI206" s="1">
        <v>0</v>
      </c>
      <c r="AJ206" s="1" t="s">
        <v>32</v>
      </c>
      <c r="AK206" s="1" t="s">
        <v>32</v>
      </c>
      <c r="AL206" s="17"/>
      <c r="AM206" s="18"/>
      <c r="AN206" s="10" t="s">
        <v>343</v>
      </c>
    </row>
    <row r="207" spans="2:41">
      <c r="B207" s="1">
        <f t="shared" si="3"/>
        <v>197</v>
      </c>
      <c r="C207" s="1">
        <v>0</v>
      </c>
      <c r="D207" s="1" t="s">
        <v>220</v>
      </c>
      <c r="E207" s="1" t="s">
        <v>52</v>
      </c>
      <c r="F207" s="1" t="s">
        <v>321</v>
      </c>
      <c r="G207" s="1" t="s">
        <v>321</v>
      </c>
      <c r="H207" s="1" t="s">
        <v>319</v>
      </c>
      <c r="I207" s="1" t="s">
        <v>85</v>
      </c>
      <c r="J207" s="1" t="s">
        <v>491</v>
      </c>
      <c r="K207" s="1" t="s">
        <v>11</v>
      </c>
      <c r="L207" s="1">
        <v>0</v>
      </c>
      <c r="M207" s="1">
        <v>4</v>
      </c>
      <c r="N207" s="1">
        <v>0</v>
      </c>
      <c r="O207" s="1">
        <v>0</v>
      </c>
      <c r="P207" s="1">
        <v>0</v>
      </c>
      <c r="Q207" s="1">
        <v>0</v>
      </c>
      <c r="R207" s="1">
        <v>0</v>
      </c>
      <c r="S207" s="1">
        <v>0</v>
      </c>
      <c r="T207" s="1">
        <v>4</v>
      </c>
      <c r="U207" s="1">
        <v>0</v>
      </c>
      <c r="V207" s="1">
        <v>0</v>
      </c>
      <c r="W207" s="1">
        <v>0</v>
      </c>
      <c r="X207" s="1">
        <v>0</v>
      </c>
      <c r="Y207" s="1">
        <v>0</v>
      </c>
      <c r="Z207" s="1">
        <v>0</v>
      </c>
      <c r="AA207" s="1">
        <v>4</v>
      </c>
      <c r="AB207" s="1"/>
      <c r="AC207" s="1"/>
      <c r="AD207" s="1">
        <v>4</v>
      </c>
      <c r="AE207" s="1"/>
      <c r="AF207" s="1"/>
      <c r="AG207" s="1">
        <v>0</v>
      </c>
      <c r="AH207" s="1">
        <v>0</v>
      </c>
      <c r="AI207" s="1"/>
      <c r="AJ207" s="1" t="s">
        <v>32</v>
      </c>
      <c r="AK207" s="1" t="s">
        <v>32</v>
      </c>
      <c r="AL207" s="17"/>
      <c r="AM207" s="18"/>
      <c r="AN207" s="10" t="s">
        <v>343</v>
      </c>
    </row>
    <row r="208" spans="2:41">
      <c r="B208" s="1">
        <f t="shared" si="3"/>
        <v>198</v>
      </c>
      <c r="C208" s="1">
        <v>0</v>
      </c>
      <c r="D208" s="1" t="s">
        <v>220</v>
      </c>
      <c r="E208" s="1" t="s">
        <v>52</v>
      </c>
      <c r="F208" s="1" t="s">
        <v>321</v>
      </c>
      <c r="G208" s="1" t="s">
        <v>321</v>
      </c>
      <c r="H208" s="1" t="s">
        <v>320</v>
      </c>
      <c r="I208" s="1" t="s">
        <v>86</v>
      </c>
      <c r="J208" s="1" t="s">
        <v>491</v>
      </c>
      <c r="K208" s="1" t="s">
        <v>11</v>
      </c>
      <c r="L208" s="1">
        <v>0</v>
      </c>
      <c r="M208" s="1">
        <v>4</v>
      </c>
      <c r="N208" s="1">
        <v>0</v>
      </c>
      <c r="O208" s="1">
        <v>0</v>
      </c>
      <c r="P208" s="1">
        <v>0</v>
      </c>
      <c r="Q208" s="1">
        <v>0</v>
      </c>
      <c r="R208" s="1">
        <v>0</v>
      </c>
      <c r="S208" s="1">
        <v>0</v>
      </c>
      <c r="T208" s="1">
        <v>4</v>
      </c>
      <c r="U208" s="1">
        <v>0</v>
      </c>
      <c r="V208" s="1">
        <v>0</v>
      </c>
      <c r="W208" s="1">
        <v>0</v>
      </c>
      <c r="X208" s="1">
        <v>0</v>
      </c>
      <c r="Y208" s="1">
        <v>0</v>
      </c>
      <c r="Z208" s="1">
        <v>0</v>
      </c>
      <c r="AA208" s="1">
        <v>4</v>
      </c>
      <c r="AB208" s="1"/>
      <c r="AC208" s="1"/>
      <c r="AD208" s="1">
        <v>4</v>
      </c>
      <c r="AE208" s="1"/>
      <c r="AF208" s="1"/>
      <c r="AG208" s="1">
        <v>0</v>
      </c>
      <c r="AH208" s="1">
        <v>0</v>
      </c>
      <c r="AI208" s="1"/>
      <c r="AJ208" s="1" t="s">
        <v>32</v>
      </c>
      <c r="AK208" s="1" t="s">
        <v>32</v>
      </c>
      <c r="AL208" s="17"/>
      <c r="AM208" s="18"/>
      <c r="AN208" s="10" t="s">
        <v>343</v>
      </c>
    </row>
    <row r="209" spans="2:40">
      <c r="B209" s="1">
        <f t="shared" si="3"/>
        <v>199</v>
      </c>
      <c r="C209" s="1">
        <v>0</v>
      </c>
      <c r="D209" s="1" t="s">
        <v>220</v>
      </c>
      <c r="E209" s="1" t="s">
        <v>294</v>
      </c>
      <c r="F209" s="1" t="s">
        <v>328</v>
      </c>
      <c r="G209" s="1" t="s">
        <v>328</v>
      </c>
      <c r="H209" s="1" t="s">
        <v>322</v>
      </c>
      <c r="I209" s="1" t="s">
        <v>85</v>
      </c>
      <c r="J209" s="1" t="s">
        <v>11</v>
      </c>
      <c r="K209" s="1" t="s">
        <v>329</v>
      </c>
      <c r="L209" s="1">
        <v>0</v>
      </c>
      <c r="M209" s="1">
        <v>4</v>
      </c>
      <c r="N209" s="1">
        <v>0</v>
      </c>
      <c r="O209" s="1">
        <v>0</v>
      </c>
      <c r="P209" s="1">
        <v>0</v>
      </c>
      <c r="Q209" s="1">
        <v>0</v>
      </c>
      <c r="R209" s="1"/>
      <c r="S209" s="1">
        <v>0</v>
      </c>
      <c r="T209" s="1">
        <v>2</v>
      </c>
      <c r="U209" s="1">
        <v>0</v>
      </c>
      <c r="V209" s="1">
        <v>0</v>
      </c>
      <c r="W209" s="1">
        <v>0</v>
      </c>
      <c r="X209" s="1">
        <v>0</v>
      </c>
      <c r="Y209" s="1">
        <v>0</v>
      </c>
      <c r="Z209" s="1"/>
      <c r="AA209" s="1">
        <v>0</v>
      </c>
      <c r="AB209" s="1"/>
      <c r="AC209" s="1"/>
      <c r="AD209" s="1"/>
      <c r="AE209" s="1"/>
      <c r="AF209" s="1"/>
      <c r="AG209" s="1">
        <v>0</v>
      </c>
      <c r="AH209" s="1">
        <v>0</v>
      </c>
      <c r="AI209" s="1"/>
      <c r="AJ209" s="1" t="s">
        <v>32</v>
      </c>
      <c r="AK209" s="1" t="s">
        <v>32</v>
      </c>
      <c r="AL209" s="17"/>
      <c r="AM209" s="18"/>
      <c r="AN209" s="10" t="s">
        <v>349</v>
      </c>
    </row>
    <row r="210" spans="2:40">
      <c r="B210" s="1">
        <f t="shared" si="3"/>
        <v>200</v>
      </c>
      <c r="C210" s="1">
        <v>0</v>
      </c>
      <c r="D210" s="1" t="s">
        <v>220</v>
      </c>
      <c r="E210" s="1" t="s">
        <v>294</v>
      </c>
      <c r="F210" s="1" t="s">
        <v>328</v>
      </c>
      <c r="G210" s="1" t="s">
        <v>328</v>
      </c>
      <c r="H210" s="1" t="s">
        <v>323</v>
      </c>
      <c r="I210" s="1" t="s">
        <v>85</v>
      </c>
      <c r="J210" s="1" t="s">
        <v>11</v>
      </c>
      <c r="K210" s="1" t="s">
        <v>329</v>
      </c>
      <c r="L210" s="1">
        <v>0</v>
      </c>
      <c r="M210" s="1">
        <v>4</v>
      </c>
      <c r="N210" s="1">
        <v>0</v>
      </c>
      <c r="O210" s="1">
        <v>0</v>
      </c>
      <c r="P210" s="1">
        <v>0</v>
      </c>
      <c r="Q210" s="1">
        <v>0</v>
      </c>
      <c r="R210" s="1"/>
      <c r="S210" s="1">
        <v>0</v>
      </c>
      <c r="T210" s="1">
        <v>2</v>
      </c>
      <c r="U210" s="1">
        <v>0</v>
      </c>
      <c r="V210" s="1">
        <v>0</v>
      </c>
      <c r="W210" s="1">
        <v>0</v>
      </c>
      <c r="X210" s="1">
        <v>0</v>
      </c>
      <c r="Y210" s="1">
        <v>0</v>
      </c>
      <c r="Z210" s="1"/>
      <c r="AA210" s="1">
        <v>0</v>
      </c>
      <c r="AB210" s="1"/>
      <c r="AC210" s="1"/>
      <c r="AD210" s="1"/>
      <c r="AE210" s="1"/>
      <c r="AF210" s="1"/>
      <c r="AG210" s="1">
        <v>0</v>
      </c>
      <c r="AH210" s="1">
        <v>0</v>
      </c>
      <c r="AI210" s="1"/>
      <c r="AJ210" s="1" t="s">
        <v>32</v>
      </c>
      <c r="AK210" s="1" t="s">
        <v>32</v>
      </c>
      <c r="AL210" s="17"/>
      <c r="AM210" s="18"/>
      <c r="AN210" s="10" t="s">
        <v>349</v>
      </c>
    </row>
    <row r="211" spans="2:40">
      <c r="B211" s="1">
        <f t="shared" si="3"/>
        <v>201</v>
      </c>
      <c r="C211" s="1">
        <v>0</v>
      </c>
      <c r="D211" s="1" t="s">
        <v>220</v>
      </c>
      <c r="E211" s="1" t="s">
        <v>294</v>
      </c>
      <c r="F211" s="1" t="s">
        <v>328</v>
      </c>
      <c r="G211" s="1" t="s">
        <v>328</v>
      </c>
      <c r="H211" s="1" t="s">
        <v>324</v>
      </c>
      <c r="I211" s="1" t="s">
        <v>85</v>
      </c>
      <c r="J211" s="1" t="s">
        <v>11</v>
      </c>
      <c r="K211" s="1" t="s">
        <v>329</v>
      </c>
      <c r="L211" s="1">
        <v>0</v>
      </c>
      <c r="M211" s="1">
        <v>4</v>
      </c>
      <c r="N211" s="1">
        <v>0</v>
      </c>
      <c r="O211" s="1">
        <v>0</v>
      </c>
      <c r="P211" s="1">
        <v>0</v>
      </c>
      <c r="Q211" s="1">
        <v>0</v>
      </c>
      <c r="R211" s="1"/>
      <c r="S211" s="1">
        <v>0</v>
      </c>
      <c r="T211" s="1">
        <v>2</v>
      </c>
      <c r="U211" s="1">
        <v>0</v>
      </c>
      <c r="V211" s="1">
        <v>0</v>
      </c>
      <c r="W211" s="1">
        <v>0</v>
      </c>
      <c r="X211" s="1">
        <v>0</v>
      </c>
      <c r="Y211" s="1">
        <v>0</v>
      </c>
      <c r="Z211" s="1"/>
      <c r="AA211" s="1">
        <v>0</v>
      </c>
      <c r="AB211" s="1"/>
      <c r="AC211" s="1"/>
      <c r="AD211" s="1"/>
      <c r="AE211" s="1"/>
      <c r="AF211" s="1"/>
      <c r="AG211" s="1">
        <v>0</v>
      </c>
      <c r="AH211" s="1">
        <v>0</v>
      </c>
      <c r="AI211" s="1"/>
      <c r="AJ211" s="1" t="s">
        <v>32</v>
      </c>
      <c r="AK211" s="1" t="s">
        <v>32</v>
      </c>
      <c r="AL211" s="17"/>
      <c r="AM211" s="18"/>
      <c r="AN211" s="10" t="s">
        <v>349</v>
      </c>
    </row>
    <row r="212" spans="2:40">
      <c r="B212" s="1">
        <f t="shared" si="3"/>
        <v>202</v>
      </c>
      <c r="C212" s="1">
        <v>0</v>
      </c>
      <c r="D212" s="1" t="s">
        <v>220</v>
      </c>
      <c r="E212" s="1" t="s">
        <v>294</v>
      </c>
      <c r="F212" s="1" t="s">
        <v>328</v>
      </c>
      <c r="G212" s="1" t="s">
        <v>328</v>
      </c>
      <c r="H212" s="1" t="s">
        <v>325</v>
      </c>
      <c r="I212" s="1" t="s">
        <v>85</v>
      </c>
      <c r="J212" s="1" t="s">
        <v>11</v>
      </c>
      <c r="K212" s="1" t="s">
        <v>329</v>
      </c>
      <c r="L212" s="1">
        <v>0</v>
      </c>
      <c r="M212" s="1">
        <v>4</v>
      </c>
      <c r="N212" s="1">
        <v>0</v>
      </c>
      <c r="O212" s="1">
        <v>0</v>
      </c>
      <c r="P212" s="1">
        <v>0</v>
      </c>
      <c r="Q212" s="1">
        <v>0</v>
      </c>
      <c r="R212" s="1"/>
      <c r="S212" s="1">
        <v>0</v>
      </c>
      <c r="T212" s="1">
        <v>2</v>
      </c>
      <c r="U212" s="1">
        <v>0</v>
      </c>
      <c r="V212" s="1">
        <v>0</v>
      </c>
      <c r="W212" s="1">
        <v>0</v>
      </c>
      <c r="X212" s="1">
        <v>0</v>
      </c>
      <c r="Y212" s="1">
        <v>0</v>
      </c>
      <c r="Z212" s="1"/>
      <c r="AA212" s="1">
        <v>0</v>
      </c>
      <c r="AB212" s="1"/>
      <c r="AC212" s="1"/>
      <c r="AD212" s="1"/>
      <c r="AE212" s="1"/>
      <c r="AF212" s="1"/>
      <c r="AG212" s="1">
        <v>0</v>
      </c>
      <c r="AH212" s="1">
        <v>0</v>
      </c>
      <c r="AI212" s="1"/>
      <c r="AJ212" s="1" t="s">
        <v>32</v>
      </c>
      <c r="AK212" s="1" t="s">
        <v>32</v>
      </c>
      <c r="AL212" s="17"/>
      <c r="AM212" s="18"/>
      <c r="AN212" s="10" t="s">
        <v>349</v>
      </c>
    </row>
    <row r="213" spans="2:40">
      <c r="B213" s="1">
        <f t="shared" si="3"/>
        <v>203</v>
      </c>
      <c r="C213" s="1">
        <v>0</v>
      </c>
      <c r="D213" s="1" t="s">
        <v>220</v>
      </c>
      <c r="E213" s="1" t="s">
        <v>294</v>
      </c>
      <c r="F213" s="1" t="s">
        <v>328</v>
      </c>
      <c r="G213" s="1" t="s">
        <v>328</v>
      </c>
      <c r="H213" s="1" t="s">
        <v>326</v>
      </c>
      <c r="I213" s="1" t="s">
        <v>85</v>
      </c>
      <c r="J213" s="1" t="s">
        <v>11</v>
      </c>
      <c r="K213" s="1" t="s">
        <v>329</v>
      </c>
      <c r="L213" s="1">
        <v>0</v>
      </c>
      <c r="M213" s="1">
        <v>4</v>
      </c>
      <c r="N213" s="1">
        <v>0</v>
      </c>
      <c r="O213" s="1">
        <v>0</v>
      </c>
      <c r="P213" s="1">
        <v>0</v>
      </c>
      <c r="Q213" s="1">
        <v>0</v>
      </c>
      <c r="R213" s="1"/>
      <c r="S213" s="1">
        <v>0</v>
      </c>
      <c r="T213" s="1">
        <v>2</v>
      </c>
      <c r="U213" s="1">
        <v>0</v>
      </c>
      <c r="V213" s="1">
        <v>0</v>
      </c>
      <c r="W213" s="1">
        <v>0</v>
      </c>
      <c r="X213" s="1">
        <v>0</v>
      </c>
      <c r="Y213" s="1">
        <v>0</v>
      </c>
      <c r="Z213" s="1"/>
      <c r="AA213" s="1">
        <v>0</v>
      </c>
      <c r="AB213" s="1"/>
      <c r="AC213" s="1"/>
      <c r="AD213" s="1"/>
      <c r="AE213" s="1"/>
      <c r="AF213" s="1"/>
      <c r="AG213" s="1">
        <v>0</v>
      </c>
      <c r="AH213" s="1">
        <v>0</v>
      </c>
      <c r="AI213" s="1"/>
      <c r="AJ213" s="1" t="s">
        <v>32</v>
      </c>
      <c r="AK213" s="1" t="s">
        <v>32</v>
      </c>
      <c r="AL213" s="17"/>
      <c r="AM213" s="18"/>
      <c r="AN213" s="10" t="s">
        <v>349</v>
      </c>
    </row>
    <row r="214" spans="2:40">
      <c r="B214" s="1">
        <f t="shared" si="3"/>
        <v>204</v>
      </c>
      <c r="C214" s="1">
        <v>0</v>
      </c>
      <c r="D214" s="1" t="s">
        <v>220</v>
      </c>
      <c r="E214" s="1" t="s">
        <v>294</v>
      </c>
      <c r="F214" s="1" t="s">
        <v>328</v>
      </c>
      <c r="G214" s="1" t="s">
        <v>328</v>
      </c>
      <c r="H214" s="1" t="s">
        <v>327</v>
      </c>
      <c r="I214" s="1" t="s">
        <v>85</v>
      </c>
      <c r="J214" s="1" t="s">
        <v>11</v>
      </c>
      <c r="K214" s="1" t="s">
        <v>329</v>
      </c>
      <c r="L214" s="1">
        <v>0</v>
      </c>
      <c r="M214" s="1">
        <v>4</v>
      </c>
      <c r="N214" s="1">
        <v>0</v>
      </c>
      <c r="O214" s="1">
        <v>0</v>
      </c>
      <c r="P214" s="1">
        <v>0</v>
      </c>
      <c r="Q214" s="1">
        <v>0</v>
      </c>
      <c r="R214" s="1"/>
      <c r="S214" s="1">
        <v>0</v>
      </c>
      <c r="T214" s="1">
        <v>2</v>
      </c>
      <c r="U214" s="1">
        <v>0</v>
      </c>
      <c r="V214" s="1">
        <v>0</v>
      </c>
      <c r="W214" s="1">
        <v>0</v>
      </c>
      <c r="X214" s="1">
        <v>0</v>
      </c>
      <c r="Y214" s="1">
        <v>0</v>
      </c>
      <c r="Z214" s="1"/>
      <c r="AA214" s="1">
        <v>0</v>
      </c>
      <c r="AB214" s="1"/>
      <c r="AC214" s="1"/>
      <c r="AD214" s="1"/>
      <c r="AE214" s="1"/>
      <c r="AF214" s="1"/>
      <c r="AG214" s="1">
        <v>0</v>
      </c>
      <c r="AH214" s="1">
        <v>0</v>
      </c>
      <c r="AI214" s="1"/>
      <c r="AJ214" s="1" t="s">
        <v>32</v>
      </c>
      <c r="AK214" s="1" t="s">
        <v>32</v>
      </c>
      <c r="AL214" s="17"/>
      <c r="AM214" s="18"/>
      <c r="AN214" s="10" t="s">
        <v>349</v>
      </c>
    </row>
    <row r="215" spans="2:40">
      <c r="B215" s="1">
        <f t="shared" si="3"/>
        <v>205</v>
      </c>
      <c r="C215" s="1">
        <v>1</v>
      </c>
      <c r="D215" s="54" t="s">
        <v>386</v>
      </c>
      <c r="E215" s="1" t="s">
        <v>294</v>
      </c>
      <c r="F215" s="1" t="s">
        <v>57</v>
      </c>
      <c r="G215" s="1"/>
      <c r="H215" s="1" t="s">
        <v>333</v>
      </c>
      <c r="I215" s="1" t="s">
        <v>86</v>
      </c>
      <c r="J215" s="1" t="s">
        <v>12</v>
      </c>
      <c r="K215" s="1" t="s">
        <v>331</v>
      </c>
      <c r="L215" s="1">
        <v>0</v>
      </c>
      <c r="M215" s="1">
        <v>0</v>
      </c>
      <c r="N215" s="1">
        <v>4</v>
      </c>
      <c r="O215" s="1">
        <v>0</v>
      </c>
      <c r="P215" s="1">
        <v>0</v>
      </c>
      <c r="Q215" s="1">
        <v>0</v>
      </c>
      <c r="R215" s="1">
        <v>1</v>
      </c>
      <c r="S215" s="1">
        <v>0</v>
      </c>
      <c r="T215" s="1">
        <v>0</v>
      </c>
      <c r="U215" s="1">
        <v>0</v>
      </c>
      <c r="V215" s="1">
        <v>0</v>
      </c>
      <c r="W215" s="1">
        <v>0</v>
      </c>
      <c r="X215" s="1">
        <v>0</v>
      </c>
      <c r="Y215" s="1">
        <v>0</v>
      </c>
      <c r="Z215" s="1">
        <v>0</v>
      </c>
      <c r="AA215" s="1">
        <v>0</v>
      </c>
      <c r="AB215" s="1">
        <v>1</v>
      </c>
      <c r="AC215" s="1"/>
      <c r="AD215" s="1"/>
      <c r="AE215" s="1"/>
      <c r="AF215" s="1"/>
      <c r="AG215" s="1">
        <v>0</v>
      </c>
      <c r="AH215" s="1">
        <v>0</v>
      </c>
      <c r="AI215" s="1">
        <v>0</v>
      </c>
      <c r="AJ215" s="1" t="s">
        <v>32</v>
      </c>
      <c r="AK215" s="1" t="s">
        <v>32</v>
      </c>
      <c r="AL215" s="17"/>
      <c r="AM215" s="18"/>
      <c r="AN215" s="10"/>
    </row>
    <row r="216" spans="2:40">
      <c r="B216" s="1">
        <f t="shared" si="3"/>
        <v>206</v>
      </c>
      <c r="C216" s="1">
        <v>1</v>
      </c>
      <c r="D216" s="54" t="s">
        <v>386</v>
      </c>
      <c r="E216" s="1" t="s">
        <v>294</v>
      </c>
      <c r="F216" s="1" t="s">
        <v>57</v>
      </c>
      <c r="G216" s="1"/>
      <c r="H216" s="1" t="s">
        <v>334</v>
      </c>
      <c r="I216" s="1" t="s">
        <v>86</v>
      </c>
      <c r="J216" s="1" t="s">
        <v>12</v>
      </c>
      <c r="K216" s="1" t="s">
        <v>331</v>
      </c>
      <c r="L216" s="1">
        <v>0</v>
      </c>
      <c r="M216" s="1">
        <v>0</v>
      </c>
      <c r="N216" s="1">
        <v>4</v>
      </c>
      <c r="O216" s="1">
        <v>0</v>
      </c>
      <c r="P216" s="1">
        <v>0</v>
      </c>
      <c r="Q216" s="1">
        <v>4</v>
      </c>
      <c r="R216" s="1">
        <v>3</v>
      </c>
      <c r="S216" s="1">
        <v>0</v>
      </c>
      <c r="T216" s="1">
        <v>0</v>
      </c>
      <c r="U216" s="1">
        <v>0</v>
      </c>
      <c r="V216" s="1">
        <v>0</v>
      </c>
      <c r="W216" s="1">
        <v>0</v>
      </c>
      <c r="X216" s="1">
        <v>0</v>
      </c>
      <c r="Y216" s="1">
        <v>0</v>
      </c>
      <c r="Z216" s="1">
        <v>0</v>
      </c>
      <c r="AA216" s="1">
        <v>0</v>
      </c>
      <c r="AB216" s="1">
        <v>1</v>
      </c>
      <c r="AC216" s="1"/>
      <c r="AD216" s="1"/>
      <c r="AE216" s="1"/>
      <c r="AF216" s="1"/>
      <c r="AG216" s="1">
        <v>0</v>
      </c>
      <c r="AH216" s="1">
        <v>0</v>
      </c>
      <c r="AI216" s="1">
        <v>0</v>
      </c>
      <c r="AJ216" s="1" t="s">
        <v>21</v>
      </c>
      <c r="AK216" s="1" t="s">
        <v>32</v>
      </c>
      <c r="AL216" s="17"/>
      <c r="AM216" s="18"/>
      <c r="AN216" s="10"/>
    </row>
    <row r="217" spans="2:40">
      <c r="B217" s="1">
        <f t="shared" si="3"/>
        <v>207</v>
      </c>
      <c r="C217" s="1">
        <v>1</v>
      </c>
      <c r="D217" s="54" t="s">
        <v>386</v>
      </c>
      <c r="E217" s="1" t="s">
        <v>294</v>
      </c>
      <c r="F217" s="1" t="s">
        <v>57</v>
      </c>
      <c r="G217" s="1" t="s">
        <v>250</v>
      </c>
      <c r="H217" s="18" t="s">
        <v>384</v>
      </c>
      <c r="I217" s="1" t="s">
        <v>85</v>
      </c>
      <c r="J217" s="1" t="s">
        <v>55</v>
      </c>
      <c r="K217" s="1" t="s">
        <v>12</v>
      </c>
      <c r="L217" s="1">
        <v>0</v>
      </c>
      <c r="M217" s="1">
        <v>0</v>
      </c>
      <c r="N217" s="1">
        <v>3</v>
      </c>
      <c r="O217" s="1">
        <v>0</v>
      </c>
      <c r="P217" s="1">
        <v>0</v>
      </c>
      <c r="Q217" s="60">
        <v>4</v>
      </c>
      <c r="R217" s="1">
        <v>4</v>
      </c>
      <c r="S217" s="1">
        <v>0</v>
      </c>
      <c r="T217" s="1">
        <v>0</v>
      </c>
      <c r="U217" s="1">
        <v>0</v>
      </c>
      <c r="V217" s="1">
        <v>0</v>
      </c>
      <c r="W217" s="1">
        <v>0</v>
      </c>
      <c r="X217" s="1">
        <v>0</v>
      </c>
      <c r="Y217" s="1">
        <v>0</v>
      </c>
      <c r="Z217" s="1">
        <v>0</v>
      </c>
      <c r="AA217" s="1">
        <v>0</v>
      </c>
      <c r="AB217" s="1">
        <v>2</v>
      </c>
      <c r="AC217" s="1"/>
      <c r="AD217" s="1"/>
      <c r="AE217" s="1"/>
      <c r="AF217" s="1"/>
      <c r="AG217" s="1">
        <v>0</v>
      </c>
      <c r="AH217" s="1">
        <v>0</v>
      </c>
      <c r="AI217" s="1">
        <v>0</v>
      </c>
      <c r="AJ217" s="1" t="s">
        <v>32</v>
      </c>
      <c r="AK217" s="1" t="s">
        <v>32</v>
      </c>
      <c r="AL217" s="17"/>
      <c r="AM217" s="18"/>
      <c r="AN217" s="10"/>
    </row>
    <row r="218" spans="2:40">
      <c r="B218" s="1">
        <f t="shared" si="3"/>
        <v>208</v>
      </c>
      <c r="C218" s="1">
        <v>1</v>
      </c>
      <c r="D218" s="54" t="s">
        <v>386</v>
      </c>
      <c r="E218" s="1" t="s">
        <v>294</v>
      </c>
      <c r="F218" s="1" t="s">
        <v>57</v>
      </c>
      <c r="G218" s="1" t="s">
        <v>250</v>
      </c>
      <c r="H218" s="18" t="s">
        <v>455</v>
      </c>
      <c r="I218" s="1" t="s">
        <v>87</v>
      </c>
      <c r="J218" s="1" t="s">
        <v>55</v>
      </c>
      <c r="K218" s="1" t="s">
        <v>12</v>
      </c>
      <c r="L218" s="1">
        <v>0</v>
      </c>
      <c r="M218" s="1">
        <v>0</v>
      </c>
      <c r="N218" s="1">
        <v>3</v>
      </c>
      <c r="O218" s="1">
        <v>0</v>
      </c>
      <c r="P218" s="1">
        <v>0</v>
      </c>
      <c r="Q218" s="60">
        <v>4</v>
      </c>
      <c r="R218" s="1">
        <v>0</v>
      </c>
      <c r="S218" s="1">
        <v>0</v>
      </c>
      <c r="T218" s="1">
        <v>0</v>
      </c>
      <c r="U218" s="1">
        <v>0</v>
      </c>
      <c r="V218" s="1">
        <v>0</v>
      </c>
      <c r="W218" s="1">
        <v>0</v>
      </c>
      <c r="X218" s="1">
        <v>0</v>
      </c>
      <c r="Y218" s="1">
        <v>0</v>
      </c>
      <c r="Z218" s="1">
        <v>0</v>
      </c>
      <c r="AA218" s="1">
        <v>0</v>
      </c>
      <c r="AB218" s="1">
        <v>2</v>
      </c>
      <c r="AC218" s="1"/>
      <c r="AD218" s="1"/>
      <c r="AE218" s="1"/>
      <c r="AF218" s="1"/>
      <c r="AG218" s="1">
        <v>0</v>
      </c>
      <c r="AH218" s="1">
        <v>0</v>
      </c>
      <c r="AI218" s="1">
        <v>0</v>
      </c>
      <c r="AJ218" s="1" t="s">
        <v>32</v>
      </c>
      <c r="AK218" s="1" t="s">
        <v>32</v>
      </c>
      <c r="AL218" s="17"/>
      <c r="AM218" s="18"/>
      <c r="AN218" s="10"/>
    </row>
    <row r="219" spans="2:40">
      <c r="B219" s="1">
        <f t="shared" si="3"/>
        <v>209</v>
      </c>
      <c r="C219" s="1">
        <v>1</v>
      </c>
      <c r="D219" s="54" t="s">
        <v>386</v>
      </c>
      <c r="E219" s="1" t="s">
        <v>294</v>
      </c>
      <c r="F219" s="1" t="s">
        <v>57</v>
      </c>
      <c r="G219" s="1" t="s">
        <v>250</v>
      </c>
      <c r="H219" s="1" t="s">
        <v>456</v>
      </c>
      <c r="I219" s="1" t="s">
        <v>86</v>
      </c>
      <c r="J219" s="1" t="s">
        <v>55</v>
      </c>
      <c r="K219" s="1" t="s">
        <v>453</v>
      </c>
      <c r="L219" s="1">
        <v>0</v>
      </c>
      <c r="M219" s="1">
        <v>0</v>
      </c>
      <c r="N219" s="1">
        <v>0</v>
      </c>
      <c r="O219" s="1">
        <v>0</v>
      </c>
      <c r="P219" s="1">
        <v>0</v>
      </c>
      <c r="Q219" s="60">
        <v>4</v>
      </c>
      <c r="R219" s="1">
        <v>0</v>
      </c>
      <c r="S219" s="1">
        <v>0</v>
      </c>
      <c r="T219" s="1">
        <v>0</v>
      </c>
      <c r="U219" s="1">
        <v>0</v>
      </c>
      <c r="V219" s="1">
        <v>0</v>
      </c>
      <c r="W219" s="1">
        <v>0</v>
      </c>
      <c r="X219" s="1">
        <v>0</v>
      </c>
      <c r="Y219" s="1">
        <v>0</v>
      </c>
      <c r="Z219" s="1">
        <v>0</v>
      </c>
      <c r="AA219" s="1">
        <v>0</v>
      </c>
      <c r="AB219" s="1">
        <v>2</v>
      </c>
      <c r="AC219" s="1"/>
      <c r="AD219" s="1"/>
      <c r="AE219" s="1"/>
      <c r="AF219" s="1"/>
      <c r="AG219" s="1">
        <v>0</v>
      </c>
      <c r="AH219" s="1">
        <v>0</v>
      </c>
      <c r="AI219" s="1">
        <v>0</v>
      </c>
      <c r="AJ219" s="1" t="s">
        <v>32</v>
      </c>
      <c r="AK219" s="1" t="s">
        <v>32</v>
      </c>
      <c r="AL219" s="17"/>
      <c r="AM219" s="18"/>
      <c r="AN219" s="10"/>
    </row>
    <row r="220" spans="2:40">
      <c r="B220" s="1">
        <f t="shared" si="3"/>
        <v>210</v>
      </c>
      <c r="C220" s="1">
        <v>1</v>
      </c>
      <c r="D220" s="54" t="s">
        <v>386</v>
      </c>
      <c r="E220" s="1" t="s">
        <v>294</v>
      </c>
      <c r="F220" s="1" t="s">
        <v>57</v>
      </c>
      <c r="G220" s="1" t="s">
        <v>250</v>
      </c>
      <c r="H220" s="1" t="s">
        <v>457</v>
      </c>
      <c r="I220" s="1" t="s">
        <v>86</v>
      </c>
      <c r="J220" s="1" t="s">
        <v>55</v>
      </c>
      <c r="K220" s="1" t="s">
        <v>453</v>
      </c>
      <c r="L220" s="1">
        <v>0</v>
      </c>
      <c r="M220" s="1">
        <v>0</v>
      </c>
      <c r="N220" s="1">
        <v>0</v>
      </c>
      <c r="O220" s="1">
        <v>0</v>
      </c>
      <c r="P220" s="1">
        <v>0</v>
      </c>
      <c r="Q220" s="60">
        <v>4</v>
      </c>
      <c r="R220" s="1">
        <v>0</v>
      </c>
      <c r="S220" s="1">
        <v>0</v>
      </c>
      <c r="T220" s="1">
        <v>0</v>
      </c>
      <c r="U220" s="1">
        <v>0</v>
      </c>
      <c r="V220" s="1">
        <v>0</v>
      </c>
      <c r="W220" s="1">
        <v>0</v>
      </c>
      <c r="X220" s="1">
        <v>0</v>
      </c>
      <c r="Y220" s="1">
        <v>0</v>
      </c>
      <c r="Z220" s="1">
        <v>0</v>
      </c>
      <c r="AA220" s="1">
        <v>0</v>
      </c>
      <c r="AB220" s="1">
        <v>2</v>
      </c>
      <c r="AC220" s="1"/>
      <c r="AD220" s="1"/>
      <c r="AE220" s="1"/>
      <c r="AF220" s="1"/>
      <c r="AG220" s="1">
        <v>0</v>
      </c>
      <c r="AH220" s="1">
        <v>0</v>
      </c>
      <c r="AI220" s="1">
        <v>0</v>
      </c>
      <c r="AJ220" s="1" t="s">
        <v>32</v>
      </c>
      <c r="AK220" s="1" t="s">
        <v>32</v>
      </c>
      <c r="AL220" s="17"/>
      <c r="AM220" s="18"/>
      <c r="AN220" s="10"/>
    </row>
    <row r="221" spans="2:40">
      <c r="B221" s="1">
        <f t="shared" si="3"/>
        <v>211</v>
      </c>
      <c r="C221" s="1">
        <v>1</v>
      </c>
      <c r="D221" s="54" t="s">
        <v>386</v>
      </c>
      <c r="E221" s="1" t="s">
        <v>294</v>
      </c>
      <c r="F221" s="1" t="s">
        <v>57</v>
      </c>
      <c r="G221" s="1" t="s">
        <v>250</v>
      </c>
      <c r="H221" s="1" t="s">
        <v>458</v>
      </c>
      <c r="I221" s="1" t="s">
        <v>86</v>
      </c>
      <c r="J221" s="1" t="s">
        <v>55</v>
      </c>
      <c r="K221" s="1" t="s">
        <v>453</v>
      </c>
      <c r="L221" s="1">
        <v>0</v>
      </c>
      <c r="M221" s="1">
        <v>0</v>
      </c>
      <c r="N221" s="1">
        <v>0</v>
      </c>
      <c r="O221" s="1">
        <v>0</v>
      </c>
      <c r="P221" s="1">
        <v>0</v>
      </c>
      <c r="Q221" s="60">
        <v>4</v>
      </c>
      <c r="R221" s="1">
        <v>0</v>
      </c>
      <c r="S221" s="1">
        <v>0</v>
      </c>
      <c r="T221" s="1">
        <v>0</v>
      </c>
      <c r="U221" s="1">
        <v>0</v>
      </c>
      <c r="V221" s="1">
        <v>0</v>
      </c>
      <c r="W221" s="1">
        <v>0</v>
      </c>
      <c r="X221" s="1">
        <v>0</v>
      </c>
      <c r="Y221" s="1">
        <v>0</v>
      </c>
      <c r="Z221" s="1">
        <v>0</v>
      </c>
      <c r="AA221" s="1">
        <v>0</v>
      </c>
      <c r="AB221" s="1">
        <v>2</v>
      </c>
      <c r="AC221" s="1"/>
      <c r="AD221" s="1"/>
      <c r="AE221" s="1"/>
      <c r="AF221" s="1"/>
      <c r="AG221" s="1">
        <v>0</v>
      </c>
      <c r="AH221" s="1">
        <v>0</v>
      </c>
      <c r="AI221" s="1">
        <v>0</v>
      </c>
      <c r="AJ221" s="1" t="s">
        <v>32</v>
      </c>
      <c r="AK221" s="1" t="s">
        <v>32</v>
      </c>
      <c r="AL221" s="17"/>
      <c r="AM221" s="18"/>
      <c r="AN221" s="10"/>
    </row>
    <row r="222" spans="2:40">
      <c r="B222" s="1">
        <f t="shared" si="3"/>
        <v>212</v>
      </c>
      <c r="C222" s="1">
        <v>1</v>
      </c>
      <c r="D222" s="54" t="s">
        <v>386</v>
      </c>
      <c r="E222" s="1" t="s">
        <v>294</v>
      </c>
      <c r="F222" s="1" t="s">
        <v>57</v>
      </c>
      <c r="G222" s="1" t="s">
        <v>250</v>
      </c>
      <c r="H222" s="1" t="s">
        <v>459</v>
      </c>
      <c r="I222" s="1" t="s">
        <v>86</v>
      </c>
      <c r="J222" s="1" t="s">
        <v>55</v>
      </c>
      <c r="K222" s="1" t="s">
        <v>453</v>
      </c>
      <c r="L222" s="1">
        <v>0</v>
      </c>
      <c r="M222" s="1">
        <v>0</v>
      </c>
      <c r="N222" s="1">
        <v>0</v>
      </c>
      <c r="O222" s="1">
        <v>0</v>
      </c>
      <c r="P222" s="1">
        <v>0</v>
      </c>
      <c r="Q222" s="60">
        <v>4</v>
      </c>
      <c r="R222" s="1">
        <v>0</v>
      </c>
      <c r="S222" s="1">
        <v>0</v>
      </c>
      <c r="T222" s="1">
        <v>0</v>
      </c>
      <c r="U222" s="1">
        <v>0</v>
      </c>
      <c r="V222" s="1">
        <v>0</v>
      </c>
      <c r="W222" s="1">
        <v>0</v>
      </c>
      <c r="X222" s="1">
        <v>0</v>
      </c>
      <c r="Y222" s="1">
        <v>0</v>
      </c>
      <c r="Z222" s="1">
        <v>0</v>
      </c>
      <c r="AA222" s="1">
        <v>0</v>
      </c>
      <c r="AB222" s="1">
        <v>2</v>
      </c>
      <c r="AC222" s="1"/>
      <c r="AD222" s="1"/>
      <c r="AE222" s="1"/>
      <c r="AF222" s="1"/>
      <c r="AG222" s="1">
        <v>0</v>
      </c>
      <c r="AH222" s="1">
        <v>0</v>
      </c>
      <c r="AI222" s="1">
        <v>0</v>
      </c>
      <c r="AJ222" s="1" t="s">
        <v>32</v>
      </c>
      <c r="AK222" s="1" t="s">
        <v>32</v>
      </c>
      <c r="AL222" s="17"/>
      <c r="AM222" s="18"/>
      <c r="AN222" s="10"/>
    </row>
    <row r="223" spans="2:40">
      <c r="B223" s="1">
        <f t="shared" si="3"/>
        <v>213</v>
      </c>
      <c r="C223" s="1">
        <v>1</v>
      </c>
      <c r="D223" s="54" t="s">
        <v>386</v>
      </c>
      <c r="E223" s="1" t="s">
        <v>294</v>
      </c>
      <c r="F223" s="1" t="s">
        <v>57</v>
      </c>
      <c r="G223" s="1" t="s">
        <v>250</v>
      </c>
      <c r="H223" s="1" t="s">
        <v>460</v>
      </c>
      <c r="I223" s="1" t="s">
        <v>335</v>
      </c>
      <c r="J223" s="1" t="s">
        <v>55</v>
      </c>
      <c r="K223" s="1" t="s">
        <v>453</v>
      </c>
      <c r="L223" s="1">
        <v>0</v>
      </c>
      <c r="M223" s="1">
        <v>0</v>
      </c>
      <c r="N223" s="1">
        <v>0</v>
      </c>
      <c r="O223" s="1">
        <v>0</v>
      </c>
      <c r="P223" s="1">
        <v>0</v>
      </c>
      <c r="Q223" s="60">
        <v>4</v>
      </c>
      <c r="R223" s="1">
        <v>0</v>
      </c>
      <c r="S223" s="1">
        <v>0</v>
      </c>
      <c r="T223" s="1">
        <v>0</v>
      </c>
      <c r="U223" s="1">
        <v>0</v>
      </c>
      <c r="V223" s="1">
        <v>0</v>
      </c>
      <c r="W223" s="1">
        <v>0</v>
      </c>
      <c r="X223" s="1">
        <v>0</v>
      </c>
      <c r="Y223" s="1">
        <v>0</v>
      </c>
      <c r="Z223" s="1">
        <v>0</v>
      </c>
      <c r="AA223" s="1">
        <v>0</v>
      </c>
      <c r="AB223" s="1">
        <v>1</v>
      </c>
      <c r="AC223" s="1"/>
      <c r="AD223" s="1"/>
      <c r="AE223" s="1"/>
      <c r="AF223" s="1"/>
      <c r="AG223" s="1">
        <v>0</v>
      </c>
      <c r="AH223" s="1">
        <v>0</v>
      </c>
      <c r="AI223" s="1">
        <v>0</v>
      </c>
      <c r="AJ223" s="1" t="s">
        <v>32</v>
      </c>
      <c r="AK223" s="1" t="s">
        <v>32</v>
      </c>
      <c r="AL223" s="17"/>
      <c r="AM223" s="18"/>
      <c r="AN223" s="10"/>
    </row>
    <row r="224" spans="2:40">
      <c r="B224" s="1">
        <f t="shared" si="3"/>
        <v>214</v>
      </c>
      <c r="C224" s="1">
        <v>1</v>
      </c>
      <c r="D224" s="54" t="s">
        <v>386</v>
      </c>
      <c r="E224" s="1" t="s">
        <v>294</v>
      </c>
      <c r="F224" s="1" t="s">
        <v>57</v>
      </c>
      <c r="G224" s="1" t="s">
        <v>250</v>
      </c>
      <c r="H224" s="1" t="s">
        <v>461</v>
      </c>
      <c r="I224" s="1" t="s">
        <v>85</v>
      </c>
      <c r="J224" s="1" t="s">
        <v>55</v>
      </c>
      <c r="K224" s="1" t="s">
        <v>453</v>
      </c>
      <c r="L224" s="1">
        <v>0</v>
      </c>
      <c r="M224" s="1">
        <v>0</v>
      </c>
      <c r="N224" s="1">
        <v>0</v>
      </c>
      <c r="O224" s="1">
        <v>0</v>
      </c>
      <c r="P224" s="1">
        <v>0</v>
      </c>
      <c r="Q224" s="60">
        <v>4</v>
      </c>
      <c r="R224" s="1">
        <v>0</v>
      </c>
      <c r="S224" s="1">
        <v>0</v>
      </c>
      <c r="T224" s="1">
        <v>0</v>
      </c>
      <c r="U224" s="1">
        <v>0</v>
      </c>
      <c r="V224" s="1">
        <v>0</v>
      </c>
      <c r="W224" s="1">
        <v>0</v>
      </c>
      <c r="X224" s="1">
        <v>0</v>
      </c>
      <c r="Y224" s="1">
        <v>0</v>
      </c>
      <c r="Z224" s="1">
        <v>0</v>
      </c>
      <c r="AA224" s="1">
        <v>0</v>
      </c>
      <c r="AB224" s="1">
        <v>2</v>
      </c>
      <c r="AC224" s="1"/>
      <c r="AD224" s="1"/>
      <c r="AE224" s="1"/>
      <c r="AF224" s="1"/>
      <c r="AG224" s="1">
        <v>0</v>
      </c>
      <c r="AH224" s="1">
        <v>0</v>
      </c>
      <c r="AI224" s="1">
        <v>0</v>
      </c>
      <c r="AJ224" s="1" t="s">
        <v>32</v>
      </c>
      <c r="AK224" s="1" t="s">
        <v>32</v>
      </c>
      <c r="AL224" s="17"/>
      <c r="AM224" s="18"/>
      <c r="AN224" s="10"/>
    </row>
    <row r="225" spans="2:40">
      <c r="B225" s="1">
        <f t="shared" si="3"/>
        <v>215</v>
      </c>
      <c r="C225" s="66">
        <v>1</v>
      </c>
      <c r="D225" s="66" t="s">
        <v>386</v>
      </c>
      <c r="E225" s="66" t="s">
        <v>294</v>
      </c>
      <c r="F225" s="66" t="s">
        <v>57</v>
      </c>
      <c r="G225" s="66" t="s">
        <v>250</v>
      </c>
      <c r="H225" s="66" t="s">
        <v>462</v>
      </c>
      <c r="I225" s="66" t="s">
        <v>87</v>
      </c>
      <c r="J225" s="66" t="s">
        <v>55</v>
      </c>
      <c r="K225" s="66" t="s">
        <v>453</v>
      </c>
      <c r="L225" s="66">
        <v>0</v>
      </c>
      <c r="M225" s="66">
        <v>0</v>
      </c>
      <c r="N225" s="66">
        <v>0</v>
      </c>
      <c r="O225" s="66">
        <v>0</v>
      </c>
      <c r="P225" s="66">
        <v>0</v>
      </c>
      <c r="Q225" s="66">
        <v>4</v>
      </c>
      <c r="R225" s="66">
        <v>0</v>
      </c>
      <c r="S225" s="66">
        <v>0</v>
      </c>
      <c r="T225" s="66">
        <v>0</v>
      </c>
      <c r="U225" s="66">
        <v>0</v>
      </c>
      <c r="V225" s="66">
        <v>0</v>
      </c>
      <c r="W225" s="66">
        <v>0</v>
      </c>
      <c r="X225" s="66">
        <v>0</v>
      </c>
      <c r="Y225" s="66">
        <v>0</v>
      </c>
      <c r="Z225" s="66">
        <v>0</v>
      </c>
      <c r="AA225" s="66">
        <v>0</v>
      </c>
      <c r="AB225" s="66">
        <v>1</v>
      </c>
      <c r="AC225" s="66">
        <v>3</v>
      </c>
      <c r="AD225" s="66"/>
      <c r="AE225" s="66"/>
      <c r="AF225" s="66"/>
      <c r="AG225" s="66">
        <v>0</v>
      </c>
      <c r="AH225" s="1">
        <v>0</v>
      </c>
      <c r="AI225" s="1">
        <v>0</v>
      </c>
      <c r="AJ225" s="66" t="s">
        <v>32</v>
      </c>
      <c r="AK225" s="66" t="s">
        <v>32</v>
      </c>
      <c r="AL225" s="67"/>
      <c r="AM225" s="66"/>
      <c r="AN225" s="68" t="s">
        <v>80</v>
      </c>
    </row>
    <row r="226" spans="2:40">
      <c r="B226" s="1">
        <f t="shared" si="3"/>
        <v>216</v>
      </c>
      <c r="C226" s="1">
        <v>1</v>
      </c>
      <c r="D226" s="54" t="s">
        <v>386</v>
      </c>
      <c r="E226" s="1" t="s">
        <v>294</v>
      </c>
      <c r="F226" s="1" t="s">
        <v>57</v>
      </c>
      <c r="G226" s="1" t="s">
        <v>250</v>
      </c>
      <c r="H226" s="1" t="s">
        <v>463</v>
      </c>
      <c r="I226" s="1" t="s">
        <v>87</v>
      </c>
      <c r="J226" s="1" t="s">
        <v>55</v>
      </c>
      <c r="K226" s="1" t="s">
        <v>453</v>
      </c>
      <c r="L226" s="1">
        <v>0</v>
      </c>
      <c r="M226" s="1">
        <v>0</v>
      </c>
      <c r="N226" s="1">
        <v>0</v>
      </c>
      <c r="O226" s="1">
        <v>0</v>
      </c>
      <c r="P226" s="1">
        <v>0</v>
      </c>
      <c r="Q226" s="60">
        <v>4</v>
      </c>
      <c r="R226" s="1">
        <v>0</v>
      </c>
      <c r="S226" s="1">
        <v>0</v>
      </c>
      <c r="T226" s="1">
        <v>0</v>
      </c>
      <c r="U226" s="1">
        <v>0</v>
      </c>
      <c r="V226" s="1">
        <v>0</v>
      </c>
      <c r="W226" s="1">
        <v>0</v>
      </c>
      <c r="X226" s="1">
        <v>0</v>
      </c>
      <c r="Y226" s="1">
        <v>0</v>
      </c>
      <c r="Z226" s="1">
        <v>0</v>
      </c>
      <c r="AA226" s="1">
        <v>0</v>
      </c>
      <c r="AB226" s="1">
        <v>1</v>
      </c>
      <c r="AC226" s="1">
        <v>3</v>
      </c>
      <c r="AD226" s="1"/>
      <c r="AE226" s="1"/>
      <c r="AF226" s="1"/>
      <c r="AG226" s="1">
        <v>0</v>
      </c>
      <c r="AH226" s="1">
        <v>0</v>
      </c>
      <c r="AI226" s="1">
        <v>0</v>
      </c>
      <c r="AJ226" s="1" t="s">
        <v>32</v>
      </c>
      <c r="AK226" s="1" t="s">
        <v>32</v>
      </c>
      <c r="AL226" s="17"/>
      <c r="AM226" s="18"/>
      <c r="AN226" s="10"/>
    </row>
    <row r="227" spans="2:40">
      <c r="B227" s="1">
        <f t="shared" si="3"/>
        <v>217</v>
      </c>
      <c r="C227" s="1">
        <v>1</v>
      </c>
      <c r="D227" s="54" t="s">
        <v>386</v>
      </c>
      <c r="E227" s="1" t="s">
        <v>294</v>
      </c>
      <c r="F227" s="1" t="s">
        <v>57</v>
      </c>
      <c r="G227" s="1" t="s">
        <v>250</v>
      </c>
      <c r="H227" s="1" t="s">
        <v>464</v>
      </c>
      <c r="I227" s="1" t="s">
        <v>437</v>
      </c>
      <c r="J227" s="1" t="s">
        <v>55</v>
      </c>
      <c r="K227" s="1" t="s">
        <v>453</v>
      </c>
      <c r="L227" s="1">
        <v>0</v>
      </c>
      <c r="M227" s="1">
        <v>0</v>
      </c>
      <c r="N227" s="1">
        <v>0</v>
      </c>
      <c r="O227" s="1">
        <v>0</v>
      </c>
      <c r="P227" s="1">
        <v>0</v>
      </c>
      <c r="Q227" s="60">
        <v>4</v>
      </c>
      <c r="R227" s="1">
        <v>0</v>
      </c>
      <c r="S227" s="1">
        <v>0</v>
      </c>
      <c r="T227" s="1">
        <v>0</v>
      </c>
      <c r="U227" s="1">
        <v>0</v>
      </c>
      <c r="V227" s="1">
        <v>0</v>
      </c>
      <c r="W227" s="1">
        <v>0</v>
      </c>
      <c r="X227" s="1">
        <v>0</v>
      </c>
      <c r="Y227" s="1">
        <v>0</v>
      </c>
      <c r="Z227" s="1">
        <v>0</v>
      </c>
      <c r="AA227" s="1">
        <v>0</v>
      </c>
      <c r="AB227" s="1">
        <v>1</v>
      </c>
      <c r="AC227" s="1">
        <v>3</v>
      </c>
      <c r="AD227" s="1"/>
      <c r="AE227" s="1"/>
      <c r="AF227" s="1"/>
      <c r="AG227" s="1">
        <v>0</v>
      </c>
      <c r="AH227" s="1">
        <v>0</v>
      </c>
      <c r="AI227" s="1">
        <v>0</v>
      </c>
      <c r="AJ227" s="1" t="s">
        <v>32</v>
      </c>
      <c r="AK227" s="1" t="s">
        <v>32</v>
      </c>
      <c r="AL227" s="17"/>
      <c r="AM227" s="18"/>
      <c r="AN227" s="10"/>
    </row>
    <row r="228" spans="2:40">
      <c r="B228" s="1">
        <f t="shared" si="3"/>
        <v>218</v>
      </c>
      <c r="C228" s="1">
        <v>1</v>
      </c>
      <c r="D228" s="54" t="s">
        <v>386</v>
      </c>
      <c r="E228" s="1" t="s">
        <v>294</v>
      </c>
      <c r="F228" s="1" t="s">
        <v>57</v>
      </c>
      <c r="G228" s="1" t="s">
        <v>250</v>
      </c>
      <c r="H228" s="1" t="s">
        <v>465</v>
      </c>
      <c r="I228" s="1" t="s">
        <v>466</v>
      </c>
      <c r="J228" s="1" t="s">
        <v>55</v>
      </c>
      <c r="K228" s="1" t="s">
        <v>453</v>
      </c>
      <c r="L228" s="1">
        <v>0</v>
      </c>
      <c r="M228" s="1">
        <v>0</v>
      </c>
      <c r="N228" s="1">
        <v>0</v>
      </c>
      <c r="O228" s="1">
        <v>0</v>
      </c>
      <c r="P228" s="1">
        <v>0</v>
      </c>
      <c r="Q228" s="60">
        <v>4</v>
      </c>
      <c r="R228" s="1">
        <v>0</v>
      </c>
      <c r="S228" s="1">
        <v>0</v>
      </c>
      <c r="T228" s="1">
        <v>0</v>
      </c>
      <c r="U228" s="1">
        <v>0</v>
      </c>
      <c r="V228" s="1">
        <v>0</v>
      </c>
      <c r="W228" s="1">
        <v>0</v>
      </c>
      <c r="X228" s="1">
        <v>0</v>
      </c>
      <c r="Y228" s="1">
        <v>0</v>
      </c>
      <c r="Z228" s="1">
        <v>0</v>
      </c>
      <c r="AA228" s="1">
        <v>0</v>
      </c>
      <c r="AB228" s="1">
        <v>2</v>
      </c>
      <c r="AC228" s="1">
        <v>3</v>
      </c>
      <c r="AD228" s="1"/>
      <c r="AE228" s="1"/>
      <c r="AF228" s="1"/>
      <c r="AG228" s="1">
        <v>0</v>
      </c>
      <c r="AH228" s="1">
        <v>0</v>
      </c>
      <c r="AI228" s="1">
        <v>0</v>
      </c>
      <c r="AJ228" s="1" t="s">
        <v>32</v>
      </c>
      <c r="AK228" s="1" t="s">
        <v>32</v>
      </c>
      <c r="AL228" s="17"/>
      <c r="AM228" s="18"/>
      <c r="AN228" s="10"/>
    </row>
    <row r="229" spans="2:40">
      <c r="B229" s="1">
        <f t="shared" si="3"/>
        <v>219</v>
      </c>
      <c r="C229" s="1">
        <v>1</v>
      </c>
      <c r="D229" s="54" t="s">
        <v>386</v>
      </c>
      <c r="E229" s="1" t="s">
        <v>294</v>
      </c>
      <c r="F229" s="1" t="s">
        <v>57</v>
      </c>
      <c r="G229" s="1" t="s">
        <v>250</v>
      </c>
      <c r="H229" s="1" t="s">
        <v>337</v>
      </c>
      <c r="I229" s="1" t="s">
        <v>87</v>
      </c>
      <c r="J229" s="1" t="s">
        <v>55</v>
      </c>
      <c r="K229" s="1" t="s">
        <v>12</v>
      </c>
      <c r="L229" s="1">
        <v>0</v>
      </c>
      <c r="M229" s="1">
        <v>0</v>
      </c>
      <c r="N229" s="1">
        <v>3</v>
      </c>
      <c r="O229" s="1">
        <v>0</v>
      </c>
      <c r="P229" s="1">
        <v>0</v>
      </c>
      <c r="Q229" s="60">
        <v>4</v>
      </c>
      <c r="R229" s="1">
        <v>4</v>
      </c>
      <c r="S229" s="1">
        <v>0</v>
      </c>
      <c r="T229" s="1">
        <v>0</v>
      </c>
      <c r="U229" s="1">
        <v>0</v>
      </c>
      <c r="V229" s="1">
        <v>0</v>
      </c>
      <c r="W229" s="1">
        <v>0</v>
      </c>
      <c r="X229" s="1">
        <v>0</v>
      </c>
      <c r="Y229" s="1">
        <v>0</v>
      </c>
      <c r="Z229" s="1">
        <v>0</v>
      </c>
      <c r="AA229" s="1">
        <v>0</v>
      </c>
      <c r="AB229" s="1">
        <v>2</v>
      </c>
      <c r="AC229" s="1"/>
      <c r="AD229" s="1"/>
      <c r="AE229" s="1"/>
      <c r="AF229" s="1"/>
      <c r="AG229" s="1">
        <v>0</v>
      </c>
      <c r="AH229" s="1">
        <v>0</v>
      </c>
      <c r="AI229" s="1">
        <v>0</v>
      </c>
      <c r="AJ229" s="1" t="s">
        <v>32</v>
      </c>
      <c r="AK229" s="1" t="s">
        <v>32</v>
      </c>
      <c r="AL229" s="17"/>
      <c r="AM229" s="18"/>
      <c r="AN229" s="10"/>
    </row>
    <row r="230" spans="2:40">
      <c r="B230" s="1">
        <f t="shared" si="3"/>
        <v>220</v>
      </c>
      <c r="C230" s="1">
        <v>1</v>
      </c>
      <c r="D230" s="54" t="s">
        <v>386</v>
      </c>
      <c r="E230" s="1" t="s">
        <v>294</v>
      </c>
      <c r="F230" s="1" t="s">
        <v>57</v>
      </c>
      <c r="G230" s="1" t="s">
        <v>250</v>
      </c>
      <c r="H230" s="1" t="s">
        <v>338</v>
      </c>
      <c r="I230" s="1" t="s">
        <v>86</v>
      </c>
      <c r="J230" s="1" t="s">
        <v>55</v>
      </c>
      <c r="K230" s="1" t="s">
        <v>12</v>
      </c>
      <c r="L230" s="1">
        <v>0</v>
      </c>
      <c r="M230" s="1">
        <v>0</v>
      </c>
      <c r="N230" s="1">
        <v>3</v>
      </c>
      <c r="O230" s="1">
        <v>0</v>
      </c>
      <c r="P230" s="1">
        <v>0</v>
      </c>
      <c r="Q230" s="60">
        <v>4</v>
      </c>
      <c r="R230" s="1">
        <v>4</v>
      </c>
      <c r="S230" s="1">
        <v>0</v>
      </c>
      <c r="T230" s="1">
        <v>0</v>
      </c>
      <c r="U230" s="1">
        <v>0</v>
      </c>
      <c r="V230" s="1">
        <v>0</v>
      </c>
      <c r="W230" s="1">
        <v>0</v>
      </c>
      <c r="X230" s="1">
        <v>0</v>
      </c>
      <c r="Y230" s="1">
        <v>0</v>
      </c>
      <c r="Z230" s="1">
        <v>0</v>
      </c>
      <c r="AA230" s="1">
        <v>0</v>
      </c>
      <c r="AB230" s="1">
        <v>2</v>
      </c>
      <c r="AC230" s="1"/>
      <c r="AD230" s="1"/>
      <c r="AE230" s="1"/>
      <c r="AF230" s="1"/>
      <c r="AG230" s="1">
        <v>0</v>
      </c>
      <c r="AH230" s="1">
        <v>0</v>
      </c>
      <c r="AI230" s="1">
        <v>0</v>
      </c>
      <c r="AJ230" s="1" t="s">
        <v>32</v>
      </c>
      <c r="AK230" s="1" t="s">
        <v>32</v>
      </c>
      <c r="AL230" s="17"/>
      <c r="AM230" s="18"/>
      <c r="AN230" s="10"/>
    </row>
    <row r="231" spans="2:40">
      <c r="B231" s="1">
        <f t="shared" si="3"/>
        <v>221</v>
      </c>
      <c r="C231" s="1">
        <v>1</v>
      </c>
      <c r="D231" s="54" t="s">
        <v>386</v>
      </c>
      <c r="E231" s="1" t="s">
        <v>294</v>
      </c>
      <c r="F231" s="1" t="s">
        <v>57</v>
      </c>
      <c r="G231" s="1" t="s">
        <v>250</v>
      </c>
      <c r="H231" s="1" t="s">
        <v>467</v>
      </c>
      <c r="I231" s="1" t="s">
        <v>86</v>
      </c>
      <c r="J231" s="1" t="s">
        <v>55</v>
      </c>
      <c r="K231" s="1" t="s">
        <v>12</v>
      </c>
      <c r="L231" s="1"/>
      <c r="M231" s="1"/>
      <c r="N231" s="1"/>
      <c r="O231" s="1"/>
      <c r="P231" s="1"/>
      <c r="Q231" s="60"/>
      <c r="R231" s="1"/>
      <c r="S231" s="1"/>
      <c r="T231" s="1"/>
      <c r="U231" s="1"/>
      <c r="V231" s="1"/>
      <c r="W231" s="1"/>
      <c r="X231" s="1"/>
      <c r="Y231" s="1"/>
      <c r="Z231" s="1"/>
      <c r="AA231" s="1"/>
      <c r="AB231" s="1"/>
      <c r="AC231" s="1"/>
      <c r="AD231" s="1"/>
      <c r="AE231" s="1"/>
      <c r="AF231" s="1"/>
      <c r="AG231" s="1"/>
      <c r="AH231" s="1">
        <v>0</v>
      </c>
      <c r="AI231" s="1">
        <v>0</v>
      </c>
      <c r="AJ231" s="1"/>
      <c r="AK231" s="1"/>
      <c r="AL231" s="17"/>
      <c r="AM231" s="18"/>
      <c r="AN231" s="10"/>
    </row>
    <row r="232" spans="2:40">
      <c r="B232" s="1">
        <f t="shared" si="3"/>
        <v>222</v>
      </c>
      <c r="C232" s="1">
        <v>1</v>
      </c>
      <c r="D232" s="54" t="s">
        <v>386</v>
      </c>
      <c r="E232" s="1" t="s">
        <v>294</v>
      </c>
      <c r="F232" s="1" t="s">
        <v>57</v>
      </c>
      <c r="G232" s="1" t="s">
        <v>250</v>
      </c>
      <c r="H232" s="1" t="s">
        <v>339</v>
      </c>
      <c r="I232" s="1" t="s">
        <v>87</v>
      </c>
      <c r="J232" s="1" t="s">
        <v>55</v>
      </c>
      <c r="K232" s="1" t="s">
        <v>12</v>
      </c>
      <c r="L232" s="1">
        <v>0</v>
      </c>
      <c r="M232" s="1">
        <v>0</v>
      </c>
      <c r="N232" s="1">
        <v>3</v>
      </c>
      <c r="O232" s="1">
        <v>0</v>
      </c>
      <c r="P232" s="1">
        <v>0</v>
      </c>
      <c r="Q232" s="1">
        <v>4</v>
      </c>
      <c r="R232" s="1">
        <v>4</v>
      </c>
      <c r="S232" s="1">
        <v>0</v>
      </c>
      <c r="T232" s="1">
        <v>0</v>
      </c>
      <c r="U232" s="1">
        <v>0</v>
      </c>
      <c r="V232" s="1">
        <v>0</v>
      </c>
      <c r="W232" s="1">
        <v>0</v>
      </c>
      <c r="X232" s="1">
        <v>0</v>
      </c>
      <c r="Y232" s="1">
        <v>0</v>
      </c>
      <c r="Z232" s="1">
        <v>0</v>
      </c>
      <c r="AA232" s="1">
        <v>0</v>
      </c>
      <c r="AB232" s="1">
        <v>0</v>
      </c>
      <c r="AC232" s="1"/>
      <c r="AD232" s="1"/>
      <c r="AE232" s="1"/>
      <c r="AF232" s="1"/>
      <c r="AG232" s="1">
        <v>0</v>
      </c>
      <c r="AH232" s="1">
        <v>0</v>
      </c>
      <c r="AI232" s="1">
        <v>0</v>
      </c>
      <c r="AJ232" s="1" t="s">
        <v>32</v>
      </c>
      <c r="AK232" s="1" t="s">
        <v>32</v>
      </c>
      <c r="AL232" s="17"/>
      <c r="AM232" s="18"/>
      <c r="AN232" s="10" t="s">
        <v>80</v>
      </c>
    </row>
    <row r="233" spans="2:40">
      <c r="B233" s="1">
        <f t="shared" si="3"/>
        <v>223</v>
      </c>
      <c r="C233" s="1">
        <v>1</v>
      </c>
      <c r="D233" s="54" t="s">
        <v>386</v>
      </c>
      <c r="E233" s="1" t="s">
        <v>294</v>
      </c>
      <c r="F233" s="1" t="s">
        <v>57</v>
      </c>
      <c r="G233" s="1" t="s">
        <v>250</v>
      </c>
      <c r="H233" s="1" t="s">
        <v>482</v>
      </c>
      <c r="I233" s="1" t="s">
        <v>87</v>
      </c>
      <c r="J233" s="1" t="s">
        <v>55</v>
      </c>
      <c r="K233" s="1" t="s">
        <v>453</v>
      </c>
      <c r="L233" s="1">
        <v>0</v>
      </c>
      <c r="M233" s="1">
        <v>0</v>
      </c>
      <c r="N233" s="1">
        <v>3</v>
      </c>
      <c r="O233" s="1">
        <v>0</v>
      </c>
      <c r="P233" s="1">
        <v>0</v>
      </c>
      <c r="Q233" s="1">
        <v>4</v>
      </c>
      <c r="R233" s="1">
        <v>0</v>
      </c>
      <c r="S233" s="1">
        <v>0</v>
      </c>
      <c r="T233" s="1">
        <v>0</v>
      </c>
      <c r="U233" s="1">
        <v>0</v>
      </c>
      <c r="V233" s="1">
        <v>0</v>
      </c>
      <c r="W233" s="1">
        <v>0</v>
      </c>
      <c r="X233" s="1">
        <v>0</v>
      </c>
      <c r="Y233" s="1">
        <v>0</v>
      </c>
      <c r="Z233" s="1">
        <v>0</v>
      </c>
      <c r="AA233" s="1">
        <v>0</v>
      </c>
      <c r="AB233" s="1">
        <v>4</v>
      </c>
      <c r="AC233" s="1"/>
      <c r="AD233" s="1"/>
      <c r="AE233" s="1"/>
      <c r="AF233" s="1"/>
      <c r="AG233" s="1">
        <v>0</v>
      </c>
      <c r="AH233" s="1">
        <v>0</v>
      </c>
      <c r="AI233" s="1">
        <v>0</v>
      </c>
      <c r="AJ233" s="1" t="s">
        <v>32</v>
      </c>
      <c r="AK233" s="1" t="s">
        <v>32</v>
      </c>
      <c r="AL233" s="17"/>
      <c r="AM233" s="18"/>
      <c r="AN233" s="10"/>
    </row>
    <row r="234" spans="2:40">
      <c r="B234" s="1">
        <f t="shared" si="3"/>
        <v>224</v>
      </c>
      <c r="C234" s="1">
        <v>0</v>
      </c>
      <c r="D234" s="1" t="s">
        <v>220</v>
      </c>
      <c r="E234" s="1" t="s">
        <v>52</v>
      </c>
      <c r="F234" s="1" t="s">
        <v>321</v>
      </c>
      <c r="G234" s="1" t="s">
        <v>321</v>
      </c>
      <c r="H234" s="1" t="s">
        <v>342</v>
      </c>
      <c r="I234" s="1" t="s">
        <v>87</v>
      </c>
      <c r="J234" s="1" t="s">
        <v>491</v>
      </c>
      <c r="K234" s="1" t="s">
        <v>11</v>
      </c>
      <c r="L234" s="1">
        <v>0</v>
      </c>
      <c r="M234" s="1">
        <v>4</v>
      </c>
      <c r="N234" s="1">
        <v>0</v>
      </c>
      <c r="O234" s="1">
        <v>0</v>
      </c>
      <c r="P234" s="1">
        <v>0</v>
      </c>
      <c r="Q234" s="1">
        <v>0</v>
      </c>
      <c r="R234" s="1">
        <v>0</v>
      </c>
      <c r="S234" s="1">
        <v>0</v>
      </c>
      <c r="T234" s="1">
        <v>4</v>
      </c>
      <c r="U234" s="1">
        <v>0</v>
      </c>
      <c r="V234" s="1">
        <v>0</v>
      </c>
      <c r="W234" s="1">
        <v>0</v>
      </c>
      <c r="X234" s="1">
        <v>0</v>
      </c>
      <c r="Y234" s="1">
        <v>0</v>
      </c>
      <c r="Z234" s="1">
        <v>0</v>
      </c>
      <c r="AA234" s="1">
        <v>4</v>
      </c>
      <c r="AB234" s="1"/>
      <c r="AC234" s="1"/>
      <c r="AD234" s="1">
        <v>4</v>
      </c>
      <c r="AE234" s="1"/>
      <c r="AF234" s="1"/>
      <c r="AG234" s="1">
        <v>0</v>
      </c>
      <c r="AH234" s="1">
        <v>0</v>
      </c>
      <c r="AI234" s="1"/>
      <c r="AJ234" s="1" t="s">
        <v>32</v>
      </c>
      <c r="AK234" s="1" t="s">
        <v>32</v>
      </c>
      <c r="AL234" s="17"/>
      <c r="AM234" s="18"/>
      <c r="AN234" s="10" t="s">
        <v>343</v>
      </c>
    </row>
    <row r="235" spans="2:40">
      <c r="B235" s="1">
        <f t="shared" si="3"/>
        <v>225</v>
      </c>
      <c r="C235" s="1">
        <v>1</v>
      </c>
      <c r="D235" s="1" t="s">
        <v>185</v>
      </c>
      <c r="E235" s="1" t="s">
        <v>202</v>
      </c>
      <c r="F235" s="1" t="s">
        <v>345</v>
      </c>
      <c r="G235" s="1" t="s">
        <v>345</v>
      </c>
      <c r="H235" s="1" t="s">
        <v>344</v>
      </c>
      <c r="I235" s="1" t="s">
        <v>87</v>
      </c>
      <c r="J235" s="1" t="s">
        <v>486</v>
      </c>
      <c r="K235" s="1" t="s">
        <v>502</v>
      </c>
      <c r="L235" s="1">
        <v>0</v>
      </c>
      <c r="M235" s="1">
        <v>4</v>
      </c>
      <c r="N235" s="1">
        <v>0</v>
      </c>
      <c r="O235" s="1">
        <v>0</v>
      </c>
      <c r="P235" s="1">
        <v>0</v>
      </c>
      <c r="Q235" s="1">
        <v>0</v>
      </c>
      <c r="R235" s="1"/>
      <c r="S235" s="1">
        <v>0</v>
      </c>
      <c r="T235" s="1">
        <v>4</v>
      </c>
      <c r="U235" s="1">
        <v>0</v>
      </c>
      <c r="V235" s="1">
        <v>0</v>
      </c>
      <c r="W235" s="1">
        <v>0</v>
      </c>
      <c r="X235" s="1">
        <v>0</v>
      </c>
      <c r="Y235" s="1"/>
      <c r="Z235" s="1"/>
      <c r="AA235" s="1">
        <v>0</v>
      </c>
      <c r="AB235" s="1"/>
      <c r="AC235" s="1"/>
      <c r="AD235" s="1"/>
      <c r="AE235" s="1"/>
      <c r="AF235" s="1"/>
      <c r="AG235" s="1">
        <v>0</v>
      </c>
      <c r="AH235" s="1">
        <v>4</v>
      </c>
      <c r="AI235" s="1">
        <v>3</v>
      </c>
      <c r="AJ235" s="1" t="s">
        <v>32</v>
      </c>
      <c r="AK235" s="1" t="s">
        <v>32</v>
      </c>
      <c r="AL235" s="17"/>
      <c r="AM235" s="18"/>
      <c r="AN235" s="10" t="s">
        <v>348</v>
      </c>
    </row>
    <row r="236" spans="2:40">
      <c r="B236" s="1">
        <f t="shared" si="3"/>
        <v>226</v>
      </c>
      <c r="C236" s="1">
        <v>1</v>
      </c>
      <c r="D236" s="1" t="s">
        <v>185</v>
      </c>
      <c r="E236" s="1" t="s">
        <v>346</v>
      </c>
      <c r="F236" s="1" t="s">
        <v>345</v>
      </c>
      <c r="G236" s="1" t="s">
        <v>345</v>
      </c>
      <c r="H236" s="1" t="s">
        <v>344</v>
      </c>
      <c r="I236" s="1" t="s">
        <v>87</v>
      </c>
      <c r="J236" s="1" t="s">
        <v>486</v>
      </c>
      <c r="K236" s="1" t="s">
        <v>502</v>
      </c>
      <c r="L236" s="1">
        <v>0</v>
      </c>
      <c r="M236" s="1">
        <v>4</v>
      </c>
      <c r="N236" s="1">
        <v>0</v>
      </c>
      <c r="O236" s="1">
        <v>0</v>
      </c>
      <c r="P236" s="1">
        <v>0</v>
      </c>
      <c r="Q236" s="1">
        <v>0</v>
      </c>
      <c r="R236" s="1"/>
      <c r="S236" s="1">
        <v>0</v>
      </c>
      <c r="T236" s="1">
        <v>4</v>
      </c>
      <c r="U236" s="1">
        <v>0</v>
      </c>
      <c r="V236" s="1">
        <v>0</v>
      </c>
      <c r="W236" s="1">
        <v>0</v>
      </c>
      <c r="X236" s="1">
        <v>0</v>
      </c>
      <c r="Y236" s="1"/>
      <c r="Z236" s="1"/>
      <c r="AA236" s="1">
        <v>0</v>
      </c>
      <c r="AB236" s="1"/>
      <c r="AC236" s="1"/>
      <c r="AD236" s="1"/>
      <c r="AE236" s="1"/>
      <c r="AF236" s="1"/>
      <c r="AG236" s="1">
        <v>0</v>
      </c>
      <c r="AH236" s="1">
        <v>4</v>
      </c>
      <c r="AI236" s="1">
        <v>3</v>
      </c>
      <c r="AJ236" s="1" t="s">
        <v>32</v>
      </c>
      <c r="AK236" s="1" t="s">
        <v>32</v>
      </c>
      <c r="AL236" s="17"/>
      <c r="AM236" s="18"/>
      <c r="AN236" s="10" t="s">
        <v>348</v>
      </c>
    </row>
    <row r="237" spans="2:40">
      <c r="B237" s="1">
        <f t="shared" si="3"/>
        <v>227</v>
      </c>
      <c r="C237" s="1">
        <v>1</v>
      </c>
      <c r="D237" s="1" t="s">
        <v>185</v>
      </c>
      <c r="E237" s="54" t="s">
        <v>347</v>
      </c>
      <c r="F237" s="1" t="s">
        <v>345</v>
      </c>
      <c r="G237" s="1" t="s">
        <v>345</v>
      </c>
      <c r="H237" s="1" t="s">
        <v>344</v>
      </c>
      <c r="I237" s="1" t="s">
        <v>87</v>
      </c>
      <c r="J237" s="1" t="s">
        <v>486</v>
      </c>
      <c r="K237" s="1" t="s">
        <v>502</v>
      </c>
      <c r="L237" s="1">
        <v>0</v>
      </c>
      <c r="M237" s="1">
        <v>4</v>
      </c>
      <c r="N237" s="1">
        <v>0</v>
      </c>
      <c r="O237" s="1">
        <v>0</v>
      </c>
      <c r="P237" s="1">
        <v>0</v>
      </c>
      <c r="Q237" s="1">
        <v>0</v>
      </c>
      <c r="R237" s="1"/>
      <c r="S237" s="1">
        <v>0</v>
      </c>
      <c r="T237" s="1">
        <v>4</v>
      </c>
      <c r="U237" s="1">
        <v>0</v>
      </c>
      <c r="V237" s="1">
        <v>0</v>
      </c>
      <c r="W237" s="1">
        <v>0</v>
      </c>
      <c r="X237" s="1">
        <v>0</v>
      </c>
      <c r="Y237" s="1"/>
      <c r="Z237" s="1"/>
      <c r="AA237" s="1">
        <v>0</v>
      </c>
      <c r="AB237" s="1"/>
      <c r="AC237" s="1"/>
      <c r="AD237" s="1"/>
      <c r="AE237" s="1"/>
      <c r="AF237" s="1"/>
      <c r="AG237" s="1">
        <v>0</v>
      </c>
      <c r="AH237" s="1">
        <v>4</v>
      </c>
      <c r="AI237" s="1">
        <v>3</v>
      </c>
      <c r="AJ237" s="1" t="s">
        <v>32</v>
      </c>
      <c r="AK237" s="1" t="s">
        <v>32</v>
      </c>
      <c r="AL237" s="17"/>
      <c r="AM237" s="18"/>
      <c r="AN237" s="10" t="s">
        <v>348</v>
      </c>
    </row>
    <row r="238" spans="2:40">
      <c r="B238" s="1">
        <f t="shared" si="3"/>
        <v>228</v>
      </c>
      <c r="C238" s="1">
        <v>1</v>
      </c>
      <c r="D238" s="1" t="s">
        <v>185</v>
      </c>
      <c r="E238" s="54" t="s">
        <v>517</v>
      </c>
      <c r="F238" s="1" t="s">
        <v>345</v>
      </c>
      <c r="G238" s="1" t="s">
        <v>345</v>
      </c>
      <c r="H238" s="1" t="s">
        <v>344</v>
      </c>
      <c r="I238" s="1" t="s">
        <v>87</v>
      </c>
      <c r="J238" s="1" t="s">
        <v>486</v>
      </c>
      <c r="K238" s="1" t="s">
        <v>502</v>
      </c>
      <c r="L238" s="1">
        <v>0</v>
      </c>
      <c r="M238" s="1">
        <v>4</v>
      </c>
      <c r="N238" s="1">
        <v>0</v>
      </c>
      <c r="O238" s="1">
        <v>0</v>
      </c>
      <c r="P238" s="1">
        <v>0</v>
      </c>
      <c r="Q238" s="1">
        <v>0</v>
      </c>
      <c r="R238" s="1"/>
      <c r="S238" s="1">
        <v>0</v>
      </c>
      <c r="T238" s="1">
        <v>4</v>
      </c>
      <c r="U238" s="1">
        <v>0</v>
      </c>
      <c r="V238" s="1">
        <v>0</v>
      </c>
      <c r="W238" s="1">
        <v>0</v>
      </c>
      <c r="X238" s="1">
        <v>0</v>
      </c>
      <c r="Y238" s="1"/>
      <c r="Z238" s="1"/>
      <c r="AA238" s="1">
        <v>0</v>
      </c>
      <c r="AB238" s="1"/>
      <c r="AC238" s="1"/>
      <c r="AD238" s="1"/>
      <c r="AE238" s="55"/>
      <c r="AF238" s="55"/>
      <c r="AG238" s="1">
        <v>0</v>
      </c>
      <c r="AH238" s="1">
        <v>4</v>
      </c>
      <c r="AI238" s="1">
        <v>3</v>
      </c>
      <c r="AJ238" s="1" t="s">
        <v>32</v>
      </c>
      <c r="AK238" s="1" t="s">
        <v>32</v>
      </c>
      <c r="AL238" s="17"/>
      <c r="AM238" s="18"/>
      <c r="AN238" s="10" t="s">
        <v>348</v>
      </c>
    </row>
    <row r="239" spans="2:40">
      <c r="B239" s="1">
        <f t="shared" si="3"/>
        <v>229</v>
      </c>
      <c r="C239" s="1">
        <v>1</v>
      </c>
      <c r="D239" s="1" t="s">
        <v>185</v>
      </c>
      <c r="E239" s="54" t="s">
        <v>196</v>
      </c>
      <c r="F239" s="1" t="s">
        <v>345</v>
      </c>
      <c r="G239" s="1" t="s">
        <v>345</v>
      </c>
      <c r="H239" s="1" t="s">
        <v>344</v>
      </c>
      <c r="I239" s="1" t="s">
        <v>87</v>
      </c>
      <c r="J239" s="1" t="s">
        <v>502</v>
      </c>
      <c r="K239" s="1" t="s">
        <v>486</v>
      </c>
      <c r="L239" s="1">
        <v>0</v>
      </c>
      <c r="M239" s="1">
        <v>4</v>
      </c>
      <c r="N239" s="1">
        <v>0</v>
      </c>
      <c r="O239" s="1">
        <v>0</v>
      </c>
      <c r="P239" s="1">
        <v>0</v>
      </c>
      <c r="Q239" s="1">
        <v>0</v>
      </c>
      <c r="R239" s="1"/>
      <c r="S239" s="1">
        <v>0</v>
      </c>
      <c r="T239" s="1">
        <v>4</v>
      </c>
      <c r="U239" s="1">
        <v>0</v>
      </c>
      <c r="V239" s="1">
        <v>0</v>
      </c>
      <c r="W239" s="1">
        <v>0</v>
      </c>
      <c r="X239" s="1">
        <v>0</v>
      </c>
      <c r="Y239" s="1"/>
      <c r="Z239" s="1"/>
      <c r="AA239" s="1">
        <v>0</v>
      </c>
      <c r="AB239" s="1"/>
      <c r="AC239" s="1"/>
      <c r="AD239" s="1"/>
      <c r="AE239" s="55"/>
      <c r="AF239" s="55"/>
      <c r="AG239" s="1">
        <v>0</v>
      </c>
      <c r="AH239" s="1">
        <v>4</v>
      </c>
      <c r="AI239" s="1">
        <v>4</v>
      </c>
      <c r="AJ239" s="1" t="s">
        <v>32</v>
      </c>
      <c r="AK239" s="1" t="s">
        <v>32</v>
      </c>
      <c r="AL239" s="17"/>
      <c r="AM239" s="18"/>
      <c r="AN239" s="10" t="s">
        <v>348</v>
      </c>
    </row>
    <row r="240" spans="2:40">
      <c r="B240" s="1">
        <f t="shared" si="3"/>
        <v>230</v>
      </c>
      <c r="C240" s="1">
        <v>1</v>
      </c>
      <c r="D240" s="1" t="s">
        <v>185</v>
      </c>
      <c r="E240" s="54" t="s">
        <v>518</v>
      </c>
      <c r="F240" s="1" t="s">
        <v>345</v>
      </c>
      <c r="G240" s="1" t="s">
        <v>345</v>
      </c>
      <c r="H240" s="1" t="s">
        <v>344</v>
      </c>
      <c r="I240" s="1" t="s">
        <v>87</v>
      </c>
      <c r="J240" s="1" t="s">
        <v>486</v>
      </c>
      <c r="K240" s="1" t="s">
        <v>502</v>
      </c>
      <c r="L240" s="1">
        <v>0</v>
      </c>
      <c r="M240" s="1">
        <v>4</v>
      </c>
      <c r="N240" s="1">
        <v>0</v>
      </c>
      <c r="O240" s="1">
        <v>0</v>
      </c>
      <c r="P240" s="1">
        <v>0</v>
      </c>
      <c r="Q240" s="1">
        <v>0</v>
      </c>
      <c r="R240" s="1"/>
      <c r="S240" s="1">
        <v>0</v>
      </c>
      <c r="T240" s="1">
        <v>4</v>
      </c>
      <c r="U240" s="1">
        <v>0</v>
      </c>
      <c r="V240" s="1">
        <v>0</v>
      </c>
      <c r="W240" s="1">
        <v>0</v>
      </c>
      <c r="X240" s="1">
        <v>0</v>
      </c>
      <c r="Y240" s="1"/>
      <c r="Z240" s="1"/>
      <c r="AA240" s="1">
        <v>0</v>
      </c>
      <c r="AB240" s="1"/>
      <c r="AC240" s="1"/>
      <c r="AD240" s="1"/>
      <c r="AE240" s="55"/>
      <c r="AF240" s="55"/>
      <c r="AG240" s="1">
        <v>0</v>
      </c>
      <c r="AH240" s="1">
        <v>4</v>
      </c>
      <c r="AI240" s="1">
        <v>3</v>
      </c>
      <c r="AJ240" s="1" t="s">
        <v>32</v>
      </c>
      <c r="AK240" s="1" t="s">
        <v>32</v>
      </c>
      <c r="AL240" s="17"/>
      <c r="AM240" s="18"/>
      <c r="AN240" s="10" t="s">
        <v>348</v>
      </c>
    </row>
    <row r="241" spans="2:40">
      <c r="B241" s="1">
        <f t="shared" si="3"/>
        <v>231</v>
      </c>
      <c r="C241" s="1">
        <v>1</v>
      </c>
      <c r="D241" s="1" t="s">
        <v>185</v>
      </c>
      <c r="E241" s="54" t="s">
        <v>519</v>
      </c>
      <c r="F241" s="1" t="s">
        <v>345</v>
      </c>
      <c r="G241" s="1" t="s">
        <v>345</v>
      </c>
      <c r="H241" s="1" t="s">
        <v>344</v>
      </c>
      <c r="I241" s="1" t="s">
        <v>87</v>
      </c>
      <c r="J241" s="1" t="s">
        <v>486</v>
      </c>
      <c r="K241" s="1" t="s">
        <v>502</v>
      </c>
      <c r="L241" s="1">
        <v>0</v>
      </c>
      <c r="M241" s="1">
        <v>4</v>
      </c>
      <c r="N241" s="1">
        <v>0</v>
      </c>
      <c r="O241" s="1">
        <v>0</v>
      </c>
      <c r="P241" s="1">
        <v>0</v>
      </c>
      <c r="Q241" s="1">
        <v>0</v>
      </c>
      <c r="R241" s="1"/>
      <c r="S241" s="1">
        <v>0</v>
      </c>
      <c r="T241" s="1">
        <v>4</v>
      </c>
      <c r="U241" s="1">
        <v>0</v>
      </c>
      <c r="V241" s="1">
        <v>0</v>
      </c>
      <c r="W241" s="1">
        <v>0</v>
      </c>
      <c r="X241" s="1">
        <v>0</v>
      </c>
      <c r="Y241" s="1"/>
      <c r="Z241" s="1"/>
      <c r="AA241" s="1">
        <v>0</v>
      </c>
      <c r="AB241" s="1"/>
      <c r="AC241" s="1"/>
      <c r="AD241" s="1"/>
      <c r="AE241" s="55"/>
      <c r="AF241" s="55"/>
      <c r="AG241" s="1">
        <v>0</v>
      </c>
      <c r="AH241" s="1">
        <v>4</v>
      </c>
      <c r="AI241" s="1">
        <v>3</v>
      </c>
      <c r="AJ241" s="1" t="s">
        <v>32</v>
      </c>
      <c r="AK241" s="1" t="s">
        <v>32</v>
      </c>
      <c r="AL241" s="17"/>
      <c r="AM241" s="18"/>
      <c r="AN241" s="10" t="s">
        <v>348</v>
      </c>
    </row>
    <row r="242" spans="2:40">
      <c r="B242" s="1">
        <f t="shared" si="3"/>
        <v>232</v>
      </c>
      <c r="C242" s="1">
        <v>1</v>
      </c>
      <c r="D242" s="1" t="s">
        <v>185</v>
      </c>
      <c r="E242" s="54" t="s">
        <v>520</v>
      </c>
      <c r="F242" s="1" t="s">
        <v>345</v>
      </c>
      <c r="G242" s="1" t="s">
        <v>345</v>
      </c>
      <c r="H242" s="1" t="s">
        <v>344</v>
      </c>
      <c r="I242" s="1" t="s">
        <v>87</v>
      </c>
      <c r="J242" s="1" t="s">
        <v>486</v>
      </c>
      <c r="K242" s="1" t="s">
        <v>502</v>
      </c>
      <c r="L242" s="1">
        <v>0</v>
      </c>
      <c r="M242" s="1">
        <v>4</v>
      </c>
      <c r="N242" s="1">
        <v>0</v>
      </c>
      <c r="O242" s="1">
        <v>0</v>
      </c>
      <c r="P242" s="1">
        <v>0</v>
      </c>
      <c r="Q242" s="1">
        <v>0</v>
      </c>
      <c r="R242" s="1"/>
      <c r="S242" s="1">
        <v>0</v>
      </c>
      <c r="T242" s="1">
        <v>4</v>
      </c>
      <c r="U242" s="1">
        <v>0</v>
      </c>
      <c r="V242" s="1">
        <v>0</v>
      </c>
      <c r="W242" s="1">
        <v>0</v>
      </c>
      <c r="X242" s="1">
        <v>0</v>
      </c>
      <c r="Y242" s="1"/>
      <c r="Z242" s="1"/>
      <c r="AA242" s="1">
        <v>0</v>
      </c>
      <c r="AB242" s="1"/>
      <c r="AC242" s="1"/>
      <c r="AD242" s="1"/>
      <c r="AE242" s="55"/>
      <c r="AF242" s="55"/>
      <c r="AG242" s="1">
        <v>0</v>
      </c>
      <c r="AH242" s="1">
        <v>4</v>
      </c>
      <c r="AI242" s="1">
        <v>3</v>
      </c>
      <c r="AJ242" s="1" t="s">
        <v>32</v>
      </c>
      <c r="AK242" s="1" t="s">
        <v>32</v>
      </c>
      <c r="AL242" s="17"/>
      <c r="AM242" s="18"/>
      <c r="AN242" s="10" t="s">
        <v>348</v>
      </c>
    </row>
    <row r="243" spans="2:40">
      <c r="B243" s="1">
        <f t="shared" si="3"/>
        <v>233</v>
      </c>
      <c r="C243" s="1">
        <v>1</v>
      </c>
      <c r="D243" s="1" t="s">
        <v>212</v>
      </c>
      <c r="E243" s="1" t="s">
        <v>101</v>
      </c>
      <c r="F243" s="1" t="s">
        <v>118</v>
      </c>
      <c r="G243" s="1" t="s">
        <v>118</v>
      </c>
      <c r="H243" s="1" t="s">
        <v>352</v>
      </c>
      <c r="I243" s="1" t="s">
        <v>85</v>
      </c>
      <c r="J243" s="54" t="s">
        <v>170</v>
      </c>
      <c r="K243" s="1" t="s">
        <v>452</v>
      </c>
      <c r="L243" s="1">
        <v>0</v>
      </c>
      <c r="M243" s="1">
        <v>0</v>
      </c>
      <c r="N243" s="1">
        <v>0</v>
      </c>
      <c r="O243" s="1">
        <v>0</v>
      </c>
      <c r="P243" s="1">
        <v>0</v>
      </c>
      <c r="Q243" s="1">
        <v>0</v>
      </c>
      <c r="R243" s="1">
        <v>0</v>
      </c>
      <c r="S243" s="1">
        <v>4</v>
      </c>
      <c r="T243" s="1">
        <v>0</v>
      </c>
      <c r="U243" s="1">
        <v>0</v>
      </c>
      <c r="V243" s="1">
        <v>0</v>
      </c>
      <c r="W243" s="1">
        <v>4</v>
      </c>
      <c r="X243" s="1">
        <v>0</v>
      </c>
      <c r="Y243" s="1">
        <v>0</v>
      </c>
      <c r="Z243" s="1">
        <v>0</v>
      </c>
      <c r="AA243" s="1">
        <v>0</v>
      </c>
      <c r="AB243" s="1"/>
      <c r="AC243" s="1"/>
      <c r="AD243" s="1"/>
      <c r="AE243" s="1"/>
      <c r="AF243" s="1">
        <v>4</v>
      </c>
      <c r="AG243" s="1">
        <v>1</v>
      </c>
      <c r="AH243" s="1">
        <v>0</v>
      </c>
      <c r="AI243" s="1">
        <v>0</v>
      </c>
      <c r="AJ243" s="1" t="s">
        <v>21</v>
      </c>
      <c r="AK243" s="1" t="s">
        <v>21</v>
      </c>
      <c r="AL243" s="17"/>
      <c r="AM243" s="18"/>
      <c r="AN243" s="10"/>
    </row>
    <row r="244" spans="2:40">
      <c r="B244" s="1">
        <f t="shared" si="3"/>
        <v>234</v>
      </c>
      <c r="C244" s="1">
        <v>1</v>
      </c>
      <c r="D244" s="1" t="s">
        <v>212</v>
      </c>
      <c r="E244" s="1" t="s">
        <v>101</v>
      </c>
      <c r="F244" s="1" t="s">
        <v>118</v>
      </c>
      <c r="G244" s="1" t="s">
        <v>118</v>
      </c>
      <c r="H244" s="1" t="s">
        <v>353</v>
      </c>
      <c r="I244" s="1" t="s">
        <v>85</v>
      </c>
      <c r="J244" s="54" t="s">
        <v>170</v>
      </c>
      <c r="K244" s="1" t="s">
        <v>452</v>
      </c>
      <c r="L244" s="1">
        <v>0</v>
      </c>
      <c r="M244" s="1">
        <v>0</v>
      </c>
      <c r="N244" s="1">
        <v>0</v>
      </c>
      <c r="O244" s="1">
        <v>0</v>
      </c>
      <c r="P244" s="1">
        <v>0</v>
      </c>
      <c r="Q244" s="1">
        <v>0</v>
      </c>
      <c r="R244" s="1">
        <v>0</v>
      </c>
      <c r="S244" s="1">
        <v>4</v>
      </c>
      <c r="T244" s="1">
        <v>0</v>
      </c>
      <c r="U244" s="1">
        <v>0</v>
      </c>
      <c r="V244" s="1">
        <v>0</v>
      </c>
      <c r="W244" s="1">
        <v>4</v>
      </c>
      <c r="X244" s="1">
        <v>0</v>
      </c>
      <c r="Y244" s="1">
        <v>0</v>
      </c>
      <c r="Z244" s="1">
        <v>0</v>
      </c>
      <c r="AA244" s="1">
        <v>0</v>
      </c>
      <c r="AB244" s="1"/>
      <c r="AC244" s="1"/>
      <c r="AD244" s="1"/>
      <c r="AE244" s="1"/>
      <c r="AF244" s="1">
        <v>4</v>
      </c>
      <c r="AG244" s="1">
        <v>1</v>
      </c>
      <c r="AH244" s="1">
        <v>0</v>
      </c>
      <c r="AI244" s="1">
        <v>0</v>
      </c>
      <c r="AJ244" s="1" t="s">
        <v>21</v>
      </c>
      <c r="AK244" s="1" t="s">
        <v>21</v>
      </c>
      <c r="AL244" s="17"/>
      <c r="AM244" s="18"/>
      <c r="AN244" s="10"/>
    </row>
    <row r="245" spans="2:40">
      <c r="B245" s="1">
        <f t="shared" si="3"/>
        <v>235</v>
      </c>
      <c r="C245" s="1">
        <v>1</v>
      </c>
      <c r="D245" s="1" t="s">
        <v>212</v>
      </c>
      <c r="E245" s="1" t="s">
        <v>101</v>
      </c>
      <c r="F245" s="1" t="s">
        <v>282</v>
      </c>
      <c r="G245" s="1" t="s">
        <v>282</v>
      </c>
      <c r="H245" s="1" t="s">
        <v>357</v>
      </c>
      <c r="I245" s="1" t="s">
        <v>85</v>
      </c>
      <c r="J245" s="54" t="s">
        <v>170</v>
      </c>
      <c r="K245" s="1" t="s">
        <v>452</v>
      </c>
      <c r="L245" s="1">
        <v>0</v>
      </c>
      <c r="M245" s="1">
        <v>0</v>
      </c>
      <c r="N245" s="1">
        <v>0</v>
      </c>
      <c r="O245" s="1">
        <v>0</v>
      </c>
      <c r="P245" s="1">
        <v>0</v>
      </c>
      <c r="Q245" s="1">
        <v>0</v>
      </c>
      <c r="R245" s="1">
        <v>0</v>
      </c>
      <c r="S245" s="1">
        <v>4</v>
      </c>
      <c r="T245" s="1">
        <v>0</v>
      </c>
      <c r="U245" s="1">
        <v>0</v>
      </c>
      <c r="V245" s="1">
        <v>0</v>
      </c>
      <c r="W245" s="1">
        <v>4</v>
      </c>
      <c r="X245" s="1">
        <v>0</v>
      </c>
      <c r="Y245" s="1">
        <v>0</v>
      </c>
      <c r="Z245" s="1">
        <v>0</v>
      </c>
      <c r="AA245" s="1">
        <v>0</v>
      </c>
      <c r="AB245" s="1"/>
      <c r="AC245" s="1"/>
      <c r="AD245" s="1"/>
      <c r="AE245" s="1"/>
      <c r="AF245" s="1">
        <v>4</v>
      </c>
      <c r="AG245" s="1">
        <v>3</v>
      </c>
      <c r="AH245" s="1">
        <v>0</v>
      </c>
      <c r="AI245" s="1">
        <v>0</v>
      </c>
      <c r="AJ245" s="1" t="s">
        <v>21</v>
      </c>
      <c r="AK245" s="1" t="s">
        <v>21</v>
      </c>
      <c r="AL245" s="17"/>
      <c r="AM245" s="18"/>
      <c r="AN245" s="10"/>
    </row>
    <row r="246" spans="2:40" ht="15" thickBot="1">
      <c r="B246" s="1">
        <f t="shared" si="3"/>
        <v>236</v>
      </c>
      <c r="C246" s="1">
        <v>1</v>
      </c>
      <c r="D246" s="1" t="s">
        <v>212</v>
      </c>
      <c r="E246" s="1" t="s">
        <v>101</v>
      </c>
      <c r="F246" s="1" t="s">
        <v>282</v>
      </c>
      <c r="G246" s="1" t="s">
        <v>282</v>
      </c>
      <c r="H246" s="1" t="s">
        <v>361</v>
      </c>
      <c r="I246" s="1" t="s">
        <v>85</v>
      </c>
      <c r="J246" s="54" t="s">
        <v>170</v>
      </c>
      <c r="K246" s="1" t="s">
        <v>452</v>
      </c>
      <c r="L246" s="1">
        <v>0</v>
      </c>
      <c r="M246" s="1">
        <v>0</v>
      </c>
      <c r="N246" s="1">
        <v>0</v>
      </c>
      <c r="O246" s="1">
        <v>0</v>
      </c>
      <c r="P246" s="1">
        <v>0</v>
      </c>
      <c r="Q246" s="1">
        <v>0</v>
      </c>
      <c r="R246" s="1">
        <v>0</v>
      </c>
      <c r="S246" s="1">
        <v>4</v>
      </c>
      <c r="T246" s="1">
        <v>0</v>
      </c>
      <c r="U246" s="1">
        <v>0</v>
      </c>
      <c r="V246" s="1">
        <v>0</v>
      </c>
      <c r="W246" s="1">
        <v>4</v>
      </c>
      <c r="X246" s="1">
        <v>0</v>
      </c>
      <c r="Y246" s="1">
        <v>0</v>
      </c>
      <c r="Z246" s="1">
        <v>0</v>
      </c>
      <c r="AA246" s="1">
        <v>0</v>
      </c>
      <c r="AB246" s="1"/>
      <c r="AC246" s="1"/>
      <c r="AD246" s="1"/>
      <c r="AE246" s="1"/>
      <c r="AF246" s="1">
        <v>3</v>
      </c>
      <c r="AG246" s="1">
        <v>2</v>
      </c>
      <c r="AH246" s="1">
        <v>0</v>
      </c>
      <c r="AI246" s="1">
        <v>0</v>
      </c>
      <c r="AJ246" s="1" t="s">
        <v>32</v>
      </c>
      <c r="AK246" s="1" t="s">
        <v>32</v>
      </c>
      <c r="AL246" s="17"/>
      <c r="AM246" s="18"/>
      <c r="AN246" s="10"/>
    </row>
    <row r="247" spans="2:40" ht="15" thickBot="1">
      <c r="B247" s="1">
        <f t="shared" si="3"/>
        <v>237</v>
      </c>
      <c r="C247" s="1">
        <v>1</v>
      </c>
      <c r="D247" s="1" t="s">
        <v>383</v>
      </c>
      <c r="E247" s="10" t="s">
        <v>382</v>
      </c>
      <c r="F247" s="1" t="s">
        <v>113</v>
      </c>
      <c r="G247" s="1"/>
      <c r="H247" s="1" t="s">
        <v>374</v>
      </c>
      <c r="I247" s="1" t="s">
        <v>85</v>
      </c>
      <c r="J247" s="1" t="s">
        <v>165</v>
      </c>
      <c r="K247" s="1" t="s">
        <v>417</v>
      </c>
      <c r="L247" s="55">
        <v>0</v>
      </c>
      <c r="M247" s="55">
        <v>0</v>
      </c>
      <c r="N247" s="55">
        <v>0</v>
      </c>
      <c r="O247" s="8">
        <v>3</v>
      </c>
      <c r="P247" s="55">
        <v>0</v>
      </c>
      <c r="Q247" s="55">
        <v>0</v>
      </c>
      <c r="R247" s="55">
        <v>0</v>
      </c>
      <c r="S247" s="55">
        <v>0</v>
      </c>
      <c r="T247" s="55">
        <v>0</v>
      </c>
      <c r="U247" s="55">
        <v>0</v>
      </c>
      <c r="V247" s="56">
        <v>4</v>
      </c>
      <c r="W247" s="55">
        <v>0</v>
      </c>
      <c r="X247" s="55">
        <v>0</v>
      </c>
      <c r="Y247" s="55">
        <v>0</v>
      </c>
      <c r="Z247" s="55">
        <v>0</v>
      </c>
      <c r="AA247" s="1">
        <v>0</v>
      </c>
      <c r="AB247" s="1"/>
      <c r="AC247" s="1"/>
      <c r="AD247" s="1">
        <v>3</v>
      </c>
      <c r="AE247" s="1"/>
      <c r="AF247" s="1">
        <v>0</v>
      </c>
      <c r="AG247" s="1">
        <v>0</v>
      </c>
      <c r="AH247" s="1">
        <v>0</v>
      </c>
      <c r="AI247" s="1">
        <v>0</v>
      </c>
      <c r="AJ247" s="56" t="s">
        <v>21</v>
      </c>
      <c r="AK247" s="56" t="s">
        <v>21</v>
      </c>
      <c r="AL247" s="17"/>
      <c r="AM247" s="18"/>
      <c r="AN247" s="10"/>
    </row>
    <row r="248" spans="2:40" ht="15" thickBot="1">
      <c r="B248" s="1">
        <f t="shared" si="3"/>
        <v>238</v>
      </c>
      <c r="C248" s="1">
        <v>1</v>
      </c>
      <c r="D248" s="1" t="s">
        <v>383</v>
      </c>
      <c r="E248" s="10" t="s">
        <v>382</v>
      </c>
      <c r="F248" s="1" t="s">
        <v>113</v>
      </c>
      <c r="G248" s="1"/>
      <c r="H248" s="1" t="s">
        <v>375</v>
      </c>
      <c r="I248" s="1" t="s">
        <v>87</v>
      </c>
      <c r="J248" s="1" t="s">
        <v>165</v>
      </c>
      <c r="K248" s="1" t="s">
        <v>417</v>
      </c>
      <c r="L248" s="55">
        <v>0</v>
      </c>
      <c r="M248" s="55">
        <v>0</v>
      </c>
      <c r="N248" s="55">
        <v>0</v>
      </c>
      <c r="O248" s="8">
        <v>3</v>
      </c>
      <c r="P248" s="55">
        <v>0</v>
      </c>
      <c r="Q248" s="55">
        <v>0</v>
      </c>
      <c r="R248" s="55">
        <v>0</v>
      </c>
      <c r="S248" s="55">
        <v>0</v>
      </c>
      <c r="T248" s="55">
        <v>0</v>
      </c>
      <c r="U248" s="55">
        <v>0</v>
      </c>
      <c r="V248" s="56">
        <v>4</v>
      </c>
      <c r="W248" s="55">
        <v>0</v>
      </c>
      <c r="X248" s="55">
        <v>0</v>
      </c>
      <c r="Y248" s="55">
        <v>0</v>
      </c>
      <c r="Z248" s="55">
        <v>0</v>
      </c>
      <c r="AA248" s="1">
        <v>0</v>
      </c>
      <c r="AB248" s="1"/>
      <c r="AC248" s="1"/>
      <c r="AD248" s="1">
        <v>3</v>
      </c>
      <c r="AE248" s="1"/>
      <c r="AF248" s="1">
        <v>3</v>
      </c>
      <c r="AG248" s="1">
        <v>0</v>
      </c>
      <c r="AH248" s="1">
        <v>0</v>
      </c>
      <c r="AI248" s="1">
        <v>0</v>
      </c>
      <c r="AJ248" s="56" t="s">
        <v>21</v>
      </c>
      <c r="AK248" s="56" t="s">
        <v>21</v>
      </c>
      <c r="AL248" s="17"/>
      <c r="AM248" s="18"/>
      <c r="AN248" s="10"/>
    </row>
    <row r="249" spans="2:40">
      <c r="B249" s="1">
        <f t="shared" si="3"/>
        <v>239</v>
      </c>
      <c r="C249" s="1">
        <v>1</v>
      </c>
      <c r="D249" s="1" t="s">
        <v>383</v>
      </c>
      <c r="E249" s="1" t="s">
        <v>381</v>
      </c>
      <c r="F249" s="1" t="s">
        <v>380</v>
      </c>
      <c r="G249" s="1"/>
      <c r="H249" s="1" t="s">
        <v>376</v>
      </c>
      <c r="I249" s="1" t="s">
        <v>85</v>
      </c>
      <c r="J249" s="1" t="s">
        <v>165</v>
      </c>
      <c r="K249" s="1" t="s">
        <v>417</v>
      </c>
      <c r="L249" s="55">
        <v>0</v>
      </c>
      <c r="M249" s="55">
        <v>0</v>
      </c>
      <c r="N249" s="55">
        <v>0</v>
      </c>
      <c r="O249" s="8">
        <v>3</v>
      </c>
      <c r="P249" s="55">
        <v>0</v>
      </c>
      <c r="Q249" s="55">
        <v>0</v>
      </c>
      <c r="R249" s="55">
        <v>0</v>
      </c>
      <c r="S249" s="55">
        <v>0</v>
      </c>
      <c r="T249" s="55">
        <v>0</v>
      </c>
      <c r="U249" s="55">
        <v>0</v>
      </c>
      <c r="V249" s="56">
        <v>4</v>
      </c>
      <c r="W249" s="55">
        <v>0</v>
      </c>
      <c r="X249" s="55">
        <v>0</v>
      </c>
      <c r="Y249" s="55">
        <v>0</v>
      </c>
      <c r="Z249" s="55">
        <v>0</v>
      </c>
      <c r="AA249" s="1">
        <v>0</v>
      </c>
      <c r="AB249" s="1"/>
      <c r="AC249" s="1"/>
      <c r="AD249" s="1">
        <v>3</v>
      </c>
      <c r="AE249" s="1"/>
      <c r="AF249" s="1">
        <v>3</v>
      </c>
      <c r="AG249" s="1">
        <v>0</v>
      </c>
      <c r="AH249" s="1">
        <v>0</v>
      </c>
      <c r="AI249" s="1">
        <v>0</v>
      </c>
      <c r="AJ249" s="56" t="s">
        <v>21</v>
      </c>
      <c r="AK249" s="56" t="s">
        <v>21</v>
      </c>
      <c r="AL249" s="17"/>
      <c r="AM249" s="18"/>
      <c r="AN249" s="10"/>
    </row>
    <row r="250" spans="2:40" ht="15" thickBot="1">
      <c r="B250" s="1">
        <f t="shared" si="3"/>
        <v>240</v>
      </c>
      <c r="C250" s="1"/>
      <c r="D250" s="1"/>
      <c r="E250" s="1"/>
      <c r="F250" s="1" t="s">
        <v>419</v>
      </c>
      <c r="G250" s="1"/>
      <c r="H250" s="1" t="s">
        <v>418</v>
      </c>
      <c r="I250" s="1" t="s">
        <v>85</v>
      </c>
      <c r="J250" s="1" t="s">
        <v>165</v>
      </c>
      <c r="K250" s="1" t="s">
        <v>417</v>
      </c>
      <c r="L250" s="55">
        <v>0</v>
      </c>
      <c r="M250" s="55">
        <v>0</v>
      </c>
      <c r="N250" s="55">
        <v>0</v>
      </c>
      <c r="O250" s="55">
        <v>0</v>
      </c>
      <c r="P250" s="55">
        <v>0</v>
      </c>
      <c r="Q250" s="55">
        <v>0</v>
      </c>
      <c r="R250" s="55">
        <v>0</v>
      </c>
      <c r="S250" s="55">
        <v>0</v>
      </c>
      <c r="T250" s="55">
        <v>0</v>
      </c>
      <c r="U250" s="55">
        <v>0</v>
      </c>
      <c r="V250" s="56">
        <v>4</v>
      </c>
      <c r="W250" s="55">
        <v>0</v>
      </c>
      <c r="X250" s="55">
        <v>0</v>
      </c>
      <c r="Y250" s="55">
        <v>0</v>
      </c>
      <c r="Z250" s="55">
        <v>0</v>
      </c>
      <c r="AA250" s="55">
        <v>0</v>
      </c>
      <c r="AB250" s="55"/>
      <c r="AC250" s="55"/>
      <c r="AD250" s="55"/>
      <c r="AE250" s="55"/>
      <c r="AF250" s="55">
        <v>3</v>
      </c>
      <c r="AG250" s="1">
        <v>0</v>
      </c>
      <c r="AH250" s="1">
        <v>0</v>
      </c>
      <c r="AI250" s="1">
        <v>0</v>
      </c>
      <c r="AJ250" s="56" t="s">
        <v>21</v>
      </c>
      <c r="AK250" s="56" t="s">
        <v>21</v>
      </c>
      <c r="AL250" s="17"/>
      <c r="AM250" s="18"/>
      <c r="AN250" s="10"/>
    </row>
    <row r="251" spans="2:40">
      <c r="B251" s="1">
        <f t="shared" si="3"/>
        <v>241</v>
      </c>
      <c r="C251" s="1">
        <v>1</v>
      </c>
      <c r="D251" s="1" t="s">
        <v>383</v>
      </c>
      <c r="E251" s="1" t="s">
        <v>381</v>
      </c>
      <c r="F251" s="1" t="s">
        <v>380</v>
      </c>
      <c r="G251" s="1"/>
      <c r="H251" s="1" t="s">
        <v>192</v>
      </c>
      <c r="I251" s="1" t="s">
        <v>85</v>
      </c>
      <c r="J251" s="1" t="s">
        <v>165</v>
      </c>
      <c r="K251" s="1" t="s">
        <v>417</v>
      </c>
      <c r="L251" s="55">
        <v>0</v>
      </c>
      <c r="M251" s="55">
        <v>0</v>
      </c>
      <c r="N251" s="55">
        <v>0</v>
      </c>
      <c r="O251" s="8">
        <v>3</v>
      </c>
      <c r="P251" s="55">
        <v>0</v>
      </c>
      <c r="Q251" s="55">
        <v>0</v>
      </c>
      <c r="R251" s="55">
        <v>0</v>
      </c>
      <c r="S251" s="55">
        <v>0</v>
      </c>
      <c r="T251" s="55">
        <v>0</v>
      </c>
      <c r="U251" s="55">
        <v>0</v>
      </c>
      <c r="V251" s="56">
        <v>4</v>
      </c>
      <c r="W251" s="55">
        <v>0</v>
      </c>
      <c r="X251" s="55">
        <v>0</v>
      </c>
      <c r="Y251" s="55">
        <v>0</v>
      </c>
      <c r="Z251" s="55">
        <v>0</v>
      </c>
      <c r="AA251" s="1">
        <v>0</v>
      </c>
      <c r="AB251" s="1"/>
      <c r="AC251" s="1"/>
      <c r="AD251" s="1">
        <v>3</v>
      </c>
      <c r="AE251" s="1"/>
      <c r="AF251" s="1">
        <v>3</v>
      </c>
      <c r="AG251" s="1">
        <v>0</v>
      </c>
      <c r="AH251" s="1">
        <v>0</v>
      </c>
      <c r="AI251" s="1">
        <v>0</v>
      </c>
      <c r="AJ251" s="56" t="s">
        <v>21</v>
      </c>
      <c r="AK251" s="56" t="s">
        <v>21</v>
      </c>
      <c r="AL251" s="17"/>
      <c r="AM251" s="18"/>
      <c r="AN251" s="10"/>
    </row>
    <row r="252" spans="2:40">
      <c r="B252" s="1">
        <f t="shared" si="3"/>
        <v>242</v>
      </c>
      <c r="C252" s="1">
        <v>1</v>
      </c>
      <c r="D252" s="1" t="s">
        <v>383</v>
      </c>
      <c r="E252" s="1" t="s">
        <v>381</v>
      </c>
      <c r="F252" s="1" t="s">
        <v>380</v>
      </c>
      <c r="G252" s="1"/>
      <c r="H252" s="1" t="s">
        <v>420</v>
      </c>
      <c r="I252" s="1" t="s">
        <v>85</v>
      </c>
      <c r="J252" s="1" t="s">
        <v>165</v>
      </c>
      <c r="K252" s="1" t="s">
        <v>417</v>
      </c>
      <c r="L252" s="55">
        <v>0</v>
      </c>
      <c r="M252" s="55">
        <v>0</v>
      </c>
      <c r="N252" s="55">
        <v>0</v>
      </c>
      <c r="O252" s="55">
        <v>0</v>
      </c>
      <c r="P252" s="55">
        <v>0</v>
      </c>
      <c r="Q252" s="55">
        <v>0</v>
      </c>
      <c r="R252" s="55">
        <v>0</v>
      </c>
      <c r="S252" s="55">
        <v>0</v>
      </c>
      <c r="T252" s="55">
        <v>0</v>
      </c>
      <c r="U252" s="55">
        <v>0</v>
      </c>
      <c r="V252" s="56">
        <v>4</v>
      </c>
      <c r="W252" s="55">
        <v>0</v>
      </c>
      <c r="X252" s="55">
        <v>0</v>
      </c>
      <c r="Y252" s="55">
        <v>0</v>
      </c>
      <c r="Z252" s="55">
        <v>0</v>
      </c>
      <c r="AA252" s="1">
        <v>0</v>
      </c>
      <c r="AB252" s="1"/>
      <c r="AC252" s="1"/>
      <c r="AD252" s="1">
        <v>3</v>
      </c>
      <c r="AE252" s="1"/>
      <c r="AF252" s="1">
        <v>3</v>
      </c>
      <c r="AG252" s="1">
        <v>0</v>
      </c>
      <c r="AH252" s="1">
        <v>0</v>
      </c>
      <c r="AI252" s="1">
        <v>0</v>
      </c>
      <c r="AJ252" s="56" t="s">
        <v>21</v>
      </c>
      <c r="AK252" s="56" t="s">
        <v>21</v>
      </c>
      <c r="AL252" s="17"/>
      <c r="AM252" s="18"/>
      <c r="AN252" s="10"/>
    </row>
    <row r="253" spans="2:40">
      <c r="B253" s="1">
        <f t="shared" si="3"/>
        <v>243</v>
      </c>
      <c r="C253" s="1">
        <v>1</v>
      </c>
      <c r="D253" s="1" t="s">
        <v>383</v>
      </c>
      <c r="E253" s="1" t="s">
        <v>381</v>
      </c>
      <c r="F253" s="1" t="s">
        <v>380</v>
      </c>
      <c r="G253" s="1"/>
      <c r="H253" s="1" t="s">
        <v>421</v>
      </c>
      <c r="I253" s="1" t="s">
        <v>85</v>
      </c>
      <c r="J253" s="1" t="s">
        <v>165</v>
      </c>
      <c r="K253" s="1" t="s">
        <v>417</v>
      </c>
      <c r="L253" s="55">
        <v>0</v>
      </c>
      <c r="M253" s="55">
        <v>0</v>
      </c>
      <c r="N253" s="55">
        <v>0</v>
      </c>
      <c r="O253" s="55">
        <v>0</v>
      </c>
      <c r="P253" s="55">
        <v>0</v>
      </c>
      <c r="Q253" s="55">
        <v>0</v>
      </c>
      <c r="R253" s="55">
        <v>0</v>
      </c>
      <c r="S253" s="55">
        <v>0</v>
      </c>
      <c r="T253" s="55">
        <v>0</v>
      </c>
      <c r="U253" s="55">
        <v>0</v>
      </c>
      <c r="V253" s="56">
        <v>4</v>
      </c>
      <c r="W253" s="55">
        <v>0</v>
      </c>
      <c r="X253" s="55">
        <v>0</v>
      </c>
      <c r="Y253" s="55">
        <v>0</v>
      </c>
      <c r="Z253" s="55">
        <v>0</v>
      </c>
      <c r="AA253" s="1">
        <v>0</v>
      </c>
      <c r="AB253" s="1"/>
      <c r="AC253" s="1"/>
      <c r="AD253" s="1">
        <v>3</v>
      </c>
      <c r="AE253" s="1"/>
      <c r="AF253" s="1">
        <v>3</v>
      </c>
      <c r="AG253" s="1">
        <v>0</v>
      </c>
      <c r="AH253" s="1">
        <v>0</v>
      </c>
      <c r="AI253" s="1">
        <v>0</v>
      </c>
      <c r="AJ253" s="56" t="s">
        <v>21</v>
      </c>
      <c r="AK253" s="56" t="s">
        <v>21</v>
      </c>
      <c r="AL253" s="17"/>
      <c r="AM253" s="18"/>
      <c r="AN253" s="10"/>
    </row>
    <row r="254" spans="2:40">
      <c r="B254" s="1">
        <f t="shared" si="3"/>
        <v>244</v>
      </c>
      <c r="C254" s="1">
        <v>1</v>
      </c>
      <c r="D254" s="1" t="s">
        <v>383</v>
      </c>
      <c r="E254" s="1" t="s">
        <v>381</v>
      </c>
      <c r="F254" s="1" t="s">
        <v>380</v>
      </c>
      <c r="G254" s="1"/>
      <c r="H254" s="1" t="s">
        <v>422</v>
      </c>
      <c r="I254" s="1" t="s">
        <v>87</v>
      </c>
      <c r="J254" s="1" t="s">
        <v>165</v>
      </c>
      <c r="K254" s="1" t="s">
        <v>417</v>
      </c>
      <c r="L254" s="55">
        <v>0</v>
      </c>
      <c r="M254" s="55">
        <v>0</v>
      </c>
      <c r="N254" s="55">
        <v>0</v>
      </c>
      <c r="O254" s="55">
        <v>0</v>
      </c>
      <c r="P254" s="55">
        <v>0</v>
      </c>
      <c r="Q254" s="55">
        <v>0</v>
      </c>
      <c r="R254" s="55">
        <v>0</v>
      </c>
      <c r="S254" s="55">
        <v>0</v>
      </c>
      <c r="T254" s="55">
        <v>0</v>
      </c>
      <c r="U254" s="55">
        <v>0</v>
      </c>
      <c r="V254" s="56">
        <v>4</v>
      </c>
      <c r="W254" s="55">
        <v>0</v>
      </c>
      <c r="X254" s="55">
        <v>0</v>
      </c>
      <c r="Y254" s="55">
        <v>0</v>
      </c>
      <c r="Z254" s="55">
        <v>0</v>
      </c>
      <c r="AA254" s="1">
        <v>0</v>
      </c>
      <c r="AB254" s="1"/>
      <c r="AC254" s="1"/>
      <c r="AD254" s="1">
        <v>3</v>
      </c>
      <c r="AE254" s="1"/>
      <c r="AF254" s="1">
        <v>3</v>
      </c>
      <c r="AG254" s="1">
        <v>0</v>
      </c>
      <c r="AH254" s="1">
        <v>0</v>
      </c>
      <c r="AI254" s="1">
        <v>0</v>
      </c>
      <c r="AJ254" s="56" t="s">
        <v>21</v>
      </c>
      <c r="AK254" s="56" t="s">
        <v>21</v>
      </c>
      <c r="AL254" s="17"/>
      <c r="AM254" s="18"/>
      <c r="AN254" s="10"/>
    </row>
    <row r="255" spans="2:40">
      <c r="B255" s="1">
        <f t="shared" si="3"/>
        <v>245</v>
      </c>
      <c r="C255" s="1">
        <v>1</v>
      </c>
      <c r="D255" s="1" t="s">
        <v>383</v>
      </c>
      <c r="E255" s="1" t="s">
        <v>381</v>
      </c>
      <c r="F255" s="1" t="s">
        <v>380</v>
      </c>
      <c r="G255" s="1"/>
      <c r="H255" s="1" t="s">
        <v>423</v>
      </c>
      <c r="I255" s="1" t="s">
        <v>87</v>
      </c>
      <c r="J255" s="1" t="s">
        <v>165</v>
      </c>
      <c r="K255" s="1" t="s">
        <v>417</v>
      </c>
      <c r="L255" s="55">
        <v>0</v>
      </c>
      <c r="M255" s="55">
        <v>0</v>
      </c>
      <c r="N255" s="55">
        <v>0</v>
      </c>
      <c r="O255" s="55">
        <v>0</v>
      </c>
      <c r="P255" s="55">
        <v>0</v>
      </c>
      <c r="Q255" s="55">
        <v>0</v>
      </c>
      <c r="R255" s="55">
        <v>0</v>
      </c>
      <c r="S255" s="55">
        <v>0</v>
      </c>
      <c r="T255" s="55">
        <v>0</v>
      </c>
      <c r="U255" s="55">
        <v>0</v>
      </c>
      <c r="V255" s="56">
        <v>4</v>
      </c>
      <c r="W255" s="55">
        <v>0</v>
      </c>
      <c r="X255" s="55">
        <v>0</v>
      </c>
      <c r="Y255" s="55">
        <v>0</v>
      </c>
      <c r="Z255" s="55">
        <v>0</v>
      </c>
      <c r="AA255" s="1">
        <v>0</v>
      </c>
      <c r="AB255" s="1"/>
      <c r="AC255" s="1"/>
      <c r="AD255" s="1">
        <v>3</v>
      </c>
      <c r="AE255" s="1"/>
      <c r="AF255" s="1">
        <v>3</v>
      </c>
      <c r="AG255" s="1">
        <v>0</v>
      </c>
      <c r="AH255" s="1">
        <v>0</v>
      </c>
      <c r="AI255" s="1">
        <v>0</v>
      </c>
      <c r="AJ255" s="56" t="s">
        <v>21</v>
      </c>
      <c r="AK255" s="56" t="s">
        <v>21</v>
      </c>
      <c r="AL255" s="17"/>
      <c r="AM255" s="18"/>
      <c r="AN255" s="10"/>
    </row>
    <row r="256" spans="2:40">
      <c r="B256" s="1">
        <f t="shared" si="3"/>
        <v>246</v>
      </c>
      <c r="C256" s="1">
        <v>1</v>
      </c>
      <c r="D256" s="1" t="s">
        <v>383</v>
      </c>
      <c r="E256" s="1" t="s">
        <v>381</v>
      </c>
      <c r="F256" s="1" t="s">
        <v>380</v>
      </c>
      <c r="G256" s="1"/>
      <c r="H256" s="1" t="s">
        <v>424</v>
      </c>
      <c r="I256" s="1" t="s">
        <v>85</v>
      </c>
      <c r="J256" s="1" t="s">
        <v>165</v>
      </c>
      <c r="K256" s="1" t="s">
        <v>417</v>
      </c>
      <c r="L256" s="55">
        <v>0</v>
      </c>
      <c r="M256" s="55">
        <v>0</v>
      </c>
      <c r="N256" s="55">
        <v>0</v>
      </c>
      <c r="O256" s="55">
        <v>0</v>
      </c>
      <c r="P256" s="55">
        <v>0</v>
      </c>
      <c r="Q256" s="55">
        <v>0</v>
      </c>
      <c r="R256" s="55">
        <v>0</v>
      </c>
      <c r="S256" s="55">
        <v>0</v>
      </c>
      <c r="T256" s="55">
        <v>0</v>
      </c>
      <c r="U256" s="55">
        <v>0</v>
      </c>
      <c r="V256" s="56">
        <v>4</v>
      </c>
      <c r="W256" s="55">
        <v>0</v>
      </c>
      <c r="X256" s="55">
        <v>0</v>
      </c>
      <c r="Y256" s="55">
        <v>0</v>
      </c>
      <c r="Z256" s="55">
        <v>0</v>
      </c>
      <c r="AA256" s="1">
        <v>0</v>
      </c>
      <c r="AB256" s="1"/>
      <c r="AC256" s="1"/>
      <c r="AD256" s="1">
        <v>3</v>
      </c>
      <c r="AE256" s="1"/>
      <c r="AF256" s="1">
        <v>3</v>
      </c>
      <c r="AG256" s="1">
        <v>0</v>
      </c>
      <c r="AH256" s="1">
        <v>0</v>
      </c>
      <c r="AI256" s="1">
        <v>0</v>
      </c>
      <c r="AJ256" s="56" t="s">
        <v>21</v>
      </c>
      <c r="AK256" s="56" t="s">
        <v>21</v>
      </c>
      <c r="AL256" s="17"/>
      <c r="AM256" s="18"/>
      <c r="AN256" s="10"/>
    </row>
    <row r="257" spans="2:40">
      <c r="B257" s="1">
        <f t="shared" si="3"/>
        <v>247</v>
      </c>
      <c r="C257" s="1">
        <v>1</v>
      </c>
      <c r="D257" s="1" t="s">
        <v>383</v>
      </c>
      <c r="E257" s="1" t="s">
        <v>381</v>
      </c>
      <c r="F257" s="1" t="s">
        <v>380</v>
      </c>
      <c r="G257" s="1"/>
      <c r="H257" s="1" t="s">
        <v>425</v>
      </c>
      <c r="I257" s="1" t="s">
        <v>85</v>
      </c>
      <c r="J257" s="1" t="s">
        <v>165</v>
      </c>
      <c r="K257" s="1" t="s">
        <v>417</v>
      </c>
      <c r="L257" s="55">
        <v>0</v>
      </c>
      <c r="M257" s="55">
        <v>0</v>
      </c>
      <c r="N257" s="55">
        <v>0</v>
      </c>
      <c r="O257" s="55">
        <v>0</v>
      </c>
      <c r="P257" s="55">
        <v>0</v>
      </c>
      <c r="Q257" s="55">
        <v>0</v>
      </c>
      <c r="R257" s="55">
        <v>0</v>
      </c>
      <c r="S257" s="55">
        <v>0</v>
      </c>
      <c r="T257" s="55">
        <v>0</v>
      </c>
      <c r="U257" s="55">
        <v>0</v>
      </c>
      <c r="V257" s="56">
        <v>4</v>
      </c>
      <c r="W257" s="55">
        <v>0</v>
      </c>
      <c r="X257" s="55">
        <v>0</v>
      </c>
      <c r="Y257" s="55">
        <v>0</v>
      </c>
      <c r="Z257" s="55">
        <v>0</v>
      </c>
      <c r="AA257" s="1">
        <v>0</v>
      </c>
      <c r="AB257" s="1"/>
      <c r="AC257" s="1"/>
      <c r="AD257" s="1">
        <v>3</v>
      </c>
      <c r="AE257" s="1"/>
      <c r="AF257" s="1">
        <v>3</v>
      </c>
      <c r="AG257" s="1">
        <v>0</v>
      </c>
      <c r="AH257" s="1">
        <v>0</v>
      </c>
      <c r="AI257" s="1">
        <v>0</v>
      </c>
      <c r="AJ257" s="56" t="s">
        <v>21</v>
      </c>
      <c r="AK257" s="56" t="s">
        <v>21</v>
      </c>
      <c r="AL257" s="17"/>
      <c r="AM257" s="18"/>
      <c r="AN257" s="10"/>
    </row>
    <row r="258" spans="2:40">
      <c r="B258" s="1">
        <f t="shared" si="3"/>
        <v>248</v>
      </c>
      <c r="C258" s="1">
        <v>1</v>
      </c>
      <c r="D258" s="1" t="s">
        <v>383</v>
      </c>
      <c r="E258" s="1" t="s">
        <v>381</v>
      </c>
      <c r="F258" s="1" t="s">
        <v>380</v>
      </c>
      <c r="G258" s="1"/>
      <c r="H258" s="1" t="s">
        <v>426</v>
      </c>
      <c r="I258" s="1" t="s">
        <v>85</v>
      </c>
      <c r="J258" s="1" t="s">
        <v>165</v>
      </c>
      <c r="K258" s="1" t="s">
        <v>417</v>
      </c>
      <c r="L258" s="55">
        <v>0</v>
      </c>
      <c r="M258" s="55">
        <v>0</v>
      </c>
      <c r="N258" s="55">
        <v>0</v>
      </c>
      <c r="O258" s="55">
        <v>0</v>
      </c>
      <c r="P258" s="55">
        <v>0</v>
      </c>
      <c r="Q258" s="55">
        <v>0</v>
      </c>
      <c r="R258" s="55">
        <v>0</v>
      </c>
      <c r="S258" s="55">
        <v>0</v>
      </c>
      <c r="T258" s="55">
        <v>0</v>
      </c>
      <c r="U258" s="55">
        <v>0</v>
      </c>
      <c r="V258" s="56">
        <v>4</v>
      </c>
      <c r="W258" s="55">
        <v>0</v>
      </c>
      <c r="X258" s="55">
        <v>0</v>
      </c>
      <c r="Y258" s="55">
        <v>0</v>
      </c>
      <c r="Z258" s="55">
        <v>0</v>
      </c>
      <c r="AA258" s="1">
        <v>0</v>
      </c>
      <c r="AB258" s="1"/>
      <c r="AC258" s="1"/>
      <c r="AD258" s="1">
        <v>3</v>
      </c>
      <c r="AE258" s="1"/>
      <c r="AF258" s="1">
        <v>3</v>
      </c>
      <c r="AG258" s="1">
        <v>0</v>
      </c>
      <c r="AH258" s="1">
        <v>0</v>
      </c>
      <c r="AI258" s="1">
        <v>0</v>
      </c>
      <c r="AJ258" s="56" t="s">
        <v>21</v>
      </c>
      <c r="AK258" s="56" t="s">
        <v>21</v>
      </c>
      <c r="AL258" s="17"/>
      <c r="AM258" s="18"/>
      <c r="AN258" s="10"/>
    </row>
    <row r="259" spans="2:40">
      <c r="B259" s="1">
        <f t="shared" si="3"/>
        <v>249</v>
      </c>
      <c r="C259" s="1">
        <v>1</v>
      </c>
      <c r="D259" s="1" t="s">
        <v>383</v>
      </c>
      <c r="E259" s="1" t="s">
        <v>381</v>
      </c>
      <c r="F259" s="1" t="s">
        <v>380</v>
      </c>
      <c r="G259" s="1"/>
      <c r="H259" s="1" t="s">
        <v>427</v>
      </c>
      <c r="I259" s="1" t="s">
        <v>85</v>
      </c>
      <c r="J259" s="1" t="s">
        <v>165</v>
      </c>
      <c r="K259" s="1" t="s">
        <v>417</v>
      </c>
      <c r="L259" s="55">
        <v>0</v>
      </c>
      <c r="M259" s="55">
        <v>0</v>
      </c>
      <c r="N259" s="55">
        <v>0</v>
      </c>
      <c r="O259" s="55">
        <v>0</v>
      </c>
      <c r="P259" s="55">
        <v>0</v>
      </c>
      <c r="Q259" s="55">
        <v>0</v>
      </c>
      <c r="R259" s="55">
        <v>0</v>
      </c>
      <c r="S259" s="55">
        <v>0</v>
      </c>
      <c r="T259" s="55">
        <v>0</v>
      </c>
      <c r="U259" s="55">
        <v>0</v>
      </c>
      <c r="V259" s="56">
        <v>4</v>
      </c>
      <c r="W259" s="55">
        <v>0</v>
      </c>
      <c r="X259" s="55">
        <v>0</v>
      </c>
      <c r="Y259" s="55">
        <v>0</v>
      </c>
      <c r="Z259" s="55">
        <v>0</v>
      </c>
      <c r="AA259" s="1">
        <v>0</v>
      </c>
      <c r="AB259" s="1"/>
      <c r="AC259" s="1"/>
      <c r="AD259" s="1">
        <v>3</v>
      </c>
      <c r="AE259" s="1"/>
      <c r="AF259" s="1">
        <v>3</v>
      </c>
      <c r="AG259" s="1">
        <v>0</v>
      </c>
      <c r="AH259" s="1">
        <v>0</v>
      </c>
      <c r="AI259" s="1">
        <v>0</v>
      </c>
      <c r="AJ259" s="56" t="s">
        <v>21</v>
      </c>
      <c r="AK259" s="56" t="s">
        <v>21</v>
      </c>
      <c r="AL259" s="17"/>
      <c r="AM259" s="18"/>
      <c r="AN259" s="10"/>
    </row>
    <row r="260" spans="2:40">
      <c r="B260" s="1">
        <f t="shared" si="3"/>
        <v>250</v>
      </c>
      <c r="C260" s="1">
        <v>1</v>
      </c>
      <c r="D260" s="1" t="s">
        <v>383</v>
      </c>
      <c r="E260" s="1" t="s">
        <v>381</v>
      </c>
      <c r="F260" s="1" t="s">
        <v>380</v>
      </c>
      <c r="G260" s="1"/>
      <c r="H260" s="1" t="s">
        <v>428</v>
      </c>
      <c r="I260" s="1" t="s">
        <v>87</v>
      </c>
      <c r="J260" s="1" t="s">
        <v>165</v>
      </c>
      <c r="K260" s="1" t="s">
        <v>417</v>
      </c>
      <c r="L260" s="55">
        <v>0</v>
      </c>
      <c r="M260" s="55">
        <v>0</v>
      </c>
      <c r="N260" s="55">
        <v>0</v>
      </c>
      <c r="O260" s="55">
        <v>0</v>
      </c>
      <c r="P260" s="55">
        <v>0</v>
      </c>
      <c r="Q260" s="55">
        <v>0</v>
      </c>
      <c r="R260" s="55">
        <v>0</v>
      </c>
      <c r="S260" s="55">
        <v>0</v>
      </c>
      <c r="T260" s="55">
        <v>0</v>
      </c>
      <c r="U260" s="55">
        <v>0</v>
      </c>
      <c r="V260" s="56">
        <v>4</v>
      </c>
      <c r="W260" s="55">
        <v>0</v>
      </c>
      <c r="X260" s="55">
        <v>0</v>
      </c>
      <c r="Y260" s="55">
        <v>0</v>
      </c>
      <c r="Z260" s="55">
        <v>0</v>
      </c>
      <c r="AA260" s="1">
        <v>0</v>
      </c>
      <c r="AB260" s="1"/>
      <c r="AC260" s="1"/>
      <c r="AD260" s="1">
        <v>3</v>
      </c>
      <c r="AE260" s="1"/>
      <c r="AF260" s="1">
        <v>3</v>
      </c>
      <c r="AG260" s="1">
        <v>0</v>
      </c>
      <c r="AH260" s="1">
        <v>0</v>
      </c>
      <c r="AI260" s="1">
        <v>0</v>
      </c>
      <c r="AJ260" s="56" t="s">
        <v>21</v>
      </c>
      <c r="AK260" s="56" t="s">
        <v>21</v>
      </c>
      <c r="AL260" s="17"/>
      <c r="AM260" s="18"/>
      <c r="AN260" s="10"/>
    </row>
    <row r="261" spans="2:40">
      <c r="B261" s="1">
        <f t="shared" si="3"/>
        <v>251</v>
      </c>
      <c r="C261" s="1">
        <v>1</v>
      </c>
      <c r="D261" s="1" t="s">
        <v>383</v>
      </c>
      <c r="E261" s="1" t="s">
        <v>381</v>
      </c>
      <c r="F261" s="1" t="s">
        <v>380</v>
      </c>
      <c r="G261" s="1"/>
      <c r="H261" s="1" t="s">
        <v>429</v>
      </c>
      <c r="I261" s="1" t="s">
        <v>87</v>
      </c>
      <c r="J261" s="1" t="s">
        <v>165</v>
      </c>
      <c r="K261" s="1" t="s">
        <v>417</v>
      </c>
      <c r="L261" s="55">
        <v>0</v>
      </c>
      <c r="M261" s="55">
        <v>0</v>
      </c>
      <c r="N261" s="55">
        <v>0</v>
      </c>
      <c r="O261" s="55">
        <v>0</v>
      </c>
      <c r="P261" s="55">
        <v>0</v>
      </c>
      <c r="Q261" s="55">
        <v>0</v>
      </c>
      <c r="R261" s="55">
        <v>0</v>
      </c>
      <c r="S261" s="55">
        <v>0</v>
      </c>
      <c r="T261" s="55">
        <v>0</v>
      </c>
      <c r="U261" s="55">
        <v>0</v>
      </c>
      <c r="V261" s="56">
        <v>4</v>
      </c>
      <c r="W261" s="55">
        <v>0</v>
      </c>
      <c r="X261" s="55">
        <v>0</v>
      </c>
      <c r="Y261" s="55">
        <v>0</v>
      </c>
      <c r="Z261" s="55">
        <v>0</v>
      </c>
      <c r="AA261" s="1">
        <v>0</v>
      </c>
      <c r="AB261" s="1"/>
      <c r="AC261" s="1"/>
      <c r="AD261" s="1">
        <v>3</v>
      </c>
      <c r="AE261" s="55"/>
      <c r="AF261" s="1">
        <v>3</v>
      </c>
      <c r="AG261" s="1">
        <v>0</v>
      </c>
      <c r="AH261" s="1">
        <v>0</v>
      </c>
      <c r="AI261" s="1">
        <v>0</v>
      </c>
      <c r="AJ261" s="56" t="s">
        <v>21</v>
      </c>
      <c r="AK261" s="56" t="s">
        <v>21</v>
      </c>
      <c r="AL261" s="17"/>
      <c r="AM261" s="18"/>
      <c r="AN261" s="10"/>
    </row>
    <row r="262" spans="2:40">
      <c r="B262" s="1">
        <f t="shared" si="3"/>
        <v>252</v>
      </c>
      <c r="C262" s="1">
        <v>1</v>
      </c>
      <c r="D262" s="1" t="s">
        <v>383</v>
      </c>
      <c r="E262" s="1" t="s">
        <v>381</v>
      </c>
      <c r="F262" s="1" t="s">
        <v>380</v>
      </c>
      <c r="G262" s="1"/>
      <c r="H262" s="1" t="s">
        <v>430</v>
      </c>
      <c r="I262" s="1" t="s">
        <v>87</v>
      </c>
      <c r="J262" s="1" t="s">
        <v>165</v>
      </c>
      <c r="K262" s="1" t="s">
        <v>417</v>
      </c>
      <c r="L262" s="55">
        <v>0</v>
      </c>
      <c r="M262" s="55">
        <v>0</v>
      </c>
      <c r="N262" s="55">
        <v>0</v>
      </c>
      <c r="O262" s="55">
        <v>0</v>
      </c>
      <c r="P262" s="55">
        <v>0</v>
      </c>
      <c r="Q262" s="55">
        <v>0</v>
      </c>
      <c r="R262" s="55">
        <v>0</v>
      </c>
      <c r="S262" s="55">
        <v>0</v>
      </c>
      <c r="T262" s="55">
        <v>0</v>
      </c>
      <c r="U262" s="55">
        <v>0</v>
      </c>
      <c r="V262" s="56">
        <v>4</v>
      </c>
      <c r="W262" s="55">
        <v>0</v>
      </c>
      <c r="X262" s="55">
        <v>0</v>
      </c>
      <c r="Y262" s="55">
        <v>0</v>
      </c>
      <c r="Z262" s="55">
        <v>0</v>
      </c>
      <c r="AA262" s="1">
        <v>0</v>
      </c>
      <c r="AB262" s="1"/>
      <c r="AC262" s="1"/>
      <c r="AD262" s="1">
        <v>3</v>
      </c>
      <c r="AE262" s="55"/>
      <c r="AF262" s="1">
        <v>1</v>
      </c>
      <c r="AG262" s="1">
        <v>0</v>
      </c>
      <c r="AH262" s="1">
        <v>0</v>
      </c>
      <c r="AI262" s="1">
        <v>0</v>
      </c>
      <c r="AJ262" s="57" t="s">
        <v>32</v>
      </c>
      <c r="AK262" s="57" t="s">
        <v>32</v>
      </c>
      <c r="AL262" s="17"/>
      <c r="AM262" s="18"/>
      <c r="AN262" s="10"/>
    </row>
    <row r="263" spans="2:40">
      <c r="B263" s="1">
        <f t="shared" si="3"/>
        <v>253</v>
      </c>
      <c r="C263" s="1">
        <v>0</v>
      </c>
      <c r="D263" s="1" t="s">
        <v>383</v>
      </c>
      <c r="E263" s="1" t="s">
        <v>381</v>
      </c>
      <c r="F263" s="1" t="s">
        <v>380</v>
      </c>
      <c r="G263" s="1"/>
      <c r="H263" s="1" t="s">
        <v>436</v>
      </c>
      <c r="I263" s="1" t="s">
        <v>87</v>
      </c>
      <c r="J263" s="1" t="s">
        <v>165</v>
      </c>
      <c r="K263" s="1" t="s">
        <v>417</v>
      </c>
      <c r="L263" s="55">
        <v>0</v>
      </c>
      <c r="M263" s="55">
        <v>0</v>
      </c>
      <c r="N263" s="55">
        <v>0</v>
      </c>
      <c r="O263" s="55">
        <v>0</v>
      </c>
      <c r="P263" s="55">
        <v>0</v>
      </c>
      <c r="Q263" s="55">
        <v>0</v>
      </c>
      <c r="R263" s="55">
        <v>0</v>
      </c>
      <c r="S263" s="55">
        <v>0</v>
      </c>
      <c r="T263" s="55">
        <v>0</v>
      </c>
      <c r="U263" s="55">
        <v>0</v>
      </c>
      <c r="V263" s="56">
        <v>4</v>
      </c>
      <c r="W263" s="55">
        <v>0</v>
      </c>
      <c r="X263" s="55">
        <v>0</v>
      </c>
      <c r="Y263" s="55">
        <v>0</v>
      </c>
      <c r="Z263" s="55">
        <v>0</v>
      </c>
      <c r="AA263" s="1">
        <v>0</v>
      </c>
      <c r="AB263" s="1"/>
      <c r="AC263" s="1"/>
      <c r="AD263" s="1"/>
      <c r="AE263" s="55"/>
      <c r="AF263" s="1">
        <v>3</v>
      </c>
      <c r="AG263" s="1">
        <v>0</v>
      </c>
      <c r="AH263" s="55">
        <v>0</v>
      </c>
      <c r="AI263" s="55"/>
      <c r="AJ263" s="56" t="s">
        <v>21</v>
      </c>
      <c r="AK263" s="56" t="s">
        <v>21</v>
      </c>
      <c r="AL263" s="17"/>
      <c r="AM263" s="18"/>
      <c r="AN263" s="10"/>
    </row>
    <row r="264" spans="2:40">
      <c r="B264" s="1">
        <f t="shared" si="3"/>
        <v>254</v>
      </c>
      <c r="C264" s="1">
        <v>0</v>
      </c>
      <c r="D264" s="1" t="s">
        <v>383</v>
      </c>
      <c r="E264" s="1" t="s">
        <v>381</v>
      </c>
      <c r="F264" s="1" t="s">
        <v>380</v>
      </c>
      <c r="G264" s="1"/>
      <c r="H264" s="1" t="s">
        <v>377</v>
      </c>
      <c r="I264" s="1" t="s">
        <v>437</v>
      </c>
      <c r="J264" s="1" t="s">
        <v>165</v>
      </c>
      <c r="K264" s="1" t="s">
        <v>417</v>
      </c>
      <c r="L264" s="55">
        <v>0</v>
      </c>
      <c r="M264" s="55">
        <v>0</v>
      </c>
      <c r="N264" s="55">
        <v>0</v>
      </c>
      <c r="O264" s="55">
        <v>0</v>
      </c>
      <c r="P264" s="55">
        <v>0</v>
      </c>
      <c r="Q264" s="55">
        <v>0</v>
      </c>
      <c r="R264" s="55">
        <v>0</v>
      </c>
      <c r="S264" s="55">
        <v>0</v>
      </c>
      <c r="T264" s="55">
        <v>0</v>
      </c>
      <c r="U264" s="55">
        <v>0</v>
      </c>
      <c r="V264" s="56">
        <v>4</v>
      </c>
      <c r="W264" s="55">
        <v>0</v>
      </c>
      <c r="X264" s="55">
        <v>0</v>
      </c>
      <c r="Y264" s="55">
        <v>0</v>
      </c>
      <c r="Z264" s="55">
        <v>0</v>
      </c>
      <c r="AA264" s="1">
        <v>0</v>
      </c>
      <c r="AB264" s="1"/>
      <c r="AC264" s="1"/>
      <c r="AD264" s="1"/>
      <c r="AE264" s="55"/>
      <c r="AF264" s="1">
        <v>3</v>
      </c>
      <c r="AG264" s="1">
        <v>0</v>
      </c>
      <c r="AH264" s="55">
        <v>0</v>
      </c>
      <c r="AI264" s="55"/>
      <c r="AJ264" s="56" t="s">
        <v>21</v>
      </c>
      <c r="AK264" s="56" t="s">
        <v>21</v>
      </c>
      <c r="AL264" s="17"/>
      <c r="AM264" s="18"/>
      <c r="AN264" s="10"/>
    </row>
    <row r="265" spans="2:40">
      <c r="B265" s="1">
        <f t="shared" si="3"/>
        <v>255</v>
      </c>
      <c r="C265" s="1">
        <v>1</v>
      </c>
      <c r="D265" s="1" t="s">
        <v>383</v>
      </c>
      <c r="E265" s="1" t="s">
        <v>381</v>
      </c>
      <c r="F265" s="1" t="s">
        <v>380</v>
      </c>
      <c r="G265" s="1"/>
      <c r="H265" s="1" t="s">
        <v>378</v>
      </c>
      <c r="I265" s="1" t="s">
        <v>85</v>
      </c>
      <c r="J265" s="1" t="s">
        <v>165</v>
      </c>
      <c r="K265" s="1" t="s">
        <v>417</v>
      </c>
      <c r="L265" s="55">
        <v>0</v>
      </c>
      <c r="M265" s="55">
        <v>0</v>
      </c>
      <c r="N265" s="55">
        <v>0</v>
      </c>
      <c r="O265" s="55">
        <v>0</v>
      </c>
      <c r="P265" s="55">
        <v>0</v>
      </c>
      <c r="Q265" s="55">
        <v>0</v>
      </c>
      <c r="R265" s="55">
        <v>0</v>
      </c>
      <c r="S265" s="55">
        <v>0</v>
      </c>
      <c r="T265" s="55">
        <v>0</v>
      </c>
      <c r="U265" s="55">
        <v>0</v>
      </c>
      <c r="V265" s="56">
        <v>4</v>
      </c>
      <c r="W265" s="55">
        <v>0</v>
      </c>
      <c r="X265" s="55">
        <v>0</v>
      </c>
      <c r="Y265" s="55">
        <v>0</v>
      </c>
      <c r="Z265" s="55">
        <v>0</v>
      </c>
      <c r="AA265" s="1">
        <v>0</v>
      </c>
      <c r="AB265" s="1"/>
      <c r="AC265" s="1"/>
      <c r="AD265" s="1">
        <v>3</v>
      </c>
      <c r="AE265" s="55"/>
      <c r="AF265" s="1">
        <v>3</v>
      </c>
      <c r="AG265" s="1">
        <v>0</v>
      </c>
      <c r="AH265" s="1">
        <v>0</v>
      </c>
      <c r="AI265" s="1">
        <v>0</v>
      </c>
      <c r="AJ265" s="56" t="s">
        <v>21</v>
      </c>
      <c r="AK265" s="56" t="s">
        <v>21</v>
      </c>
      <c r="AL265" s="17"/>
      <c r="AM265" s="18"/>
      <c r="AN265" s="10"/>
    </row>
    <row r="266" spans="2:40">
      <c r="B266" s="1">
        <f t="shared" si="3"/>
        <v>256</v>
      </c>
      <c r="C266" s="1">
        <v>1</v>
      </c>
      <c r="D266" s="1" t="s">
        <v>383</v>
      </c>
      <c r="E266" s="1" t="s">
        <v>381</v>
      </c>
      <c r="F266" s="1" t="s">
        <v>380</v>
      </c>
      <c r="G266" s="1"/>
      <c r="H266" s="1" t="s">
        <v>431</v>
      </c>
      <c r="I266" s="1" t="s">
        <v>85</v>
      </c>
      <c r="J266" s="1" t="s">
        <v>165</v>
      </c>
      <c r="K266" s="1" t="s">
        <v>417</v>
      </c>
      <c r="L266" s="55">
        <v>0</v>
      </c>
      <c r="M266" s="55">
        <v>0</v>
      </c>
      <c r="N266" s="55">
        <v>0</v>
      </c>
      <c r="O266" s="55">
        <v>0</v>
      </c>
      <c r="P266" s="55">
        <v>0</v>
      </c>
      <c r="Q266" s="55">
        <v>0</v>
      </c>
      <c r="R266" s="55">
        <v>0</v>
      </c>
      <c r="S266" s="55">
        <v>0</v>
      </c>
      <c r="T266" s="55">
        <v>0</v>
      </c>
      <c r="U266" s="55">
        <v>0</v>
      </c>
      <c r="V266" s="56">
        <v>4</v>
      </c>
      <c r="W266" s="55">
        <v>0</v>
      </c>
      <c r="X266" s="55">
        <v>0</v>
      </c>
      <c r="Y266" s="55">
        <v>0</v>
      </c>
      <c r="Z266" s="55">
        <v>0</v>
      </c>
      <c r="AA266" s="1">
        <v>0</v>
      </c>
      <c r="AB266" s="1"/>
      <c r="AC266" s="1"/>
      <c r="AD266" s="1">
        <v>3</v>
      </c>
      <c r="AE266" s="55"/>
      <c r="AF266" s="1">
        <v>3</v>
      </c>
      <c r="AG266" s="1">
        <v>0</v>
      </c>
      <c r="AH266" s="1">
        <v>0</v>
      </c>
      <c r="AI266" s="1">
        <v>0</v>
      </c>
      <c r="AJ266" s="56" t="s">
        <v>21</v>
      </c>
      <c r="AK266" s="56" t="s">
        <v>21</v>
      </c>
      <c r="AL266" s="17"/>
      <c r="AM266" s="18"/>
      <c r="AN266" s="10"/>
    </row>
    <row r="267" spans="2:40">
      <c r="B267" s="1">
        <f t="shared" si="3"/>
        <v>257</v>
      </c>
      <c r="C267" s="1">
        <v>1</v>
      </c>
      <c r="D267" s="1" t="s">
        <v>383</v>
      </c>
      <c r="E267" s="1" t="s">
        <v>381</v>
      </c>
      <c r="F267" s="1" t="s">
        <v>380</v>
      </c>
      <c r="G267" s="1"/>
      <c r="H267" s="1" t="s">
        <v>379</v>
      </c>
      <c r="I267" s="1" t="s">
        <v>87</v>
      </c>
      <c r="J267" s="1" t="s">
        <v>165</v>
      </c>
      <c r="K267" s="1" t="s">
        <v>417</v>
      </c>
      <c r="L267" s="55">
        <v>0</v>
      </c>
      <c r="M267" s="55">
        <v>0</v>
      </c>
      <c r="N267" s="55">
        <v>0</v>
      </c>
      <c r="O267" s="55">
        <v>0</v>
      </c>
      <c r="P267" s="55">
        <v>0</v>
      </c>
      <c r="Q267" s="55">
        <v>0</v>
      </c>
      <c r="R267" s="55">
        <v>0</v>
      </c>
      <c r="S267" s="55">
        <v>0</v>
      </c>
      <c r="T267" s="55">
        <v>0</v>
      </c>
      <c r="U267" s="55">
        <v>0</v>
      </c>
      <c r="V267" s="56">
        <v>4</v>
      </c>
      <c r="W267" s="55">
        <v>0</v>
      </c>
      <c r="X267" s="55">
        <v>0</v>
      </c>
      <c r="Y267" s="55">
        <v>0</v>
      </c>
      <c r="Z267" s="55">
        <v>0</v>
      </c>
      <c r="AA267" s="1">
        <v>0</v>
      </c>
      <c r="AB267" s="1"/>
      <c r="AC267" s="1"/>
      <c r="AD267" s="1"/>
      <c r="AE267" s="55"/>
      <c r="AF267" s="1">
        <v>1</v>
      </c>
      <c r="AG267" s="1">
        <v>0</v>
      </c>
      <c r="AH267" s="1">
        <v>0</v>
      </c>
      <c r="AI267" s="1">
        <v>0</v>
      </c>
      <c r="AJ267" s="57" t="s">
        <v>32</v>
      </c>
      <c r="AK267" s="57" t="s">
        <v>32</v>
      </c>
      <c r="AL267" s="17"/>
      <c r="AM267" s="18"/>
      <c r="AN267" s="10"/>
    </row>
    <row r="268" spans="2:40">
      <c r="B268" s="1">
        <f t="shared" ref="B268:B317" si="4">B267+1</f>
        <v>258</v>
      </c>
      <c r="C268" s="1">
        <v>1</v>
      </c>
      <c r="D268" s="1" t="s">
        <v>383</v>
      </c>
      <c r="E268" s="1" t="s">
        <v>381</v>
      </c>
      <c r="F268" s="1" t="s">
        <v>380</v>
      </c>
      <c r="G268" s="1"/>
      <c r="H268" s="1" t="s">
        <v>432</v>
      </c>
      <c r="I268" s="1" t="s">
        <v>85</v>
      </c>
      <c r="J268" s="1" t="s">
        <v>165</v>
      </c>
      <c r="K268" s="1" t="s">
        <v>417</v>
      </c>
      <c r="L268" s="55">
        <v>0</v>
      </c>
      <c r="M268" s="55">
        <v>0</v>
      </c>
      <c r="N268" s="55">
        <v>0</v>
      </c>
      <c r="O268" s="55">
        <v>0</v>
      </c>
      <c r="P268" s="55">
        <v>0</v>
      </c>
      <c r="Q268" s="55">
        <v>0</v>
      </c>
      <c r="R268" s="55">
        <v>0</v>
      </c>
      <c r="S268" s="55">
        <v>0</v>
      </c>
      <c r="T268" s="55">
        <v>0</v>
      </c>
      <c r="U268" s="55">
        <v>0</v>
      </c>
      <c r="V268" s="56">
        <v>4</v>
      </c>
      <c r="W268" s="55">
        <v>0</v>
      </c>
      <c r="X268" s="55">
        <v>0</v>
      </c>
      <c r="Y268" s="55">
        <v>0</v>
      </c>
      <c r="Z268" s="55">
        <v>0</v>
      </c>
      <c r="AA268" s="1">
        <v>0</v>
      </c>
      <c r="AB268" s="1"/>
      <c r="AC268" s="1"/>
      <c r="AD268" s="1">
        <v>3</v>
      </c>
      <c r="AE268" s="55"/>
      <c r="AF268" s="1">
        <v>1</v>
      </c>
      <c r="AG268" s="1">
        <v>0</v>
      </c>
      <c r="AH268" s="1">
        <v>0</v>
      </c>
      <c r="AI268" s="1">
        <v>0</v>
      </c>
      <c r="AJ268" s="57" t="s">
        <v>32</v>
      </c>
      <c r="AK268" s="57" t="s">
        <v>32</v>
      </c>
      <c r="AL268" s="17"/>
      <c r="AM268" s="18"/>
      <c r="AN268" s="10"/>
    </row>
    <row r="269" spans="2:40">
      <c r="B269" s="1">
        <f t="shared" si="4"/>
        <v>259</v>
      </c>
      <c r="C269" s="1">
        <v>0</v>
      </c>
      <c r="D269" s="1" t="s">
        <v>383</v>
      </c>
      <c r="E269" s="1" t="s">
        <v>381</v>
      </c>
      <c r="F269" s="1" t="s">
        <v>380</v>
      </c>
      <c r="G269" s="1"/>
      <c r="H269" s="1" t="s">
        <v>433</v>
      </c>
      <c r="I269" s="1" t="s">
        <v>85</v>
      </c>
      <c r="J269" s="1" t="s">
        <v>165</v>
      </c>
      <c r="K269" s="1" t="s">
        <v>417</v>
      </c>
      <c r="L269" s="55">
        <v>0</v>
      </c>
      <c r="M269" s="55">
        <v>0</v>
      </c>
      <c r="N269" s="55">
        <v>0</v>
      </c>
      <c r="O269" s="55">
        <v>0</v>
      </c>
      <c r="P269" s="55">
        <v>0</v>
      </c>
      <c r="Q269" s="55">
        <v>0</v>
      </c>
      <c r="R269" s="55">
        <v>0</v>
      </c>
      <c r="S269" s="55">
        <v>0</v>
      </c>
      <c r="T269" s="55">
        <v>0</v>
      </c>
      <c r="U269" s="55">
        <v>0</v>
      </c>
      <c r="V269" s="56">
        <v>4</v>
      </c>
      <c r="W269" s="55">
        <v>0</v>
      </c>
      <c r="X269" s="55">
        <v>0</v>
      </c>
      <c r="Y269" s="55">
        <v>0</v>
      </c>
      <c r="Z269" s="55">
        <v>0</v>
      </c>
      <c r="AA269" s="1">
        <v>0</v>
      </c>
      <c r="AB269" s="1"/>
      <c r="AC269" s="1"/>
      <c r="AD269" s="1"/>
      <c r="AE269" s="55"/>
      <c r="AF269" s="1">
        <v>3</v>
      </c>
      <c r="AG269" s="1">
        <v>0</v>
      </c>
      <c r="AH269" s="55">
        <v>0</v>
      </c>
      <c r="AI269" s="55">
        <v>0</v>
      </c>
      <c r="AJ269" s="56" t="s">
        <v>21</v>
      </c>
      <c r="AK269" s="56" t="s">
        <v>21</v>
      </c>
      <c r="AL269" s="17"/>
      <c r="AM269" s="18"/>
      <c r="AN269" s="10"/>
    </row>
    <row r="270" spans="2:40">
      <c r="B270" s="1">
        <f t="shared" si="4"/>
        <v>260</v>
      </c>
      <c r="C270" s="1">
        <v>1</v>
      </c>
      <c r="D270" s="1" t="s">
        <v>383</v>
      </c>
      <c r="E270" s="1" t="s">
        <v>381</v>
      </c>
      <c r="F270" s="1" t="s">
        <v>380</v>
      </c>
      <c r="G270" s="1"/>
      <c r="H270" s="1" t="s">
        <v>434</v>
      </c>
      <c r="I270" s="1" t="s">
        <v>87</v>
      </c>
      <c r="J270" s="1" t="s">
        <v>165</v>
      </c>
      <c r="K270" s="1" t="s">
        <v>417</v>
      </c>
      <c r="L270" s="55">
        <v>0</v>
      </c>
      <c r="M270" s="55">
        <v>0</v>
      </c>
      <c r="N270" s="55">
        <v>0</v>
      </c>
      <c r="O270" s="55">
        <v>0</v>
      </c>
      <c r="P270" s="55">
        <v>0</v>
      </c>
      <c r="Q270" s="55">
        <v>0</v>
      </c>
      <c r="R270" s="55">
        <v>0</v>
      </c>
      <c r="S270" s="55">
        <v>0</v>
      </c>
      <c r="T270" s="55">
        <v>0</v>
      </c>
      <c r="U270" s="55">
        <v>0</v>
      </c>
      <c r="V270" s="56">
        <v>4</v>
      </c>
      <c r="W270" s="55">
        <v>0</v>
      </c>
      <c r="X270" s="55">
        <v>0</v>
      </c>
      <c r="Y270" s="55">
        <v>0</v>
      </c>
      <c r="Z270" s="55">
        <v>0</v>
      </c>
      <c r="AA270" s="1">
        <v>0</v>
      </c>
      <c r="AB270" s="1"/>
      <c r="AC270" s="1"/>
      <c r="AD270" s="1"/>
      <c r="AE270" s="55"/>
      <c r="AF270" s="55">
        <v>1</v>
      </c>
      <c r="AG270" s="1">
        <v>0</v>
      </c>
      <c r="AH270" s="1">
        <v>0</v>
      </c>
      <c r="AI270" s="1">
        <v>0</v>
      </c>
      <c r="AJ270" s="57" t="s">
        <v>32</v>
      </c>
      <c r="AK270" s="57" t="s">
        <v>32</v>
      </c>
      <c r="AL270" s="17"/>
      <c r="AM270" s="18"/>
      <c r="AN270" s="10"/>
    </row>
    <row r="271" spans="2:40">
      <c r="B271" s="1">
        <f t="shared" si="4"/>
        <v>261</v>
      </c>
      <c r="C271" s="1">
        <v>1</v>
      </c>
      <c r="D271" s="1" t="s">
        <v>383</v>
      </c>
      <c r="E271" s="1" t="s">
        <v>381</v>
      </c>
      <c r="F271" s="1" t="s">
        <v>380</v>
      </c>
      <c r="G271" s="1"/>
      <c r="H271" s="1" t="s">
        <v>435</v>
      </c>
      <c r="I271" s="1" t="s">
        <v>87</v>
      </c>
      <c r="J271" s="1" t="s">
        <v>165</v>
      </c>
      <c r="K271" s="1" t="s">
        <v>417</v>
      </c>
      <c r="L271" s="55">
        <v>0</v>
      </c>
      <c r="M271" s="55">
        <v>0</v>
      </c>
      <c r="N271" s="55">
        <v>0</v>
      </c>
      <c r="O271" s="55">
        <v>0</v>
      </c>
      <c r="P271" s="55">
        <v>0</v>
      </c>
      <c r="Q271" s="55">
        <v>0</v>
      </c>
      <c r="R271" s="55">
        <v>0</v>
      </c>
      <c r="S271" s="55">
        <v>0</v>
      </c>
      <c r="T271" s="55">
        <v>0</v>
      </c>
      <c r="U271" s="55">
        <v>0</v>
      </c>
      <c r="V271" s="56">
        <v>4</v>
      </c>
      <c r="W271" s="55">
        <v>0</v>
      </c>
      <c r="X271" s="55">
        <v>0</v>
      </c>
      <c r="Y271" s="55">
        <v>0</v>
      </c>
      <c r="Z271" s="55">
        <v>0</v>
      </c>
      <c r="AA271" s="1">
        <v>0</v>
      </c>
      <c r="AB271" s="1"/>
      <c r="AC271" s="1"/>
      <c r="AD271" s="1"/>
      <c r="AE271" s="55"/>
      <c r="AF271" s="55">
        <v>1</v>
      </c>
      <c r="AG271" s="1">
        <v>0</v>
      </c>
      <c r="AH271" s="1">
        <v>0</v>
      </c>
      <c r="AI271" s="1">
        <v>0</v>
      </c>
      <c r="AJ271" s="57" t="s">
        <v>32</v>
      </c>
      <c r="AK271" s="57" t="s">
        <v>32</v>
      </c>
      <c r="AL271" s="17"/>
      <c r="AM271" s="18"/>
      <c r="AN271" s="10"/>
    </row>
    <row r="272" spans="2:40">
      <c r="B272" s="1">
        <f t="shared" si="4"/>
        <v>262</v>
      </c>
      <c r="C272" s="1">
        <v>1</v>
      </c>
      <c r="D272" s="1" t="s">
        <v>220</v>
      </c>
      <c r="E272" s="1" t="s">
        <v>52</v>
      </c>
      <c r="F272" s="1" t="s">
        <v>321</v>
      </c>
      <c r="G272" s="1" t="s">
        <v>321</v>
      </c>
      <c r="H272" s="1" t="s">
        <v>388</v>
      </c>
      <c r="I272" s="1" t="s">
        <v>85</v>
      </c>
      <c r="J272" s="1" t="s">
        <v>491</v>
      </c>
      <c r="K272" s="1" t="s">
        <v>11</v>
      </c>
      <c r="L272" s="1">
        <v>0</v>
      </c>
      <c r="M272" s="1">
        <v>4</v>
      </c>
      <c r="N272" s="1">
        <v>0</v>
      </c>
      <c r="O272" s="1">
        <v>0</v>
      </c>
      <c r="P272" s="1">
        <v>0</v>
      </c>
      <c r="Q272" s="1">
        <v>0</v>
      </c>
      <c r="R272" s="1">
        <v>0</v>
      </c>
      <c r="S272" s="1">
        <v>0</v>
      </c>
      <c r="T272" s="1">
        <v>4</v>
      </c>
      <c r="U272" s="1">
        <v>0</v>
      </c>
      <c r="V272" s="1">
        <v>0</v>
      </c>
      <c r="W272" s="1">
        <v>0</v>
      </c>
      <c r="X272" s="1">
        <v>0</v>
      </c>
      <c r="Y272" s="1">
        <v>0</v>
      </c>
      <c r="Z272" s="1">
        <v>0</v>
      </c>
      <c r="AA272" s="55">
        <v>4</v>
      </c>
      <c r="AB272" s="55"/>
      <c r="AC272" s="55"/>
      <c r="AD272" s="55">
        <v>4</v>
      </c>
      <c r="AE272" s="55"/>
      <c r="AF272" s="55"/>
      <c r="AG272" s="1">
        <v>0</v>
      </c>
      <c r="AH272" s="1">
        <v>0</v>
      </c>
      <c r="AI272" s="1">
        <v>0</v>
      </c>
      <c r="AJ272" s="1" t="s">
        <v>32</v>
      </c>
      <c r="AK272" s="1" t="s">
        <v>32</v>
      </c>
      <c r="AL272" s="17"/>
      <c r="AM272" s="18"/>
      <c r="AN272" s="10" t="s">
        <v>343</v>
      </c>
    </row>
    <row r="273" spans="2:41">
      <c r="B273" s="1">
        <f t="shared" si="4"/>
        <v>263</v>
      </c>
      <c r="C273" s="1">
        <v>0</v>
      </c>
      <c r="D273" s="1" t="s">
        <v>220</v>
      </c>
      <c r="E273" s="1" t="s">
        <v>52</v>
      </c>
      <c r="F273" s="1" t="s">
        <v>321</v>
      </c>
      <c r="G273" s="1" t="s">
        <v>321</v>
      </c>
      <c r="H273" s="1" t="s">
        <v>389</v>
      </c>
      <c r="I273" s="1" t="s">
        <v>85</v>
      </c>
      <c r="J273" s="1" t="s">
        <v>491</v>
      </c>
      <c r="K273" s="1" t="s">
        <v>11</v>
      </c>
      <c r="L273" s="1">
        <v>0</v>
      </c>
      <c r="M273" s="1">
        <v>4</v>
      </c>
      <c r="N273" s="1">
        <v>0</v>
      </c>
      <c r="O273" s="1">
        <v>0</v>
      </c>
      <c r="P273" s="1">
        <v>0</v>
      </c>
      <c r="Q273" s="1">
        <v>0</v>
      </c>
      <c r="R273" s="1">
        <v>0</v>
      </c>
      <c r="S273" s="1">
        <v>0</v>
      </c>
      <c r="T273" s="1">
        <v>4</v>
      </c>
      <c r="U273" s="1">
        <v>0</v>
      </c>
      <c r="V273" s="1">
        <v>0</v>
      </c>
      <c r="W273" s="1">
        <v>0</v>
      </c>
      <c r="X273" s="1">
        <v>0</v>
      </c>
      <c r="Y273" s="1">
        <v>0</v>
      </c>
      <c r="Z273" s="1">
        <v>0</v>
      </c>
      <c r="AA273" s="55">
        <v>4</v>
      </c>
      <c r="AB273" s="55"/>
      <c r="AC273" s="55"/>
      <c r="AD273" s="55">
        <v>4</v>
      </c>
      <c r="AE273" s="55"/>
      <c r="AF273" s="55"/>
      <c r="AG273" s="1">
        <v>0</v>
      </c>
      <c r="AH273" s="1">
        <v>0</v>
      </c>
      <c r="AI273" s="1"/>
      <c r="AJ273" s="1" t="s">
        <v>32</v>
      </c>
      <c r="AK273" s="1" t="s">
        <v>32</v>
      </c>
      <c r="AL273" s="17"/>
      <c r="AM273" s="18"/>
      <c r="AN273" s="10" t="s">
        <v>343</v>
      </c>
    </row>
    <row r="274" spans="2:41">
      <c r="B274" s="1">
        <f t="shared" si="4"/>
        <v>264</v>
      </c>
      <c r="C274" s="1">
        <v>1</v>
      </c>
      <c r="D274" s="1" t="s">
        <v>220</v>
      </c>
      <c r="E274" s="1" t="s">
        <v>52</v>
      </c>
      <c r="F274" s="1" t="s">
        <v>321</v>
      </c>
      <c r="G274" s="1" t="s">
        <v>321</v>
      </c>
      <c r="H274" s="1" t="s">
        <v>390</v>
      </c>
      <c r="I274" s="1" t="s">
        <v>85</v>
      </c>
      <c r="J274" s="1" t="s">
        <v>491</v>
      </c>
      <c r="K274" s="1" t="s">
        <v>11</v>
      </c>
      <c r="L274" s="1">
        <v>0</v>
      </c>
      <c r="M274" s="1">
        <v>4</v>
      </c>
      <c r="N274" s="1">
        <v>0</v>
      </c>
      <c r="O274" s="1">
        <v>0</v>
      </c>
      <c r="P274" s="1">
        <v>0</v>
      </c>
      <c r="Q274" s="1">
        <v>0</v>
      </c>
      <c r="R274" s="1">
        <v>0</v>
      </c>
      <c r="S274" s="1">
        <v>0</v>
      </c>
      <c r="T274" s="1">
        <v>4</v>
      </c>
      <c r="U274" s="1">
        <v>0</v>
      </c>
      <c r="V274" s="1">
        <v>0</v>
      </c>
      <c r="W274" s="1">
        <v>0</v>
      </c>
      <c r="X274" s="1">
        <v>0</v>
      </c>
      <c r="Y274" s="1">
        <v>0</v>
      </c>
      <c r="Z274" s="1">
        <v>0</v>
      </c>
      <c r="AA274" s="55">
        <v>4</v>
      </c>
      <c r="AB274" s="55"/>
      <c r="AC274" s="55"/>
      <c r="AD274" s="55">
        <v>4</v>
      </c>
      <c r="AE274" s="55"/>
      <c r="AF274" s="55"/>
      <c r="AG274" s="1">
        <v>0</v>
      </c>
      <c r="AH274" s="1">
        <v>0</v>
      </c>
      <c r="AI274" s="1">
        <v>0</v>
      </c>
      <c r="AJ274" s="1" t="s">
        <v>32</v>
      </c>
      <c r="AK274" s="1" t="s">
        <v>32</v>
      </c>
      <c r="AL274" s="17"/>
      <c r="AM274" s="18"/>
      <c r="AN274" s="10" t="s">
        <v>343</v>
      </c>
    </row>
    <row r="275" spans="2:41">
      <c r="B275" s="1">
        <f t="shared" si="4"/>
        <v>265</v>
      </c>
      <c r="C275" s="1">
        <v>1</v>
      </c>
      <c r="D275" s="1" t="s">
        <v>220</v>
      </c>
      <c r="E275" s="1" t="s">
        <v>52</v>
      </c>
      <c r="F275" s="1" t="s">
        <v>321</v>
      </c>
      <c r="G275" s="1" t="s">
        <v>321</v>
      </c>
      <c r="H275" s="1" t="s">
        <v>391</v>
      </c>
      <c r="I275" s="1" t="s">
        <v>87</v>
      </c>
      <c r="J275" s="1" t="s">
        <v>491</v>
      </c>
      <c r="K275" s="1" t="s">
        <v>11</v>
      </c>
      <c r="L275" s="1">
        <v>0</v>
      </c>
      <c r="M275" s="1">
        <v>4</v>
      </c>
      <c r="N275" s="1">
        <v>0</v>
      </c>
      <c r="O275" s="1">
        <v>0</v>
      </c>
      <c r="P275" s="1">
        <v>0</v>
      </c>
      <c r="Q275" s="1">
        <v>0</v>
      </c>
      <c r="R275" s="1">
        <v>0</v>
      </c>
      <c r="S275" s="1">
        <v>0</v>
      </c>
      <c r="T275" s="1">
        <v>4</v>
      </c>
      <c r="U275" s="1">
        <v>0</v>
      </c>
      <c r="V275" s="1">
        <v>0</v>
      </c>
      <c r="W275" s="1">
        <v>0</v>
      </c>
      <c r="X275" s="1">
        <v>0</v>
      </c>
      <c r="Y275" s="1">
        <v>0</v>
      </c>
      <c r="Z275" s="1">
        <v>0</v>
      </c>
      <c r="AA275" s="55">
        <v>4</v>
      </c>
      <c r="AB275" s="55"/>
      <c r="AC275" s="55"/>
      <c r="AD275" s="55">
        <v>4</v>
      </c>
      <c r="AE275" s="55"/>
      <c r="AF275" s="55"/>
      <c r="AG275" s="1">
        <v>0</v>
      </c>
      <c r="AH275" s="1">
        <v>0</v>
      </c>
      <c r="AI275" s="1">
        <v>0</v>
      </c>
      <c r="AJ275" s="1" t="s">
        <v>32</v>
      </c>
      <c r="AK275" s="1" t="s">
        <v>32</v>
      </c>
      <c r="AL275" s="17"/>
      <c r="AM275" s="18"/>
      <c r="AN275" s="10" t="s">
        <v>343</v>
      </c>
    </row>
    <row r="276" spans="2:41">
      <c r="B276" s="1">
        <f t="shared" si="4"/>
        <v>266</v>
      </c>
      <c r="C276" s="1">
        <v>1</v>
      </c>
      <c r="D276" s="1" t="s">
        <v>220</v>
      </c>
      <c r="E276" s="1" t="s">
        <v>52</v>
      </c>
      <c r="F276" s="1" t="s">
        <v>321</v>
      </c>
      <c r="G276" s="1" t="s">
        <v>321</v>
      </c>
      <c r="H276" s="1" t="s">
        <v>392</v>
      </c>
      <c r="I276" s="1" t="s">
        <v>87</v>
      </c>
      <c r="J276" s="1" t="s">
        <v>491</v>
      </c>
      <c r="K276" s="1" t="s">
        <v>11</v>
      </c>
      <c r="L276" s="1">
        <v>0</v>
      </c>
      <c r="M276" s="1">
        <v>4</v>
      </c>
      <c r="N276" s="1">
        <v>0</v>
      </c>
      <c r="O276" s="1">
        <v>0</v>
      </c>
      <c r="P276" s="1">
        <v>0</v>
      </c>
      <c r="Q276" s="1">
        <v>0</v>
      </c>
      <c r="R276" s="1">
        <v>0</v>
      </c>
      <c r="S276" s="1">
        <v>0</v>
      </c>
      <c r="T276" s="1">
        <v>4</v>
      </c>
      <c r="U276" s="1">
        <v>0</v>
      </c>
      <c r="V276" s="1">
        <v>0</v>
      </c>
      <c r="W276" s="1">
        <v>0</v>
      </c>
      <c r="X276" s="1">
        <v>0</v>
      </c>
      <c r="Y276" s="1">
        <v>0</v>
      </c>
      <c r="Z276" s="1">
        <v>0</v>
      </c>
      <c r="AA276" s="55">
        <v>4</v>
      </c>
      <c r="AB276" s="55"/>
      <c r="AC276" s="55"/>
      <c r="AD276" s="55">
        <v>4</v>
      </c>
      <c r="AE276" s="55"/>
      <c r="AF276" s="55"/>
      <c r="AG276" s="1">
        <v>0</v>
      </c>
      <c r="AH276" s="1">
        <v>0</v>
      </c>
      <c r="AI276" s="1">
        <v>0</v>
      </c>
      <c r="AJ276" s="1" t="s">
        <v>32</v>
      </c>
      <c r="AK276" s="1" t="s">
        <v>32</v>
      </c>
      <c r="AL276" s="17"/>
      <c r="AM276" s="18"/>
      <c r="AN276" s="10" t="s">
        <v>343</v>
      </c>
    </row>
    <row r="277" spans="2:41">
      <c r="B277" s="1">
        <f t="shared" si="4"/>
        <v>267</v>
      </c>
      <c r="C277" s="1">
        <v>1</v>
      </c>
      <c r="D277" s="1" t="s">
        <v>220</v>
      </c>
      <c r="E277" s="1" t="s">
        <v>52</v>
      </c>
      <c r="F277" s="1" t="s">
        <v>321</v>
      </c>
      <c r="G277" s="1" t="s">
        <v>321</v>
      </c>
      <c r="H277" s="1" t="s">
        <v>393</v>
      </c>
      <c r="I277" s="1" t="s">
        <v>87</v>
      </c>
      <c r="J277" s="1" t="s">
        <v>491</v>
      </c>
      <c r="K277" s="1" t="s">
        <v>11</v>
      </c>
      <c r="L277" s="1">
        <v>0</v>
      </c>
      <c r="M277" s="1">
        <v>4</v>
      </c>
      <c r="N277" s="1">
        <v>0</v>
      </c>
      <c r="O277" s="1">
        <v>0</v>
      </c>
      <c r="P277" s="1">
        <v>0</v>
      </c>
      <c r="Q277" s="1">
        <v>0</v>
      </c>
      <c r="R277" s="1">
        <v>0</v>
      </c>
      <c r="S277" s="1">
        <v>0</v>
      </c>
      <c r="T277" s="1">
        <v>4</v>
      </c>
      <c r="U277" s="1">
        <v>0</v>
      </c>
      <c r="V277" s="1">
        <v>0</v>
      </c>
      <c r="W277" s="1">
        <v>0</v>
      </c>
      <c r="X277" s="1">
        <v>0</v>
      </c>
      <c r="Y277" s="1">
        <v>0</v>
      </c>
      <c r="Z277" s="1">
        <v>0</v>
      </c>
      <c r="AA277" s="55">
        <v>4</v>
      </c>
      <c r="AB277" s="55"/>
      <c r="AC277" s="55"/>
      <c r="AD277" s="55">
        <v>4</v>
      </c>
      <c r="AE277" s="55"/>
      <c r="AF277" s="55"/>
      <c r="AG277" s="1">
        <v>0</v>
      </c>
      <c r="AH277" s="1">
        <v>0</v>
      </c>
      <c r="AI277" s="1">
        <v>0</v>
      </c>
      <c r="AJ277" s="1" t="s">
        <v>32</v>
      </c>
      <c r="AK277" s="1" t="s">
        <v>32</v>
      </c>
      <c r="AL277" s="17"/>
      <c r="AM277" s="18"/>
      <c r="AN277" s="10" t="s">
        <v>343</v>
      </c>
    </row>
    <row r="278" spans="2:41">
      <c r="B278" s="1">
        <f t="shared" si="4"/>
        <v>268</v>
      </c>
      <c r="C278" s="1">
        <v>1</v>
      </c>
      <c r="D278" s="1" t="s">
        <v>220</v>
      </c>
      <c r="E278" s="1" t="s">
        <v>52</v>
      </c>
      <c r="F278" s="1" t="s">
        <v>321</v>
      </c>
      <c r="G278" s="1" t="s">
        <v>321</v>
      </c>
      <c r="H278" s="1" t="s">
        <v>394</v>
      </c>
      <c r="I278" s="1" t="s">
        <v>87</v>
      </c>
      <c r="J278" s="1" t="s">
        <v>491</v>
      </c>
      <c r="K278" s="1" t="s">
        <v>11</v>
      </c>
      <c r="L278" s="1">
        <v>0</v>
      </c>
      <c r="M278" s="1">
        <v>4</v>
      </c>
      <c r="N278" s="1">
        <v>0</v>
      </c>
      <c r="O278" s="1">
        <v>0</v>
      </c>
      <c r="P278" s="1">
        <v>0</v>
      </c>
      <c r="Q278" s="1">
        <v>0</v>
      </c>
      <c r="R278" s="1">
        <v>0</v>
      </c>
      <c r="S278" s="1">
        <v>0</v>
      </c>
      <c r="T278" s="1">
        <v>4</v>
      </c>
      <c r="U278" s="1">
        <v>0</v>
      </c>
      <c r="V278" s="1">
        <v>0</v>
      </c>
      <c r="W278" s="1">
        <v>0</v>
      </c>
      <c r="X278" s="1">
        <v>0</v>
      </c>
      <c r="Y278" s="1">
        <v>0</v>
      </c>
      <c r="Z278" s="1">
        <v>0</v>
      </c>
      <c r="AA278" s="55">
        <v>4</v>
      </c>
      <c r="AB278" s="55"/>
      <c r="AC278" s="55"/>
      <c r="AD278" s="55">
        <v>4</v>
      </c>
      <c r="AE278" s="55"/>
      <c r="AF278" s="55"/>
      <c r="AG278" s="1">
        <v>0</v>
      </c>
      <c r="AH278" s="1">
        <v>0</v>
      </c>
      <c r="AI278" s="1">
        <v>0</v>
      </c>
      <c r="AJ278" s="1" t="s">
        <v>32</v>
      </c>
      <c r="AK278" s="1" t="s">
        <v>32</v>
      </c>
      <c r="AL278" s="17"/>
      <c r="AM278" s="18"/>
      <c r="AN278" s="10" t="s">
        <v>343</v>
      </c>
    </row>
    <row r="279" spans="2:41">
      <c r="B279" s="1">
        <f t="shared" si="4"/>
        <v>269</v>
      </c>
      <c r="C279" s="1">
        <v>1</v>
      </c>
      <c r="D279" s="1" t="s">
        <v>220</v>
      </c>
      <c r="E279" s="1" t="s">
        <v>52</v>
      </c>
      <c r="F279" s="1" t="s">
        <v>321</v>
      </c>
      <c r="G279" s="1" t="s">
        <v>321</v>
      </c>
      <c r="H279" s="1" t="s">
        <v>395</v>
      </c>
      <c r="I279" s="1" t="s">
        <v>86</v>
      </c>
      <c r="J279" s="1" t="s">
        <v>491</v>
      </c>
      <c r="K279" s="1" t="s">
        <v>11</v>
      </c>
      <c r="L279" s="1">
        <v>0</v>
      </c>
      <c r="M279" s="1">
        <v>4</v>
      </c>
      <c r="N279" s="1">
        <v>0</v>
      </c>
      <c r="O279" s="1">
        <v>0</v>
      </c>
      <c r="P279" s="1">
        <v>0</v>
      </c>
      <c r="Q279" s="1">
        <v>0</v>
      </c>
      <c r="R279" s="1">
        <v>0</v>
      </c>
      <c r="S279" s="1">
        <v>0</v>
      </c>
      <c r="T279" s="1">
        <v>4</v>
      </c>
      <c r="U279" s="1">
        <v>0</v>
      </c>
      <c r="V279" s="1">
        <v>0</v>
      </c>
      <c r="W279" s="1">
        <v>0</v>
      </c>
      <c r="X279" s="1">
        <v>0</v>
      </c>
      <c r="Y279" s="1">
        <v>0</v>
      </c>
      <c r="Z279" s="1">
        <v>0</v>
      </c>
      <c r="AA279" s="55">
        <v>4</v>
      </c>
      <c r="AB279" s="55"/>
      <c r="AC279" s="55"/>
      <c r="AD279" s="55">
        <v>4</v>
      </c>
      <c r="AE279" s="55"/>
      <c r="AF279" s="55"/>
      <c r="AG279" s="1">
        <v>0</v>
      </c>
      <c r="AH279" s="1">
        <v>0</v>
      </c>
      <c r="AI279" s="1">
        <v>0</v>
      </c>
      <c r="AJ279" s="1" t="s">
        <v>32</v>
      </c>
      <c r="AK279" s="1" t="s">
        <v>32</v>
      </c>
      <c r="AL279" s="17"/>
      <c r="AM279" s="18"/>
      <c r="AN279" s="10" t="s">
        <v>343</v>
      </c>
    </row>
    <row r="280" spans="2:41">
      <c r="B280" s="1">
        <f t="shared" si="4"/>
        <v>270</v>
      </c>
      <c r="C280" s="1">
        <v>0</v>
      </c>
      <c r="D280" s="1" t="s">
        <v>220</v>
      </c>
      <c r="E280" s="1" t="s">
        <v>52</v>
      </c>
      <c r="F280" s="1" t="s">
        <v>321</v>
      </c>
      <c r="G280" s="1" t="s">
        <v>321</v>
      </c>
      <c r="H280" s="1" t="s">
        <v>396</v>
      </c>
      <c r="I280" s="1" t="s">
        <v>85</v>
      </c>
      <c r="J280" s="1" t="s">
        <v>491</v>
      </c>
      <c r="K280" s="1" t="s">
        <v>11</v>
      </c>
      <c r="L280" s="1">
        <v>0</v>
      </c>
      <c r="M280" s="1">
        <v>4</v>
      </c>
      <c r="N280" s="1">
        <v>0</v>
      </c>
      <c r="O280" s="1">
        <v>0</v>
      </c>
      <c r="P280" s="1">
        <v>0</v>
      </c>
      <c r="Q280" s="1">
        <v>0</v>
      </c>
      <c r="R280" s="1">
        <v>0</v>
      </c>
      <c r="S280" s="1">
        <v>0</v>
      </c>
      <c r="T280" s="1">
        <v>4</v>
      </c>
      <c r="U280" s="1">
        <v>0</v>
      </c>
      <c r="V280" s="1">
        <v>0</v>
      </c>
      <c r="W280" s="1">
        <v>0</v>
      </c>
      <c r="X280" s="1">
        <v>0</v>
      </c>
      <c r="Y280" s="1">
        <v>0</v>
      </c>
      <c r="Z280" s="1">
        <v>0</v>
      </c>
      <c r="AA280" s="55">
        <v>4</v>
      </c>
      <c r="AB280" s="55"/>
      <c r="AC280" s="55"/>
      <c r="AD280" s="55">
        <v>4</v>
      </c>
      <c r="AE280" s="55"/>
      <c r="AF280" s="55"/>
      <c r="AG280" s="1">
        <v>0</v>
      </c>
      <c r="AH280" s="1">
        <v>0</v>
      </c>
      <c r="AI280" s="1"/>
      <c r="AJ280" s="1" t="s">
        <v>32</v>
      </c>
      <c r="AK280" s="1" t="s">
        <v>32</v>
      </c>
      <c r="AL280" s="17"/>
      <c r="AM280" s="18"/>
      <c r="AN280" s="10" t="s">
        <v>343</v>
      </c>
    </row>
    <row r="281" spans="2:41">
      <c r="B281" s="1">
        <f t="shared" si="4"/>
        <v>271</v>
      </c>
      <c r="C281" s="1">
        <v>1</v>
      </c>
      <c r="D281" s="1" t="s">
        <v>220</v>
      </c>
      <c r="E281" s="1" t="s">
        <v>52</v>
      </c>
      <c r="F281" s="1" t="s">
        <v>321</v>
      </c>
      <c r="G281" s="1" t="s">
        <v>321</v>
      </c>
      <c r="H281" s="1" t="s">
        <v>397</v>
      </c>
      <c r="I281" s="1" t="s">
        <v>85</v>
      </c>
      <c r="J281" s="1" t="s">
        <v>491</v>
      </c>
      <c r="K281" s="1" t="s">
        <v>11</v>
      </c>
      <c r="L281" s="1">
        <v>0</v>
      </c>
      <c r="M281" s="1">
        <v>4</v>
      </c>
      <c r="N281" s="1">
        <v>0</v>
      </c>
      <c r="O281" s="1">
        <v>0</v>
      </c>
      <c r="P281" s="1">
        <v>0</v>
      </c>
      <c r="Q281" s="1">
        <v>0</v>
      </c>
      <c r="R281" s="1">
        <v>0</v>
      </c>
      <c r="S281" s="1">
        <v>0</v>
      </c>
      <c r="T281" s="1">
        <v>4</v>
      </c>
      <c r="U281" s="1">
        <v>0</v>
      </c>
      <c r="V281" s="1">
        <v>0</v>
      </c>
      <c r="W281" s="1">
        <v>0</v>
      </c>
      <c r="X281" s="1">
        <v>0</v>
      </c>
      <c r="Y281" s="1">
        <v>0</v>
      </c>
      <c r="Z281" s="1">
        <v>0</v>
      </c>
      <c r="AA281" s="55">
        <v>4</v>
      </c>
      <c r="AB281" s="55"/>
      <c r="AC281" s="55"/>
      <c r="AD281" s="55">
        <v>4</v>
      </c>
      <c r="AE281" s="55"/>
      <c r="AF281" s="55"/>
      <c r="AG281" s="1">
        <v>0</v>
      </c>
      <c r="AH281" s="1">
        <v>0</v>
      </c>
      <c r="AI281" s="1">
        <v>0</v>
      </c>
      <c r="AJ281" s="1" t="s">
        <v>32</v>
      </c>
      <c r="AK281" s="1" t="s">
        <v>32</v>
      </c>
      <c r="AL281" s="17"/>
      <c r="AM281" s="18"/>
      <c r="AN281" s="10" t="s">
        <v>343</v>
      </c>
    </row>
    <row r="282" spans="2:41">
      <c r="B282" s="1">
        <f t="shared" si="4"/>
        <v>272</v>
      </c>
      <c r="C282" s="1">
        <v>0</v>
      </c>
      <c r="D282" s="1" t="s">
        <v>186</v>
      </c>
      <c r="E282" s="1" t="s">
        <v>186</v>
      </c>
      <c r="F282" s="1" t="s">
        <v>19</v>
      </c>
      <c r="G282" s="1"/>
      <c r="H282" s="1" t="s">
        <v>399</v>
      </c>
      <c r="I282" s="1" t="s">
        <v>87</v>
      </c>
      <c r="J282" s="1" t="s">
        <v>340</v>
      </c>
      <c r="K282" s="1" t="s">
        <v>408</v>
      </c>
      <c r="L282" s="1">
        <v>0</v>
      </c>
      <c r="M282" s="1">
        <v>0</v>
      </c>
      <c r="N282" s="1">
        <v>0</v>
      </c>
      <c r="O282" s="1">
        <v>0</v>
      </c>
      <c r="P282" s="1">
        <v>0</v>
      </c>
      <c r="Q282" s="1">
        <v>0</v>
      </c>
      <c r="R282" s="1">
        <v>0</v>
      </c>
      <c r="S282" s="1">
        <v>0</v>
      </c>
      <c r="T282" s="1">
        <v>0</v>
      </c>
      <c r="U282" s="1">
        <v>0</v>
      </c>
      <c r="V282" s="1">
        <v>0</v>
      </c>
      <c r="W282" s="1">
        <v>0</v>
      </c>
      <c r="X282" s="1">
        <v>4</v>
      </c>
      <c r="Y282" s="1">
        <v>0</v>
      </c>
      <c r="Z282" s="1">
        <v>3</v>
      </c>
      <c r="AA282" s="55">
        <v>0</v>
      </c>
      <c r="AB282" s="55"/>
      <c r="AC282" s="55"/>
      <c r="AD282" s="55"/>
      <c r="AE282" s="55">
        <v>4</v>
      </c>
      <c r="AF282" s="55">
        <v>0</v>
      </c>
      <c r="AG282" s="1">
        <v>0</v>
      </c>
      <c r="AH282" s="1">
        <v>0</v>
      </c>
      <c r="AI282" s="1">
        <v>0</v>
      </c>
      <c r="AJ282" s="1" t="s">
        <v>21</v>
      </c>
      <c r="AK282" s="1" t="s">
        <v>21</v>
      </c>
      <c r="AL282" s="17"/>
      <c r="AM282" s="18"/>
      <c r="AN282" s="10"/>
    </row>
    <row r="283" spans="2:41" s="53" customFormat="1" ht="15" customHeight="1">
      <c r="B283" s="1">
        <f t="shared" si="4"/>
        <v>273</v>
      </c>
      <c r="C283" s="1">
        <v>0</v>
      </c>
      <c r="D283" s="1" t="s">
        <v>186</v>
      </c>
      <c r="E283" s="1" t="s">
        <v>186</v>
      </c>
      <c r="F283" s="1" t="s">
        <v>109</v>
      </c>
      <c r="G283" s="1"/>
      <c r="H283" s="1" t="s">
        <v>400</v>
      </c>
      <c r="I283" s="1" t="s">
        <v>87</v>
      </c>
      <c r="J283" s="1" t="s">
        <v>340</v>
      </c>
      <c r="K283" s="1" t="s">
        <v>330</v>
      </c>
      <c r="L283" s="1">
        <v>0</v>
      </c>
      <c r="M283" s="1">
        <v>0</v>
      </c>
      <c r="N283" s="1">
        <v>0</v>
      </c>
      <c r="O283" s="1">
        <v>0</v>
      </c>
      <c r="P283" s="1">
        <v>0</v>
      </c>
      <c r="Q283" s="1">
        <v>0</v>
      </c>
      <c r="R283" s="1">
        <v>0</v>
      </c>
      <c r="S283" s="1">
        <v>0</v>
      </c>
      <c r="T283" s="1">
        <v>0</v>
      </c>
      <c r="U283" s="1">
        <v>0</v>
      </c>
      <c r="V283" s="1">
        <v>0</v>
      </c>
      <c r="W283" s="1">
        <v>0</v>
      </c>
      <c r="X283" s="1">
        <v>4</v>
      </c>
      <c r="Y283" s="1">
        <v>0</v>
      </c>
      <c r="Z283" s="1">
        <v>1</v>
      </c>
      <c r="AA283" s="55">
        <v>0</v>
      </c>
      <c r="AB283" s="55"/>
      <c r="AC283" s="55"/>
      <c r="AD283" s="55"/>
      <c r="AE283" s="55"/>
      <c r="AF283" s="55">
        <v>0</v>
      </c>
      <c r="AG283" s="1">
        <v>0</v>
      </c>
      <c r="AH283" s="1">
        <v>0</v>
      </c>
      <c r="AI283" s="1"/>
      <c r="AJ283" s="1" t="s">
        <v>32</v>
      </c>
      <c r="AK283" s="1" t="s">
        <v>32</v>
      </c>
      <c r="AL283" s="17"/>
      <c r="AM283" s="18"/>
      <c r="AN283" s="10"/>
      <c r="AO283" s="50"/>
    </row>
    <row r="284" spans="2:41" s="53" customFormat="1" ht="15" customHeight="1">
      <c r="B284" s="1">
        <f t="shared" si="4"/>
        <v>274</v>
      </c>
      <c r="C284" s="47">
        <v>1</v>
      </c>
      <c r="D284" s="47" t="s">
        <v>283</v>
      </c>
      <c r="E284" s="47" t="s">
        <v>52</v>
      </c>
      <c r="F284" s="47" t="s">
        <v>238</v>
      </c>
      <c r="G284" s="47" t="s">
        <v>238</v>
      </c>
      <c r="H284" s="47" t="s">
        <v>406</v>
      </c>
      <c r="I284" s="47" t="s">
        <v>85</v>
      </c>
      <c r="J284" s="47" t="s">
        <v>312</v>
      </c>
      <c r="K284" s="47" t="s">
        <v>408</v>
      </c>
      <c r="L284" s="47"/>
      <c r="M284" s="47"/>
      <c r="N284" s="47"/>
      <c r="O284" s="47"/>
      <c r="P284" s="47"/>
      <c r="Q284" s="47"/>
      <c r="R284" s="47"/>
      <c r="S284" s="47"/>
      <c r="T284" s="47"/>
      <c r="U284" s="47"/>
      <c r="V284" s="47"/>
      <c r="W284" s="47"/>
      <c r="X284" s="1">
        <v>3</v>
      </c>
      <c r="Y284" s="47">
        <v>4</v>
      </c>
      <c r="Z284" s="47">
        <v>3</v>
      </c>
      <c r="AA284" s="1"/>
      <c r="AB284" s="1"/>
      <c r="AC284" s="1"/>
      <c r="AD284" s="1"/>
      <c r="AE284" s="1">
        <v>3</v>
      </c>
      <c r="AF284" s="1"/>
      <c r="AG284" s="1"/>
      <c r="AH284" s="1">
        <v>0</v>
      </c>
      <c r="AI284" s="1">
        <v>0</v>
      </c>
      <c r="AJ284" s="47" t="s">
        <v>21</v>
      </c>
      <c r="AK284" s="47" t="s">
        <v>21</v>
      </c>
      <c r="AL284" s="48" t="s">
        <v>412</v>
      </c>
      <c r="AM284" s="49" t="s">
        <v>410</v>
      </c>
      <c r="AN284" s="50" t="s">
        <v>405</v>
      </c>
      <c r="AO284" s="50"/>
    </row>
    <row r="285" spans="2:41" ht="15" customHeight="1">
      <c r="B285" s="1">
        <f t="shared" si="4"/>
        <v>275</v>
      </c>
      <c r="C285" s="47">
        <v>1</v>
      </c>
      <c r="D285" s="47" t="s">
        <v>187</v>
      </c>
      <c r="E285" s="47" t="s">
        <v>347</v>
      </c>
      <c r="F285" s="47" t="s">
        <v>407</v>
      </c>
      <c r="G285" s="47" t="s">
        <v>407</v>
      </c>
      <c r="H285" s="47" t="s">
        <v>446</v>
      </c>
      <c r="I285" s="47" t="s">
        <v>87</v>
      </c>
      <c r="J285" s="47" t="s">
        <v>312</v>
      </c>
      <c r="K285" s="47" t="s">
        <v>408</v>
      </c>
      <c r="L285" s="47"/>
      <c r="M285" s="47"/>
      <c r="N285" s="47"/>
      <c r="O285" s="47"/>
      <c r="P285" s="47"/>
      <c r="Q285" s="47"/>
      <c r="R285" s="47"/>
      <c r="S285" s="47"/>
      <c r="T285" s="47"/>
      <c r="U285" s="47"/>
      <c r="V285" s="47"/>
      <c r="W285" s="47"/>
      <c r="X285" s="1"/>
      <c r="Y285" s="47">
        <v>4</v>
      </c>
      <c r="Z285" s="47">
        <v>1</v>
      </c>
      <c r="AA285" s="1"/>
      <c r="AB285" s="1"/>
      <c r="AC285" s="1"/>
      <c r="AD285" s="1"/>
      <c r="AE285" s="1">
        <v>3</v>
      </c>
      <c r="AF285" s="1"/>
      <c r="AG285" s="1"/>
      <c r="AH285" s="1">
        <v>0</v>
      </c>
      <c r="AI285" s="1">
        <v>0</v>
      </c>
      <c r="AJ285" s="47" t="s">
        <v>21</v>
      </c>
      <c r="AK285" s="47" t="s">
        <v>21</v>
      </c>
      <c r="AL285" s="48" t="s">
        <v>409</v>
      </c>
      <c r="AM285" s="49" t="s">
        <v>410</v>
      </c>
      <c r="AN285" s="50" t="s">
        <v>485</v>
      </c>
    </row>
    <row r="286" spans="2:41">
      <c r="B286" s="1">
        <f t="shared" si="4"/>
        <v>276</v>
      </c>
      <c r="C286" s="1">
        <v>0</v>
      </c>
      <c r="D286" s="1" t="s">
        <v>196</v>
      </c>
      <c r="E286" s="1" t="s">
        <v>196</v>
      </c>
      <c r="F286" s="1" t="s">
        <v>438</v>
      </c>
      <c r="G286" s="1"/>
      <c r="H286" s="1" t="s">
        <v>483</v>
      </c>
      <c r="I286" s="1" t="s">
        <v>85</v>
      </c>
      <c r="J286" s="1" t="s">
        <v>340</v>
      </c>
      <c r="K286" s="1" t="s">
        <v>408</v>
      </c>
      <c r="L286" s="1">
        <v>0</v>
      </c>
      <c r="M286" s="1">
        <v>0</v>
      </c>
      <c r="N286" s="1">
        <v>0</v>
      </c>
      <c r="O286" s="1">
        <v>0</v>
      </c>
      <c r="P286" s="1">
        <v>0</v>
      </c>
      <c r="Q286" s="1">
        <v>0</v>
      </c>
      <c r="R286" s="1">
        <v>0</v>
      </c>
      <c r="S286" s="1">
        <v>0</v>
      </c>
      <c r="T286" s="1">
        <v>0</v>
      </c>
      <c r="U286" s="1">
        <v>0</v>
      </c>
      <c r="V286" s="1">
        <v>0</v>
      </c>
      <c r="W286" s="1">
        <v>0</v>
      </c>
      <c r="X286" s="1">
        <v>4</v>
      </c>
      <c r="Y286" s="1">
        <v>0</v>
      </c>
      <c r="Z286" s="1">
        <v>0</v>
      </c>
      <c r="AA286" s="55">
        <v>0</v>
      </c>
      <c r="AB286" s="55"/>
      <c r="AC286" s="55"/>
      <c r="AD286" s="55"/>
      <c r="AE286" s="55">
        <v>3</v>
      </c>
      <c r="AF286" s="55">
        <v>0</v>
      </c>
      <c r="AG286" s="1">
        <v>0</v>
      </c>
      <c r="AH286" s="1">
        <v>0</v>
      </c>
      <c r="AI286" s="1">
        <v>0</v>
      </c>
      <c r="AJ286" s="1" t="s">
        <v>32</v>
      </c>
      <c r="AK286" s="1" t="s">
        <v>32</v>
      </c>
      <c r="AL286" s="17"/>
      <c r="AM286" s="18"/>
      <c r="AN286" s="10"/>
    </row>
    <row r="287" spans="2:41">
      <c r="B287" s="1">
        <f t="shared" si="4"/>
        <v>277</v>
      </c>
      <c r="C287" s="1">
        <v>0</v>
      </c>
      <c r="D287" s="1" t="s">
        <v>177</v>
      </c>
      <c r="E287" s="1" t="s">
        <v>439</v>
      </c>
      <c r="F287" s="1" t="s">
        <v>176</v>
      </c>
      <c r="G287" s="1"/>
      <c r="H287" s="1" t="s">
        <v>440</v>
      </c>
      <c r="I287" s="1" t="s">
        <v>85</v>
      </c>
      <c r="J287" s="1" t="s">
        <v>340</v>
      </c>
      <c r="K287" s="1" t="s">
        <v>408</v>
      </c>
      <c r="L287" s="1">
        <v>0</v>
      </c>
      <c r="M287" s="1">
        <v>0</v>
      </c>
      <c r="N287" s="1">
        <v>0</v>
      </c>
      <c r="O287" s="1">
        <v>0</v>
      </c>
      <c r="P287" s="1">
        <v>0</v>
      </c>
      <c r="Q287" s="1">
        <v>0</v>
      </c>
      <c r="R287" s="1">
        <v>0</v>
      </c>
      <c r="S287" s="1">
        <v>0</v>
      </c>
      <c r="T287" s="1">
        <v>0</v>
      </c>
      <c r="U287" s="1">
        <v>0</v>
      </c>
      <c r="V287" s="1">
        <v>0</v>
      </c>
      <c r="W287" s="1">
        <v>0</v>
      </c>
      <c r="X287" s="1">
        <v>4</v>
      </c>
      <c r="Y287" s="1">
        <v>0</v>
      </c>
      <c r="Z287" s="1">
        <v>0</v>
      </c>
      <c r="AA287" s="55">
        <v>0</v>
      </c>
      <c r="AB287" s="55"/>
      <c r="AC287" s="55"/>
      <c r="AD287" s="55"/>
      <c r="AE287" s="55">
        <v>4</v>
      </c>
      <c r="AF287" s="55">
        <v>0</v>
      </c>
      <c r="AG287" s="1">
        <v>0</v>
      </c>
      <c r="AH287" s="1">
        <v>0</v>
      </c>
      <c r="AI287" s="1">
        <v>0</v>
      </c>
      <c r="AJ287" s="1" t="s">
        <v>32</v>
      </c>
      <c r="AK287" s="1" t="s">
        <v>32</v>
      </c>
      <c r="AL287" s="17"/>
      <c r="AM287" s="18"/>
      <c r="AN287" s="10"/>
    </row>
    <row r="288" spans="2:41" s="51" customFormat="1" ht="15" customHeight="1">
      <c r="B288" s="1">
        <f t="shared" si="4"/>
        <v>278</v>
      </c>
      <c r="C288" s="1">
        <v>1</v>
      </c>
      <c r="D288" s="1" t="s">
        <v>187</v>
      </c>
      <c r="E288" s="1" t="s">
        <v>347</v>
      </c>
      <c r="F288" s="1" t="s">
        <v>45</v>
      </c>
      <c r="G288" s="1" t="s">
        <v>488</v>
      </c>
      <c r="H288" s="1" t="s">
        <v>501</v>
      </c>
      <c r="I288" s="1" t="s">
        <v>85</v>
      </c>
      <c r="J288" s="1" t="s">
        <v>312</v>
      </c>
      <c r="K288" s="47" t="s">
        <v>408</v>
      </c>
      <c r="L288" s="1">
        <v>3</v>
      </c>
      <c r="M288" s="1">
        <v>2</v>
      </c>
      <c r="N288" s="1">
        <v>4</v>
      </c>
      <c r="O288" s="1">
        <v>2</v>
      </c>
      <c r="P288" s="1">
        <v>1</v>
      </c>
      <c r="Q288" s="1">
        <v>3</v>
      </c>
      <c r="R288" s="1"/>
      <c r="S288" s="1">
        <v>2</v>
      </c>
      <c r="T288" s="1">
        <v>1</v>
      </c>
      <c r="U288" s="1">
        <v>3</v>
      </c>
      <c r="V288" s="1">
        <v>3</v>
      </c>
      <c r="W288" s="1"/>
      <c r="X288" s="1"/>
      <c r="Y288" s="1">
        <v>4</v>
      </c>
      <c r="Z288" s="1">
        <v>3</v>
      </c>
      <c r="AA288" s="55"/>
      <c r="AB288" s="55"/>
      <c r="AC288" s="55"/>
      <c r="AD288" s="55"/>
      <c r="AE288" s="55">
        <v>3</v>
      </c>
      <c r="AF288" s="55"/>
      <c r="AG288" s="1"/>
      <c r="AH288" s="1">
        <v>0</v>
      </c>
      <c r="AI288" s="1">
        <v>0</v>
      </c>
      <c r="AJ288" s="1" t="s">
        <v>21</v>
      </c>
      <c r="AK288" s="1" t="s">
        <v>21</v>
      </c>
      <c r="AL288" s="17" t="s">
        <v>451</v>
      </c>
      <c r="AM288" s="18" t="s">
        <v>410</v>
      </c>
      <c r="AN288" s="10" t="s">
        <v>489</v>
      </c>
    </row>
    <row r="289" spans="2:40" s="51" customFormat="1" ht="15" customHeight="1">
      <c r="B289" s="1">
        <f t="shared" si="4"/>
        <v>279</v>
      </c>
      <c r="C289" s="47">
        <v>1</v>
      </c>
      <c r="D289" s="47" t="s">
        <v>187</v>
      </c>
      <c r="E289" s="47" t="s">
        <v>347</v>
      </c>
      <c r="F289" s="47" t="s">
        <v>45</v>
      </c>
      <c r="G289" s="47" t="s">
        <v>45</v>
      </c>
      <c r="H289" s="47" t="s">
        <v>450</v>
      </c>
      <c r="I289" s="47" t="s">
        <v>85</v>
      </c>
      <c r="J289" s="47" t="s">
        <v>312</v>
      </c>
      <c r="K289" s="47" t="s">
        <v>408</v>
      </c>
      <c r="L289" s="47"/>
      <c r="M289" s="47"/>
      <c r="N289" s="47"/>
      <c r="O289" s="47"/>
      <c r="P289" s="47"/>
      <c r="Q289" s="47"/>
      <c r="R289" s="47"/>
      <c r="S289" s="47"/>
      <c r="T289" s="47"/>
      <c r="U289" s="47"/>
      <c r="V289" s="47"/>
      <c r="W289" s="47"/>
      <c r="X289" s="1"/>
      <c r="Y289" s="47">
        <v>4</v>
      </c>
      <c r="Z289" s="47">
        <v>3</v>
      </c>
      <c r="AA289" s="1"/>
      <c r="AB289" s="1"/>
      <c r="AC289" s="1"/>
      <c r="AD289" s="1"/>
      <c r="AE289" s="1">
        <v>3</v>
      </c>
      <c r="AF289" s="1"/>
      <c r="AG289" s="1"/>
      <c r="AH289" s="1">
        <v>0</v>
      </c>
      <c r="AI289" s="1">
        <v>0</v>
      </c>
      <c r="AJ289" s="47" t="s">
        <v>32</v>
      </c>
      <c r="AK289" s="47" t="s">
        <v>21</v>
      </c>
      <c r="AL289" s="17" t="s">
        <v>451</v>
      </c>
      <c r="AM289" s="49" t="s">
        <v>410</v>
      </c>
      <c r="AN289" s="50" t="s">
        <v>449</v>
      </c>
    </row>
    <row r="290" spans="2:40" s="51" customFormat="1" ht="15" customHeight="1">
      <c r="B290" s="1">
        <f t="shared" si="4"/>
        <v>280</v>
      </c>
      <c r="C290" s="47">
        <v>1</v>
      </c>
      <c r="D290" s="47" t="s">
        <v>187</v>
      </c>
      <c r="E290" s="47" t="s">
        <v>347</v>
      </c>
      <c r="F290" s="47" t="s">
        <v>45</v>
      </c>
      <c r="G290" s="47" t="s">
        <v>45</v>
      </c>
      <c r="H290" s="47" t="s">
        <v>441</v>
      </c>
      <c r="I290" s="47" t="s">
        <v>85</v>
      </c>
      <c r="J290" s="47" t="s">
        <v>312</v>
      </c>
      <c r="K290" s="47" t="s">
        <v>408</v>
      </c>
      <c r="L290" s="47"/>
      <c r="M290" s="47"/>
      <c r="N290" s="47"/>
      <c r="O290" s="47"/>
      <c r="P290" s="47"/>
      <c r="Q290" s="47"/>
      <c r="R290" s="47"/>
      <c r="S290" s="47"/>
      <c r="T290" s="47"/>
      <c r="U290" s="47"/>
      <c r="V290" s="47"/>
      <c r="W290" s="47"/>
      <c r="X290" s="1"/>
      <c r="Y290" s="47">
        <v>4</v>
      </c>
      <c r="Z290" s="47">
        <v>3</v>
      </c>
      <c r="AA290" s="1"/>
      <c r="AB290" s="1"/>
      <c r="AC290" s="1"/>
      <c r="AD290" s="1"/>
      <c r="AE290" s="1">
        <v>3</v>
      </c>
      <c r="AF290" s="1"/>
      <c r="AG290" s="1"/>
      <c r="AH290" s="1">
        <v>0</v>
      </c>
      <c r="AI290" s="1">
        <v>0</v>
      </c>
      <c r="AJ290" s="47" t="s">
        <v>32</v>
      </c>
      <c r="AK290" s="47" t="s">
        <v>21</v>
      </c>
      <c r="AL290" s="17" t="s">
        <v>451</v>
      </c>
      <c r="AM290" s="49" t="s">
        <v>410</v>
      </c>
      <c r="AN290" s="50" t="s">
        <v>448</v>
      </c>
    </row>
    <row r="291" spans="2:40" s="51" customFormat="1" ht="15" customHeight="1">
      <c r="B291" s="1">
        <f t="shared" si="4"/>
        <v>281</v>
      </c>
      <c r="C291" s="47">
        <v>1</v>
      </c>
      <c r="D291" s="47" t="s">
        <v>187</v>
      </c>
      <c r="E291" s="47" t="s">
        <v>347</v>
      </c>
      <c r="F291" s="47" t="s">
        <v>45</v>
      </c>
      <c r="G291" s="47" t="s">
        <v>45</v>
      </c>
      <c r="H291" s="47" t="s">
        <v>442</v>
      </c>
      <c r="I291" s="47" t="s">
        <v>87</v>
      </c>
      <c r="J291" s="47" t="s">
        <v>312</v>
      </c>
      <c r="K291" s="47" t="s">
        <v>408</v>
      </c>
      <c r="L291" s="47"/>
      <c r="M291" s="47"/>
      <c r="N291" s="47"/>
      <c r="O291" s="47"/>
      <c r="P291" s="47"/>
      <c r="Q291" s="47"/>
      <c r="R291" s="47"/>
      <c r="S291" s="47"/>
      <c r="T291" s="47"/>
      <c r="U291" s="47"/>
      <c r="V291" s="47"/>
      <c r="W291" s="47"/>
      <c r="X291" s="1"/>
      <c r="Y291" s="47">
        <v>4</v>
      </c>
      <c r="Z291" s="47">
        <v>3</v>
      </c>
      <c r="AA291" s="1"/>
      <c r="AB291" s="1"/>
      <c r="AC291" s="1"/>
      <c r="AD291" s="1"/>
      <c r="AE291" s="1">
        <v>3</v>
      </c>
      <c r="AF291" s="1"/>
      <c r="AG291" s="1"/>
      <c r="AH291" s="1">
        <v>0</v>
      </c>
      <c r="AI291" s="1">
        <v>0</v>
      </c>
      <c r="AJ291" s="47" t="s">
        <v>32</v>
      </c>
      <c r="AK291" s="47" t="s">
        <v>21</v>
      </c>
      <c r="AL291" s="17" t="s">
        <v>528</v>
      </c>
      <c r="AM291" s="49" t="s">
        <v>410</v>
      </c>
      <c r="AN291" s="50" t="s">
        <v>530</v>
      </c>
    </row>
    <row r="292" spans="2:40" ht="15" customHeight="1">
      <c r="B292" s="1">
        <f t="shared" si="4"/>
        <v>282</v>
      </c>
      <c r="C292" s="47">
        <v>1</v>
      </c>
      <c r="D292" s="47" t="s">
        <v>525</v>
      </c>
      <c r="E292" s="47" t="s">
        <v>294</v>
      </c>
      <c r="F292" s="47" t="s">
        <v>45</v>
      </c>
      <c r="G292" s="47" t="s">
        <v>45</v>
      </c>
      <c r="H292" s="47" t="s">
        <v>525</v>
      </c>
      <c r="I292" s="47" t="s">
        <v>85</v>
      </c>
      <c r="J292" s="47" t="s">
        <v>312</v>
      </c>
      <c r="K292" s="47" t="s">
        <v>408</v>
      </c>
      <c r="L292" s="47"/>
      <c r="M292" s="47"/>
      <c r="N292" s="47"/>
      <c r="O292" s="47"/>
      <c r="P292" s="47"/>
      <c r="Q292" s="47"/>
      <c r="R292" s="47"/>
      <c r="S292" s="47"/>
      <c r="T292" s="47"/>
      <c r="U292" s="47"/>
      <c r="V292" s="47"/>
      <c r="W292" s="47"/>
      <c r="X292" s="1"/>
      <c r="Y292" s="47">
        <v>4</v>
      </c>
      <c r="Z292" s="47">
        <v>3</v>
      </c>
      <c r="AA292" s="1"/>
      <c r="AB292" s="1"/>
      <c r="AC292" s="1"/>
      <c r="AD292" s="1"/>
      <c r="AE292" s="1">
        <v>3</v>
      </c>
      <c r="AF292" s="1"/>
      <c r="AG292" s="1"/>
      <c r="AH292" s="1">
        <v>0</v>
      </c>
      <c r="AI292" s="1">
        <v>0</v>
      </c>
      <c r="AJ292" s="47" t="s">
        <v>32</v>
      </c>
      <c r="AK292" s="47" t="s">
        <v>21</v>
      </c>
      <c r="AL292" s="17">
        <v>44726</v>
      </c>
      <c r="AM292" s="49" t="s">
        <v>408</v>
      </c>
      <c r="AN292" s="50" t="s">
        <v>494</v>
      </c>
    </row>
    <row r="293" spans="2:40">
      <c r="B293" s="1">
        <f t="shared" si="4"/>
        <v>283</v>
      </c>
      <c r="C293" s="47">
        <v>1</v>
      </c>
      <c r="D293" s="47" t="s">
        <v>212</v>
      </c>
      <c r="E293" s="47" t="s">
        <v>91</v>
      </c>
      <c r="F293" s="47" t="s">
        <v>96</v>
      </c>
      <c r="G293" s="47" t="s">
        <v>96</v>
      </c>
      <c r="H293" s="47" t="s">
        <v>469</v>
      </c>
      <c r="I293" s="47" t="s">
        <v>85</v>
      </c>
      <c r="J293" s="47" t="s">
        <v>170</v>
      </c>
      <c r="K293" s="47" t="s">
        <v>452</v>
      </c>
      <c r="L293" s="47">
        <v>0</v>
      </c>
      <c r="M293" s="47">
        <v>0</v>
      </c>
      <c r="N293" s="47">
        <v>0</v>
      </c>
      <c r="O293" s="47">
        <v>0</v>
      </c>
      <c r="P293" s="47">
        <v>0</v>
      </c>
      <c r="Q293" s="47">
        <v>0</v>
      </c>
      <c r="R293" s="47"/>
      <c r="S293" s="47">
        <v>4</v>
      </c>
      <c r="T293" s="47">
        <v>0</v>
      </c>
      <c r="U293" s="47">
        <v>0</v>
      </c>
      <c r="V293" s="47">
        <v>0</v>
      </c>
      <c r="W293" s="47">
        <v>4</v>
      </c>
      <c r="X293" s="1">
        <v>0</v>
      </c>
      <c r="Y293" s="47"/>
      <c r="Z293" s="47"/>
      <c r="AA293" s="55">
        <v>0</v>
      </c>
      <c r="AB293" s="1"/>
      <c r="AC293" s="1"/>
      <c r="AD293" s="1"/>
      <c r="AE293" s="55"/>
      <c r="AF293" s="55">
        <v>4</v>
      </c>
      <c r="AG293" s="1">
        <v>1</v>
      </c>
      <c r="AH293" s="1">
        <v>0</v>
      </c>
      <c r="AI293" s="1">
        <v>0</v>
      </c>
      <c r="AJ293" s="47" t="s">
        <v>21</v>
      </c>
      <c r="AK293" s="47" t="s">
        <v>21</v>
      </c>
      <c r="AL293" s="17"/>
      <c r="AM293" s="49"/>
      <c r="AN293" s="50"/>
    </row>
    <row r="294" spans="2:40">
      <c r="B294" s="1">
        <f t="shared" si="4"/>
        <v>284</v>
      </c>
      <c r="C294" s="47">
        <v>1</v>
      </c>
      <c r="D294" s="47" t="s">
        <v>212</v>
      </c>
      <c r="E294" s="47" t="s">
        <v>91</v>
      </c>
      <c r="F294" s="47" t="s">
        <v>98</v>
      </c>
      <c r="G294" s="47" t="s">
        <v>98</v>
      </c>
      <c r="H294" s="47" t="s">
        <v>470</v>
      </c>
      <c r="I294" s="47" t="s">
        <v>85</v>
      </c>
      <c r="J294" s="47" t="s">
        <v>170</v>
      </c>
      <c r="K294" s="47" t="s">
        <v>452</v>
      </c>
      <c r="L294" s="47">
        <v>0</v>
      </c>
      <c r="M294" s="47">
        <v>0</v>
      </c>
      <c r="N294" s="47">
        <v>0</v>
      </c>
      <c r="O294" s="47">
        <v>0</v>
      </c>
      <c r="P294" s="47">
        <v>0</v>
      </c>
      <c r="Q294" s="47">
        <v>0</v>
      </c>
      <c r="R294" s="47"/>
      <c r="S294" s="47">
        <v>4</v>
      </c>
      <c r="T294" s="47">
        <v>0</v>
      </c>
      <c r="U294" s="47">
        <v>0</v>
      </c>
      <c r="V294" s="47">
        <v>0</v>
      </c>
      <c r="W294" s="47">
        <v>4</v>
      </c>
      <c r="X294" s="1">
        <v>0</v>
      </c>
      <c r="Y294" s="47"/>
      <c r="Z294" s="47"/>
      <c r="AA294" s="55">
        <v>0</v>
      </c>
      <c r="AB294" s="1"/>
      <c r="AC294" s="1"/>
      <c r="AD294" s="1"/>
      <c r="AE294" s="55"/>
      <c r="AF294" s="55">
        <v>4</v>
      </c>
      <c r="AG294" s="1">
        <v>3</v>
      </c>
      <c r="AH294" s="1">
        <v>0</v>
      </c>
      <c r="AI294" s="1">
        <v>0</v>
      </c>
      <c r="AJ294" s="47" t="s">
        <v>21</v>
      </c>
      <c r="AK294" s="47" t="s">
        <v>21</v>
      </c>
      <c r="AL294" s="17"/>
      <c r="AM294" s="49"/>
      <c r="AN294" s="50"/>
    </row>
    <row r="295" spans="2:40">
      <c r="B295" s="1">
        <f t="shared" si="4"/>
        <v>285</v>
      </c>
      <c r="C295" s="47">
        <v>1</v>
      </c>
      <c r="D295" s="47" t="s">
        <v>212</v>
      </c>
      <c r="E295" s="47" t="s">
        <v>91</v>
      </c>
      <c r="F295" s="47" t="s">
        <v>98</v>
      </c>
      <c r="G295" s="47" t="s">
        <v>98</v>
      </c>
      <c r="H295" s="47" t="s">
        <v>471</v>
      </c>
      <c r="I295" s="47" t="s">
        <v>85</v>
      </c>
      <c r="J295" s="47" t="s">
        <v>170</v>
      </c>
      <c r="K295" s="47" t="s">
        <v>452</v>
      </c>
      <c r="L295" s="47">
        <v>0</v>
      </c>
      <c r="M295" s="47">
        <v>0</v>
      </c>
      <c r="N295" s="47">
        <v>0</v>
      </c>
      <c r="O295" s="47">
        <v>0</v>
      </c>
      <c r="P295" s="47">
        <v>0</v>
      </c>
      <c r="Q295" s="47">
        <v>0</v>
      </c>
      <c r="R295" s="47"/>
      <c r="S295" s="47">
        <v>4</v>
      </c>
      <c r="T295" s="47">
        <v>0</v>
      </c>
      <c r="U295" s="47">
        <v>0</v>
      </c>
      <c r="V295" s="47">
        <v>0</v>
      </c>
      <c r="W295" s="47">
        <v>4</v>
      </c>
      <c r="X295" s="1">
        <v>0</v>
      </c>
      <c r="Y295" s="47"/>
      <c r="Z295" s="47"/>
      <c r="AA295" s="55">
        <v>0</v>
      </c>
      <c r="AB295" s="1"/>
      <c r="AC295" s="1"/>
      <c r="AD295" s="1"/>
      <c r="AE295" s="55"/>
      <c r="AF295" s="55">
        <v>4</v>
      </c>
      <c r="AG295" s="1">
        <v>3</v>
      </c>
      <c r="AH295" s="1">
        <v>0</v>
      </c>
      <c r="AI295" s="1">
        <v>0</v>
      </c>
      <c r="AJ295" s="47" t="s">
        <v>21</v>
      </c>
      <c r="AK295" s="47" t="s">
        <v>21</v>
      </c>
      <c r="AL295" s="17"/>
      <c r="AM295" s="49"/>
      <c r="AN295" s="50"/>
    </row>
    <row r="296" spans="2:40">
      <c r="B296" s="1">
        <f t="shared" si="4"/>
        <v>286</v>
      </c>
      <c r="C296" s="47">
        <v>1</v>
      </c>
      <c r="D296" s="47" t="s">
        <v>212</v>
      </c>
      <c r="E296" s="47" t="s">
        <v>91</v>
      </c>
      <c r="F296" s="47" t="s">
        <v>98</v>
      </c>
      <c r="G296" s="47" t="s">
        <v>98</v>
      </c>
      <c r="H296" s="47" t="s">
        <v>472</v>
      </c>
      <c r="I296" s="47" t="s">
        <v>86</v>
      </c>
      <c r="J296" s="47" t="s">
        <v>170</v>
      </c>
      <c r="K296" s="47" t="s">
        <v>452</v>
      </c>
      <c r="L296" s="47">
        <v>0</v>
      </c>
      <c r="M296" s="47">
        <v>0</v>
      </c>
      <c r="N296" s="47">
        <v>0</v>
      </c>
      <c r="O296" s="47">
        <v>0</v>
      </c>
      <c r="P296" s="47">
        <v>0</v>
      </c>
      <c r="Q296" s="47">
        <v>0</v>
      </c>
      <c r="R296" s="47"/>
      <c r="S296" s="47">
        <v>3</v>
      </c>
      <c r="T296" s="47">
        <v>0</v>
      </c>
      <c r="U296" s="47">
        <v>0</v>
      </c>
      <c r="V296" s="47">
        <v>0</v>
      </c>
      <c r="W296" s="47">
        <v>4</v>
      </c>
      <c r="X296" s="1">
        <v>0</v>
      </c>
      <c r="Y296" s="47"/>
      <c r="Z296" s="47"/>
      <c r="AA296" s="55">
        <v>0</v>
      </c>
      <c r="AB296" s="1"/>
      <c r="AC296" s="1"/>
      <c r="AD296" s="1"/>
      <c r="AE296" s="55"/>
      <c r="AF296" s="55">
        <v>2</v>
      </c>
      <c r="AG296" s="1">
        <v>1</v>
      </c>
      <c r="AH296" s="1">
        <v>0</v>
      </c>
      <c r="AI296" s="1">
        <v>0</v>
      </c>
      <c r="AJ296" s="47" t="s">
        <v>21</v>
      </c>
      <c r="AK296" s="47" t="s">
        <v>21</v>
      </c>
      <c r="AL296" s="17"/>
      <c r="AM296" s="49"/>
      <c r="AN296" s="50"/>
    </row>
    <row r="297" spans="2:40">
      <c r="B297" s="1">
        <f t="shared" si="4"/>
        <v>287</v>
      </c>
      <c r="C297" s="47">
        <v>1</v>
      </c>
      <c r="D297" s="47" t="s">
        <v>212</v>
      </c>
      <c r="E297" s="47" t="s">
        <v>91</v>
      </c>
      <c r="F297" s="47" t="s">
        <v>473</v>
      </c>
      <c r="G297" s="47" t="s">
        <v>473</v>
      </c>
      <c r="H297" s="47" t="s">
        <v>474</v>
      </c>
      <c r="I297" s="47" t="s">
        <v>85</v>
      </c>
      <c r="J297" s="47" t="s">
        <v>170</v>
      </c>
      <c r="K297" s="47" t="s">
        <v>452</v>
      </c>
      <c r="L297" s="47">
        <v>0</v>
      </c>
      <c r="M297" s="47">
        <v>0</v>
      </c>
      <c r="N297" s="47">
        <v>0</v>
      </c>
      <c r="O297" s="47">
        <v>0</v>
      </c>
      <c r="P297" s="47">
        <v>0</v>
      </c>
      <c r="Q297" s="47">
        <v>0</v>
      </c>
      <c r="R297" s="47"/>
      <c r="S297" s="47">
        <v>4</v>
      </c>
      <c r="T297" s="47">
        <v>0</v>
      </c>
      <c r="U297" s="47">
        <v>0</v>
      </c>
      <c r="V297" s="47">
        <v>0</v>
      </c>
      <c r="W297" s="47">
        <v>4</v>
      </c>
      <c r="X297" s="1">
        <v>0</v>
      </c>
      <c r="Y297" s="47"/>
      <c r="Z297" s="47"/>
      <c r="AA297" s="55">
        <v>0</v>
      </c>
      <c r="AB297" s="1"/>
      <c r="AC297" s="1"/>
      <c r="AD297" s="1"/>
      <c r="AE297" s="55"/>
      <c r="AF297" s="55">
        <v>4</v>
      </c>
      <c r="AG297" s="1">
        <v>3</v>
      </c>
      <c r="AH297" s="1">
        <v>0</v>
      </c>
      <c r="AI297" s="1">
        <v>0</v>
      </c>
      <c r="AJ297" s="47" t="s">
        <v>21</v>
      </c>
      <c r="AK297" s="47" t="s">
        <v>21</v>
      </c>
      <c r="AL297" s="17"/>
      <c r="AM297" s="49"/>
      <c r="AN297" s="50"/>
    </row>
    <row r="298" spans="2:40">
      <c r="B298" s="1">
        <f t="shared" si="4"/>
        <v>288</v>
      </c>
      <c r="C298" s="47">
        <v>1</v>
      </c>
      <c r="D298" s="47" t="s">
        <v>212</v>
      </c>
      <c r="E298" s="47" t="s">
        <v>91</v>
      </c>
      <c r="F298" s="47" t="s">
        <v>473</v>
      </c>
      <c r="G298" s="47" t="s">
        <v>473</v>
      </c>
      <c r="H298" s="47" t="s">
        <v>475</v>
      </c>
      <c r="I298" s="47" t="s">
        <v>85</v>
      </c>
      <c r="J298" s="47" t="s">
        <v>170</v>
      </c>
      <c r="K298" s="47" t="s">
        <v>452</v>
      </c>
      <c r="L298" s="47">
        <v>0</v>
      </c>
      <c r="M298" s="47">
        <v>0</v>
      </c>
      <c r="N298" s="47">
        <v>0</v>
      </c>
      <c r="O298" s="47">
        <v>0</v>
      </c>
      <c r="P298" s="47">
        <v>0</v>
      </c>
      <c r="Q298" s="47">
        <v>0</v>
      </c>
      <c r="R298" s="47"/>
      <c r="S298" s="47">
        <v>4</v>
      </c>
      <c r="T298" s="47">
        <v>0</v>
      </c>
      <c r="U298" s="47">
        <v>0</v>
      </c>
      <c r="V298" s="47">
        <v>0</v>
      </c>
      <c r="W298" s="47">
        <v>4</v>
      </c>
      <c r="X298" s="1">
        <v>0</v>
      </c>
      <c r="Y298" s="47"/>
      <c r="Z298" s="47"/>
      <c r="AA298" s="55">
        <v>0</v>
      </c>
      <c r="AB298" s="1"/>
      <c r="AC298" s="1"/>
      <c r="AD298" s="1"/>
      <c r="AE298" s="55"/>
      <c r="AF298" s="55">
        <v>4</v>
      </c>
      <c r="AG298" s="1">
        <v>3</v>
      </c>
      <c r="AH298" s="1">
        <v>0</v>
      </c>
      <c r="AI298" s="1">
        <v>0</v>
      </c>
      <c r="AJ298" s="47" t="s">
        <v>21</v>
      </c>
      <c r="AK298" s="47" t="s">
        <v>21</v>
      </c>
      <c r="AL298" s="17"/>
      <c r="AM298" s="49"/>
      <c r="AN298" s="50"/>
    </row>
    <row r="299" spans="2:40">
      <c r="B299" s="1">
        <f t="shared" si="4"/>
        <v>289</v>
      </c>
      <c r="C299" s="47">
        <v>1</v>
      </c>
      <c r="D299" s="47" t="s">
        <v>212</v>
      </c>
      <c r="E299" s="47" t="s">
        <v>91</v>
      </c>
      <c r="F299" s="47" t="s">
        <v>473</v>
      </c>
      <c r="G299" s="47" t="s">
        <v>473</v>
      </c>
      <c r="H299" s="47" t="s">
        <v>476</v>
      </c>
      <c r="I299" s="47" t="s">
        <v>85</v>
      </c>
      <c r="J299" s="47" t="s">
        <v>170</v>
      </c>
      <c r="K299" s="47" t="s">
        <v>452</v>
      </c>
      <c r="L299" s="47">
        <v>0</v>
      </c>
      <c r="M299" s="47">
        <v>0</v>
      </c>
      <c r="N299" s="47">
        <v>0</v>
      </c>
      <c r="O299" s="47">
        <v>0</v>
      </c>
      <c r="P299" s="47">
        <v>0</v>
      </c>
      <c r="Q299" s="47">
        <v>0</v>
      </c>
      <c r="R299" s="47"/>
      <c r="S299" s="47">
        <v>4</v>
      </c>
      <c r="T299" s="47">
        <v>0</v>
      </c>
      <c r="U299" s="47">
        <v>0</v>
      </c>
      <c r="V299" s="47">
        <v>0</v>
      </c>
      <c r="W299" s="47">
        <v>4</v>
      </c>
      <c r="X299" s="1">
        <v>0</v>
      </c>
      <c r="Y299" s="47"/>
      <c r="Z299" s="47"/>
      <c r="AA299" s="55">
        <v>0</v>
      </c>
      <c r="AB299" s="1"/>
      <c r="AC299" s="1"/>
      <c r="AD299" s="1"/>
      <c r="AE299" s="55"/>
      <c r="AF299" s="55">
        <v>4</v>
      </c>
      <c r="AG299" s="1">
        <v>3</v>
      </c>
      <c r="AH299" s="1">
        <v>0</v>
      </c>
      <c r="AI299" s="1">
        <v>0</v>
      </c>
      <c r="AJ299" s="47" t="s">
        <v>21</v>
      </c>
      <c r="AK299" s="47" t="s">
        <v>21</v>
      </c>
      <c r="AL299" s="17"/>
      <c r="AM299" s="49"/>
      <c r="AN299" s="50"/>
    </row>
    <row r="300" spans="2:40">
      <c r="B300" s="1">
        <f t="shared" si="4"/>
        <v>290</v>
      </c>
      <c r="C300" s="1">
        <v>1</v>
      </c>
      <c r="D300" s="47" t="s">
        <v>212</v>
      </c>
      <c r="E300" s="47" t="s">
        <v>91</v>
      </c>
      <c r="F300" s="47" t="s">
        <v>473</v>
      </c>
      <c r="G300" s="47" t="s">
        <v>473</v>
      </c>
      <c r="H300" s="47" t="s">
        <v>477</v>
      </c>
      <c r="I300" s="47" t="s">
        <v>87</v>
      </c>
      <c r="J300" s="47" t="s">
        <v>170</v>
      </c>
      <c r="K300" s="47" t="s">
        <v>452</v>
      </c>
      <c r="L300" s="47">
        <v>0</v>
      </c>
      <c r="M300" s="47">
        <v>0</v>
      </c>
      <c r="N300" s="47">
        <v>0</v>
      </c>
      <c r="O300" s="47">
        <v>0</v>
      </c>
      <c r="P300" s="47">
        <v>0</v>
      </c>
      <c r="Q300" s="47">
        <v>0</v>
      </c>
      <c r="R300" s="47"/>
      <c r="S300" s="47">
        <v>4</v>
      </c>
      <c r="T300" s="47">
        <v>0</v>
      </c>
      <c r="U300" s="47">
        <v>0</v>
      </c>
      <c r="V300" s="47">
        <v>0</v>
      </c>
      <c r="W300" s="47">
        <v>4</v>
      </c>
      <c r="X300" s="1">
        <v>0</v>
      </c>
      <c r="Y300" s="47"/>
      <c r="Z300" s="47"/>
      <c r="AA300" s="55">
        <v>0</v>
      </c>
      <c r="AB300" s="1"/>
      <c r="AC300" s="1"/>
      <c r="AD300" s="1"/>
      <c r="AE300" s="55"/>
      <c r="AF300" s="55">
        <v>4</v>
      </c>
      <c r="AG300" s="1">
        <v>3</v>
      </c>
      <c r="AH300" s="1">
        <v>0</v>
      </c>
      <c r="AI300" s="1">
        <v>0</v>
      </c>
      <c r="AJ300" s="47" t="s">
        <v>21</v>
      </c>
      <c r="AK300" s="47" t="s">
        <v>21</v>
      </c>
      <c r="AL300" s="17"/>
      <c r="AM300" s="49"/>
      <c r="AN300" s="50"/>
    </row>
    <row r="301" spans="2:40">
      <c r="B301" s="1">
        <f t="shared" si="4"/>
        <v>291</v>
      </c>
      <c r="C301" s="1">
        <v>1</v>
      </c>
      <c r="D301" s="47" t="s">
        <v>212</v>
      </c>
      <c r="E301" s="47" t="s">
        <v>91</v>
      </c>
      <c r="F301" s="1" t="s">
        <v>34</v>
      </c>
      <c r="G301" s="1" t="s">
        <v>34</v>
      </c>
      <c r="H301" s="1" t="s">
        <v>478</v>
      </c>
      <c r="I301" s="1" t="s">
        <v>85</v>
      </c>
      <c r="J301" s="47" t="s">
        <v>170</v>
      </c>
      <c r="K301" s="47" t="s">
        <v>452</v>
      </c>
      <c r="L301" s="47">
        <v>0</v>
      </c>
      <c r="M301" s="47">
        <v>0</v>
      </c>
      <c r="N301" s="47">
        <v>0</v>
      </c>
      <c r="O301" s="47">
        <v>0</v>
      </c>
      <c r="P301" s="47">
        <v>0</v>
      </c>
      <c r="Q301" s="47">
        <v>0</v>
      </c>
      <c r="R301" s="47"/>
      <c r="S301" s="47">
        <v>4</v>
      </c>
      <c r="T301" s="47">
        <v>0</v>
      </c>
      <c r="U301" s="47">
        <v>0</v>
      </c>
      <c r="V301" s="47">
        <v>0</v>
      </c>
      <c r="W301" s="47">
        <v>4</v>
      </c>
      <c r="X301" s="1">
        <v>0</v>
      </c>
      <c r="Y301" s="47"/>
      <c r="Z301" s="47"/>
      <c r="AA301" s="55">
        <v>0</v>
      </c>
      <c r="AB301" s="1"/>
      <c r="AC301" s="1"/>
      <c r="AD301" s="1"/>
      <c r="AE301" s="55"/>
      <c r="AF301" s="55">
        <v>4</v>
      </c>
      <c r="AG301" s="1">
        <v>3</v>
      </c>
      <c r="AH301" s="1">
        <v>0</v>
      </c>
      <c r="AI301" s="1">
        <v>0</v>
      </c>
      <c r="AJ301" s="47" t="s">
        <v>32</v>
      </c>
      <c r="AK301" s="47" t="s">
        <v>32</v>
      </c>
      <c r="AL301" s="17"/>
      <c r="AM301" s="18"/>
      <c r="AN301" s="10"/>
    </row>
    <row r="302" spans="2:40">
      <c r="B302" s="1">
        <f t="shared" si="4"/>
        <v>292</v>
      </c>
      <c r="C302" s="1">
        <v>1</v>
      </c>
      <c r="D302" s="47" t="s">
        <v>212</v>
      </c>
      <c r="E302" s="47" t="s">
        <v>91</v>
      </c>
      <c r="F302" s="1" t="s">
        <v>34</v>
      </c>
      <c r="G302" s="1" t="s">
        <v>34</v>
      </c>
      <c r="H302" s="1" t="s">
        <v>479</v>
      </c>
      <c r="I302" s="1" t="s">
        <v>85</v>
      </c>
      <c r="J302" s="47" t="s">
        <v>170</v>
      </c>
      <c r="K302" s="47" t="s">
        <v>452</v>
      </c>
      <c r="L302" s="47">
        <v>0</v>
      </c>
      <c r="M302" s="47">
        <v>0</v>
      </c>
      <c r="N302" s="47">
        <v>0</v>
      </c>
      <c r="O302" s="47">
        <v>0</v>
      </c>
      <c r="P302" s="47">
        <v>0</v>
      </c>
      <c r="Q302" s="47">
        <v>0</v>
      </c>
      <c r="R302" s="47"/>
      <c r="S302" s="47">
        <v>4</v>
      </c>
      <c r="T302" s="47">
        <v>0</v>
      </c>
      <c r="U302" s="47">
        <v>0</v>
      </c>
      <c r="V302" s="47">
        <v>0</v>
      </c>
      <c r="W302" s="47">
        <v>4</v>
      </c>
      <c r="X302" s="1">
        <v>0</v>
      </c>
      <c r="Y302" s="47"/>
      <c r="Z302" s="47"/>
      <c r="AA302" s="55">
        <v>0</v>
      </c>
      <c r="AB302" s="1"/>
      <c r="AC302" s="1"/>
      <c r="AD302" s="1"/>
      <c r="AE302" s="55"/>
      <c r="AF302" s="55">
        <v>4</v>
      </c>
      <c r="AG302" s="1">
        <v>3</v>
      </c>
      <c r="AH302" s="1">
        <v>0</v>
      </c>
      <c r="AI302" s="1">
        <v>0</v>
      </c>
      <c r="AJ302" s="47" t="s">
        <v>32</v>
      </c>
      <c r="AK302" s="47" t="s">
        <v>32</v>
      </c>
      <c r="AL302" s="17"/>
      <c r="AM302" s="18"/>
      <c r="AN302" s="10"/>
    </row>
    <row r="303" spans="2:40">
      <c r="B303" s="1">
        <f t="shared" si="4"/>
        <v>293</v>
      </c>
      <c r="C303" s="1">
        <v>1</v>
      </c>
      <c r="D303" s="47" t="s">
        <v>212</v>
      </c>
      <c r="E303" s="47" t="s">
        <v>91</v>
      </c>
      <c r="F303" s="1" t="s">
        <v>480</v>
      </c>
      <c r="G303" s="1" t="s">
        <v>480</v>
      </c>
      <c r="H303" s="1" t="s">
        <v>481</v>
      </c>
      <c r="I303" s="1" t="s">
        <v>85</v>
      </c>
      <c r="J303" s="47" t="s">
        <v>170</v>
      </c>
      <c r="K303" s="47" t="s">
        <v>452</v>
      </c>
      <c r="L303" s="47">
        <v>0</v>
      </c>
      <c r="M303" s="47">
        <v>0</v>
      </c>
      <c r="N303" s="47">
        <v>0</v>
      </c>
      <c r="O303" s="47">
        <v>0</v>
      </c>
      <c r="P303" s="47">
        <v>0</v>
      </c>
      <c r="Q303" s="47">
        <v>0</v>
      </c>
      <c r="R303" s="47">
        <v>0</v>
      </c>
      <c r="S303" s="47">
        <v>0</v>
      </c>
      <c r="T303" s="47">
        <v>0</v>
      </c>
      <c r="U303" s="47">
        <v>0</v>
      </c>
      <c r="V303" s="47">
        <v>0</v>
      </c>
      <c r="W303" s="47">
        <v>4</v>
      </c>
      <c r="X303" s="1">
        <v>0</v>
      </c>
      <c r="Y303" s="47">
        <v>0</v>
      </c>
      <c r="Z303" s="47">
        <v>0</v>
      </c>
      <c r="AA303" s="55">
        <v>0</v>
      </c>
      <c r="AB303" s="1"/>
      <c r="AC303" s="1"/>
      <c r="AD303" s="1"/>
      <c r="AE303" s="55"/>
      <c r="AF303" s="55">
        <v>1</v>
      </c>
      <c r="AG303" s="1">
        <v>1</v>
      </c>
      <c r="AH303" s="1">
        <v>0</v>
      </c>
      <c r="AI303" s="1">
        <v>0</v>
      </c>
      <c r="AJ303" s="47" t="s">
        <v>32</v>
      </c>
      <c r="AK303" s="47" t="s">
        <v>32</v>
      </c>
      <c r="AL303" s="17"/>
      <c r="AM303" s="18"/>
      <c r="AN303" s="10"/>
    </row>
    <row r="304" spans="2:40" ht="15" customHeight="1">
      <c r="B304" s="1">
        <f t="shared" si="4"/>
        <v>294</v>
      </c>
      <c r="C304" s="47">
        <v>1</v>
      </c>
      <c r="D304" s="47" t="s">
        <v>493</v>
      </c>
      <c r="E304" s="47" t="s">
        <v>294</v>
      </c>
      <c r="F304" s="47" t="s">
        <v>45</v>
      </c>
      <c r="G304" s="47" t="s">
        <v>45</v>
      </c>
      <c r="H304" s="47" t="s">
        <v>493</v>
      </c>
      <c r="I304" s="47" t="s">
        <v>85</v>
      </c>
      <c r="J304" s="47" t="s">
        <v>312</v>
      </c>
      <c r="K304" s="47" t="s">
        <v>408</v>
      </c>
      <c r="L304" s="47"/>
      <c r="M304" s="47"/>
      <c r="N304" s="47"/>
      <c r="O304" s="47"/>
      <c r="P304" s="47"/>
      <c r="Q304" s="47"/>
      <c r="R304" s="47"/>
      <c r="S304" s="47"/>
      <c r="T304" s="47"/>
      <c r="U304" s="47"/>
      <c r="V304" s="47"/>
      <c r="W304" s="47"/>
      <c r="X304" s="1"/>
      <c r="Y304" s="47">
        <v>4</v>
      </c>
      <c r="Z304" s="47"/>
      <c r="AA304" s="1"/>
      <c r="AB304" s="1"/>
      <c r="AC304" s="1"/>
      <c r="AD304" s="1"/>
      <c r="AE304" s="1">
        <v>3</v>
      </c>
      <c r="AF304" s="1"/>
      <c r="AG304" s="1"/>
      <c r="AH304" s="1">
        <v>0</v>
      </c>
      <c r="AI304" s="1">
        <v>0</v>
      </c>
      <c r="AJ304" s="47" t="s">
        <v>32</v>
      </c>
      <c r="AK304" s="47" t="s">
        <v>21</v>
      </c>
      <c r="AL304" s="17">
        <v>44578</v>
      </c>
      <c r="AM304" s="49" t="s">
        <v>408</v>
      </c>
      <c r="AN304" s="50" t="s">
        <v>497</v>
      </c>
    </row>
    <row r="305" spans="2:40" s="51" customFormat="1" ht="15" customHeight="1">
      <c r="B305" s="71">
        <f t="shared" si="4"/>
        <v>295</v>
      </c>
      <c r="C305" s="72">
        <v>0</v>
      </c>
      <c r="D305" s="72" t="s">
        <v>187</v>
      </c>
      <c r="E305" s="72" t="s">
        <v>347</v>
      </c>
      <c r="F305" s="72" t="s">
        <v>487</v>
      </c>
      <c r="G305" s="72" t="s">
        <v>487</v>
      </c>
      <c r="H305" s="72" t="s">
        <v>484</v>
      </c>
      <c r="I305" s="72" t="s">
        <v>85</v>
      </c>
      <c r="J305" s="72" t="s">
        <v>312</v>
      </c>
      <c r="K305" s="72" t="s">
        <v>408</v>
      </c>
      <c r="L305" s="47"/>
      <c r="M305" s="47"/>
      <c r="N305" s="47"/>
      <c r="O305" s="47"/>
      <c r="P305" s="47"/>
      <c r="Q305" s="47"/>
      <c r="R305" s="47"/>
      <c r="S305" s="47"/>
      <c r="T305" s="47"/>
      <c r="U305" s="47"/>
      <c r="V305" s="47"/>
      <c r="W305" s="47"/>
      <c r="X305" s="1"/>
      <c r="Y305" s="47">
        <v>4</v>
      </c>
      <c r="Z305" s="47"/>
      <c r="AA305" s="1"/>
      <c r="AB305" s="1"/>
      <c r="AC305" s="1"/>
      <c r="AD305" s="1"/>
      <c r="AE305" s="1">
        <v>3</v>
      </c>
      <c r="AF305" s="1"/>
      <c r="AG305" s="1"/>
      <c r="AH305" s="1">
        <v>0</v>
      </c>
      <c r="AI305" s="1">
        <v>0</v>
      </c>
      <c r="AJ305" s="47" t="s">
        <v>32</v>
      </c>
      <c r="AK305" s="47" t="s">
        <v>21</v>
      </c>
      <c r="AL305" s="48">
        <v>44551</v>
      </c>
      <c r="AM305" s="49" t="s">
        <v>408</v>
      </c>
      <c r="AN305" s="50" t="s">
        <v>521</v>
      </c>
    </row>
    <row r="306" spans="2:40" s="51" customFormat="1" ht="15" customHeight="1">
      <c r="B306" s="1">
        <f>B305+1</f>
        <v>296</v>
      </c>
      <c r="C306" s="47">
        <v>1</v>
      </c>
      <c r="D306" s="47" t="s">
        <v>526</v>
      </c>
      <c r="E306" s="47" t="s">
        <v>294</v>
      </c>
      <c r="F306" s="47" t="s">
        <v>238</v>
      </c>
      <c r="G306" s="47" t="s">
        <v>238</v>
      </c>
      <c r="H306" s="47" t="s">
        <v>526</v>
      </c>
      <c r="I306" s="47" t="s">
        <v>85</v>
      </c>
      <c r="J306" s="47" t="s">
        <v>312</v>
      </c>
      <c r="K306" s="47" t="s">
        <v>408</v>
      </c>
      <c r="L306" s="47"/>
      <c r="M306" s="47"/>
      <c r="N306" s="47"/>
      <c r="O306" s="47"/>
      <c r="P306" s="47"/>
      <c r="Q306" s="47"/>
      <c r="R306" s="47"/>
      <c r="S306" s="47"/>
      <c r="T306" s="47"/>
      <c r="U306" s="47"/>
      <c r="V306" s="47"/>
      <c r="W306" s="47"/>
      <c r="X306" s="1"/>
      <c r="Y306" s="47">
        <v>4</v>
      </c>
      <c r="Z306" s="47"/>
      <c r="AA306" s="1"/>
      <c r="AB306" s="1"/>
      <c r="AC306" s="1"/>
      <c r="AD306" s="1"/>
      <c r="AE306" s="1">
        <v>3</v>
      </c>
      <c r="AF306" s="1"/>
      <c r="AG306" s="1"/>
      <c r="AH306" s="1"/>
      <c r="AI306" s="1"/>
      <c r="AJ306" s="47" t="s">
        <v>32</v>
      </c>
      <c r="AK306" s="47" t="s">
        <v>21</v>
      </c>
      <c r="AL306" s="17">
        <v>44726</v>
      </c>
      <c r="AM306" s="49" t="s">
        <v>408</v>
      </c>
      <c r="AN306" s="50" t="s">
        <v>494</v>
      </c>
    </row>
    <row r="307" spans="2:40" s="51" customFormat="1" ht="15" customHeight="1">
      <c r="B307" s="1">
        <f t="shared" si="4"/>
        <v>297</v>
      </c>
      <c r="C307" s="47">
        <v>1</v>
      </c>
      <c r="D307" s="47" t="s">
        <v>527</v>
      </c>
      <c r="E307" s="47" t="s">
        <v>294</v>
      </c>
      <c r="F307" s="47" t="s">
        <v>498</v>
      </c>
      <c r="G307" s="47" t="s">
        <v>498</v>
      </c>
      <c r="H307" s="47" t="s">
        <v>527</v>
      </c>
      <c r="I307" s="47" t="s">
        <v>85</v>
      </c>
      <c r="J307" s="47" t="s">
        <v>312</v>
      </c>
      <c r="K307" s="47" t="s">
        <v>408</v>
      </c>
      <c r="L307" s="47"/>
      <c r="M307" s="47"/>
      <c r="N307" s="47"/>
      <c r="O307" s="47"/>
      <c r="P307" s="47"/>
      <c r="Q307" s="47"/>
      <c r="R307" s="47"/>
      <c r="S307" s="47"/>
      <c r="T307" s="47"/>
      <c r="U307" s="47"/>
      <c r="V307" s="47"/>
      <c r="W307" s="47"/>
      <c r="X307" s="1"/>
      <c r="Y307" s="47">
        <v>4</v>
      </c>
      <c r="Z307" s="47"/>
      <c r="AA307" s="1"/>
      <c r="AB307" s="1"/>
      <c r="AC307" s="1"/>
      <c r="AD307" s="1"/>
      <c r="AE307" s="1">
        <v>3</v>
      </c>
      <c r="AF307" s="1"/>
      <c r="AG307" s="1"/>
      <c r="AH307" s="1"/>
      <c r="AI307" s="1"/>
      <c r="AJ307" s="47"/>
      <c r="AK307" s="47" t="s">
        <v>21</v>
      </c>
      <c r="AL307" s="17">
        <v>44726</v>
      </c>
      <c r="AM307" s="49" t="s">
        <v>408</v>
      </c>
      <c r="AN307" s="50" t="s">
        <v>499</v>
      </c>
    </row>
    <row r="308" spans="2:40">
      <c r="B308" s="1">
        <f t="shared" si="4"/>
        <v>298</v>
      </c>
      <c r="C308" s="1">
        <v>1</v>
      </c>
      <c r="D308" s="1" t="s">
        <v>220</v>
      </c>
      <c r="E308" s="1" t="s">
        <v>52</v>
      </c>
      <c r="F308" s="1" t="s">
        <v>321</v>
      </c>
      <c r="G308" s="1" t="s">
        <v>321</v>
      </c>
      <c r="H308" s="1" t="s">
        <v>506</v>
      </c>
      <c r="I308" s="1" t="s">
        <v>85</v>
      </c>
      <c r="J308" s="1" t="s">
        <v>491</v>
      </c>
      <c r="K308" s="1" t="s">
        <v>11</v>
      </c>
      <c r="L308" s="1"/>
      <c r="M308" s="1"/>
      <c r="N308" s="1"/>
      <c r="O308" s="1"/>
      <c r="P308" s="1"/>
      <c r="Q308" s="1"/>
      <c r="R308" s="1"/>
      <c r="S308" s="1"/>
      <c r="T308" s="1"/>
      <c r="U308" s="1"/>
      <c r="V308" s="1"/>
      <c r="W308" s="1"/>
      <c r="X308" s="1"/>
      <c r="Y308" s="1"/>
      <c r="Z308" s="1"/>
      <c r="AA308" s="55"/>
      <c r="AB308" s="1"/>
      <c r="AC308" s="1"/>
      <c r="AD308" s="1"/>
      <c r="AE308" s="55"/>
      <c r="AF308" s="55"/>
      <c r="AG308" s="1"/>
      <c r="AH308" s="1"/>
      <c r="AI308" s="1"/>
      <c r="AJ308" s="1"/>
      <c r="AK308" s="1"/>
      <c r="AL308" s="17"/>
      <c r="AM308" s="18"/>
      <c r="AN308" s="10"/>
    </row>
    <row r="309" spans="2:40">
      <c r="B309" s="1">
        <f t="shared" si="4"/>
        <v>299</v>
      </c>
      <c r="C309" s="1">
        <v>1</v>
      </c>
      <c r="D309" s="1" t="s">
        <v>220</v>
      </c>
      <c r="E309" s="1" t="s">
        <v>52</v>
      </c>
      <c r="F309" s="1" t="s">
        <v>321</v>
      </c>
      <c r="G309" s="1" t="s">
        <v>321</v>
      </c>
      <c r="H309" s="1" t="s">
        <v>507</v>
      </c>
      <c r="I309" s="1" t="s">
        <v>85</v>
      </c>
      <c r="J309" s="1" t="s">
        <v>491</v>
      </c>
      <c r="K309" s="1"/>
      <c r="L309" s="1"/>
      <c r="M309" s="1"/>
      <c r="N309" s="1"/>
      <c r="O309" s="1"/>
      <c r="P309" s="1"/>
      <c r="Q309" s="1"/>
      <c r="R309" s="1"/>
      <c r="S309" s="1"/>
      <c r="T309" s="1"/>
      <c r="U309" s="1"/>
      <c r="V309" s="1"/>
      <c r="W309" s="1"/>
      <c r="X309" s="1"/>
      <c r="Y309" s="1"/>
      <c r="Z309" s="1"/>
      <c r="AA309" s="55"/>
      <c r="AB309" s="1"/>
      <c r="AC309" s="1"/>
      <c r="AD309" s="1"/>
      <c r="AE309" s="55"/>
      <c r="AF309" s="55"/>
      <c r="AG309" s="1"/>
      <c r="AH309" s="1"/>
      <c r="AI309" s="1"/>
      <c r="AJ309" s="1"/>
      <c r="AK309" s="1"/>
      <c r="AL309" s="17"/>
      <c r="AM309" s="18"/>
      <c r="AN309" s="10"/>
    </row>
    <row r="310" spans="2:40">
      <c r="B310" s="1">
        <f t="shared" si="4"/>
        <v>300</v>
      </c>
      <c r="C310" s="1">
        <v>1</v>
      </c>
      <c r="D310" s="1" t="s">
        <v>220</v>
      </c>
      <c r="E310" s="1" t="s">
        <v>52</v>
      </c>
      <c r="F310" s="1" t="s">
        <v>321</v>
      </c>
      <c r="G310" s="1" t="s">
        <v>321</v>
      </c>
      <c r="H310" s="1" t="s">
        <v>508</v>
      </c>
      <c r="I310" s="1" t="s">
        <v>85</v>
      </c>
      <c r="J310" s="1" t="s">
        <v>491</v>
      </c>
      <c r="K310" s="1"/>
      <c r="L310" s="1"/>
      <c r="M310" s="1"/>
      <c r="N310" s="1"/>
      <c r="O310" s="1"/>
      <c r="P310" s="1"/>
      <c r="Q310" s="1"/>
      <c r="R310" s="1"/>
      <c r="S310" s="1"/>
      <c r="T310" s="1"/>
      <c r="U310" s="1"/>
      <c r="V310" s="1"/>
      <c r="W310" s="1"/>
      <c r="X310" s="1"/>
      <c r="Y310" s="1"/>
      <c r="Z310" s="1"/>
      <c r="AA310" s="55"/>
      <c r="AB310" s="1"/>
      <c r="AC310" s="1"/>
      <c r="AD310" s="1"/>
      <c r="AE310" s="55"/>
      <c r="AF310" s="55"/>
      <c r="AG310" s="1"/>
      <c r="AH310" s="1"/>
      <c r="AI310" s="1"/>
      <c r="AJ310" s="1"/>
      <c r="AK310" s="1"/>
      <c r="AL310" s="17"/>
      <c r="AM310" s="18"/>
      <c r="AN310" s="10"/>
    </row>
    <row r="311" spans="2:40">
      <c r="B311" s="1">
        <f t="shared" si="4"/>
        <v>301</v>
      </c>
      <c r="C311" s="1">
        <v>1</v>
      </c>
      <c r="D311" s="1" t="s">
        <v>220</v>
      </c>
      <c r="E311" s="1" t="s">
        <v>52</v>
      </c>
      <c r="F311" s="1" t="s">
        <v>321</v>
      </c>
      <c r="G311" s="1" t="s">
        <v>321</v>
      </c>
      <c r="H311" s="1" t="s">
        <v>509</v>
      </c>
      <c r="I311" s="1" t="s">
        <v>87</v>
      </c>
      <c r="J311" s="1" t="s">
        <v>491</v>
      </c>
      <c r="K311" s="1"/>
      <c r="L311" s="1"/>
      <c r="M311" s="1"/>
      <c r="N311" s="1"/>
      <c r="O311" s="1"/>
      <c r="P311" s="1"/>
      <c r="Q311" s="1"/>
      <c r="R311" s="1"/>
      <c r="S311" s="1"/>
      <c r="T311" s="1"/>
      <c r="U311" s="1"/>
      <c r="V311" s="1"/>
      <c r="W311" s="1"/>
      <c r="X311" s="1"/>
      <c r="Y311" s="1"/>
      <c r="Z311" s="1"/>
      <c r="AA311" s="55"/>
      <c r="AB311" s="1"/>
      <c r="AC311" s="1"/>
      <c r="AD311" s="1"/>
      <c r="AE311" s="55"/>
      <c r="AF311" s="55"/>
      <c r="AG311" s="1"/>
      <c r="AH311" s="1"/>
      <c r="AI311" s="1"/>
      <c r="AJ311" s="1"/>
      <c r="AK311" s="1"/>
      <c r="AL311" s="17"/>
      <c r="AM311" s="18"/>
      <c r="AN311" s="10"/>
    </row>
    <row r="312" spans="2:40">
      <c r="B312" s="1">
        <f t="shared" si="4"/>
        <v>302</v>
      </c>
      <c r="C312" s="1">
        <v>1</v>
      </c>
      <c r="D312" s="1" t="s">
        <v>220</v>
      </c>
      <c r="E312" s="1" t="s">
        <v>52</v>
      </c>
      <c r="F312" s="1" t="s">
        <v>321</v>
      </c>
      <c r="G312" s="1" t="s">
        <v>321</v>
      </c>
      <c r="H312" s="1" t="s">
        <v>510</v>
      </c>
      <c r="I312" s="1" t="s">
        <v>87</v>
      </c>
      <c r="J312" s="1" t="s">
        <v>491</v>
      </c>
      <c r="K312" s="1"/>
      <c r="L312" s="1"/>
      <c r="M312" s="1"/>
      <c r="N312" s="1"/>
      <c r="O312" s="1"/>
      <c r="P312" s="1"/>
      <c r="Q312" s="1"/>
      <c r="R312" s="1"/>
      <c r="S312" s="1"/>
      <c r="T312" s="1"/>
      <c r="U312" s="1"/>
      <c r="V312" s="1"/>
      <c r="W312" s="1"/>
      <c r="X312" s="1"/>
      <c r="Y312" s="1"/>
      <c r="Z312" s="1"/>
      <c r="AA312" s="55"/>
      <c r="AB312" s="1"/>
      <c r="AC312" s="1"/>
      <c r="AD312" s="1"/>
      <c r="AE312" s="55"/>
      <c r="AF312" s="55"/>
      <c r="AG312" s="1"/>
      <c r="AH312" s="1"/>
      <c r="AI312" s="1"/>
      <c r="AJ312" s="1"/>
      <c r="AK312" s="1"/>
      <c r="AL312" s="17"/>
      <c r="AM312" s="18"/>
      <c r="AN312" s="10"/>
    </row>
    <row r="313" spans="2:40">
      <c r="B313" s="1">
        <f t="shared" si="4"/>
        <v>303</v>
      </c>
      <c r="C313" s="1">
        <v>1</v>
      </c>
      <c r="D313" s="1" t="s">
        <v>516</v>
      </c>
      <c r="E313" s="1" t="s">
        <v>52</v>
      </c>
      <c r="F313" s="1" t="s">
        <v>321</v>
      </c>
      <c r="G313" s="1" t="s">
        <v>321</v>
      </c>
      <c r="H313" s="1" t="s">
        <v>511</v>
      </c>
      <c r="I313" s="1" t="s">
        <v>86</v>
      </c>
      <c r="J313" s="1" t="s">
        <v>491</v>
      </c>
      <c r="K313" s="1"/>
      <c r="L313" s="1"/>
      <c r="M313" s="1"/>
      <c r="N313" s="1"/>
      <c r="O313" s="1"/>
      <c r="P313" s="1"/>
      <c r="Q313" s="1"/>
      <c r="R313" s="1"/>
      <c r="S313" s="1"/>
      <c r="T313" s="1"/>
      <c r="U313" s="1"/>
      <c r="V313" s="1"/>
      <c r="W313" s="1"/>
      <c r="X313" s="1"/>
      <c r="Y313" s="1"/>
      <c r="Z313" s="1"/>
      <c r="AA313" s="55"/>
      <c r="AB313" s="1"/>
      <c r="AC313" s="1"/>
      <c r="AD313" s="1"/>
      <c r="AE313" s="55"/>
      <c r="AF313" s="55"/>
      <c r="AG313" s="1"/>
      <c r="AH313" s="1"/>
      <c r="AI313" s="1"/>
      <c r="AJ313" s="1"/>
      <c r="AK313" s="1"/>
      <c r="AL313" s="17"/>
      <c r="AM313" s="18"/>
      <c r="AN313" s="10"/>
    </row>
    <row r="314" spans="2:40">
      <c r="B314" s="1">
        <f t="shared" si="4"/>
        <v>304</v>
      </c>
      <c r="C314" s="1">
        <v>1</v>
      </c>
      <c r="D314" s="1" t="s">
        <v>220</v>
      </c>
      <c r="E314" s="1" t="s">
        <v>52</v>
      </c>
      <c r="F314" s="1" t="s">
        <v>321</v>
      </c>
      <c r="G314" s="1" t="s">
        <v>321</v>
      </c>
      <c r="H314" s="1" t="s">
        <v>512</v>
      </c>
      <c r="I314" s="1" t="s">
        <v>86</v>
      </c>
      <c r="J314" s="1" t="s">
        <v>491</v>
      </c>
      <c r="K314" s="1"/>
      <c r="L314" s="1"/>
      <c r="M314" s="1"/>
      <c r="N314" s="1"/>
      <c r="O314" s="1"/>
      <c r="P314" s="1"/>
      <c r="Q314" s="1"/>
      <c r="R314" s="1"/>
      <c r="S314" s="1"/>
      <c r="T314" s="1"/>
      <c r="U314" s="1"/>
      <c r="V314" s="1"/>
      <c r="W314" s="1"/>
      <c r="X314" s="1"/>
      <c r="Y314" s="1"/>
      <c r="Z314" s="1"/>
      <c r="AA314" s="55"/>
      <c r="AB314" s="1"/>
      <c r="AC314" s="1"/>
      <c r="AD314" s="1"/>
      <c r="AE314" s="55"/>
      <c r="AF314" s="55"/>
      <c r="AG314" s="1"/>
      <c r="AH314" s="1"/>
      <c r="AI314" s="1"/>
      <c r="AJ314" s="1"/>
      <c r="AK314" s="1"/>
      <c r="AL314" s="17"/>
      <c r="AM314" s="18"/>
      <c r="AN314" s="10"/>
    </row>
    <row r="315" spans="2:40">
      <c r="B315" s="1">
        <f t="shared" si="4"/>
        <v>305</v>
      </c>
      <c r="C315" s="1">
        <v>1</v>
      </c>
      <c r="D315" s="1" t="s">
        <v>220</v>
      </c>
      <c r="E315" s="1" t="s">
        <v>52</v>
      </c>
      <c r="F315" s="1" t="s">
        <v>321</v>
      </c>
      <c r="G315" s="1" t="s">
        <v>321</v>
      </c>
      <c r="H315" s="1" t="s">
        <v>513</v>
      </c>
      <c r="I315" s="1" t="s">
        <v>85</v>
      </c>
      <c r="J315" s="1" t="s">
        <v>491</v>
      </c>
      <c r="K315" s="1"/>
      <c r="L315" s="1"/>
      <c r="M315" s="1"/>
      <c r="N315" s="1"/>
      <c r="O315" s="1"/>
      <c r="P315" s="1"/>
      <c r="Q315" s="1"/>
      <c r="R315" s="1"/>
      <c r="S315" s="1"/>
      <c r="T315" s="1"/>
      <c r="U315" s="1"/>
      <c r="V315" s="1"/>
      <c r="W315" s="1"/>
      <c r="X315" s="1"/>
      <c r="Y315" s="1"/>
      <c r="Z315" s="1"/>
      <c r="AA315" s="55"/>
      <c r="AB315" s="1"/>
      <c r="AC315" s="1"/>
      <c r="AD315" s="1"/>
      <c r="AE315" s="55"/>
      <c r="AF315" s="55"/>
      <c r="AG315" s="1"/>
      <c r="AH315" s="1"/>
      <c r="AI315" s="1"/>
      <c r="AJ315" s="1"/>
      <c r="AK315" s="1"/>
      <c r="AL315" s="17"/>
      <c r="AM315" s="18"/>
      <c r="AN315" s="10"/>
    </row>
    <row r="316" spans="2:40">
      <c r="B316" s="1">
        <f t="shared" si="4"/>
        <v>306</v>
      </c>
      <c r="C316" s="1">
        <v>1</v>
      </c>
      <c r="D316" s="1" t="s">
        <v>220</v>
      </c>
      <c r="E316" s="1" t="s">
        <v>52</v>
      </c>
      <c r="F316" s="1" t="s">
        <v>321</v>
      </c>
      <c r="G316" s="1" t="s">
        <v>321</v>
      </c>
      <c r="H316" s="1" t="s">
        <v>514</v>
      </c>
      <c r="I316" s="1" t="s">
        <v>85</v>
      </c>
      <c r="J316" s="1" t="s">
        <v>491</v>
      </c>
      <c r="K316" s="1"/>
      <c r="L316" s="1"/>
      <c r="M316" s="1"/>
      <c r="N316" s="1"/>
      <c r="O316" s="1"/>
      <c r="P316" s="1"/>
      <c r="Q316" s="1"/>
      <c r="R316" s="1"/>
      <c r="S316" s="1"/>
      <c r="T316" s="1"/>
      <c r="U316" s="1"/>
      <c r="V316" s="1"/>
      <c r="W316" s="1"/>
      <c r="X316" s="1"/>
      <c r="Y316" s="1"/>
      <c r="Z316" s="1"/>
      <c r="AA316" s="55"/>
      <c r="AB316" s="1"/>
      <c r="AC316" s="1"/>
      <c r="AD316" s="1"/>
      <c r="AE316" s="55"/>
      <c r="AF316" s="55"/>
      <c r="AG316" s="1"/>
      <c r="AH316" s="1"/>
      <c r="AI316" s="1"/>
      <c r="AJ316" s="1"/>
      <c r="AK316" s="1"/>
      <c r="AL316" s="17"/>
      <c r="AM316" s="18"/>
      <c r="AN316" s="10"/>
    </row>
    <row r="317" spans="2:40">
      <c r="B317" s="1">
        <f t="shared" si="4"/>
        <v>307</v>
      </c>
      <c r="C317" s="1">
        <v>1</v>
      </c>
      <c r="D317" s="1" t="s">
        <v>220</v>
      </c>
      <c r="E317" s="1" t="s">
        <v>52</v>
      </c>
      <c r="F317" s="1" t="s">
        <v>321</v>
      </c>
      <c r="G317" s="1" t="s">
        <v>321</v>
      </c>
      <c r="H317" s="1" t="s">
        <v>515</v>
      </c>
      <c r="I317" s="1" t="s">
        <v>85</v>
      </c>
      <c r="J317" s="1" t="s">
        <v>491</v>
      </c>
      <c r="K317" s="1"/>
      <c r="L317" s="1"/>
      <c r="M317" s="1"/>
      <c r="N317" s="1"/>
      <c r="O317" s="1"/>
      <c r="P317" s="1"/>
      <c r="Q317" s="1"/>
      <c r="R317" s="1"/>
      <c r="S317" s="1"/>
      <c r="T317" s="1"/>
      <c r="U317" s="1"/>
      <c r="V317" s="1"/>
      <c r="W317" s="1"/>
      <c r="X317" s="1"/>
      <c r="Y317" s="1"/>
      <c r="Z317" s="1"/>
      <c r="AA317" s="55"/>
      <c r="AB317" s="1"/>
      <c r="AC317" s="1"/>
      <c r="AD317" s="1"/>
      <c r="AE317" s="55"/>
      <c r="AF317" s="55"/>
      <c r="AG317" s="1"/>
      <c r="AH317" s="1"/>
      <c r="AI317" s="1"/>
      <c r="AJ317" s="1"/>
      <c r="AK317" s="1"/>
      <c r="AL317" s="17"/>
      <c r="AM317" s="18"/>
      <c r="AN317" s="10"/>
    </row>
    <row r="318" spans="2:40">
      <c r="B318" s="73">
        <f>B317+1</f>
        <v>308</v>
      </c>
      <c r="C318" s="1">
        <v>1</v>
      </c>
      <c r="D318" s="1" t="s">
        <v>522</v>
      </c>
      <c r="E318" s="1" t="s">
        <v>294</v>
      </c>
      <c r="F318" s="1" t="s">
        <v>43</v>
      </c>
      <c r="G318" s="1"/>
      <c r="H318" s="1" t="s">
        <v>523</v>
      </c>
      <c r="I318" s="1" t="s">
        <v>85</v>
      </c>
      <c r="J318" s="1" t="s">
        <v>502</v>
      </c>
      <c r="K318" s="1" t="s">
        <v>486</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c r="AD318" s="1">
        <v>0</v>
      </c>
      <c r="AE318" s="1">
        <v>0</v>
      </c>
      <c r="AF318" s="1">
        <v>0</v>
      </c>
      <c r="AG318" s="1">
        <v>0</v>
      </c>
      <c r="AH318" s="1">
        <v>3</v>
      </c>
      <c r="AI318" s="1">
        <v>4</v>
      </c>
      <c r="AJ318" s="1" t="s">
        <v>21</v>
      </c>
      <c r="AK318" s="1" t="s">
        <v>21</v>
      </c>
      <c r="AL318" s="17">
        <v>44830</v>
      </c>
      <c r="AM318" s="18" t="s">
        <v>486</v>
      </c>
      <c r="AN318" s="10"/>
    </row>
  </sheetData>
  <mergeCells count="7">
    <mergeCell ref="P1:S1"/>
    <mergeCell ref="P2:S2"/>
    <mergeCell ref="P3:S3"/>
    <mergeCell ref="E4:H7"/>
    <mergeCell ref="P4:S4"/>
    <mergeCell ref="P5:S5"/>
    <mergeCell ref="P6:S6"/>
  </mergeCells>
  <conditionalFormatting sqref="L11:AI11 L35:Y35 L36:Z56 L27:Z34 AA27:AF56 L279:AF279 AE271:AF271 AE267:AF269 AE263:AF264 AA59:AF62 L12:AF15 L163:Z187 L160:AI160 L204:AF218 L219:AA228 L229:AF232 L59:Z154 L190:Z203 W243:W244 AF243:AF244 AA63:AI151 L159:AG159 AA163:AG165 L161:AG161 AH161:AI165 L293:AI303 AA152:AG154 L17:AF26 AG204:AI232 AA166:AI203 AG234:AI242">
    <cfRule type="containsBlanks" dxfId="606" priority="598" stopIfTrue="1">
      <formula>LEN(TRIM(L11))=0</formula>
    </cfRule>
    <cfRule type="cellIs" dxfId="605" priority="599" operator="equal">
      <formula>4</formula>
    </cfRule>
    <cfRule type="cellIs" dxfId="604" priority="600" operator="equal">
      <formula>3</formula>
    </cfRule>
    <cfRule type="cellIs" dxfId="603" priority="601" operator="equal">
      <formula>2</formula>
    </cfRule>
    <cfRule type="cellIs" dxfId="602" priority="602" operator="equal">
      <formula>1</formula>
    </cfRule>
    <cfRule type="cellIs" dxfId="601" priority="603" operator="equal">
      <formula>0</formula>
    </cfRule>
  </conditionalFormatting>
  <conditionalFormatting sqref="AJ11:AK15 AJ59:AK154 AJ163:AK187 AJ159:AK161 AJ190:AK232 AJ293:AK300 AJ17:AK56">
    <cfRule type="containsBlanks" dxfId="600" priority="595" stopIfTrue="1">
      <formula>LEN(TRIM(AJ11))=0</formula>
    </cfRule>
    <cfRule type="containsText" dxfId="599" priority="596" operator="containsText" text="NO">
      <formula>NOT(ISERROR(SEARCH("NO",AJ11)))</formula>
    </cfRule>
    <cfRule type="containsText" dxfId="598" priority="597" operator="containsText" text="YES">
      <formula>NOT(ISERROR(SEARCH("YES",AJ11)))</formula>
    </cfRule>
  </conditionalFormatting>
  <conditionalFormatting sqref="C55:F55 H55:Z55 B11:AN11 C35:J35 C36:Z40 C42:Z54 C41:J41 C75:J75 L75:Z75 C100:J100 L100:Z100 C171:J171 L171:Z171 L35:Y35 L41:Z41 AE271:AF271 AE267:AF268 C56:Z56 B12:AF15 C288:AF291 AA27:AF56 AA59:AF62 AJ190:AN214 AJ288:AN291 AJ279:AN279 AJ12:AN15 C163:Z170 AL156:AN158 C160:AN160 C155:K158 AJ152:AM154 AL155:AM155 AA219:AA228 AA229:AF232 J243:K246 C293:AN299 D300:AN300 J301:AI303 X190:X232 W243:W244 AF243:AF244 D215:E232 D233 D301:E303 AA63:AI151 C159:AG159 AJ159:AN159 AA163:AG165 C161:AG161 AJ161:AN161 AH161:AI165 AA152:AG154 AJ17:AN56 B17:B57 AG204:AI232 AL188:AM189 C172:Z187 AA166:AI203 B59:B161 C292:H292 J292:AF292 C27:Z34 C59:Z74 AJ292:AL292 AA204:AF218 C190:W214 Y190:Z214 C279:AF279 D237:D242 B163:B304 L237:AF242 AJ237:AM242 C76:Z99 C17:AF26 B308:B317 C101:Z154 AJ59:AN151 AJ163:AN187 AG234:AI242">
    <cfRule type="expression" dxfId="597" priority="594">
      <formula>AND($C11=0,$C11&lt;&gt;"")</formula>
    </cfRule>
  </conditionalFormatting>
  <conditionalFormatting sqref="G55">
    <cfRule type="expression" dxfId="596" priority="593">
      <formula>AND($C55=0,$C55&lt;&gt;"")</formula>
    </cfRule>
  </conditionalFormatting>
  <conditionalFormatting sqref="L189:Z189">
    <cfRule type="containsBlanks" dxfId="595" priority="587" stopIfTrue="1">
      <formula>LEN(TRIM(L189))=0</formula>
    </cfRule>
    <cfRule type="cellIs" dxfId="594" priority="588" operator="equal">
      <formula>4</formula>
    </cfRule>
    <cfRule type="cellIs" dxfId="593" priority="589" operator="equal">
      <formula>3</formula>
    </cfRule>
    <cfRule type="cellIs" dxfId="592" priority="590" operator="equal">
      <formula>2</formula>
    </cfRule>
    <cfRule type="cellIs" dxfId="591" priority="591" operator="equal">
      <formula>1</formula>
    </cfRule>
    <cfRule type="cellIs" dxfId="590" priority="592" operator="equal">
      <formula>0</formula>
    </cfRule>
  </conditionalFormatting>
  <conditionalFormatting sqref="AJ189:AK189">
    <cfRule type="containsBlanks" dxfId="589" priority="584" stopIfTrue="1">
      <formula>LEN(TRIM(AJ189))=0</formula>
    </cfRule>
    <cfRule type="containsText" dxfId="588" priority="585" operator="containsText" text="NO">
      <formula>NOT(ISERROR(SEARCH("NO",AJ189)))</formula>
    </cfRule>
    <cfRule type="containsText" dxfId="587" priority="586" operator="containsText" text="YES">
      <formula>NOT(ISERROR(SEARCH("YES",AJ189)))</formula>
    </cfRule>
  </conditionalFormatting>
  <conditionalFormatting sqref="C189:I189 L189:Z189 AN189 AJ189:AK189">
    <cfRule type="expression" dxfId="586" priority="583">
      <formula>AND($C189=0,$C189&lt;&gt;"")</formula>
    </cfRule>
  </conditionalFormatting>
  <conditionalFormatting sqref="L188:Z188">
    <cfRule type="containsBlanks" dxfId="585" priority="577" stopIfTrue="1">
      <formula>LEN(TRIM(L188))=0</formula>
    </cfRule>
    <cfRule type="cellIs" dxfId="584" priority="578" operator="equal">
      <formula>4</formula>
    </cfRule>
    <cfRule type="cellIs" dxfId="583" priority="579" operator="equal">
      <formula>3</formula>
    </cfRule>
    <cfRule type="cellIs" dxfId="582" priority="580" operator="equal">
      <formula>2</formula>
    </cfRule>
    <cfRule type="cellIs" dxfId="581" priority="581" operator="equal">
      <formula>1</formula>
    </cfRule>
    <cfRule type="cellIs" dxfId="580" priority="582" operator="equal">
      <formula>0</formula>
    </cfRule>
  </conditionalFormatting>
  <conditionalFormatting sqref="AJ188:AK188">
    <cfRule type="containsBlanks" dxfId="579" priority="574" stopIfTrue="1">
      <formula>LEN(TRIM(AJ188))=0</formula>
    </cfRule>
    <cfRule type="containsText" dxfId="578" priority="575" operator="containsText" text="NO">
      <formula>NOT(ISERROR(SEARCH("NO",AJ188)))</formula>
    </cfRule>
    <cfRule type="containsText" dxfId="577" priority="576" operator="containsText" text="YES">
      <formula>NOT(ISERROR(SEARCH("YES",AJ188)))</formula>
    </cfRule>
  </conditionalFormatting>
  <conditionalFormatting sqref="C188:I188 L188:Z188 AN188 AJ188:AK188">
    <cfRule type="expression" dxfId="576" priority="573">
      <formula>AND($C188=0,$C188&lt;&gt;"")</formula>
    </cfRule>
  </conditionalFormatting>
  <conditionalFormatting sqref="K188">
    <cfRule type="expression" dxfId="575" priority="572">
      <formula>AND($C188=0,$C188&lt;&gt;"")</formula>
    </cfRule>
  </conditionalFormatting>
  <conditionalFormatting sqref="K189">
    <cfRule type="expression" dxfId="574" priority="571">
      <formula>AND($C189=0,$C189&lt;&gt;"")</formula>
    </cfRule>
  </conditionalFormatting>
  <conditionalFormatting sqref="J188">
    <cfRule type="expression" dxfId="573" priority="570">
      <formula>AND($C188=0,$C188&lt;&gt;"")</formula>
    </cfRule>
  </conditionalFormatting>
  <conditionalFormatting sqref="J189">
    <cfRule type="expression" dxfId="572" priority="569">
      <formula>AND($C189=0,$C189&lt;&gt;"")</formula>
    </cfRule>
  </conditionalFormatting>
  <conditionalFormatting sqref="C234:G234">
    <cfRule type="expression" dxfId="571" priority="568">
      <formula>AND($C234=0,$C234&lt;&gt;"")</formula>
    </cfRule>
  </conditionalFormatting>
  <conditionalFormatting sqref="AN234">
    <cfRule type="expression" dxfId="570" priority="567">
      <formula>AND($C234=0,$C234&lt;&gt;"")</formula>
    </cfRule>
  </conditionalFormatting>
  <conditionalFormatting sqref="D235">
    <cfRule type="expression" dxfId="569" priority="566">
      <formula>AND($C235=0,$C235&lt;&gt;"")</formula>
    </cfRule>
  </conditionalFormatting>
  <conditionalFormatting sqref="J235:K242">
    <cfRule type="expression" dxfId="568" priority="565">
      <formula>AND($C235=0,$C235&lt;&gt;"")</formula>
    </cfRule>
  </conditionalFormatting>
  <conditionalFormatting sqref="L234:AF234">
    <cfRule type="containsBlanks" dxfId="567" priority="559" stopIfTrue="1">
      <formula>LEN(TRIM(L234))=0</formula>
    </cfRule>
    <cfRule type="cellIs" dxfId="566" priority="560" operator="equal">
      <formula>4</formula>
    </cfRule>
    <cfRule type="cellIs" dxfId="565" priority="561" operator="equal">
      <formula>3</formula>
    </cfRule>
    <cfRule type="cellIs" dxfId="564" priority="562" operator="equal">
      <formula>2</formula>
    </cfRule>
    <cfRule type="cellIs" dxfId="563" priority="563" operator="equal">
      <formula>1</formula>
    </cfRule>
    <cfRule type="cellIs" dxfId="562" priority="564" operator="equal">
      <formula>0</formula>
    </cfRule>
  </conditionalFormatting>
  <conditionalFormatting sqref="AJ234:AK234">
    <cfRule type="containsBlanks" dxfId="561" priority="556" stopIfTrue="1">
      <formula>LEN(TRIM(AJ234))=0</formula>
    </cfRule>
    <cfRule type="containsText" dxfId="560" priority="557" operator="containsText" text="NO">
      <formula>NOT(ISERROR(SEARCH("NO",AJ234)))</formula>
    </cfRule>
    <cfRule type="containsText" dxfId="559" priority="558" operator="containsText" text="YES">
      <formula>NOT(ISERROR(SEARCH("YES",AJ234)))</formula>
    </cfRule>
  </conditionalFormatting>
  <conditionalFormatting sqref="L234:AF234 AJ234:AM234">
    <cfRule type="expression" dxfId="558" priority="555">
      <formula>AND($C234=0,$C234&lt;&gt;"")</formula>
    </cfRule>
  </conditionalFormatting>
  <conditionalFormatting sqref="L235:AF235 AA244:AE244 AA246:AG246 AA248:AF248 AA251:AF251 AA253:AF253 AA255:AF255 AA257:AF257 AA259:AF259 AG244 AA237:AF242">
    <cfRule type="containsBlanks" dxfId="557" priority="549" stopIfTrue="1">
      <formula>LEN(TRIM(L235))=0</formula>
    </cfRule>
    <cfRule type="cellIs" dxfId="556" priority="550" operator="equal">
      <formula>4</formula>
    </cfRule>
    <cfRule type="cellIs" dxfId="555" priority="551" operator="equal">
      <formula>3</formula>
    </cfRule>
    <cfRule type="cellIs" dxfId="554" priority="552" operator="equal">
      <formula>2</formula>
    </cfRule>
    <cfRule type="cellIs" dxfId="553" priority="553" operator="equal">
      <formula>1</formula>
    </cfRule>
    <cfRule type="cellIs" dxfId="552" priority="554" operator="equal">
      <formula>0</formula>
    </cfRule>
  </conditionalFormatting>
  <conditionalFormatting sqref="AJ235:AK235">
    <cfRule type="containsBlanks" dxfId="551" priority="546" stopIfTrue="1">
      <formula>LEN(TRIM(AJ235))=0</formula>
    </cfRule>
    <cfRule type="containsText" dxfId="550" priority="547" operator="containsText" text="NO">
      <formula>NOT(ISERROR(SEARCH("NO",AJ235)))</formula>
    </cfRule>
    <cfRule type="containsText" dxfId="549" priority="548" operator="containsText" text="YES">
      <formula>NOT(ISERROR(SEARCH("YES",AJ235)))</formula>
    </cfRule>
  </conditionalFormatting>
  <conditionalFormatting sqref="L235:AF235 AA244:AE244 AA246:AG246 AA248:AF248 AA251:AF251 AA253:AF253 AA255:AF255 AA257:AF257 AA259:AF259 AJ235:AM235 AG244">
    <cfRule type="expression" dxfId="548" priority="545">
      <formula>AND($C235=0,$C235&lt;&gt;"")</formula>
    </cfRule>
  </conditionalFormatting>
  <conditionalFormatting sqref="D236">
    <cfRule type="expression" dxfId="547" priority="544">
      <formula>AND($C236=0,$C236&lt;&gt;"")</formula>
    </cfRule>
  </conditionalFormatting>
  <conditionalFormatting sqref="L236:AF236 AA243:AE243 AA245:AG245 AA247:AF247 AA249:AF249 AA252:AF252 AA254:AF254 AA256:AF256 AA258:AF258 AA260:AF260 AE250:AF250 AE261:AF262 AG243:AI243 AH244:AI262">
    <cfRule type="containsBlanks" dxfId="546" priority="538" stopIfTrue="1">
      <formula>LEN(TRIM(L236))=0</formula>
    </cfRule>
    <cfRule type="cellIs" dxfId="545" priority="539" operator="equal">
      <formula>4</formula>
    </cfRule>
    <cfRule type="cellIs" dxfId="544" priority="540" operator="equal">
      <formula>3</formula>
    </cfRule>
    <cfRule type="cellIs" dxfId="543" priority="541" operator="equal">
      <formula>2</formula>
    </cfRule>
    <cfRule type="cellIs" dxfId="542" priority="542" operator="equal">
      <formula>1</formula>
    </cfRule>
    <cfRule type="cellIs" dxfId="541" priority="543" operator="equal">
      <formula>0</formula>
    </cfRule>
  </conditionalFormatting>
  <conditionalFormatting sqref="AJ236:AK236">
    <cfRule type="containsBlanks" dxfId="540" priority="535" stopIfTrue="1">
      <formula>LEN(TRIM(AJ236))=0</formula>
    </cfRule>
    <cfRule type="containsText" dxfId="539" priority="536" operator="containsText" text="NO">
      <formula>NOT(ISERROR(SEARCH("NO",AJ236)))</formula>
    </cfRule>
    <cfRule type="containsText" dxfId="538" priority="537" operator="containsText" text="YES">
      <formula>NOT(ISERROR(SEARCH("YES",AJ236)))</formula>
    </cfRule>
  </conditionalFormatting>
  <conditionalFormatting sqref="L236:AF236 AA243:AE243 AA245:AG245 AA247:AF247 AA249:AF249 AA252:AF252 AA254:AF254 AA256:AF256 AA258:AF258 AA260:AF260 AE250:AF250 AE261:AF262 AJ236:AM236 AG243:AI243 AH244:AI262">
    <cfRule type="expression" dxfId="537" priority="534">
      <formula>AND($C236=0,$C236&lt;&gt;"")</formula>
    </cfRule>
  </conditionalFormatting>
  <conditionalFormatting sqref="L237:Z242">
    <cfRule type="containsBlanks" dxfId="536" priority="528" stopIfTrue="1">
      <formula>LEN(TRIM(L237))=0</formula>
    </cfRule>
    <cfRule type="cellIs" dxfId="535" priority="529" operator="equal">
      <formula>4</formula>
    </cfRule>
    <cfRule type="cellIs" dxfId="534" priority="530" operator="equal">
      <formula>3</formula>
    </cfRule>
    <cfRule type="cellIs" dxfId="533" priority="531" operator="equal">
      <formula>2</formula>
    </cfRule>
    <cfRule type="cellIs" dxfId="532" priority="532" operator="equal">
      <formula>1</formula>
    </cfRule>
    <cfRule type="cellIs" dxfId="531" priority="533" operator="equal">
      <formula>0</formula>
    </cfRule>
  </conditionalFormatting>
  <conditionalFormatting sqref="AJ237:AK242">
    <cfRule type="containsBlanks" dxfId="530" priority="525" stopIfTrue="1">
      <formula>LEN(TRIM(AJ237))=0</formula>
    </cfRule>
    <cfRule type="containsText" dxfId="529" priority="526" operator="containsText" text="NO">
      <formula>NOT(ISERROR(SEARCH("NO",AJ237)))</formula>
    </cfRule>
    <cfRule type="containsText" dxfId="528" priority="527" operator="containsText" text="YES">
      <formula>NOT(ISERROR(SEARCH("YES",AJ237)))</formula>
    </cfRule>
  </conditionalFormatting>
  <conditionalFormatting sqref="D243">
    <cfRule type="expression" dxfId="527" priority="524">
      <formula>AND($C243=0,$C243&lt;&gt;"")</formula>
    </cfRule>
  </conditionalFormatting>
  <conditionalFormatting sqref="E243">
    <cfRule type="expression" dxfId="526" priority="523">
      <formula>AND($C243=0,$C243&lt;&gt;"")</formula>
    </cfRule>
  </conditionalFormatting>
  <conditionalFormatting sqref="L243:V243 X243:Z243">
    <cfRule type="containsBlanks" dxfId="525" priority="517" stopIfTrue="1">
      <formula>LEN(TRIM(L243))=0</formula>
    </cfRule>
    <cfRule type="cellIs" dxfId="524" priority="518" operator="equal">
      <formula>4</formula>
    </cfRule>
    <cfRule type="cellIs" dxfId="523" priority="519" operator="equal">
      <formula>3</formula>
    </cfRule>
    <cfRule type="cellIs" dxfId="522" priority="520" operator="equal">
      <formula>2</formula>
    </cfRule>
    <cfRule type="cellIs" dxfId="521" priority="521" operator="equal">
      <formula>1</formula>
    </cfRule>
    <cfRule type="cellIs" dxfId="520" priority="522" operator="equal">
      <formula>0</formula>
    </cfRule>
  </conditionalFormatting>
  <conditionalFormatting sqref="AJ243:AK243">
    <cfRule type="containsBlanks" dxfId="519" priority="514" stopIfTrue="1">
      <formula>LEN(TRIM(AJ243))=0</formula>
    </cfRule>
    <cfRule type="containsText" dxfId="518" priority="515" operator="containsText" text="NO">
      <formula>NOT(ISERROR(SEARCH("NO",AJ243)))</formula>
    </cfRule>
    <cfRule type="containsText" dxfId="517" priority="516" operator="containsText" text="YES">
      <formula>NOT(ISERROR(SEARCH("YES",AJ243)))</formula>
    </cfRule>
  </conditionalFormatting>
  <conditionalFormatting sqref="F243:I243 AJ243:AK243 L243:V243 X243:Z243">
    <cfRule type="expression" dxfId="516" priority="513">
      <formula>AND($C243=0,$C243&lt;&gt;"")</formula>
    </cfRule>
  </conditionalFormatting>
  <conditionalFormatting sqref="D244">
    <cfRule type="expression" dxfId="515" priority="512">
      <formula>AND($C244=0,$C244&lt;&gt;"")</formula>
    </cfRule>
  </conditionalFormatting>
  <conditionalFormatting sqref="E244">
    <cfRule type="expression" dxfId="514" priority="511">
      <formula>AND($C244=0,$C244&lt;&gt;"")</formula>
    </cfRule>
  </conditionalFormatting>
  <conditionalFormatting sqref="L244:V244 X244:Z244">
    <cfRule type="containsBlanks" dxfId="513" priority="505" stopIfTrue="1">
      <formula>LEN(TRIM(L244))=0</formula>
    </cfRule>
    <cfRule type="cellIs" dxfId="512" priority="506" operator="equal">
      <formula>4</formula>
    </cfRule>
    <cfRule type="cellIs" dxfId="511" priority="507" operator="equal">
      <formula>3</formula>
    </cfRule>
    <cfRule type="cellIs" dxfId="510" priority="508" operator="equal">
      <formula>2</formula>
    </cfRule>
    <cfRule type="cellIs" dxfId="509" priority="509" operator="equal">
      <formula>1</formula>
    </cfRule>
    <cfRule type="cellIs" dxfId="508" priority="510" operator="equal">
      <formula>0</formula>
    </cfRule>
  </conditionalFormatting>
  <conditionalFormatting sqref="AJ244:AK244">
    <cfRule type="containsBlanks" dxfId="507" priority="502" stopIfTrue="1">
      <formula>LEN(TRIM(AJ244))=0</formula>
    </cfRule>
    <cfRule type="containsText" dxfId="506" priority="503" operator="containsText" text="NO">
      <formula>NOT(ISERROR(SEARCH("NO",AJ244)))</formula>
    </cfRule>
    <cfRule type="containsText" dxfId="505" priority="504" operator="containsText" text="YES">
      <formula>NOT(ISERROR(SEARCH("YES",AJ244)))</formula>
    </cfRule>
  </conditionalFormatting>
  <conditionalFormatting sqref="F244:I244 AJ244:AK244 L244:V244 X244:Z244">
    <cfRule type="expression" dxfId="504" priority="501">
      <formula>AND($C244=0,$C244&lt;&gt;"")</formula>
    </cfRule>
  </conditionalFormatting>
  <conditionalFormatting sqref="L245:Z245">
    <cfRule type="containsBlanks" dxfId="503" priority="495" stopIfTrue="1">
      <formula>LEN(TRIM(L245))=0</formula>
    </cfRule>
    <cfRule type="cellIs" dxfId="502" priority="496" operator="equal">
      <formula>4</formula>
    </cfRule>
    <cfRule type="cellIs" dxfId="501" priority="497" operator="equal">
      <formula>3</formula>
    </cfRule>
    <cfRule type="cellIs" dxfId="500" priority="498" operator="equal">
      <formula>2</formula>
    </cfRule>
    <cfRule type="cellIs" dxfId="499" priority="499" operator="equal">
      <formula>1</formula>
    </cfRule>
    <cfRule type="cellIs" dxfId="498" priority="500" operator="equal">
      <formula>0</formula>
    </cfRule>
  </conditionalFormatting>
  <conditionalFormatting sqref="AJ245:AK245">
    <cfRule type="containsBlanks" dxfId="497" priority="492" stopIfTrue="1">
      <formula>LEN(TRIM(AJ245))=0</formula>
    </cfRule>
    <cfRule type="containsText" dxfId="496" priority="493" operator="containsText" text="NO">
      <formula>NOT(ISERROR(SEARCH("NO",AJ245)))</formula>
    </cfRule>
    <cfRule type="containsText" dxfId="495" priority="494" operator="containsText" text="YES">
      <formula>NOT(ISERROR(SEARCH("YES",AJ245)))</formula>
    </cfRule>
  </conditionalFormatting>
  <conditionalFormatting sqref="D245:I245 AJ245:AK245 L245:Z245">
    <cfRule type="expression" dxfId="494" priority="491">
      <formula>AND($C245=0,$C245&lt;&gt;"")</formula>
    </cfRule>
  </conditionalFormatting>
  <conditionalFormatting sqref="L246:Z246">
    <cfRule type="containsBlanks" dxfId="493" priority="485" stopIfTrue="1">
      <formula>LEN(TRIM(L246))=0</formula>
    </cfRule>
    <cfRule type="cellIs" dxfId="492" priority="486" operator="equal">
      <formula>4</formula>
    </cfRule>
    <cfRule type="cellIs" dxfId="491" priority="487" operator="equal">
      <formula>3</formula>
    </cfRule>
    <cfRule type="cellIs" dxfId="490" priority="488" operator="equal">
      <formula>2</formula>
    </cfRule>
    <cfRule type="cellIs" dxfId="489" priority="489" operator="equal">
      <formula>1</formula>
    </cfRule>
    <cfRule type="cellIs" dxfId="488" priority="490" operator="equal">
      <formula>0</formula>
    </cfRule>
  </conditionalFormatting>
  <conditionalFormatting sqref="AJ246:AK246">
    <cfRule type="containsBlanks" dxfId="487" priority="482" stopIfTrue="1">
      <formula>LEN(TRIM(AJ246))=0</formula>
    </cfRule>
    <cfRule type="containsText" dxfId="486" priority="483" operator="containsText" text="NO">
      <formula>NOT(ISERROR(SEARCH("NO",AJ246)))</formula>
    </cfRule>
    <cfRule type="containsText" dxfId="485" priority="484" operator="containsText" text="YES">
      <formula>NOT(ISERROR(SEARCH("YES",AJ246)))</formula>
    </cfRule>
  </conditionalFormatting>
  <conditionalFormatting sqref="D246:I246 I247 AJ246:AK246 L246:Z246">
    <cfRule type="expression" dxfId="484" priority="481">
      <formula>AND($C246=0,$C246&lt;&gt;"")</formula>
    </cfRule>
  </conditionalFormatting>
  <conditionalFormatting sqref="Z35">
    <cfRule type="containsBlanks" dxfId="483" priority="475" stopIfTrue="1">
      <formula>LEN(TRIM(Z35))=0</formula>
    </cfRule>
    <cfRule type="cellIs" dxfId="482" priority="476" operator="equal">
      <formula>4</formula>
    </cfRule>
    <cfRule type="cellIs" dxfId="481" priority="477" operator="equal">
      <formula>3</formula>
    </cfRule>
    <cfRule type="cellIs" dxfId="480" priority="478" operator="equal">
      <formula>2</formula>
    </cfRule>
    <cfRule type="cellIs" dxfId="479" priority="479" operator="equal">
      <formula>1</formula>
    </cfRule>
    <cfRule type="cellIs" dxfId="478" priority="480" operator="equal">
      <formula>0</formula>
    </cfRule>
  </conditionalFormatting>
  <conditionalFormatting sqref="Z35">
    <cfRule type="expression" dxfId="477" priority="474">
      <formula>AND($C35=0,$C35&lt;&gt;"")</formula>
    </cfRule>
  </conditionalFormatting>
  <conditionalFormatting sqref="K171 K100 K75 K41">
    <cfRule type="expression" dxfId="476" priority="473">
      <formula>AND($C41=0,$C41&lt;&gt;"")</formula>
    </cfRule>
  </conditionalFormatting>
  <conditionalFormatting sqref="K35">
    <cfRule type="expression" dxfId="475" priority="472">
      <formula>AND($C35=0,$C35&lt;&gt;"")</formula>
    </cfRule>
  </conditionalFormatting>
  <conditionalFormatting sqref="L272:AF272">
    <cfRule type="containsBlanks" dxfId="474" priority="466" stopIfTrue="1">
      <formula>LEN(TRIM(L272))=0</formula>
    </cfRule>
    <cfRule type="cellIs" dxfId="473" priority="467" operator="equal">
      <formula>4</formula>
    </cfRule>
    <cfRule type="cellIs" dxfId="472" priority="468" operator="equal">
      <formula>3</formula>
    </cfRule>
    <cfRule type="cellIs" dxfId="471" priority="469" operator="equal">
      <formula>2</formula>
    </cfRule>
    <cfRule type="cellIs" dxfId="470" priority="470" operator="equal">
      <formula>1</formula>
    </cfRule>
    <cfRule type="cellIs" dxfId="469" priority="471" operator="equal">
      <formula>0</formula>
    </cfRule>
  </conditionalFormatting>
  <conditionalFormatting sqref="AJ272:AK272">
    <cfRule type="containsBlanks" dxfId="468" priority="463" stopIfTrue="1">
      <formula>LEN(TRIM(AJ272))=0</formula>
    </cfRule>
    <cfRule type="containsText" dxfId="467" priority="464" operator="containsText" text="NO">
      <formula>NOT(ISERROR(SEARCH("NO",AJ272)))</formula>
    </cfRule>
    <cfRule type="containsText" dxfId="466" priority="465" operator="containsText" text="YES">
      <formula>NOT(ISERROR(SEARCH("YES",AJ272)))</formula>
    </cfRule>
  </conditionalFormatting>
  <conditionalFormatting sqref="C272:I272 AJ272:AN272 L272:AF272">
    <cfRule type="expression" dxfId="465" priority="462">
      <formula>AND($C272=0,$C272&lt;&gt;"")</formula>
    </cfRule>
  </conditionalFormatting>
  <conditionalFormatting sqref="L273:AF273">
    <cfRule type="containsBlanks" dxfId="464" priority="456" stopIfTrue="1">
      <formula>LEN(TRIM(L273))=0</formula>
    </cfRule>
    <cfRule type="cellIs" dxfId="463" priority="457" operator="equal">
      <formula>4</formula>
    </cfRule>
    <cfRule type="cellIs" dxfId="462" priority="458" operator="equal">
      <formula>3</formula>
    </cfRule>
    <cfRule type="cellIs" dxfId="461" priority="459" operator="equal">
      <formula>2</formula>
    </cfRule>
    <cfRule type="cellIs" dxfId="460" priority="460" operator="equal">
      <formula>1</formula>
    </cfRule>
    <cfRule type="cellIs" dxfId="459" priority="461" operator="equal">
      <formula>0</formula>
    </cfRule>
  </conditionalFormatting>
  <conditionalFormatting sqref="AJ273:AK273">
    <cfRule type="containsBlanks" dxfId="458" priority="453" stopIfTrue="1">
      <formula>LEN(TRIM(AJ273))=0</formula>
    </cfRule>
    <cfRule type="containsText" dxfId="457" priority="454" operator="containsText" text="NO">
      <formula>NOT(ISERROR(SEARCH("NO",AJ273)))</formula>
    </cfRule>
    <cfRule type="containsText" dxfId="456" priority="455" operator="containsText" text="YES">
      <formula>NOT(ISERROR(SEARCH("YES",AJ273)))</formula>
    </cfRule>
  </conditionalFormatting>
  <conditionalFormatting sqref="C273:I273 AJ273:AN273 L273:AF273">
    <cfRule type="expression" dxfId="455" priority="452">
      <formula>AND($C273=0,$C273&lt;&gt;"")</formula>
    </cfRule>
  </conditionalFormatting>
  <conditionalFormatting sqref="L274:AF274">
    <cfRule type="containsBlanks" dxfId="454" priority="446" stopIfTrue="1">
      <formula>LEN(TRIM(L274))=0</formula>
    </cfRule>
    <cfRule type="cellIs" dxfId="453" priority="447" operator="equal">
      <formula>4</formula>
    </cfRule>
    <cfRule type="cellIs" dxfId="452" priority="448" operator="equal">
      <formula>3</formula>
    </cfRule>
    <cfRule type="cellIs" dxfId="451" priority="449" operator="equal">
      <formula>2</formula>
    </cfRule>
    <cfRule type="cellIs" dxfId="450" priority="450" operator="equal">
      <formula>1</formula>
    </cfRule>
    <cfRule type="cellIs" dxfId="449" priority="451" operator="equal">
      <formula>0</formula>
    </cfRule>
  </conditionalFormatting>
  <conditionalFormatting sqref="AJ274:AK274">
    <cfRule type="containsBlanks" dxfId="448" priority="443" stopIfTrue="1">
      <formula>LEN(TRIM(AJ274))=0</formula>
    </cfRule>
    <cfRule type="containsText" dxfId="447" priority="444" operator="containsText" text="NO">
      <formula>NOT(ISERROR(SEARCH("NO",AJ274)))</formula>
    </cfRule>
    <cfRule type="containsText" dxfId="446" priority="445" operator="containsText" text="YES">
      <formula>NOT(ISERROR(SEARCH("YES",AJ274)))</formula>
    </cfRule>
  </conditionalFormatting>
  <conditionalFormatting sqref="C274:I274 AJ274:AN274 L274:AF274">
    <cfRule type="expression" dxfId="445" priority="442">
      <formula>AND($C274=0,$C274&lt;&gt;"")</formula>
    </cfRule>
  </conditionalFormatting>
  <conditionalFormatting sqref="C275:G275">
    <cfRule type="expression" dxfId="444" priority="441">
      <formula>AND($C275=0,$C275&lt;&gt;"")</formula>
    </cfRule>
  </conditionalFormatting>
  <conditionalFormatting sqref="AN275">
    <cfRule type="expression" dxfId="443" priority="440">
      <formula>AND($C275=0,$C275&lt;&gt;"")</formula>
    </cfRule>
  </conditionalFormatting>
  <conditionalFormatting sqref="L275:AF275">
    <cfRule type="containsBlanks" dxfId="442" priority="434" stopIfTrue="1">
      <formula>LEN(TRIM(L275))=0</formula>
    </cfRule>
    <cfRule type="cellIs" dxfId="441" priority="435" operator="equal">
      <formula>4</formula>
    </cfRule>
    <cfRule type="cellIs" dxfId="440" priority="436" operator="equal">
      <formula>3</formula>
    </cfRule>
    <cfRule type="cellIs" dxfId="439" priority="437" operator="equal">
      <formula>2</formula>
    </cfRule>
    <cfRule type="cellIs" dxfId="438" priority="438" operator="equal">
      <formula>1</formula>
    </cfRule>
    <cfRule type="cellIs" dxfId="437" priority="439" operator="equal">
      <formula>0</formula>
    </cfRule>
  </conditionalFormatting>
  <conditionalFormatting sqref="AJ275:AK275">
    <cfRule type="containsBlanks" dxfId="436" priority="431" stopIfTrue="1">
      <formula>LEN(TRIM(AJ275))=0</formula>
    </cfRule>
    <cfRule type="containsText" dxfId="435" priority="432" operator="containsText" text="NO">
      <formula>NOT(ISERROR(SEARCH("NO",AJ275)))</formula>
    </cfRule>
    <cfRule type="containsText" dxfId="434" priority="433" operator="containsText" text="YES">
      <formula>NOT(ISERROR(SEARCH("YES",AJ275)))</formula>
    </cfRule>
  </conditionalFormatting>
  <conditionalFormatting sqref="L275:AF275 AJ275:AM275">
    <cfRule type="expression" dxfId="433" priority="430">
      <formula>AND($C275=0,$C275&lt;&gt;"")</formula>
    </cfRule>
  </conditionalFormatting>
  <conditionalFormatting sqref="C276:G276">
    <cfRule type="expression" dxfId="432" priority="429">
      <formula>AND($C276=0,$C276&lt;&gt;"")</formula>
    </cfRule>
  </conditionalFormatting>
  <conditionalFormatting sqref="AN276">
    <cfRule type="expression" dxfId="431" priority="428">
      <formula>AND($C276=0,$C276&lt;&gt;"")</formula>
    </cfRule>
  </conditionalFormatting>
  <conditionalFormatting sqref="L276:AF276">
    <cfRule type="containsBlanks" dxfId="430" priority="422" stopIfTrue="1">
      <formula>LEN(TRIM(L276))=0</formula>
    </cfRule>
    <cfRule type="cellIs" dxfId="429" priority="423" operator="equal">
      <formula>4</formula>
    </cfRule>
    <cfRule type="cellIs" dxfId="428" priority="424" operator="equal">
      <formula>3</formula>
    </cfRule>
    <cfRule type="cellIs" dxfId="427" priority="425" operator="equal">
      <formula>2</formula>
    </cfRule>
    <cfRule type="cellIs" dxfId="426" priority="426" operator="equal">
      <formula>1</formula>
    </cfRule>
    <cfRule type="cellIs" dxfId="425" priority="427" operator="equal">
      <formula>0</formula>
    </cfRule>
  </conditionalFormatting>
  <conditionalFormatting sqref="AJ276:AK276">
    <cfRule type="containsBlanks" dxfId="424" priority="419" stopIfTrue="1">
      <formula>LEN(TRIM(AJ276))=0</formula>
    </cfRule>
    <cfRule type="containsText" dxfId="423" priority="420" operator="containsText" text="NO">
      <formula>NOT(ISERROR(SEARCH("NO",AJ276)))</formula>
    </cfRule>
    <cfRule type="containsText" dxfId="422" priority="421" operator="containsText" text="YES">
      <formula>NOT(ISERROR(SEARCH("YES",AJ276)))</formula>
    </cfRule>
  </conditionalFormatting>
  <conditionalFormatting sqref="L276:AF276 AJ276:AM276">
    <cfRule type="expression" dxfId="421" priority="418">
      <formula>AND($C276=0,$C276&lt;&gt;"")</formula>
    </cfRule>
  </conditionalFormatting>
  <conditionalFormatting sqref="C277:G277">
    <cfRule type="expression" dxfId="420" priority="417">
      <formula>AND($C277=0,$C277&lt;&gt;"")</formula>
    </cfRule>
  </conditionalFormatting>
  <conditionalFormatting sqref="AN277">
    <cfRule type="expression" dxfId="419" priority="416">
      <formula>AND($C277=0,$C277&lt;&gt;"")</formula>
    </cfRule>
  </conditionalFormatting>
  <conditionalFormatting sqref="L277:AF277">
    <cfRule type="containsBlanks" dxfId="418" priority="410" stopIfTrue="1">
      <formula>LEN(TRIM(L277))=0</formula>
    </cfRule>
    <cfRule type="cellIs" dxfId="417" priority="411" operator="equal">
      <formula>4</formula>
    </cfRule>
    <cfRule type="cellIs" dxfId="416" priority="412" operator="equal">
      <formula>3</formula>
    </cfRule>
    <cfRule type="cellIs" dxfId="415" priority="413" operator="equal">
      <formula>2</formula>
    </cfRule>
    <cfRule type="cellIs" dxfId="414" priority="414" operator="equal">
      <formula>1</formula>
    </cfRule>
    <cfRule type="cellIs" dxfId="413" priority="415" operator="equal">
      <formula>0</formula>
    </cfRule>
  </conditionalFormatting>
  <conditionalFormatting sqref="AJ277:AK277">
    <cfRule type="containsBlanks" dxfId="412" priority="407" stopIfTrue="1">
      <formula>LEN(TRIM(AJ277))=0</formula>
    </cfRule>
    <cfRule type="containsText" dxfId="411" priority="408" operator="containsText" text="NO">
      <formula>NOT(ISERROR(SEARCH("NO",AJ277)))</formula>
    </cfRule>
    <cfRule type="containsText" dxfId="410" priority="409" operator="containsText" text="YES">
      <formula>NOT(ISERROR(SEARCH("YES",AJ277)))</formula>
    </cfRule>
  </conditionalFormatting>
  <conditionalFormatting sqref="L277:AF277 AJ277:AM277">
    <cfRule type="expression" dxfId="409" priority="406">
      <formula>AND($C277=0,$C277&lt;&gt;"")</formula>
    </cfRule>
  </conditionalFormatting>
  <conditionalFormatting sqref="C278:G278">
    <cfRule type="expression" dxfId="408" priority="405">
      <formula>AND($C278=0,$C278&lt;&gt;"")</formula>
    </cfRule>
  </conditionalFormatting>
  <conditionalFormatting sqref="AN278">
    <cfRule type="expression" dxfId="407" priority="404">
      <formula>AND($C278=0,$C278&lt;&gt;"")</formula>
    </cfRule>
  </conditionalFormatting>
  <conditionalFormatting sqref="L278:AF278">
    <cfRule type="containsBlanks" dxfId="406" priority="398" stopIfTrue="1">
      <formula>LEN(TRIM(L278))=0</formula>
    </cfRule>
    <cfRule type="cellIs" dxfId="405" priority="399" operator="equal">
      <formula>4</formula>
    </cfRule>
    <cfRule type="cellIs" dxfId="404" priority="400" operator="equal">
      <formula>3</formula>
    </cfRule>
    <cfRule type="cellIs" dxfId="403" priority="401" operator="equal">
      <formula>2</formula>
    </cfRule>
    <cfRule type="cellIs" dxfId="402" priority="402" operator="equal">
      <formula>1</formula>
    </cfRule>
    <cfRule type="cellIs" dxfId="401" priority="403" operator="equal">
      <formula>0</formula>
    </cfRule>
  </conditionalFormatting>
  <conditionalFormatting sqref="AJ278:AK278">
    <cfRule type="containsBlanks" dxfId="400" priority="395" stopIfTrue="1">
      <formula>LEN(TRIM(AJ278))=0</formula>
    </cfRule>
    <cfRule type="containsText" dxfId="399" priority="396" operator="containsText" text="NO">
      <formula>NOT(ISERROR(SEARCH("NO",AJ278)))</formula>
    </cfRule>
    <cfRule type="containsText" dxfId="398" priority="397" operator="containsText" text="YES">
      <formula>NOT(ISERROR(SEARCH("YES",AJ278)))</formula>
    </cfRule>
  </conditionalFormatting>
  <conditionalFormatting sqref="L278:AF278 AJ278:AM278">
    <cfRule type="expression" dxfId="397" priority="394">
      <formula>AND($C278=0,$C278&lt;&gt;"")</formula>
    </cfRule>
  </conditionalFormatting>
  <conditionalFormatting sqref="AJ279:AK279">
    <cfRule type="containsBlanks" dxfId="396" priority="391" stopIfTrue="1">
      <formula>LEN(TRIM(AJ279))=0</formula>
    </cfRule>
    <cfRule type="containsText" dxfId="395" priority="392" operator="containsText" text="NO">
      <formula>NOT(ISERROR(SEARCH("NO",AJ279)))</formula>
    </cfRule>
    <cfRule type="containsText" dxfId="394" priority="393" operator="containsText" text="YES">
      <formula>NOT(ISERROR(SEARCH("YES",AJ279)))</formula>
    </cfRule>
  </conditionalFormatting>
  <conditionalFormatting sqref="L280:AF280">
    <cfRule type="containsBlanks" dxfId="393" priority="385" stopIfTrue="1">
      <formula>LEN(TRIM(L280))=0</formula>
    </cfRule>
    <cfRule type="cellIs" dxfId="392" priority="386" operator="equal">
      <formula>4</formula>
    </cfRule>
    <cfRule type="cellIs" dxfId="391" priority="387" operator="equal">
      <formula>3</formula>
    </cfRule>
    <cfRule type="cellIs" dxfId="390" priority="388" operator="equal">
      <formula>2</formula>
    </cfRule>
    <cfRule type="cellIs" dxfId="389" priority="389" operator="equal">
      <formula>1</formula>
    </cfRule>
    <cfRule type="cellIs" dxfId="388" priority="390" operator="equal">
      <formula>0</formula>
    </cfRule>
  </conditionalFormatting>
  <conditionalFormatting sqref="C280:H280 L280:AF280 AJ280:AN280">
    <cfRule type="expression" dxfId="387" priority="384">
      <formula>AND($C280=0,$C280&lt;&gt;"")</formula>
    </cfRule>
  </conditionalFormatting>
  <conditionalFormatting sqref="AJ280:AK280">
    <cfRule type="containsBlanks" dxfId="386" priority="381" stopIfTrue="1">
      <formula>LEN(TRIM(AJ280))=0</formula>
    </cfRule>
    <cfRule type="containsText" dxfId="385" priority="382" operator="containsText" text="NO">
      <formula>NOT(ISERROR(SEARCH("NO",AJ280)))</formula>
    </cfRule>
    <cfRule type="containsText" dxfId="384" priority="383" operator="containsText" text="YES">
      <formula>NOT(ISERROR(SEARCH("YES",AJ280)))</formula>
    </cfRule>
  </conditionalFormatting>
  <conditionalFormatting sqref="L281:AF281">
    <cfRule type="containsBlanks" dxfId="383" priority="375" stopIfTrue="1">
      <formula>LEN(TRIM(L281))=0</formula>
    </cfRule>
    <cfRule type="cellIs" dxfId="382" priority="376" operator="equal">
      <formula>4</formula>
    </cfRule>
    <cfRule type="cellIs" dxfId="381" priority="377" operator="equal">
      <formula>3</formula>
    </cfRule>
    <cfRule type="cellIs" dxfId="380" priority="378" operator="equal">
      <formula>2</formula>
    </cfRule>
    <cfRule type="cellIs" dxfId="379" priority="379" operator="equal">
      <formula>1</formula>
    </cfRule>
    <cfRule type="cellIs" dxfId="378" priority="380" operator="equal">
      <formula>0</formula>
    </cfRule>
  </conditionalFormatting>
  <conditionalFormatting sqref="C281:H281 L281:AF281 AJ281:AN281">
    <cfRule type="expression" dxfId="377" priority="374">
      <formula>AND($C281=0,$C281&lt;&gt;"")</formula>
    </cfRule>
  </conditionalFormatting>
  <conditionalFormatting sqref="AJ281:AK281">
    <cfRule type="containsBlanks" dxfId="376" priority="371" stopIfTrue="1">
      <formula>LEN(TRIM(AJ281))=0</formula>
    </cfRule>
    <cfRule type="containsText" dxfId="375" priority="372" operator="containsText" text="NO">
      <formula>NOT(ISERROR(SEARCH("NO",AJ281)))</formula>
    </cfRule>
    <cfRule type="containsText" dxfId="374" priority="373" operator="containsText" text="YES">
      <formula>NOT(ISERROR(SEARCH("YES",AJ281)))</formula>
    </cfRule>
  </conditionalFormatting>
  <conditionalFormatting sqref="I280">
    <cfRule type="expression" dxfId="373" priority="370">
      <formula>AND($C280=0,$C280&lt;&gt;"")</formula>
    </cfRule>
  </conditionalFormatting>
  <conditionalFormatting sqref="I281">
    <cfRule type="expression" dxfId="372" priority="369">
      <formula>AND($C281=0,$C281&lt;&gt;"")</formula>
    </cfRule>
  </conditionalFormatting>
  <conditionalFormatting sqref="L282:AF282">
    <cfRule type="containsBlanks" dxfId="371" priority="363" stopIfTrue="1">
      <formula>LEN(TRIM(L282))=0</formula>
    </cfRule>
    <cfRule type="cellIs" dxfId="370" priority="364" operator="equal">
      <formula>4</formula>
    </cfRule>
    <cfRule type="cellIs" dxfId="369" priority="365" operator="equal">
      <formula>3</formula>
    </cfRule>
    <cfRule type="cellIs" dxfId="368" priority="366" operator="equal">
      <formula>2</formula>
    </cfRule>
    <cfRule type="cellIs" dxfId="367" priority="367" operator="equal">
      <formula>1</formula>
    </cfRule>
    <cfRule type="cellIs" dxfId="366" priority="368" operator="equal">
      <formula>0</formula>
    </cfRule>
  </conditionalFormatting>
  <conditionalFormatting sqref="C282:D282 J282 F282:H282 L282:AF282 AJ282:AN282">
    <cfRule type="expression" dxfId="365" priority="362">
      <formula>AND($C282=0,$C282&lt;&gt;"")</formula>
    </cfRule>
  </conditionalFormatting>
  <conditionalFormatting sqref="AJ282:AK282">
    <cfRule type="containsBlanks" dxfId="364" priority="359" stopIfTrue="1">
      <formula>LEN(TRIM(AJ282))=0</formula>
    </cfRule>
    <cfRule type="containsText" dxfId="363" priority="360" operator="containsText" text="NO">
      <formula>NOT(ISERROR(SEARCH("NO",AJ282)))</formula>
    </cfRule>
    <cfRule type="containsText" dxfId="362" priority="361" operator="containsText" text="YES">
      <formula>NOT(ISERROR(SEARCH("YES",AJ282)))</formula>
    </cfRule>
  </conditionalFormatting>
  <conditionalFormatting sqref="L283:AF283">
    <cfRule type="containsBlanks" dxfId="361" priority="353" stopIfTrue="1">
      <formula>LEN(TRIM(L283))=0</formula>
    </cfRule>
    <cfRule type="cellIs" dxfId="360" priority="354" operator="equal">
      <formula>4</formula>
    </cfRule>
    <cfRule type="cellIs" dxfId="359" priority="355" operator="equal">
      <formula>3</formula>
    </cfRule>
    <cfRule type="cellIs" dxfId="358" priority="356" operator="equal">
      <formula>2</formula>
    </cfRule>
    <cfRule type="cellIs" dxfId="357" priority="357" operator="equal">
      <formula>1</formula>
    </cfRule>
    <cfRule type="cellIs" dxfId="356" priority="358" operator="equal">
      <formula>0</formula>
    </cfRule>
  </conditionalFormatting>
  <conditionalFormatting sqref="C283:D283 J283 F283:H283 L283:AF283 AJ283:AN283">
    <cfRule type="expression" dxfId="355" priority="352">
      <formula>AND($C283=0,$C283&lt;&gt;"")</formula>
    </cfRule>
  </conditionalFormatting>
  <conditionalFormatting sqref="I282">
    <cfRule type="expression" dxfId="354" priority="346">
      <formula>AND($C282=0,$C282&lt;&gt;"")</formula>
    </cfRule>
  </conditionalFormatting>
  <conditionalFormatting sqref="AJ283:AK283">
    <cfRule type="containsBlanks" dxfId="353" priority="349" stopIfTrue="1">
      <formula>LEN(TRIM(AJ283))=0</formula>
    </cfRule>
    <cfRule type="containsText" dxfId="352" priority="350" operator="containsText" text="NO">
      <formula>NOT(ISERROR(SEARCH("NO",AJ283)))</formula>
    </cfRule>
    <cfRule type="containsText" dxfId="351" priority="351" operator="containsText" text="YES">
      <formula>NOT(ISERROR(SEARCH("YES",AJ283)))</formula>
    </cfRule>
  </conditionalFormatting>
  <conditionalFormatting sqref="E282">
    <cfRule type="expression" dxfId="350" priority="348">
      <formula>AND($C282=0,$C282&lt;&gt;"")</formula>
    </cfRule>
  </conditionalFormatting>
  <conditionalFormatting sqref="E283">
    <cfRule type="expression" dxfId="349" priority="347">
      <formula>AND($C283=0,$C283&lt;&gt;"")</formula>
    </cfRule>
  </conditionalFormatting>
  <conditionalFormatting sqref="I283">
    <cfRule type="expression" dxfId="348" priority="345">
      <formula>AND($C283=0,$C283&lt;&gt;"")</formula>
    </cfRule>
  </conditionalFormatting>
  <conditionalFormatting sqref="K282">
    <cfRule type="expression" dxfId="347" priority="344">
      <formula>AND($C282=0,$C282&lt;&gt;"")</formula>
    </cfRule>
  </conditionalFormatting>
  <conditionalFormatting sqref="K283">
    <cfRule type="expression" dxfId="346" priority="343">
      <formula>AND($C283=0,$C283&lt;&gt;"")</formula>
    </cfRule>
  </conditionalFormatting>
  <conditionalFormatting sqref="L57:AF57">
    <cfRule type="containsBlanks" dxfId="345" priority="337" stopIfTrue="1">
      <formula>LEN(TRIM(L57))=0</formula>
    </cfRule>
    <cfRule type="cellIs" dxfId="344" priority="338" operator="equal">
      <formula>4</formula>
    </cfRule>
    <cfRule type="cellIs" dxfId="343" priority="339" operator="equal">
      <formula>3</formula>
    </cfRule>
    <cfRule type="cellIs" dxfId="342" priority="340" operator="equal">
      <formula>2</formula>
    </cfRule>
    <cfRule type="cellIs" dxfId="341" priority="341" operator="equal">
      <formula>1</formula>
    </cfRule>
    <cfRule type="cellIs" dxfId="340" priority="342" operator="equal">
      <formula>0</formula>
    </cfRule>
  </conditionalFormatting>
  <conditionalFormatting sqref="AJ57:AK57">
    <cfRule type="containsBlanks" dxfId="339" priority="334" stopIfTrue="1">
      <formula>LEN(TRIM(AJ57))=0</formula>
    </cfRule>
    <cfRule type="containsText" dxfId="338" priority="335" operator="containsText" text="NO">
      <formula>NOT(ISERROR(SEARCH("NO",AJ57)))</formula>
    </cfRule>
    <cfRule type="containsText" dxfId="337" priority="336" operator="containsText" text="YES">
      <formula>NOT(ISERROR(SEARCH("YES",AJ57)))</formula>
    </cfRule>
  </conditionalFormatting>
  <conditionalFormatting sqref="C57:AF57 AJ57:AN57">
    <cfRule type="expression" dxfId="336" priority="333">
      <formula>AND($C57=0,$C57&lt;&gt;"")</formula>
    </cfRule>
  </conditionalFormatting>
  <conditionalFormatting sqref="L284:AF284">
    <cfRule type="containsBlanks" dxfId="335" priority="327" stopIfTrue="1">
      <formula>LEN(TRIM(L284))=0</formula>
    </cfRule>
    <cfRule type="cellIs" dxfId="334" priority="328" operator="equal">
      <formula>4</formula>
    </cfRule>
    <cfRule type="cellIs" dxfId="333" priority="329" operator="equal">
      <formula>3</formula>
    </cfRule>
    <cfRule type="cellIs" dxfId="332" priority="330" operator="equal">
      <formula>2</formula>
    </cfRule>
    <cfRule type="cellIs" dxfId="331" priority="331" operator="equal">
      <formula>1</formula>
    </cfRule>
    <cfRule type="cellIs" dxfId="330" priority="332" operator="equal">
      <formula>0</formula>
    </cfRule>
  </conditionalFormatting>
  <conditionalFormatting sqref="AJ284:AK284">
    <cfRule type="containsBlanks" dxfId="329" priority="324" stopIfTrue="1">
      <formula>LEN(TRIM(AJ284))=0</formula>
    </cfRule>
    <cfRule type="containsText" dxfId="328" priority="325" operator="containsText" text="NO">
      <formula>NOT(ISERROR(SEARCH("NO",AJ284)))</formula>
    </cfRule>
    <cfRule type="containsText" dxfId="327" priority="326" operator="containsText" text="YES">
      <formula>NOT(ISERROR(SEARCH("YES",AJ284)))</formula>
    </cfRule>
  </conditionalFormatting>
  <conditionalFormatting sqref="C284:J284 L284:AF284 AJ284:AN284">
    <cfRule type="expression" dxfId="326" priority="323">
      <formula>AND($C284=0,$C284&lt;&gt;"")</formula>
    </cfRule>
  </conditionalFormatting>
  <conditionalFormatting sqref="L285:AF285">
    <cfRule type="containsBlanks" dxfId="325" priority="317" stopIfTrue="1">
      <formula>LEN(TRIM(L285))=0</formula>
    </cfRule>
    <cfRule type="cellIs" dxfId="324" priority="318" operator="equal">
      <formula>4</formula>
    </cfRule>
    <cfRule type="cellIs" dxfId="323" priority="319" operator="equal">
      <formula>3</formula>
    </cfRule>
    <cfRule type="cellIs" dxfId="322" priority="320" operator="equal">
      <formula>2</formula>
    </cfRule>
    <cfRule type="cellIs" dxfId="321" priority="321" operator="equal">
      <formula>1</formula>
    </cfRule>
    <cfRule type="cellIs" dxfId="320" priority="322" operator="equal">
      <formula>0</formula>
    </cfRule>
  </conditionalFormatting>
  <conditionalFormatting sqref="AJ285:AK285">
    <cfRule type="containsBlanks" dxfId="319" priority="314" stopIfTrue="1">
      <formula>LEN(TRIM(AJ285))=0</formula>
    </cfRule>
    <cfRule type="containsText" dxfId="318" priority="315" operator="containsText" text="NO">
      <formula>NOT(ISERROR(SEARCH("NO",AJ285)))</formula>
    </cfRule>
    <cfRule type="containsText" dxfId="317" priority="316" operator="containsText" text="YES">
      <formula>NOT(ISERROR(SEARCH("YES",AJ285)))</formula>
    </cfRule>
  </conditionalFormatting>
  <conditionalFormatting sqref="C285:J285 L285:AF285 AJ285:AK285">
    <cfRule type="expression" dxfId="316" priority="313">
      <formula>AND($C285=0,$C285&lt;&gt;"")</formula>
    </cfRule>
  </conditionalFormatting>
  <conditionalFormatting sqref="AN285">
    <cfRule type="expression" dxfId="315" priority="312">
      <formula>AND($C285=0,$C285&lt;&gt;"")</formula>
    </cfRule>
  </conditionalFormatting>
  <conditionalFormatting sqref="AL285:AM285">
    <cfRule type="expression" dxfId="314" priority="311">
      <formula>AND($C285=0,$C285&lt;&gt;"")</formula>
    </cfRule>
  </conditionalFormatting>
  <conditionalFormatting sqref="AA261:AD262 AA270:AD271">
    <cfRule type="containsBlanks" dxfId="313" priority="305" stopIfTrue="1">
      <formula>LEN(TRIM(AA261))=0</formula>
    </cfRule>
    <cfRule type="cellIs" dxfId="312" priority="306" operator="equal">
      <formula>4</formula>
    </cfRule>
    <cfRule type="cellIs" dxfId="311" priority="307" operator="equal">
      <formula>3</formula>
    </cfRule>
    <cfRule type="cellIs" dxfId="310" priority="308" operator="equal">
      <formula>2</formula>
    </cfRule>
    <cfRule type="cellIs" dxfId="309" priority="309" operator="equal">
      <formula>1</formula>
    </cfRule>
    <cfRule type="cellIs" dxfId="308" priority="310" operator="equal">
      <formula>0</formula>
    </cfRule>
  </conditionalFormatting>
  <conditionalFormatting sqref="AA261:AD262 AA270:AD271">
    <cfRule type="expression" dxfId="307" priority="304">
      <formula>AND($C261=0,$C261&lt;&gt;"")</formula>
    </cfRule>
  </conditionalFormatting>
  <conditionalFormatting sqref="AA263:AD269">
    <cfRule type="containsBlanks" dxfId="306" priority="298" stopIfTrue="1">
      <formula>LEN(TRIM(AA263))=0</formula>
    </cfRule>
    <cfRule type="cellIs" dxfId="305" priority="299" operator="equal">
      <formula>4</formula>
    </cfRule>
    <cfRule type="cellIs" dxfId="304" priority="300" operator="equal">
      <formula>3</formula>
    </cfRule>
    <cfRule type="cellIs" dxfId="303" priority="301" operator="equal">
      <formula>2</formula>
    </cfRule>
    <cfRule type="cellIs" dxfId="302" priority="302" operator="equal">
      <formula>1</formula>
    </cfRule>
    <cfRule type="cellIs" dxfId="301" priority="303" operator="equal">
      <formula>0</formula>
    </cfRule>
  </conditionalFormatting>
  <conditionalFormatting sqref="AE269:AF269">
    <cfRule type="expression" dxfId="300" priority="604">
      <formula>AND($C270=0,$C270&lt;&gt;"")</formula>
    </cfRule>
  </conditionalFormatting>
  <conditionalFormatting sqref="AF270">
    <cfRule type="containsBlanks" dxfId="299" priority="292" stopIfTrue="1">
      <formula>LEN(TRIM(AF270))=0</formula>
    </cfRule>
    <cfRule type="cellIs" dxfId="298" priority="293" operator="equal">
      <formula>4</formula>
    </cfRule>
    <cfRule type="cellIs" dxfId="297" priority="294" operator="equal">
      <formula>3</formula>
    </cfRule>
    <cfRule type="cellIs" dxfId="296" priority="295" operator="equal">
      <formula>2</formula>
    </cfRule>
    <cfRule type="cellIs" dxfId="295" priority="296" operator="equal">
      <formula>1</formula>
    </cfRule>
    <cfRule type="cellIs" dxfId="294" priority="297" operator="equal">
      <formula>0</formula>
    </cfRule>
  </conditionalFormatting>
  <conditionalFormatting sqref="AF270">
    <cfRule type="expression" dxfId="293" priority="291">
      <formula>AND($C270=0,$C270&lt;&gt;"")</formula>
    </cfRule>
  </conditionalFormatting>
  <conditionalFormatting sqref="AE270">
    <cfRule type="containsBlanks" dxfId="292" priority="284" stopIfTrue="1">
      <formula>LEN(TRIM(AE270))=0</formula>
    </cfRule>
    <cfRule type="cellIs" dxfId="291" priority="285" operator="equal">
      <formula>4</formula>
    </cfRule>
    <cfRule type="cellIs" dxfId="290" priority="286" operator="equal">
      <formula>3</formula>
    </cfRule>
    <cfRule type="cellIs" dxfId="289" priority="287" operator="equal">
      <formula>2</formula>
    </cfRule>
    <cfRule type="cellIs" dxfId="288" priority="288" operator="equal">
      <formula>1</formula>
    </cfRule>
    <cfRule type="cellIs" dxfId="287" priority="289" operator="equal">
      <formula>0</formula>
    </cfRule>
  </conditionalFormatting>
  <conditionalFormatting sqref="AE270">
    <cfRule type="expression" dxfId="286" priority="290">
      <formula>AND($C271=0,$C271&lt;&gt;"")</formula>
    </cfRule>
  </conditionalFormatting>
  <conditionalFormatting sqref="AE263:AF264">
    <cfRule type="expression" dxfId="285" priority="605">
      <formula>AND($C265=0,$C265&lt;&gt;"")</formula>
    </cfRule>
  </conditionalFormatting>
  <conditionalFormatting sqref="AE265:AF266">
    <cfRule type="containsBlanks" dxfId="284" priority="278" stopIfTrue="1">
      <formula>LEN(TRIM(AE265))=0</formula>
    </cfRule>
    <cfRule type="cellIs" dxfId="283" priority="279" operator="equal">
      <formula>4</formula>
    </cfRule>
    <cfRule type="cellIs" dxfId="282" priority="280" operator="equal">
      <formula>3</formula>
    </cfRule>
    <cfRule type="cellIs" dxfId="281" priority="281" operator="equal">
      <formula>2</formula>
    </cfRule>
    <cfRule type="cellIs" dxfId="280" priority="282" operator="equal">
      <formula>1</formula>
    </cfRule>
    <cfRule type="cellIs" dxfId="279" priority="283" operator="equal">
      <formula>0</formula>
    </cfRule>
  </conditionalFormatting>
  <conditionalFormatting sqref="AE265:AF266">
    <cfRule type="expression" dxfId="278" priority="277">
      <formula>AND($C265=0,$C265&lt;&gt;"")</formula>
    </cfRule>
  </conditionalFormatting>
  <conditionalFormatting sqref="L286:AF286">
    <cfRule type="containsBlanks" dxfId="277" priority="271" stopIfTrue="1">
      <formula>LEN(TRIM(L286))=0</formula>
    </cfRule>
    <cfRule type="cellIs" dxfId="276" priority="272" operator="equal">
      <formula>4</formula>
    </cfRule>
    <cfRule type="cellIs" dxfId="275" priority="273" operator="equal">
      <formula>3</formula>
    </cfRule>
    <cfRule type="cellIs" dxfId="274" priority="274" operator="equal">
      <formula>2</formula>
    </cfRule>
    <cfRule type="cellIs" dxfId="273" priority="275" operator="equal">
      <formula>1</formula>
    </cfRule>
    <cfRule type="cellIs" dxfId="272" priority="276" operator="equal">
      <formula>0</formula>
    </cfRule>
  </conditionalFormatting>
  <conditionalFormatting sqref="C286:D286 J286 F286:H286 L286:AF286 AJ286:AN286">
    <cfRule type="expression" dxfId="271" priority="270">
      <formula>AND($C286=0,$C286&lt;&gt;"")</formula>
    </cfRule>
  </conditionalFormatting>
  <conditionalFormatting sqref="AJ286:AK286">
    <cfRule type="containsBlanks" dxfId="270" priority="267" stopIfTrue="1">
      <formula>LEN(TRIM(AJ286))=0</formula>
    </cfRule>
    <cfRule type="containsText" dxfId="269" priority="268" operator="containsText" text="NO">
      <formula>NOT(ISERROR(SEARCH("NO",AJ286)))</formula>
    </cfRule>
    <cfRule type="containsText" dxfId="268" priority="269" operator="containsText" text="YES">
      <formula>NOT(ISERROR(SEARCH("YES",AJ286)))</formula>
    </cfRule>
  </conditionalFormatting>
  <conditionalFormatting sqref="E286">
    <cfRule type="expression" dxfId="267" priority="266">
      <formula>AND($C286=0,$C286&lt;&gt;"")</formula>
    </cfRule>
  </conditionalFormatting>
  <conditionalFormatting sqref="I286">
    <cfRule type="expression" dxfId="266" priority="265">
      <formula>AND($C286=0,$C286&lt;&gt;"")</formula>
    </cfRule>
  </conditionalFormatting>
  <conditionalFormatting sqref="K286">
    <cfRule type="expression" dxfId="265" priority="264">
      <formula>AND($C286=0,$C286&lt;&gt;"")</formula>
    </cfRule>
  </conditionalFormatting>
  <conditionalFormatting sqref="L287:AF287">
    <cfRule type="containsBlanks" dxfId="264" priority="258" stopIfTrue="1">
      <formula>LEN(TRIM(L287))=0</formula>
    </cfRule>
    <cfRule type="cellIs" dxfId="263" priority="259" operator="equal">
      <formula>4</formula>
    </cfRule>
    <cfRule type="cellIs" dxfId="262" priority="260" operator="equal">
      <formula>3</formula>
    </cfRule>
    <cfRule type="cellIs" dxfId="261" priority="261" operator="equal">
      <formula>2</formula>
    </cfRule>
    <cfRule type="cellIs" dxfId="260" priority="262" operator="equal">
      <formula>1</formula>
    </cfRule>
    <cfRule type="cellIs" dxfId="259" priority="263" operator="equal">
      <formula>0</formula>
    </cfRule>
  </conditionalFormatting>
  <conditionalFormatting sqref="C287:D287 J287 F287:H287 L287:AF287 AJ287:AN287">
    <cfRule type="expression" dxfId="258" priority="257">
      <formula>AND($C287=0,$C287&lt;&gt;"")</formula>
    </cfRule>
  </conditionalFormatting>
  <conditionalFormatting sqref="AJ287:AK287">
    <cfRule type="containsBlanks" dxfId="257" priority="254" stopIfTrue="1">
      <formula>LEN(TRIM(AJ287))=0</formula>
    </cfRule>
    <cfRule type="containsText" dxfId="256" priority="255" operator="containsText" text="NO">
      <formula>NOT(ISERROR(SEARCH("NO",AJ287)))</formula>
    </cfRule>
    <cfRule type="containsText" dxfId="255" priority="256" operator="containsText" text="YES">
      <formula>NOT(ISERROR(SEARCH("YES",AJ287)))</formula>
    </cfRule>
  </conditionalFormatting>
  <conditionalFormatting sqref="E287">
    <cfRule type="expression" dxfId="254" priority="253">
      <formula>AND($C287=0,$C287&lt;&gt;"")</formula>
    </cfRule>
  </conditionalFormatting>
  <conditionalFormatting sqref="I287">
    <cfRule type="expression" dxfId="253" priority="252">
      <formula>AND($C287=0,$C287&lt;&gt;"")</formula>
    </cfRule>
  </conditionalFormatting>
  <conditionalFormatting sqref="K287">
    <cfRule type="expression" dxfId="252" priority="251">
      <formula>AND($C287=0,$C287&lt;&gt;"")</formula>
    </cfRule>
  </conditionalFormatting>
  <conditionalFormatting sqref="L289:AF292">
    <cfRule type="containsBlanks" dxfId="251" priority="245" stopIfTrue="1">
      <formula>LEN(TRIM(L289))=0</formula>
    </cfRule>
    <cfRule type="cellIs" dxfId="250" priority="246" operator="equal">
      <formula>4</formula>
    </cfRule>
    <cfRule type="cellIs" dxfId="249" priority="247" operator="equal">
      <formula>3</formula>
    </cfRule>
    <cfRule type="cellIs" dxfId="248" priority="248" operator="equal">
      <formula>2</formula>
    </cfRule>
    <cfRule type="cellIs" dxfId="247" priority="249" operator="equal">
      <formula>1</formula>
    </cfRule>
    <cfRule type="cellIs" dxfId="246" priority="250" operator="equal">
      <formula>0</formula>
    </cfRule>
  </conditionalFormatting>
  <conditionalFormatting sqref="AJ289:AK292">
    <cfRule type="containsBlanks" dxfId="245" priority="242" stopIfTrue="1">
      <formula>LEN(TRIM(AJ289))=0</formula>
    </cfRule>
    <cfRule type="containsText" dxfId="244" priority="243" operator="containsText" text="NO">
      <formula>NOT(ISERROR(SEARCH("NO",AJ289)))</formula>
    </cfRule>
    <cfRule type="containsText" dxfId="243" priority="244" operator="containsText" text="YES">
      <formula>NOT(ISERROR(SEARCH("YES",AJ289)))</formula>
    </cfRule>
  </conditionalFormatting>
  <conditionalFormatting sqref="L288:AF288">
    <cfRule type="containsBlanks" dxfId="242" priority="236" stopIfTrue="1">
      <formula>LEN(TRIM(L288))=0</formula>
    </cfRule>
    <cfRule type="cellIs" dxfId="241" priority="237" operator="equal">
      <formula>4</formula>
    </cfRule>
    <cfRule type="cellIs" dxfId="240" priority="238" operator="equal">
      <formula>3</formula>
    </cfRule>
    <cfRule type="cellIs" dxfId="239" priority="239" operator="equal">
      <formula>2</formula>
    </cfRule>
    <cfRule type="cellIs" dxfId="238" priority="240" operator="equal">
      <formula>1</formula>
    </cfRule>
    <cfRule type="cellIs" dxfId="237" priority="241" operator="equal">
      <formula>0</formula>
    </cfRule>
  </conditionalFormatting>
  <conditionalFormatting sqref="AJ288:AK288">
    <cfRule type="containsBlanks" dxfId="236" priority="233" stopIfTrue="1">
      <formula>LEN(TRIM(AJ288))=0</formula>
    </cfRule>
    <cfRule type="containsText" dxfId="235" priority="234" operator="containsText" text="NO">
      <formula>NOT(ISERROR(SEARCH("NO",AJ288)))</formula>
    </cfRule>
    <cfRule type="containsText" dxfId="234" priority="235" operator="containsText" text="YES">
      <formula>NOT(ISERROR(SEARCH("YES",AJ288)))</formula>
    </cfRule>
  </conditionalFormatting>
  <conditionalFormatting sqref="K284">
    <cfRule type="expression" dxfId="233" priority="232">
      <formula>AND($C284=0,$C284&lt;&gt;"")</formula>
    </cfRule>
  </conditionalFormatting>
  <conditionalFormatting sqref="K285">
    <cfRule type="expression" dxfId="232" priority="231">
      <formula>AND($C285=0,$C285&lt;&gt;"")</formula>
    </cfRule>
  </conditionalFormatting>
  <conditionalFormatting sqref="AG12:AI15 AG265:AI268 AG247:AG264 AG269 AG17:AI57 AG270:AI292 AG59:AI62">
    <cfRule type="containsBlanks" dxfId="231" priority="225" stopIfTrue="1">
      <formula>LEN(TRIM(AG12))=0</formula>
    </cfRule>
    <cfRule type="cellIs" dxfId="230" priority="226" operator="equal">
      <formula>4</formula>
    </cfRule>
    <cfRule type="cellIs" dxfId="229" priority="227" operator="equal">
      <formula>3</formula>
    </cfRule>
    <cfRule type="cellIs" dxfId="228" priority="228" operator="equal">
      <formula>2</formula>
    </cfRule>
    <cfRule type="cellIs" dxfId="227" priority="229" operator="equal">
      <formula>1</formula>
    </cfRule>
    <cfRule type="cellIs" dxfId="226" priority="230" operator="equal">
      <formula>0</formula>
    </cfRule>
  </conditionalFormatting>
  <conditionalFormatting sqref="AG12:AI15 AG265:AI268 AG247:AG264 AG269 AG17:AI57 AG270:AI292 AG59:AI62">
    <cfRule type="expression" dxfId="225" priority="224">
      <formula>AND($C12=0,$C12&lt;&gt;"")</formula>
    </cfRule>
  </conditionalFormatting>
  <conditionalFormatting sqref="L162:AG162">
    <cfRule type="containsBlanks" dxfId="224" priority="218" stopIfTrue="1">
      <formula>LEN(TRIM(L162))=0</formula>
    </cfRule>
    <cfRule type="cellIs" dxfId="223" priority="219" operator="equal">
      <formula>4</formula>
    </cfRule>
    <cfRule type="cellIs" dxfId="222" priority="220" operator="equal">
      <formula>3</formula>
    </cfRule>
    <cfRule type="cellIs" dxfId="221" priority="221" operator="equal">
      <formula>2</formula>
    </cfRule>
    <cfRule type="cellIs" dxfId="220" priority="222" operator="equal">
      <formula>1</formula>
    </cfRule>
    <cfRule type="cellIs" dxfId="219" priority="223" operator="equal">
      <formula>0</formula>
    </cfRule>
  </conditionalFormatting>
  <conditionalFormatting sqref="AJ162:AK162">
    <cfRule type="containsBlanks" dxfId="218" priority="215" stopIfTrue="1">
      <formula>LEN(TRIM(AJ162))=0</formula>
    </cfRule>
    <cfRule type="containsText" dxfId="217" priority="216" operator="containsText" text="NO">
      <formula>NOT(ISERROR(SEARCH("NO",AJ162)))</formula>
    </cfRule>
    <cfRule type="containsText" dxfId="216" priority="217" operator="containsText" text="YES">
      <formula>NOT(ISERROR(SEARCH("YES",AJ162)))</formula>
    </cfRule>
  </conditionalFormatting>
  <conditionalFormatting sqref="B162:AG162 AJ162:AN162">
    <cfRule type="expression" dxfId="215" priority="214">
      <formula>AND($C162=0,$C162&lt;&gt;"")</formula>
    </cfRule>
  </conditionalFormatting>
  <conditionalFormatting sqref="AN152:AN155">
    <cfRule type="expression" dxfId="214" priority="213">
      <formula>AND($C152=0,$C152&lt;&gt;"")</formula>
    </cfRule>
  </conditionalFormatting>
  <conditionalFormatting sqref="AB219:AF228">
    <cfRule type="containsBlanks" dxfId="213" priority="207" stopIfTrue="1">
      <formula>LEN(TRIM(AB219))=0</formula>
    </cfRule>
    <cfRule type="cellIs" dxfId="212" priority="208" operator="equal">
      <formula>4</formula>
    </cfRule>
    <cfRule type="cellIs" dxfId="211" priority="209" operator="equal">
      <formula>3</formula>
    </cfRule>
    <cfRule type="cellIs" dxfId="210" priority="210" operator="equal">
      <formula>2</formula>
    </cfRule>
    <cfRule type="cellIs" dxfId="209" priority="211" operator="equal">
      <formula>1</formula>
    </cfRule>
    <cfRule type="cellIs" dxfId="208" priority="212" operator="equal">
      <formula>0</formula>
    </cfRule>
  </conditionalFormatting>
  <conditionalFormatting sqref="AB219:AF228">
    <cfRule type="expression" dxfId="207" priority="206">
      <formula>AND($C219=0,$C219&lt;&gt;"")</formula>
    </cfRule>
  </conditionalFormatting>
  <conditionalFormatting sqref="AJ301">
    <cfRule type="expression" dxfId="206" priority="205">
      <formula>AND($C301=0,$C301&lt;&gt;"")</formula>
    </cfRule>
  </conditionalFormatting>
  <conditionalFormatting sqref="AJ301">
    <cfRule type="containsBlanks" dxfId="205" priority="202" stopIfTrue="1">
      <formula>LEN(TRIM(AJ301))=0</formula>
    </cfRule>
    <cfRule type="containsText" dxfId="204" priority="203" operator="containsText" text="NO">
      <formula>NOT(ISERROR(SEARCH("NO",AJ301)))</formula>
    </cfRule>
    <cfRule type="containsText" dxfId="203" priority="204" operator="containsText" text="YES">
      <formula>NOT(ISERROR(SEARCH("YES",AJ301)))</formula>
    </cfRule>
  </conditionalFormatting>
  <conditionalFormatting sqref="AJ302:AJ303">
    <cfRule type="expression" dxfId="202" priority="201">
      <formula>AND($C302=0,$C302&lt;&gt;"")</formula>
    </cfRule>
  </conditionalFormatting>
  <conditionalFormatting sqref="AJ302:AJ303">
    <cfRule type="containsBlanks" dxfId="201" priority="198" stopIfTrue="1">
      <formula>LEN(TRIM(AJ302))=0</formula>
    </cfRule>
    <cfRule type="containsText" dxfId="200" priority="199" operator="containsText" text="NO">
      <formula>NOT(ISERROR(SEARCH("NO",AJ302)))</formula>
    </cfRule>
    <cfRule type="containsText" dxfId="199" priority="200" operator="containsText" text="YES">
      <formula>NOT(ISERROR(SEARCH("YES",AJ302)))</formula>
    </cfRule>
  </conditionalFormatting>
  <conditionalFormatting sqref="AK301">
    <cfRule type="expression" dxfId="198" priority="197">
      <formula>AND($C301=0,$C301&lt;&gt;"")</formula>
    </cfRule>
  </conditionalFormatting>
  <conditionalFormatting sqref="AK301">
    <cfRule type="containsBlanks" dxfId="197" priority="194" stopIfTrue="1">
      <formula>LEN(TRIM(AK301))=0</formula>
    </cfRule>
    <cfRule type="containsText" dxfId="196" priority="195" operator="containsText" text="NO">
      <formula>NOT(ISERROR(SEARCH("NO",AK301)))</formula>
    </cfRule>
    <cfRule type="containsText" dxfId="195" priority="196" operator="containsText" text="YES">
      <formula>NOT(ISERROR(SEARCH("YES",AK301)))</formula>
    </cfRule>
  </conditionalFormatting>
  <conditionalFormatting sqref="AK302:AK303">
    <cfRule type="expression" dxfId="194" priority="193">
      <formula>AND($C302=0,$C302&lt;&gt;"")</formula>
    </cfRule>
  </conditionalFormatting>
  <conditionalFormatting sqref="AK302:AK303">
    <cfRule type="containsBlanks" dxfId="193" priority="190" stopIfTrue="1">
      <formula>LEN(TRIM(AK302))=0</formula>
    </cfRule>
    <cfRule type="containsText" dxfId="192" priority="191" operator="containsText" text="NO">
      <formula>NOT(ISERROR(SEARCH("NO",AK302)))</formula>
    </cfRule>
    <cfRule type="containsText" dxfId="191" priority="192" operator="containsText" text="YES">
      <formula>NOT(ISERROR(SEARCH("YES",AK302)))</formula>
    </cfRule>
  </conditionalFormatting>
  <conditionalFormatting sqref="E233">
    <cfRule type="expression" dxfId="190" priority="189">
      <formula>AND($C233=0,$C233&lt;&gt;"")</formula>
    </cfRule>
  </conditionalFormatting>
  <conditionalFormatting sqref="L233:AI233">
    <cfRule type="containsBlanks" dxfId="189" priority="183" stopIfTrue="1">
      <formula>LEN(TRIM(L233))=0</formula>
    </cfRule>
    <cfRule type="cellIs" dxfId="188" priority="184" operator="equal">
      <formula>4</formula>
    </cfRule>
    <cfRule type="cellIs" dxfId="187" priority="185" operator="equal">
      <formula>3</formula>
    </cfRule>
    <cfRule type="cellIs" dxfId="186" priority="186" operator="equal">
      <formula>2</formula>
    </cfRule>
    <cfRule type="cellIs" dxfId="185" priority="187" operator="equal">
      <formula>1</formula>
    </cfRule>
    <cfRule type="cellIs" dxfId="184" priority="188" operator="equal">
      <formula>0</formula>
    </cfRule>
  </conditionalFormatting>
  <conditionalFormatting sqref="AJ233:AK233">
    <cfRule type="containsBlanks" dxfId="183" priority="180" stopIfTrue="1">
      <formula>LEN(TRIM(AJ233))=0</formula>
    </cfRule>
    <cfRule type="containsText" dxfId="182" priority="181" operator="containsText" text="NO">
      <formula>NOT(ISERROR(SEARCH("NO",AJ233)))</formula>
    </cfRule>
    <cfRule type="containsText" dxfId="181" priority="182" operator="containsText" text="YES">
      <formula>NOT(ISERROR(SEARCH("YES",AJ233)))</formula>
    </cfRule>
  </conditionalFormatting>
  <conditionalFormatting sqref="X233 AA233:AI233">
    <cfRule type="expression" dxfId="180" priority="179">
      <formula>AND($C233=0,$C233&lt;&gt;"")</formula>
    </cfRule>
  </conditionalFormatting>
  <conditionalFormatting sqref="AJ304:AN304 C304:D304 F304:AF304">
    <cfRule type="expression" dxfId="179" priority="178">
      <formula>AND($C304=0,$C304&lt;&gt;"")</formula>
    </cfRule>
  </conditionalFormatting>
  <conditionalFormatting sqref="L304:AF304">
    <cfRule type="containsBlanks" dxfId="178" priority="172" stopIfTrue="1">
      <formula>LEN(TRIM(L304))=0</formula>
    </cfRule>
    <cfRule type="cellIs" dxfId="177" priority="173" operator="equal">
      <formula>4</formula>
    </cfRule>
    <cfRule type="cellIs" dxfId="176" priority="174" operator="equal">
      <formula>3</formula>
    </cfRule>
    <cfRule type="cellIs" dxfId="175" priority="175" operator="equal">
      <formula>2</formula>
    </cfRule>
    <cfRule type="cellIs" dxfId="174" priority="176" operator="equal">
      <formula>1</formula>
    </cfRule>
    <cfRule type="cellIs" dxfId="173" priority="177" operator="equal">
      <formula>0</formula>
    </cfRule>
  </conditionalFormatting>
  <conditionalFormatting sqref="AJ304:AK304">
    <cfRule type="containsBlanks" dxfId="172" priority="169" stopIfTrue="1">
      <formula>LEN(TRIM(AJ304))=0</formula>
    </cfRule>
    <cfRule type="containsText" dxfId="171" priority="170" operator="containsText" text="NO">
      <formula>NOT(ISERROR(SEARCH("NO",AJ304)))</formula>
    </cfRule>
    <cfRule type="containsText" dxfId="170" priority="171" operator="containsText" text="YES">
      <formula>NOT(ISERROR(SEARCH("YES",AJ304)))</formula>
    </cfRule>
  </conditionalFormatting>
  <conditionalFormatting sqref="AG304:AI304">
    <cfRule type="containsBlanks" dxfId="169" priority="163" stopIfTrue="1">
      <formula>LEN(TRIM(AG304))=0</formula>
    </cfRule>
    <cfRule type="cellIs" dxfId="168" priority="164" operator="equal">
      <formula>4</formula>
    </cfRule>
    <cfRule type="cellIs" dxfId="167" priority="165" operator="equal">
      <formula>3</formula>
    </cfRule>
    <cfRule type="cellIs" dxfId="166" priority="166" operator="equal">
      <formula>2</formula>
    </cfRule>
    <cfRule type="cellIs" dxfId="165" priority="167" operator="equal">
      <formula>1</formula>
    </cfRule>
    <cfRule type="cellIs" dxfId="164" priority="168" operator="equal">
      <formula>0</formula>
    </cfRule>
  </conditionalFormatting>
  <conditionalFormatting sqref="AG304:AI304">
    <cfRule type="expression" dxfId="163" priority="162">
      <formula>AND($C304=0,$C304&lt;&gt;"")</formula>
    </cfRule>
  </conditionalFormatting>
  <conditionalFormatting sqref="AH152:AI154 AH159:AI159">
    <cfRule type="containsBlanks" dxfId="162" priority="156" stopIfTrue="1">
      <formula>LEN(TRIM(AH152))=0</formula>
    </cfRule>
    <cfRule type="cellIs" dxfId="161" priority="157" operator="equal">
      <formula>4</formula>
    </cfRule>
    <cfRule type="cellIs" dxfId="160" priority="158" operator="equal">
      <formula>3</formula>
    </cfRule>
    <cfRule type="cellIs" dxfId="159" priority="159" operator="equal">
      <formula>2</formula>
    </cfRule>
    <cfRule type="cellIs" dxfId="158" priority="160" operator="equal">
      <formula>1</formula>
    </cfRule>
    <cfRule type="cellIs" dxfId="157" priority="161" operator="equal">
      <formula>0</formula>
    </cfRule>
  </conditionalFormatting>
  <conditionalFormatting sqref="AH152:AI154 AH159:AI159">
    <cfRule type="expression" dxfId="156" priority="155">
      <formula>AND($C152=0,$C152&lt;&gt;"")</formula>
    </cfRule>
  </conditionalFormatting>
  <conditionalFormatting sqref="L16:AF16">
    <cfRule type="containsBlanks" dxfId="155" priority="149" stopIfTrue="1">
      <formula>LEN(TRIM(L16))=0</formula>
    </cfRule>
    <cfRule type="cellIs" dxfId="154" priority="150" operator="equal">
      <formula>4</formula>
    </cfRule>
    <cfRule type="cellIs" dxfId="153" priority="151" operator="equal">
      <formula>3</formula>
    </cfRule>
    <cfRule type="cellIs" dxfId="152" priority="152" operator="equal">
      <formula>2</formula>
    </cfRule>
    <cfRule type="cellIs" dxfId="151" priority="153" operator="equal">
      <formula>1</formula>
    </cfRule>
    <cfRule type="cellIs" dxfId="150" priority="154" operator="equal">
      <formula>0</formula>
    </cfRule>
  </conditionalFormatting>
  <conditionalFormatting sqref="AJ16:AK16">
    <cfRule type="containsBlanks" dxfId="149" priority="146" stopIfTrue="1">
      <formula>LEN(TRIM(AJ16))=0</formula>
    </cfRule>
    <cfRule type="containsText" dxfId="148" priority="147" operator="containsText" text="NO">
      <formula>NOT(ISERROR(SEARCH("NO",AJ16)))</formula>
    </cfRule>
    <cfRule type="containsText" dxfId="147" priority="148" operator="containsText" text="YES">
      <formula>NOT(ISERROR(SEARCH("YES",AJ16)))</formula>
    </cfRule>
  </conditionalFormatting>
  <conditionalFormatting sqref="B16:AF16 AJ16:AN16">
    <cfRule type="expression" dxfId="146" priority="145">
      <formula>AND($C16=0,$C16&lt;&gt;"")</formula>
    </cfRule>
  </conditionalFormatting>
  <conditionalFormatting sqref="AG16:AI16">
    <cfRule type="containsBlanks" dxfId="145" priority="139" stopIfTrue="1">
      <formula>LEN(TRIM(AG16))=0</formula>
    </cfRule>
    <cfRule type="cellIs" dxfId="144" priority="140" operator="equal">
      <formula>4</formula>
    </cfRule>
    <cfRule type="cellIs" dxfId="143" priority="141" operator="equal">
      <formula>3</formula>
    </cfRule>
    <cfRule type="cellIs" dxfId="142" priority="142" operator="equal">
      <formula>2</formula>
    </cfRule>
    <cfRule type="cellIs" dxfId="141" priority="143" operator="equal">
      <formula>1</formula>
    </cfRule>
    <cfRule type="cellIs" dxfId="140" priority="144" operator="equal">
      <formula>0</formula>
    </cfRule>
  </conditionalFormatting>
  <conditionalFormatting sqref="AG16:AI16">
    <cfRule type="expression" dxfId="139" priority="138">
      <formula>AND($C16=0,$C16&lt;&gt;"")</formula>
    </cfRule>
  </conditionalFormatting>
  <conditionalFormatting sqref="I292">
    <cfRule type="expression" dxfId="138" priority="137">
      <formula>AND($C292=0,$C292&lt;&gt;"")</formula>
    </cfRule>
  </conditionalFormatting>
  <conditionalFormatting sqref="AN292">
    <cfRule type="expression" dxfId="137" priority="136">
      <formula>AND($C292=0,$C292&lt;&gt;"")</formula>
    </cfRule>
  </conditionalFormatting>
  <conditionalFormatting sqref="L58:AF58">
    <cfRule type="containsBlanks" dxfId="136" priority="130" stopIfTrue="1">
      <formula>LEN(TRIM(L58))=0</formula>
    </cfRule>
    <cfRule type="cellIs" dxfId="135" priority="131" operator="equal">
      <formula>4</formula>
    </cfRule>
    <cfRule type="cellIs" dxfId="134" priority="132" operator="equal">
      <formula>3</formula>
    </cfRule>
    <cfRule type="cellIs" dxfId="133" priority="133" operator="equal">
      <formula>2</formula>
    </cfRule>
    <cfRule type="cellIs" dxfId="132" priority="134" operator="equal">
      <formula>1</formula>
    </cfRule>
    <cfRule type="cellIs" dxfId="131" priority="135" operator="equal">
      <formula>0</formula>
    </cfRule>
  </conditionalFormatting>
  <conditionalFormatting sqref="AJ58:AK58">
    <cfRule type="containsBlanks" dxfId="130" priority="127" stopIfTrue="1">
      <formula>LEN(TRIM(AJ58))=0</formula>
    </cfRule>
    <cfRule type="containsText" dxfId="129" priority="128" operator="containsText" text="NO">
      <formula>NOT(ISERROR(SEARCH("NO",AJ58)))</formula>
    </cfRule>
    <cfRule type="containsText" dxfId="128" priority="129" operator="containsText" text="YES">
      <formula>NOT(ISERROR(SEARCH("YES",AJ58)))</formula>
    </cfRule>
  </conditionalFormatting>
  <conditionalFormatting sqref="H58:AF58 AJ58:AN58 B58:F58">
    <cfRule type="expression" dxfId="127" priority="126">
      <formula>AND($C58=0,$C58&lt;&gt;"")</formula>
    </cfRule>
  </conditionalFormatting>
  <conditionalFormatting sqref="G58">
    <cfRule type="expression" dxfId="126" priority="125">
      <formula>AND($C58=0,$C58&lt;&gt;"")</formula>
    </cfRule>
  </conditionalFormatting>
  <conditionalFormatting sqref="AG58:AI58">
    <cfRule type="containsBlanks" dxfId="125" priority="119" stopIfTrue="1">
      <formula>LEN(TRIM(AG58))=0</formula>
    </cfRule>
    <cfRule type="cellIs" dxfId="124" priority="120" operator="equal">
      <formula>4</formula>
    </cfRule>
    <cfRule type="cellIs" dxfId="123" priority="121" operator="equal">
      <formula>3</formula>
    </cfRule>
    <cfRule type="cellIs" dxfId="122" priority="122" operator="equal">
      <formula>2</formula>
    </cfRule>
    <cfRule type="cellIs" dxfId="121" priority="123" operator="equal">
      <formula>1</formula>
    </cfRule>
    <cfRule type="cellIs" dxfId="120" priority="124" operator="equal">
      <formula>0</formula>
    </cfRule>
  </conditionalFormatting>
  <conditionalFormatting sqref="AG58:AI58">
    <cfRule type="expression" dxfId="119" priority="118">
      <formula>AND($C58=0,$C58&lt;&gt;"")</formula>
    </cfRule>
  </conditionalFormatting>
  <conditionalFormatting sqref="AM292">
    <cfRule type="expression" dxfId="118" priority="117">
      <formula>AND($C292=0,$C292&lt;&gt;"")</formula>
    </cfRule>
  </conditionalFormatting>
  <conditionalFormatting sqref="C308:G308">
    <cfRule type="expression" dxfId="117" priority="116">
      <formula>AND($C308=0,$C308&lt;&gt;"")</formula>
    </cfRule>
  </conditionalFormatting>
  <conditionalFormatting sqref="J234">
    <cfRule type="expression" dxfId="116" priority="115">
      <formula>AND($C234=0,$C234&lt;&gt;"")</formula>
    </cfRule>
  </conditionalFormatting>
  <conditionalFormatting sqref="J272">
    <cfRule type="expression" dxfId="115" priority="114">
      <formula>AND($C272=0,$C272&lt;&gt;"")</formula>
    </cfRule>
  </conditionalFormatting>
  <conditionalFormatting sqref="J273">
    <cfRule type="expression" dxfId="114" priority="113">
      <formula>AND($C273=0,$C273&lt;&gt;"")</formula>
    </cfRule>
  </conditionalFormatting>
  <conditionalFormatting sqref="J274">
    <cfRule type="expression" dxfId="113" priority="112">
      <formula>AND($C274=0,$C274&lt;&gt;"")</formula>
    </cfRule>
  </conditionalFormatting>
  <conditionalFormatting sqref="J275">
    <cfRule type="expression" dxfId="112" priority="111">
      <formula>AND($C275=0,$C275&lt;&gt;"")</formula>
    </cfRule>
  </conditionalFormatting>
  <conditionalFormatting sqref="J276">
    <cfRule type="expression" dxfId="111" priority="110">
      <formula>AND($C276=0,$C276&lt;&gt;"")</formula>
    </cfRule>
  </conditionalFormatting>
  <conditionalFormatting sqref="J277">
    <cfRule type="expression" dxfId="110" priority="109">
      <formula>AND($C277=0,$C277&lt;&gt;"")</formula>
    </cfRule>
  </conditionalFormatting>
  <conditionalFormatting sqref="J278">
    <cfRule type="expression" dxfId="109" priority="108">
      <formula>AND($C278=0,$C278&lt;&gt;"")</formula>
    </cfRule>
  </conditionalFormatting>
  <conditionalFormatting sqref="J280">
    <cfRule type="expression" dxfId="108" priority="107">
      <formula>AND($C280=0,$C280&lt;&gt;"")</formula>
    </cfRule>
  </conditionalFormatting>
  <conditionalFormatting sqref="J281">
    <cfRule type="expression" dxfId="107" priority="106">
      <formula>AND($C281=0,$C281&lt;&gt;"")</formula>
    </cfRule>
  </conditionalFormatting>
  <conditionalFormatting sqref="J308">
    <cfRule type="expression" dxfId="106" priority="105">
      <formula>AND($C308=0,$C308&lt;&gt;"")</formula>
    </cfRule>
  </conditionalFormatting>
  <conditionalFormatting sqref="K234">
    <cfRule type="expression" dxfId="105" priority="104">
      <formula>AND($C234=0,$C234&lt;&gt;"")</formula>
    </cfRule>
  </conditionalFormatting>
  <conditionalFormatting sqref="K272">
    <cfRule type="expression" dxfId="104" priority="103">
      <formula>AND($C272=0,$C272&lt;&gt;"")</formula>
    </cfRule>
  </conditionalFormatting>
  <conditionalFormatting sqref="K273">
    <cfRule type="expression" dxfId="103" priority="102">
      <formula>AND($C273=0,$C273&lt;&gt;"")</formula>
    </cfRule>
  </conditionalFormatting>
  <conditionalFormatting sqref="K274">
    <cfRule type="expression" dxfId="102" priority="101">
      <formula>AND($C274=0,$C274&lt;&gt;"")</formula>
    </cfRule>
  </conditionalFormatting>
  <conditionalFormatting sqref="K275">
    <cfRule type="expression" dxfId="101" priority="100">
      <formula>AND($C275=0,$C275&lt;&gt;"")</formula>
    </cfRule>
  </conditionalFormatting>
  <conditionalFormatting sqref="K276">
    <cfRule type="expression" dxfId="100" priority="99">
      <formula>AND($C276=0,$C276&lt;&gt;"")</formula>
    </cfRule>
  </conditionalFormatting>
  <conditionalFormatting sqref="K277">
    <cfRule type="expression" dxfId="99" priority="98">
      <formula>AND($C277=0,$C277&lt;&gt;"")</formula>
    </cfRule>
  </conditionalFormatting>
  <conditionalFormatting sqref="K278">
    <cfRule type="expression" dxfId="98" priority="97">
      <formula>AND($C278=0,$C278&lt;&gt;"")</formula>
    </cfRule>
  </conditionalFormatting>
  <conditionalFormatting sqref="K280">
    <cfRule type="expression" dxfId="97" priority="96">
      <formula>AND($C280=0,$C280&lt;&gt;"")</formula>
    </cfRule>
  </conditionalFormatting>
  <conditionalFormatting sqref="K281">
    <cfRule type="expression" dxfId="96" priority="95">
      <formula>AND($C281=0,$C281&lt;&gt;"")</formula>
    </cfRule>
  </conditionalFormatting>
  <conditionalFormatting sqref="K308">
    <cfRule type="expression" dxfId="95" priority="94">
      <formula>AND($C308=0,$C308&lt;&gt;"")</formula>
    </cfRule>
  </conditionalFormatting>
  <conditionalFormatting sqref="J309">
    <cfRule type="expression" dxfId="94" priority="93">
      <formula>AND($C309=0,$C309&lt;&gt;"")</formula>
    </cfRule>
  </conditionalFormatting>
  <conditionalFormatting sqref="J310">
    <cfRule type="expression" dxfId="93" priority="92">
      <formula>AND($C310=0,$C310&lt;&gt;"")</formula>
    </cfRule>
  </conditionalFormatting>
  <conditionalFormatting sqref="J311">
    <cfRule type="expression" dxfId="92" priority="91">
      <formula>AND($C311=0,$C311&lt;&gt;"")</formula>
    </cfRule>
  </conditionalFormatting>
  <conditionalFormatting sqref="J312">
    <cfRule type="expression" dxfId="91" priority="90">
      <formula>AND($C312=0,$C312&lt;&gt;"")</formula>
    </cfRule>
  </conditionalFormatting>
  <conditionalFormatting sqref="J313">
    <cfRule type="expression" dxfId="90" priority="89">
      <formula>AND($C313=0,$C313&lt;&gt;"")</formula>
    </cfRule>
  </conditionalFormatting>
  <conditionalFormatting sqref="J314">
    <cfRule type="expression" dxfId="89" priority="88">
      <formula>AND($C314=0,$C314&lt;&gt;"")</formula>
    </cfRule>
  </conditionalFormatting>
  <conditionalFormatting sqref="J315">
    <cfRule type="expression" dxfId="88" priority="87">
      <formula>AND($C315=0,$C315&lt;&gt;"")</formula>
    </cfRule>
  </conditionalFormatting>
  <conditionalFormatting sqref="J316">
    <cfRule type="expression" dxfId="87" priority="86">
      <formula>AND($C316=0,$C316&lt;&gt;"")</formula>
    </cfRule>
  </conditionalFormatting>
  <conditionalFormatting sqref="J317">
    <cfRule type="expression" dxfId="86" priority="85">
      <formula>AND($C317=0,$C317&lt;&gt;"")</formula>
    </cfRule>
  </conditionalFormatting>
  <conditionalFormatting sqref="E314:G314">
    <cfRule type="expression" dxfId="85" priority="84">
      <formula>AND($C314=0,$C314&lt;&gt;"")</formula>
    </cfRule>
  </conditionalFormatting>
  <conditionalFormatting sqref="E309:G309">
    <cfRule type="expression" dxfId="84" priority="83">
      <formula>AND($C309=0,$C309&lt;&gt;"")</formula>
    </cfRule>
  </conditionalFormatting>
  <conditionalFormatting sqref="E310:G310">
    <cfRule type="expression" dxfId="83" priority="82">
      <formula>AND($C310=0,$C310&lt;&gt;"")</formula>
    </cfRule>
  </conditionalFormatting>
  <conditionalFormatting sqref="E311:G311">
    <cfRule type="expression" dxfId="82" priority="81">
      <formula>AND($C311=0,$C311&lt;&gt;"")</formula>
    </cfRule>
  </conditionalFormatting>
  <conditionalFormatting sqref="E312:G312">
    <cfRule type="expression" dxfId="81" priority="80">
      <formula>AND($C312=0,$C312&lt;&gt;"")</formula>
    </cfRule>
  </conditionalFormatting>
  <conditionalFormatting sqref="E313:G313">
    <cfRule type="expression" dxfId="80" priority="79">
      <formula>AND($C313=0,$C313&lt;&gt;"")</formula>
    </cfRule>
  </conditionalFormatting>
  <conditionalFormatting sqref="E315:G315">
    <cfRule type="expression" dxfId="79" priority="78">
      <formula>AND($C315=0,$C315&lt;&gt;"")</formula>
    </cfRule>
  </conditionalFormatting>
  <conditionalFormatting sqref="E316:G316">
    <cfRule type="expression" dxfId="78" priority="77">
      <formula>AND($C316=0,$C316&lt;&gt;"")</formula>
    </cfRule>
  </conditionalFormatting>
  <conditionalFormatting sqref="E317:G317">
    <cfRule type="expression" dxfId="77" priority="76">
      <formula>AND($C317=0,$C317&lt;&gt;"")</formula>
    </cfRule>
  </conditionalFormatting>
  <conditionalFormatting sqref="D309">
    <cfRule type="expression" dxfId="76" priority="75">
      <formula>AND($C309=0,$C309&lt;&gt;"")</formula>
    </cfRule>
  </conditionalFormatting>
  <conditionalFormatting sqref="D310">
    <cfRule type="expression" dxfId="75" priority="74">
      <formula>AND($C310=0,$C310&lt;&gt;"")</formula>
    </cfRule>
  </conditionalFormatting>
  <conditionalFormatting sqref="D311">
    <cfRule type="expression" dxfId="74" priority="73">
      <formula>AND($C311=0,$C311&lt;&gt;"")</formula>
    </cfRule>
  </conditionalFormatting>
  <conditionalFormatting sqref="D312">
    <cfRule type="expression" dxfId="73" priority="72">
      <formula>AND($C312=0,$C312&lt;&gt;"")</formula>
    </cfRule>
  </conditionalFormatting>
  <conditionalFormatting sqref="D314">
    <cfRule type="expression" dxfId="72" priority="71">
      <formula>AND($C314=0,$C314&lt;&gt;"")</formula>
    </cfRule>
  </conditionalFormatting>
  <conditionalFormatting sqref="D315">
    <cfRule type="expression" dxfId="71" priority="70">
      <formula>AND($C315=0,$C315&lt;&gt;"")</formula>
    </cfRule>
  </conditionalFormatting>
  <conditionalFormatting sqref="D316">
    <cfRule type="expression" dxfId="70" priority="69">
      <formula>AND($C316=0,$C316&lt;&gt;"")</formula>
    </cfRule>
  </conditionalFormatting>
  <conditionalFormatting sqref="D317">
    <cfRule type="expression" dxfId="69" priority="68">
      <formula>AND($C317=0,$C317&lt;&gt;"")</formula>
    </cfRule>
  </conditionalFormatting>
  <conditionalFormatting sqref="AJ318">
    <cfRule type="containsBlanks" dxfId="68" priority="65" stopIfTrue="1">
      <formula>LEN(TRIM(AJ318))=0</formula>
    </cfRule>
    <cfRule type="containsText" dxfId="67" priority="66" operator="containsText" text="NO">
      <formula>NOT(ISERROR(SEARCH("NO",AJ318)))</formula>
    </cfRule>
    <cfRule type="containsText" dxfId="66" priority="67" operator="containsText" text="YES">
      <formula>NOT(ISERROR(SEARCH("YES",AJ318)))</formula>
    </cfRule>
  </conditionalFormatting>
  <conditionalFormatting sqref="AJ318">
    <cfRule type="expression" dxfId="65" priority="64">
      <formula>AND($C318=0,$C318&lt;&gt;"")</formula>
    </cfRule>
  </conditionalFormatting>
  <conditionalFormatting sqref="AK318">
    <cfRule type="containsBlanks" dxfId="64" priority="61" stopIfTrue="1">
      <formula>LEN(TRIM(AK318))=0</formula>
    </cfRule>
    <cfRule type="containsText" dxfId="63" priority="62" operator="containsText" text="NO">
      <formula>NOT(ISERROR(SEARCH("NO",AK318)))</formula>
    </cfRule>
    <cfRule type="containsText" dxfId="62" priority="63" operator="containsText" text="YES">
      <formula>NOT(ISERROR(SEARCH("YES",AK318)))</formula>
    </cfRule>
  </conditionalFormatting>
  <conditionalFormatting sqref="AK318">
    <cfRule type="expression" dxfId="61" priority="60">
      <formula>AND($C318=0,$C318&lt;&gt;"")</formula>
    </cfRule>
  </conditionalFormatting>
  <conditionalFormatting sqref="L318:AI318">
    <cfRule type="containsBlanks" dxfId="60" priority="54" stopIfTrue="1">
      <formula>LEN(TRIM(L318))=0</formula>
    </cfRule>
    <cfRule type="cellIs" dxfId="59" priority="55" operator="equal">
      <formula>4</formula>
    </cfRule>
    <cfRule type="cellIs" dxfId="58" priority="56" operator="equal">
      <formula>3</formula>
    </cfRule>
    <cfRule type="cellIs" dxfId="57" priority="57" operator="equal">
      <formula>2</formula>
    </cfRule>
    <cfRule type="cellIs" dxfId="56" priority="58" operator="equal">
      <formula>1</formula>
    </cfRule>
    <cfRule type="cellIs" dxfId="55" priority="59" operator="equal">
      <formula>0</formula>
    </cfRule>
  </conditionalFormatting>
  <conditionalFormatting sqref="L318:AI318">
    <cfRule type="expression" dxfId="54" priority="53">
      <formula>AND($C318=0,$C318&lt;&gt;"")</formula>
    </cfRule>
  </conditionalFormatting>
  <conditionalFormatting sqref="L305:AF305">
    <cfRule type="containsBlanks" dxfId="53" priority="47" stopIfTrue="1">
      <formula>LEN(TRIM(L305))=0</formula>
    </cfRule>
    <cfRule type="cellIs" dxfId="52" priority="48" operator="equal">
      <formula>4</formula>
    </cfRule>
    <cfRule type="cellIs" dxfId="51" priority="49" operator="equal">
      <formula>3</formula>
    </cfRule>
    <cfRule type="cellIs" dxfId="50" priority="50" operator="equal">
      <formula>2</formula>
    </cfRule>
    <cfRule type="cellIs" dxfId="49" priority="51" operator="equal">
      <formula>1</formula>
    </cfRule>
    <cfRule type="cellIs" dxfId="48" priority="52" operator="equal">
      <formula>0</formula>
    </cfRule>
  </conditionalFormatting>
  <conditionalFormatting sqref="AJ305:AK305">
    <cfRule type="containsBlanks" dxfId="47" priority="44" stopIfTrue="1">
      <formula>LEN(TRIM(AJ305))=0</formula>
    </cfRule>
    <cfRule type="containsText" dxfId="46" priority="45" operator="containsText" text="NO">
      <formula>NOT(ISERROR(SEARCH("NO",AJ305)))</formula>
    </cfRule>
    <cfRule type="containsText" dxfId="45" priority="46" operator="containsText" text="YES">
      <formula>NOT(ISERROR(SEARCH("YES",AJ305)))</formula>
    </cfRule>
  </conditionalFormatting>
  <conditionalFormatting sqref="AJ305:AN305 B305:AF305">
    <cfRule type="expression" dxfId="44" priority="43">
      <formula>AND($C305=0,$C305&lt;&gt;"")</formula>
    </cfRule>
  </conditionalFormatting>
  <conditionalFormatting sqref="AG305:AI305">
    <cfRule type="containsBlanks" dxfId="43" priority="37" stopIfTrue="1">
      <formula>LEN(TRIM(AG305))=0</formula>
    </cfRule>
    <cfRule type="cellIs" dxfId="42" priority="38" operator="equal">
      <formula>4</formula>
    </cfRule>
    <cfRule type="cellIs" dxfId="41" priority="39" operator="equal">
      <formula>3</formula>
    </cfRule>
    <cfRule type="cellIs" dxfId="40" priority="40" operator="equal">
      <formula>2</formula>
    </cfRule>
    <cfRule type="cellIs" dxfId="39" priority="41" operator="equal">
      <formula>1</formula>
    </cfRule>
    <cfRule type="cellIs" dxfId="38" priority="42" operator="equal">
      <formula>0</formula>
    </cfRule>
  </conditionalFormatting>
  <conditionalFormatting sqref="AG305:AI305">
    <cfRule type="expression" dxfId="37" priority="36">
      <formula>AND($C305=0,$C305&lt;&gt;"")</formula>
    </cfRule>
  </conditionalFormatting>
  <conditionalFormatting sqref="AJ306:AN306 B306:AF306">
    <cfRule type="expression" dxfId="36" priority="35">
      <formula>AND($C306=0,$C306&lt;&gt;"")</formula>
    </cfRule>
  </conditionalFormatting>
  <conditionalFormatting sqref="L306:AF306">
    <cfRule type="containsBlanks" dxfId="35" priority="29" stopIfTrue="1">
      <formula>LEN(TRIM(L306))=0</formula>
    </cfRule>
    <cfRule type="cellIs" dxfId="34" priority="30" operator="equal">
      <formula>4</formula>
    </cfRule>
    <cfRule type="cellIs" dxfId="33" priority="31" operator="equal">
      <formula>3</formula>
    </cfRule>
    <cfRule type="cellIs" dxfId="32" priority="32" operator="equal">
      <formula>2</formula>
    </cfRule>
    <cfRule type="cellIs" dxfId="31" priority="33" operator="equal">
      <formula>1</formula>
    </cfRule>
    <cfRule type="cellIs" dxfId="30" priority="34" operator="equal">
      <formula>0</formula>
    </cfRule>
  </conditionalFormatting>
  <conditionalFormatting sqref="AJ306:AK306">
    <cfRule type="containsBlanks" dxfId="29" priority="26" stopIfTrue="1">
      <formula>LEN(TRIM(AJ306))=0</formula>
    </cfRule>
    <cfRule type="containsText" dxfId="28" priority="27" operator="containsText" text="NO">
      <formula>NOT(ISERROR(SEARCH("NO",AJ306)))</formula>
    </cfRule>
    <cfRule type="containsText" dxfId="27" priority="28" operator="containsText" text="YES">
      <formula>NOT(ISERROR(SEARCH("YES",AJ306)))</formula>
    </cfRule>
  </conditionalFormatting>
  <conditionalFormatting sqref="AG306:AI306">
    <cfRule type="containsBlanks" dxfId="26" priority="20" stopIfTrue="1">
      <formula>LEN(TRIM(AG306))=0</formula>
    </cfRule>
    <cfRule type="cellIs" dxfId="25" priority="21" operator="equal">
      <formula>4</formula>
    </cfRule>
    <cfRule type="cellIs" dxfId="24" priority="22" operator="equal">
      <formula>3</formula>
    </cfRule>
    <cfRule type="cellIs" dxfId="23" priority="23" operator="equal">
      <formula>2</formula>
    </cfRule>
    <cfRule type="cellIs" dxfId="22" priority="24" operator="equal">
      <formula>1</formula>
    </cfRule>
    <cfRule type="cellIs" dxfId="21" priority="25" operator="equal">
      <formula>0</formula>
    </cfRule>
  </conditionalFormatting>
  <conditionalFormatting sqref="AG306:AI306">
    <cfRule type="expression" dxfId="20" priority="19">
      <formula>AND($C306=0,$C306&lt;&gt;"")</formula>
    </cfRule>
  </conditionalFormatting>
  <conditionalFormatting sqref="AJ307:AN307 B307:AF307">
    <cfRule type="expression" dxfId="19" priority="18">
      <formula>AND($C307=0,$C307&lt;&gt;"")</formula>
    </cfRule>
  </conditionalFormatting>
  <conditionalFormatting sqref="L307:AF307">
    <cfRule type="containsBlanks" dxfId="18" priority="12" stopIfTrue="1">
      <formula>LEN(TRIM(L307))=0</formula>
    </cfRule>
    <cfRule type="cellIs" dxfId="17" priority="13" operator="equal">
      <formula>4</formula>
    </cfRule>
    <cfRule type="cellIs" dxfId="16" priority="14" operator="equal">
      <formula>3</formula>
    </cfRule>
    <cfRule type="cellIs" dxfId="15" priority="15" operator="equal">
      <formula>2</formula>
    </cfRule>
    <cfRule type="cellIs" dxfId="14" priority="16" operator="equal">
      <formula>1</formula>
    </cfRule>
    <cfRule type="cellIs" dxfId="13" priority="17" operator="equal">
      <formula>0</formula>
    </cfRule>
  </conditionalFormatting>
  <conditionalFormatting sqref="AJ307:AK307">
    <cfRule type="containsBlanks" dxfId="12" priority="9" stopIfTrue="1">
      <formula>LEN(TRIM(AJ307))=0</formula>
    </cfRule>
    <cfRule type="containsText" dxfId="11" priority="10" operator="containsText" text="NO">
      <formula>NOT(ISERROR(SEARCH("NO",AJ307)))</formula>
    </cfRule>
    <cfRule type="containsText" dxfId="10" priority="11" operator="containsText" text="YES">
      <formula>NOT(ISERROR(SEARCH("YES",AJ307)))</formula>
    </cfRule>
  </conditionalFormatting>
  <conditionalFormatting sqref="AG307:AI307">
    <cfRule type="containsBlanks" dxfId="9" priority="3" stopIfTrue="1">
      <formula>LEN(TRIM(AG307))=0</formula>
    </cfRule>
    <cfRule type="cellIs" dxfId="8" priority="4" operator="equal">
      <formula>4</formula>
    </cfRule>
    <cfRule type="cellIs" dxfId="7" priority="5" operator="equal">
      <formula>3</formula>
    </cfRule>
    <cfRule type="cellIs" dxfId="6" priority="6" operator="equal">
      <formula>2</formula>
    </cfRule>
    <cfRule type="cellIs" dxfId="5" priority="7" operator="equal">
      <formula>1</formula>
    </cfRule>
    <cfRule type="cellIs" dxfId="4" priority="8" operator="equal">
      <formula>0</formula>
    </cfRule>
  </conditionalFormatting>
  <conditionalFormatting sqref="AG307:AI307">
    <cfRule type="expression" dxfId="3" priority="2">
      <formula>AND($C307=0,$C307&lt;&gt;"")</formula>
    </cfRule>
  </conditionalFormatting>
  <conditionalFormatting sqref="E304">
    <cfRule type="expression" dxfId="2" priority="1">
      <formula>AND($C304=0,$C304&lt;&gt;"")</formula>
    </cfRule>
  </conditionalFormatting>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Skills Matrix Reports</vt:lpstr>
      <vt:lpstr>Skills Matrix Tools</vt:lpstr>
      <vt:lpstr>Sitel Platforms</vt:lpstr>
      <vt:lpstr>BO reports</vt:lpstr>
      <vt:lpstr>Skills Matrix Reports Archive</vt:lpstr>
    </vt:vector>
  </TitlesOfParts>
  <Company>Sitel</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 Tsatsev</dc:creator>
  <cp:lastModifiedBy>Nikolay Lubenov</cp:lastModifiedBy>
  <dcterms:created xsi:type="dcterms:W3CDTF">2017-07-27T13:13:06Z</dcterms:created>
  <dcterms:modified xsi:type="dcterms:W3CDTF">2023-03-09T10:02:58Z</dcterms:modified>
</cp:coreProperties>
</file>